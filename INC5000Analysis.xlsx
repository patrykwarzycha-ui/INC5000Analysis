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tryk\Downloads\"/>
    </mc:Choice>
  </mc:AlternateContent>
  <xr:revisionPtr revIDLastSave="0" documentId="13_ncr:1_{ABD3211B-9007-41D6-9F90-60C1E30B20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3" r:id="rId1"/>
    <sheet name="Data" sheetId="1" r:id="rId2"/>
  </sheets>
  <definedNames>
    <definedName name="ExternalData_1" localSheetId="1" hidden="1">Data!$A$1:$J$5013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749" i="1" l="1"/>
  <c r="K1754" i="1"/>
  <c r="K849" i="1"/>
  <c r="K2467" i="1"/>
  <c r="K3280" i="1"/>
  <c r="K797" i="1"/>
  <c r="K530" i="1"/>
  <c r="K1060" i="1"/>
  <c r="K3487" i="1"/>
  <c r="K3019" i="1"/>
  <c r="K3050" i="1"/>
  <c r="K4693" i="1"/>
  <c r="K3052" i="1"/>
  <c r="K4967" i="1"/>
  <c r="K2895" i="1"/>
  <c r="K300" i="1"/>
  <c r="K2510" i="1"/>
  <c r="K4914" i="1"/>
  <c r="K4003" i="1"/>
  <c r="K2413" i="1"/>
  <c r="K4237" i="1"/>
  <c r="K3803" i="1"/>
  <c r="K1093" i="1"/>
  <c r="K3421" i="1"/>
  <c r="K458" i="1"/>
  <c r="K3256" i="1"/>
  <c r="K1669" i="1"/>
  <c r="K286" i="1"/>
  <c r="K2600" i="1"/>
  <c r="K557" i="1"/>
  <c r="K4442" i="1"/>
  <c r="K3934" i="1"/>
  <c r="K3558" i="1"/>
  <c r="K2546" i="1"/>
  <c r="K4200" i="1"/>
  <c r="K4765" i="1"/>
  <c r="K1953" i="1"/>
  <c r="K2043" i="1"/>
  <c r="K3194" i="1"/>
  <c r="K232" i="1"/>
  <c r="K1607" i="1"/>
  <c r="K1776" i="1"/>
  <c r="K4783" i="1"/>
  <c r="K2253" i="1"/>
  <c r="K2036" i="1"/>
  <c r="K546" i="1"/>
  <c r="K2961" i="1"/>
  <c r="K3292" i="1"/>
  <c r="K2714" i="1"/>
  <c r="K4246" i="1"/>
  <c r="K2926" i="1"/>
  <c r="K3344" i="1"/>
  <c r="K3891" i="1"/>
  <c r="K3509" i="1"/>
  <c r="K1359" i="1"/>
  <c r="K4033" i="1"/>
  <c r="K4615" i="1"/>
  <c r="K3112" i="1"/>
  <c r="K3459" i="1"/>
  <c r="K3230" i="1"/>
  <c r="K4327" i="1"/>
  <c r="K910" i="1"/>
  <c r="K3537" i="1"/>
  <c r="K4541" i="1"/>
  <c r="K4879" i="1"/>
  <c r="K934" i="1"/>
  <c r="K400" i="1"/>
  <c r="K1631" i="1"/>
  <c r="K8" i="1"/>
  <c r="K50" i="1"/>
  <c r="K1917" i="1"/>
  <c r="K3938" i="1"/>
  <c r="K3260" i="1"/>
  <c r="K1107" i="1"/>
  <c r="K1405" i="1"/>
  <c r="K712" i="1"/>
  <c r="K3226" i="1"/>
  <c r="K4213" i="1"/>
  <c r="K4942" i="1"/>
  <c r="K4840" i="1"/>
  <c r="K1055" i="1"/>
  <c r="K1370" i="1"/>
  <c r="K397" i="1"/>
  <c r="K3806" i="1"/>
  <c r="K638" i="1"/>
  <c r="K2573" i="1"/>
  <c r="K4188" i="1"/>
  <c r="K1937" i="1"/>
  <c r="K929" i="1"/>
  <c r="K1288" i="1"/>
  <c r="K1836" i="1"/>
  <c r="K811" i="1"/>
  <c r="K2396" i="1"/>
  <c r="K3875" i="1"/>
  <c r="K4701" i="1"/>
  <c r="K1629" i="1"/>
  <c r="K266" i="1"/>
  <c r="K3231" i="1"/>
  <c r="K1386" i="1"/>
  <c r="K3880" i="1"/>
  <c r="K3375" i="1"/>
  <c r="K2509" i="1"/>
  <c r="K3174" i="1"/>
  <c r="K2244" i="1"/>
  <c r="K1857" i="1"/>
  <c r="K4523" i="1"/>
  <c r="K764" i="1"/>
  <c r="K833" i="1"/>
  <c r="K1008" i="1"/>
  <c r="K479" i="1"/>
  <c r="K2185" i="1"/>
  <c r="K3100" i="1"/>
  <c r="K918" i="1"/>
  <c r="K432" i="1"/>
  <c r="K4203" i="1"/>
  <c r="K1101" i="1"/>
  <c r="K52" i="1"/>
  <c r="K1287" i="1"/>
  <c r="K2572" i="1"/>
  <c r="K3932" i="1"/>
  <c r="K245" i="1"/>
  <c r="K491" i="1"/>
  <c r="K3366" i="1"/>
  <c r="K3210" i="1"/>
  <c r="K3104" i="1"/>
  <c r="K3221" i="1"/>
  <c r="K1894" i="1"/>
  <c r="K2738" i="1"/>
  <c r="K1524" i="1"/>
  <c r="K3671" i="1"/>
  <c r="K907" i="1"/>
  <c r="K651" i="1"/>
  <c r="K853" i="1"/>
  <c r="K851" i="1"/>
  <c r="K1561" i="1"/>
  <c r="K2420" i="1"/>
  <c r="K3173" i="1"/>
  <c r="K4909" i="1"/>
  <c r="K4296" i="1"/>
  <c r="K4000" i="1"/>
  <c r="K2591" i="1"/>
  <c r="K2927" i="1"/>
  <c r="K1743" i="1"/>
  <c r="K248" i="1"/>
  <c r="K380" i="1"/>
  <c r="K806" i="1"/>
  <c r="K1628" i="1"/>
  <c r="K3864" i="1"/>
  <c r="K2078" i="1"/>
  <c r="K354" i="1"/>
  <c r="K1954" i="1"/>
  <c r="K4831" i="1"/>
  <c r="K3701" i="1"/>
  <c r="K203" i="1"/>
  <c r="K3882" i="1"/>
  <c r="K723" i="1"/>
  <c r="K3693" i="1"/>
  <c r="K4581" i="1"/>
  <c r="K1533" i="1"/>
  <c r="K3049" i="1"/>
  <c r="K3075" i="1"/>
  <c r="K2432" i="1"/>
  <c r="K2414" i="1"/>
  <c r="K1040" i="1"/>
  <c r="K1241" i="1"/>
  <c r="K672" i="1"/>
  <c r="K2338" i="1"/>
  <c r="K4254" i="1"/>
  <c r="K122" i="1"/>
  <c r="K4718" i="1"/>
  <c r="K3760" i="1"/>
  <c r="K3429" i="1"/>
  <c r="K3793" i="1"/>
  <c r="K2847" i="1"/>
  <c r="K4686" i="1"/>
  <c r="K792" i="1"/>
  <c r="K3239" i="1"/>
  <c r="K3529" i="1"/>
  <c r="K4580" i="1"/>
  <c r="K1423" i="1"/>
  <c r="K1667" i="1"/>
  <c r="K4742" i="1"/>
  <c r="K14" i="1"/>
  <c r="K3514" i="1"/>
  <c r="K2901" i="1"/>
  <c r="K4741" i="1"/>
  <c r="K3160" i="1"/>
  <c r="K2438" i="1"/>
  <c r="K3895" i="1"/>
  <c r="K3491" i="1"/>
  <c r="K4675" i="1"/>
  <c r="K713" i="1"/>
  <c r="K1374" i="1"/>
  <c r="K4182" i="1"/>
  <c r="K1227" i="1"/>
  <c r="K3349" i="1"/>
  <c r="K3865" i="1"/>
  <c r="K2462" i="1"/>
  <c r="K2870" i="1"/>
  <c r="K166" i="1"/>
  <c r="K3565" i="1"/>
  <c r="K464" i="1"/>
  <c r="K2779" i="1"/>
  <c r="K3271" i="1"/>
  <c r="K3910" i="1"/>
  <c r="K2693" i="1"/>
  <c r="K4933" i="1"/>
  <c r="K931" i="1"/>
  <c r="K4857" i="1"/>
  <c r="K1476" i="1"/>
  <c r="K1468" i="1"/>
  <c r="K677" i="1"/>
  <c r="K3025" i="1"/>
  <c r="K4986" i="1"/>
  <c r="K2516" i="1"/>
  <c r="K2841" i="1"/>
  <c r="K3540" i="1"/>
  <c r="K1619" i="1"/>
  <c r="K2144" i="1"/>
  <c r="K2746" i="1"/>
  <c r="K1603" i="1"/>
  <c r="K4679" i="1"/>
  <c r="K2787" i="1"/>
  <c r="K1786" i="1"/>
  <c r="K3080" i="1"/>
  <c r="K734" i="1"/>
  <c r="K3076" i="1"/>
  <c r="K3326" i="1"/>
  <c r="K446" i="1"/>
  <c r="K989" i="1"/>
  <c r="K3528" i="1"/>
  <c r="K3586" i="1"/>
  <c r="K4549" i="1"/>
  <c r="K1684" i="1"/>
  <c r="K3920" i="1"/>
  <c r="K4788" i="1"/>
  <c r="K1808" i="1"/>
  <c r="K4131" i="1"/>
  <c r="K970" i="1"/>
  <c r="K4585" i="1"/>
  <c r="K1479" i="1"/>
  <c r="K1207" i="1"/>
  <c r="K2737" i="1"/>
  <c r="K2909" i="1"/>
  <c r="K1235" i="1"/>
  <c r="K4483" i="1"/>
  <c r="K2096" i="1"/>
  <c r="K3630" i="1"/>
  <c r="K4550" i="1"/>
  <c r="K1852" i="1"/>
  <c r="K4763" i="1"/>
  <c r="K718" i="1"/>
  <c r="K3203" i="1"/>
  <c r="K915" i="1"/>
  <c r="K2686" i="1"/>
  <c r="K2444" i="1"/>
  <c r="K513" i="1"/>
  <c r="K3228" i="1"/>
  <c r="K642" i="1"/>
  <c r="K4927" i="1"/>
  <c r="K2809" i="1"/>
  <c r="K4473" i="1"/>
  <c r="K3399" i="1"/>
  <c r="K2112" i="1"/>
  <c r="K1997" i="1"/>
  <c r="K2224" i="1"/>
  <c r="K3220" i="1"/>
  <c r="K1842" i="1"/>
  <c r="K3193" i="1"/>
  <c r="K1601" i="1"/>
  <c r="K4570" i="1"/>
  <c r="K4512" i="1"/>
  <c r="K2156" i="1"/>
  <c r="K4277" i="1"/>
  <c r="K4060" i="1"/>
  <c r="K4239" i="1"/>
  <c r="K1516" i="1"/>
  <c r="K1875" i="1"/>
  <c r="K2460" i="1"/>
  <c r="K892" i="1"/>
  <c r="K1184" i="1"/>
  <c r="K164" i="1"/>
  <c r="K3573" i="1"/>
  <c r="K2623" i="1"/>
  <c r="K2637" i="1"/>
  <c r="K211" i="1"/>
  <c r="K4020" i="1"/>
  <c r="K1680" i="1"/>
  <c r="K4336" i="1"/>
  <c r="K3791" i="1"/>
  <c r="K1998" i="1"/>
  <c r="K2745" i="1"/>
  <c r="K3969" i="1"/>
  <c r="K4095" i="1"/>
  <c r="K261" i="1"/>
  <c r="K3428" i="1"/>
  <c r="K1301" i="1"/>
  <c r="K1330" i="1"/>
  <c r="K1334" i="1"/>
  <c r="K2607" i="1"/>
  <c r="K219" i="1"/>
  <c r="K1420" i="1"/>
  <c r="K1893" i="1"/>
  <c r="K1130" i="1"/>
  <c r="K3363" i="1"/>
  <c r="K559" i="1"/>
  <c r="K4214" i="1"/>
  <c r="K1155" i="1"/>
  <c r="K3754" i="1"/>
  <c r="K4940" i="1"/>
  <c r="K2281" i="1"/>
  <c r="K1934" i="1"/>
  <c r="K507" i="1"/>
  <c r="K4521" i="1"/>
  <c r="K35" i="1"/>
  <c r="K2996" i="1"/>
  <c r="K1024" i="1"/>
  <c r="K1959" i="1"/>
  <c r="K570" i="1"/>
  <c r="K4274" i="1"/>
  <c r="K1190" i="1"/>
  <c r="K3127" i="1"/>
  <c r="K1031" i="1"/>
  <c r="K975" i="1"/>
  <c r="K4767" i="1"/>
  <c r="K3328" i="1"/>
  <c r="K3652" i="1"/>
  <c r="K3513" i="1"/>
  <c r="K2435" i="1"/>
  <c r="K883" i="1"/>
  <c r="K624" i="1"/>
  <c r="K1360" i="1"/>
  <c r="K2828" i="1"/>
  <c r="K364" i="1"/>
  <c r="K1286" i="1"/>
  <c r="K1843" i="1"/>
  <c r="K2531" i="1"/>
  <c r="K2145" i="1"/>
  <c r="K3502" i="1"/>
  <c r="K2624" i="1"/>
  <c r="K3371" i="1"/>
  <c r="K579" i="1"/>
  <c r="K4850" i="1"/>
  <c r="K3580" i="1"/>
  <c r="K3574" i="1"/>
  <c r="K1268" i="1"/>
  <c r="K2077" i="1"/>
  <c r="K4227" i="1"/>
  <c r="K2815" i="1"/>
  <c r="K4511" i="1"/>
  <c r="K3886" i="1"/>
  <c r="K840" i="1"/>
  <c r="K3970" i="1"/>
  <c r="K4074" i="1"/>
  <c r="K474" i="1"/>
  <c r="K1438" i="1"/>
  <c r="K2243" i="1"/>
  <c r="K3916" i="1"/>
  <c r="K4403" i="1"/>
  <c r="K1903" i="1"/>
  <c r="K2614" i="1"/>
  <c r="K131" i="1"/>
  <c r="K3538" i="1"/>
  <c r="K4499" i="1"/>
  <c r="K2914" i="1"/>
  <c r="K3278" i="1"/>
  <c r="K2608" i="1"/>
  <c r="K1132" i="1"/>
  <c r="K4096" i="1"/>
  <c r="K3827" i="1"/>
  <c r="K2615" i="1"/>
  <c r="K1991" i="1"/>
  <c r="K3442" i="1"/>
  <c r="K4123" i="1"/>
  <c r="K4229" i="1"/>
  <c r="K1661" i="1"/>
  <c r="K694" i="1"/>
  <c r="K4854" i="1"/>
  <c r="K4777" i="1"/>
  <c r="K4071" i="1"/>
  <c r="K4955" i="1"/>
  <c r="K1260" i="1"/>
  <c r="K3376" i="1"/>
  <c r="K3918" i="1"/>
  <c r="K1140" i="1"/>
  <c r="K4692" i="1"/>
  <c r="K1815" i="1"/>
  <c r="K4776" i="1"/>
  <c r="K4205" i="1"/>
  <c r="K3616" i="1"/>
  <c r="K2469" i="1"/>
  <c r="K1123" i="1"/>
  <c r="K4510" i="1"/>
  <c r="K1250" i="1"/>
  <c r="K3569" i="1"/>
  <c r="K1417" i="1"/>
  <c r="K4682" i="1"/>
  <c r="K1341" i="1"/>
  <c r="K4721" i="1"/>
  <c r="K2821" i="1"/>
  <c r="K329" i="1"/>
  <c r="K2976" i="1"/>
  <c r="K684" i="1"/>
  <c r="K307" i="1"/>
  <c r="K3225" i="1"/>
  <c r="K150" i="1"/>
  <c r="K2985" i="1"/>
  <c r="K1931" i="1"/>
  <c r="K1796" i="1"/>
  <c r="K2492" i="1"/>
  <c r="K4779" i="1"/>
  <c r="K3318" i="1"/>
  <c r="K1127" i="1"/>
  <c r="K379" i="1"/>
  <c r="K2200" i="1"/>
  <c r="K4912" i="1"/>
  <c r="K424" i="1"/>
  <c r="K3979" i="1"/>
  <c r="K142" i="1"/>
  <c r="K3471" i="1"/>
  <c r="K1302" i="1"/>
  <c r="K2422" i="1"/>
  <c r="K717" i="1"/>
  <c r="K680" i="1"/>
  <c r="K1381" i="1"/>
  <c r="K162" i="1"/>
  <c r="K4043" i="1"/>
  <c r="K3218" i="1"/>
  <c r="K486" i="1"/>
  <c r="K3915" i="1"/>
  <c r="K3945" i="1"/>
  <c r="K950" i="1"/>
  <c r="K2158" i="1"/>
  <c r="K469" i="1"/>
  <c r="K2392" i="1"/>
  <c r="K831" i="1"/>
  <c r="K402" i="1"/>
  <c r="K4382" i="1"/>
  <c r="K1526" i="1"/>
  <c r="K2709" i="1"/>
  <c r="K963" i="1"/>
  <c r="K522" i="1"/>
  <c r="K4687" i="1"/>
  <c r="K1037" i="1"/>
  <c r="K3563" i="1"/>
  <c r="K744" i="1"/>
  <c r="K4546" i="1"/>
  <c r="K1600" i="1"/>
  <c r="K212" i="1"/>
  <c r="K2778" i="1"/>
  <c r="K1393" i="1"/>
  <c r="K3192" i="1"/>
  <c r="K2706" i="1"/>
  <c r="K85" i="1"/>
  <c r="K3258" i="1"/>
  <c r="K1801" i="1"/>
  <c r="K2858" i="1"/>
  <c r="K2404" i="1"/>
  <c r="K4447" i="1"/>
  <c r="K3767" i="1"/>
  <c r="K4086" i="1"/>
  <c r="K305" i="1"/>
  <c r="K376" i="1"/>
  <c r="K877" i="1"/>
  <c r="K2652" i="1"/>
  <c r="K4813" i="1"/>
  <c r="K3481" i="1"/>
  <c r="K3347" i="1"/>
  <c r="K1296" i="1"/>
  <c r="K220" i="1"/>
  <c r="K3524" i="1"/>
  <c r="K3756" i="1"/>
  <c r="K4359" i="1"/>
  <c r="K4435" i="1"/>
  <c r="K1668" i="1"/>
  <c r="K3374" i="1"/>
  <c r="K3432" i="1"/>
  <c r="K4054" i="1"/>
  <c r="K3413" i="1"/>
  <c r="K1731" i="1"/>
  <c r="K2451" i="1"/>
  <c r="K3694" i="1"/>
  <c r="K675" i="1"/>
  <c r="K4582" i="1"/>
  <c r="K4377" i="1"/>
  <c r="K3810" i="1"/>
  <c r="K3862" i="1"/>
  <c r="K656" i="1"/>
  <c r="K3638" i="1"/>
  <c r="K3761" i="1"/>
  <c r="K3914" i="1"/>
  <c r="K2977" i="1"/>
  <c r="K4739" i="1"/>
  <c r="K1690" i="1"/>
  <c r="K4731" i="1"/>
  <c r="K90" i="1"/>
  <c r="K1551" i="1"/>
  <c r="K4459" i="1"/>
  <c r="K3237" i="1"/>
  <c r="K3762" i="1"/>
  <c r="K4673" i="1"/>
  <c r="K4347" i="1"/>
  <c r="K2507" i="1"/>
  <c r="K1125" i="1"/>
  <c r="K4551" i="1"/>
  <c r="K2346" i="1"/>
  <c r="K1963" i="1"/>
  <c r="K850" i="1"/>
  <c r="K1057" i="1"/>
  <c r="K623" i="1"/>
  <c r="K2574" i="1"/>
  <c r="K133" i="1"/>
  <c r="K3443" i="1"/>
  <c r="K3981" i="1"/>
  <c r="K4477" i="1"/>
  <c r="K3479" i="1"/>
  <c r="K4045" i="1"/>
  <c r="K2697" i="1"/>
  <c r="K4730" i="1"/>
  <c r="K4977" i="1"/>
  <c r="K3906" i="1"/>
  <c r="K2552" i="1"/>
  <c r="K4031" i="1"/>
  <c r="K2634" i="1"/>
  <c r="K516" i="1"/>
  <c r="K3518" i="1"/>
  <c r="K2430" i="1"/>
  <c r="K534" i="1"/>
  <c r="K4637" i="1"/>
  <c r="K3006" i="1"/>
  <c r="K4306" i="1"/>
  <c r="K4057" i="1"/>
  <c r="K2452" i="1"/>
  <c r="K2534" i="1"/>
  <c r="K3245" i="1"/>
  <c r="K3427" i="1"/>
  <c r="K3646" i="1"/>
  <c r="K2089" i="1"/>
  <c r="K3414" i="1"/>
  <c r="K2076" i="1"/>
  <c r="K3164" i="1"/>
  <c r="K209" i="1"/>
  <c r="K2930" i="1"/>
  <c r="K2375" i="1"/>
  <c r="K1770" i="1"/>
  <c r="K1962" i="1"/>
  <c r="K2496" i="1"/>
  <c r="K2992" i="1"/>
  <c r="K1053" i="1"/>
  <c r="K1450" i="1"/>
  <c r="K3778" i="1"/>
  <c r="K3263" i="1"/>
  <c r="K517" i="1"/>
  <c r="K4956" i="1"/>
  <c r="K1952" i="1"/>
  <c r="K4103" i="1"/>
  <c r="K1784" i="1"/>
  <c r="K3364" i="1"/>
  <c r="K1926" i="1"/>
  <c r="K2524" i="1"/>
  <c r="K1466" i="1"/>
  <c r="K487" i="1"/>
  <c r="K4602" i="1"/>
  <c r="K1282" i="1"/>
  <c r="K3420" i="1"/>
  <c r="K390" i="1"/>
  <c r="K3298" i="1"/>
  <c r="K4247" i="1"/>
  <c r="K1878" i="1"/>
  <c r="K1349" i="1"/>
  <c r="K4484" i="1"/>
  <c r="K4371" i="1"/>
  <c r="K1699" i="1"/>
  <c r="K1453" i="1"/>
  <c r="K2999" i="1"/>
  <c r="K1378" i="1"/>
  <c r="K1290" i="1"/>
  <c r="K242" i="1"/>
  <c r="K252" i="1"/>
  <c r="K708" i="1"/>
  <c r="K2419" i="1"/>
  <c r="K1851" i="1"/>
  <c r="K1739" i="1"/>
  <c r="K1988" i="1"/>
  <c r="K312" i="1"/>
  <c r="K640" i="1"/>
  <c r="K1907" i="1"/>
  <c r="K1090" i="1"/>
  <c r="K2312" i="1"/>
  <c r="K313" i="1"/>
  <c r="K696" i="1"/>
  <c r="K3980" i="1"/>
  <c r="K4593" i="1"/>
  <c r="K4769" i="1"/>
  <c r="K2316" i="1"/>
  <c r="K977" i="1"/>
  <c r="K4431" i="1"/>
  <c r="K4547" i="1"/>
  <c r="K3057" i="1"/>
  <c r="K471" i="1"/>
  <c r="K4823" i="1"/>
  <c r="K614" i="1"/>
  <c r="K4537" i="1"/>
  <c r="K1989" i="1"/>
  <c r="K1639" i="1"/>
  <c r="K901" i="1"/>
  <c r="K908" i="1"/>
  <c r="K1492" i="1"/>
  <c r="K2160" i="1"/>
  <c r="K1416" i="1"/>
  <c r="K3846" i="1"/>
  <c r="K3921" i="1"/>
  <c r="K2816" i="1"/>
  <c r="K2221" i="1"/>
  <c r="K1778" i="1"/>
  <c r="K165" i="1"/>
  <c r="K2750" i="1"/>
  <c r="K921" i="1"/>
  <c r="K1677" i="1"/>
  <c r="K4288" i="1"/>
  <c r="K1909" i="1"/>
  <c r="K1549" i="1"/>
  <c r="K2836" i="1"/>
  <c r="K2935" i="1"/>
  <c r="K1530" i="1"/>
  <c r="K3751" i="1"/>
  <c r="K3957" i="1"/>
  <c r="K685" i="1"/>
  <c r="K759" i="1"/>
  <c r="K207" i="1"/>
  <c r="K4890" i="1"/>
  <c r="K3244" i="1"/>
  <c r="K4988" i="1"/>
  <c r="K56" i="1"/>
  <c r="K4733" i="1"/>
  <c r="K5003" i="1"/>
  <c r="K2173" i="1"/>
  <c r="K991" i="1"/>
  <c r="K4124" i="1"/>
  <c r="K2400" i="1"/>
  <c r="K3570" i="1"/>
  <c r="K4452" i="1"/>
  <c r="K689" i="1"/>
  <c r="K4082" i="1"/>
  <c r="K658" i="1"/>
  <c r="K1357" i="1"/>
  <c r="K1198" i="1"/>
  <c r="K195" i="1"/>
  <c r="K3011" i="1"/>
  <c r="K4691" i="1"/>
  <c r="K2626" i="1"/>
  <c r="K4901" i="1"/>
  <c r="K3526" i="1"/>
  <c r="K1295" i="1"/>
  <c r="K3001" i="1"/>
  <c r="K2931" i="1"/>
  <c r="K1384" i="1"/>
  <c r="K3059" i="1"/>
  <c r="K3868" i="1"/>
  <c r="K1819" i="1"/>
  <c r="K1012" i="1"/>
  <c r="K1886" i="1"/>
  <c r="K1177" i="1"/>
  <c r="K3150" i="1"/>
  <c r="K3763" i="1"/>
  <c r="K321" i="1"/>
  <c r="K3102" i="1"/>
  <c r="K2921" i="1"/>
  <c r="K3999" i="1"/>
  <c r="K4058" i="1"/>
  <c r="K3955" i="1"/>
  <c r="K4360" i="1"/>
  <c r="K2091" i="1"/>
  <c r="K4807" i="1"/>
  <c r="K1910" i="1"/>
  <c r="K766" i="1"/>
  <c r="K4782" i="1"/>
  <c r="K526" i="1"/>
  <c r="K2128" i="1"/>
  <c r="K3890" i="1"/>
  <c r="K2189" i="1"/>
  <c r="K367" i="1"/>
  <c r="K3605" i="1"/>
  <c r="K428" i="1"/>
  <c r="K1458" i="1"/>
  <c r="K4824" i="1"/>
  <c r="K1460" i="1"/>
  <c r="K2699" i="1"/>
  <c r="K1050" i="1"/>
  <c r="K816" i="1"/>
  <c r="K1557" i="1"/>
  <c r="K3219" i="1"/>
  <c r="K4167" i="1"/>
  <c r="K914" i="1"/>
  <c r="K124" i="1"/>
  <c r="K110" i="1"/>
  <c r="K4243" i="1"/>
  <c r="K3647" i="1"/>
  <c r="K2057" i="1"/>
  <c r="K2084" i="1"/>
  <c r="K1726" i="1"/>
  <c r="K798" i="1"/>
  <c r="K2742" i="1"/>
  <c r="K10" i="1"/>
  <c r="K4029" i="1"/>
  <c r="K2494" i="1"/>
  <c r="K5006" i="1"/>
  <c r="K4945" i="1"/>
  <c r="K3299" i="1"/>
  <c r="K3408" i="1"/>
  <c r="K2450" i="1"/>
  <c r="K4351" i="1"/>
  <c r="K1781" i="1"/>
  <c r="K3866" i="1"/>
  <c r="K3521" i="1"/>
  <c r="K1812" i="1"/>
  <c r="K3082" i="1"/>
  <c r="K4820" i="1"/>
  <c r="K4072" i="1"/>
  <c r="K119" i="1"/>
  <c r="K1545" i="1"/>
  <c r="K2803" i="1"/>
  <c r="K1811" i="1"/>
  <c r="K3138" i="1"/>
  <c r="K1732" i="1"/>
  <c r="K4958" i="1"/>
  <c r="K1463" i="1"/>
  <c r="K1166" i="1"/>
  <c r="K4559" i="1"/>
  <c r="K4104" i="1"/>
  <c r="K344" i="1"/>
  <c r="K3718" i="1"/>
  <c r="K1740" i="1"/>
  <c r="K730" i="1"/>
  <c r="K3588" i="1"/>
  <c r="K2897" i="1"/>
  <c r="K5" i="1"/>
  <c r="K2721" i="1"/>
  <c r="K3973" i="1"/>
  <c r="K453" i="1"/>
  <c r="K4130" i="1"/>
  <c r="K2051" i="1"/>
  <c r="K1570" i="1"/>
  <c r="K632" i="1"/>
  <c r="K2378" i="1"/>
  <c r="K2330" i="1"/>
  <c r="K2421" i="1"/>
  <c r="K4690" i="1"/>
  <c r="K1804" i="1"/>
  <c r="K1514" i="1"/>
  <c r="K4851" i="1"/>
  <c r="K2360" i="1"/>
  <c r="K4712" i="1"/>
  <c r="K4795" i="1"/>
  <c r="K3661" i="1"/>
  <c r="K988" i="1"/>
  <c r="K923" i="1"/>
  <c r="K4249" i="1"/>
  <c r="K299" i="1"/>
  <c r="K4056" i="1"/>
  <c r="K1723" i="1"/>
  <c r="K4856" i="1"/>
  <c r="K1348" i="1"/>
  <c r="K1208" i="1"/>
  <c r="K4157" i="1"/>
  <c r="K3658" i="1"/>
  <c r="K2095" i="1"/>
  <c r="K4391" i="1"/>
  <c r="K3829" i="1"/>
  <c r="K2205" i="1"/>
  <c r="K461" i="1"/>
  <c r="K3929" i="1"/>
  <c r="K282" i="1"/>
  <c r="K985" i="1"/>
  <c r="K4380" i="1"/>
  <c r="K2989" i="1"/>
  <c r="K4842" i="1"/>
  <c r="K4655" i="1"/>
  <c r="K4278" i="1"/>
  <c r="K1377" i="1"/>
  <c r="K2363" i="1"/>
  <c r="K1365" i="1"/>
  <c r="K4225" i="1"/>
  <c r="K3713" i="1"/>
  <c r="K128" i="1"/>
  <c r="K699" i="1"/>
  <c r="K4696" i="1"/>
  <c r="K3881" i="1"/>
  <c r="K4427" i="1"/>
  <c r="K3074" i="1"/>
  <c r="K4404" i="1"/>
  <c r="K4622" i="1"/>
  <c r="K2347" i="1"/>
  <c r="K621" i="1"/>
  <c r="K981" i="1"/>
  <c r="K2932" i="1"/>
  <c r="K2132" i="1"/>
  <c r="K4518" i="1"/>
  <c r="K4405" i="1"/>
  <c r="K1983" i="1"/>
  <c r="K1708" i="1"/>
  <c r="K2161" i="1"/>
  <c r="K4034" i="1"/>
  <c r="K528" i="1"/>
  <c r="K1640" i="1"/>
  <c r="K4697" i="1"/>
  <c r="K2083" i="1"/>
  <c r="K4968" i="1"/>
  <c r="K1978" i="1"/>
  <c r="K536" i="1"/>
  <c r="K4187" i="1"/>
  <c r="K1927" i="1"/>
  <c r="K4980" i="1"/>
  <c r="K3878" i="1"/>
  <c r="K532" i="1"/>
  <c r="K3490" i="1"/>
  <c r="K3086" i="1"/>
  <c r="K875" i="1"/>
  <c r="K1789" i="1"/>
  <c r="K284" i="1"/>
  <c r="K1901" i="1"/>
  <c r="K4425" i="1"/>
  <c r="K617" i="1"/>
  <c r="K2521" i="1"/>
  <c r="K2403" i="1"/>
  <c r="K2410" i="1"/>
  <c r="K2066" i="1"/>
  <c r="K664" i="1"/>
  <c r="K4946" i="1"/>
  <c r="K647" i="1"/>
  <c r="K4715" i="1"/>
  <c r="K1676" i="1"/>
  <c r="K3215" i="1"/>
  <c r="K2198" i="1"/>
  <c r="K2250" i="1"/>
  <c r="K4017" i="1"/>
  <c r="K3737" i="1"/>
  <c r="K4313" i="1"/>
  <c r="K2437" i="1"/>
  <c r="K4695" i="1"/>
  <c r="K4566" i="1"/>
  <c r="K3867" i="1"/>
  <c r="K1121" i="1"/>
  <c r="K2755" i="1"/>
  <c r="K1753" i="1"/>
  <c r="K2062" i="1"/>
  <c r="K674" i="1"/>
  <c r="K669" i="1"/>
  <c r="K331" i="1"/>
  <c r="K836" i="1"/>
  <c r="K4331" i="1"/>
  <c r="K4992" i="1"/>
  <c r="K2067" i="1"/>
  <c r="K3830" i="1"/>
  <c r="K1913" i="1"/>
  <c r="K1696" i="1"/>
  <c r="K954" i="1"/>
  <c r="K1159" i="1"/>
  <c r="K2364" i="1"/>
  <c r="K2610" i="1"/>
  <c r="K4872" i="1"/>
  <c r="K2049" i="1"/>
  <c r="K4346" i="1"/>
  <c r="K2019" i="1"/>
  <c r="K3087" i="1"/>
  <c r="K594" i="1"/>
  <c r="K506" i="1"/>
  <c r="K884" i="1"/>
  <c r="K1595" i="1"/>
  <c r="K1841" i="1"/>
  <c r="K4674" i="1"/>
  <c r="K874" i="1"/>
  <c r="K4818" i="1"/>
  <c r="K2662" i="1"/>
  <c r="K4833" i="1"/>
  <c r="K2661" i="1"/>
  <c r="K475" i="1"/>
  <c r="K4995" i="1"/>
  <c r="K4864" i="1"/>
  <c r="K1091" i="1"/>
  <c r="K3208" i="1"/>
  <c r="K3081" i="1"/>
  <c r="K4134" i="1"/>
  <c r="K1540" i="1"/>
  <c r="K1966" i="1"/>
  <c r="K1165" i="1"/>
  <c r="K1650" i="1"/>
  <c r="K3990" i="1"/>
  <c r="K2712" i="1"/>
  <c r="K3942" i="1"/>
  <c r="K3277" i="1"/>
  <c r="K1322" i="1"/>
  <c r="K301" i="1"/>
  <c r="K1970" i="1"/>
  <c r="K633" i="1"/>
  <c r="K3993" i="1"/>
  <c r="K2910" i="1"/>
  <c r="K1611" i="1"/>
  <c r="K268" i="1"/>
  <c r="K4423" i="1"/>
  <c r="K3438" i="1"/>
  <c r="K3154" i="1"/>
  <c r="K3452" i="1"/>
  <c r="K859" i="1"/>
  <c r="K2569" i="1"/>
  <c r="K2759" i="1"/>
  <c r="K4417" i="1"/>
  <c r="K1984" i="1"/>
  <c r="K2374" i="1"/>
  <c r="K823" i="1"/>
  <c r="K967" i="1"/>
  <c r="K1315" i="1"/>
  <c r="K1760" i="1"/>
  <c r="K5008" i="1"/>
  <c r="K4642" i="1"/>
  <c r="K1483" i="1"/>
  <c r="K3541" i="1"/>
  <c r="K2031" i="1"/>
  <c r="K4913" i="1"/>
  <c r="K1412" i="1"/>
  <c r="K4792" i="1"/>
  <c r="K3943" i="1"/>
  <c r="K2605" i="1"/>
  <c r="K753" i="1"/>
  <c r="K878" i="1"/>
  <c r="K1682" i="1"/>
  <c r="K3026" i="1"/>
  <c r="K1568" i="1"/>
  <c r="K2443" i="1"/>
  <c r="K1543" i="1"/>
  <c r="K727" i="1"/>
  <c r="K2934" i="1"/>
  <c r="K4941" i="1"/>
  <c r="K4287" i="1"/>
  <c r="K1633" i="1"/>
  <c r="K545" i="1"/>
  <c r="K1848" i="1"/>
  <c r="K1402" i="1"/>
  <c r="K897" i="1"/>
  <c r="K1884" i="1"/>
  <c r="K4811" i="1"/>
  <c r="K4620" i="1"/>
  <c r="K4830" i="1"/>
  <c r="K1746" i="1"/>
  <c r="K4812" i="1"/>
  <c r="K655" i="1"/>
  <c r="K3684" i="1"/>
  <c r="K1379" i="1"/>
  <c r="K3682" i="1"/>
  <c r="K2872" i="1"/>
  <c r="K2811" i="1"/>
  <c r="K2233" i="1"/>
  <c r="K1442" i="1"/>
  <c r="K1004" i="1"/>
  <c r="K4138" i="1"/>
  <c r="K1829" i="1"/>
  <c r="K3656" i="1"/>
  <c r="K4496" i="1"/>
  <c r="K2947" i="1"/>
  <c r="K3982" i="1"/>
  <c r="K1554" i="1"/>
  <c r="K4561" i="1"/>
  <c r="K886" i="1"/>
  <c r="K3766" i="1"/>
  <c r="K3105" i="1"/>
  <c r="K571" i="1"/>
  <c r="K3935" i="1"/>
  <c r="K1706" i="1"/>
  <c r="K499" i="1"/>
  <c r="K1317" i="1"/>
  <c r="K423" i="1"/>
  <c r="K4161" i="1"/>
  <c r="K4392" i="1"/>
  <c r="K31" i="1"/>
  <c r="K1243" i="1"/>
  <c r="K318" i="1"/>
  <c r="K4790" i="1"/>
  <c r="K1967" i="1"/>
  <c r="K3670" i="1"/>
  <c r="K273" i="1"/>
  <c r="K234" i="1"/>
  <c r="K4814" i="1"/>
  <c r="K3798" i="1"/>
  <c r="K40" i="1"/>
  <c r="K4764" i="1"/>
  <c r="K146" i="1"/>
  <c r="K911" i="1"/>
  <c r="K1390" i="1"/>
  <c r="K1154" i="1"/>
  <c r="K1215" i="1"/>
  <c r="K544" i="1"/>
  <c r="K3395" i="1"/>
  <c r="K917" i="1"/>
  <c r="K411" i="1"/>
  <c r="K3824" i="1"/>
  <c r="K4971" i="1"/>
  <c r="K3023" i="1"/>
  <c r="K1609" i="1"/>
  <c r="K673" i="1"/>
  <c r="K1764" i="1"/>
  <c r="K4166" i="1"/>
  <c r="K2037" i="1"/>
  <c r="K976" i="1"/>
  <c r="K706" i="1"/>
  <c r="K3478" i="1"/>
  <c r="K2345" i="1"/>
  <c r="K22" i="1"/>
  <c r="K3261" i="1"/>
  <c r="K1624" i="1"/>
  <c r="K4564" i="1"/>
  <c r="K345" i="1"/>
  <c r="K1128" i="1"/>
  <c r="K1480" i="1"/>
  <c r="K3217" i="1"/>
  <c r="K2806" i="1"/>
  <c r="K4944" i="1"/>
  <c r="K1612" i="1"/>
  <c r="K574" i="1"/>
  <c r="K2825" i="1"/>
  <c r="K881" i="1"/>
  <c r="K898" i="1"/>
  <c r="K334" i="1"/>
  <c r="K1247" i="1"/>
  <c r="K3601" i="1"/>
  <c r="K2533" i="1"/>
  <c r="K2177" i="1"/>
  <c r="K2498" i="1"/>
  <c r="K1382" i="1"/>
  <c r="K3262" i="1"/>
  <c r="K3869" i="1"/>
  <c r="K3848" i="1"/>
  <c r="K4997" i="1"/>
  <c r="K4093" i="1"/>
  <c r="K1361" i="1"/>
  <c r="K1756" i="1"/>
  <c r="K3009" i="1"/>
  <c r="K864" i="1"/>
  <c r="K1763" i="1"/>
  <c r="K4659" i="1"/>
  <c r="K3003" i="1"/>
  <c r="K4330" i="1"/>
  <c r="K4708" i="1"/>
  <c r="K3336" i="1"/>
  <c r="K1912" i="1"/>
  <c r="K262" i="1"/>
  <c r="K3660" i="1"/>
  <c r="K2765" i="1"/>
  <c r="K74" i="1"/>
  <c r="K4607" i="1"/>
  <c r="K4752" i="1"/>
  <c r="K2008" i="1"/>
  <c r="K4936" i="1"/>
  <c r="K1647" i="1"/>
  <c r="K3885" i="1"/>
  <c r="K4981" i="1"/>
  <c r="K4206" i="1"/>
  <c r="K1925" i="1"/>
  <c r="K1358" i="1"/>
  <c r="K3296" i="1"/>
  <c r="K4616" i="1"/>
  <c r="K1456" i="1"/>
  <c r="K2905" i="1"/>
  <c r="K709" i="1"/>
  <c r="K4194" i="1"/>
  <c r="K4341" i="1"/>
  <c r="K2336" i="1"/>
  <c r="K4140" i="1"/>
  <c r="K569" i="1"/>
  <c r="K3557" i="1"/>
  <c r="K4478" i="1"/>
  <c r="K4401" i="1"/>
  <c r="K4171" i="1"/>
  <c r="K793" i="1"/>
  <c r="K4046" i="1"/>
  <c r="K650" i="1"/>
  <c r="K3759" i="1"/>
  <c r="K3415" i="1"/>
  <c r="K1482" i="1"/>
  <c r="K2656" i="1"/>
  <c r="K2127" i="1"/>
  <c r="K437" i="1"/>
  <c r="K197" i="1"/>
  <c r="K785" i="1"/>
  <c r="K3259" i="1"/>
  <c r="K885" i="1"/>
  <c r="K463" i="1"/>
  <c r="K184" i="1"/>
  <c r="K4503" i="1"/>
  <c r="K3736" i="1"/>
  <c r="K3623" i="1"/>
  <c r="K2987" i="1"/>
  <c r="K4531" i="1"/>
  <c r="K1728" i="1"/>
  <c r="K2407" i="1"/>
  <c r="K1148" i="1"/>
  <c r="K443" i="1"/>
  <c r="K533" i="1"/>
  <c r="K5009" i="1"/>
  <c r="K4773" i="1"/>
  <c r="K1220" i="1"/>
  <c r="K2585" i="1"/>
  <c r="K1757" i="1"/>
  <c r="K4302" i="1"/>
  <c r="K4209" i="1"/>
  <c r="K2513" i="1"/>
  <c r="K319" i="1"/>
  <c r="K2097" i="1"/>
  <c r="K3975" i="1"/>
  <c r="K1750" i="1"/>
  <c r="K1316" i="1"/>
  <c r="K3632" i="1"/>
  <c r="K1105" i="1"/>
  <c r="K1471" i="1"/>
  <c r="K1470" i="1"/>
  <c r="K2555" i="1"/>
  <c r="K3352" i="1"/>
  <c r="K1883" i="1"/>
  <c r="K4660" i="1"/>
  <c r="K4268" i="1"/>
  <c r="K868" i="1"/>
  <c r="K467" i="1"/>
  <c r="K503" i="1"/>
  <c r="K4998" i="1"/>
  <c r="K4588" i="1"/>
  <c r="K3055" i="1"/>
  <c r="K1727" i="1"/>
  <c r="K4817" i="1"/>
  <c r="K749" i="1"/>
  <c r="K2724" i="1"/>
  <c r="K4784" i="1"/>
  <c r="K4048" i="1"/>
  <c r="K1059" i="1"/>
  <c r="K1074" i="1"/>
  <c r="K2998" i="1"/>
  <c r="K1021" i="1"/>
  <c r="K4750" i="1"/>
  <c r="K4044" i="1"/>
  <c r="K4024" i="1"/>
  <c r="K2522" i="1"/>
  <c r="K3894" i="1"/>
  <c r="K3530" i="1"/>
  <c r="K646" i="1"/>
  <c r="K457" i="1"/>
  <c r="K629" i="1"/>
  <c r="K4880" i="1"/>
  <c r="K33" i="1"/>
  <c r="K535" i="1"/>
  <c r="K4796" i="1"/>
  <c r="K2527" i="1"/>
  <c r="K3495" i="1"/>
  <c r="K2310" i="1"/>
  <c r="K584" i="1"/>
  <c r="K4527" i="1"/>
  <c r="K960" i="1"/>
  <c r="K2133" i="1"/>
  <c r="K1580" i="1"/>
  <c r="K5011" i="1"/>
  <c r="K2495" i="1"/>
  <c r="K1797" i="1"/>
  <c r="K4853" i="1"/>
  <c r="K2582" i="1"/>
  <c r="K1281" i="1"/>
  <c r="K1608" i="1"/>
  <c r="K844" i="1"/>
  <c r="K3233" i="1"/>
  <c r="K2577" i="1"/>
  <c r="K1191" i="1"/>
  <c r="K4644" i="1"/>
  <c r="K547" i="1"/>
  <c r="K3801" i="1"/>
  <c r="K218" i="1"/>
  <c r="K3633" i="1"/>
  <c r="K2505" i="1"/>
  <c r="K4982" i="1"/>
  <c r="K1023" i="1"/>
  <c r="K4875" i="1"/>
  <c r="K2483" i="1"/>
  <c r="K974" i="1"/>
  <c r="K3381" i="1"/>
  <c r="K3039" i="1"/>
  <c r="K3728" i="1"/>
  <c r="K2171" i="1"/>
  <c r="K3873" i="1"/>
  <c r="K1651" i="1"/>
  <c r="K4448" i="1"/>
  <c r="K3992" i="1"/>
  <c r="K4022" i="1"/>
  <c r="K4350" i="1"/>
  <c r="K1593" i="1"/>
  <c r="K4141" i="1"/>
  <c r="K3405" i="1"/>
  <c r="K3369" i="1"/>
  <c r="K4645" i="1"/>
  <c r="K2137" i="1"/>
  <c r="K2005" i="1"/>
  <c r="K291" i="1"/>
  <c r="K3257" i="1"/>
  <c r="K2294" i="1"/>
  <c r="K1546" i="1"/>
  <c r="K4495" i="1"/>
  <c r="K176" i="1"/>
  <c r="K2939" i="1"/>
  <c r="K4111" i="1"/>
  <c r="K4471" i="1"/>
  <c r="K1421" i="1"/>
  <c r="K4145" i="1"/>
  <c r="K610" i="1"/>
  <c r="K1626" i="1"/>
  <c r="K1828" i="1"/>
  <c r="K2544" i="1"/>
  <c r="K2680" i="1"/>
  <c r="K2088" i="1"/>
  <c r="K2322" i="1"/>
  <c r="K511" i="1"/>
  <c r="K3084" i="1"/>
  <c r="K1136" i="1"/>
  <c r="K1111" i="1"/>
  <c r="K4281" i="1"/>
  <c r="K1332" i="1"/>
  <c r="K1675" i="1"/>
  <c r="K2692" i="1"/>
  <c r="K554" i="1"/>
  <c r="K2529" i="1"/>
  <c r="K2382" i="1"/>
  <c r="K3068" i="1"/>
  <c r="K4469" i="1"/>
  <c r="K4887" i="1"/>
  <c r="K1870" i="1"/>
  <c r="K1285" i="1"/>
  <c r="K2689" i="1"/>
  <c r="K2034" i="1"/>
  <c r="K1636" i="1"/>
  <c r="K3499" i="1"/>
  <c r="K4530" i="1"/>
  <c r="K3672" i="1"/>
  <c r="K4007" i="1"/>
  <c r="K856" i="1"/>
  <c r="K4746" i="1"/>
  <c r="K837" i="1"/>
  <c r="K293" i="1"/>
  <c r="K1297" i="1"/>
  <c r="K3776" i="1"/>
  <c r="K767" i="1"/>
  <c r="K4640" i="1"/>
  <c r="K3724" i="1"/>
  <c r="K185" i="1"/>
  <c r="K1257" i="1"/>
  <c r="K3904" i="1"/>
  <c r="K2853" i="1"/>
  <c r="K1240" i="1"/>
  <c r="K4632" i="1"/>
  <c r="K2082" i="1"/>
  <c r="K3814" i="1"/>
  <c r="K4760" i="1"/>
  <c r="K1172" i="1"/>
  <c r="K1665" i="1"/>
  <c r="K2949" i="1"/>
  <c r="K1589" i="1"/>
  <c r="K2831" i="1"/>
  <c r="K13" i="1"/>
  <c r="K3250" i="1"/>
  <c r="K1153" i="1"/>
  <c r="K2406" i="1"/>
  <c r="K3952" i="1"/>
  <c r="K1147" i="1"/>
  <c r="K4426" i="1"/>
  <c r="K1790" i="1"/>
  <c r="K1902" i="1"/>
  <c r="K2945" i="1"/>
  <c r="K4589" i="1"/>
  <c r="K3241" i="1"/>
  <c r="K591" i="1"/>
  <c r="K1443" i="1"/>
  <c r="K4848" i="1"/>
  <c r="K355" i="1"/>
  <c r="K4436" i="1"/>
  <c r="K1321" i="1"/>
  <c r="K3901" i="1"/>
  <c r="K1298" i="1"/>
  <c r="K639" i="1"/>
  <c r="K1029" i="1"/>
  <c r="K16" i="1"/>
  <c r="K208" i="1"/>
  <c r="K2500" i="1"/>
  <c r="K3167" i="1"/>
  <c r="K2881" i="1"/>
  <c r="K352" i="1"/>
  <c r="K59" i="1"/>
  <c r="K1325" i="1"/>
  <c r="K1192" i="1"/>
  <c r="K4127" i="1"/>
  <c r="K4315" i="1"/>
  <c r="K2226" i="1"/>
  <c r="K495" i="1"/>
  <c r="K3247" i="1"/>
  <c r="K1276" i="1"/>
  <c r="K2671" i="1"/>
  <c r="K4753" i="1"/>
  <c r="K871" i="1"/>
  <c r="K2242" i="1"/>
  <c r="K4600" i="1"/>
  <c r="K3385" i="1"/>
  <c r="K1170" i="1"/>
  <c r="K729" i="1"/>
  <c r="K2047" i="1"/>
  <c r="K2570" i="1"/>
  <c r="K2317" i="1"/>
  <c r="K3607" i="1"/>
  <c r="K1799" i="1"/>
  <c r="K4424" i="1"/>
  <c r="K4375" i="1"/>
  <c r="K2326" i="1"/>
  <c r="K4494" i="1"/>
  <c r="K1314" i="1"/>
  <c r="K1678" i="1"/>
  <c r="K3551" i="1"/>
  <c r="K4832" i="1"/>
  <c r="K3018" i="1"/>
  <c r="K4261" i="1"/>
  <c r="K1194" i="1"/>
  <c r="K3614" i="1"/>
  <c r="K28" i="1"/>
  <c r="K2627" i="1"/>
  <c r="K4394" i="1"/>
  <c r="K3831" i="1"/>
  <c r="K4653" i="1"/>
  <c r="K786" i="1"/>
  <c r="K2819" i="1"/>
  <c r="K2211" i="1"/>
  <c r="K2446" i="1"/>
  <c r="K2324" i="1"/>
  <c r="K4756" i="1"/>
  <c r="K2622" i="1"/>
  <c r="K4961" i="1"/>
  <c r="K4397" i="1"/>
  <c r="K3453" i="1"/>
  <c r="K926" i="1"/>
  <c r="K4843" i="1"/>
  <c r="K4844" i="1"/>
  <c r="K427" i="1"/>
  <c r="K4972" i="1"/>
  <c r="K214" i="1"/>
  <c r="K4238" i="1"/>
  <c r="K783" i="1"/>
  <c r="K4606" i="1"/>
  <c r="K1391" i="1"/>
  <c r="K585" i="1"/>
  <c r="K2059" i="1"/>
  <c r="K4160" i="1"/>
  <c r="K4889" i="1"/>
  <c r="K803" i="1"/>
  <c r="K4507" i="1"/>
  <c r="K386" i="1"/>
  <c r="K3085" i="1"/>
  <c r="K2643" i="1"/>
  <c r="K4594" i="1"/>
  <c r="K2455" i="1"/>
  <c r="K4874" i="1"/>
  <c r="K1066" i="1"/>
  <c r="K158" i="1"/>
  <c r="K1318" i="1"/>
  <c r="K4603" i="1"/>
  <c r="K2678" i="1"/>
  <c r="K4729" i="1"/>
  <c r="K4309" i="1"/>
  <c r="K596" i="1"/>
  <c r="K3307" i="1"/>
  <c r="K4497" i="1"/>
  <c r="K3789" i="1"/>
  <c r="K7" i="1"/>
  <c r="K3548" i="1"/>
  <c r="K1039" i="1"/>
  <c r="K173" i="1"/>
  <c r="K3834" i="1"/>
  <c r="K1312" i="1"/>
  <c r="K468" i="1"/>
  <c r="K3043" i="1"/>
  <c r="K678" i="1"/>
  <c r="K1946" i="1"/>
  <c r="K1806" i="1"/>
  <c r="K2136" i="1"/>
  <c r="K144" i="1"/>
  <c r="K1918" i="1"/>
  <c r="K155" i="1"/>
  <c r="K2514" i="1"/>
  <c r="K4604" i="1"/>
  <c r="K4256" i="1"/>
  <c r="K401" i="1"/>
  <c r="K2134" i="1"/>
  <c r="K542" i="1"/>
  <c r="K810" i="1"/>
  <c r="K3500" i="1"/>
  <c r="K3769" i="1"/>
  <c r="K971" i="1"/>
  <c r="K2368" i="1"/>
  <c r="K388" i="1"/>
  <c r="K2278" i="1"/>
  <c r="K2609" i="1"/>
  <c r="K2869" i="1"/>
  <c r="K4216" i="1"/>
  <c r="K4994" i="1"/>
  <c r="K4150" i="1"/>
  <c r="K4486" i="1"/>
  <c r="K705" i="1"/>
  <c r="K3200" i="1"/>
  <c r="K1692" i="1"/>
  <c r="K4976" i="1"/>
  <c r="K2395" i="1"/>
  <c r="K3320" i="1"/>
  <c r="K3162" i="1"/>
  <c r="K2728" i="1"/>
  <c r="K1613" i="1"/>
  <c r="K2679" i="1"/>
  <c r="K3287" i="1"/>
  <c r="K4745" i="1"/>
  <c r="K4658" i="1"/>
  <c r="K3378" i="1"/>
  <c r="K4727" i="1"/>
  <c r="K4075" i="1"/>
  <c r="K3641" i="1"/>
  <c r="K112" i="1"/>
  <c r="K4768" i="1"/>
  <c r="K3628" i="1"/>
  <c r="K288" i="1"/>
  <c r="K3124" i="1"/>
  <c r="K2655" i="1"/>
  <c r="K4953" i="1"/>
  <c r="K134" i="1"/>
  <c r="K3407" i="1"/>
  <c r="K2035" i="1"/>
  <c r="K3896" i="1"/>
  <c r="K3014" i="1"/>
  <c r="K3181" i="1"/>
  <c r="K2140" i="1"/>
  <c r="K1003" i="1"/>
  <c r="K618" i="1"/>
  <c r="K1711" i="1"/>
  <c r="K141" i="1"/>
  <c r="K1780" i="1"/>
  <c r="K41" i="1"/>
  <c r="K1289" i="1"/>
  <c r="K2491" i="1"/>
  <c r="K4668" i="1"/>
  <c r="K3950" i="1"/>
  <c r="K303" i="1"/>
  <c r="K854" i="1"/>
  <c r="K4959" i="1"/>
  <c r="K3151" i="1"/>
  <c r="K1157" i="1"/>
  <c r="K3137" i="1"/>
  <c r="K4454" i="1"/>
  <c r="K3475" i="1"/>
  <c r="K1380" i="1"/>
  <c r="K3680" i="1"/>
  <c r="K4390" i="1"/>
  <c r="K3268" i="1"/>
  <c r="K4646" i="1"/>
  <c r="K2058" i="1"/>
  <c r="K3410" i="1"/>
  <c r="K2565" i="1"/>
  <c r="K2794" i="1"/>
  <c r="K183" i="1"/>
  <c r="K2717" i="1"/>
  <c r="K439" i="1"/>
  <c r="K1768" i="1"/>
  <c r="K3579" i="1"/>
  <c r="K648" i="1"/>
  <c r="K2440" i="1"/>
  <c r="K1323" i="1"/>
  <c r="K2776" i="1"/>
  <c r="K3359" i="1"/>
  <c r="K2919" i="1"/>
  <c r="K928" i="1"/>
  <c r="K603" i="1"/>
  <c r="K2314" i="1"/>
  <c r="K2320" i="1"/>
  <c r="K4084" i="1"/>
  <c r="K1582" i="1"/>
  <c r="K1474" i="1"/>
  <c r="K4042" i="1"/>
  <c r="K900" i="1"/>
  <c r="K320" i="1"/>
  <c r="K681" i="1"/>
  <c r="K3884" i="1"/>
  <c r="K2139" i="1"/>
  <c r="K1343" i="1"/>
  <c r="K480" i="1"/>
  <c r="K3836" i="1"/>
  <c r="K4520" i="1"/>
  <c r="K417" i="1"/>
  <c r="K2315" i="1"/>
  <c r="K420" i="1"/>
  <c r="K25" i="1"/>
  <c r="K1695" i="1"/>
  <c r="K1606" i="1"/>
  <c r="K4713" i="1"/>
  <c r="K2271" i="1"/>
  <c r="K3556" i="1"/>
  <c r="K1270" i="1"/>
  <c r="K290" i="1"/>
  <c r="K3712" i="1"/>
  <c r="K1974" i="1"/>
  <c r="K1887" i="1"/>
  <c r="K1303" i="1"/>
  <c r="K3448" i="1"/>
  <c r="K3987" i="1"/>
  <c r="K1350" i="1"/>
  <c r="K3439" i="1"/>
  <c r="K3677" i="1"/>
  <c r="K2092" i="1"/>
  <c r="K1827" i="1"/>
  <c r="K4280" i="1"/>
  <c r="K3300" i="1"/>
  <c r="K4266" i="1"/>
  <c r="K4894" i="1"/>
  <c r="K1830" i="1"/>
  <c r="K1681" i="1"/>
  <c r="K625" i="1"/>
  <c r="K615" i="1"/>
  <c r="K2685" i="1"/>
  <c r="K2875" i="1"/>
  <c r="K1810" i="1"/>
  <c r="K4747" i="1"/>
  <c r="K438" i="1"/>
  <c r="K1686" i="1"/>
  <c r="K2592" i="1"/>
  <c r="K1535" i="1"/>
  <c r="K170" i="1"/>
  <c r="K2630" i="1"/>
  <c r="K2918" i="1"/>
  <c r="K4303" i="1"/>
  <c r="K3725" i="1"/>
  <c r="K182" i="1"/>
  <c r="K1397" i="1"/>
  <c r="K2499" i="1"/>
  <c r="K4148" i="1"/>
  <c r="K2877" i="1"/>
  <c r="K4771" i="1"/>
  <c r="K4934" i="1"/>
  <c r="K3770" i="1"/>
  <c r="K4839" i="1"/>
  <c r="K1097" i="1"/>
  <c r="K4849" i="1"/>
  <c r="K2912" i="1"/>
  <c r="K1773" i="1"/>
  <c r="K4475" i="1"/>
  <c r="K4055" i="1"/>
  <c r="K1985" i="1"/>
  <c r="K477" i="1"/>
  <c r="K4284" i="1"/>
  <c r="K4526" i="1"/>
  <c r="K4407" i="1"/>
  <c r="K2878" i="1"/>
  <c r="K1531" i="1"/>
  <c r="K2629" i="1"/>
  <c r="K2479" i="1"/>
  <c r="K4441" i="1"/>
  <c r="K1119" i="1"/>
  <c r="K2468" i="1"/>
  <c r="K3129" i="1"/>
  <c r="K4489" i="1"/>
  <c r="K2540" i="1"/>
  <c r="K2239" i="1"/>
  <c r="K365" i="1"/>
  <c r="K692" i="1"/>
  <c r="K3279" i="1"/>
  <c r="K4838" i="1"/>
  <c r="K3967" i="1"/>
  <c r="K738" i="1"/>
  <c r="K3720" i="1"/>
  <c r="K3189" i="1"/>
  <c r="K4993" i="1"/>
  <c r="K1805" i="1"/>
  <c r="K927" i="1"/>
  <c r="K3038" i="1"/>
  <c r="K4808" i="1"/>
  <c r="K426" i="1"/>
  <c r="K2924" i="1"/>
  <c r="K566" i="1"/>
  <c r="K2002" i="1"/>
  <c r="K1307" i="1"/>
  <c r="K1144" i="1"/>
  <c r="K4778" i="1"/>
  <c r="K4069" i="1"/>
  <c r="K2748" i="1"/>
  <c r="K2904" i="1"/>
  <c r="K2638" i="1"/>
  <c r="K587" i="1"/>
  <c r="K1515" i="1"/>
  <c r="K1868" i="1"/>
  <c r="K3462" i="1"/>
  <c r="K4328" i="1"/>
  <c r="K3494" i="1"/>
  <c r="K983" i="1"/>
  <c r="K70" i="1"/>
  <c r="K2667" i="1"/>
  <c r="K3510" i="1"/>
  <c r="K1995" i="1"/>
  <c r="K1670" i="1"/>
  <c r="K1923" i="1"/>
  <c r="K539" i="1"/>
  <c r="K1844" i="1"/>
  <c r="K4271" i="1"/>
  <c r="K2393" i="1"/>
  <c r="K156" i="1"/>
  <c r="K2418" i="1"/>
  <c r="K2030" i="1"/>
  <c r="K1736" i="1"/>
  <c r="K2190" i="1"/>
  <c r="K1775" i="1"/>
  <c r="K2164" i="1"/>
  <c r="K3544" i="1"/>
  <c r="K4618" i="1"/>
  <c r="K3387" i="1"/>
  <c r="K5001" i="1"/>
  <c r="K1832" i="1"/>
  <c r="K1710" i="1"/>
  <c r="K4641" i="1"/>
  <c r="K2411" i="1"/>
  <c r="K3449" i="1"/>
  <c r="K3358" i="1"/>
  <c r="K240" i="1"/>
  <c r="K2138" i="1"/>
  <c r="K54" i="1"/>
  <c r="K3765" i="1"/>
  <c r="K3611" i="1"/>
  <c r="K498" i="1"/>
  <c r="K4896" i="1"/>
  <c r="K1432" i="1"/>
  <c r="K459" i="1"/>
  <c r="K3140" i="1"/>
  <c r="K4870" i="1"/>
  <c r="K790" i="1"/>
  <c r="K2767" i="1"/>
  <c r="K2761" i="1"/>
  <c r="K3543" i="1"/>
  <c r="K4270" i="1"/>
  <c r="K4383" i="1"/>
  <c r="K91" i="1"/>
  <c r="K784" i="1"/>
  <c r="K1075" i="1"/>
  <c r="K583" i="1"/>
  <c r="K4337" i="1"/>
  <c r="K2862" i="1"/>
  <c r="K4414" i="1"/>
  <c r="K3750" i="1"/>
  <c r="K2365" i="1"/>
  <c r="K3126" i="1"/>
  <c r="K1400" i="1"/>
  <c r="K4076" i="1"/>
  <c r="K221" i="1"/>
  <c r="K1584" i="1"/>
  <c r="K1987" i="1"/>
  <c r="K1387" i="1"/>
  <c r="K1687" i="1"/>
  <c r="K3534" i="1"/>
  <c r="K4573" i="1"/>
  <c r="K2399" i="1"/>
  <c r="K3422" i="1"/>
  <c r="K1117" i="1"/>
  <c r="K4143" i="1"/>
  <c r="K1536" i="1"/>
  <c r="K3153" i="1"/>
  <c r="K4884" i="1"/>
  <c r="K39" i="1"/>
  <c r="K3898" i="1"/>
  <c r="K3857" i="1"/>
  <c r="K893" i="1"/>
  <c r="K4633" i="1"/>
  <c r="K3795" i="1"/>
  <c r="K3169" i="1"/>
  <c r="K2265" i="1"/>
  <c r="K2621" i="1"/>
  <c r="K11" i="1"/>
  <c r="K1915" i="1"/>
  <c r="K1293" i="1"/>
  <c r="K3837" i="1"/>
  <c r="K2321" i="1"/>
  <c r="K2943" i="1"/>
  <c r="K4878" i="1"/>
  <c r="K4900" i="1"/>
  <c r="K4373" i="1"/>
  <c r="K3554" i="1"/>
  <c r="K3242" i="1"/>
  <c r="K3069" i="1"/>
  <c r="K1604" i="1"/>
  <c r="K2564" i="1"/>
  <c r="K1279" i="1"/>
  <c r="K55" i="1"/>
  <c r="K3493" i="1"/>
  <c r="K1078" i="1"/>
  <c r="K2665" i="1"/>
  <c r="K2670" i="1"/>
  <c r="K4091" i="1"/>
  <c r="K4010" i="1"/>
  <c r="K382" i="1"/>
  <c r="K3571" i="1"/>
  <c r="K2163" i="1"/>
  <c r="K2236" i="1"/>
  <c r="K3807" i="1"/>
  <c r="K2201" i="1"/>
  <c r="K2808" i="1"/>
  <c r="K787" i="1"/>
  <c r="K4013" i="1"/>
  <c r="K1112" i="1"/>
  <c r="K3214" i="1"/>
  <c r="K3907" i="1"/>
  <c r="K2995" i="1"/>
  <c r="K4605" i="1"/>
  <c r="K4002" i="1"/>
  <c r="K2272" i="1"/>
  <c r="K1683" i="1"/>
  <c r="K4951" i="1"/>
  <c r="K4322" i="1"/>
  <c r="K442" i="1"/>
  <c r="K2946" i="1"/>
  <c r="K1939" i="1"/>
  <c r="K161" i="1"/>
  <c r="K1100" i="1"/>
  <c r="K3629" i="1"/>
  <c r="K1847" i="1"/>
  <c r="K728" i="1"/>
  <c r="K3771" i="1"/>
  <c r="K3116" i="1"/>
  <c r="K4902" i="1"/>
  <c r="K697" i="1"/>
  <c r="K4563" i="1"/>
  <c r="K2286" i="1"/>
  <c r="K2428" i="1"/>
  <c r="K270" i="1"/>
  <c r="K3362" i="1"/>
  <c r="K2508" i="1"/>
  <c r="K4990" i="1"/>
  <c r="K4569" i="1"/>
  <c r="K57" i="1"/>
  <c r="K2917" i="1"/>
  <c r="K3095" i="1"/>
  <c r="K3599" i="1"/>
  <c r="K2361" i="1"/>
  <c r="K4568" i="1"/>
  <c r="K102" i="1"/>
  <c r="K4938" i="1"/>
  <c r="K3303" i="1"/>
  <c r="K1472" i="1"/>
  <c r="K3790" i="1"/>
  <c r="K1837" i="1"/>
  <c r="K4630" i="1"/>
  <c r="K1864" i="1"/>
  <c r="K576" i="1"/>
  <c r="K1924" i="1"/>
  <c r="K1744" i="1"/>
  <c r="K3425" i="1"/>
  <c r="K4041" i="1"/>
  <c r="K1299" i="1"/>
  <c r="K1649" i="1"/>
  <c r="K4907" i="1"/>
  <c r="K108" i="1"/>
  <c r="K1436" i="1"/>
  <c r="K4295" i="1"/>
  <c r="K4361" i="1"/>
  <c r="K2953" i="1"/>
  <c r="K2113" i="1"/>
  <c r="K251" i="1"/>
  <c r="K1950" i="1"/>
  <c r="K3285" i="1"/>
  <c r="K4154" i="1"/>
  <c r="K1785" i="1"/>
  <c r="K4591" i="1"/>
  <c r="K3799" i="1"/>
  <c r="K1523" i="1"/>
  <c r="K372" i="1"/>
  <c r="K1142" i="1"/>
  <c r="K3301" i="1"/>
  <c r="K3304" i="1"/>
  <c r="K3317" i="1"/>
  <c r="K1765" i="1"/>
  <c r="K2951" i="1"/>
  <c r="K4487" i="1"/>
  <c r="K2980" i="1"/>
  <c r="K3939" i="1"/>
  <c r="K3744" i="1"/>
  <c r="K4800" i="1"/>
  <c r="K2389" i="1"/>
  <c r="K2080" i="1"/>
  <c r="K826" i="1"/>
  <c r="K4465" i="1"/>
  <c r="K4482" i="1"/>
  <c r="K3977" i="1"/>
  <c r="K1122" i="1"/>
  <c r="K4122" i="1"/>
  <c r="K671" i="1"/>
  <c r="K3016" i="1"/>
  <c r="K4012" i="1"/>
  <c r="K1956" i="1"/>
  <c r="K2960" i="1"/>
  <c r="K1224" i="1"/>
  <c r="K3578" i="1"/>
  <c r="K3350" i="1"/>
  <c r="K1529" i="1"/>
  <c r="K1858" i="1"/>
  <c r="K4897" i="1"/>
  <c r="K38" i="1"/>
  <c r="K3843" i="1"/>
  <c r="K4748" i="1"/>
  <c r="K179" i="1"/>
  <c r="K2929" i="1"/>
  <c r="K256" i="1"/>
  <c r="K4035" i="1"/>
  <c r="K599" i="1"/>
  <c r="K3752" i="1"/>
  <c r="K488" i="1"/>
  <c r="K2538" i="1"/>
  <c r="K1642" i="1"/>
  <c r="K3908" i="1"/>
  <c r="K4709" i="1"/>
  <c r="K2879" i="1"/>
  <c r="K1596" i="1"/>
  <c r="K4030" i="1"/>
  <c r="K2379" i="1"/>
  <c r="K4036" i="1"/>
  <c r="K485" i="1"/>
  <c r="K398" i="1"/>
  <c r="K3343" i="1"/>
  <c r="K2442" i="1"/>
  <c r="K4396" i="1"/>
  <c r="K3295" i="1"/>
  <c r="K1722" i="1"/>
  <c r="K326" i="1"/>
  <c r="K4543" i="1"/>
  <c r="K2937" i="1"/>
  <c r="K3159" i="1"/>
  <c r="K3849" i="1"/>
  <c r="K2800" i="1"/>
  <c r="K3272" i="1"/>
  <c r="K3147" i="1"/>
  <c r="K1342" i="1"/>
  <c r="K2424" i="1"/>
  <c r="K1888" i="1"/>
  <c r="K2166" i="1"/>
  <c r="K21" i="1"/>
  <c r="K1990" i="1"/>
  <c r="K1126" i="1"/>
  <c r="K2588" i="1"/>
  <c r="K2022" i="1"/>
  <c r="K1783" i="1"/>
  <c r="K2357" i="1"/>
  <c r="K2433" i="1"/>
  <c r="K3335" i="1"/>
  <c r="K130" i="1"/>
  <c r="K652" i="1"/>
  <c r="K4991" i="1"/>
  <c r="K505" i="1"/>
  <c r="K3103" i="1"/>
  <c r="K2344" i="1"/>
  <c r="K337" i="1"/>
  <c r="K140" i="1"/>
  <c r="K1574" i="1"/>
  <c r="K1146" i="1"/>
  <c r="K525" i="1"/>
  <c r="K2152" i="1"/>
  <c r="K2079" i="1"/>
  <c r="K4321" i="1"/>
  <c r="K444" i="1"/>
  <c r="K4770" i="1"/>
  <c r="K2208" i="1"/>
  <c r="K1834" i="1"/>
  <c r="K4895" i="1"/>
  <c r="K2900" i="1"/>
  <c r="K4876" i="1"/>
  <c r="K4766" i="1"/>
  <c r="K4705" i="1"/>
  <c r="K3705" i="1"/>
  <c r="K1904" i="1"/>
  <c r="K649" i="1"/>
  <c r="K4485" i="1"/>
  <c r="K558" i="1"/>
  <c r="K4175" i="1"/>
  <c r="K194" i="1"/>
  <c r="K4053" i="1"/>
  <c r="K580" i="1"/>
  <c r="K3182" i="1"/>
  <c r="K1169" i="1"/>
  <c r="K3900" i="1"/>
  <c r="K611" i="1"/>
  <c r="K3125" i="1"/>
  <c r="K3817" i="1"/>
  <c r="K1441" i="1"/>
  <c r="K4308" i="1"/>
  <c r="K1792" i="1"/>
  <c r="K2922" i="1"/>
  <c r="K3931" i="1"/>
  <c r="K1982" i="1"/>
  <c r="K1598" i="1"/>
  <c r="K494" i="1"/>
  <c r="K2599" i="1"/>
  <c r="K215" i="1"/>
  <c r="K778" i="1"/>
  <c r="K136" i="1"/>
  <c r="K679" i="1"/>
  <c r="K4097" i="1"/>
  <c r="K2997" i="1"/>
  <c r="K2941" i="1"/>
  <c r="K955" i="1"/>
  <c r="K3397" i="1"/>
  <c r="K2179" i="1"/>
  <c r="K4165" i="1"/>
  <c r="K857" i="1"/>
  <c r="K2913" i="1"/>
  <c r="K1336" i="1"/>
  <c r="K3640" i="1"/>
  <c r="K1638" i="1"/>
  <c r="K3348" i="1"/>
  <c r="K4678" i="1"/>
  <c r="K2830" i="1"/>
  <c r="K4129" i="1"/>
  <c r="K3666" i="1"/>
  <c r="K4663" i="1"/>
  <c r="K2543" i="1"/>
  <c r="K2628" i="1"/>
  <c r="K3291" i="1"/>
  <c r="K2009" i="1"/>
  <c r="K4105" i="1"/>
  <c r="K2175" i="1"/>
  <c r="K3707" i="1"/>
  <c r="K702" i="1"/>
  <c r="K3604" i="1"/>
  <c r="K2752" i="1"/>
  <c r="K1478" i="1"/>
  <c r="K1630" i="1"/>
  <c r="K3501" i="1"/>
  <c r="K1067" i="1"/>
  <c r="K4736" i="1"/>
  <c r="K800" i="1"/>
  <c r="K4538" i="1"/>
  <c r="K1344" i="1"/>
  <c r="K3446" i="1"/>
  <c r="K2255" i="1"/>
  <c r="K2270" i="1"/>
  <c r="K737" i="1"/>
  <c r="K243" i="1"/>
  <c r="K3730" i="1"/>
  <c r="K1133" i="1"/>
  <c r="K3041" i="1"/>
  <c r="K2489" i="1"/>
  <c r="K4006" i="1"/>
  <c r="K4078" i="1"/>
  <c r="K1089" i="1"/>
  <c r="K3946" i="1"/>
  <c r="K1945" i="1"/>
  <c r="K561" i="1"/>
  <c r="K1183" i="1"/>
  <c r="K4063" i="1"/>
  <c r="K1499" i="1"/>
  <c r="K2563" i="1"/>
  <c r="K2657" i="1"/>
  <c r="K996" i="1"/>
  <c r="K4428" i="1"/>
  <c r="K2704" i="1"/>
  <c r="K3923" i="1"/>
  <c r="K740" i="1"/>
  <c r="K1229" i="1"/>
  <c r="K3782" i="1"/>
  <c r="K552" i="1"/>
  <c r="K2017" i="1"/>
  <c r="K3163" i="1"/>
  <c r="K3625" i="1"/>
  <c r="K4275" i="1"/>
  <c r="K2283" i="1"/>
  <c r="K1862" i="1"/>
  <c r="K832" i="1"/>
  <c r="K1262" i="1"/>
  <c r="K598" i="1"/>
  <c r="K1430" i="1"/>
  <c r="K4218" i="1"/>
  <c r="K4915" i="1"/>
  <c r="K3897" i="1"/>
  <c r="K847" i="1"/>
  <c r="K4387" i="1"/>
  <c r="K4335" i="1"/>
  <c r="K2984" i="1"/>
  <c r="K4312" i="1"/>
  <c r="K1782" i="1"/>
  <c r="K2427" i="1"/>
  <c r="K1880" i="1"/>
  <c r="K2502" i="1"/>
  <c r="K1729" i="1"/>
  <c r="K643" i="1"/>
  <c r="K4916" i="1"/>
  <c r="K4623" i="1"/>
  <c r="K481" i="1"/>
  <c r="K1294" i="1"/>
  <c r="K1164" i="1"/>
  <c r="K2528" i="1"/>
  <c r="K3847" i="1"/>
  <c r="K3465" i="1"/>
  <c r="K3308" i="1"/>
  <c r="K4052" i="1"/>
  <c r="K2925" i="1"/>
  <c r="K4310" i="1"/>
  <c r="K3172" i="1"/>
  <c r="K9" i="1"/>
  <c r="K2050" i="1"/>
  <c r="K2854" i="1"/>
  <c r="K4399" i="1"/>
  <c r="K3281" i="1"/>
  <c r="K1425" i="1"/>
  <c r="K4019" i="1"/>
  <c r="K3489" i="1"/>
  <c r="K3648" i="1"/>
  <c r="K4882" i="1"/>
  <c r="K237" i="1"/>
  <c r="K3685" i="1"/>
  <c r="K2014" i="1"/>
  <c r="K3196" i="1"/>
  <c r="K582" i="1"/>
  <c r="K3365" i="1"/>
  <c r="K3476" i="1"/>
  <c r="K4180" i="1"/>
  <c r="K3893" i="1"/>
  <c r="K3933" i="1"/>
  <c r="K1195" i="1"/>
  <c r="K3146" i="1"/>
  <c r="K3036" i="1"/>
  <c r="K347" i="1"/>
  <c r="K3142" i="1"/>
  <c r="K226" i="1"/>
  <c r="K982" i="1"/>
  <c r="K3400" i="1"/>
  <c r="K2153" i="1"/>
  <c r="K858" i="1"/>
  <c r="K814" i="1"/>
  <c r="K3644" i="1"/>
  <c r="K2684" i="1"/>
  <c r="K3917" i="1"/>
  <c r="K2766" i="1"/>
  <c r="K482" i="1"/>
  <c r="K1788" i="1"/>
  <c r="K3796" i="1"/>
  <c r="K2793" i="1"/>
  <c r="K805" i="1"/>
  <c r="K2653" i="1"/>
  <c r="K2660" i="1"/>
  <c r="K3715" i="1"/>
  <c r="K4211" i="1"/>
  <c r="K2292" i="1"/>
  <c r="K3243" i="1"/>
  <c r="K4440" i="1"/>
  <c r="K590" i="1"/>
  <c r="K3064" i="1"/>
  <c r="K4899" i="1"/>
  <c r="K1448" i="1"/>
  <c r="K1539" i="1"/>
  <c r="K2754" i="1"/>
  <c r="K2606" i="1"/>
  <c r="K560" i="1"/>
  <c r="K1882" i="1"/>
  <c r="K1009" i="1"/>
  <c r="K1217" i="1"/>
  <c r="K1610" i="1"/>
  <c r="K4173" i="1"/>
  <c r="K1258" i="1"/>
  <c r="K880" i="1"/>
  <c r="K4761" i="1"/>
  <c r="K3662" i="1"/>
  <c r="K431" i="1"/>
  <c r="K1182" i="1"/>
  <c r="K1329" i="1"/>
  <c r="K4670" i="1"/>
  <c r="K4650" i="1"/>
  <c r="K2258" i="1"/>
  <c r="K2783" i="1"/>
  <c r="K3519" i="1"/>
  <c r="K1897" i="1"/>
  <c r="K1311" i="1"/>
  <c r="K2073" i="1"/>
  <c r="K1896" i="1"/>
  <c r="K2293" i="1"/>
  <c r="K3488" i="1"/>
  <c r="K1308" i="1"/>
  <c r="K4149" i="1"/>
  <c r="K2122" i="1"/>
  <c r="K4032" i="1"/>
  <c r="K1679" i="1"/>
  <c r="K905" i="1"/>
  <c r="K1339" i="1"/>
  <c r="K3508" i="1"/>
  <c r="K1993" i="1"/>
  <c r="K3040" i="1"/>
  <c r="K4354" i="1"/>
  <c r="K2625" i="1"/>
  <c r="K2619" i="1"/>
  <c r="K4241" i="1"/>
  <c r="K280" i="1"/>
  <c r="K4978" i="1"/>
  <c r="K93" i="1"/>
  <c r="K3157" i="1"/>
  <c r="K3768" i="1"/>
  <c r="K3953" i="1"/>
  <c r="K4379" i="1"/>
  <c r="K3958" i="1"/>
  <c r="K3115" i="1"/>
  <c r="K3854" i="1"/>
  <c r="K4964" i="1"/>
  <c r="K1068" i="1"/>
  <c r="K26" i="1"/>
  <c r="K531" i="1"/>
  <c r="K323" i="1"/>
  <c r="K846" i="1"/>
  <c r="K1356" i="1"/>
  <c r="K2129" i="1"/>
  <c r="K1971" i="1"/>
  <c r="K3017" i="1"/>
  <c r="K111" i="1"/>
  <c r="K3008" i="1"/>
  <c r="K1594" i="1"/>
  <c r="K872" i="1"/>
  <c r="K4065" i="1"/>
  <c r="K4567" i="1"/>
  <c r="K1658" i="1"/>
  <c r="K1371" i="1"/>
  <c r="K4121" i="1"/>
  <c r="K4515" i="1"/>
  <c r="K1246" i="1"/>
  <c r="K3386" i="1"/>
  <c r="K4450" i="1"/>
  <c r="K3187" i="1"/>
  <c r="K4973" i="1"/>
  <c r="K3983" i="1"/>
  <c r="K2593" i="1"/>
  <c r="K2107" i="1"/>
  <c r="K2518" i="1"/>
  <c r="K1949" i="1"/>
  <c r="K186" i="1"/>
  <c r="K1779" i="1"/>
  <c r="K3527" i="1"/>
  <c r="K2578" i="1"/>
  <c r="K722" i="1"/>
  <c r="K1176" i="1"/>
  <c r="K3053" i="1"/>
  <c r="K1283" i="1"/>
  <c r="K3627" i="1"/>
  <c r="K743" i="1"/>
  <c r="K719" i="1"/>
  <c r="K4113" i="1"/>
  <c r="K3645" i="1"/>
  <c r="K1553" i="1"/>
  <c r="K630" i="1"/>
  <c r="K4083" i="1"/>
  <c r="K429" i="1"/>
  <c r="K714" i="1"/>
  <c r="K4638" i="1"/>
  <c r="K3507" i="1"/>
  <c r="K1859" i="1"/>
  <c r="K2262" i="1"/>
  <c r="K2187" i="1"/>
  <c r="K993" i="1"/>
  <c r="K1256" i="1"/>
  <c r="K88" i="1"/>
  <c r="K4962" i="1"/>
  <c r="K2690" i="1"/>
  <c r="K4119" i="1"/>
  <c r="K4939" i="1"/>
  <c r="K3426" i="1"/>
  <c r="K4804" i="1"/>
  <c r="K1475" i="1"/>
  <c r="K3676" i="1"/>
  <c r="K3531" i="1"/>
  <c r="K1685" i="1"/>
  <c r="K2006" i="1"/>
  <c r="K1777" i="1"/>
  <c r="K3212" i="1"/>
  <c r="K924" i="1"/>
  <c r="K2029" i="1"/>
  <c r="K1537" i="1"/>
  <c r="K435" i="1"/>
  <c r="K2015" i="1"/>
  <c r="K2810" i="1"/>
  <c r="K4963" i="1"/>
  <c r="K3394" i="1"/>
  <c r="K3937" i="1"/>
  <c r="K979" i="1"/>
  <c r="K1850" i="1"/>
  <c r="K3608" i="1"/>
  <c r="K817" i="1"/>
  <c r="K2170" i="1"/>
  <c r="K2477" i="1"/>
  <c r="K1203" i="1"/>
  <c r="K3132" i="1"/>
  <c r="K4039" i="1"/>
  <c r="K4468" i="1"/>
  <c r="K3745" i="1"/>
  <c r="K4066" i="1"/>
  <c r="K2970" i="1"/>
  <c r="K1138" i="1"/>
  <c r="K1385" i="1"/>
  <c r="K563" i="1"/>
  <c r="K1759" i="1"/>
  <c r="K4289" i="1"/>
  <c r="K3964" i="1"/>
  <c r="K2979" i="1"/>
  <c r="K1327" i="1"/>
  <c r="K777" i="1"/>
  <c r="K662" i="1"/>
  <c r="K86" i="1"/>
  <c r="K1000" i="1"/>
  <c r="K2668" i="1"/>
  <c r="K377" i="1"/>
  <c r="K65" i="1"/>
  <c r="K3101" i="1"/>
  <c r="K4558" i="1"/>
  <c r="K1273" i="1"/>
  <c r="K4759" i="1"/>
  <c r="K1497" i="1"/>
  <c r="K676" i="1"/>
  <c r="K2023" i="1"/>
  <c r="K385" i="1"/>
  <c r="K2885" i="1"/>
  <c r="K1080" i="1"/>
  <c r="K2264" i="1"/>
  <c r="K700" i="1"/>
  <c r="K2723" i="1"/>
  <c r="K4562" i="1"/>
  <c r="K4128" i="1"/>
  <c r="K3621" i="1"/>
  <c r="K1928" i="1"/>
  <c r="K3012" i="1"/>
  <c r="K2713" i="1"/>
  <c r="K4519" i="1"/>
  <c r="K3310" i="1"/>
  <c r="K4865" i="1"/>
  <c r="K3593" i="1"/>
  <c r="K2583" i="1"/>
  <c r="K1933" i="1"/>
  <c r="K551" i="1"/>
  <c r="K4719" i="1"/>
  <c r="K3654" i="1"/>
  <c r="K2554" i="1"/>
  <c r="K3128" i="1"/>
  <c r="K384" i="1"/>
  <c r="K3553" i="1"/>
  <c r="K2300" i="1"/>
  <c r="K3634" i="1"/>
  <c r="K2288" i="1"/>
  <c r="K2480" i="1"/>
  <c r="K4866" i="1"/>
  <c r="K1813" i="1"/>
  <c r="K202" i="1"/>
  <c r="K3473" i="1"/>
  <c r="K451" i="1"/>
  <c r="K540" i="1"/>
  <c r="K1820" i="1"/>
  <c r="K3331" i="1"/>
  <c r="K3936" i="1"/>
  <c r="K4348" i="1"/>
  <c r="K3090" i="1"/>
  <c r="K865" i="1"/>
  <c r="K1941" i="1"/>
  <c r="K2210" i="1"/>
  <c r="K125" i="1"/>
  <c r="K3384" i="1"/>
  <c r="K4611" i="1"/>
  <c r="K2464" i="1"/>
  <c r="K2631" i="1"/>
  <c r="K2512" i="1"/>
  <c r="K3042" i="1"/>
  <c r="K3941" i="1"/>
  <c r="K2795" i="1"/>
  <c r="K1547" i="1"/>
  <c r="K3618" i="1"/>
  <c r="K4757" i="1"/>
  <c r="K2275" i="1"/>
  <c r="K841" i="1"/>
  <c r="K959" i="1"/>
  <c r="K2891" i="1"/>
  <c r="K3545" i="1"/>
  <c r="K2833" i="1"/>
  <c r="K3088" i="1"/>
  <c r="K980" i="1"/>
  <c r="K4413" i="1"/>
  <c r="K3889" i="1"/>
  <c r="K3314" i="1"/>
  <c r="K804" i="1"/>
  <c r="K1407" i="1"/>
  <c r="K2596" i="1"/>
  <c r="K2645" i="1"/>
  <c r="K2301" i="1"/>
  <c r="K3315" i="1"/>
  <c r="K4300" i="1"/>
  <c r="K2333" i="1"/>
  <c r="K1459" i="1"/>
  <c r="K2719" i="1"/>
  <c r="K3107" i="1"/>
  <c r="K2734" i="1"/>
  <c r="K3061" i="1"/>
  <c r="K470" i="1"/>
  <c r="K1538" i="1"/>
  <c r="K1178" i="1"/>
  <c r="K4061" i="1"/>
  <c r="K3046" i="1"/>
  <c r="K3678" i="1"/>
  <c r="K135" i="1"/>
  <c r="K592" i="1"/>
  <c r="K2595" i="1"/>
  <c r="K3583" i="1"/>
  <c r="K3458" i="1"/>
  <c r="K965" i="1"/>
  <c r="K1980" i="1"/>
  <c r="K1205" i="1"/>
  <c r="K2055" i="1"/>
  <c r="K4326" i="1"/>
  <c r="K109" i="1"/>
  <c r="K1794" i="1"/>
  <c r="K371" i="1"/>
  <c r="K4422" i="1"/>
  <c r="K123" i="1"/>
  <c r="K4153" i="1"/>
  <c r="K73" i="1"/>
  <c r="K2319" i="1"/>
  <c r="K3567" i="1"/>
  <c r="K4242" i="1"/>
  <c r="K2805" i="1"/>
  <c r="K4598" i="1"/>
  <c r="K287" i="1"/>
  <c r="K2736" i="1"/>
  <c r="K1881" i="1"/>
  <c r="K4904" i="1"/>
  <c r="K3961" i="1"/>
  <c r="K3333" i="1"/>
  <c r="K2520" i="1"/>
  <c r="K819" i="1"/>
  <c r="K193" i="1"/>
  <c r="K3966" i="1"/>
  <c r="K4704" i="1"/>
  <c r="K703" i="1"/>
  <c r="K667" i="1"/>
  <c r="K2325" i="1"/>
  <c r="K1718" i="1"/>
  <c r="K1885" i="1"/>
  <c r="K3740" i="1"/>
  <c r="K2589" i="1"/>
  <c r="K660" i="1"/>
  <c r="K2726" i="1"/>
  <c r="K1219" i="1"/>
  <c r="K3253" i="1"/>
  <c r="K2196" i="1"/>
  <c r="K200" i="1"/>
  <c r="K4596" i="1"/>
  <c r="K1015" i="1"/>
  <c r="K1018" i="1"/>
  <c r="K3785" i="1"/>
  <c r="K4068" i="1"/>
  <c r="K4027" i="1"/>
  <c r="K695" i="1"/>
  <c r="K1424" i="1"/>
  <c r="K1863" i="1"/>
  <c r="K4181" i="1"/>
  <c r="K2517" i="1"/>
  <c r="K4352" i="1"/>
  <c r="K1972" i="1"/>
  <c r="K3749" i="1"/>
  <c r="K408" i="1"/>
  <c r="K3238" i="1"/>
  <c r="K4652" i="1"/>
  <c r="K2213" i="1"/>
  <c r="K4574" i="1"/>
  <c r="K2376" i="1"/>
  <c r="K3111" i="1"/>
  <c r="K2923" i="1"/>
  <c r="K3919" i="1"/>
  <c r="K3357" i="1"/>
  <c r="K3288" i="1"/>
  <c r="K4250" i="1"/>
  <c r="K4871" i="1"/>
  <c r="K187" i="1"/>
  <c r="K2261" i="1"/>
  <c r="K3097" i="1"/>
  <c r="K2760" i="1"/>
  <c r="K4146" i="1"/>
  <c r="K1410" i="1"/>
  <c r="K1076" i="1"/>
  <c r="K3470" i="1"/>
  <c r="K2792" i="1"/>
  <c r="K3180" i="1"/>
  <c r="K407" i="1"/>
  <c r="K512" i="1"/>
  <c r="K1085" i="1"/>
  <c r="K726" i="1"/>
  <c r="K87" i="1"/>
  <c r="K1486" i="1"/>
  <c r="K2045" i="1"/>
  <c r="K83" i="1"/>
  <c r="K374" i="1"/>
  <c r="K1618" i="1"/>
  <c r="K776" i="1"/>
  <c r="K121" i="1"/>
  <c r="K4217" i="1"/>
  <c r="K4109" i="1"/>
  <c r="K2762" i="1"/>
  <c r="K1500" i="1"/>
  <c r="K1491" i="1"/>
  <c r="K1522" i="1"/>
  <c r="K1414" i="1"/>
  <c r="K1211" i="1"/>
  <c r="K310" i="1"/>
  <c r="K1065" i="1"/>
  <c r="K4009" i="1"/>
  <c r="K3416" i="1"/>
  <c r="K3383" i="1"/>
  <c r="K2956" i="1"/>
  <c r="K4740" i="1"/>
  <c r="K289" i="1"/>
  <c r="K3424" i="1"/>
  <c r="K3753" i="1"/>
  <c r="K1431" i="1"/>
  <c r="K213" i="1"/>
  <c r="K4117" i="1"/>
  <c r="K2306" i="1"/>
  <c r="K1495" i="1"/>
  <c r="K3469" i="1"/>
  <c r="K419" i="1"/>
  <c r="K3020" i="1"/>
  <c r="K171" i="1"/>
  <c r="K3089" i="1"/>
  <c r="K770" i="1"/>
  <c r="K1999" i="1"/>
  <c r="K2829" i="1"/>
  <c r="K4656" i="1"/>
  <c r="K1787" i="1"/>
  <c r="K3092" i="1"/>
  <c r="K3404" i="1"/>
  <c r="K5007" i="1"/>
  <c r="K1032" i="1"/>
  <c r="K3457" i="1"/>
  <c r="K3692" i="1"/>
  <c r="K4386" i="1"/>
  <c r="K1261" i="1"/>
  <c r="K3653" i="1"/>
  <c r="K2613" i="1"/>
  <c r="K317" i="1"/>
  <c r="K2349" i="1"/>
  <c r="K71" i="1"/>
  <c r="K3874" i="1"/>
  <c r="K3808" i="1"/>
  <c r="K873" i="1"/>
  <c r="K3056" i="1"/>
  <c r="K2735" i="1"/>
  <c r="K1771" i="1"/>
  <c r="K4681" i="1"/>
  <c r="K4269" i="1"/>
  <c r="K3610" i="1"/>
  <c r="K3005" i="1"/>
  <c r="K159" i="1"/>
  <c r="K2744" i="1"/>
  <c r="K3311" i="1"/>
  <c r="K3733" i="1"/>
  <c r="K1958" i="1"/>
  <c r="K3622" i="1"/>
  <c r="K3267" i="1"/>
  <c r="K1716" i="1"/>
  <c r="K1451" i="1"/>
  <c r="K2257" i="1"/>
  <c r="K1005" i="1"/>
  <c r="K1337" i="1"/>
  <c r="K829" i="1"/>
  <c r="K3254" i="1"/>
  <c r="K4080" i="1"/>
  <c r="K3201" i="1"/>
  <c r="K178" i="1"/>
  <c r="K264" i="1"/>
  <c r="K1084" i="1"/>
  <c r="K2658" i="1"/>
  <c r="K1898" i="1"/>
  <c r="K1504" i="1"/>
  <c r="K2131" i="1"/>
  <c r="K3186" i="1"/>
  <c r="K3746" i="1"/>
  <c r="K733" i="1"/>
  <c r="K1088" i="1"/>
  <c r="K224" i="1"/>
  <c r="K1104" i="1"/>
  <c r="K3876" i="1"/>
  <c r="K181" i="1"/>
  <c r="K3213" i="1"/>
  <c r="K4443" i="1"/>
  <c r="K4108" i="1"/>
  <c r="K3905" i="1"/>
  <c r="K523" i="1"/>
  <c r="K4822" i="1"/>
  <c r="K3149" i="1"/>
  <c r="K1143" i="1"/>
  <c r="K460" i="1"/>
  <c r="K361" i="1"/>
  <c r="K3838" i="1"/>
  <c r="K2445" i="1"/>
  <c r="K2786" i="1"/>
  <c r="K2974" i="1"/>
  <c r="K4178" i="1"/>
  <c r="K4204" i="1"/>
  <c r="K2162" i="1"/>
  <c r="K2470" i="1"/>
  <c r="K1871" i="1"/>
  <c r="K2688" i="1"/>
  <c r="K295" i="1"/>
  <c r="K887" i="1"/>
  <c r="K3313" i="1"/>
  <c r="K3093" i="1"/>
  <c r="K103" i="1"/>
  <c r="K4920" i="1"/>
  <c r="K4355" i="1"/>
  <c r="K1833" i="1"/>
  <c r="K1724" i="1"/>
  <c r="K1908" i="1"/>
  <c r="K4008" i="1"/>
  <c r="K1976" i="1"/>
  <c r="K4863" i="1"/>
  <c r="K644" i="1"/>
  <c r="K750" i="1"/>
  <c r="K801" i="1"/>
  <c r="K302" i="1"/>
  <c r="K2771" i="1"/>
  <c r="K1586" i="1"/>
  <c r="K1879" i="1"/>
  <c r="K548" i="1"/>
  <c r="K2906" i="1"/>
  <c r="K3872" i="1"/>
  <c r="K3148" i="1"/>
  <c r="K4999" i="1"/>
  <c r="K1201" i="1"/>
  <c r="K3525" i="1"/>
  <c r="K2551" i="1"/>
  <c r="K2366" i="1"/>
  <c r="K2373" i="1"/>
  <c r="K4120" i="1"/>
  <c r="K2515" i="1"/>
  <c r="K2398" i="1"/>
  <c r="K606" i="1"/>
  <c r="K4162" i="1"/>
  <c r="K395" i="1"/>
  <c r="K2675" i="1"/>
  <c r="K986" i="1"/>
  <c r="K3948" i="1"/>
  <c r="K549" i="1"/>
  <c r="K1444" i="1"/>
  <c r="K3054" i="1"/>
  <c r="K413" i="1"/>
  <c r="K3949" i="1"/>
  <c r="K1573" i="1"/>
  <c r="K4648" i="1"/>
  <c r="K4190" i="1"/>
  <c r="K956" i="1"/>
  <c r="K67" i="1"/>
  <c r="K1979" i="1"/>
  <c r="K3714" i="1"/>
  <c r="K3240" i="1"/>
  <c r="K1399" i="1"/>
  <c r="K3033" i="1"/>
  <c r="K138" i="1"/>
  <c r="K827" i="1"/>
  <c r="K2773" i="1"/>
  <c r="K3711" i="1"/>
  <c r="K1943" i="1"/>
  <c r="K1139" i="1"/>
  <c r="K1534" i="1"/>
  <c r="K1737" i="1"/>
  <c r="K4299" i="1"/>
  <c r="K2311" i="1"/>
  <c r="K4584" i="1"/>
  <c r="K2069" i="1"/>
  <c r="K2199" i="1"/>
  <c r="K920" i="1"/>
  <c r="K1035" i="1"/>
  <c r="K343" i="1"/>
  <c r="K1615" i="1"/>
  <c r="K1253" i="1"/>
  <c r="K4925" i="1"/>
  <c r="K3119" i="1"/>
  <c r="K3276" i="1"/>
  <c r="K1291" i="1"/>
  <c r="K4192" i="1"/>
  <c r="K808" i="1"/>
  <c r="K1394" i="1"/>
  <c r="K192" i="1"/>
  <c r="K3197" i="1"/>
  <c r="K2323" i="1"/>
  <c r="K3853" i="1"/>
  <c r="K2716" i="1"/>
  <c r="K3472" i="1"/>
  <c r="K3546" i="1"/>
  <c r="K502" i="1"/>
  <c r="K4439" i="1"/>
  <c r="K149" i="1"/>
  <c r="K315" i="1"/>
  <c r="K4402" i="1"/>
  <c r="K1435" i="1"/>
  <c r="K2908" i="1"/>
  <c r="K3657" i="1"/>
  <c r="K761" i="1"/>
  <c r="K3073" i="1"/>
  <c r="K1694" i="1"/>
  <c r="K3255" i="1"/>
  <c r="K3451" i="1"/>
  <c r="K3997" i="1"/>
  <c r="K1517" i="1"/>
  <c r="K2254" i="1"/>
  <c r="K4406" i="1"/>
  <c r="K3851" i="1"/>
  <c r="K779" i="1"/>
  <c r="K879" i="1"/>
  <c r="K4590" i="1"/>
  <c r="K1413" i="1"/>
  <c r="K2473" i="1"/>
  <c r="K4975" i="1"/>
  <c r="K1156" i="1"/>
  <c r="K3222" i="1"/>
  <c r="K3461" i="1"/>
  <c r="K812" i="1"/>
  <c r="K3535" i="1"/>
  <c r="K4183" i="1"/>
  <c r="K2952" i="1"/>
  <c r="K2838" i="1"/>
  <c r="K1200" i="1"/>
  <c r="K902" i="1"/>
  <c r="K3330" i="1"/>
  <c r="K3204" i="1"/>
  <c r="K4492" i="1"/>
  <c r="K2967" i="1"/>
  <c r="K3108" i="1"/>
  <c r="K2646" i="1"/>
  <c r="K518" i="1"/>
  <c r="K2075" i="1"/>
  <c r="K68" i="1"/>
  <c r="K1022" i="1"/>
  <c r="K4163" i="1"/>
  <c r="K4463" i="1"/>
  <c r="K1774" i="1"/>
  <c r="K4264" i="1"/>
  <c r="K2702" i="1"/>
  <c r="K2676" i="1"/>
  <c r="K4038" i="1"/>
  <c r="K1469" i="1"/>
  <c r="K2126" i="1"/>
  <c r="K3096" i="1"/>
  <c r="K2402" i="1"/>
  <c r="K4974" i="1"/>
  <c r="K180" i="1"/>
  <c r="K735" i="1"/>
  <c r="K445" i="1"/>
  <c r="K572" i="1"/>
  <c r="K4667" i="1"/>
  <c r="K1404" i="1"/>
  <c r="K4279" i="1"/>
  <c r="K4244" i="1"/>
  <c r="K3703" i="1"/>
  <c r="K3643" i="1"/>
  <c r="K2892" i="1"/>
  <c r="K4815" i="1"/>
  <c r="K3665" i="1"/>
  <c r="K686" i="1"/>
  <c r="K541" i="1"/>
  <c r="K1452" i="1"/>
  <c r="K619" i="1"/>
  <c r="K4409" i="1"/>
  <c r="K3841" i="1"/>
  <c r="K4285" i="1"/>
  <c r="K1719" i="1"/>
  <c r="K3045" i="1"/>
  <c r="K2957" i="1"/>
  <c r="K3483" i="1"/>
  <c r="K1938" i="1"/>
  <c r="K167" i="1"/>
  <c r="K4706" i="1"/>
  <c r="K2070" i="1"/>
  <c r="K3058" i="1"/>
  <c r="K2343" i="1"/>
  <c r="K3505" i="1"/>
  <c r="K4621" i="1"/>
  <c r="K1701" i="1"/>
  <c r="K4248" i="1"/>
  <c r="K4231" i="1"/>
  <c r="K520" i="1"/>
  <c r="K1961" i="1"/>
  <c r="K2331" i="1"/>
  <c r="K4232" i="1"/>
  <c r="K1345" i="1"/>
  <c r="K4228" i="1"/>
  <c r="K1244" i="1"/>
  <c r="K4332" i="1"/>
  <c r="K1818" i="1"/>
  <c r="K3842" i="1"/>
  <c r="K4240" i="1"/>
  <c r="K2798" i="1"/>
  <c r="K670" i="1"/>
  <c r="K4219" i="1"/>
  <c r="K1020" i="1"/>
  <c r="K2650" i="1"/>
  <c r="K1455" i="1"/>
  <c r="K4595" i="1"/>
  <c r="K4001" i="1"/>
  <c r="K476" i="1"/>
  <c r="K524" i="1"/>
  <c r="K4579" i="1"/>
  <c r="K2973" i="1"/>
  <c r="K1581" i="1"/>
  <c r="K4614" i="1"/>
  <c r="K1876" i="1"/>
  <c r="K2673" i="1"/>
  <c r="K1921" i="1"/>
  <c r="K3464" i="1"/>
  <c r="K565" i="1"/>
  <c r="K1236" i="1"/>
  <c r="K2659" i="1"/>
  <c r="K3286" i="1"/>
  <c r="K2835" i="1"/>
  <c r="K2804" i="1"/>
  <c r="K1440" i="1"/>
  <c r="K2940" i="1"/>
  <c r="K2942" i="1"/>
  <c r="K75" i="1"/>
  <c r="K2039" i="1"/>
  <c r="K2195" i="1"/>
  <c r="K222" i="1"/>
  <c r="K1666" i="1"/>
  <c r="K2188" i="1"/>
  <c r="K2362" i="1"/>
  <c r="K1328" i="1"/>
  <c r="K342" i="1"/>
  <c r="K2850" i="1"/>
  <c r="K2982" i="1"/>
  <c r="K600" i="1"/>
  <c r="K789" i="1"/>
  <c r="K2436" i="1"/>
  <c r="K4152" i="1"/>
  <c r="K1853" i="1"/>
  <c r="K4014" i="1"/>
  <c r="K4669" i="1"/>
  <c r="K3928" i="1"/>
  <c r="K4410" i="1"/>
  <c r="K393" i="1"/>
  <c r="K2691" i="1"/>
  <c r="K943" i="1"/>
  <c r="K2763" i="1"/>
  <c r="K174" i="1"/>
  <c r="K627" i="1"/>
  <c r="K1284" i="1"/>
  <c r="K2818" i="1"/>
  <c r="K4462" i="1"/>
  <c r="K3030" i="1"/>
  <c r="K1171" i="1"/>
  <c r="K1632" i="1"/>
  <c r="K2532" i="1"/>
  <c r="K3687" i="1"/>
  <c r="K4338" i="1"/>
  <c r="K909" i="1"/>
  <c r="K229" i="1"/>
  <c r="K4137" i="1"/>
  <c r="K3747" i="1"/>
  <c r="K659" i="1"/>
  <c r="K4785" i="1"/>
  <c r="K2425" i="1"/>
  <c r="K4529" i="1"/>
  <c r="K1248" i="1"/>
  <c r="K3294" i="1"/>
  <c r="K2423" i="1"/>
  <c r="K4556" i="1"/>
  <c r="K1900" i="1"/>
  <c r="K4629" i="1"/>
  <c r="K1622" i="1"/>
  <c r="K2842" i="1"/>
  <c r="K3270" i="1"/>
  <c r="K2147" i="1"/>
  <c r="K2222" i="1"/>
  <c r="K4802" i="1"/>
  <c r="K4628" i="1"/>
  <c r="K3686" i="1"/>
  <c r="K2683" i="1"/>
  <c r="K3232" i="1"/>
  <c r="K732" i="1"/>
  <c r="K340" i="1"/>
  <c r="K3467" i="1"/>
  <c r="K3832" i="1"/>
  <c r="K922" i="1"/>
  <c r="K1252" i="1"/>
  <c r="K338" i="1"/>
  <c r="K5000" i="1"/>
  <c r="K2277" i="1"/>
  <c r="K3542" i="1"/>
  <c r="K1914" i="1"/>
  <c r="K1263" i="1"/>
  <c r="K1047" i="1"/>
  <c r="K4094" i="1"/>
  <c r="K4717" i="1"/>
  <c r="K3031" i="1"/>
  <c r="K4898" i="1"/>
  <c r="K4144" i="1"/>
  <c r="K1118" i="1"/>
  <c r="K4291" i="1"/>
  <c r="K3436" i="1"/>
  <c r="K2694" i="1"/>
  <c r="K2065" i="1"/>
  <c r="K497" i="1"/>
  <c r="K691" i="1"/>
  <c r="K1185" i="1"/>
  <c r="K1275" i="1"/>
  <c r="K1429" i="1"/>
  <c r="K962" i="1"/>
  <c r="K260" i="1"/>
  <c r="K1742" i="1"/>
  <c r="K206" i="1"/>
  <c r="K3393" i="1"/>
  <c r="K346" i="1"/>
  <c r="K693" i="1"/>
  <c r="K4504" i="1"/>
  <c r="K1559" i="1"/>
  <c r="K1006" i="1"/>
  <c r="K2813" i="1"/>
  <c r="K2054" i="1"/>
  <c r="K1986" i="1"/>
  <c r="K3595" i="1"/>
  <c r="K4115" i="1"/>
  <c r="K855" i="1"/>
  <c r="K3327" i="1"/>
  <c r="K3297" i="1"/>
  <c r="K567" i="1"/>
  <c r="K4193" i="1"/>
  <c r="K4201" i="1"/>
  <c r="K2944" i="1"/>
  <c r="K2081" i="1"/>
  <c r="K2666" i="1"/>
  <c r="K2350" i="1"/>
  <c r="K2604" i="1"/>
  <c r="K84" i="1"/>
  <c r="K1366" i="1"/>
  <c r="K2856" i="1"/>
  <c r="K4398" i="1"/>
  <c r="K1734" i="1"/>
  <c r="K906" i="1"/>
  <c r="K353" i="1"/>
  <c r="K3697" i="1"/>
  <c r="K952" i="1"/>
  <c r="K1873" i="1"/>
  <c r="K4780" i="1"/>
  <c r="K4950" i="1"/>
  <c r="K114" i="1"/>
  <c r="K4797" i="1"/>
  <c r="K4861" i="1"/>
  <c r="K780" i="1"/>
  <c r="K3626" i="1"/>
  <c r="K742" i="1"/>
  <c r="K3681" i="1"/>
  <c r="K550" i="1"/>
  <c r="K2823" i="1"/>
  <c r="K799" i="1"/>
  <c r="K2003" i="1"/>
  <c r="K4429" i="1"/>
  <c r="K519" i="1"/>
  <c r="K3960" i="1"/>
  <c r="K3122" i="1"/>
  <c r="K1791" i="1"/>
  <c r="K3329" i="1"/>
  <c r="K2730" i="1"/>
  <c r="K2193" i="1"/>
  <c r="K3913" i="1"/>
  <c r="K573" i="1"/>
  <c r="K3962" i="1"/>
  <c r="K4555" i="1"/>
  <c r="K2584" i="1"/>
  <c r="K3812" i="1"/>
  <c r="K2756" i="1"/>
  <c r="K916" i="1"/>
  <c r="K1439" i="1"/>
  <c r="K3612" i="1"/>
  <c r="K3207" i="1"/>
  <c r="K2099" i="1"/>
  <c r="K4810" i="1"/>
  <c r="K2377" i="1"/>
  <c r="K3710" i="1"/>
  <c r="K4918" i="1"/>
  <c r="K3516" i="1"/>
  <c r="K2387" i="1"/>
  <c r="K2038" i="1"/>
  <c r="K2807" i="1"/>
  <c r="K739" i="1"/>
  <c r="K2511" i="1"/>
  <c r="K1689" i="1"/>
  <c r="K1527" i="1"/>
  <c r="K283" i="1"/>
  <c r="K1660" i="1"/>
  <c r="K3675" i="1"/>
  <c r="K4635" i="1"/>
  <c r="K1206" i="1"/>
  <c r="K4608" i="1"/>
  <c r="K1802" i="1"/>
  <c r="K4156" i="1"/>
  <c r="K682" i="1"/>
  <c r="K604" i="1"/>
  <c r="K4334" i="1"/>
  <c r="K4453" i="1"/>
  <c r="K3700" i="1"/>
  <c r="K3166" i="1"/>
  <c r="K1174" i="1"/>
  <c r="K2519" i="1"/>
  <c r="K781" i="1"/>
  <c r="K1571" i="1"/>
  <c r="K2060" i="1"/>
  <c r="K4353" i="1"/>
  <c r="K4868" i="1"/>
  <c r="K3971" i="1"/>
  <c r="K271" i="1"/>
  <c r="K2698" i="1"/>
  <c r="K4195" i="1"/>
  <c r="K4430" i="1"/>
  <c r="K4888" i="1"/>
  <c r="K249" i="1"/>
  <c r="K1911" i="1"/>
  <c r="K3924" i="1"/>
  <c r="K1481" i="1"/>
  <c r="K1251" i="1"/>
  <c r="K1271" i="1"/>
  <c r="K3704" i="1"/>
  <c r="K3835" i="1"/>
  <c r="K3564" i="1"/>
  <c r="K4617" i="1"/>
  <c r="K3930" i="1"/>
  <c r="K4480" i="1"/>
  <c r="K1063" i="1"/>
  <c r="K3468" i="1"/>
  <c r="K3354" i="1"/>
  <c r="K1730" i="1"/>
  <c r="K148" i="1"/>
  <c r="K1644" i="1"/>
  <c r="K1700" i="1"/>
  <c r="K1714" i="1"/>
  <c r="K4411" i="1"/>
  <c r="K2025" i="1"/>
  <c r="K4702" i="1"/>
  <c r="K3013" i="1"/>
  <c r="K1324" i="1"/>
  <c r="K3224" i="1"/>
  <c r="K1346" i="1"/>
  <c r="K3377" i="1"/>
  <c r="K2576" i="1"/>
  <c r="K1544" i="1"/>
  <c r="K1266" i="1"/>
  <c r="K668" i="1"/>
  <c r="K3589" i="1"/>
  <c r="K3748" i="1"/>
  <c r="K2664" i="1"/>
  <c r="K2269" i="1"/>
  <c r="K1569" i="1"/>
  <c r="K2405" i="1"/>
  <c r="K1199" i="1"/>
  <c r="K447" i="1"/>
  <c r="K1532" i="1"/>
  <c r="K104" i="1"/>
  <c r="K1506" i="1"/>
  <c r="K763" i="1"/>
  <c r="K2459" i="1"/>
  <c r="K3784" i="1"/>
  <c r="K4015" i="1"/>
  <c r="K4683" i="1"/>
  <c r="K4047" i="1"/>
  <c r="K1513" i="1"/>
  <c r="K462" i="1"/>
  <c r="K1625" i="1"/>
  <c r="K2575" i="1"/>
  <c r="K1409" i="1"/>
  <c r="K250" i="1"/>
  <c r="K2295" i="1"/>
  <c r="K3755" i="1"/>
  <c r="K1485" i="1"/>
  <c r="K1490" i="1"/>
  <c r="K2307" i="1"/>
  <c r="K2453" i="1"/>
  <c r="K3727" i="1"/>
  <c r="K2788" i="1"/>
  <c r="K3951" i="1"/>
  <c r="K825" i="1"/>
  <c r="K81" i="1"/>
  <c r="K1396" i="1"/>
  <c r="K3547" i="1"/>
  <c r="K2837" i="1"/>
  <c r="K1484" i="1"/>
  <c r="K3909" i="1"/>
  <c r="K1994" i="1"/>
  <c r="K4957" i="1"/>
  <c r="K1017" i="1"/>
  <c r="K3794" i="1"/>
  <c r="K328" i="1"/>
  <c r="K3360" i="1"/>
  <c r="K190" i="1"/>
  <c r="K3592" i="1"/>
  <c r="K3060" i="1"/>
  <c r="K1180" i="1"/>
  <c r="K3235" i="1"/>
  <c r="K1899" i="1"/>
  <c r="K4657" i="1"/>
  <c r="K4276" i="1"/>
  <c r="K3480" i="1"/>
  <c r="K2155" i="1"/>
  <c r="K3171" i="1"/>
  <c r="K3067" i="1"/>
  <c r="K896" i="1"/>
  <c r="K3021" i="1"/>
  <c r="K2390" i="1"/>
  <c r="K4174" i="1"/>
  <c r="K2549" i="1"/>
  <c r="K1319" i="1"/>
  <c r="K2465" i="1"/>
  <c r="K350" i="1"/>
  <c r="K2441" i="1"/>
  <c r="K4966" i="1"/>
  <c r="K216" i="1"/>
  <c r="K36" i="1"/>
  <c r="K4791" i="1"/>
  <c r="K3972" i="1"/>
  <c r="K1662" i="1"/>
  <c r="K1406" i="1"/>
  <c r="K3871" i="1"/>
  <c r="K756" i="1"/>
  <c r="K3484" i="1"/>
  <c r="K3532" i="1"/>
  <c r="K4366" i="1"/>
  <c r="K3927" i="1"/>
  <c r="K4395" i="1"/>
  <c r="K3926" i="1"/>
  <c r="K1623" i="1"/>
  <c r="K4005" i="1"/>
  <c r="K1152" i="1"/>
  <c r="K4694" i="1"/>
  <c r="K2785" i="1"/>
  <c r="K4136" i="1"/>
  <c r="K233" i="1"/>
  <c r="K3702" i="1"/>
  <c r="K2654" i="1"/>
  <c r="K1189" i="1"/>
  <c r="K938" i="1"/>
  <c r="K3719" i="1"/>
  <c r="K514" i="1"/>
  <c r="K4293" i="1"/>
  <c r="K1242" i="1"/>
  <c r="K515" i="1"/>
  <c r="K2899" i="1"/>
  <c r="K3305" i="1"/>
  <c r="K4208" i="1"/>
  <c r="K2774" i="1"/>
  <c r="K2617" i="1"/>
  <c r="K3199" i="1"/>
  <c r="K4318" i="1"/>
  <c r="K1892" i="1"/>
  <c r="K4385" i="1"/>
  <c r="K2720" i="1"/>
  <c r="K1865" i="1"/>
  <c r="K1306" i="1"/>
  <c r="K2021" i="1"/>
  <c r="K3418" i="1"/>
  <c r="K3696" i="1"/>
  <c r="K2010" i="1"/>
  <c r="K4479" i="1"/>
  <c r="K2729" i="1"/>
  <c r="K529" i="1"/>
  <c r="K3659" i="1"/>
  <c r="K724" i="1"/>
  <c r="K241" i="1"/>
  <c r="K3615" i="1"/>
  <c r="K3441" i="1"/>
  <c r="K3511" i="1"/>
  <c r="K913" i="1"/>
  <c r="K3844" i="1"/>
  <c r="K2305" i="1"/>
  <c r="K2601" i="1"/>
  <c r="K177" i="1"/>
  <c r="K930" i="1"/>
  <c r="K2874" i="1"/>
  <c r="K757" i="1"/>
  <c r="K151" i="1"/>
  <c r="K1597" i="1"/>
  <c r="K1079" i="1"/>
  <c r="K1599" i="1"/>
  <c r="K1955" i="1"/>
  <c r="K3811" i="1"/>
  <c r="K1036" i="1"/>
  <c r="K4677" i="1"/>
  <c r="K1560" i="1"/>
  <c r="K3401" i="1"/>
  <c r="K440" i="1"/>
  <c r="K348" i="1"/>
  <c r="K925" i="1"/>
  <c r="K4723" i="1"/>
  <c r="K3118" i="1"/>
  <c r="K5012" i="1"/>
  <c r="K2471" i="1"/>
  <c r="K4572" i="1"/>
  <c r="K3821" i="1"/>
  <c r="K4079" i="1"/>
  <c r="K466" i="1"/>
  <c r="K2682" i="1"/>
  <c r="K2268" i="1"/>
  <c r="K4090" i="1"/>
  <c r="K117" i="1"/>
  <c r="K899" i="1"/>
  <c r="K2267" i="1"/>
  <c r="K1326" i="1"/>
  <c r="K2827" i="1"/>
  <c r="K2537" i="1"/>
  <c r="K3168" i="1"/>
  <c r="K4021" i="1"/>
  <c r="K2707" i="1"/>
  <c r="K2594" i="1"/>
  <c r="K1351" i="1"/>
  <c r="K2472" i="1"/>
  <c r="K3669" i="1"/>
  <c r="K3606" i="1"/>
  <c r="K4408" i="1"/>
  <c r="K3584" i="1"/>
  <c r="K1010" i="1"/>
  <c r="K2812" i="1"/>
  <c r="K96" i="1"/>
  <c r="K1245" i="1"/>
  <c r="K4877" i="1"/>
  <c r="K788" i="1"/>
  <c r="K1434" i="1"/>
  <c r="K2106" i="1"/>
  <c r="K3079" i="1"/>
  <c r="K118" i="1"/>
  <c r="K4805" i="1"/>
  <c r="K1228" i="1"/>
  <c r="K3185" i="1"/>
  <c r="K3870" i="1"/>
  <c r="K2568" i="1"/>
  <c r="K3028" i="1"/>
  <c r="K4535" i="1"/>
  <c r="K1616" i="1"/>
  <c r="K751" i="1"/>
  <c r="K1214" i="1"/>
  <c r="K1477" i="1"/>
  <c r="K2727" i="1"/>
  <c r="K634" i="1"/>
  <c r="K3466" i="1"/>
  <c r="K2181" i="1"/>
  <c r="K2784" i="1"/>
  <c r="K2431" i="1"/>
  <c r="K210" i="1"/>
  <c r="K3051" i="1"/>
  <c r="K1223" i="1"/>
  <c r="K2232" i="1"/>
  <c r="K999" i="1"/>
  <c r="K3283" i="1"/>
  <c r="K2287" i="1"/>
  <c r="K2523" i="1"/>
  <c r="K3236" i="1"/>
  <c r="K2950" i="1"/>
  <c r="K2206" i="1"/>
  <c r="K227" i="1"/>
  <c r="K126" i="1"/>
  <c r="K1313" i="1"/>
  <c r="K944" i="1"/>
  <c r="K946" i="1"/>
  <c r="K2844" i="1"/>
  <c r="K4517" i="1"/>
  <c r="K919" i="1"/>
  <c r="K1309" i="1"/>
  <c r="K1814" i="1"/>
  <c r="K2497" i="1"/>
  <c r="K3368" i="1"/>
  <c r="K1106" i="1"/>
  <c r="K3266" i="1"/>
  <c r="K3403" i="1"/>
  <c r="K1234" i="1"/>
  <c r="K773" i="1"/>
  <c r="K4133" i="1"/>
  <c r="K3820" i="1"/>
  <c r="K4418" i="1"/>
  <c r="K3800" i="1"/>
  <c r="K1375" i="1"/>
  <c r="K4159" i="1"/>
  <c r="K2238" i="1"/>
  <c r="K3486" i="1"/>
  <c r="K1038" i="1"/>
  <c r="K72" i="1"/>
  <c r="K492" i="1"/>
  <c r="K4230" i="1"/>
  <c r="K3617" i="1"/>
  <c r="K4345" i="1"/>
  <c r="K3120" i="1"/>
  <c r="K4255" i="1"/>
  <c r="K394" i="1"/>
  <c r="K4458" i="1"/>
  <c r="K3066" i="1"/>
  <c r="K3391" i="1"/>
  <c r="K2481" i="1"/>
  <c r="K1702" i="1"/>
  <c r="K4509" i="1"/>
  <c r="K1457" i="1"/>
  <c r="K862" i="1"/>
  <c r="K3536" i="1"/>
  <c r="K4368" i="1"/>
  <c r="K2416" i="1"/>
  <c r="K3797" i="1"/>
  <c r="K1877" i="1"/>
  <c r="K3758" i="1"/>
  <c r="K556" i="1"/>
  <c r="K1860" i="1"/>
  <c r="K4919" i="1"/>
  <c r="K3322" i="1"/>
  <c r="K4707" i="1"/>
  <c r="K2633" i="1"/>
  <c r="K415" i="1"/>
  <c r="K356" i="1"/>
  <c r="K2567" i="1"/>
  <c r="K4985" i="1"/>
  <c r="K4263" i="1"/>
  <c r="K1826" i="1"/>
  <c r="K1046" i="1"/>
  <c r="K4311" i="1"/>
  <c r="K3351" i="1"/>
  <c r="K4860" i="1"/>
  <c r="K228" i="1"/>
  <c r="K3722" i="1"/>
  <c r="K3402" i="1"/>
  <c r="K137" i="1"/>
  <c r="K1518" i="1"/>
  <c r="K4349" i="1"/>
  <c r="K3337" i="1"/>
  <c r="K4627" i="1"/>
  <c r="K2225" i="1"/>
  <c r="K2541" i="1"/>
  <c r="K972" i="1"/>
  <c r="K259" i="1"/>
  <c r="K3940" i="1"/>
  <c r="K2386" i="1"/>
  <c r="K403" i="1"/>
  <c r="K1992" i="1"/>
  <c r="K1095" i="1"/>
  <c r="K745" i="1"/>
  <c r="K4437" i="1"/>
  <c r="K748" i="1"/>
  <c r="K370" i="1"/>
  <c r="K1840" i="1"/>
  <c r="K80" i="1"/>
  <c r="K452" i="1"/>
  <c r="K1809" i="1"/>
  <c r="K449" i="1"/>
  <c r="K4500" i="1"/>
  <c r="K483" i="1"/>
  <c r="K3651" i="1"/>
  <c r="K3825" i="1"/>
  <c r="K2335" i="1"/>
  <c r="K3141" i="1"/>
  <c r="K3136" i="1"/>
  <c r="K441" i="1"/>
  <c r="K3922" i="1"/>
  <c r="K752" i="1"/>
  <c r="K236" i="1"/>
  <c r="K2775" i="1"/>
  <c r="K716" i="1"/>
  <c r="K1239" i="1"/>
  <c r="K2725" i="1"/>
  <c r="K1919" i="1"/>
  <c r="K597" i="1"/>
  <c r="K4751" i="1"/>
  <c r="K543" i="1"/>
  <c r="K4092" i="1"/>
  <c r="K4100" i="1"/>
  <c r="K399" i="1"/>
  <c r="K2215" i="1"/>
  <c r="K2074" i="1"/>
  <c r="K4847" i="1"/>
  <c r="K2672" i="1"/>
  <c r="K1087" i="1"/>
  <c r="K637" i="1"/>
  <c r="K2632" i="1"/>
  <c r="K3131" i="1"/>
  <c r="K3367" i="1"/>
  <c r="K2018" i="1"/>
  <c r="K2087" i="1"/>
  <c r="K1264" i="1"/>
  <c r="K205" i="1"/>
  <c r="K666" i="1"/>
  <c r="K4775" i="1"/>
  <c r="K1193" i="1"/>
  <c r="K1646" i="1"/>
  <c r="K3477" i="1"/>
  <c r="K4835" i="1"/>
  <c r="K2618" i="1"/>
  <c r="K1331" i="1"/>
  <c r="K3691" i="1"/>
  <c r="K2124" i="1"/>
  <c r="K1333" i="1"/>
  <c r="K4388" i="1"/>
  <c r="K1748" i="1"/>
  <c r="K4826" i="1"/>
  <c r="K225" i="1"/>
  <c r="K2218" i="1"/>
  <c r="K363" i="1"/>
  <c r="K1274" i="1"/>
  <c r="K1186" i="1"/>
  <c r="K2048" i="1"/>
  <c r="K4922" i="1"/>
  <c r="K746" i="1"/>
  <c r="K3732" i="1"/>
  <c r="K1511" i="1"/>
  <c r="K948" i="1"/>
  <c r="K4744" i="1"/>
  <c r="K362" i="1"/>
  <c r="K2032" i="1"/>
  <c r="K845" i="1"/>
  <c r="K1916" i="1"/>
  <c r="K1447" i="1"/>
  <c r="K3338" i="1"/>
  <c r="K1709" i="1"/>
  <c r="K2751" i="1"/>
  <c r="K4873" i="1"/>
  <c r="K358" i="1"/>
  <c r="K2125" i="1"/>
  <c r="K731" i="1"/>
  <c r="K4333" i="1"/>
  <c r="K1305" i="1"/>
  <c r="K3859" i="1"/>
  <c r="K2971" i="1"/>
  <c r="K2548" i="1"/>
  <c r="K3474" i="1"/>
  <c r="K601" i="1"/>
  <c r="K4226" i="1"/>
  <c r="K349" i="1"/>
  <c r="K1996" i="1"/>
  <c r="K3594" i="1"/>
  <c r="K2882" i="1"/>
  <c r="K392" i="1"/>
  <c r="K1092" i="1"/>
  <c r="K396" i="1"/>
  <c r="K2801" i="1"/>
  <c r="K105" i="1"/>
  <c r="K3695" i="1"/>
  <c r="K978" i="1"/>
  <c r="K1831" i="1"/>
  <c r="K1013" i="1"/>
  <c r="K4283" i="1"/>
  <c r="K3717" i="1"/>
  <c r="K3925" i="1"/>
  <c r="K3637" i="1"/>
  <c r="K2214" i="1"/>
  <c r="K4809" i="1"/>
  <c r="K4107" i="1"/>
  <c r="K3419" i="1"/>
  <c r="K341" i="1"/>
  <c r="K1720" i="1"/>
  <c r="K292" i="1"/>
  <c r="K3888" i="1"/>
  <c r="K4102" i="1"/>
  <c r="K758" i="1"/>
  <c r="K4786" i="1"/>
  <c r="K2988" i="1"/>
  <c r="K701" i="1"/>
  <c r="K2749" i="1"/>
  <c r="K2894" i="1"/>
  <c r="K3482" i="1"/>
  <c r="K391" i="1"/>
  <c r="K4106" i="1"/>
  <c r="K2648" i="1"/>
  <c r="K1016" i="1"/>
  <c r="K2367" i="1"/>
  <c r="K4930" i="1"/>
  <c r="K1712" i="1"/>
  <c r="K895" i="1"/>
  <c r="K1209" i="1"/>
  <c r="K1592" i="1"/>
  <c r="K1052" i="1"/>
  <c r="K4798" i="1"/>
  <c r="K2309" i="1"/>
  <c r="K2388" i="1"/>
  <c r="K1735" i="1"/>
  <c r="K1762" i="1"/>
  <c r="K2098" i="1"/>
  <c r="K3273" i="1"/>
  <c r="K992" i="1"/>
  <c r="K1162" i="1"/>
  <c r="K3496" i="1"/>
  <c r="K267" i="1"/>
  <c r="K1216" i="1"/>
  <c r="K3234" i="1"/>
  <c r="K1512" i="1"/>
  <c r="K2545" i="1"/>
  <c r="K1528" i="1"/>
  <c r="K1354" i="1"/>
  <c r="K1428" i="1"/>
  <c r="K1715" i="1"/>
  <c r="K3106" i="1"/>
  <c r="K2526" i="1"/>
  <c r="K1277" i="1"/>
  <c r="K4343" i="1"/>
  <c r="K866" i="1"/>
  <c r="K3738" i="1"/>
  <c r="K3772" i="1"/>
  <c r="K2696" i="1"/>
  <c r="K489" i="1"/>
  <c r="K2920" i="1"/>
  <c r="K3275" i="1"/>
  <c r="K3683" i="1"/>
  <c r="K330" i="1"/>
  <c r="K285" i="1"/>
  <c r="K2235" i="1"/>
  <c r="K3804" i="1"/>
  <c r="K3248" i="1"/>
  <c r="K2143" i="1"/>
  <c r="K1703" i="1"/>
  <c r="K4207" i="1"/>
  <c r="K4319" i="1"/>
  <c r="K2700" i="1"/>
  <c r="K2864" i="1"/>
  <c r="K4970" i="1"/>
  <c r="K3912" i="1"/>
  <c r="K2274" i="1"/>
  <c r="K2001" i="1"/>
  <c r="K4716" i="1"/>
  <c r="K2304" i="1"/>
  <c r="K4676" i="1"/>
  <c r="K3176" i="1"/>
  <c r="K1364" i="1"/>
  <c r="K994" i="1"/>
  <c r="K2579" i="1"/>
  <c r="K278" i="1"/>
  <c r="K175" i="1"/>
  <c r="K2587" i="1"/>
  <c r="K2114" i="1"/>
  <c r="K1267" i="1"/>
  <c r="K1353" i="1"/>
  <c r="K698" i="1"/>
  <c r="K3989" i="1"/>
  <c r="K2972" i="1"/>
  <c r="K1025" i="1"/>
  <c r="K2968" i="1"/>
  <c r="K969" i="1"/>
  <c r="K2151" i="1"/>
  <c r="K4636" i="1"/>
  <c r="K4016" i="1"/>
  <c r="K2259" i="1"/>
  <c r="K2948" i="1"/>
  <c r="K311" i="1"/>
  <c r="K1487" i="1"/>
  <c r="K1590" i="1"/>
  <c r="K1940" i="1"/>
  <c r="K4342" i="1"/>
  <c r="K2042" i="1"/>
  <c r="K1280" i="1"/>
  <c r="K2072" i="1"/>
  <c r="K2867" i="1"/>
  <c r="K607" i="1"/>
  <c r="K1501" i="1"/>
  <c r="K2820" i="1"/>
  <c r="K246" i="1"/>
  <c r="K775" i="1"/>
  <c r="K1221" i="1"/>
  <c r="K1446" i="1"/>
  <c r="K4867" i="1"/>
  <c r="K3708" i="1"/>
  <c r="K3582" i="1"/>
  <c r="K1637" i="1"/>
  <c r="K4028" i="1"/>
  <c r="K1671" i="1"/>
  <c r="K838" i="1"/>
  <c r="K2791" i="1"/>
  <c r="K4979" i="1"/>
  <c r="K2172" i="1"/>
  <c r="K1454" i="1"/>
  <c r="K3552" i="1"/>
  <c r="K595" i="1"/>
  <c r="K2102" i="1"/>
  <c r="K2071" i="1"/>
  <c r="K593" i="1"/>
  <c r="K2033" i="1"/>
  <c r="K4461" i="1"/>
  <c r="K4552" i="1"/>
  <c r="K3098" i="1"/>
  <c r="K2928" i="1"/>
  <c r="K1861" i="1"/>
  <c r="K2487" i="1"/>
  <c r="K2536" i="1"/>
  <c r="K1389" i="1"/>
  <c r="K3533" i="1"/>
  <c r="K4464" i="1"/>
  <c r="K4191" i="1"/>
  <c r="K4931" i="1"/>
  <c r="K3649" i="1"/>
  <c r="K3444" i="1"/>
  <c r="K4803" i="1"/>
  <c r="K4794" i="1"/>
  <c r="K1964" i="1"/>
  <c r="K4762" i="1"/>
  <c r="K2401" i="1"/>
  <c r="K4862" i="1"/>
  <c r="K3679" i="1"/>
  <c r="K4451" i="1"/>
  <c r="K76" i="1"/>
  <c r="K172" i="1"/>
  <c r="K3986" i="1"/>
  <c r="K2530" i="1"/>
  <c r="K4649" i="1"/>
  <c r="K1725" i="1"/>
  <c r="K3027" i="1"/>
  <c r="K15" i="1"/>
  <c r="K4051" i="1"/>
  <c r="K4910" i="1"/>
  <c r="K3282" i="1"/>
  <c r="K1231" i="1"/>
  <c r="K4923" i="1"/>
  <c r="K3498" i="1"/>
  <c r="K2303" i="1"/>
  <c r="K3596" i="1"/>
  <c r="K3325" i="1"/>
  <c r="K2434" i="1"/>
  <c r="K2571" i="1"/>
  <c r="K3406" i="1"/>
  <c r="K3145" i="1"/>
  <c r="K62" i="1"/>
  <c r="K949" i="1"/>
  <c r="K4185" i="1"/>
  <c r="K44" i="1"/>
  <c r="K2826" i="1"/>
  <c r="K4891" i="1"/>
  <c r="K1795" i="1"/>
  <c r="K4837" i="1"/>
  <c r="K3840" i="1"/>
  <c r="K1769" i="1"/>
  <c r="K1383" i="1"/>
  <c r="K1663" i="1"/>
  <c r="K4151" i="1"/>
  <c r="K4420" i="1"/>
  <c r="K4989" i="1"/>
  <c r="K1082" i="1"/>
  <c r="K1973" i="1"/>
  <c r="K3600" i="1"/>
  <c r="K1445" i="1"/>
  <c r="K3721" i="1"/>
  <c r="K2764" i="1"/>
  <c r="K4960" i="1"/>
  <c r="K4198" i="1"/>
  <c r="K1648" i="1"/>
  <c r="K628" i="1"/>
  <c r="K1173" i="1"/>
  <c r="K2085" i="1"/>
  <c r="K2978" i="1"/>
  <c r="K47" i="1"/>
  <c r="K772" i="1"/>
  <c r="K3077" i="1"/>
  <c r="K4858" i="1"/>
  <c r="K4098" i="1"/>
  <c r="K2840" i="1"/>
  <c r="K2061" i="1"/>
  <c r="K888" i="1"/>
  <c r="K4089" i="1"/>
  <c r="K1977" i="1"/>
  <c r="K4356" i="1"/>
  <c r="K791" i="1"/>
  <c r="K3855" i="1"/>
  <c r="K687" i="1"/>
  <c r="K2372" i="1"/>
  <c r="K3024" i="1"/>
  <c r="K4599" i="1"/>
  <c r="K3805" i="1"/>
  <c r="K2318" i="1"/>
  <c r="K4852" i="1"/>
  <c r="K1401" i="1"/>
  <c r="K4314" i="1"/>
  <c r="K1922" i="1"/>
  <c r="K4836" i="1"/>
  <c r="K3996" i="1"/>
  <c r="K1664" i="1"/>
  <c r="K1151" i="1"/>
  <c r="K4357" i="1"/>
  <c r="K2183" i="1"/>
  <c r="K2458" i="1"/>
  <c r="K508" i="1"/>
  <c r="K3071" i="1"/>
  <c r="K1488" i="1"/>
  <c r="K891" i="1"/>
  <c r="K1494" i="1"/>
  <c r="K2000" i="1"/>
  <c r="K3133" i="1"/>
  <c r="K244" i="1"/>
  <c r="K1102" i="1"/>
  <c r="K2291" i="1"/>
  <c r="K465" i="1"/>
  <c r="K2590" i="1"/>
  <c r="K2757" i="1"/>
  <c r="K3070" i="1"/>
  <c r="K1372" i="1"/>
  <c r="K4197" i="1"/>
  <c r="K4643" i="1"/>
  <c r="K2484" i="1"/>
  <c r="K3947" i="1"/>
  <c r="K3353" i="1"/>
  <c r="K4251" i="1"/>
  <c r="K2046" i="1"/>
  <c r="K1766" i="1"/>
  <c r="K2708" i="1"/>
  <c r="K4253" i="1"/>
  <c r="K3437" i="1"/>
  <c r="K1576" i="1"/>
  <c r="K4536" i="1"/>
  <c r="K4456" i="1"/>
  <c r="K53" i="1"/>
  <c r="K294" i="1"/>
  <c r="K4514" i="1"/>
  <c r="K839" i="1"/>
  <c r="K4307" i="1"/>
  <c r="K4557" i="1"/>
  <c r="K1895" i="1"/>
  <c r="K4738" i="1"/>
  <c r="K333" i="1"/>
  <c r="K1411" i="1"/>
  <c r="K82" i="1"/>
  <c r="K51" i="1"/>
  <c r="K4202" i="1"/>
  <c r="K1634" i="1"/>
  <c r="K4179" i="1"/>
  <c r="K3183" i="1"/>
  <c r="K359" i="1"/>
  <c r="K822" i="1"/>
  <c r="K2130" i="1"/>
  <c r="K1935" i="1"/>
  <c r="K2260" i="1"/>
  <c r="K1948" i="1"/>
  <c r="K1698" i="1"/>
  <c r="K263" i="1"/>
  <c r="K4932" i="1"/>
  <c r="K2302" i="1"/>
  <c r="K1579" i="1"/>
  <c r="K4983" i="1"/>
  <c r="K4662" i="1"/>
  <c r="K1272" i="1"/>
  <c r="K1051" i="1"/>
  <c r="K3123" i="1"/>
  <c r="K3492" i="1"/>
  <c r="K4532" i="1"/>
  <c r="K2457" i="1"/>
  <c r="K3155" i="1"/>
  <c r="K66" i="1"/>
  <c r="K1874" i="1"/>
  <c r="K373" i="1"/>
  <c r="K3655" i="1"/>
  <c r="K191" i="1"/>
  <c r="K2732" i="1"/>
  <c r="K876" i="1"/>
  <c r="K1627" i="1"/>
  <c r="K3361" i="1"/>
  <c r="K2466" i="1"/>
  <c r="K454" i="1"/>
  <c r="K2620" i="1"/>
  <c r="K4609" i="1"/>
  <c r="K2282" i="1"/>
  <c r="K4023" i="1"/>
  <c r="K3773" i="1"/>
  <c r="K1654" i="1"/>
  <c r="K3161" i="1"/>
  <c r="K4624" i="1"/>
  <c r="K3198" i="1"/>
  <c r="K3341" i="1"/>
  <c r="K351" i="1"/>
  <c r="K966" i="1"/>
  <c r="K1505" i="1"/>
  <c r="K4" i="1"/>
  <c r="K869" i="1"/>
  <c r="K2876" i="1"/>
  <c r="K2981" i="1"/>
  <c r="K2959" i="1"/>
  <c r="K987" i="1"/>
  <c r="K4626" i="1"/>
  <c r="K324" i="1"/>
  <c r="K2063" i="1"/>
  <c r="K143" i="1"/>
  <c r="K4233" i="1"/>
  <c r="K1825" i="1"/>
  <c r="K2417" i="1"/>
  <c r="K2866" i="1"/>
  <c r="K3433" i="1"/>
  <c r="K4793" i="1"/>
  <c r="K3892" i="1"/>
  <c r="K1816" i="1"/>
  <c r="K254" i="1"/>
  <c r="K1109" i="1"/>
  <c r="K3252" i="1"/>
  <c r="K4316" i="1"/>
  <c r="K1510" i="1"/>
  <c r="K1113" i="1"/>
  <c r="K1098" i="1"/>
  <c r="K3512" i="1"/>
  <c r="K1310" i="1"/>
  <c r="K4969" i="1"/>
  <c r="K4710" i="1"/>
  <c r="K2635" i="1"/>
  <c r="K3078" i="1"/>
  <c r="K1422" i="1"/>
  <c r="K3877" i="1"/>
  <c r="K2" i="1"/>
  <c r="K1614" i="1"/>
  <c r="K957" i="1"/>
  <c r="K3879" i="1"/>
  <c r="K521" i="1"/>
  <c r="K421" i="1"/>
  <c r="K3135" i="1"/>
  <c r="K4539" i="1"/>
  <c r="K1056" i="1"/>
  <c r="K2381" i="1"/>
  <c r="K1936" i="1"/>
  <c r="K894" i="1"/>
  <c r="K4236" i="1"/>
  <c r="K61" i="1"/>
  <c r="K2449" i="1"/>
  <c r="K49" i="1"/>
  <c r="K3388" i="1"/>
  <c r="K1817" i="1"/>
  <c r="K4370" i="1"/>
  <c r="K998" i="1"/>
  <c r="K820" i="1"/>
  <c r="K635" i="1"/>
  <c r="K4132" i="1"/>
  <c r="K37" i="1"/>
  <c r="K1496" i="1"/>
  <c r="K1721" i="1"/>
  <c r="K3319" i="1"/>
  <c r="K578" i="1"/>
  <c r="K4921" i="1"/>
  <c r="K4184" i="1"/>
  <c r="K4829" i="1"/>
  <c r="K2580" i="1"/>
  <c r="K4234" i="1"/>
  <c r="K2280" i="1"/>
  <c r="K3858" i="1"/>
  <c r="K4301" i="1"/>
  <c r="K3456" i="1"/>
  <c r="K3631" i="1"/>
  <c r="K1509" i="1"/>
  <c r="K4825" i="1"/>
  <c r="K3037" i="1"/>
  <c r="K1920" i="1"/>
  <c r="K106" i="1"/>
  <c r="K1520" i="1"/>
  <c r="K577" i="1"/>
  <c r="K3667" i="1"/>
  <c r="K3856" i="1"/>
  <c r="K3845" i="1"/>
  <c r="K2824" i="1"/>
  <c r="K1552" i="1"/>
  <c r="K4754" i="1"/>
  <c r="K3860" i="1"/>
  <c r="K867" i="1"/>
  <c r="K1617" i="1"/>
  <c r="K63" i="1"/>
  <c r="K4548" i="1"/>
  <c r="K2886" i="1"/>
  <c r="K3995" i="1"/>
  <c r="K1099" i="1"/>
  <c r="K247" i="1"/>
  <c r="K882" i="1"/>
  <c r="K4470" i="1"/>
  <c r="K2649" i="1"/>
  <c r="K3044" i="1"/>
  <c r="K3828" i="1"/>
  <c r="K32" i="1"/>
  <c r="K2184" i="1"/>
  <c r="K4358" i="1"/>
  <c r="K4432" i="1"/>
  <c r="K3143" i="1"/>
  <c r="K3412" i="1"/>
  <c r="K1566" i="1"/>
  <c r="K4339" i="1"/>
  <c r="K257" i="1"/>
  <c r="K2547" i="1"/>
  <c r="K5002" i="1"/>
  <c r="K2581" i="1"/>
  <c r="K4501" i="1"/>
  <c r="K2963" i="1"/>
  <c r="K4928" i="1"/>
  <c r="K4610" i="1"/>
  <c r="K2252" i="1"/>
  <c r="K416" i="1"/>
  <c r="K4619" i="1"/>
  <c r="K2889" i="1"/>
  <c r="K953" i="1"/>
  <c r="K1556" i="1"/>
  <c r="K4168" i="1"/>
  <c r="K995" i="1"/>
  <c r="K2846" i="1"/>
  <c r="K3968" i="1"/>
  <c r="K3839" i="1"/>
  <c r="K1489" i="1"/>
  <c r="K588" i="1"/>
  <c r="K1278" i="1"/>
  <c r="K2165" i="1"/>
  <c r="K496" i="1"/>
  <c r="K2566" i="1"/>
  <c r="K4799" i="1"/>
  <c r="K4577" i="1"/>
  <c r="K1213" i="1"/>
  <c r="K2149" i="1"/>
  <c r="K2150" i="1"/>
  <c r="K1824" i="1"/>
  <c r="K4612" i="1"/>
  <c r="K2933" i="1"/>
  <c r="K1179" i="1"/>
  <c r="K3091" i="1"/>
  <c r="K3706" i="1"/>
  <c r="K1656" i="1"/>
  <c r="K4176" i="1"/>
  <c r="K4545" i="1"/>
  <c r="K3178" i="1"/>
  <c r="K2203" i="1"/>
  <c r="K4224" i="1"/>
  <c r="K3431" i="1"/>
  <c r="K1045" i="1"/>
  <c r="K3450" i="1"/>
  <c r="K3249" i="1"/>
  <c r="K3550" i="1"/>
  <c r="K1872" i="1"/>
  <c r="K434" i="1"/>
  <c r="K4040" i="1"/>
  <c r="K747" i="1"/>
  <c r="K3109" i="1"/>
  <c r="K3639" i="1"/>
  <c r="K3522" i="1"/>
  <c r="K4498" i="1"/>
  <c r="K2121" i="1"/>
  <c r="K843" i="1"/>
  <c r="K1800" i="1"/>
  <c r="K2284" i="1"/>
  <c r="K3723" i="1"/>
  <c r="K1347" i="1"/>
  <c r="K4126" i="1"/>
  <c r="K1011" i="1"/>
  <c r="K2012" i="1"/>
  <c r="K3269" i="1"/>
  <c r="K94" i="1"/>
  <c r="K1367" i="1"/>
  <c r="K1957" i="1"/>
  <c r="K79" i="1"/>
  <c r="K3568" i="1"/>
  <c r="K2456" i="1"/>
  <c r="K4680" i="1"/>
  <c r="K3223" i="1"/>
  <c r="K255" i="1"/>
  <c r="K3729" i="1"/>
  <c r="K3786" i="1"/>
  <c r="K1161" i="1"/>
  <c r="K4257" i="1"/>
  <c r="K4324" i="1"/>
  <c r="K3265" i="1"/>
  <c r="K3346" i="1"/>
  <c r="K3603" i="1"/>
  <c r="K2454" i="1"/>
  <c r="K3110" i="1"/>
  <c r="K3788" i="1"/>
  <c r="K4560" i="1"/>
  <c r="K2178" i="1"/>
  <c r="K1652" i="1"/>
  <c r="K1697" i="1"/>
  <c r="K484" i="1"/>
  <c r="K821" i="1"/>
  <c r="K430" i="1"/>
  <c r="K1839" i="1"/>
  <c r="K807" i="1"/>
  <c r="K3688" i="1"/>
  <c r="K4221" i="1"/>
  <c r="K4252" i="1"/>
  <c r="K2747" i="1"/>
  <c r="K4481" i="1"/>
  <c r="K4734" i="1"/>
  <c r="K2561" i="1"/>
  <c r="K818" i="1"/>
  <c r="K568" i="1"/>
  <c r="K2642" i="1"/>
  <c r="K1335" i="1"/>
  <c r="K4965" i="1"/>
  <c r="K2758" i="1"/>
  <c r="K3251" i="1"/>
  <c r="K217" i="1"/>
  <c r="K316" i="1"/>
  <c r="K1493" i="1"/>
  <c r="K139" i="1"/>
  <c r="K3454" i="1"/>
  <c r="K1202" i="1"/>
  <c r="K3642" i="1"/>
  <c r="K2880" i="1"/>
  <c r="K5010" i="1"/>
  <c r="K2093" i="1"/>
  <c r="K1230" i="1"/>
  <c r="K1849" i="1"/>
  <c r="K794" i="1"/>
  <c r="K4245" i="1"/>
  <c r="K4298" i="1"/>
  <c r="K253" i="1"/>
  <c r="K1237" i="1"/>
  <c r="K1798" i="1"/>
  <c r="K990" i="1"/>
  <c r="K3978" i="1"/>
  <c r="K2887" i="1"/>
  <c r="K4787" i="1"/>
  <c r="K3620" i="1"/>
  <c r="K30" i="1"/>
  <c r="K2247" i="1"/>
  <c r="K1942" i="1"/>
  <c r="K3139" i="1"/>
  <c r="K2501" i="1"/>
  <c r="K538" i="1"/>
  <c r="K2701" i="1"/>
  <c r="K1115" i="1"/>
  <c r="K327" i="1"/>
  <c r="K3833" i="1"/>
  <c r="K4651" i="1"/>
  <c r="K890" i="1"/>
  <c r="K1653" i="1"/>
  <c r="K4845" i="1"/>
  <c r="K2474" i="1"/>
  <c r="K4578" i="1"/>
  <c r="K2641" i="1"/>
  <c r="K2299" i="1"/>
  <c r="K4223" i="1"/>
  <c r="K616" i="1"/>
  <c r="K1001" i="1"/>
  <c r="K2384" i="1"/>
  <c r="K296" i="1"/>
  <c r="K2439" i="1"/>
  <c r="K4297" i="1"/>
  <c r="K2141" i="1"/>
  <c r="K4631" i="1"/>
  <c r="K4064" i="1"/>
  <c r="K4147" i="1"/>
  <c r="K2611" i="1"/>
  <c r="K3741" i="1"/>
  <c r="K2429" i="1"/>
  <c r="K4937" i="1"/>
  <c r="K3062" i="1"/>
  <c r="K1838" i="1"/>
  <c r="K3165" i="1"/>
  <c r="K1418" i="1"/>
  <c r="K1083" i="1"/>
  <c r="K436" i="1"/>
  <c r="K2490" i="1"/>
  <c r="K2194" i="1"/>
  <c r="K4724" i="1"/>
  <c r="K3022" i="1"/>
  <c r="K3959" i="1"/>
  <c r="K1094" i="1"/>
  <c r="K4158" i="1"/>
  <c r="K3246" i="1"/>
  <c r="K4893" i="1"/>
  <c r="K4362" i="1"/>
  <c r="K2539" i="1"/>
  <c r="K2463" i="1"/>
  <c r="K3815" i="1"/>
  <c r="K18" i="1"/>
  <c r="K2119" i="1"/>
  <c r="K1507" i="1"/>
  <c r="K762" i="1"/>
  <c r="K769" i="1"/>
  <c r="K2834" i="1"/>
  <c r="K20" i="1"/>
  <c r="K1134" i="1"/>
  <c r="K2229" i="1"/>
  <c r="K2412" i="1"/>
  <c r="K754" i="1"/>
  <c r="K1069" i="1"/>
  <c r="K4449" i="1"/>
  <c r="K199" i="1"/>
  <c r="K4101" i="1"/>
  <c r="K968" i="1"/>
  <c r="K2028" i="1"/>
  <c r="K89" i="1"/>
  <c r="K3716" i="1"/>
  <c r="K4613" i="1"/>
  <c r="K4419" i="1"/>
  <c r="K3373" i="1"/>
  <c r="K2105" i="1"/>
  <c r="K622" i="1"/>
  <c r="K1462" i="1"/>
  <c r="K3134" i="1"/>
  <c r="K4438" i="1"/>
  <c r="K2174" i="1"/>
  <c r="K4671" i="1"/>
  <c r="K1058" i="1"/>
  <c r="K357" i="1"/>
  <c r="K2298" i="1"/>
  <c r="K4455" i="1"/>
  <c r="K3575" i="1"/>
  <c r="K4984" i="1"/>
  <c r="K3229" i="1"/>
  <c r="K1181" i="1"/>
  <c r="K3734" i="1"/>
  <c r="K3774" i="1"/>
  <c r="K297" i="1"/>
  <c r="K933" i="1"/>
  <c r="K4634" i="1"/>
  <c r="K1503" i="1"/>
  <c r="K127" i="1"/>
  <c r="K1145" i="1"/>
  <c r="K1061" i="1"/>
  <c r="K4698" i="1"/>
  <c r="K1944" i="1"/>
  <c r="K2341" i="1"/>
  <c r="K3032" i="1"/>
  <c r="K4457" i="1"/>
  <c r="K2475" i="1"/>
  <c r="K4575" i="1"/>
  <c r="K1846" i="1"/>
  <c r="K683" i="1"/>
  <c r="K3954" i="1"/>
  <c r="K2369" i="1"/>
  <c r="K4320" i="1"/>
  <c r="K3577" i="1"/>
  <c r="K4222" i="1"/>
  <c r="K97" i="1"/>
  <c r="K3004" i="1"/>
  <c r="K3591" i="1"/>
  <c r="K2799" i="1"/>
  <c r="K3047" i="1"/>
  <c r="K4088" i="1"/>
  <c r="K2115" i="1"/>
  <c r="K848" i="1"/>
  <c r="K4587" i="1"/>
  <c r="K2663" i="1"/>
  <c r="K1835" i="1"/>
  <c r="K3619" i="1"/>
  <c r="K2148" i="1"/>
  <c r="K4199" i="1"/>
  <c r="K309" i="1"/>
  <c r="K2380" i="1"/>
  <c r="K4317" i="1"/>
  <c r="K2741" i="1"/>
  <c r="K1558" i="1"/>
  <c r="K1226" i="1"/>
  <c r="K1733" i="1"/>
  <c r="K3911" i="1"/>
  <c r="K2044" i="1"/>
  <c r="K721" i="1"/>
  <c r="K3963" i="1"/>
  <c r="K941" i="1"/>
  <c r="K2525" i="1"/>
  <c r="K3783" i="1"/>
  <c r="K2212" i="1"/>
  <c r="K1588" i="1"/>
  <c r="K2056" i="1"/>
  <c r="K1578" i="1"/>
  <c r="K2308" i="1"/>
  <c r="K774" i="1"/>
  <c r="K120" i="1"/>
  <c r="K736" i="1"/>
  <c r="K4801" i="1"/>
  <c r="K2504" i="1"/>
  <c r="K1688" i="1"/>
  <c r="K4389" i="1"/>
  <c r="K409" i="1"/>
  <c r="K2167" i="1"/>
  <c r="K4004" i="1"/>
  <c r="K1338" i="1"/>
  <c r="K504" i="1"/>
  <c r="K4758" i="1"/>
  <c r="K575" i="1"/>
  <c r="K4491" i="1"/>
  <c r="K4215" i="1"/>
  <c r="K4917" i="1"/>
  <c r="K168" i="1"/>
  <c r="K2493" i="1"/>
  <c r="K852" i="1"/>
  <c r="K3485" i="1"/>
  <c r="K153" i="1"/>
  <c r="K1426" i="1"/>
  <c r="K3355" i="1"/>
  <c r="K2802" i="1"/>
  <c r="K223" i="1"/>
  <c r="K2636" i="1"/>
  <c r="K4952" i="1"/>
  <c r="K4954" i="1"/>
  <c r="K4135" i="1"/>
  <c r="K2391" i="1"/>
  <c r="K1114" i="1"/>
  <c r="K796" i="1"/>
  <c r="K2695" i="1"/>
  <c r="K4077" i="1"/>
  <c r="K4601" i="1"/>
  <c r="K961" i="1"/>
  <c r="K1187" i="1"/>
  <c r="K3863" i="1"/>
  <c r="K3380" i="1"/>
  <c r="K239" i="1"/>
  <c r="K3435" i="1"/>
  <c r="K2651" i="1"/>
  <c r="K1081" i="1"/>
  <c r="K1054" i="1"/>
  <c r="K2263" i="1"/>
  <c r="K2768" i="1"/>
  <c r="K1449" i="1"/>
  <c r="K1043" i="1"/>
  <c r="K2249" i="1"/>
  <c r="K2135" i="1"/>
  <c r="K4177" i="1"/>
  <c r="K3757" i="1"/>
  <c r="K3316" i="1"/>
  <c r="K2086" i="1"/>
  <c r="K2535" i="1"/>
  <c r="K107" i="1"/>
  <c r="K1890" i="1"/>
  <c r="K932" i="1"/>
  <c r="K1259" i="1"/>
  <c r="K4508" i="1"/>
  <c r="K3289" i="1"/>
  <c r="K1265" i="1"/>
  <c r="K1041" i="1"/>
  <c r="K973" i="1"/>
  <c r="K1120" i="1"/>
  <c r="K4466" i="1"/>
  <c r="K2180" i="1"/>
  <c r="K1738" i="1"/>
  <c r="K903" i="1"/>
  <c r="K1473" i="1"/>
  <c r="K335" i="1"/>
  <c r="K2983" i="1"/>
  <c r="K782" i="1"/>
  <c r="K2681" i="1"/>
  <c r="K4639" i="1"/>
  <c r="K1583" i="1"/>
  <c r="K4743" i="1"/>
  <c r="K636" i="1"/>
  <c r="K4329" i="1"/>
  <c r="K1960" i="1"/>
  <c r="K586" i="1"/>
  <c r="K904" i="1"/>
  <c r="K3029" i="1"/>
  <c r="K2488" i="1"/>
  <c r="K2219" i="1"/>
  <c r="K360" i="1"/>
  <c r="K704" i="1"/>
  <c r="K4714" i="1"/>
  <c r="K1204" i="1"/>
  <c r="K2186" i="1"/>
  <c r="K527" i="1"/>
  <c r="K1437" i="1"/>
  <c r="K2640" i="1"/>
  <c r="K1655" i="1"/>
  <c r="K2354" i="1"/>
  <c r="K4493" i="1"/>
  <c r="K4116" i="1"/>
  <c r="K3188" i="1"/>
  <c r="K3370" i="1"/>
  <c r="K2227" i="1"/>
  <c r="K2612" i="1"/>
  <c r="K410" i="1"/>
  <c r="K3764" i="1"/>
  <c r="K1149" i="1"/>
  <c r="K4081" i="1"/>
  <c r="K4597" i="1"/>
  <c r="K2586" i="1"/>
  <c r="K645" i="1"/>
  <c r="K2394" i="1"/>
  <c r="K765" i="1"/>
  <c r="K860" i="1"/>
  <c r="K92" i="1"/>
  <c r="K2896" i="1"/>
  <c r="K3130" i="1"/>
  <c r="K4267" i="1"/>
  <c r="K3899" i="1"/>
  <c r="K1498" i="1"/>
  <c r="K2718" i="1"/>
  <c r="K4367" i="1"/>
  <c r="K152" i="1"/>
  <c r="K2223" i="1"/>
  <c r="K46" i="1"/>
  <c r="K2916" i="1"/>
  <c r="K2782" i="1"/>
  <c r="K1028" i="1"/>
  <c r="K4688" i="1"/>
  <c r="K3334" i="1"/>
  <c r="K3562" i="1"/>
  <c r="K2176" i="1"/>
  <c r="K2781" i="1"/>
  <c r="K3994" i="1"/>
  <c r="K4755" i="1"/>
  <c r="K4664" i="1"/>
  <c r="K1713" i="1"/>
  <c r="K4911" i="1"/>
  <c r="K196" i="1"/>
  <c r="K4987" i="1"/>
  <c r="K2234" i="1"/>
  <c r="K1822" i="1"/>
  <c r="K1548" i="1"/>
  <c r="K3342" i="1"/>
  <c r="K815" i="1"/>
  <c r="K4506" i="1"/>
  <c r="K1141" i="1"/>
  <c r="K4259" i="1"/>
  <c r="K2004" i="1"/>
  <c r="K1363" i="1"/>
  <c r="K1033" i="1"/>
  <c r="K1160" i="1"/>
  <c r="K3903" i="1"/>
  <c r="K490" i="1"/>
  <c r="K3312" i="1"/>
  <c r="K298" i="1"/>
  <c r="K2898" i="1"/>
  <c r="K809" i="1"/>
  <c r="K936" i="1"/>
  <c r="K3698" i="1"/>
  <c r="K2990" i="1"/>
  <c r="K3735" i="1"/>
  <c r="K322" i="1"/>
  <c r="K562" i="1"/>
  <c r="K4522" i="1"/>
  <c r="K1461" i="1"/>
  <c r="K2476" i="1"/>
  <c r="K2279" i="1"/>
  <c r="K613" i="1"/>
  <c r="K478" i="1"/>
  <c r="K4516" i="1"/>
  <c r="K2040" i="1"/>
  <c r="K2103" i="1"/>
  <c r="K204" i="1"/>
  <c r="K2560" i="1"/>
  <c r="K2266" i="1"/>
  <c r="K4502" i="1"/>
  <c r="K4700" i="1"/>
  <c r="K414" i="1"/>
  <c r="K1891" i="1"/>
  <c r="K3094" i="1"/>
  <c r="K4085" i="1"/>
  <c r="K4689" i="1"/>
  <c r="K663" i="1"/>
  <c r="K1845" i="1"/>
  <c r="K19" i="1"/>
  <c r="K3065" i="1"/>
  <c r="K4290" i="1"/>
  <c r="K605" i="1"/>
  <c r="K375" i="1"/>
  <c r="K4110" i="1"/>
  <c r="K2296" i="1"/>
  <c r="K1751" i="1"/>
  <c r="K2339" i="1"/>
  <c r="K2340" i="1"/>
  <c r="K332" i="1"/>
  <c r="K3114" i="1"/>
  <c r="K3083" i="1"/>
  <c r="K4186" i="1"/>
  <c r="K1362" i="1"/>
  <c r="K2503" i="1"/>
  <c r="K258" i="1"/>
  <c r="K1869" i="1"/>
  <c r="K1232" i="1"/>
  <c r="K2770" i="1"/>
  <c r="K2722" i="1"/>
  <c r="K2041" i="1"/>
  <c r="K101" i="1"/>
  <c r="K3002" i="1"/>
  <c r="K4883" i="1"/>
  <c r="K771" i="1"/>
  <c r="K3179" i="1"/>
  <c r="K4926" i="1"/>
  <c r="K3689" i="1"/>
  <c r="K2241" i="1"/>
  <c r="K433" i="1"/>
  <c r="K3775" i="1"/>
  <c r="K661" i="1"/>
  <c r="K3779" i="1"/>
  <c r="K2975" i="1"/>
  <c r="K29" i="1"/>
  <c r="K4533" i="1"/>
  <c r="K2448" i="1"/>
  <c r="K4540" i="1"/>
  <c r="K4393" i="1"/>
  <c r="K1855" i="1"/>
  <c r="K1659" i="1"/>
  <c r="K3447" i="1"/>
  <c r="K4363" i="1"/>
  <c r="K4859" i="1"/>
  <c r="K2202" i="1"/>
  <c r="K3306" i="1"/>
  <c r="K4112" i="1"/>
  <c r="K3323" i="1"/>
  <c r="K1300" i="1"/>
  <c r="K3636" i="1"/>
  <c r="K4905" i="1"/>
  <c r="K1747" i="1"/>
  <c r="K2780" i="1"/>
  <c r="K1269" i="1"/>
  <c r="K3816" i="1"/>
  <c r="K1072" i="1"/>
  <c r="K1163" i="1"/>
  <c r="K1575" i="1"/>
  <c r="K889" i="1"/>
  <c r="K2110" i="1"/>
  <c r="K1398" i="1"/>
  <c r="K4415" i="1"/>
  <c r="K339" i="1"/>
  <c r="K725" i="1"/>
  <c r="K2313" i="1"/>
  <c r="K3590" i="1"/>
  <c r="K1002" i="1"/>
  <c r="K2796" i="1"/>
  <c r="K1096" i="1"/>
  <c r="K238" i="1"/>
  <c r="K537" i="1"/>
  <c r="K2677" i="1"/>
  <c r="K4412" i="1"/>
  <c r="K4472" i="1"/>
  <c r="K154" i="1"/>
  <c r="K17" i="1"/>
  <c r="K2486" i="1"/>
  <c r="K366" i="1"/>
  <c r="K2256" i="1"/>
  <c r="K2328" i="1"/>
  <c r="K4344" i="1"/>
  <c r="K501" i="1"/>
  <c r="K2245" i="1"/>
  <c r="K1621" i="1"/>
  <c r="K3156" i="1"/>
  <c r="K2276" i="1"/>
  <c r="K1981" i="1"/>
  <c r="K4372" i="1"/>
  <c r="K2938" i="1"/>
  <c r="K1567" i="1"/>
  <c r="K3998" i="1"/>
  <c r="K389" i="1"/>
  <c r="K4947" i="1"/>
  <c r="K1376" i="1"/>
  <c r="K2855" i="1"/>
  <c r="K4212" i="1"/>
  <c r="K1403" i="1"/>
  <c r="K2852" i="1"/>
  <c r="K2873" i="1"/>
  <c r="K1564" i="1"/>
  <c r="K1103" i="1"/>
  <c r="K1135" i="1"/>
  <c r="K654" i="1"/>
  <c r="K3372" i="1"/>
  <c r="K4378" i="1"/>
  <c r="K4711" i="1"/>
  <c r="K3398" i="1"/>
  <c r="K620" i="1"/>
  <c r="K4018" i="1"/>
  <c r="K1167" i="1"/>
  <c r="K3392" i="1"/>
  <c r="K4070" i="1"/>
  <c r="K3175" i="1"/>
  <c r="K1542" i="1"/>
  <c r="K2902" i="1"/>
  <c r="K1388" i="1"/>
  <c r="K98" i="1"/>
  <c r="K939" i="1"/>
  <c r="K3460" i="1"/>
  <c r="K4816" i="1"/>
  <c r="K2273" i="1"/>
  <c r="K4488" i="1"/>
  <c r="K1793" i="1"/>
  <c r="K3293" i="1"/>
  <c r="K2192" i="1"/>
  <c r="K755" i="1"/>
  <c r="K2542" i="1"/>
  <c r="K1131" i="1"/>
  <c r="K2197" i="1"/>
  <c r="K830" i="1"/>
  <c r="K1044" i="1"/>
  <c r="K813" i="1"/>
  <c r="K2562" i="1"/>
  <c r="K4661" i="1"/>
  <c r="K1550" i="1"/>
  <c r="K4142" i="1"/>
  <c r="K4272" i="1"/>
  <c r="K4421" i="1"/>
  <c r="K1635" i="1"/>
  <c r="K3674" i="1"/>
  <c r="K2911" i="1"/>
  <c r="K3624" i="1"/>
  <c r="K2358" i="1"/>
  <c r="K4258" i="1"/>
  <c r="K4534" i="1"/>
  <c r="K4050" i="1"/>
  <c r="K4819" i="1"/>
  <c r="K2016" i="1"/>
  <c r="K4513" i="1"/>
  <c r="K720" i="1"/>
  <c r="K2731" i="1"/>
  <c r="K1077" i="1"/>
  <c r="K3099" i="1"/>
  <c r="K4444" i="1"/>
  <c r="K4474" i="1"/>
  <c r="K2790" i="1"/>
  <c r="K3813" i="1"/>
  <c r="K2964" i="1"/>
  <c r="K3861" i="1"/>
  <c r="K4647" i="1"/>
  <c r="K1419" i="1"/>
  <c r="K2687" i="1"/>
  <c r="K2117" i="1"/>
  <c r="K4684" i="1"/>
  <c r="K2109" i="1"/>
  <c r="K3290" i="1"/>
  <c r="K2861" i="1"/>
  <c r="K1673" i="1"/>
  <c r="K795" i="1"/>
  <c r="K951" i="1"/>
  <c r="K2168" i="1"/>
  <c r="K1856" i="1"/>
  <c r="K3440" i="1"/>
  <c r="K23" i="1"/>
  <c r="K2986" i="1"/>
  <c r="K1693" i="1"/>
  <c r="K1620" i="1"/>
  <c r="K1196" i="1"/>
  <c r="K2598" i="1"/>
  <c r="K3409" i="1"/>
  <c r="K997" i="1"/>
  <c r="K3609" i="1"/>
  <c r="K1019" i="1"/>
  <c r="K201" i="1"/>
  <c r="K2868" i="1"/>
  <c r="K2353" i="1"/>
  <c r="K641" i="1"/>
  <c r="K2991" i="1"/>
  <c r="K1042" i="1"/>
  <c r="K4583" i="1"/>
  <c r="K4821" i="1"/>
  <c r="K1565" i="1"/>
  <c r="K2559" i="1"/>
  <c r="K2674" i="1"/>
  <c r="K1717" i="1"/>
  <c r="K2857" i="1"/>
  <c r="K1657" i="1"/>
  <c r="K626" i="1"/>
  <c r="K2100" i="1"/>
  <c r="K4892" i="1"/>
  <c r="K2191" i="1"/>
  <c r="K2447" i="1"/>
  <c r="K2146" i="1"/>
  <c r="K1212" i="1"/>
  <c r="K3007" i="1"/>
  <c r="K2285" i="1"/>
  <c r="K1930" i="1"/>
  <c r="K2843" i="1"/>
  <c r="K3206" i="1"/>
  <c r="K4834" i="1"/>
  <c r="K2123" i="1"/>
  <c r="K581" i="1"/>
  <c r="K1049" i="1"/>
  <c r="K4735" i="1"/>
  <c r="K1969" i="1"/>
  <c r="K1932" i="1"/>
  <c r="K1752" i="1"/>
  <c r="K4565" i="1"/>
  <c r="K2220" i="1"/>
  <c r="K2111" i="1"/>
  <c r="K4340" i="1"/>
  <c r="K2371" i="1"/>
  <c r="K3503" i="1"/>
  <c r="K1572" i="1"/>
  <c r="K132" i="1"/>
  <c r="K2903" i="1"/>
  <c r="K189" i="1"/>
  <c r="K4841" i="1"/>
  <c r="K3635" i="1"/>
  <c r="K945" i="1"/>
  <c r="K4886" i="1"/>
  <c r="K1807" i="1"/>
  <c r="K3321" i="1"/>
  <c r="K1563" i="1"/>
  <c r="K3650" i="1"/>
  <c r="K2332" i="1"/>
  <c r="K4262" i="1"/>
  <c r="K5005" i="1"/>
  <c r="K3356" i="1"/>
  <c r="K1158" i="1"/>
  <c r="K2024" i="1"/>
  <c r="K4118" i="1"/>
  <c r="K2026" i="1"/>
  <c r="K2839" i="1"/>
  <c r="K1064" i="1"/>
  <c r="K4732" i="1"/>
  <c r="K2669" i="1"/>
  <c r="K2739" i="1"/>
  <c r="K1062" i="1"/>
  <c r="K2603" i="1"/>
  <c r="K4220" i="1"/>
  <c r="K2204" i="1"/>
  <c r="K4325" i="1"/>
  <c r="K145" i="1"/>
  <c r="K1254" i="1"/>
  <c r="K3382" i="1"/>
  <c r="K653" i="1"/>
  <c r="K2352" i="1"/>
  <c r="K1427" i="1"/>
  <c r="K2101" i="1"/>
  <c r="K690" i="1"/>
  <c r="K1116" i="1"/>
  <c r="K1854" i="1"/>
  <c r="K4292" i="1"/>
  <c r="K4073" i="1"/>
  <c r="K2777" i="1"/>
  <c r="K1508" i="1"/>
  <c r="K4376" i="1"/>
  <c r="K1255" i="1"/>
  <c r="K64" i="1"/>
  <c r="K3209" i="1"/>
  <c r="K509" i="1"/>
  <c r="K1070" i="1"/>
  <c r="K1408" i="1"/>
  <c r="K405" i="1"/>
  <c r="K473" i="1"/>
  <c r="K1124" i="1"/>
  <c r="K3780" i="1"/>
  <c r="K3430" i="1"/>
  <c r="K1605" i="1"/>
  <c r="K2397" i="1"/>
  <c r="K450" i="1"/>
  <c r="K4592" i="1"/>
  <c r="K3597" i="1"/>
  <c r="K2159" i="1"/>
  <c r="K169" i="1"/>
  <c r="K472" i="1"/>
  <c r="K4062" i="1"/>
  <c r="K564" i="1"/>
  <c r="K4164" i="1"/>
  <c r="K4728" i="1"/>
  <c r="K3216" i="1"/>
  <c r="K265" i="1"/>
  <c r="K2011" i="1"/>
  <c r="K3506" i="1"/>
  <c r="K3396" i="1"/>
  <c r="K4011" i="1"/>
  <c r="K4476" i="1"/>
  <c r="K1947" i="1"/>
  <c r="K3345" i="1"/>
  <c r="K1519" i="1"/>
  <c r="K4189" i="1"/>
  <c r="K1767" i="1"/>
  <c r="K4665" i="1"/>
  <c r="K2356" i="1"/>
  <c r="K2217" i="1"/>
  <c r="K609" i="1"/>
  <c r="K3673" i="1"/>
  <c r="K4037" i="1"/>
  <c r="K657" i="1"/>
  <c r="K3339" i="1"/>
  <c r="K1034" i="1"/>
  <c r="K4445" i="1"/>
  <c r="K69" i="1"/>
  <c r="K2907" i="1"/>
  <c r="K5013" i="1"/>
  <c r="K4323" i="1"/>
  <c r="K4049" i="1"/>
  <c r="K4433" i="1"/>
  <c r="K1352" i="1"/>
  <c r="K3264" i="1"/>
  <c r="K2246" i="1"/>
  <c r="K230" i="1"/>
  <c r="K2485" i="1"/>
  <c r="K43" i="1"/>
  <c r="K1340" i="1"/>
  <c r="K387" i="1"/>
  <c r="K3302" i="1"/>
  <c r="K4446" i="1"/>
  <c r="K1086" i="1"/>
  <c r="K3613" i="1"/>
  <c r="K3152" i="1"/>
  <c r="K4172" i="1"/>
  <c r="K1691" i="1"/>
  <c r="K2415" i="1"/>
  <c r="K4542" i="1"/>
  <c r="K1645" i="1"/>
  <c r="K77" i="1"/>
  <c r="K1415" i="1"/>
  <c r="K3902" i="1"/>
  <c r="K4067" i="1"/>
  <c r="K2094" i="1"/>
  <c r="K4906" i="1"/>
  <c r="K2182" i="1"/>
  <c r="K3726" i="1"/>
  <c r="K2969" i="1"/>
  <c r="K2052" i="1"/>
  <c r="K306" i="1"/>
  <c r="K404" i="1"/>
  <c r="K4553" i="1"/>
  <c r="K1704" i="1"/>
  <c r="K455" i="1"/>
  <c r="K412" i="1"/>
  <c r="K4725" i="1"/>
  <c r="K3826" i="1"/>
  <c r="K1197" i="1"/>
  <c r="K4505" i="1"/>
  <c r="K1175" i="1"/>
  <c r="K3191" i="1"/>
  <c r="K3417" i="1"/>
  <c r="K2863" i="1"/>
  <c r="K3113" i="1"/>
  <c r="K4576" i="1"/>
  <c r="K12" i="1"/>
  <c r="K3379" i="1"/>
  <c r="K1026" i="1"/>
  <c r="K3063" i="1"/>
  <c r="K325" i="1"/>
  <c r="K1541" i="1"/>
  <c r="K6" i="1"/>
  <c r="K1602" i="1"/>
  <c r="K2408" i="1"/>
  <c r="K147" i="1"/>
  <c r="K710" i="1"/>
  <c r="K281" i="1"/>
  <c r="K3777" i="1"/>
  <c r="K383" i="1"/>
  <c r="K1150" i="1"/>
  <c r="K2703" i="1"/>
  <c r="K2228" i="1"/>
  <c r="K2602" i="1"/>
  <c r="K2557" i="1"/>
  <c r="K4196" i="1"/>
  <c r="K1464" i="1"/>
  <c r="K1755" i="1"/>
  <c r="K2013" i="1"/>
  <c r="K768" i="1"/>
  <c r="K3170" i="1"/>
  <c r="K602" i="1"/>
  <c r="K2237" i="1"/>
  <c r="K2240" i="1"/>
  <c r="K4265" i="1"/>
  <c r="K1705" i="1"/>
  <c r="K3742" i="1"/>
  <c r="K4525" i="1"/>
  <c r="K3497" i="1"/>
  <c r="K2553" i="1"/>
  <c r="K456" i="1"/>
  <c r="K2860" i="1"/>
  <c r="K1585" i="1"/>
  <c r="K4369" i="1"/>
  <c r="K3690" i="1"/>
  <c r="K711" i="1"/>
  <c r="K3984" i="1"/>
  <c r="K4210" i="1"/>
  <c r="K3048" i="1"/>
  <c r="K2142" i="1"/>
  <c r="K3520" i="1"/>
  <c r="K2890" i="1"/>
  <c r="K3411" i="1"/>
  <c r="K3504" i="1"/>
  <c r="K4365" i="1"/>
  <c r="K279" i="1"/>
  <c r="K2993" i="1"/>
  <c r="K1188" i="1"/>
  <c r="K3309" i="1"/>
  <c r="K1975" i="1"/>
  <c r="K3852" i="1"/>
  <c r="K4139" i="1"/>
  <c r="K2290" i="1"/>
  <c r="K2351" i="1"/>
  <c r="K2478" i="1"/>
  <c r="K3739" i="1"/>
  <c r="K4528" i="1"/>
  <c r="K2883" i="1"/>
  <c r="K2169" i="1"/>
  <c r="K4772" i="1"/>
  <c r="K368" i="1"/>
  <c r="K4625" i="1"/>
  <c r="K3284" i="1"/>
  <c r="K3819" i="1"/>
  <c r="K2426" i="1"/>
  <c r="K4170" i="1"/>
  <c r="K95" i="1"/>
  <c r="K1210" i="1"/>
  <c r="K3034" i="1"/>
  <c r="K3389" i="1"/>
  <c r="K3991" i="1"/>
  <c r="K2954" i="1"/>
  <c r="K2743" i="1"/>
  <c r="K4586" i="1"/>
  <c r="K2740" i="1"/>
  <c r="K4294" i="1"/>
  <c r="K1373" i="1"/>
  <c r="K3144" i="1"/>
  <c r="K4364" i="1"/>
  <c r="K964" i="1"/>
  <c r="K4855" i="1"/>
  <c r="K2230" i="1"/>
  <c r="K3572" i="1"/>
  <c r="K1867" i="1"/>
  <c r="K2154" i="1"/>
  <c r="K2871" i="1"/>
  <c r="K272" i="1"/>
  <c r="K1030" i="1"/>
  <c r="K835" i="1"/>
  <c r="K308" i="1"/>
  <c r="K2832" i="1"/>
  <c r="K834" i="1"/>
  <c r="K1071" i="1"/>
  <c r="K2711" i="1"/>
  <c r="K3205" i="1"/>
  <c r="K555" i="1"/>
  <c r="K707" i="1"/>
  <c r="K760" i="1"/>
  <c r="K4949" i="1"/>
  <c r="K3731" i="1"/>
  <c r="K2359" i="1"/>
  <c r="K4828" i="1"/>
  <c r="K2355" i="1"/>
  <c r="K4720" i="1"/>
  <c r="K1674" i="1"/>
  <c r="K3549" i="1"/>
  <c r="K1929" i="1"/>
  <c r="K3781" i="1"/>
  <c r="K2289" i="1"/>
  <c r="K2597" i="1"/>
  <c r="K824" i="1"/>
  <c r="K3332" i="1"/>
  <c r="K4654" i="1"/>
  <c r="K715" i="1"/>
  <c r="K160" i="1"/>
  <c r="K4524" i="1"/>
  <c r="K2118" i="1"/>
  <c r="K1108" i="1"/>
  <c r="K1587" i="1"/>
  <c r="K314" i="1"/>
  <c r="K2851" i="1"/>
  <c r="K3598" i="1"/>
  <c r="K3965" i="1"/>
  <c r="K99" i="1"/>
  <c r="K1577" i="1"/>
  <c r="K3802" i="1"/>
  <c r="K406" i="1"/>
  <c r="K4381" i="1"/>
  <c r="K2710" i="1"/>
  <c r="K45" i="1"/>
  <c r="K3539" i="1"/>
  <c r="K2733" i="1"/>
  <c r="K2915" i="1"/>
  <c r="K1368" i="1"/>
  <c r="K2506" i="1"/>
  <c r="K1292" i="1"/>
  <c r="K4666" i="1"/>
  <c r="K2769" i="1"/>
  <c r="K4869" i="1"/>
  <c r="K2209" i="1"/>
  <c r="K3515" i="1"/>
  <c r="K42" i="1"/>
  <c r="K2966" i="1"/>
  <c r="K3035" i="1"/>
  <c r="K3792" i="1"/>
  <c r="K4996" i="1"/>
  <c r="K2207" i="1"/>
  <c r="K2955" i="1"/>
  <c r="K1233" i="1"/>
  <c r="K381" i="1"/>
  <c r="K612" i="1"/>
  <c r="K3587" i="1"/>
  <c r="K3517" i="1"/>
  <c r="K2558" i="1"/>
  <c r="K553" i="1"/>
  <c r="K336" i="1"/>
  <c r="K3158" i="1"/>
  <c r="K4903" i="1"/>
  <c r="K163" i="1"/>
  <c r="K3809" i="1"/>
  <c r="K4155" i="1"/>
  <c r="K116" i="1"/>
  <c r="K2116" i="1"/>
  <c r="K3000" i="1"/>
  <c r="K3455" i="1"/>
  <c r="K3887" i="1"/>
  <c r="K3324" i="1"/>
  <c r="K2461" i="1"/>
  <c r="K2848" i="1"/>
  <c r="K1168" i="1"/>
  <c r="K2342" i="1"/>
  <c r="K3709" i="1"/>
  <c r="K1965" i="1"/>
  <c r="K4026" i="1"/>
  <c r="K3787" i="1"/>
  <c r="K2888" i="1"/>
  <c r="K2104" i="1"/>
  <c r="K4672" i="1"/>
  <c r="K688" i="1"/>
  <c r="K2822" i="1"/>
  <c r="K741" i="1"/>
  <c r="K1467" i="1"/>
  <c r="K870" i="1"/>
  <c r="K1465" i="1"/>
  <c r="K3818" i="1"/>
  <c r="K3823" i="1"/>
  <c r="K1238" i="1"/>
  <c r="K942" i="1"/>
  <c r="K2817" i="1"/>
  <c r="K1392" i="1"/>
  <c r="K828" i="1"/>
  <c r="K1129" i="1"/>
  <c r="K2068" i="1"/>
  <c r="K2329" i="1"/>
  <c r="K2797" i="1"/>
  <c r="K4400" i="1"/>
  <c r="K3668" i="1"/>
  <c r="K4286" i="1"/>
  <c r="K3423" i="1"/>
  <c r="K4125" i="1"/>
  <c r="K4885" i="1"/>
  <c r="K3976" i="1"/>
  <c r="K1951" i="1"/>
  <c r="K1249" i="1"/>
  <c r="K4948" i="1"/>
  <c r="K3664" i="1"/>
  <c r="K1225" i="1"/>
  <c r="K863" i="1"/>
  <c r="K4554" i="1"/>
  <c r="K3202" i="1"/>
  <c r="K940" i="1"/>
  <c r="K589" i="1"/>
  <c r="K2064" i="1"/>
  <c r="K2958" i="1"/>
  <c r="K304" i="1"/>
  <c r="K1641" i="1"/>
  <c r="K2385" i="1"/>
  <c r="K4935" i="1"/>
  <c r="K3743" i="1"/>
  <c r="K3561" i="1"/>
  <c r="K802" i="1"/>
  <c r="K2994" i="1"/>
  <c r="K4260" i="1"/>
  <c r="K2251" i="1"/>
  <c r="K58" i="1"/>
  <c r="K3555" i="1"/>
  <c r="K27" i="1"/>
  <c r="K2157" i="1"/>
  <c r="K3559" i="1"/>
  <c r="K4099" i="1"/>
  <c r="K1073" i="1"/>
  <c r="K78" i="1"/>
  <c r="K1395" i="1"/>
  <c r="K3560" i="1"/>
  <c r="K3177" i="1"/>
  <c r="K3663" i="1"/>
  <c r="K500" i="1"/>
  <c r="K3944" i="1"/>
  <c r="K3699" i="1"/>
  <c r="K378" i="1"/>
  <c r="K4774" i="1"/>
  <c r="K842" i="1"/>
  <c r="K1758" i="1"/>
  <c r="K1433" i="1"/>
  <c r="K2644" i="1"/>
  <c r="K984" i="1"/>
  <c r="K1803" i="1"/>
  <c r="K3211" i="1"/>
  <c r="K1889" i="1"/>
  <c r="K4544" i="1"/>
  <c r="K2348" i="1"/>
  <c r="K2753" i="1"/>
  <c r="K912" i="1"/>
  <c r="K2845" i="1"/>
  <c r="K113" i="1"/>
  <c r="K4924" i="1"/>
  <c r="K3985" i="1"/>
  <c r="K4460" i="1"/>
  <c r="K1772" i="1"/>
  <c r="K608" i="1"/>
  <c r="K275" i="1"/>
  <c r="K1014" i="1"/>
  <c r="K2865" i="1"/>
  <c r="K510" i="1"/>
  <c r="K2370" i="1"/>
  <c r="K2550" i="1"/>
  <c r="K198" i="1"/>
  <c r="K1027" i="1"/>
  <c r="K1525" i="1"/>
  <c r="K3340" i="1"/>
  <c r="K3010" i="1"/>
  <c r="K1672" i="1"/>
  <c r="K4722" i="1"/>
  <c r="K2962" i="1"/>
  <c r="K3121" i="1"/>
  <c r="K4114" i="1"/>
  <c r="K1707" i="1"/>
  <c r="K1048" i="1"/>
  <c r="K1320" i="1"/>
  <c r="K3585" i="1"/>
  <c r="K4827" i="1"/>
  <c r="K4699" i="1"/>
  <c r="K2383" i="1"/>
  <c r="K3822" i="1"/>
  <c r="K2705" i="1"/>
  <c r="K4384" i="1"/>
  <c r="K5004" i="1"/>
  <c r="K2409" i="1"/>
  <c r="K1137" i="1"/>
  <c r="K2893" i="1"/>
  <c r="K3850" i="1"/>
  <c r="K1222" i="1"/>
  <c r="K1555" i="1"/>
  <c r="K1591" i="1"/>
  <c r="K4025" i="1"/>
  <c r="K4749" i="1"/>
  <c r="K3523" i="1"/>
  <c r="K2007" i="1"/>
  <c r="K48" i="1"/>
  <c r="K2556" i="1"/>
  <c r="K4374" i="1"/>
  <c r="K2248" i="1"/>
  <c r="K3602" i="1"/>
  <c r="K369" i="1"/>
  <c r="K4467" i="1"/>
  <c r="K665" i="1"/>
  <c r="K231" i="1"/>
  <c r="K4490" i="1"/>
  <c r="K269" i="1"/>
  <c r="K3015" i="1"/>
  <c r="K1502" i="1"/>
  <c r="K3883" i="1"/>
  <c r="K1823" i="1"/>
  <c r="K1968" i="1"/>
  <c r="K3974" i="1"/>
  <c r="K4304" i="1"/>
  <c r="K2053" i="1"/>
  <c r="K2647" i="1"/>
  <c r="K3445" i="1"/>
  <c r="K2772" i="1"/>
  <c r="K2020" i="1"/>
  <c r="K2715" i="1"/>
  <c r="K1745" i="1"/>
  <c r="K2120" i="1"/>
  <c r="K937" i="1"/>
  <c r="K935" i="1"/>
  <c r="K3" i="1"/>
  <c r="K188" i="1"/>
  <c r="K1761" i="1"/>
  <c r="K3190" i="1"/>
  <c r="K34" i="1"/>
  <c r="K425" i="1"/>
  <c r="K4846" i="1"/>
  <c r="K3576" i="1"/>
  <c r="K2965" i="1"/>
  <c r="K4273" i="1"/>
  <c r="K3117" i="1"/>
  <c r="K3434" i="1"/>
  <c r="K448" i="1"/>
  <c r="K4726" i="1"/>
  <c r="K4943" i="1"/>
  <c r="K115" i="1"/>
  <c r="K947" i="1"/>
  <c r="K4685" i="1"/>
  <c r="K3227" i="1"/>
  <c r="K60" i="1"/>
  <c r="K631" i="1"/>
  <c r="K24" i="1"/>
  <c r="K4789" i="1"/>
  <c r="K1906" i="1"/>
  <c r="K3195" i="1"/>
  <c r="K2482" i="1"/>
  <c r="K4282" i="1"/>
  <c r="K3988" i="1"/>
  <c r="K4571" i="1"/>
  <c r="K2334" i="1"/>
  <c r="K2337" i="1"/>
  <c r="K4908" i="1"/>
  <c r="K4305" i="1"/>
  <c r="K3274" i="1"/>
  <c r="K1905" i="1"/>
  <c r="K2090" i="1"/>
  <c r="K100" i="1"/>
  <c r="K2216" i="1"/>
  <c r="K3390" i="1"/>
  <c r="K422" i="1"/>
  <c r="K4703" i="1"/>
  <c r="K493" i="1"/>
  <c r="K2814" i="1"/>
  <c r="K2789" i="1"/>
  <c r="K861" i="1"/>
  <c r="K1218" i="1"/>
  <c r="K1007" i="1"/>
  <c r="K3072" i="1"/>
  <c r="K129" i="1"/>
  <c r="K3463" i="1"/>
  <c r="K274" i="1"/>
  <c r="K4881" i="1"/>
  <c r="K1562" i="1"/>
  <c r="K1110" i="1"/>
  <c r="K2616" i="1"/>
  <c r="K2849" i="1"/>
  <c r="K4929" i="1"/>
  <c r="K2859" i="1"/>
  <c r="K1355" i="1"/>
  <c r="K235" i="1"/>
  <c r="K418" i="1"/>
  <c r="K958" i="1"/>
  <c r="K277" i="1"/>
  <c r="K1741" i="1"/>
  <c r="K4434" i="1"/>
  <c r="K2639" i="1"/>
  <c r="K3184" i="1"/>
  <c r="K4416" i="1"/>
  <c r="K4059" i="1"/>
  <c r="K2327" i="1"/>
  <c r="K2231" i="1"/>
  <c r="K2297" i="1"/>
  <c r="K2884" i="1"/>
  <c r="K4087" i="1"/>
  <c r="K157" i="1"/>
  <c r="K1643" i="1"/>
  <c r="K1369" i="1"/>
  <c r="K1521" i="1"/>
  <c r="K4169" i="1"/>
  <c r="K2108" i="1"/>
  <c r="K4737" i="1"/>
  <c r="K4235" i="1"/>
  <c r="K3956" i="1"/>
  <c r="K1304" i="1"/>
  <c r="K276" i="1"/>
  <c r="K3581" i="1"/>
  <c r="K1821" i="1"/>
  <c r="K1866" i="1"/>
  <c r="K4781" i="1"/>
  <c r="K3566" i="1"/>
  <c r="K2936" i="1"/>
  <c r="K2027" i="1"/>
  <c r="K4806" i="1"/>
  <c r="L1749" i="1"/>
  <c r="L1754" i="1"/>
  <c r="L849" i="1"/>
  <c r="M849" i="1" s="1"/>
  <c r="L2467" i="1"/>
  <c r="L3280" i="1"/>
  <c r="L797" i="1"/>
  <c r="L530" i="1"/>
  <c r="L1060" i="1"/>
  <c r="L3487" i="1"/>
  <c r="M3487" i="1" s="1"/>
  <c r="L3019" i="1"/>
  <c r="L3050" i="1"/>
  <c r="L4693" i="1"/>
  <c r="L3052" i="1"/>
  <c r="L4967" i="1"/>
  <c r="L2895" i="1"/>
  <c r="M2895" i="1" s="1"/>
  <c r="L300" i="1"/>
  <c r="L2510" i="1"/>
  <c r="L4914" i="1"/>
  <c r="L4003" i="1"/>
  <c r="L2413" i="1"/>
  <c r="L4237" i="1"/>
  <c r="M4237" i="1" s="1"/>
  <c r="L3803" i="1"/>
  <c r="L1093" i="1"/>
  <c r="L3421" i="1"/>
  <c r="L458" i="1"/>
  <c r="L3256" i="1"/>
  <c r="L1669" i="1"/>
  <c r="M1669" i="1" s="1"/>
  <c r="L286" i="1"/>
  <c r="L2600" i="1"/>
  <c r="L557" i="1"/>
  <c r="L4442" i="1"/>
  <c r="L3934" i="1"/>
  <c r="L3558" i="1"/>
  <c r="M3558" i="1" s="1"/>
  <c r="L2546" i="1"/>
  <c r="L4200" i="1"/>
  <c r="L4765" i="1"/>
  <c r="L1953" i="1"/>
  <c r="L2043" i="1"/>
  <c r="L3194" i="1"/>
  <c r="M3194" i="1" s="1"/>
  <c r="L232" i="1"/>
  <c r="L1607" i="1"/>
  <c r="L1776" i="1"/>
  <c r="L4783" i="1"/>
  <c r="L2253" i="1"/>
  <c r="L2036" i="1"/>
  <c r="M2036" i="1" s="1"/>
  <c r="L546" i="1"/>
  <c r="L2961" i="1"/>
  <c r="L3292" i="1"/>
  <c r="L2714" i="1"/>
  <c r="L4246" i="1"/>
  <c r="L2926" i="1"/>
  <c r="M2926" i="1" s="1"/>
  <c r="L3344" i="1"/>
  <c r="L3891" i="1"/>
  <c r="L3509" i="1"/>
  <c r="L1359" i="1"/>
  <c r="L4033" i="1"/>
  <c r="L4615" i="1"/>
  <c r="M4615" i="1" s="1"/>
  <c r="L3112" i="1"/>
  <c r="L3459" i="1"/>
  <c r="L3230" i="1"/>
  <c r="L4327" i="1"/>
  <c r="L910" i="1"/>
  <c r="L3537" i="1"/>
  <c r="M3537" i="1" s="1"/>
  <c r="L4541" i="1"/>
  <c r="L4879" i="1"/>
  <c r="L934" i="1"/>
  <c r="L400" i="1"/>
  <c r="L1631" i="1"/>
  <c r="L8" i="1"/>
  <c r="M8" i="1" s="1"/>
  <c r="L50" i="1"/>
  <c r="L1917" i="1"/>
  <c r="L3938" i="1"/>
  <c r="L3260" i="1"/>
  <c r="L1107" i="1"/>
  <c r="L1405" i="1"/>
  <c r="M1405" i="1" s="1"/>
  <c r="L712" i="1"/>
  <c r="L3226" i="1"/>
  <c r="L4213" i="1"/>
  <c r="L4942" i="1"/>
  <c r="L4840" i="1"/>
  <c r="L1055" i="1"/>
  <c r="M1055" i="1" s="1"/>
  <c r="L1370" i="1"/>
  <c r="L397" i="1"/>
  <c r="L3806" i="1"/>
  <c r="L638" i="1"/>
  <c r="L2573" i="1"/>
  <c r="L4188" i="1"/>
  <c r="M4188" i="1" s="1"/>
  <c r="L1937" i="1"/>
  <c r="L929" i="1"/>
  <c r="L1288" i="1"/>
  <c r="L1836" i="1"/>
  <c r="L811" i="1"/>
  <c r="L2396" i="1"/>
  <c r="M2396" i="1" s="1"/>
  <c r="L3875" i="1"/>
  <c r="L4701" i="1"/>
  <c r="L1629" i="1"/>
  <c r="L266" i="1"/>
  <c r="L3231" i="1"/>
  <c r="L1386" i="1"/>
  <c r="M1386" i="1" s="1"/>
  <c r="L3880" i="1"/>
  <c r="L3375" i="1"/>
  <c r="L2509" i="1"/>
  <c r="L3174" i="1"/>
  <c r="L2244" i="1"/>
  <c r="L1857" i="1"/>
  <c r="M1857" i="1" s="1"/>
  <c r="L4523" i="1"/>
  <c r="L764" i="1"/>
  <c r="L833" i="1"/>
  <c r="L1008" i="1"/>
  <c r="L479" i="1"/>
  <c r="L2185" i="1"/>
  <c r="M2185" i="1" s="1"/>
  <c r="L3100" i="1"/>
  <c r="L918" i="1"/>
  <c r="L432" i="1"/>
  <c r="L4203" i="1"/>
  <c r="L1101" i="1"/>
  <c r="L52" i="1"/>
  <c r="M52" i="1" s="1"/>
  <c r="L1287" i="1"/>
  <c r="L2572" i="1"/>
  <c r="L3932" i="1"/>
  <c r="L245" i="1"/>
  <c r="L491" i="1"/>
  <c r="L3366" i="1"/>
  <c r="M3366" i="1" s="1"/>
  <c r="L3210" i="1"/>
  <c r="L3104" i="1"/>
  <c r="L3221" i="1"/>
  <c r="L1894" i="1"/>
  <c r="L2738" i="1"/>
  <c r="L1524" i="1"/>
  <c r="M1524" i="1" s="1"/>
  <c r="L3671" i="1"/>
  <c r="L907" i="1"/>
  <c r="L651" i="1"/>
  <c r="L853" i="1"/>
  <c r="L851" i="1"/>
  <c r="L1561" i="1"/>
  <c r="M1561" i="1" s="1"/>
  <c r="L2420" i="1"/>
  <c r="L3173" i="1"/>
  <c r="L4909" i="1"/>
  <c r="L4296" i="1"/>
  <c r="L4000" i="1"/>
  <c r="L2591" i="1"/>
  <c r="M2591" i="1" s="1"/>
  <c r="L2927" i="1"/>
  <c r="L1743" i="1"/>
  <c r="L248" i="1"/>
  <c r="L380" i="1"/>
  <c r="L806" i="1"/>
  <c r="L1628" i="1"/>
  <c r="M1628" i="1" s="1"/>
  <c r="L3864" i="1"/>
  <c r="L2078" i="1"/>
  <c r="L354" i="1"/>
  <c r="L1954" i="1"/>
  <c r="L4831" i="1"/>
  <c r="L3701" i="1"/>
  <c r="M3701" i="1" s="1"/>
  <c r="L203" i="1"/>
  <c r="L3882" i="1"/>
  <c r="L723" i="1"/>
  <c r="L3693" i="1"/>
  <c r="L4581" i="1"/>
  <c r="L1533" i="1"/>
  <c r="M1533" i="1" s="1"/>
  <c r="L3049" i="1"/>
  <c r="L3075" i="1"/>
  <c r="L2432" i="1"/>
  <c r="L2414" i="1"/>
  <c r="L1040" i="1"/>
  <c r="L1241" i="1"/>
  <c r="M1241" i="1" s="1"/>
  <c r="L672" i="1"/>
  <c r="L2338" i="1"/>
  <c r="L4254" i="1"/>
  <c r="L122" i="1"/>
  <c r="L4718" i="1"/>
  <c r="L3760" i="1"/>
  <c r="M3760" i="1" s="1"/>
  <c r="L3429" i="1"/>
  <c r="L3793" i="1"/>
  <c r="L2847" i="1"/>
  <c r="L4686" i="1"/>
  <c r="L792" i="1"/>
  <c r="L3239" i="1"/>
  <c r="M3239" i="1" s="1"/>
  <c r="L3529" i="1"/>
  <c r="L4580" i="1"/>
  <c r="L1423" i="1"/>
  <c r="L1667" i="1"/>
  <c r="L4742" i="1"/>
  <c r="L14" i="1"/>
  <c r="M14" i="1" s="1"/>
  <c r="L3514" i="1"/>
  <c r="L2901" i="1"/>
  <c r="L4741" i="1"/>
  <c r="L3160" i="1"/>
  <c r="L2438" i="1"/>
  <c r="L3895" i="1"/>
  <c r="M3895" i="1" s="1"/>
  <c r="L3491" i="1"/>
  <c r="L4675" i="1"/>
  <c r="L713" i="1"/>
  <c r="L1374" i="1"/>
  <c r="L4182" i="1"/>
  <c r="L1227" i="1"/>
  <c r="M1227" i="1" s="1"/>
  <c r="L3349" i="1"/>
  <c r="L3865" i="1"/>
  <c r="L2462" i="1"/>
  <c r="L2870" i="1"/>
  <c r="L166" i="1"/>
  <c r="L3565" i="1"/>
  <c r="M3565" i="1" s="1"/>
  <c r="L464" i="1"/>
  <c r="L2779" i="1"/>
  <c r="L3271" i="1"/>
  <c r="L3910" i="1"/>
  <c r="L2693" i="1"/>
  <c r="L4933" i="1"/>
  <c r="M4933" i="1" s="1"/>
  <c r="L931" i="1"/>
  <c r="L4857" i="1"/>
  <c r="L1476" i="1"/>
  <c r="L1468" i="1"/>
  <c r="L677" i="1"/>
  <c r="L3025" i="1"/>
  <c r="M3025" i="1" s="1"/>
  <c r="L4986" i="1"/>
  <c r="L2516" i="1"/>
  <c r="L2841" i="1"/>
  <c r="L3540" i="1"/>
  <c r="L1619" i="1"/>
  <c r="L2144" i="1"/>
  <c r="M2144" i="1" s="1"/>
  <c r="L2746" i="1"/>
  <c r="L1603" i="1"/>
  <c r="L4679" i="1"/>
  <c r="L2787" i="1"/>
  <c r="L1786" i="1"/>
  <c r="L3080" i="1"/>
  <c r="M3080" i="1" s="1"/>
  <c r="L734" i="1"/>
  <c r="L3076" i="1"/>
  <c r="L3326" i="1"/>
  <c r="L446" i="1"/>
  <c r="L989" i="1"/>
  <c r="L3528" i="1"/>
  <c r="M3528" i="1" s="1"/>
  <c r="L3586" i="1"/>
  <c r="L4549" i="1"/>
  <c r="L1684" i="1"/>
  <c r="L3920" i="1"/>
  <c r="L4788" i="1"/>
  <c r="L1808" i="1"/>
  <c r="M1808" i="1" s="1"/>
  <c r="L4131" i="1"/>
  <c r="L970" i="1"/>
  <c r="L4585" i="1"/>
  <c r="L1479" i="1"/>
  <c r="L1207" i="1"/>
  <c r="L2737" i="1"/>
  <c r="M2737" i="1" s="1"/>
  <c r="L2909" i="1"/>
  <c r="L1235" i="1"/>
  <c r="L4483" i="1"/>
  <c r="L2096" i="1"/>
  <c r="L3630" i="1"/>
  <c r="L4550" i="1"/>
  <c r="M4550" i="1" s="1"/>
  <c r="L1852" i="1"/>
  <c r="L4763" i="1"/>
  <c r="L718" i="1"/>
  <c r="L3203" i="1"/>
  <c r="L915" i="1"/>
  <c r="L2686" i="1"/>
  <c r="M2686" i="1" s="1"/>
  <c r="L2444" i="1"/>
  <c r="L513" i="1"/>
  <c r="L3228" i="1"/>
  <c r="L642" i="1"/>
  <c r="L4927" i="1"/>
  <c r="L2809" i="1"/>
  <c r="M2809" i="1" s="1"/>
  <c r="L4473" i="1"/>
  <c r="L3399" i="1"/>
  <c r="L2112" i="1"/>
  <c r="L1997" i="1"/>
  <c r="L2224" i="1"/>
  <c r="L3220" i="1"/>
  <c r="M3220" i="1" s="1"/>
  <c r="L1842" i="1"/>
  <c r="L3193" i="1"/>
  <c r="L1601" i="1"/>
  <c r="L4570" i="1"/>
  <c r="L4512" i="1"/>
  <c r="L2156" i="1"/>
  <c r="M2156" i="1" s="1"/>
  <c r="L4277" i="1"/>
  <c r="L4060" i="1"/>
  <c r="L4239" i="1"/>
  <c r="L1516" i="1"/>
  <c r="L1875" i="1"/>
  <c r="L2460" i="1"/>
  <c r="M2460" i="1" s="1"/>
  <c r="L892" i="1"/>
  <c r="L1184" i="1"/>
  <c r="L164" i="1"/>
  <c r="L3573" i="1"/>
  <c r="L2623" i="1"/>
  <c r="L2637" i="1"/>
  <c r="M2637" i="1" s="1"/>
  <c r="L211" i="1"/>
  <c r="L4020" i="1"/>
  <c r="L1680" i="1"/>
  <c r="L4336" i="1"/>
  <c r="L3791" i="1"/>
  <c r="L1998" i="1"/>
  <c r="M1998" i="1" s="1"/>
  <c r="L2745" i="1"/>
  <c r="L3969" i="1"/>
  <c r="L4095" i="1"/>
  <c r="L261" i="1"/>
  <c r="L3428" i="1"/>
  <c r="L1301" i="1"/>
  <c r="M1301" i="1" s="1"/>
  <c r="L1330" i="1"/>
  <c r="L1334" i="1"/>
  <c r="L2607" i="1"/>
  <c r="L219" i="1"/>
  <c r="L1420" i="1"/>
  <c r="L1893" i="1"/>
  <c r="M1893" i="1" s="1"/>
  <c r="L1130" i="1"/>
  <c r="L3363" i="1"/>
  <c r="L559" i="1"/>
  <c r="L4214" i="1"/>
  <c r="L1155" i="1"/>
  <c r="L3754" i="1"/>
  <c r="M3754" i="1" s="1"/>
  <c r="L4940" i="1"/>
  <c r="L2281" i="1"/>
  <c r="L1934" i="1"/>
  <c r="L507" i="1"/>
  <c r="L4521" i="1"/>
  <c r="L35" i="1"/>
  <c r="M35" i="1" s="1"/>
  <c r="L2996" i="1"/>
  <c r="L1024" i="1"/>
  <c r="L1959" i="1"/>
  <c r="L570" i="1"/>
  <c r="L4274" i="1"/>
  <c r="L1190" i="1"/>
  <c r="M1190" i="1" s="1"/>
  <c r="L3127" i="1"/>
  <c r="L1031" i="1"/>
  <c r="L975" i="1"/>
  <c r="L4767" i="1"/>
  <c r="L3328" i="1"/>
  <c r="L3652" i="1"/>
  <c r="M3652" i="1" s="1"/>
  <c r="L3513" i="1"/>
  <c r="L2435" i="1"/>
  <c r="L883" i="1"/>
  <c r="L624" i="1"/>
  <c r="L1360" i="1"/>
  <c r="L2828" i="1"/>
  <c r="M2828" i="1" s="1"/>
  <c r="L364" i="1"/>
  <c r="L1286" i="1"/>
  <c r="L1843" i="1"/>
  <c r="L2531" i="1"/>
  <c r="L2145" i="1"/>
  <c r="L3502" i="1"/>
  <c r="M3502" i="1" s="1"/>
  <c r="L2624" i="1"/>
  <c r="L3371" i="1"/>
  <c r="L579" i="1"/>
  <c r="L4850" i="1"/>
  <c r="L3580" i="1"/>
  <c r="L3574" i="1"/>
  <c r="M3574" i="1" s="1"/>
  <c r="L1268" i="1"/>
  <c r="L2077" i="1"/>
  <c r="L4227" i="1"/>
  <c r="L2815" i="1"/>
  <c r="L4511" i="1"/>
  <c r="L3886" i="1"/>
  <c r="M3886" i="1" s="1"/>
  <c r="L840" i="1"/>
  <c r="L3970" i="1"/>
  <c r="L4074" i="1"/>
  <c r="L474" i="1"/>
  <c r="L1438" i="1"/>
  <c r="L2243" i="1"/>
  <c r="M2243" i="1" s="1"/>
  <c r="L3916" i="1"/>
  <c r="L4403" i="1"/>
  <c r="L1903" i="1"/>
  <c r="L2614" i="1"/>
  <c r="L131" i="1"/>
  <c r="L3538" i="1"/>
  <c r="M3538" i="1" s="1"/>
  <c r="L4499" i="1"/>
  <c r="L2914" i="1"/>
  <c r="L3278" i="1"/>
  <c r="L2608" i="1"/>
  <c r="L1132" i="1"/>
  <c r="L4096" i="1"/>
  <c r="M4096" i="1" s="1"/>
  <c r="L3827" i="1"/>
  <c r="L2615" i="1"/>
  <c r="L1991" i="1"/>
  <c r="L3442" i="1"/>
  <c r="L4123" i="1"/>
  <c r="L4229" i="1"/>
  <c r="M4229" i="1" s="1"/>
  <c r="L1661" i="1"/>
  <c r="L694" i="1"/>
  <c r="L4854" i="1"/>
  <c r="L4777" i="1"/>
  <c r="L4071" i="1"/>
  <c r="L4955" i="1"/>
  <c r="M4955" i="1" s="1"/>
  <c r="L1260" i="1"/>
  <c r="L3376" i="1"/>
  <c r="L3918" i="1"/>
  <c r="L1140" i="1"/>
  <c r="L4692" i="1"/>
  <c r="L1815" i="1"/>
  <c r="M1815" i="1" s="1"/>
  <c r="L4776" i="1"/>
  <c r="L4205" i="1"/>
  <c r="L3616" i="1"/>
  <c r="L2469" i="1"/>
  <c r="L1123" i="1"/>
  <c r="L4510" i="1"/>
  <c r="M4510" i="1" s="1"/>
  <c r="L1250" i="1"/>
  <c r="L3569" i="1"/>
  <c r="L1417" i="1"/>
  <c r="L4682" i="1"/>
  <c r="L1341" i="1"/>
  <c r="L4721" i="1"/>
  <c r="M4721" i="1" s="1"/>
  <c r="L2821" i="1"/>
  <c r="L329" i="1"/>
  <c r="L2976" i="1"/>
  <c r="L684" i="1"/>
  <c r="L307" i="1"/>
  <c r="L3225" i="1"/>
  <c r="M3225" i="1" s="1"/>
  <c r="L150" i="1"/>
  <c r="L2985" i="1"/>
  <c r="L1931" i="1"/>
  <c r="L1796" i="1"/>
  <c r="L2492" i="1"/>
  <c r="L4779" i="1"/>
  <c r="M4779" i="1" s="1"/>
  <c r="L3318" i="1"/>
  <c r="L1127" i="1"/>
  <c r="L379" i="1"/>
  <c r="L2200" i="1"/>
  <c r="L4912" i="1"/>
  <c r="L424" i="1"/>
  <c r="M424" i="1" s="1"/>
  <c r="L3979" i="1"/>
  <c r="L142" i="1"/>
  <c r="L3471" i="1"/>
  <c r="L1302" i="1"/>
  <c r="L2422" i="1"/>
  <c r="L717" i="1"/>
  <c r="M717" i="1" s="1"/>
  <c r="L680" i="1"/>
  <c r="L1381" i="1"/>
  <c r="L162" i="1"/>
  <c r="L4043" i="1"/>
  <c r="L3218" i="1"/>
  <c r="L486" i="1"/>
  <c r="M486" i="1" s="1"/>
  <c r="L3915" i="1"/>
  <c r="L3945" i="1"/>
  <c r="L950" i="1"/>
  <c r="L2158" i="1"/>
  <c r="L469" i="1"/>
  <c r="L2392" i="1"/>
  <c r="M2392" i="1" s="1"/>
  <c r="L831" i="1"/>
  <c r="L402" i="1"/>
  <c r="L4382" i="1"/>
  <c r="L1526" i="1"/>
  <c r="L2709" i="1"/>
  <c r="L963" i="1"/>
  <c r="M963" i="1" s="1"/>
  <c r="L522" i="1"/>
  <c r="L4687" i="1"/>
  <c r="L1037" i="1"/>
  <c r="L3563" i="1"/>
  <c r="L744" i="1"/>
  <c r="L4546" i="1"/>
  <c r="M4546" i="1" s="1"/>
  <c r="L1600" i="1"/>
  <c r="L212" i="1"/>
  <c r="L2778" i="1"/>
  <c r="L1393" i="1"/>
  <c r="L3192" i="1"/>
  <c r="L2706" i="1"/>
  <c r="M2706" i="1" s="1"/>
  <c r="L85" i="1"/>
  <c r="L3258" i="1"/>
  <c r="L1801" i="1"/>
  <c r="L2858" i="1"/>
  <c r="L2404" i="1"/>
  <c r="L4447" i="1"/>
  <c r="M4447" i="1" s="1"/>
  <c r="L3767" i="1"/>
  <c r="L4086" i="1"/>
  <c r="L305" i="1"/>
  <c r="L376" i="1"/>
  <c r="L877" i="1"/>
  <c r="L2652" i="1"/>
  <c r="M2652" i="1" s="1"/>
  <c r="L4813" i="1"/>
  <c r="L3481" i="1"/>
  <c r="L3347" i="1"/>
  <c r="L1296" i="1"/>
  <c r="L220" i="1"/>
  <c r="L3524" i="1"/>
  <c r="M3524" i="1" s="1"/>
  <c r="L3756" i="1"/>
  <c r="L4359" i="1"/>
  <c r="L4435" i="1"/>
  <c r="L1668" i="1"/>
  <c r="L3374" i="1"/>
  <c r="L3432" i="1"/>
  <c r="M3432" i="1" s="1"/>
  <c r="L4054" i="1"/>
  <c r="L3413" i="1"/>
  <c r="L1731" i="1"/>
  <c r="L2451" i="1"/>
  <c r="L3694" i="1"/>
  <c r="L675" i="1"/>
  <c r="M675" i="1" s="1"/>
  <c r="L4582" i="1"/>
  <c r="L4377" i="1"/>
  <c r="L3810" i="1"/>
  <c r="L3862" i="1"/>
  <c r="L656" i="1"/>
  <c r="L3638" i="1"/>
  <c r="M3638" i="1" s="1"/>
  <c r="L3761" i="1"/>
  <c r="L3914" i="1"/>
  <c r="L2977" i="1"/>
  <c r="L4739" i="1"/>
  <c r="L1690" i="1"/>
  <c r="L4731" i="1"/>
  <c r="M4731" i="1" s="1"/>
  <c r="L90" i="1"/>
  <c r="L1551" i="1"/>
  <c r="L4459" i="1"/>
  <c r="L3237" i="1"/>
  <c r="L3762" i="1"/>
  <c r="L4673" i="1"/>
  <c r="M4673" i="1" s="1"/>
  <c r="L4347" i="1"/>
  <c r="L2507" i="1"/>
  <c r="L1125" i="1"/>
  <c r="L4551" i="1"/>
  <c r="L2346" i="1"/>
  <c r="L1963" i="1"/>
  <c r="M1963" i="1" s="1"/>
  <c r="L850" i="1"/>
  <c r="L1057" i="1"/>
  <c r="L623" i="1"/>
  <c r="L2574" i="1"/>
  <c r="L133" i="1"/>
  <c r="L3443" i="1"/>
  <c r="M3443" i="1" s="1"/>
  <c r="L3981" i="1"/>
  <c r="L4477" i="1"/>
  <c r="L3479" i="1"/>
  <c r="L4045" i="1"/>
  <c r="L2697" i="1"/>
  <c r="L4730" i="1"/>
  <c r="M4730" i="1" s="1"/>
  <c r="L4977" i="1"/>
  <c r="L3906" i="1"/>
  <c r="L2552" i="1"/>
  <c r="L4031" i="1"/>
  <c r="L2634" i="1"/>
  <c r="L516" i="1"/>
  <c r="M516" i="1" s="1"/>
  <c r="L3518" i="1"/>
  <c r="L2430" i="1"/>
  <c r="L534" i="1"/>
  <c r="L4637" i="1"/>
  <c r="L3006" i="1"/>
  <c r="L4306" i="1"/>
  <c r="M4306" i="1" s="1"/>
  <c r="L4057" i="1"/>
  <c r="L2452" i="1"/>
  <c r="L2534" i="1"/>
  <c r="L3245" i="1"/>
  <c r="L3427" i="1"/>
  <c r="L3646" i="1"/>
  <c r="M3646" i="1" s="1"/>
  <c r="L2089" i="1"/>
  <c r="L3414" i="1"/>
  <c r="L2076" i="1"/>
  <c r="L3164" i="1"/>
  <c r="L209" i="1"/>
  <c r="L2930" i="1"/>
  <c r="M2930" i="1" s="1"/>
  <c r="L2375" i="1"/>
  <c r="L1770" i="1"/>
  <c r="L1962" i="1"/>
  <c r="L2496" i="1"/>
  <c r="L2992" i="1"/>
  <c r="L1053" i="1"/>
  <c r="M1053" i="1" s="1"/>
  <c r="L1450" i="1"/>
  <c r="L3778" i="1"/>
  <c r="L3263" i="1"/>
  <c r="L517" i="1"/>
  <c r="L4956" i="1"/>
  <c r="L1952" i="1"/>
  <c r="M1952" i="1" s="1"/>
  <c r="L4103" i="1"/>
  <c r="L1784" i="1"/>
  <c r="L3364" i="1"/>
  <c r="L1926" i="1"/>
  <c r="L2524" i="1"/>
  <c r="L1466" i="1"/>
  <c r="M1466" i="1" s="1"/>
  <c r="L487" i="1"/>
  <c r="L4602" i="1"/>
  <c r="L1282" i="1"/>
  <c r="L3420" i="1"/>
  <c r="L390" i="1"/>
  <c r="L3298" i="1"/>
  <c r="M3298" i="1" s="1"/>
  <c r="L4247" i="1"/>
  <c r="L1878" i="1"/>
  <c r="L1349" i="1"/>
  <c r="L4484" i="1"/>
  <c r="L4371" i="1"/>
  <c r="L1699" i="1"/>
  <c r="M1699" i="1" s="1"/>
  <c r="L1453" i="1"/>
  <c r="L2999" i="1"/>
  <c r="L1378" i="1"/>
  <c r="L1290" i="1"/>
  <c r="L242" i="1"/>
  <c r="L252" i="1"/>
  <c r="M252" i="1" s="1"/>
  <c r="L708" i="1"/>
  <c r="L2419" i="1"/>
  <c r="L1851" i="1"/>
  <c r="L1739" i="1"/>
  <c r="L1988" i="1"/>
  <c r="L312" i="1"/>
  <c r="M312" i="1" s="1"/>
  <c r="L640" i="1"/>
  <c r="L1907" i="1"/>
  <c r="L1090" i="1"/>
  <c r="L2312" i="1"/>
  <c r="L313" i="1"/>
  <c r="L696" i="1"/>
  <c r="M696" i="1" s="1"/>
  <c r="L3980" i="1"/>
  <c r="L4593" i="1"/>
  <c r="L4769" i="1"/>
  <c r="L2316" i="1"/>
  <c r="L977" i="1"/>
  <c r="L4431" i="1"/>
  <c r="M4431" i="1" s="1"/>
  <c r="L4547" i="1"/>
  <c r="L3057" i="1"/>
  <c r="L471" i="1"/>
  <c r="L4823" i="1"/>
  <c r="L614" i="1"/>
  <c r="L4537" i="1"/>
  <c r="M4537" i="1" s="1"/>
  <c r="L1989" i="1"/>
  <c r="L1639" i="1"/>
  <c r="L901" i="1"/>
  <c r="L908" i="1"/>
  <c r="L1492" i="1"/>
  <c r="L2160" i="1"/>
  <c r="M2160" i="1" s="1"/>
  <c r="L1416" i="1"/>
  <c r="L3846" i="1"/>
  <c r="L3921" i="1"/>
  <c r="L2816" i="1"/>
  <c r="L2221" i="1"/>
  <c r="L1778" i="1"/>
  <c r="M1778" i="1" s="1"/>
  <c r="L165" i="1"/>
  <c r="L2750" i="1"/>
  <c r="L921" i="1"/>
  <c r="L1677" i="1"/>
  <c r="L4288" i="1"/>
  <c r="L1909" i="1"/>
  <c r="M1909" i="1" s="1"/>
  <c r="L1549" i="1"/>
  <c r="L2836" i="1"/>
  <c r="L2935" i="1"/>
  <c r="L1530" i="1"/>
  <c r="L3751" i="1"/>
  <c r="L3957" i="1"/>
  <c r="M3957" i="1" s="1"/>
  <c r="L685" i="1"/>
  <c r="L759" i="1"/>
  <c r="L207" i="1"/>
  <c r="L4890" i="1"/>
  <c r="L3244" i="1"/>
  <c r="L4988" i="1"/>
  <c r="M4988" i="1" s="1"/>
  <c r="L56" i="1"/>
  <c r="L4733" i="1"/>
  <c r="L5003" i="1"/>
  <c r="L2173" i="1"/>
  <c r="L991" i="1"/>
  <c r="L4124" i="1"/>
  <c r="M4124" i="1" s="1"/>
  <c r="L2400" i="1"/>
  <c r="L3570" i="1"/>
  <c r="L4452" i="1"/>
  <c r="L689" i="1"/>
  <c r="L4082" i="1"/>
  <c r="L658" i="1"/>
  <c r="M658" i="1" s="1"/>
  <c r="L1357" i="1"/>
  <c r="L1198" i="1"/>
  <c r="L195" i="1"/>
  <c r="L3011" i="1"/>
  <c r="L4691" i="1"/>
  <c r="L2626" i="1"/>
  <c r="M2626" i="1" s="1"/>
  <c r="L4901" i="1"/>
  <c r="L3526" i="1"/>
  <c r="L1295" i="1"/>
  <c r="L3001" i="1"/>
  <c r="L2931" i="1"/>
  <c r="L1384" i="1"/>
  <c r="M1384" i="1" s="1"/>
  <c r="L3059" i="1"/>
  <c r="L3868" i="1"/>
  <c r="L1819" i="1"/>
  <c r="L1012" i="1"/>
  <c r="L1886" i="1"/>
  <c r="L1177" i="1"/>
  <c r="M1177" i="1" s="1"/>
  <c r="L3150" i="1"/>
  <c r="L3763" i="1"/>
  <c r="L321" i="1"/>
  <c r="L3102" i="1"/>
  <c r="L2921" i="1"/>
  <c r="L3999" i="1"/>
  <c r="M3999" i="1" s="1"/>
  <c r="L4058" i="1"/>
  <c r="L3955" i="1"/>
  <c r="L4360" i="1"/>
  <c r="L2091" i="1"/>
  <c r="L4807" i="1"/>
  <c r="L1910" i="1"/>
  <c r="M1910" i="1" s="1"/>
  <c r="L766" i="1"/>
  <c r="L4782" i="1"/>
  <c r="L526" i="1"/>
  <c r="L2128" i="1"/>
  <c r="L3890" i="1"/>
  <c r="L2189" i="1"/>
  <c r="M2189" i="1" s="1"/>
  <c r="L367" i="1"/>
  <c r="L3605" i="1"/>
  <c r="L428" i="1"/>
  <c r="L1458" i="1"/>
  <c r="L4824" i="1"/>
  <c r="L1460" i="1"/>
  <c r="M1460" i="1" s="1"/>
  <c r="L2699" i="1"/>
  <c r="L1050" i="1"/>
  <c r="L816" i="1"/>
  <c r="L1557" i="1"/>
  <c r="L3219" i="1"/>
  <c r="L4167" i="1"/>
  <c r="M4167" i="1" s="1"/>
  <c r="L914" i="1"/>
  <c r="L124" i="1"/>
  <c r="L110" i="1"/>
  <c r="L4243" i="1"/>
  <c r="L3647" i="1"/>
  <c r="L2057" i="1"/>
  <c r="M2057" i="1" s="1"/>
  <c r="L2084" i="1"/>
  <c r="L1726" i="1"/>
  <c r="L798" i="1"/>
  <c r="L2742" i="1"/>
  <c r="L10" i="1"/>
  <c r="L4029" i="1"/>
  <c r="M4029" i="1" s="1"/>
  <c r="L2494" i="1"/>
  <c r="L5006" i="1"/>
  <c r="L4945" i="1"/>
  <c r="L3299" i="1"/>
  <c r="L3408" i="1"/>
  <c r="L2450" i="1"/>
  <c r="M2450" i="1" s="1"/>
  <c r="L4351" i="1"/>
  <c r="L1781" i="1"/>
  <c r="L3866" i="1"/>
  <c r="L3521" i="1"/>
  <c r="L1812" i="1"/>
  <c r="L3082" i="1"/>
  <c r="M3082" i="1" s="1"/>
  <c r="L4820" i="1"/>
  <c r="L4072" i="1"/>
  <c r="L119" i="1"/>
  <c r="L1545" i="1"/>
  <c r="L2803" i="1"/>
  <c r="L1811" i="1"/>
  <c r="M1811" i="1" s="1"/>
  <c r="L3138" i="1"/>
  <c r="L1732" i="1"/>
  <c r="L4958" i="1"/>
  <c r="L1463" i="1"/>
  <c r="L1166" i="1"/>
  <c r="L4559" i="1"/>
  <c r="M4559" i="1" s="1"/>
  <c r="L4104" i="1"/>
  <c r="L344" i="1"/>
  <c r="L3718" i="1"/>
  <c r="L1740" i="1"/>
  <c r="L730" i="1"/>
  <c r="L3588" i="1"/>
  <c r="M3588" i="1" s="1"/>
  <c r="L2897" i="1"/>
  <c r="L5" i="1"/>
  <c r="L2721" i="1"/>
  <c r="L3973" i="1"/>
  <c r="L453" i="1"/>
  <c r="L4130" i="1"/>
  <c r="M4130" i="1" s="1"/>
  <c r="L2051" i="1"/>
  <c r="L1570" i="1"/>
  <c r="L632" i="1"/>
  <c r="L2378" i="1"/>
  <c r="L2330" i="1"/>
  <c r="L2421" i="1"/>
  <c r="M2421" i="1" s="1"/>
  <c r="L4690" i="1"/>
  <c r="L1804" i="1"/>
  <c r="L1514" i="1"/>
  <c r="L4851" i="1"/>
  <c r="L2360" i="1"/>
  <c r="L4712" i="1"/>
  <c r="M4712" i="1" s="1"/>
  <c r="L4795" i="1"/>
  <c r="L3661" i="1"/>
  <c r="L988" i="1"/>
  <c r="L923" i="1"/>
  <c r="L4249" i="1"/>
  <c r="L299" i="1"/>
  <c r="M299" i="1" s="1"/>
  <c r="L4056" i="1"/>
  <c r="L1723" i="1"/>
  <c r="L4856" i="1"/>
  <c r="L1348" i="1"/>
  <c r="L1208" i="1"/>
  <c r="L4157" i="1"/>
  <c r="M4157" i="1" s="1"/>
  <c r="L3658" i="1"/>
  <c r="L2095" i="1"/>
  <c r="L4391" i="1"/>
  <c r="L3829" i="1"/>
  <c r="L2205" i="1"/>
  <c r="L461" i="1"/>
  <c r="M461" i="1" s="1"/>
  <c r="L3929" i="1"/>
  <c r="L282" i="1"/>
  <c r="L985" i="1"/>
  <c r="L4380" i="1"/>
  <c r="L2989" i="1"/>
  <c r="L4842" i="1"/>
  <c r="M4842" i="1" s="1"/>
  <c r="L4655" i="1"/>
  <c r="L4278" i="1"/>
  <c r="L1377" i="1"/>
  <c r="L2363" i="1"/>
  <c r="L1365" i="1"/>
  <c r="L4225" i="1"/>
  <c r="M4225" i="1" s="1"/>
  <c r="L3713" i="1"/>
  <c r="L128" i="1"/>
  <c r="L699" i="1"/>
  <c r="L4696" i="1"/>
  <c r="L3881" i="1"/>
  <c r="L4427" i="1"/>
  <c r="M4427" i="1" s="1"/>
  <c r="L3074" i="1"/>
  <c r="L4404" i="1"/>
  <c r="L4622" i="1"/>
  <c r="L2347" i="1"/>
  <c r="L621" i="1"/>
  <c r="L981" i="1"/>
  <c r="M981" i="1" s="1"/>
  <c r="L2932" i="1"/>
  <c r="L2132" i="1"/>
  <c r="L4518" i="1"/>
  <c r="L4405" i="1"/>
  <c r="L1983" i="1"/>
  <c r="L1708" i="1"/>
  <c r="M1708" i="1" s="1"/>
  <c r="L2161" i="1"/>
  <c r="L4034" i="1"/>
  <c r="L528" i="1"/>
  <c r="L1640" i="1"/>
  <c r="L4697" i="1"/>
  <c r="L2083" i="1"/>
  <c r="M2083" i="1" s="1"/>
  <c r="L4968" i="1"/>
  <c r="L1978" i="1"/>
  <c r="L536" i="1"/>
  <c r="L4187" i="1"/>
  <c r="L1927" i="1"/>
  <c r="L4980" i="1"/>
  <c r="M4980" i="1" s="1"/>
  <c r="L3878" i="1"/>
  <c r="L532" i="1"/>
  <c r="L3490" i="1"/>
  <c r="L3086" i="1"/>
  <c r="L875" i="1"/>
  <c r="L1789" i="1"/>
  <c r="M1789" i="1" s="1"/>
  <c r="L284" i="1"/>
  <c r="L1901" i="1"/>
  <c r="L4425" i="1"/>
  <c r="L617" i="1"/>
  <c r="L2521" i="1"/>
  <c r="L2403" i="1"/>
  <c r="M2403" i="1" s="1"/>
  <c r="L2410" i="1"/>
  <c r="L2066" i="1"/>
  <c r="L664" i="1"/>
  <c r="L4946" i="1"/>
  <c r="L647" i="1"/>
  <c r="L4715" i="1"/>
  <c r="M4715" i="1" s="1"/>
  <c r="L1676" i="1"/>
  <c r="L3215" i="1"/>
  <c r="L2198" i="1"/>
  <c r="L2250" i="1"/>
  <c r="L4017" i="1"/>
  <c r="L3737" i="1"/>
  <c r="M3737" i="1" s="1"/>
  <c r="L4313" i="1"/>
  <c r="L2437" i="1"/>
  <c r="L4695" i="1"/>
  <c r="L4566" i="1"/>
  <c r="L3867" i="1"/>
  <c r="L1121" i="1"/>
  <c r="M1121" i="1" s="1"/>
  <c r="L2755" i="1"/>
  <c r="L1753" i="1"/>
  <c r="L2062" i="1"/>
  <c r="L674" i="1"/>
  <c r="L669" i="1"/>
  <c r="L331" i="1"/>
  <c r="M331" i="1" s="1"/>
  <c r="L836" i="1"/>
  <c r="L4331" i="1"/>
  <c r="L4992" i="1"/>
  <c r="L2067" i="1"/>
  <c r="L3830" i="1"/>
  <c r="L1913" i="1"/>
  <c r="M1913" i="1" s="1"/>
  <c r="L1696" i="1"/>
  <c r="L954" i="1"/>
  <c r="L1159" i="1"/>
  <c r="L2364" i="1"/>
  <c r="L2610" i="1"/>
  <c r="L4872" i="1"/>
  <c r="M4872" i="1" s="1"/>
  <c r="L2049" i="1"/>
  <c r="L4346" i="1"/>
  <c r="L2019" i="1"/>
  <c r="L3087" i="1"/>
  <c r="L594" i="1"/>
  <c r="L506" i="1"/>
  <c r="M506" i="1" s="1"/>
  <c r="L884" i="1"/>
  <c r="L1595" i="1"/>
  <c r="L1841" i="1"/>
  <c r="L4674" i="1"/>
  <c r="L874" i="1"/>
  <c r="L4818" i="1"/>
  <c r="M4818" i="1" s="1"/>
  <c r="L2662" i="1"/>
  <c r="L4833" i="1"/>
  <c r="L2661" i="1"/>
  <c r="L475" i="1"/>
  <c r="L4995" i="1"/>
  <c r="L4864" i="1"/>
  <c r="M4864" i="1" s="1"/>
  <c r="L1091" i="1"/>
  <c r="L3208" i="1"/>
  <c r="L3081" i="1"/>
  <c r="L4134" i="1"/>
  <c r="L1540" i="1"/>
  <c r="L1966" i="1"/>
  <c r="M1966" i="1" s="1"/>
  <c r="L1165" i="1"/>
  <c r="L1650" i="1"/>
  <c r="L3990" i="1"/>
  <c r="L2712" i="1"/>
  <c r="L3942" i="1"/>
  <c r="L3277" i="1"/>
  <c r="M3277" i="1" s="1"/>
  <c r="L1322" i="1"/>
  <c r="L301" i="1"/>
  <c r="L1970" i="1"/>
  <c r="L633" i="1"/>
  <c r="L3993" i="1"/>
  <c r="L2910" i="1"/>
  <c r="M2910" i="1" s="1"/>
  <c r="L1611" i="1"/>
  <c r="L268" i="1"/>
  <c r="L4423" i="1"/>
  <c r="L3438" i="1"/>
  <c r="L3154" i="1"/>
  <c r="L3452" i="1"/>
  <c r="M3452" i="1" s="1"/>
  <c r="L859" i="1"/>
  <c r="L2569" i="1"/>
  <c r="L2759" i="1"/>
  <c r="L4417" i="1"/>
  <c r="L1984" i="1"/>
  <c r="L2374" i="1"/>
  <c r="M2374" i="1" s="1"/>
  <c r="L823" i="1"/>
  <c r="L967" i="1"/>
  <c r="L1315" i="1"/>
  <c r="L1760" i="1"/>
  <c r="L5008" i="1"/>
  <c r="L4642" i="1"/>
  <c r="M4642" i="1" s="1"/>
  <c r="L1483" i="1"/>
  <c r="L3541" i="1"/>
  <c r="L2031" i="1"/>
  <c r="L4913" i="1"/>
  <c r="L1412" i="1"/>
  <c r="L4792" i="1"/>
  <c r="M4792" i="1" s="1"/>
  <c r="L3943" i="1"/>
  <c r="L2605" i="1"/>
  <c r="L753" i="1"/>
  <c r="L878" i="1"/>
  <c r="L1682" i="1"/>
  <c r="L3026" i="1"/>
  <c r="M3026" i="1" s="1"/>
  <c r="L1568" i="1"/>
  <c r="L2443" i="1"/>
  <c r="L1543" i="1"/>
  <c r="L727" i="1"/>
  <c r="L2934" i="1"/>
  <c r="L4941" i="1"/>
  <c r="M4941" i="1" s="1"/>
  <c r="L4287" i="1"/>
  <c r="L1633" i="1"/>
  <c r="L545" i="1"/>
  <c r="L1848" i="1"/>
  <c r="L1402" i="1"/>
  <c r="L897" i="1"/>
  <c r="M897" i="1" s="1"/>
  <c r="L1884" i="1"/>
  <c r="L4811" i="1"/>
  <c r="L4620" i="1"/>
  <c r="L4830" i="1"/>
  <c r="L1746" i="1"/>
  <c r="L4812" i="1"/>
  <c r="M4812" i="1" s="1"/>
  <c r="L655" i="1"/>
  <c r="L3684" i="1"/>
  <c r="L1379" i="1"/>
  <c r="L3682" i="1"/>
  <c r="L2872" i="1"/>
  <c r="L2811" i="1"/>
  <c r="M2811" i="1" s="1"/>
  <c r="L2233" i="1"/>
  <c r="L1442" i="1"/>
  <c r="L1004" i="1"/>
  <c r="L4138" i="1"/>
  <c r="L1829" i="1"/>
  <c r="L3656" i="1"/>
  <c r="M3656" i="1" s="1"/>
  <c r="L4496" i="1"/>
  <c r="L2947" i="1"/>
  <c r="L3982" i="1"/>
  <c r="L1554" i="1"/>
  <c r="L4561" i="1"/>
  <c r="L886" i="1"/>
  <c r="M886" i="1" s="1"/>
  <c r="L3766" i="1"/>
  <c r="L3105" i="1"/>
  <c r="L571" i="1"/>
  <c r="L3935" i="1"/>
  <c r="L1706" i="1"/>
  <c r="L499" i="1"/>
  <c r="M499" i="1" s="1"/>
  <c r="L1317" i="1"/>
  <c r="L423" i="1"/>
  <c r="L4161" i="1"/>
  <c r="L4392" i="1"/>
  <c r="L31" i="1"/>
  <c r="L1243" i="1"/>
  <c r="M1243" i="1" s="1"/>
  <c r="L318" i="1"/>
  <c r="L4790" i="1"/>
  <c r="L1967" i="1"/>
  <c r="L3670" i="1"/>
  <c r="L273" i="1"/>
  <c r="L234" i="1"/>
  <c r="M234" i="1" s="1"/>
  <c r="L4814" i="1"/>
  <c r="L3798" i="1"/>
  <c r="L40" i="1"/>
  <c r="L4764" i="1"/>
  <c r="L146" i="1"/>
  <c r="L911" i="1"/>
  <c r="M911" i="1" s="1"/>
  <c r="L1390" i="1"/>
  <c r="L1154" i="1"/>
  <c r="L1215" i="1"/>
  <c r="L544" i="1"/>
  <c r="L3395" i="1"/>
  <c r="L917" i="1"/>
  <c r="M917" i="1" s="1"/>
  <c r="L411" i="1"/>
  <c r="L3824" i="1"/>
  <c r="L4971" i="1"/>
  <c r="L3023" i="1"/>
  <c r="L1609" i="1"/>
  <c r="L673" i="1"/>
  <c r="M673" i="1" s="1"/>
  <c r="L1764" i="1"/>
  <c r="L4166" i="1"/>
  <c r="L2037" i="1"/>
  <c r="L976" i="1"/>
  <c r="L706" i="1"/>
  <c r="L3478" i="1"/>
  <c r="M3478" i="1" s="1"/>
  <c r="L2345" i="1"/>
  <c r="L22" i="1"/>
  <c r="L3261" i="1"/>
  <c r="L1624" i="1"/>
  <c r="L4564" i="1"/>
  <c r="L345" i="1"/>
  <c r="M345" i="1" s="1"/>
  <c r="L1128" i="1"/>
  <c r="L1480" i="1"/>
  <c r="L3217" i="1"/>
  <c r="L2806" i="1"/>
  <c r="L4944" i="1"/>
  <c r="L1612" i="1"/>
  <c r="M1612" i="1" s="1"/>
  <c r="L574" i="1"/>
  <c r="L2825" i="1"/>
  <c r="L881" i="1"/>
  <c r="L898" i="1"/>
  <c r="L334" i="1"/>
  <c r="L1247" i="1"/>
  <c r="L3601" i="1"/>
  <c r="L2533" i="1"/>
  <c r="L2177" i="1"/>
  <c r="L2498" i="1"/>
  <c r="L1382" i="1"/>
  <c r="L3262" i="1"/>
  <c r="L3869" i="1"/>
  <c r="L3848" i="1"/>
  <c r="L4997" i="1"/>
  <c r="L4093" i="1"/>
  <c r="L1361" i="1"/>
  <c r="L1756" i="1"/>
  <c r="L3009" i="1"/>
  <c r="L864" i="1"/>
  <c r="L1763" i="1"/>
  <c r="L4659" i="1"/>
  <c r="L3003" i="1"/>
  <c r="L4330" i="1"/>
  <c r="L4708" i="1"/>
  <c r="L3336" i="1"/>
  <c r="L1912" i="1"/>
  <c r="L262" i="1"/>
  <c r="L3660" i="1"/>
  <c r="L2765" i="1"/>
  <c r="L74" i="1"/>
  <c r="L4607" i="1"/>
  <c r="L4752" i="1"/>
  <c r="L2008" i="1"/>
  <c r="L4936" i="1"/>
  <c r="L1647" i="1"/>
  <c r="L3885" i="1"/>
  <c r="L4981" i="1"/>
  <c r="L4206" i="1"/>
  <c r="L1925" i="1"/>
  <c r="L1358" i="1"/>
  <c r="L3296" i="1"/>
  <c r="L4616" i="1"/>
  <c r="L1456" i="1"/>
  <c r="L2905" i="1"/>
  <c r="L709" i="1"/>
  <c r="L4194" i="1"/>
  <c r="L4341" i="1"/>
  <c r="L2336" i="1"/>
  <c r="L4140" i="1"/>
  <c r="L569" i="1"/>
  <c r="L3557" i="1"/>
  <c r="L4478" i="1"/>
  <c r="L4401" i="1"/>
  <c r="L4171" i="1"/>
  <c r="L793" i="1"/>
  <c r="L4046" i="1"/>
  <c r="L650" i="1"/>
  <c r="L3759" i="1"/>
  <c r="L3415" i="1"/>
  <c r="L1482" i="1"/>
  <c r="L2656" i="1"/>
  <c r="L2127" i="1"/>
  <c r="L437" i="1"/>
  <c r="L197" i="1"/>
  <c r="L785" i="1"/>
  <c r="L3259" i="1"/>
  <c r="L885" i="1"/>
  <c r="L463" i="1"/>
  <c r="L184" i="1"/>
  <c r="L4503" i="1"/>
  <c r="L3736" i="1"/>
  <c r="L3623" i="1"/>
  <c r="L2987" i="1"/>
  <c r="L4531" i="1"/>
  <c r="L1728" i="1"/>
  <c r="L2407" i="1"/>
  <c r="L1148" i="1"/>
  <c r="L443" i="1"/>
  <c r="L533" i="1"/>
  <c r="L5009" i="1"/>
  <c r="L4773" i="1"/>
  <c r="L1220" i="1"/>
  <c r="L2585" i="1"/>
  <c r="L1757" i="1"/>
  <c r="L4302" i="1"/>
  <c r="L4209" i="1"/>
  <c r="L2513" i="1"/>
  <c r="L319" i="1"/>
  <c r="L2097" i="1"/>
  <c r="L3975" i="1"/>
  <c r="L1750" i="1"/>
  <c r="L1316" i="1"/>
  <c r="L3632" i="1"/>
  <c r="L1105" i="1"/>
  <c r="L1471" i="1"/>
  <c r="L1470" i="1"/>
  <c r="L2555" i="1"/>
  <c r="L3352" i="1"/>
  <c r="L1883" i="1"/>
  <c r="L4660" i="1"/>
  <c r="L4268" i="1"/>
  <c r="L868" i="1"/>
  <c r="L467" i="1"/>
  <c r="L503" i="1"/>
  <c r="L4998" i="1"/>
  <c r="L4588" i="1"/>
  <c r="L3055" i="1"/>
  <c r="L1727" i="1"/>
  <c r="L4817" i="1"/>
  <c r="L749" i="1"/>
  <c r="L2724" i="1"/>
  <c r="L4784" i="1"/>
  <c r="L4048" i="1"/>
  <c r="L1059" i="1"/>
  <c r="L1074" i="1"/>
  <c r="L2998" i="1"/>
  <c r="L1021" i="1"/>
  <c r="L4750" i="1"/>
  <c r="L4044" i="1"/>
  <c r="L4024" i="1"/>
  <c r="L2522" i="1"/>
  <c r="L3894" i="1"/>
  <c r="L3530" i="1"/>
  <c r="L646" i="1"/>
  <c r="L457" i="1"/>
  <c r="L629" i="1"/>
  <c r="L4880" i="1"/>
  <c r="L33" i="1"/>
  <c r="L535" i="1"/>
  <c r="L4796" i="1"/>
  <c r="L2527" i="1"/>
  <c r="L3495" i="1"/>
  <c r="L2310" i="1"/>
  <c r="L584" i="1"/>
  <c r="L4527" i="1"/>
  <c r="L960" i="1"/>
  <c r="L2133" i="1"/>
  <c r="L1580" i="1"/>
  <c r="L5011" i="1"/>
  <c r="L2495" i="1"/>
  <c r="L1797" i="1"/>
  <c r="L4853" i="1"/>
  <c r="L2582" i="1"/>
  <c r="L1281" i="1"/>
  <c r="L1608" i="1"/>
  <c r="L844" i="1"/>
  <c r="L3233" i="1"/>
  <c r="L2577" i="1"/>
  <c r="L1191" i="1"/>
  <c r="L4644" i="1"/>
  <c r="L547" i="1"/>
  <c r="L3801" i="1"/>
  <c r="L218" i="1"/>
  <c r="L3633" i="1"/>
  <c r="L2505" i="1"/>
  <c r="L4982" i="1"/>
  <c r="L1023" i="1"/>
  <c r="L4875" i="1"/>
  <c r="L2483" i="1"/>
  <c r="L974" i="1"/>
  <c r="L3381" i="1"/>
  <c r="L3039" i="1"/>
  <c r="L3728" i="1"/>
  <c r="L2171" i="1"/>
  <c r="L3873" i="1"/>
  <c r="L1651" i="1"/>
  <c r="L4448" i="1"/>
  <c r="L3992" i="1"/>
  <c r="L4022" i="1"/>
  <c r="L4350" i="1"/>
  <c r="L1593" i="1"/>
  <c r="L4141" i="1"/>
  <c r="L3405" i="1"/>
  <c r="L3369" i="1"/>
  <c r="L4645" i="1"/>
  <c r="L2137" i="1"/>
  <c r="L2005" i="1"/>
  <c r="L291" i="1"/>
  <c r="L3257" i="1"/>
  <c r="L2294" i="1"/>
  <c r="L1546" i="1"/>
  <c r="L4495" i="1"/>
  <c r="L176" i="1"/>
  <c r="L2939" i="1"/>
  <c r="L4111" i="1"/>
  <c r="L4471" i="1"/>
  <c r="L1421" i="1"/>
  <c r="L4145" i="1"/>
  <c r="L610" i="1"/>
  <c r="L1626" i="1"/>
  <c r="L1828" i="1"/>
  <c r="L2544" i="1"/>
  <c r="L2680" i="1"/>
  <c r="L2088" i="1"/>
  <c r="L2322" i="1"/>
  <c r="L511" i="1"/>
  <c r="L3084" i="1"/>
  <c r="L1136" i="1"/>
  <c r="L1111" i="1"/>
  <c r="L4281" i="1"/>
  <c r="L1332" i="1"/>
  <c r="L1675" i="1"/>
  <c r="L2692" i="1"/>
  <c r="L554" i="1"/>
  <c r="L2529" i="1"/>
  <c r="L2382" i="1"/>
  <c r="L3068" i="1"/>
  <c r="L4469" i="1"/>
  <c r="L4887" i="1"/>
  <c r="L1870" i="1"/>
  <c r="L1285" i="1"/>
  <c r="L2689" i="1"/>
  <c r="L2034" i="1"/>
  <c r="L1636" i="1"/>
  <c r="L3499" i="1"/>
  <c r="L4530" i="1"/>
  <c r="L3672" i="1"/>
  <c r="L4007" i="1"/>
  <c r="L856" i="1"/>
  <c r="L4746" i="1"/>
  <c r="L837" i="1"/>
  <c r="L293" i="1"/>
  <c r="L1297" i="1"/>
  <c r="L3776" i="1"/>
  <c r="L767" i="1"/>
  <c r="L4640" i="1"/>
  <c r="L3724" i="1"/>
  <c r="L185" i="1"/>
  <c r="L1257" i="1"/>
  <c r="L3904" i="1"/>
  <c r="L2853" i="1"/>
  <c r="L1240" i="1"/>
  <c r="L4632" i="1"/>
  <c r="L2082" i="1"/>
  <c r="L3814" i="1"/>
  <c r="L4760" i="1"/>
  <c r="L1172" i="1"/>
  <c r="L1665" i="1"/>
  <c r="L2949" i="1"/>
  <c r="L1589" i="1"/>
  <c r="L2831" i="1"/>
  <c r="L13" i="1"/>
  <c r="L3250" i="1"/>
  <c r="L1153" i="1"/>
  <c r="L2406" i="1"/>
  <c r="L3952" i="1"/>
  <c r="L1147" i="1"/>
  <c r="L4426" i="1"/>
  <c r="L1790" i="1"/>
  <c r="L1902" i="1"/>
  <c r="L2945" i="1"/>
  <c r="L4589" i="1"/>
  <c r="L3241" i="1"/>
  <c r="L591" i="1"/>
  <c r="L1443" i="1"/>
  <c r="L4848" i="1"/>
  <c r="L355" i="1"/>
  <c r="L4436" i="1"/>
  <c r="L1321" i="1"/>
  <c r="L3901" i="1"/>
  <c r="L1298" i="1"/>
  <c r="L639" i="1"/>
  <c r="L1029" i="1"/>
  <c r="L16" i="1"/>
  <c r="L208" i="1"/>
  <c r="L2500" i="1"/>
  <c r="L3167" i="1"/>
  <c r="L2881" i="1"/>
  <c r="L352" i="1"/>
  <c r="L59" i="1"/>
  <c r="L1325" i="1"/>
  <c r="L1192" i="1"/>
  <c r="L4127" i="1"/>
  <c r="L4315" i="1"/>
  <c r="L2226" i="1"/>
  <c r="L495" i="1"/>
  <c r="L3247" i="1"/>
  <c r="L1276" i="1"/>
  <c r="L2671" i="1"/>
  <c r="L4753" i="1"/>
  <c r="L871" i="1"/>
  <c r="L2242" i="1"/>
  <c r="L4600" i="1"/>
  <c r="L3385" i="1"/>
  <c r="L1170" i="1"/>
  <c r="L729" i="1"/>
  <c r="L2047" i="1"/>
  <c r="L2570" i="1"/>
  <c r="L2317" i="1"/>
  <c r="L3607" i="1"/>
  <c r="L1799" i="1"/>
  <c r="L4424" i="1"/>
  <c r="L4375" i="1"/>
  <c r="L2326" i="1"/>
  <c r="L4494" i="1"/>
  <c r="L1314" i="1"/>
  <c r="L1678" i="1"/>
  <c r="L3551" i="1"/>
  <c r="L4832" i="1"/>
  <c r="L3018" i="1"/>
  <c r="L4261" i="1"/>
  <c r="L1194" i="1"/>
  <c r="L3614" i="1"/>
  <c r="L28" i="1"/>
  <c r="L2627" i="1"/>
  <c r="L4394" i="1"/>
  <c r="L3831" i="1"/>
  <c r="L4653" i="1"/>
  <c r="L786" i="1"/>
  <c r="L2819" i="1"/>
  <c r="L2211" i="1"/>
  <c r="L2446" i="1"/>
  <c r="L2324" i="1"/>
  <c r="L4756" i="1"/>
  <c r="L2622" i="1"/>
  <c r="L4961" i="1"/>
  <c r="L4397" i="1"/>
  <c r="L3453" i="1"/>
  <c r="L926" i="1"/>
  <c r="L4843" i="1"/>
  <c r="L4844" i="1"/>
  <c r="L427" i="1"/>
  <c r="L4972" i="1"/>
  <c r="L214" i="1"/>
  <c r="L4238" i="1"/>
  <c r="L783" i="1"/>
  <c r="L4606" i="1"/>
  <c r="L1391" i="1"/>
  <c r="L585" i="1"/>
  <c r="L2059" i="1"/>
  <c r="L4160" i="1"/>
  <c r="L4889" i="1"/>
  <c r="L803" i="1"/>
  <c r="L4507" i="1"/>
  <c r="L386" i="1"/>
  <c r="L3085" i="1"/>
  <c r="L2643" i="1"/>
  <c r="L4594" i="1"/>
  <c r="L2455" i="1"/>
  <c r="L4874" i="1"/>
  <c r="L1066" i="1"/>
  <c r="L158" i="1"/>
  <c r="L1318" i="1"/>
  <c r="L4603" i="1"/>
  <c r="L2678" i="1"/>
  <c r="L4729" i="1"/>
  <c r="L4309" i="1"/>
  <c r="L596" i="1"/>
  <c r="L3307" i="1"/>
  <c r="L4497" i="1"/>
  <c r="L3789" i="1"/>
  <c r="L7" i="1"/>
  <c r="L3548" i="1"/>
  <c r="L1039" i="1"/>
  <c r="L173" i="1"/>
  <c r="L3834" i="1"/>
  <c r="L1312" i="1"/>
  <c r="L468" i="1"/>
  <c r="L3043" i="1"/>
  <c r="L678" i="1"/>
  <c r="L1946" i="1"/>
  <c r="L1806" i="1"/>
  <c r="L2136" i="1"/>
  <c r="L144" i="1"/>
  <c r="L1918" i="1"/>
  <c r="L155" i="1"/>
  <c r="L2514" i="1"/>
  <c r="L4604" i="1"/>
  <c r="L4256" i="1"/>
  <c r="L401" i="1"/>
  <c r="L2134" i="1"/>
  <c r="L542" i="1"/>
  <c r="L810" i="1"/>
  <c r="L3500" i="1"/>
  <c r="L3769" i="1"/>
  <c r="L971" i="1"/>
  <c r="L2368" i="1"/>
  <c r="L388" i="1"/>
  <c r="L2278" i="1"/>
  <c r="L2609" i="1"/>
  <c r="L2869" i="1"/>
  <c r="L4216" i="1"/>
  <c r="L4994" i="1"/>
  <c r="L4150" i="1"/>
  <c r="L4486" i="1"/>
  <c r="L705" i="1"/>
  <c r="L3200" i="1"/>
  <c r="L1692" i="1"/>
  <c r="L4976" i="1"/>
  <c r="L2395" i="1"/>
  <c r="L3320" i="1"/>
  <c r="L3162" i="1"/>
  <c r="L2728" i="1"/>
  <c r="L1613" i="1"/>
  <c r="L2679" i="1"/>
  <c r="L3287" i="1"/>
  <c r="L4745" i="1"/>
  <c r="L4658" i="1"/>
  <c r="L3378" i="1"/>
  <c r="L4727" i="1"/>
  <c r="L4075" i="1"/>
  <c r="L3641" i="1"/>
  <c r="L112" i="1"/>
  <c r="L4768" i="1"/>
  <c r="L3628" i="1"/>
  <c r="L288" i="1"/>
  <c r="L3124" i="1"/>
  <c r="L2655" i="1"/>
  <c r="L4953" i="1"/>
  <c r="L134" i="1"/>
  <c r="L3407" i="1"/>
  <c r="L2035" i="1"/>
  <c r="L3896" i="1"/>
  <c r="L3014" i="1"/>
  <c r="L3181" i="1"/>
  <c r="L2140" i="1"/>
  <c r="L1003" i="1"/>
  <c r="L618" i="1"/>
  <c r="L1711" i="1"/>
  <c r="L141" i="1"/>
  <c r="L1780" i="1"/>
  <c r="L41" i="1"/>
  <c r="L1289" i="1"/>
  <c r="L2491" i="1"/>
  <c r="L4668" i="1"/>
  <c r="L3950" i="1"/>
  <c r="L303" i="1"/>
  <c r="L854" i="1"/>
  <c r="L4959" i="1"/>
  <c r="L3151" i="1"/>
  <c r="L1157" i="1"/>
  <c r="L3137" i="1"/>
  <c r="L4454" i="1"/>
  <c r="L3475" i="1"/>
  <c r="L1380" i="1"/>
  <c r="L3680" i="1"/>
  <c r="L4390" i="1"/>
  <c r="L3268" i="1"/>
  <c r="L4646" i="1"/>
  <c r="L2058" i="1"/>
  <c r="L3410" i="1"/>
  <c r="L2565" i="1"/>
  <c r="L2794" i="1"/>
  <c r="L183" i="1"/>
  <c r="L2717" i="1"/>
  <c r="L439" i="1"/>
  <c r="L1768" i="1"/>
  <c r="L3579" i="1"/>
  <c r="L648" i="1"/>
  <c r="L2440" i="1"/>
  <c r="L1323" i="1"/>
  <c r="L2776" i="1"/>
  <c r="L3359" i="1"/>
  <c r="L2919" i="1"/>
  <c r="L928" i="1"/>
  <c r="L603" i="1"/>
  <c r="L2314" i="1"/>
  <c r="L2320" i="1"/>
  <c r="L4084" i="1"/>
  <c r="L1582" i="1"/>
  <c r="L1474" i="1"/>
  <c r="L4042" i="1"/>
  <c r="L900" i="1"/>
  <c r="L320" i="1"/>
  <c r="L681" i="1"/>
  <c r="L3884" i="1"/>
  <c r="L2139" i="1"/>
  <c r="L1343" i="1"/>
  <c r="L480" i="1"/>
  <c r="L3836" i="1"/>
  <c r="L4520" i="1"/>
  <c r="L417" i="1"/>
  <c r="L2315" i="1"/>
  <c r="L420" i="1"/>
  <c r="L25" i="1"/>
  <c r="L1695" i="1"/>
  <c r="L1606" i="1"/>
  <c r="L4713" i="1"/>
  <c r="L2271" i="1"/>
  <c r="L3556" i="1"/>
  <c r="L1270" i="1"/>
  <c r="L290" i="1"/>
  <c r="L3712" i="1"/>
  <c r="L1974" i="1"/>
  <c r="L1887" i="1"/>
  <c r="L1303" i="1"/>
  <c r="L3448" i="1"/>
  <c r="L3987" i="1"/>
  <c r="L1350" i="1"/>
  <c r="L3439" i="1"/>
  <c r="L3677" i="1"/>
  <c r="L2092" i="1"/>
  <c r="L1827" i="1"/>
  <c r="L4280" i="1"/>
  <c r="L3300" i="1"/>
  <c r="L4266" i="1"/>
  <c r="L4894" i="1"/>
  <c r="L1830" i="1"/>
  <c r="L1681" i="1"/>
  <c r="L625" i="1"/>
  <c r="L615" i="1"/>
  <c r="L2685" i="1"/>
  <c r="L2875" i="1"/>
  <c r="L1810" i="1"/>
  <c r="L4747" i="1"/>
  <c r="L438" i="1"/>
  <c r="L1686" i="1"/>
  <c r="L2592" i="1"/>
  <c r="L1535" i="1"/>
  <c r="L170" i="1"/>
  <c r="L2630" i="1"/>
  <c r="L2918" i="1"/>
  <c r="L4303" i="1"/>
  <c r="L3725" i="1"/>
  <c r="L182" i="1"/>
  <c r="L1397" i="1"/>
  <c r="L2499" i="1"/>
  <c r="L4148" i="1"/>
  <c r="L2877" i="1"/>
  <c r="L4771" i="1"/>
  <c r="L4934" i="1"/>
  <c r="L3770" i="1"/>
  <c r="L4839" i="1"/>
  <c r="L1097" i="1"/>
  <c r="L4849" i="1"/>
  <c r="L2912" i="1"/>
  <c r="L1773" i="1"/>
  <c r="L4475" i="1"/>
  <c r="L4055" i="1"/>
  <c r="L1985" i="1"/>
  <c r="L477" i="1"/>
  <c r="L4284" i="1"/>
  <c r="L4526" i="1"/>
  <c r="L4407" i="1"/>
  <c r="L2878" i="1"/>
  <c r="L1531" i="1"/>
  <c r="L2629" i="1"/>
  <c r="L2479" i="1"/>
  <c r="L4441" i="1"/>
  <c r="L1119" i="1"/>
  <c r="L2468" i="1"/>
  <c r="L3129" i="1"/>
  <c r="L4489" i="1"/>
  <c r="L2540" i="1"/>
  <c r="L2239" i="1"/>
  <c r="L365" i="1"/>
  <c r="L692" i="1"/>
  <c r="L3279" i="1"/>
  <c r="L4838" i="1"/>
  <c r="L3967" i="1"/>
  <c r="L738" i="1"/>
  <c r="L3720" i="1"/>
  <c r="L3189" i="1"/>
  <c r="L4993" i="1"/>
  <c r="L1805" i="1"/>
  <c r="L927" i="1"/>
  <c r="L3038" i="1"/>
  <c r="L4808" i="1"/>
  <c r="L426" i="1"/>
  <c r="L2924" i="1"/>
  <c r="L566" i="1"/>
  <c r="L2002" i="1"/>
  <c r="L1307" i="1"/>
  <c r="L1144" i="1"/>
  <c r="L4778" i="1"/>
  <c r="L4069" i="1"/>
  <c r="L2748" i="1"/>
  <c r="L2904" i="1"/>
  <c r="L2638" i="1"/>
  <c r="L587" i="1"/>
  <c r="L1515" i="1"/>
  <c r="L1868" i="1"/>
  <c r="L3462" i="1"/>
  <c r="L4328" i="1"/>
  <c r="L3494" i="1"/>
  <c r="L983" i="1"/>
  <c r="L70" i="1"/>
  <c r="L2667" i="1"/>
  <c r="L3510" i="1"/>
  <c r="L1995" i="1"/>
  <c r="L1670" i="1"/>
  <c r="L1923" i="1"/>
  <c r="L539" i="1"/>
  <c r="L1844" i="1"/>
  <c r="L4271" i="1"/>
  <c r="L2393" i="1"/>
  <c r="L156" i="1"/>
  <c r="L2418" i="1"/>
  <c r="L2030" i="1"/>
  <c r="L1736" i="1"/>
  <c r="L2190" i="1"/>
  <c r="L1775" i="1"/>
  <c r="L2164" i="1"/>
  <c r="L3544" i="1"/>
  <c r="L4618" i="1"/>
  <c r="L3387" i="1"/>
  <c r="L5001" i="1"/>
  <c r="L1832" i="1"/>
  <c r="L1710" i="1"/>
  <c r="L4641" i="1"/>
  <c r="L2411" i="1"/>
  <c r="L3449" i="1"/>
  <c r="L3358" i="1"/>
  <c r="L240" i="1"/>
  <c r="L2138" i="1"/>
  <c r="L54" i="1"/>
  <c r="L3765" i="1"/>
  <c r="L3611" i="1"/>
  <c r="L498" i="1"/>
  <c r="L4896" i="1"/>
  <c r="L1432" i="1"/>
  <c r="L459" i="1"/>
  <c r="L3140" i="1"/>
  <c r="L4870" i="1"/>
  <c r="L790" i="1"/>
  <c r="L2767" i="1"/>
  <c r="L2761" i="1"/>
  <c r="L3543" i="1"/>
  <c r="L4270" i="1"/>
  <c r="L4383" i="1"/>
  <c r="L91" i="1"/>
  <c r="L784" i="1"/>
  <c r="L1075" i="1"/>
  <c r="L583" i="1"/>
  <c r="L4337" i="1"/>
  <c r="L2862" i="1"/>
  <c r="L4414" i="1"/>
  <c r="L3750" i="1"/>
  <c r="L2365" i="1"/>
  <c r="L3126" i="1"/>
  <c r="L1400" i="1"/>
  <c r="L4076" i="1"/>
  <c r="L221" i="1"/>
  <c r="L1584" i="1"/>
  <c r="L1987" i="1"/>
  <c r="L1387" i="1"/>
  <c r="L1687" i="1"/>
  <c r="L3534" i="1"/>
  <c r="L4573" i="1"/>
  <c r="L2399" i="1"/>
  <c r="L3422" i="1"/>
  <c r="L1117" i="1"/>
  <c r="L4143" i="1"/>
  <c r="L1536" i="1"/>
  <c r="L3153" i="1"/>
  <c r="L4884" i="1"/>
  <c r="L39" i="1"/>
  <c r="L3898" i="1"/>
  <c r="L3857" i="1"/>
  <c r="L893" i="1"/>
  <c r="L4633" i="1"/>
  <c r="L3795" i="1"/>
  <c r="L3169" i="1"/>
  <c r="L2265" i="1"/>
  <c r="L2621" i="1"/>
  <c r="L11" i="1"/>
  <c r="L1915" i="1"/>
  <c r="L1293" i="1"/>
  <c r="L3837" i="1"/>
  <c r="L2321" i="1"/>
  <c r="L2943" i="1"/>
  <c r="L4878" i="1"/>
  <c r="L4900" i="1"/>
  <c r="L4373" i="1"/>
  <c r="L3554" i="1"/>
  <c r="L3242" i="1"/>
  <c r="L3069" i="1"/>
  <c r="L1604" i="1"/>
  <c r="L2564" i="1"/>
  <c r="L1279" i="1"/>
  <c r="L55" i="1"/>
  <c r="L3493" i="1"/>
  <c r="L1078" i="1"/>
  <c r="L2665" i="1"/>
  <c r="L2670" i="1"/>
  <c r="L4091" i="1"/>
  <c r="L4010" i="1"/>
  <c r="L382" i="1"/>
  <c r="L3571" i="1"/>
  <c r="L2163" i="1"/>
  <c r="L2236" i="1"/>
  <c r="L3807" i="1"/>
  <c r="L2201" i="1"/>
  <c r="L2808" i="1"/>
  <c r="L787" i="1"/>
  <c r="L4013" i="1"/>
  <c r="L1112" i="1"/>
  <c r="L3214" i="1"/>
  <c r="L3907" i="1"/>
  <c r="L2995" i="1"/>
  <c r="L4605" i="1"/>
  <c r="L4002" i="1"/>
  <c r="L2272" i="1"/>
  <c r="L1683" i="1"/>
  <c r="L4951" i="1"/>
  <c r="L4322" i="1"/>
  <c r="L442" i="1"/>
  <c r="L2946" i="1"/>
  <c r="L1939" i="1"/>
  <c r="L161" i="1"/>
  <c r="L1100" i="1"/>
  <c r="L3629" i="1"/>
  <c r="L1847" i="1"/>
  <c r="L728" i="1"/>
  <c r="L3771" i="1"/>
  <c r="L3116" i="1"/>
  <c r="L4902" i="1"/>
  <c r="L697" i="1"/>
  <c r="L4563" i="1"/>
  <c r="L2286" i="1"/>
  <c r="L2428" i="1"/>
  <c r="L270" i="1"/>
  <c r="L3362" i="1"/>
  <c r="L2508" i="1"/>
  <c r="L4990" i="1"/>
  <c r="L4569" i="1"/>
  <c r="L57" i="1"/>
  <c r="L2917" i="1"/>
  <c r="L3095" i="1"/>
  <c r="L3599" i="1"/>
  <c r="L2361" i="1"/>
  <c r="L4568" i="1"/>
  <c r="L102" i="1"/>
  <c r="L4938" i="1"/>
  <c r="L3303" i="1"/>
  <c r="L1472" i="1"/>
  <c r="L3790" i="1"/>
  <c r="L1837" i="1"/>
  <c r="L4630" i="1"/>
  <c r="L1864" i="1"/>
  <c r="L576" i="1"/>
  <c r="L1924" i="1"/>
  <c r="L1744" i="1"/>
  <c r="L3425" i="1"/>
  <c r="L4041" i="1"/>
  <c r="L1299" i="1"/>
  <c r="L1649" i="1"/>
  <c r="L4907" i="1"/>
  <c r="L108" i="1"/>
  <c r="L1436" i="1"/>
  <c r="L4295" i="1"/>
  <c r="L4361" i="1"/>
  <c r="L2953" i="1"/>
  <c r="L2113" i="1"/>
  <c r="L251" i="1"/>
  <c r="L1950" i="1"/>
  <c r="L3285" i="1"/>
  <c r="L4154" i="1"/>
  <c r="L1785" i="1"/>
  <c r="L4591" i="1"/>
  <c r="L3799" i="1"/>
  <c r="L1523" i="1"/>
  <c r="L372" i="1"/>
  <c r="L1142" i="1"/>
  <c r="L3301" i="1"/>
  <c r="L3304" i="1"/>
  <c r="L3317" i="1"/>
  <c r="L1765" i="1"/>
  <c r="L2951" i="1"/>
  <c r="L4487" i="1"/>
  <c r="L2980" i="1"/>
  <c r="L3939" i="1"/>
  <c r="L3744" i="1"/>
  <c r="L4800" i="1"/>
  <c r="L2389" i="1"/>
  <c r="L2080" i="1"/>
  <c r="L826" i="1"/>
  <c r="L4465" i="1"/>
  <c r="L4482" i="1"/>
  <c r="L3977" i="1"/>
  <c r="L1122" i="1"/>
  <c r="L4122" i="1"/>
  <c r="L671" i="1"/>
  <c r="L3016" i="1"/>
  <c r="L4012" i="1"/>
  <c r="L1956" i="1"/>
  <c r="L2960" i="1"/>
  <c r="L1224" i="1"/>
  <c r="L3578" i="1"/>
  <c r="L3350" i="1"/>
  <c r="L1529" i="1"/>
  <c r="L1858" i="1"/>
  <c r="L4897" i="1"/>
  <c r="L38" i="1"/>
  <c r="L3843" i="1"/>
  <c r="L4748" i="1"/>
  <c r="L179" i="1"/>
  <c r="L2929" i="1"/>
  <c r="L256" i="1"/>
  <c r="L4035" i="1"/>
  <c r="L599" i="1"/>
  <c r="L3752" i="1"/>
  <c r="L488" i="1"/>
  <c r="L2538" i="1"/>
  <c r="L1642" i="1"/>
  <c r="L3908" i="1"/>
  <c r="L4709" i="1"/>
  <c r="L2879" i="1"/>
  <c r="L1596" i="1"/>
  <c r="L4030" i="1"/>
  <c r="L2379" i="1"/>
  <c r="L4036" i="1"/>
  <c r="L485" i="1"/>
  <c r="L398" i="1"/>
  <c r="L3343" i="1"/>
  <c r="L2442" i="1"/>
  <c r="L4396" i="1"/>
  <c r="L3295" i="1"/>
  <c r="L1722" i="1"/>
  <c r="L326" i="1"/>
  <c r="L4543" i="1"/>
  <c r="L2937" i="1"/>
  <c r="L3159" i="1"/>
  <c r="L3849" i="1"/>
  <c r="L2800" i="1"/>
  <c r="L3272" i="1"/>
  <c r="L3147" i="1"/>
  <c r="L1342" i="1"/>
  <c r="L2424" i="1"/>
  <c r="L1888" i="1"/>
  <c r="L2166" i="1"/>
  <c r="L21" i="1"/>
  <c r="L1990" i="1"/>
  <c r="L1126" i="1"/>
  <c r="L2588" i="1"/>
  <c r="L2022" i="1"/>
  <c r="L1783" i="1"/>
  <c r="L2357" i="1"/>
  <c r="L2433" i="1"/>
  <c r="L3335" i="1"/>
  <c r="L130" i="1"/>
  <c r="L652" i="1"/>
  <c r="L4991" i="1"/>
  <c r="L505" i="1"/>
  <c r="L3103" i="1"/>
  <c r="L2344" i="1"/>
  <c r="L337" i="1"/>
  <c r="L140" i="1"/>
  <c r="L1574" i="1"/>
  <c r="L1146" i="1"/>
  <c r="L525" i="1"/>
  <c r="L2152" i="1"/>
  <c r="L2079" i="1"/>
  <c r="L4321" i="1"/>
  <c r="L444" i="1"/>
  <c r="L4770" i="1"/>
  <c r="L2208" i="1"/>
  <c r="L1834" i="1"/>
  <c r="L4895" i="1"/>
  <c r="L2900" i="1"/>
  <c r="L4876" i="1"/>
  <c r="L4766" i="1"/>
  <c r="L4705" i="1"/>
  <c r="L3705" i="1"/>
  <c r="L1904" i="1"/>
  <c r="L649" i="1"/>
  <c r="L4485" i="1"/>
  <c r="L558" i="1"/>
  <c r="L4175" i="1"/>
  <c r="L194" i="1"/>
  <c r="L4053" i="1"/>
  <c r="L580" i="1"/>
  <c r="L3182" i="1"/>
  <c r="L1169" i="1"/>
  <c r="L3900" i="1"/>
  <c r="L611" i="1"/>
  <c r="L3125" i="1"/>
  <c r="L3817" i="1"/>
  <c r="L1441" i="1"/>
  <c r="L4308" i="1"/>
  <c r="L1792" i="1"/>
  <c r="L2922" i="1"/>
  <c r="L3931" i="1"/>
  <c r="L1982" i="1"/>
  <c r="L1598" i="1"/>
  <c r="L494" i="1"/>
  <c r="L2599" i="1"/>
  <c r="L215" i="1"/>
  <c r="L778" i="1"/>
  <c r="L136" i="1"/>
  <c r="L679" i="1"/>
  <c r="L4097" i="1"/>
  <c r="L2997" i="1"/>
  <c r="L2941" i="1"/>
  <c r="L955" i="1"/>
  <c r="L3397" i="1"/>
  <c r="L2179" i="1"/>
  <c r="L4165" i="1"/>
  <c r="L857" i="1"/>
  <c r="L2913" i="1"/>
  <c r="L1336" i="1"/>
  <c r="L3640" i="1"/>
  <c r="L1638" i="1"/>
  <c r="L3348" i="1"/>
  <c r="L4678" i="1"/>
  <c r="L2830" i="1"/>
  <c r="L4129" i="1"/>
  <c r="L3666" i="1"/>
  <c r="L4663" i="1"/>
  <c r="L2543" i="1"/>
  <c r="L2628" i="1"/>
  <c r="L3291" i="1"/>
  <c r="L2009" i="1"/>
  <c r="L4105" i="1"/>
  <c r="L2175" i="1"/>
  <c r="L3707" i="1"/>
  <c r="L702" i="1"/>
  <c r="L3604" i="1"/>
  <c r="L2752" i="1"/>
  <c r="L1478" i="1"/>
  <c r="L1630" i="1"/>
  <c r="L3501" i="1"/>
  <c r="L1067" i="1"/>
  <c r="L4736" i="1"/>
  <c r="L800" i="1"/>
  <c r="L4538" i="1"/>
  <c r="L1344" i="1"/>
  <c r="L3446" i="1"/>
  <c r="L2255" i="1"/>
  <c r="L2270" i="1"/>
  <c r="L737" i="1"/>
  <c r="L243" i="1"/>
  <c r="L3730" i="1"/>
  <c r="L1133" i="1"/>
  <c r="L3041" i="1"/>
  <c r="L2489" i="1"/>
  <c r="L4006" i="1"/>
  <c r="L4078" i="1"/>
  <c r="L1089" i="1"/>
  <c r="L3946" i="1"/>
  <c r="L1945" i="1"/>
  <c r="L561" i="1"/>
  <c r="L1183" i="1"/>
  <c r="L4063" i="1"/>
  <c r="L1499" i="1"/>
  <c r="L2563" i="1"/>
  <c r="L2657" i="1"/>
  <c r="L996" i="1"/>
  <c r="L4428" i="1"/>
  <c r="L2704" i="1"/>
  <c r="L3923" i="1"/>
  <c r="L740" i="1"/>
  <c r="L1229" i="1"/>
  <c r="L3782" i="1"/>
  <c r="L552" i="1"/>
  <c r="L2017" i="1"/>
  <c r="L3163" i="1"/>
  <c r="L3625" i="1"/>
  <c r="L4275" i="1"/>
  <c r="L2283" i="1"/>
  <c r="L1862" i="1"/>
  <c r="L832" i="1"/>
  <c r="L1262" i="1"/>
  <c r="L598" i="1"/>
  <c r="L1430" i="1"/>
  <c r="L4218" i="1"/>
  <c r="L4915" i="1"/>
  <c r="L3897" i="1"/>
  <c r="L847" i="1"/>
  <c r="L4387" i="1"/>
  <c r="L4335" i="1"/>
  <c r="L2984" i="1"/>
  <c r="L4312" i="1"/>
  <c r="L1782" i="1"/>
  <c r="L2427" i="1"/>
  <c r="L1880" i="1"/>
  <c r="L2502" i="1"/>
  <c r="L1729" i="1"/>
  <c r="L643" i="1"/>
  <c r="L4916" i="1"/>
  <c r="L4623" i="1"/>
  <c r="L481" i="1"/>
  <c r="L1294" i="1"/>
  <c r="L1164" i="1"/>
  <c r="L2528" i="1"/>
  <c r="L3847" i="1"/>
  <c r="L3465" i="1"/>
  <c r="L3308" i="1"/>
  <c r="L4052" i="1"/>
  <c r="L2925" i="1"/>
  <c r="L4310" i="1"/>
  <c r="L3172" i="1"/>
  <c r="L9" i="1"/>
  <c r="L2050" i="1"/>
  <c r="L2854" i="1"/>
  <c r="L4399" i="1"/>
  <c r="L3281" i="1"/>
  <c r="L1425" i="1"/>
  <c r="L4019" i="1"/>
  <c r="L3489" i="1"/>
  <c r="L3648" i="1"/>
  <c r="L4882" i="1"/>
  <c r="L237" i="1"/>
  <c r="L3685" i="1"/>
  <c r="L2014" i="1"/>
  <c r="L3196" i="1"/>
  <c r="L582" i="1"/>
  <c r="L3365" i="1"/>
  <c r="L3476" i="1"/>
  <c r="L4180" i="1"/>
  <c r="L3893" i="1"/>
  <c r="L3933" i="1"/>
  <c r="L1195" i="1"/>
  <c r="L3146" i="1"/>
  <c r="L3036" i="1"/>
  <c r="L347" i="1"/>
  <c r="L3142" i="1"/>
  <c r="L226" i="1"/>
  <c r="L982" i="1"/>
  <c r="L3400" i="1"/>
  <c r="L2153" i="1"/>
  <c r="L858" i="1"/>
  <c r="L814" i="1"/>
  <c r="L3644" i="1"/>
  <c r="L2684" i="1"/>
  <c r="L3917" i="1"/>
  <c r="L2766" i="1"/>
  <c r="L482" i="1"/>
  <c r="L1788" i="1"/>
  <c r="L3796" i="1"/>
  <c r="L2793" i="1"/>
  <c r="L805" i="1"/>
  <c r="L2653" i="1"/>
  <c r="L2660" i="1"/>
  <c r="L3715" i="1"/>
  <c r="L4211" i="1"/>
  <c r="L2292" i="1"/>
  <c r="L3243" i="1"/>
  <c r="L4440" i="1"/>
  <c r="L590" i="1"/>
  <c r="L3064" i="1"/>
  <c r="L4899" i="1"/>
  <c r="L1448" i="1"/>
  <c r="L1539" i="1"/>
  <c r="L2754" i="1"/>
  <c r="L2606" i="1"/>
  <c r="L560" i="1"/>
  <c r="L1882" i="1"/>
  <c r="L1009" i="1"/>
  <c r="L1217" i="1"/>
  <c r="L1610" i="1"/>
  <c r="L4173" i="1"/>
  <c r="L1258" i="1"/>
  <c r="L880" i="1"/>
  <c r="L4761" i="1"/>
  <c r="L3662" i="1"/>
  <c r="L431" i="1"/>
  <c r="L1182" i="1"/>
  <c r="L1329" i="1"/>
  <c r="L4670" i="1"/>
  <c r="L4650" i="1"/>
  <c r="L2258" i="1"/>
  <c r="L2783" i="1"/>
  <c r="L3519" i="1"/>
  <c r="L1897" i="1"/>
  <c r="L1311" i="1"/>
  <c r="L2073" i="1"/>
  <c r="L1896" i="1"/>
  <c r="L2293" i="1"/>
  <c r="L3488" i="1"/>
  <c r="L1308" i="1"/>
  <c r="L4149" i="1"/>
  <c r="L2122" i="1"/>
  <c r="L4032" i="1"/>
  <c r="L1679" i="1"/>
  <c r="L905" i="1"/>
  <c r="L1339" i="1"/>
  <c r="L3508" i="1"/>
  <c r="L1993" i="1"/>
  <c r="L3040" i="1"/>
  <c r="L4354" i="1"/>
  <c r="L2625" i="1"/>
  <c r="L2619" i="1"/>
  <c r="L4241" i="1"/>
  <c r="L280" i="1"/>
  <c r="L4978" i="1"/>
  <c r="L93" i="1"/>
  <c r="L3157" i="1"/>
  <c r="L3768" i="1"/>
  <c r="L3953" i="1"/>
  <c r="L4379" i="1"/>
  <c r="L3958" i="1"/>
  <c r="L3115" i="1"/>
  <c r="L3854" i="1"/>
  <c r="L4964" i="1"/>
  <c r="L1068" i="1"/>
  <c r="L26" i="1"/>
  <c r="L531" i="1"/>
  <c r="L323" i="1"/>
  <c r="L846" i="1"/>
  <c r="L1356" i="1"/>
  <c r="L2129" i="1"/>
  <c r="L1971" i="1"/>
  <c r="L3017" i="1"/>
  <c r="L111" i="1"/>
  <c r="L3008" i="1"/>
  <c r="L1594" i="1"/>
  <c r="L872" i="1"/>
  <c r="L4065" i="1"/>
  <c r="L4567" i="1"/>
  <c r="L1658" i="1"/>
  <c r="L1371" i="1"/>
  <c r="L4121" i="1"/>
  <c r="L4515" i="1"/>
  <c r="L1246" i="1"/>
  <c r="L3386" i="1"/>
  <c r="L4450" i="1"/>
  <c r="L3187" i="1"/>
  <c r="L4973" i="1"/>
  <c r="L3983" i="1"/>
  <c r="L2593" i="1"/>
  <c r="L2107" i="1"/>
  <c r="L2518" i="1"/>
  <c r="L1949" i="1"/>
  <c r="L186" i="1"/>
  <c r="L1779" i="1"/>
  <c r="L3527" i="1"/>
  <c r="L2578" i="1"/>
  <c r="L722" i="1"/>
  <c r="L1176" i="1"/>
  <c r="L3053" i="1"/>
  <c r="L1283" i="1"/>
  <c r="L3627" i="1"/>
  <c r="L743" i="1"/>
  <c r="L719" i="1"/>
  <c r="L4113" i="1"/>
  <c r="L3645" i="1"/>
  <c r="L1553" i="1"/>
  <c r="L630" i="1"/>
  <c r="L4083" i="1"/>
  <c r="L429" i="1"/>
  <c r="L714" i="1"/>
  <c r="L4638" i="1"/>
  <c r="L3507" i="1"/>
  <c r="L1859" i="1"/>
  <c r="L2262" i="1"/>
  <c r="L2187" i="1"/>
  <c r="L993" i="1"/>
  <c r="L1256" i="1"/>
  <c r="L88" i="1"/>
  <c r="L4962" i="1"/>
  <c r="L2690" i="1"/>
  <c r="L4119" i="1"/>
  <c r="L4939" i="1"/>
  <c r="L3426" i="1"/>
  <c r="L4804" i="1"/>
  <c r="L1475" i="1"/>
  <c r="L3676" i="1"/>
  <c r="L3531" i="1"/>
  <c r="L1685" i="1"/>
  <c r="L2006" i="1"/>
  <c r="L1777" i="1"/>
  <c r="L3212" i="1"/>
  <c r="L924" i="1"/>
  <c r="L2029" i="1"/>
  <c r="L1537" i="1"/>
  <c r="L435" i="1"/>
  <c r="L2015" i="1"/>
  <c r="L2810" i="1"/>
  <c r="L4963" i="1"/>
  <c r="L3394" i="1"/>
  <c r="L3937" i="1"/>
  <c r="L979" i="1"/>
  <c r="L1850" i="1"/>
  <c r="L3608" i="1"/>
  <c r="L817" i="1"/>
  <c r="L2170" i="1"/>
  <c r="L2477" i="1"/>
  <c r="L1203" i="1"/>
  <c r="L3132" i="1"/>
  <c r="L4039" i="1"/>
  <c r="L4468" i="1"/>
  <c r="L3745" i="1"/>
  <c r="L4066" i="1"/>
  <c r="L2970" i="1"/>
  <c r="L1138" i="1"/>
  <c r="L1385" i="1"/>
  <c r="L563" i="1"/>
  <c r="L1759" i="1"/>
  <c r="L4289" i="1"/>
  <c r="L3964" i="1"/>
  <c r="L2979" i="1"/>
  <c r="L1327" i="1"/>
  <c r="L777" i="1"/>
  <c r="L662" i="1"/>
  <c r="L86" i="1"/>
  <c r="L1000" i="1"/>
  <c r="L2668" i="1"/>
  <c r="L377" i="1"/>
  <c r="L65" i="1"/>
  <c r="L3101" i="1"/>
  <c r="L4558" i="1"/>
  <c r="L1273" i="1"/>
  <c r="L4759" i="1"/>
  <c r="L1497" i="1"/>
  <c r="L676" i="1"/>
  <c r="L2023" i="1"/>
  <c r="L385" i="1"/>
  <c r="L2885" i="1"/>
  <c r="L1080" i="1"/>
  <c r="L2264" i="1"/>
  <c r="L700" i="1"/>
  <c r="L2723" i="1"/>
  <c r="L4562" i="1"/>
  <c r="L4128" i="1"/>
  <c r="L3621" i="1"/>
  <c r="L1928" i="1"/>
  <c r="L3012" i="1"/>
  <c r="L2713" i="1"/>
  <c r="L4519" i="1"/>
  <c r="L3310" i="1"/>
  <c r="L4865" i="1"/>
  <c r="L3593" i="1"/>
  <c r="L2583" i="1"/>
  <c r="L1933" i="1"/>
  <c r="L551" i="1"/>
  <c r="L4719" i="1"/>
  <c r="L3654" i="1"/>
  <c r="L2554" i="1"/>
  <c r="L3128" i="1"/>
  <c r="L384" i="1"/>
  <c r="L3553" i="1"/>
  <c r="L2300" i="1"/>
  <c r="L3634" i="1"/>
  <c r="L2288" i="1"/>
  <c r="L2480" i="1"/>
  <c r="L4866" i="1"/>
  <c r="L1813" i="1"/>
  <c r="L202" i="1"/>
  <c r="L3473" i="1"/>
  <c r="L451" i="1"/>
  <c r="L540" i="1"/>
  <c r="L1820" i="1"/>
  <c r="L3331" i="1"/>
  <c r="L3936" i="1"/>
  <c r="L4348" i="1"/>
  <c r="L3090" i="1"/>
  <c r="L865" i="1"/>
  <c r="L1941" i="1"/>
  <c r="L2210" i="1"/>
  <c r="L125" i="1"/>
  <c r="L3384" i="1"/>
  <c r="L4611" i="1"/>
  <c r="L2464" i="1"/>
  <c r="L2631" i="1"/>
  <c r="L2512" i="1"/>
  <c r="L3042" i="1"/>
  <c r="L3941" i="1"/>
  <c r="L2795" i="1"/>
  <c r="L1547" i="1"/>
  <c r="L3618" i="1"/>
  <c r="L4757" i="1"/>
  <c r="L2275" i="1"/>
  <c r="L841" i="1"/>
  <c r="L959" i="1"/>
  <c r="L2891" i="1"/>
  <c r="L3545" i="1"/>
  <c r="L2833" i="1"/>
  <c r="L3088" i="1"/>
  <c r="L980" i="1"/>
  <c r="L4413" i="1"/>
  <c r="L3889" i="1"/>
  <c r="L3314" i="1"/>
  <c r="L804" i="1"/>
  <c r="L1407" i="1"/>
  <c r="L2596" i="1"/>
  <c r="L2645" i="1"/>
  <c r="L2301" i="1"/>
  <c r="L3315" i="1"/>
  <c r="L4300" i="1"/>
  <c r="L2333" i="1"/>
  <c r="L1459" i="1"/>
  <c r="L2719" i="1"/>
  <c r="L3107" i="1"/>
  <c r="L2734" i="1"/>
  <c r="L3061" i="1"/>
  <c r="L470" i="1"/>
  <c r="L1538" i="1"/>
  <c r="L1178" i="1"/>
  <c r="L4061" i="1"/>
  <c r="L3046" i="1"/>
  <c r="L3678" i="1"/>
  <c r="L135" i="1"/>
  <c r="L592" i="1"/>
  <c r="L2595" i="1"/>
  <c r="L3583" i="1"/>
  <c r="L3458" i="1"/>
  <c r="L965" i="1"/>
  <c r="L1980" i="1"/>
  <c r="L1205" i="1"/>
  <c r="L2055" i="1"/>
  <c r="L4326" i="1"/>
  <c r="L109" i="1"/>
  <c r="L1794" i="1"/>
  <c r="L371" i="1"/>
  <c r="L4422" i="1"/>
  <c r="L123" i="1"/>
  <c r="L4153" i="1"/>
  <c r="L73" i="1"/>
  <c r="L2319" i="1"/>
  <c r="L3567" i="1"/>
  <c r="L4242" i="1"/>
  <c r="L2805" i="1"/>
  <c r="L4598" i="1"/>
  <c r="L287" i="1"/>
  <c r="L2736" i="1"/>
  <c r="L1881" i="1"/>
  <c r="L4904" i="1"/>
  <c r="L3961" i="1"/>
  <c r="L3333" i="1"/>
  <c r="L2520" i="1"/>
  <c r="L819" i="1"/>
  <c r="L193" i="1"/>
  <c r="L3966" i="1"/>
  <c r="L4704" i="1"/>
  <c r="L703" i="1"/>
  <c r="L667" i="1"/>
  <c r="L2325" i="1"/>
  <c r="L1718" i="1"/>
  <c r="L1885" i="1"/>
  <c r="L3740" i="1"/>
  <c r="L2589" i="1"/>
  <c r="L660" i="1"/>
  <c r="L2726" i="1"/>
  <c r="L1219" i="1"/>
  <c r="L3253" i="1"/>
  <c r="L2196" i="1"/>
  <c r="L200" i="1"/>
  <c r="L4596" i="1"/>
  <c r="L1015" i="1"/>
  <c r="L1018" i="1"/>
  <c r="L3785" i="1"/>
  <c r="L4068" i="1"/>
  <c r="L4027" i="1"/>
  <c r="L695" i="1"/>
  <c r="L1424" i="1"/>
  <c r="L1863" i="1"/>
  <c r="L4181" i="1"/>
  <c r="L2517" i="1"/>
  <c r="L4352" i="1"/>
  <c r="L1972" i="1"/>
  <c r="L3749" i="1"/>
  <c r="L408" i="1"/>
  <c r="L3238" i="1"/>
  <c r="L4652" i="1"/>
  <c r="L2213" i="1"/>
  <c r="L4574" i="1"/>
  <c r="L2376" i="1"/>
  <c r="L3111" i="1"/>
  <c r="L2923" i="1"/>
  <c r="L3919" i="1"/>
  <c r="L3357" i="1"/>
  <c r="L3288" i="1"/>
  <c r="L4250" i="1"/>
  <c r="L4871" i="1"/>
  <c r="L187" i="1"/>
  <c r="L2261" i="1"/>
  <c r="L3097" i="1"/>
  <c r="L2760" i="1"/>
  <c r="L4146" i="1"/>
  <c r="L1410" i="1"/>
  <c r="L1076" i="1"/>
  <c r="L3470" i="1"/>
  <c r="L2792" i="1"/>
  <c r="L3180" i="1"/>
  <c r="L407" i="1"/>
  <c r="L512" i="1"/>
  <c r="L1085" i="1"/>
  <c r="L726" i="1"/>
  <c r="L87" i="1"/>
  <c r="L1486" i="1"/>
  <c r="L2045" i="1"/>
  <c r="L83" i="1"/>
  <c r="L374" i="1"/>
  <c r="L1618" i="1"/>
  <c r="L776" i="1"/>
  <c r="L121" i="1"/>
  <c r="L4217" i="1"/>
  <c r="L4109" i="1"/>
  <c r="L2762" i="1"/>
  <c r="L1500" i="1"/>
  <c r="L1491" i="1"/>
  <c r="L1522" i="1"/>
  <c r="L1414" i="1"/>
  <c r="L1211" i="1"/>
  <c r="L310" i="1"/>
  <c r="L1065" i="1"/>
  <c r="L4009" i="1"/>
  <c r="L3416" i="1"/>
  <c r="L3383" i="1"/>
  <c r="L2956" i="1"/>
  <c r="L4740" i="1"/>
  <c r="L289" i="1"/>
  <c r="L3424" i="1"/>
  <c r="L3753" i="1"/>
  <c r="L1431" i="1"/>
  <c r="L213" i="1"/>
  <c r="L4117" i="1"/>
  <c r="L2306" i="1"/>
  <c r="L1495" i="1"/>
  <c r="L3469" i="1"/>
  <c r="L419" i="1"/>
  <c r="L3020" i="1"/>
  <c r="L171" i="1"/>
  <c r="L3089" i="1"/>
  <c r="L770" i="1"/>
  <c r="L1999" i="1"/>
  <c r="L2829" i="1"/>
  <c r="L4656" i="1"/>
  <c r="L1787" i="1"/>
  <c r="L3092" i="1"/>
  <c r="L3404" i="1"/>
  <c r="L5007" i="1"/>
  <c r="L1032" i="1"/>
  <c r="L3457" i="1"/>
  <c r="L3692" i="1"/>
  <c r="L4386" i="1"/>
  <c r="L1261" i="1"/>
  <c r="L3653" i="1"/>
  <c r="L2613" i="1"/>
  <c r="L317" i="1"/>
  <c r="L2349" i="1"/>
  <c r="L71" i="1"/>
  <c r="L3874" i="1"/>
  <c r="L3808" i="1"/>
  <c r="L873" i="1"/>
  <c r="L3056" i="1"/>
  <c r="L2735" i="1"/>
  <c r="L1771" i="1"/>
  <c r="L4681" i="1"/>
  <c r="L4269" i="1"/>
  <c r="L3610" i="1"/>
  <c r="L3005" i="1"/>
  <c r="L159" i="1"/>
  <c r="L2744" i="1"/>
  <c r="L3311" i="1"/>
  <c r="L3733" i="1"/>
  <c r="L1958" i="1"/>
  <c r="L3622" i="1"/>
  <c r="L3267" i="1"/>
  <c r="L1716" i="1"/>
  <c r="L1451" i="1"/>
  <c r="L2257" i="1"/>
  <c r="L1005" i="1"/>
  <c r="L1337" i="1"/>
  <c r="L829" i="1"/>
  <c r="L3254" i="1"/>
  <c r="L4080" i="1"/>
  <c r="L3201" i="1"/>
  <c r="L178" i="1"/>
  <c r="L264" i="1"/>
  <c r="L1084" i="1"/>
  <c r="L2658" i="1"/>
  <c r="L1898" i="1"/>
  <c r="L1504" i="1"/>
  <c r="L2131" i="1"/>
  <c r="L3186" i="1"/>
  <c r="L3746" i="1"/>
  <c r="L733" i="1"/>
  <c r="L1088" i="1"/>
  <c r="L224" i="1"/>
  <c r="L1104" i="1"/>
  <c r="L3876" i="1"/>
  <c r="L181" i="1"/>
  <c r="L3213" i="1"/>
  <c r="L4443" i="1"/>
  <c r="L4108" i="1"/>
  <c r="L3905" i="1"/>
  <c r="L523" i="1"/>
  <c r="L4822" i="1"/>
  <c r="L3149" i="1"/>
  <c r="L1143" i="1"/>
  <c r="L460" i="1"/>
  <c r="L361" i="1"/>
  <c r="L3838" i="1"/>
  <c r="L2445" i="1"/>
  <c r="L2786" i="1"/>
  <c r="L2974" i="1"/>
  <c r="L4178" i="1"/>
  <c r="L4204" i="1"/>
  <c r="L2162" i="1"/>
  <c r="L2470" i="1"/>
  <c r="L1871" i="1"/>
  <c r="L2688" i="1"/>
  <c r="L295" i="1"/>
  <c r="L887" i="1"/>
  <c r="L3313" i="1"/>
  <c r="L3093" i="1"/>
  <c r="L103" i="1"/>
  <c r="L4920" i="1"/>
  <c r="L4355" i="1"/>
  <c r="L1833" i="1"/>
  <c r="L1724" i="1"/>
  <c r="L1908" i="1"/>
  <c r="L4008" i="1"/>
  <c r="L1976" i="1"/>
  <c r="L4863" i="1"/>
  <c r="L644" i="1"/>
  <c r="L750" i="1"/>
  <c r="L801" i="1"/>
  <c r="L302" i="1"/>
  <c r="L2771" i="1"/>
  <c r="L1586" i="1"/>
  <c r="L1879" i="1"/>
  <c r="L548" i="1"/>
  <c r="L2906" i="1"/>
  <c r="L3872" i="1"/>
  <c r="L3148" i="1"/>
  <c r="L4999" i="1"/>
  <c r="L1201" i="1"/>
  <c r="L3525" i="1"/>
  <c r="L2551" i="1"/>
  <c r="L2366" i="1"/>
  <c r="L2373" i="1"/>
  <c r="L4120" i="1"/>
  <c r="L2515" i="1"/>
  <c r="L2398" i="1"/>
  <c r="L606" i="1"/>
  <c r="L4162" i="1"/>
  <c r="L395" i="1"/>
  <c r="L2675" i="1"/>
  <c r="L986" i="1"/>
  <c r="L3948" i="1"/>
  <c r="L549" i="1"/>
  <c r="L1444" i="1"/>
  <c r="L3054" i="1"/>
  <c r="L413" i="1"/>
  <c r="L3949" i="1"/>
  <c r="L1573" i="1"/>
  <c r="L4648" i="1"/>
  <c r="L4190" i="1"/>
  <c r="L956" i="1"/>
  <c r="L67" i="1"/>
  <c r="L1979" i="1"/>
  <c r="L3714" i="1"/>
  <c r="L3240" i="1"/>
  <c r="L1399" i="1"/>
  <c r="L3033" i="1"/>
  <c r="L138" i="1"/>
  <c r="L827" i="1"/>
  <c r="L2773" i="1"/>
  <c r="L3711" i="1"/>
  <c r="L1943" i="1"/>
  <c r="L1139" i="1"/>
  <c r="L1534" i="1"/>
  <c r="L1737" i="1"/>
  <c r="L4299" i="1"/>
  <c r="L2311" i="1"/>
  <c r="L4584" i="1"/>
  <c r="L2069" i="1"/>
  <c r="L2199" i="1"/>
  <c r="L920" i="1"/>
  <c r="L1035" i="1"/>
  <c r="L343" i="1"/>
  <c r="L1615" i="1"/>
  <c r="L1253" i="1"/>
  <c r="L4925" i="1"/>
  <c r="L3119" i="1"/>
  <c r="L3276" i="1"/>
  <c r="L1291" i="1"/>
  <c r="L4192" i="1"/>
  <c r="L808" i="1"/>
  <c r="L1394" i="1"/>
  <c r="L192" i="1"/>
  <c r="L3197" i="1"/>
  <c r="L2323" i="1"/>
  <c r="L3853" i="1"/>
  <c r="L2716" i="1"/>
  <c r="L3472" i="1"/>
  <c r="L3546" i="1"/>
  <c r="L502" i="1"/>
  <c r="L4439" i="1"/>
  <c r="L149" i="1"/>
  <c r="L315" i="1"/>
  <c r="L4402" i="1"/>
  <c r="L1435" i="1"/>
  <c r="L2908" i="1"/>
  <c r="L3657" i="1"/>
  <c r="L761" i="1"/>
  <c r="L3073" i="1"/>
  <c r="L1694" i="1"/>
  <c r="L3255" i="1"/>
  <c r="L3451" i="1"/>
  <c r="L3997" i="1"/>
  <c r="L1517" i="1"/>
  <c r="L2254" i="1"/>
  <c r="L4406" i="1"/>
  <c r="L3851" i="1"/>
  <c r="L779" i="1"/>
  <c r="L879" i="1"/>
  <c r="L4590" i="1"/>
  <c r="L1413" i="1"/>
  <c r="L2473" i="1"/>
  <c r="L4975" i="1"/>
  <c r="L1156" i="1"/>
  <c r="L3222" i="1"/>
  <c r="L3461" i="1"/>
  <c r="L812" i="1"/>
  <c r="L3535" i="1"/>
  <c r="L4183" i="1"/>
  <c r="L2952" i="1"/>
  <c r="L2838" i="1"/>
  <c r="L1200" i="1"/>
  <c r="L902" i="1"/>
  <c r="L3330" i="1"/>
  <c r="L3204" i="1"/>
  <c r="L4492" i="1"/>
  <c r="L2967" i="1"/>
  <c r="L3108" i="1"/>
  <c r="L2646" i="1"/>
  <c r="L518" i="1"/>
  <c r="L2075" i="1"/>
  <c r="L68" i="1"/>
  <c r="L1022" i="1"/>
  <c r="L4163" i="1"/>
  <c r="L4463" i="1"/>
  <c r="L1774" i="1"/>
  <c r="L4264" i="1"/>
  <c r="L2702" i="1"/>
  <c r="L2676" i="1"/>
  <c r="L4038" i="1"/>
  <c r="L1469" i="1"/>
  <c r="L2126" i="1"/>
  <c r="L3096" i="1"/>
  <c r="L2402" i="1"/>
  <c r="L4974" i="1"/>
  <c r="L180" i="1"/>
  <c r="L735" i="1"/>
  <c r="L445" i="1"/>
  <c r="L572" i="1"/>
  <c r="L4667" i="1"/>
  <c r="L1404" i="1"/>
  <c r="L4279" i="1"/>
  <c r="L4244" i="1"/>
  <c r="L3703" i="1"/>
  <c r="L3643" i="1"/>
  <c r="L2892" i="1"/>
  <c r="L4815" i="1"/>
  <c r="L3665" i="1"/>
  <c r="L686" i="1"/>
  <c r="L541" i="1"/>
  <c r="L1452" i="1"/>
  <c r="L619" i="1"/>
  <c r="L4409" i="1"/>
  <c r="L3841" i="1"/>
  <c r="L4285" i="1"/>
  <c r="L1719" i="1"/>
  <c r="L3045" i="1"/>
  <c r="L2957" i="1"/>
  <c r="L3483" i="1"/>
  <c r="L1938" i="1"/>
  <c r="L167" i="1"/>
  <c r="L4706" i="1"/>
  <c r="L2070" i="1"/>
  <c r="L3058" i="1"/>
  <c r="L2343" i="1"/>
  <c r="L3505" i="1"/>
  <c r="L4621" i="1"/>
  <c r="L1701" i="1"/>
  <c r="L4248" i="1"/>
  <c r="L4231" i="1"/>
  <c r="L520" i="1"/>
  <c r="L1961" i="1"/>
  <c r="L2331" i="1"/>
  <c r="L4232" i="1"/>
  <c r="L1345" i="1"/>
  <c r="L4228" i="1"/>
  <c r="L1244" i="1"/>
  <c r="L4332" i="1"/>
  <c r="L1818" i="1"/>
  <c r="L3842" i="1"/>
  <c r="L4240" i="1"/>
  <c r="L2798" i="1"/>
  <c r="L670" i="1"/>
  <c r="L4219" i="1"/>
  <c r="L1020" i="1"/>
  <c r="L2650" i="1"/>
  <c r="L1455" i="1"/>
  <c r="L4595" i="1"/>
  <c r="L4001" i="1"/>
  <c r="L476" i="1"/>
  <c r="L524" i="1"/>
  <c r="L4579" i="1"/>
  <c r="L2973" i="1"/>
  <c r="L1581" i="1"/>
  <c r="L4614" i="1"/>
  <c r="L1876" i="1"/>
  <c r="L2673" i="1"/>
  <c r="L1921" i="1"/>
  <c r="L3464" i="1"/>
  <c r="L565" i="1"/>
  <c r="L1236" i="1"/>
  <c r="L2659" i="1"/>
  <c r="L3286" i="1"/>
  <c r="L2835" i="1"/>
  <c r="L2804" i="1"/>
  <c r="L1440" i="1"/>
  <c r="L2940" i="1"/>
  <c r="L2942" i="1"/>
  <c r="L75" i="1"/>
  <c r="L2039" i="1"/>
  <c r="L2195" i="1"/>
  <c r="L222" i="1"/>
  <c r="L1666" i="1"/>
  <c r="L2188" i="1"/>
  <c r="L2362" i="1"/>
  <c r="L1328" i="1"/>
  <c r="L342" i="1"/>
  <c r="L2850" i="1"/>
  <c r="L2982" i="1"/>
  <c r="L600" i="1"/>
  <c r="L789" i="1"/>
  <c r="L2436" i="1"/>
  <c r="L4152" i="1"/>
  <c r="L1853" i="1"/>
  <c r="L4014" i="1"/>
  <c r="L4669" i="1"/>
  <c r="L3928" i="1"/>
  <c r="L4410" i="1"/>
  <c r="L393" i="1"/>
  <c r="L2691" i="1"/>
  <c r="L943" i="1"/>
  <c r="L2763" i="1"/>
  <c r="L174" i="1"/>
  <c r="L627" i="1"/>
  <c r="L1284" i="1"/>
  <c r="L2818" i="1"/>
  <c r="L4462" i="1"/>
  <c r="L3030" i="1"/>
  <c r="L1171" i="1"/>
  <c r="L1632" i="1"/>
  <c r="L2532" i="1"/>
  <c r="L3687" i="1"/>
  <c r="L4338" i="1"/>
  <c r="L909" i="1"/>
  <c r="L229" i="1"/>
  <c r="L4137" i="1"/>
  <c r="L3747" i="1"/>
  <c r="L659" i="1"/>
  <c r="L4785" i="1"/>
  <c r="L2425" i="1"/>
  <c r="L4529" i="1"/>
  <c r="L1248" i="1"/>
  <c r="L3294" i="1"/>
  <c r="L2423" i="1"/>
  <c r="L4556" i="1"/>
  <c r="L1900" i="1"/>
  <c r="L4629" i="1"/>
  <c r="L1622" i="1"/>
  <c r="L2842" i="1"/>
  <c r="L3270" i="1"/>
  <c r="L2147" i="1"/>
  <c r="L2222" i="1"/>
  <c r="L4802" i="1"/>
  <c r="L4628" i="1"/>
  <c r="L3686" i="1"/>
  <c r="L2683" i="1"/>
  <c r="L3232" i="1"/>
  <c r="L732" i="1"/>
  <c r="L340" i="1"/>
  <c r="L3467" i="1"/>
  <c r="L3832" i="1"/>
  <c r="L922" i="1"/>
  <c r="L1252" i="1"/>
  <c r="L338" i="1"/>
  <c r="L5000" i="1"/>
  <c r="L2277" i="1"/>
  <c r="L3542" i="1"/>
  <c r="L1914" i="1"/>
  <c r="L1263" i="1"/>
  <c r="L1047" i="1"/>
  <c r="L4094" i="1"/>
  <c r="L4717" i="1"/>
  <c r="L3031" i="1"/>
  <c r="L4898" i="1"/>
  <c r="L4144" i="1"/>
  <c r="L1118" i="1"/>
  <c r="L4291" i="1"/>
  <c r="L3436" i="1"/>
  <c r="L2694" i="1"/>
  <c r="L2065" i="1"/>
  <c r="L497" i="1"/>
  <c r="L691" i="1"/>
  <c r="L1185" i="1"/>
  <c r="L1275" i="1"/>
  <c r="L1429" i="1"/>
  <c r="L962" i="1"/>
  <c r="L260" i="1"/>
  <c r="L1742" i="1"/>
  <c r="L206" i="1"/>
  <c r="L3393" i="1"/>
  <c r="L346" i="1"/>
  <c r="L693" i="1"/>
  <c r="L4504" i="1"/>
  <c r="L1559" i="1"/>
  <c r="L1006" i="1"/>
  <c r="L2813" i="1"/>
  <c r="L2054" i="1"/>
  <c r="L1986" i="1"/>
  <c r="L3595" i="1"/>
  <c r="L4115" i="1"/>
  <c r="L855" i="1"/>
  <c r="L3327" i="1"/>
  <c r="L3297" i="1"/>
  <c r="L567" i="1"/>
  <c r="L4193" i="1"/>
  <c r="L4201" i="1"/>
  <c r="L2944" i="1"/>
  <c r="L2081" i="1"/>
  <c r="L2666" i="1"/>
  <c r="L2350" i="1"/>
  <c r="L2604" i="1"/>
  <c r="L84" i="1"/>
  <c r="L1366" i="1"/>
  <c r="L2856" i="1"/>
  <c r="L4398" i="1"/>
  <c r="L1734" i="1"/>
  <c r="L906" i="1"/>
  <c r="L353" i="1"/>
  <c r="L3697" i="1"/>
  <c r="L952" i="1"/>
  <c r="L1873" i="1"/>
  <c r="L4780" i="1"/>
  <c r="L4950" i="1"/>
  <c r="L114" i="1"/>
  <c r="L4797" i="1"/>
  <c r="L4861" i="1"/>
  <c r="L780" i="1"/>
  <c r="L3626" i="1"/>
  <c r="L742" i="1"/>
  <c r="L3681" i="1"/>
  <c r="L550" i="1"/>
  <c r="L2823" i="1"/>
  <c r="L799" i="1"/>
  <c r="L2003" i="1"/>
  <c r="L4429" i="1"/>
  <c r="L519" i="1"/>
  <c r="L3960" i="1"/>
  <c r="L3122" i="1"/>
  <c r="L1791" i="1"/>
  <c r="L3329" i="1"/>
  <c r="L2730" i="1"/>
  <c r="L2193" i="1"/>
  <c r="L3913" i="1"/>
  <c r="L573" i="1"/>
  <c r="L3962" i="1"/>
  <c r="L4555" i="1"/>
  <c r="L2584" i="1"/>
  <c r="L3812" i="1"/>
  <c r="L2756" i="1"/>
  <c r="L916" i="1"/>
  <c r="L1439" i="1"/>
  <c r="L3612" i="1"/>
  <c r="L3207" i="1"/>
  <c r="L2099" i="1"/>
  <c r="L4810" i="1"/>
  <c r="L2377" i="1"/>
  <c r="L3710" i="1"/>
  <c r="L4918" i="1"/>
  <c r="L3516" i="1"/>
  <c r="L2387" i="1"/>
  <c r="L2038" i="1"/>
  <c r="L2807" i="1"/>
  <c r="L739" i="1"/>
  <c r="L2511" i="1"/>
  <c r="L1689" i="1"/>
  <c r="L1527" i="1"/>
  <c r="L283" i="1"/>
  <c r="L1660" i="1"/>
  <c r="L3675" i="1"/>
  <c r="L4635" i="1"/>
  <c r="L1206" i="1"/>
  <c r="L4608" i="1"/>
  <c r="L1802" i="1"/>
  <c r="L4156" i="1"/>
  <c r="L682" i="1"/>
  <c r="L604" i="1"/>
  <c r="L4334" i="1"/>
  <c r="L4453" i="1"/>
  <c r="L3700" i="1"/>
  <c r="L3166" i="1"/>
  <c r="L1174" i="1"/>
  <c r="L2519" i="1"/>
  <c r="L781" i="1"/>
  <c r="L1571" i="1"/>
  <c r="L2060" i="1"/>
  <c r="L4353" i="1"/>
  <c r="L4868" i="1"/>
  <c r="L3971" i="1"/>
  <c r="L271" i="1"/>
  <c r="L2698" i="1"/>
  <c r="L4195" i="1"/>
  <c r="L4430" i="1"/>
  <c r="L4888" i="1"/>
  <c r="L249" i="1"/>
  <c r="L1911" i="1"/>
  <c r="L3924" i="1"/>
  <c r="L1481" i="1"/>
  <c r="L1251" i="1"/>
  <c r="L1271" i="1"/>
  <c r="L3704" i="1"/>
  <c r="L3835" i="1"/>
  <c r="L3564" i="1"/>
  <c r="L4617" i="1"/>
  <c r="L3930" i="1"/>
  <c r="L4480" i="1"/>
  <c r="L1063" i="1"/>
  <c r="L3468" i="1"/>
  <c r="L3354" i="1"/>
  <c r="L1730" i="1"/>
  <c r="L148" i="1"/>
  <c r="L1644" i="1"/>
  <c r="L1700" i="1"/>
  <c r="L1714" i="1"/>
  <c r="L4411" i="1"/>
  <c r="L2025" i="1"/>
  <c r="L4702" i="1"/>
  <c r="L3013" i="1"/>
  <c r="L1324" i="1"/>
  <c r="L3224" i="1"/>
  <c r="L1346" i="1"/>
  <c r="L3377" i="1"/>
  <c r="L2576" i="1"/>
  <c r="L1544" i="1"/>
  <c r="L1266" i="1"/>
  <c r="L668" i="1"/>
  <c r="L3589" i="1"/>
  <c r="L3748" i="1"/>
  <c r="L2664" i="1"/>
  <c r="L2269" i="1"/>
  <c r="L1569" i="1"/>
  <c r="L2405" i="1"/>
  <c r="L1199" i="1"/>
  <c r="L447" i="1"/>
  <c r="L1532" i="1"/>
  <c r="L104" i="1"/>
  <c r="L1506" i="1"/>
  <c r="L763" i="1"/>
  <c r="L2459" i="1"/>
  <c r="L3784" i="1"/>
  <c r="L4015" i="1"/>
  <c r="L4683" i="1"/>
  <c r="L4047" i="1"/>
  <c r="L1513" i="1"/>
  <c r="L462" i="1"/>
  <c r="L1625" i="1"/>
  <c r="L2575" i="1"/>
  <c r="L1409" i="1"/>
  <c r="L250" i="1"/>
  <c r="L2295" i="1"/>
  <c r="L3755" i="1"/>
  <c r="L1485" i="1"/>
  <c r="L1490" i="1"/>
  <c r="L2307" i="1"/>
  <c r="L2453" i="1"/>
  <c r="L3727" i="1"/>
  <c r="L2788" i="1"/>
  <c r="L3951" i="1"/>
  <c r="L825" i="1"/>
  <c r="L81" i="1"/>
  <c r="L1396" i="1"/>
  <c r="L3547" i="1"/>
  <c r="L2837" i="1"/>
  <c r="L1484" i="1"/>
  <c r="L3909" i="1"/>
  <c r="L1994" i="1"/>
  <c r="L4957" i="1"/>
  <c r="L1017" i="1"/>
  <c r="L3794" i="1"/>
  <c r="L328" i="1"/>
  <c r="L3360" i="1"/>
  <c r="L190" i="1"/>
  <c r="L3592" i="1"/>
  <c r="L3060" i="1"/>
  <c r="L1180" i="1"/>
  <c r="L3235" i="1"/>
  <c r="L1899" i="1"/>
  <c r="L4657" i="1"/>
  <c r="L4276" i="1"/>
  <c r="L3480" i="1"/>
  <c r="L2155" i="1"/>
  <c r="L3171" i="1"/>
  <c r="L3067" i="1"/>
  <c r="L896" i="1"/>
  <c r="L3021" i="1"/>
  <c r="L2390" i="1"/>
  <c r="L4174" i="1"/>
  <c r="L2549" i="1"/>
  <c r="L1319" i="1"/>
  <c r="L2465" i="1"/>
  <c r="L350" i="1"/>
  <c r="L2441" i="1"/>
  <c r="L4966" i="1"/>
  <c r="L216" i="1"/>
  <c r="L36" i="1"/>
  <c r="L4791" i="1"/>
  <c r="L3972" i="1"/>
  <c r="L1662" i="1"/>
  <c r="L1406" i="1"/>
  <c r="L3871" i="1"/>
  <c r="L756" i="1"/>
  <c r="L3484" i="1"/>
  <c r="L3532" i="1"/>
  <c r="L4366" i="1"/>
  <c r="L3927" i="1"/>
  <c r="L4395" i="1"/>
  <c r="L3926" i="1"/>
  <c r="L1623" i="1"/>
  <c r="L4005" i="1"/>
  <c r="L1152" i="1"/>
  <c r="L4694" i="1"/>
  <c r="L2785" i="1"/>
  <c r="L4136" i="1"/>
  <c r="L233" i="1"/>
  <c r="L3702" i="1"/>
  <c r="L2654" i="1"/>
  <c r="L1189" i="1"/>
  <c r="L938" i="1"/>
  <c r="L3719" i="1"/>
  <c r="L514" i="1"/>
  <c r="L4293" i="1"/>
  <c r="L1242" i="1"/>
  <c r="L515" i="1"/>
  <c r="L2899" i="1"/>
  <c r="L3305" i="1"/>
  <c r="L4208" i="1"/>
  <c r="L2774" i="1"/>
  <c r="L2617" i="1"/>
  <c r="L3199" i="1"/>
  <c r="L4318" i="1"/>
  <c r="L1892" i="1"/>
  <c r="L4385" i="1"/>
  <c r="L2720" i="1"/>
  <c r="L1865" i="1"/>
  <c r="L1306" i="1"/>
  <c r="L2021" i="1"/>
  <c r="L3418" i="1"/>
  <c r="L3696" i="1"/>
  <c r="L2010" i="1"/>
  <c r="L4479" i="1"/>
  <c r="L2729" i="1"/>
  <c r="L529" i="1"/>
  <c r="L3659" i="1"/>
  <c r="L724" i="1"/>
  <c r="L241" i="1"/>
  <c r="L3615" i="1"/>
  <c r="L3441" i="1"/>
  <c r="L3511" i="1"/>
  <c r="L913" i="1"/>
  <c r="L3844" i="1"/>
  <c r="L2305" i="1"/>
  <c r="L2601" i="1"/>
  <c r="L177" i="1"/>
  <c r="L930" i="1"/>
  <c r="L2874" i="1"/>
  <c r="L757" i="1"/>
  <c r="L151" i="1"/>
  <c r="L1597" i="1"/>
  <c r="L1079" i="1"/>
  <c r="L1599" i="1"/>
  <c r="L1955" i="1"/>
  <c r="L3811" i="1"/>
  <c r="L1036" i="1"/>
  <c r="L4677" i="1"/>
  <c r="L1560" i="1"/>
  <c r="L3401" i="1"/>
  <c r="L440" i="1"/>
  <c r="L348" i="1"/>
  <c r="L925" i="1"/>
  <c r="L4723" i="1"/>
  <c r="L3118" i="1"/>
  <c r="L5012" i="1"/>
  <c r="L2471" i="1"/>
  <c r="L4572" i="1"/>
  <c r="L3821" i="1"/>
  <c r="L4079" i="1"/>
  <c r="L466" i="1"/>
  <c r="L2682" i="1"/>
  <c r="L2268" i="1"/>
  <c r="L4090" i="1"/>
  <c r="L117" i="1"/>
  <c r="L899" i="1"/>
  <c r="L2267" i="1"/>
  <c r="L1326" i="1"/>
  <c r="L2827" i="1"/>
  <c r="L2537" i="1"/>
  <c r="L3168" i="1"/>
  <c r="L4021" i="1"/>
  <c r="L2707" i="1"/>
  <c r="L2594" i="1"/>
  <c r="L1351" i="1"/>
  <c r="L2472" i="1"/>
  <c r="L3669" i="1"/>
  <c r="L3606" i="1"/>
  <c r="L4408" i="1"/>
  <c r="L3584" i="1"/>
  <c r="L1010" i="1"/>
  <c r="L2812" i="1"/>
  <c r="L96" i="1"/>
  <c r="L1245" i="1"/>
  <c r="L4877" i="1"/>
  <c r="L788" i="1"/>
  <c r="L1434" i="1"/>
  <c r="L2106" i="1"/>
  <c r="L3079" i="1"/>
  <c r="L118" i="1"/>
  <c r="L4805" i="1"/>
  <c r="L1228" i="1"/>
  <c r="L3185" i="1"/>
  <c r="L3870" i="1"/>
  <c r="L2568" i="1"/>
  <c r="L3028" i="1"/>
  <c r="L4535" i="1"/>
  <c r="L1616" i="1"/>
  <c r="L751" i="1"/>
  <c r="L1214" i="1"/>
  <c r="L1477" i="1"/>
  <c r="L2727" i="1"/>
  <c r="L634" i="1"/>
  <c r="L3466" i="1"/>
  <c r="L2181" i="1"/>
  <c r="L2784" i="1"/>
  <c r="L2431" i="1"/>
  <c r="L210" i="1"/>
  <c r="L3051" i="1"/>
  <c r="L1223" i="1"/>
  <c r="L2232" i="1"/>
  <c r="L999" i="1"/>
  <c r="L3283" i="1"/>
  <c r="L2287" i="1"/>
  <c r="L2523" i="1"/>
  <c r="L3236" i="1"/>
  <c r="L2950" i="1"/>
  <c r="L2206" i="1"/>
  <c r="L227" i="1"/>
  <c r="L126" i="1"/>
  <c r="L1313" i="1"/>
  <c r="L944" i="1"/>
  <c r="L946" i="1"/>
  <c r="L2844" i="1"/>
  <c r="L4517" i="1"/>
  <c r="L919" i="1"/>
  <c r="L1309" i="1"/>
  <c r="L1814" i="1"/>
  <c r="L2497" i="1"/>
  <c r="L3368" i="1"/>
  <c r="L1106" i="1"/>
  <c r="L3266" i="1"/>
  <c r="L3403" i="1"/>
  <c r="L1234" i="1"/>
  <c r="L773" i="1"/>
  <c r="L4133" i="1"/>
  <c r="L3820" i="1"/>
  <c r="L4418" i="1"/>
  <c r="L3800" i="1"/>
  <c r="L1375" i="1"/>
  <c r="L4159" i="1"/>
  <c r="L2238" i="1"/>
  <c r="L3486" i="1"/>
  <c r="L1038" i="1"/>
  <c r="L72" i="1"/>
  <c r="L492" i="1"/>
  <c r="L4230" i="1"/>
  <c r="L3617" i="1"/>
  <c r="L4345" i="1"/>
  <c r="L3120" i="1"/>
  <c r="L4255" i="1"/>
  <c r="L394" i="1"/>
  <c r="L4458" i="1"/>
  <c r="L3066" i="1"/>
  <c r="L3391" i="1"/>
  <c r="L2481" i="1"/>
  <c r="L1702" i="1"/>
  <c r="L4509" i="1"/>
  <c r="L1457" i="1"/>
  <c r="L862" i="1"/>
  <c r="L3536" i="1"/>
  <c r="L4368" i="1"/>
  <c r="L2416" i="1"/>
  <c r="L3797" i="1"/>
  <c r="L1877" i="1"/>
  <c r="L3758" i="1"/>
  <c r="L556" i="1"/>
  <c r="L1860" i="1"/>
  <c r="L4919" i="1"/>
  <c r="L3322" i="1"/>
  <c r="L4707" i="1"/>
  <c r="L2633" i="1"/>
  <c r="L415" i="1"/>
  <c r="L356" i="1"/>
  <c r="L2567" i="1"/>
  <c r="L4985" i="1"/>
  <c r="L4263" i="1"/>
  <c r="L1826" i="1"/>
  <c r="L1046" i="1"/>
  <c r="L4311" i="1"/>
  <c r="L3351" i="1"/>
  <c r="L4860" i="1"/>
  <c r="L228" i="1"/>
  <c r="L3722" i="1"/>
  <c r="L3402" i="1"/>
  <c r="L137" i="1"/>
  <c r="L1518" i="1"/>
  <c r="L4349" i="1"/>
  <c r="L3337" i="1"/>
  <c r="L4627" i="1"/>
  <c r="L2225" i="1"/>
  <c r="L2541" i="1"/>
  <c r="L972" i="1"/>
  <c r="L259" i="1"/>
  <c r="L3940" i="1"/>
  <c r="L2386" i="1"/>
  <c r="L403" i="1"/>
  <c r="L1992" i="1"/>
  <c r="L1095" i="1"/>
  <c r="L745" i="1"/>
  <c r="L4437" i="1"/>
  <c r="L748" i="1"/>
  <c r="L370" i="1"/>
  <c r="L1840" i="1"/>
  <c r="L80" i="1"/>
  <c r="L452" i="1"/>
  <c r="L1809" i="1"/>
  <c r="L449" i="1"/>
  <c r="L4500" i="1"/>
  <c r="L483" i="1"/>
  <c r="L3651" i="1"/>
  <c r="L3825" i="1"/>
  <c r="L2335" i="1"/>
  <c r="L3141" i="1"/>
  <c r="L3136" i="1"/>
  <c r="L441" i="1"/>
  <c r="L3922" i="1"/>
  <c r="L752" i="1"/>
  <c r="L236" i="1"/>
  <c r="L2775" i="1"/>
  <c r="L716" i="1"/>
  <c r="L1239" i="1"/>
  <c r="L2725" i="1"/>
  <c r="L1919" i="1"/>
  <c r="L597" i="1"/>
  <c r="L4751" i="1"/>
  <c r="L543" i="1"/>
  <c r="L4092" i="1"/>
  <c r="L4100" i="1"/>
  <c r="L399" i="1"/>
  <c r="L2215" i="1"/>
  <c r="L2074" i="1"/>
  <c r="L4847" i="1"/>
  <c r="L2672" i="1"/>
  <c r="L1087" i="1"/>
  <c r="L637" i="1"/>
  <c r="L2632" i="1"/>
  <c r="L3131" i="1"/>
  <c r="L3367" i="1"/>
  <c r="L2018" i="1"/>
  <c r="L2087" i="1"/>
  <c r="L1264" i="1"/>
  <c r="L205" i="1"/>
  <c r="L666" i="1"/>
  <c r="L4775" i="1"/>
  <c r="L1193" i="1"/>
  <c r="L1646" i="1"/>
  <c r="L3477" i="1"/>
  <c r="L4835" i="1"/>
  <c r="L2618" i="1"/>
  <c r="L1331" i="1"/>
  <c r="L3691" i="1"/>
  <c r="L2124" i="1"/>
  <c r="L1333" i="1"/>
  <c r="L4388" i="1"/>
  <c r="L1748" i="1"/>
  <c r="L4826" i="1"/>
  <c r="L225" i="1"/>
  <c r="L2218" i="1"/>
  <c r="L363" i="1"/>
  <c r="L1274" i="1"/>
  <c r="L1186" i="1"/>
  <c r="L2048" i="1"/>
  <c r="L4922" i="1"/>
  <c r="L746" i="1"/>
  <c r="L3732" i="1"/>
  <c r="L1511" i="1"/>
  <c r="L948" i="1"/>
  <c r="L4744" i="1"/>
  <c r="L362" i="1"/>
  <c r="L2032" i="1"/>
  <c r="L845" i="1"/>
  <c r="L1916" i="1"/>
  <c r="L1447" i="1"/>
  <c r="L3338" i="1"/>
  <c r="L1709" i="1"/>
  <c r="L2751" i="1"/>
  <c r="L4873" i="1"/>
  <c r="L358" i="1"/>
  <c r="L2125" i="1"/>
  <c r="L731" i="1"/>
  <c r="L4333" i="1"/>
  <c r="L1305" i="1"/>
  <c r="L3859" i="1"/>
  <c r="L2971" i="1"/>
  <c r="L2548" i="1"/>
  <c r="L3474" i="1"/>
  <c r="L601" i="1"/>
  <c r="L4226" i="1"/>
  <c r="L349" i="1"/>
  <c r="L1996" i="1"/>
  <c r="L3594" i="1"/>
  <c r="L2882" i="1"/>
  <c r="L392" i="1"/>
  <c r="L1092" i="1"/>
  <c r="L396" i="1"/>
  <c r="L2801" i="1"/>
  <c r="L105" i="1"/>
  <c r="L3695" i="1"/>
  <c r="L978" i="1"/>
  <c r="L1831" i="1"/>
  <c r="L1013" i="1"/>
  <c r="L4283" i="1"/>
  <c r="L3717" i="1"/>
  <c r="L3925" i="1"/>
  <c r="L3637" i="1"/>
  <c r="L2214" i="1"/>
  <c r="L4809" i="1"/>
  <c r="L4107" i="1"/>
  <c r="L3419" i="1"/>
  <c r="L341" i="1"/>
  <c r="L1720" i="1"/>
  <c r="L292" i="1"/>
  <c r="L3888" i="1"/>
  <c r="L4102" i="1"/>
  <c r="L758" i="1"/>
  <c r="L4786" i="1"/>
  <c r="L2988" i="1"/>
  <c r="L701" i="1"/>
  <c r="L2749" i="1"/>
  <c r="L2894" i="1"/>
  <c r="L3482" i="1"/>
  <c r="L391" i="1"/>
  <c r="L4106" i="1"/>
  <c r="L2648" i="1"/>
  <c r="L1016" i="1"/>
  <c r="L2367" i="1"/>
  <c r="L4930" i="1"/>
  <c r="L1712" i="1"/>
  <c r="L895" i="1"/>
  <c r="L1209" i="1"/>
  <c r="L1592" i="1"/>
  <c r="L1052" i="1"/>
  <c r="L4798" i="1"/>
  <c r="L2309" i="1"/>
  <c r="L2388" i="1"/>
  <c r="L1735" i="1"/>
  <c r="L1762" i="1"/>
  <c r="L2098" i="1"/>
  <c r="L3273" i="1"/>
  <c r="L992" i="1"/>
  <c r="L1162" i="1"/>
  <c r="L3496" i="1"/>
  <c r="L267" i="1"/>
  <c r="L1216" i="1"/>
  <c r="L3234" i="1"/>
  <c r="L1512" i="1"/>
  <c r="L2545" i="1"/>
  <c r="L1528" i="1"/>
  <c r="L1354" i="1"/>
  <c r="L1428" i="1"/>
  <c r="L1715" i="1"/>
  <c r="L3106" i="1"/>
  <c r="L2526" i="1"/>
  <c r="L1277" i="1"/>
  <c r="L4343" i="1"/>
  <c r="L866" i="1"/>
  <c r="L3738" i="1"/>
  <c r="L3772" i="1"/>
  <c r="L2696" i="1"/>
  <c r="L489" i="1"/>
  <c r="L2920" i="1"/>
  <c r="L3275" i="1"/>
  <c r="L3683" i="1"/>
  <c r="L330" i="1"/>
  <c r="L285" i="1"/>
  <c r="L2235" i="1"/>
  <c r="L3804" i="1"/>
  <c r="L3248" i="1"/>
  <c r="L2143" i="1"/>
  <c r="L1703" i="1"/>
  <c r="L4207" i="1"/>
  <c r="L4319" i="1"/>
  <c r="L2700" i="1"/>
  <c r="L2864" i="1"/>
  <c r="L4970" i="1"/>
  <c r="L3912" i="1"/>
  <c r="L2274" i="1"/>
  <c r="L2001" i="1"/>
  <c r="L4716" i="1"/>
  <c r="L2304" i="1"/>
  <c r="L4676" i="1"/>
  <c r="L3176" i="1"/>
  <c r="L1364" i="1"/>
  <c r="L994" i="1"/>
  <c r="L2579" i="1"/>
  <c r="L278" i="1"/>
  <c r="L175" i="1"/>
  <c r="L2587" i="1"/>
  <c r="L2114" i="1"/>
  <c r="L1267" i="1"/>
  <c r="L1353" i="1"/>
  <c r="L698" i="1"/>
  <c r="L3989" i="1"/>
  <c r="L2972" i="1"/>
  <c r="L1025" i="1"/>
  <c r="L2968" i="1"/>
  <c r="L969" i="1"/>
  <c r="L2151" i="1"/>
  <c r="L4636" i="1"/>
  <c r="L4016" i="1"/>
  <c r="L2259" i="1"/>
  <c r="L2948" i="1"/>
  <c r="L311" i="1"/>
  <c r="L1487" i="1"/>
  <c r="L1590" i="1"/>
  <c r="L1940" i="1"/>
  <c r="L4342" i="1"/>
  <c r="L2042" i="1"/>
  <c r="L1280" i="1"/>
  <c r="L2072" i="1"/>
  <c r="L2867" i="1"/>
  <c r="L607" i="1"/>
  <c r="L1501" i="1"/>
  <c r="L2820" i="1"/>
  <c r="L246" i="1"/>
  <c r="L775" i="1"/>
  <c r="L1221" i="1"/>
  <c r="L1446" i="1"/>
  <c r="L4867" i="1"/>
  <c r="L3708" i="1"/>
  <c r="L3582" i="1"/>
  <c r="L1637" i="1"/>
  <c r="L4028" i="1"/>
  <c r="L1671" i="1"/>
  <c r="L838" i="1"/>
  <c r="L2791" i="1"/>
  <c r="L4979" i="1"/>
  <c r="L2172" i="1"/>
  <c r="L1454" i="1"/>
  <c r="L3552" i="1"/>
  <c r="L595" i="1"/>
  <c r="L2102" i="1"/>
  <c r="L2071" i="1"/>
  <c r="L593" i="1"/>
  <c r="L2033" i="1"/>
  <c r="L4461" i="1"/>
  <c r="L4552" i="1"/>
  <c r="L3098" i="1"/>
  <c r="L2928" i="1"/>
  <c r="L1861" i="1"/>
  <c r="L2487" i="1"/>
  <c r="L2536" i="1"/>
  <c r="L1389" i="1"/>
  <c r="L3533" i="1"/>
  <c r="L4464" i="1"/>
  <c r="L4191" i="1"/>
  <c r="L4931" i="1"/>
  <c r="L3649" i="1"/>
  <c r="L3444" i="1"/>
  <c r="L4803" i="1"/>
  <c r="L4794" i="1"/>
  <c r="L1964" i="1"/>
  <c r="L4762" i="1"/>
  <c r="L2401" i="1"/>
  <c r="L4862" i="1"/>
  <c r="L3679" i="1"/>
  <c r="L4451" i="1"/>
  <c r="L76" i="1"/>
  <c r="L172" i="1"/>
  <c r="L3986" i="1"/>
  <c r="L2530" i="1"/>
  <c r="L4649" i="1"/>
  <c r="L1725" i="1"/>
  <c r="L3027" i="1"/>
  <c r="L15" i="1"/>
  <c r="L4051" i="1"/>
  <c r="L4910" i="1"/>
  <c r="L3282" i="1"/>
  <c r="L1231" i="1"/>
  <c r="L4923" i="1"/>
  <c r="L3498" i="1"/>
  <c r="L2303" i="1"/>
  <c r="L3596" i="1"/>
  <c r="L3325" i="1"/>
  <c r="L2434" i="1"/>
  <c r="L2571" i="1"/>
  <c r="L3406" i="1"/>
  <c r="L3145" i="1"/>
  <c r="L62" i="1"/>
  <c r="L949" i="1"/>
  <c r="L4185" i="1"/>
  <c r="L44" i="1"/>
  <c r="L2826" i="1"/>
  <c r="L4891" i="1"/>
  <c r="L1795" i="1"/>
  <c r="L4837" i="1"/>
  <c r="L3840" i="1"/>
  <c r="L1769" i="1"/>
  <c r="L1383" i="1"/>
  <c r="L1663" i="1"/>
  <c r="L4151" i="1"/>
  <c r="L4420" i="1"/>
  <c r="L4989" i="1"/>
  <c r="L1082" i="1"/>
  <c r="L1973" i="1"/>
  <c r="L3600" i="1"/>
  <c r="L1445" i="1"/>
  <c r="L3721" i="1"/>
  <c r="L2764" i="1"/>
  <c r="L4960" i="1"/>
  <c r="L4198" i="1"/>
  <c r="L1648" i="1"/>
  <c r="L628" i="1"/>
  <c r="L1173" i="1"/>
  <c r="L2085" i="1"/>
  <c r="L2978" i="1"/>
  <c r="L47" i="1"/>
  <c r="L772" i="1"/>
  <c r="L3077" i="1"/>
  <c r="L4858" i="1"/>
  <c r="L4098" i="1"/>
  <c r="L2840" i="1"/>
  <c r="L2061" i="1"/>
  <c r="L888" i="1"/>
  <c r="L4089" i="1"/>
  <c r="L1977" i="1"/>
  <c r="L4356" i="1"/>
  <c r="L791" i="1"/>
  <c r="L3855" i="1"/>
  <c r="L687" i="1"/>
  <c r="L2372" i="1"/>
  <c r="L3024" i="1"/>
  <c r="L4599" i="1"/>
  <c r="L3805" i="1"/>
  <c r="L2318" i="1"/>
  <c r="L4852" i="1"/>
  <c r="L1401" i="1"/>
  <c r="L4314" i="1"/>
  <c r="L1922" i="1"/>
  <c r="L4836" i="1"/>
  <c r="L3996" i="1"/>
  <c r="L1664" i="1"/>
  <c r="L1151" i="1"/>
  <c r="L4357" i="1"/>
  <c r="L2183" i="1"/>
  <c r="L2458" i="1"/>
  <c r="L508" i="1"/>
  <c r="L3071" i="1"/>
  <c r="L1488" i="1"/>
  <c r="L891" i="1"/>
  <c r="L1494" i="1"/>
  <c r="L2000" i="1"/>
  <c r="L3133" i="1"/>
  <c r="L244" i="1"/>
  <c r="L1102" i="1"/>
  <c r="L2291" i="1"/>
  <c r="L465" i="1"/>
  <c r="L2590" i="1"/>
  <c r="L2757" i="1"/>
  <c r="L3070" i="1"/>
  <c r="L1372" i="1"/>
  <c r="L4197" i="1"/>
  <c r="L4643" i="1"/>
  <c r="L2484" i="1"/>
  <c r="L3947" i="1"/>
  <c r="L3353" i="1"/>
  <c r="L4251" i="1"/>
  <c r="L2046" i="1"/>
  <c r="L1766" i="1"/>
  <c r="L2708" i="1"/>
  <c r="L4253" i="1"/>
  <c r="L3437" i="1"/>
  <c r="L1576" i="1"/>
  <c r="L4536" i="1"/>
  <c r="L4456" i="1"/>
  <c r="L53" i="1"/>
  <c r="L294" i="1"/>
  <c r="L4514" i="1"/>
  <c r="L839" i="1"/>
  <c r="L4307" i="1"/>
  <c r="L4557" i="1"/>
  <c r="L1895" i="1"/>
  <c r="L4738" i="1"/>
  <c r="L333" i="1"/>
  <c r="L1411" i="1"/>
  <c r="L82" i="1"/>
  <c r="L51" i="1"/>
  <c r="L4202" i="1"/>
  <c r="L1634" i="1"/>
  <c r="L4179" i="1"/>
  <c r="L3183" i="1"/>
  <c r="L359" i="1"/>
  <c r="L822" i="1"/>
  <c r="L2130" i="1"/>
  <c r="L1935" i="1"/>
  <c r="L2260" i="1"/>
  <c r="L1948" i="1"/>
  <c r="L1698" i="1"/>
  <c r="L263" i="1"/>
  <c r="L4932" i="1"/>
  <c r="L2302" i="1"/>
  <c r="L1579" i="1"/>
  <c r="L4983" i="1"/>
  <c r="L4662" i="1"/>
  <c r="L1272" i="1"/>
  <c r="L1051" i="1"/>
  <c r="L3123" i="1"/>
  <c r="L3492" i="1"/>
  <c r="L4532" i="1"/>
  <c r="L2457" i="1"/>
  <c r="L3155" i="1"/>
  <c r="L66" i="1"/>
  <c r="L1874" i="1"/>
  <c r="L373" i="1"/>
  <c r="L3655" i="1"/>
  <c r="L191" i="1"/>
  <c r="L2732" i="1"/>
  <c r="L876" i="1"/>
  <c r="L1627" i="1"/>
  <c r="L3361" i="1"/>
  <c r="L2466" i="1"/>
  <c r="L454" i="1"/>
  <c r="L2620" i="1"/>
  <c r="L4609" i="1"/>
  <c r="L2282" i="1"/>
  <c r="L4023" i="1"/>
  <c r="L3773" i="1"/>
  <c r="L1654" i="1"/>
  <c r="L3161" i="1"/>
  <c r="L4624" i="1"/>
  <c r="L3198" i="1"/>
  <c r="L3341" i="1"/>
  <c r="L351" i="1"/>
  <c r="L966" i="1"/>
  <c r="L1505" i="1"/>
  <c r="L4" i="1"/>
  <c r="L869" i="1"/>
  <c r="L2876" i="1"/>
  <c r="L2981" i="1"/>
  <c r="L2959" i="1"/>
  <c r="L987" i="1"/>
  <c r="L4626" i="1"/>
  <c r="L324" i="1"/>
  <c r="L2063" i="1"/>
  <c r="L143" i="1"/>
  <c r="L4233" i="1"/>
  <c r="L1825" i="1"/>
  <c r="L2417" i="1"/>
  <c r="L2866" i="1"/>
  <c r="L3433" i="1"/>
  <c r="L4793" i="1"/>
  <c r="L3892" i="1"/>
  <c r="L1816" i="1"/>
  <c r="L254" i="1"/>
  <c r="L1109" i="1"/>
  <c r="L3252" i="1"/>
  <c r="L4316" i="1"/>
  <c r="L1510" i="1"/>
  <c r="L1113" i="1"/>
  <c r="L1098" i="1"/>
  <c r="L3512" i="1"/>
  <c r="L1310" i="1"/>
  <c r="L4969" i="1"/>
  <c r="L4710" i="1"/>
  <c r="L2635" i="1"/>
  <c r="L3078" i="1"/>
  <c r="L1422" i="1"/>
  <c r="L3877" i="1"/>
  <c r="L2" i="1"/>
  <c r="L1614" i="1"/>
  <c r="L957" i="1"/>
  <c r="L3879" i="1"/>
  <c r="L521" i="1"/>
  <c r="L421" i="1"/>
  <c r="L3135" i="1"/>
  <c r="L4539" i="1"/>
  <c r="L1056" i="1"/>
  <c r="L2381" i="1"/>
  <c r="L1936" i="1"/>
  <c r="L894" i="1"/>
  <c r="L4236" i="1"/>
  <c r="L61" i="1"/>
  <c r="L2449" i="1"/>
  <c r="L49" i="1"/>
  <c r="L3388" i="1"/>
  <c r="L1817" i="1"/>
  <c r="L4370" i="1"/>
  <c r="L998" i="1"/>
  <c r="L820" i="1"/>
  <c r="L635" i="1"/>
  <c r="L4132" i="1"/>
  <c r="L37" i="1"/>
  <c r="L1496" i="1"/>
  <c r="L1721" i="1"/>
  <c r="L3319" i="1"/>
  <c r="L578" i="1"/>
  <c r="L4921" i="1"/>
  <c r="L4184" i="1"/>
  <c r="L4829" i="1"/>
  <c r="L2580" i="1"/>
  <c r="L4234" i="1"/>
  <c r="L2280" i="1"/>
  <c r="L3858" i="1"/>
  <c r="L4301" i="1"/>
  <c r="L3456" i="1"/>
  <c r="L3631" i="1"/>
  <c r="L1509" i="1"/>
  <c r="L4825" i="1"/>
  <c r="L3037" i="1"/>
  <c r="L1920" i="1"/>
  <c r="L106" i="1"/>
  <c r="L1520" i="1"/>
  <c r="L577" i="1"/>
  <c r="L3667" i="1"/>
  <c r="L3856" i="1"/>
  <c r="L3845" i="1"/>
  <c r="L2824" i="1"/>
  <c r="L1552" i="1"/>
  <c r="L4754" i="1"/>
  <c r="L3860" i="1"/>
  <c r="L867" i="1"/>
  <c r="L1617" i="1"/>
  <c r="L63" i="1"/>
  <c r="L4548" i="1"/>
  <c r="L2886" i="1"/>
  <c r="L3995" i="1"/>
  <c r="L1099" i="1"/>
  <c r="L247" i="1"/>
  <c r="L882" i="1"/>
  <c r="L4470" i="1"/>
  <c r="L2649" i="1"/>
  <c r="L3044" i="1"/>
  <c r="L3828" i="1"/>
  <c r="L32" i="1"/>
  <c r="L2184" i="1"/>
  <c r="L4358" i="1"/>
  <c r="L4432" i="1"/>
  <c r="L3143" i="1"/>
  <c r="L3412" i="1"/>
  <c r="L1566" i="1"/>
  <c r="L4339" i="1"/>
  <c r="L257" i="1"/>
  <c r="L2547" i="1"/>
  <c r="L5002" i="1"/>
  <c r="L2581" i="1"/>
  <c r="L4501" i="1"/>
  <c r="L2963" i="1"/>
  <c r="L4928" i="1"/>
  <c r="L4610" i="1"/>
  <c r="L2252" i="1"/>
  <c r="L416" i="1"/>
  <c r="L4619" i="1"/>
  <c r="L2889" i="1"/>
  <c r="L953" i="1"/>
  <c r="L1556" i="1"/>
  <c r="L4168" i="1"/>
  <c r="L995" i="1"/>
  <c r="L2846" i="1"/>
  <c r="L3968" i="1"/>
  <c r="L3839" i="1"/>
  <c r="L1489" i="1"/>
  <c r="L588" i="1"/>
  <c r="L1278" i="1"/>
  <c r="L2165" i="1"/>
  <c r="L496" i="1"/>
  <c r="L2566" i="1"/>
  <c r="L4799" i="1"/>
  <c r="L4577" i="1"/>
  <c r="L1213" i="1"/>
  <c r="L2149" i="1"/>
  <c r="L2150" i="1"/>
  <c r="L1824" i="1"/>
  <c r="L4612" i="1"/>
  <c r="L2933" i="1"/>
  <c r="L1179" i="1"/>
  <c r="L3091" i="1"/>
  <c r="L3706" i="1"/>
  <c r="L1656" i="1"/>
  <c r="L4176" i="1"/>
  <c r="L4545" i="1"/>
  <c r="L3178" i="1"/>
  <c r="L2203" i="1"/>
  <c r="L4224" i="1"/>
  <c r="L3431" i="1"/>
  <c r="L1045" i="1"/>
  <c r="L3450" i="1"/>
  <c r="L3249" i="1"/>
  <c r="L3550" i="1"/>
  <c r="L1872" i="1"/>
  <c r="L434" i="1"/>
  <c r="L4040" i="1"/>
  <c r="L747" i="1"/>
  <c r="L3109" i="1"/>
  <c r="L3639" i="1"/>
  <c r="L3522" i="1"/>
  <c r="L4498" i="1"/>
  <c r="L2121" i="1"/>
  <c r="L843" i="1"/>
  <c r="L1800" i="1"/>
  <c r="L2284" i="1"/>
  <c r="L3723" i="1"/>
  <c r="L1347" i="1"/>
  <c r="L4126" i="1"/>
  <c r="L1011" i="1"/>
  <c r="L2012" i="1"/>
  <c r="L3269" i="1"/>
  <c r="L94" i="1"/>
  <c r="L1367" i="1"/>
  <c r="L1957" i="1"/>
  <c r="L79" i="1"/>
  <c r="L3568" i="1"/>
  <c r="L2456" i="1"/>
  <c r="L4680" i="1"/>
  <c r="L3223" i="1"/>
  <c r="L255" i="1"/>
  <c r="L3729" i="1"/>
  <c r="L3786" i="1"/>
  <c r="L1161" i="1"/>
  <c r="L4257" i="1"/>
  <c r="L4324" i="1"/>
  <c r="L3265" i="1"/>
  <c r="L3346" i="1"/>
  <c r="L3603" i="1"/>
  <c r="L2454" i="1"/>
  <c r="L3110" i="1"/>
  <c r="L3788" i="1"/>
  <c r="L4560" i="1"/>
  <c r="L2178" i="1"/>
  <c r="L1652" i="1"/>
  <c r="L1697" i="1"/>
  <c r="L484" i="1"/>
  <c r="L821" i="1"/>
  <c r="L430" i="1"/>
  <c r="L1839" i="1"/>
  <c r="L807" i="1"/>
  <c r="L3688" i="1"/>
  <c r="L4221" i="1"/>
  <c r="L4252" i="1"/>
  <c r="L2747" i="1"/>
  <c r="L4481" i="1"/>
  <c r="L4734" i="1"/>
  <c r="L2561" i="1"/>
  <c r="L818" i="1"/>
  <c r="L568" i="1"/>
  <c r="L2642" i="1"/>
  <c r="L1335" i="1"/>
  <c r="L4965" i="1"/>
  <c r="L2758" i="1"/>
  <c r="L3251" i="1"/>
  <c r="L217" i="1"/>
  <c r="L316" i="1"/>
  <c r="L1493" i="1"/>
  <c r="L139" i="1"/>
  <c r="L3454" i="1"/>
  <c r="L1202" i="1"/>
  <c r="L3642" i="1"/>
  <c r="L2880" i="1"/>
  <c r="L5010" i="1"/>
  <c r="L2093" i="1"/>
  <c r="L1230" i="1"/>
  <c r="L1849" i="1"/>
  <c r="L794" i="1"/>
  <c r="L4245" i="1"/>
  <c r="L4298" i="1"/>
  <c r="L253" i="1"/>
  <c r="L1237" i="1"/>
  <c r="L1798" i="1"/>
  <c r="L990" i="1"/>
  <c r="L3978" i="1"/>
  <c r="L2887" i="1"/>
  <c r="L4787" i="1"/>
  <c r="L3620" i="1"/>
  <c r="L30" i="1"/>
  <c r="L2247" i="1"/>
  <c r="L1942" i="1"/>
  <c r="L3139" i="1"/>
  <c r="L2501" i="1"/>
  <c r="L538" i="1"/>
  <c r="L2701" i="1"/>
  <c r="L1115" i="1"/>
  <c r="L327" i="1"/>
  <c r="L3833" i="1"/>
  <c r="L4651" i="1"/>
  <c r="L890" i="1"/>
  <c r="L1653" i="1"/>
  <c r="L4845" i="1"/>
  <c r="L2474" i="1"/>
  <c r="L4578" i="1"/>
  <c r="L2641" i="1"/>
  <c r="L2299" i="1"/>
  <c r="L4223" i="1"/>
  <c r="L616" i="1"/>
  <c r="L1001" i="1"/>
  <c r="L2384" i="1"/>
  <c r="L296" i="1"/>
  <c r="L2439" i="1"/>
  <c r="L4297" i="1"/>
  <c r="L2141" i="1"/>
  <c r="L4631" i="1"/>
  <c r="L4064" i="1"/>
  <c r="L4147" i="1"/>
  <c r="L2611" i="1"/>
  <c r="L3741" i="1"/>
  <c r="L2429" i="1"/>
  <c r="L4937" i="1"/>
  <c r="L3062" i="1"/>
  <c r="L1838" i="1"/>
  <c r="L3165" i="1"/>
  <c r="L1418" i="1"/>
  <c r="L1083" i="1"/>
  <c r="L436" i="1"/>
  <c r="L2490" i="1"/>
  <c r="L2194" i="1"/>
  <c r="L4724" i="1"/>
  <c r="L3022" i="1"/>
  <c r="L3959" i="1"/>
  <c r="L1094" i="1"/>
  <c r="L4158" i="1"/>
  <c r="L3246" i="1"/>
  <c r="L4893" i="1"/>
  <c r="L4362" i="1"/>
  <c r="L2539" i="1"/>
  <c r="L2463" i="1"/>
  <c r="L3815" i="1"/>
  <c r="L18" i="1"/>
  <c r="L2119" i="1"/>
  <c r="L1507" i="1"/>
  <c r="L762" i="1"/>
  <c r="L769" i="1"/>
  <c r="L2834" i="1"/>
  <c r="L20" i="1"/>
  <c r="L1134" i="1"/>
  <c r="L2229" i="1"/>
  <c r="L2412" i="1"/>
  <c r="L754" i="1"/>
  <c r="L1069" i="1"/>
  <c r="L4449" i="1"/>
  <c r="L199" i="1"/>
  <c r="L4101" i="1"/>
  <c r="L968" i="1"/>
  <c r="L2028" i="1"/>
  <c r="L89" i="1"/>
  <c r="L3716" i="1"/>
  <c r="L4613" i="1"/>
  <c r="L4419" i="1"/>
  <c r="L3373" i="1"/>
  <c r="L2105" i="1"/>
  <c r="L622" i="1"/>
  <c r="L1462" i="1"/>
  <c r="L3134" i="1"/>
  <c r="L4438" i="1"/>
  <c r="L2174" i="1"/>
  <c r="L4671" i="1"/>
  <c r="L1058" i="1"/>
  <c r="L357" i="1"/>
  <c r="L2298" i="1"/>
  <c r="L4455" i="1"/>
  <c r="L3575" i="1"/>
  <c r="L4984" i="1"/>
  <c r="L3229" i="1"/>
  <c r="L1181" i="1"/>
  <c r="L3734" i="1"/>
  <c r="L3774" i="1"/>
  <c r="L297" i="1"/>
  <c r="L933" i="1"/>
  <c r="L4634" i="1"/>
  <c r="L1503" i="1"/>
  <c r="L127" i="1"/>
  <c r="L1145" i="1"/>
  <c r="L1061" i="1"/>
  <c r="L4698" i="1"/>
  <c r="L1944" i="1"/>
  <c r="L2341" i="1"/>
  <c r="L3032" i="1"/>
  <c r="L4457" i="1"/>
  <c r="L2475" i="1"/>
  <c r="L4575" i="1"/>
  <c r="L1846" i="1"/>
  <c r="L683" i="1"/>
  <c r="L3954" i="1"/>
  <c r="L2369" i="1"/>
  <c r="L4320" i="1"/>
  <c r="L3577" i="1"/>
  <c r="L4222" i="1"/>
  <c r="L97" i="1"/>
  <c r="L3004" i="1"/>
  <c r="L3591" i="1"/>
  <c r="L2799" i="1"/>
  <c r="L3047" i="1"/>
  <c r="L4088" i="1"/>
  <c r="L2115" i="1"/>
  <c r="L848" i="1"/>
  <c r="L4587" i="1"/>
  <c r="L2663" i="1"/>
  <c r="L1835" i="1"/>
  <c r="L3619" i="1"/>
  <c r="L2148" i="1"/>
  <c r="L4199" i="1"/>
  <c r="L309" i="1"/>
  <c r="L2380" i="1"/>
  <c r="L4317" i="1"/>
  <c r="L2741" i="1"/>
  <c r="L1558" i="1"/>
  <c r="L1226" i="1"/>
  <c r="L1733" i="1"/>
  <c r="L3911" i="1"/>
  <c r="L2044" i="1"/>
  <c r="L721" i="1"/>
  <c r="L3963" i="1"/>
  <c r="L941" i="1"/>
  <c r="L2525" i="1"/>
  <c r="L3783" i="1"/>
  <c r="L2212" i="1"/>
  <c r="L1588" i="1"/>
  <c r="L2056" i="1"/>
  <c r="L1578" i="1"/>
  <c r="L2308" i="1"/>
  <c r="L774" i="1"/>
  <c r="L120" i="1"/>
  <c r="L736" i="1"/>
  <c r="L4801" i="1"/>
  <c r="L2504" i="1"/>
  <c r="L1688" i="1"/>
  <c r="L4389" i="1"/>
  <c r="L409" i="1"/>
  <c r="L2167" i="1"/>
  <c r="L4004" i="1"/>
  <c r="L1338" i="1"/>
  <c r="L504" i="1"/>
  <c r="L4758" i="1"/>
  <c r="L575" i="1"/>
  <c r="L4491" i="1"/>
  <c r="L4215" i="1"/>
  <c r="L4917" i="1"/>
  <c r="L168" i="1"/>
  <c r="L2493" i="1"/>
  <c r="L852" i="1"/>
  <c r="L3485" i="1"/>
  <c r="L153" i="1"/>
  <c r="L1426" i="1"/>
  <c r="L3355" i="1"/>
  <c r="L2802" i="1"/>
  <c r="L223" i="1"/>
  <c r="L2636" i="1"/>
  <c r="L4952" i="1"/>
  <c r="L4954" i="1"/>
  <c r="L4135" i="1"/>
  <c r="L2391" i="1"/>
  <c r="L1114" i="1"/>
  <c r="L796" i="1"/>
  <c r="L2695" i="1"/>
  <c r="L4077" i="1"/>
  <c r="L4601" i="1"/>
  <c r="L961" i="1"/>
  <c r="L1187" i="1"/>
  <c r="L3863" i="1"/>
  <c r="L3380" i="1"/>
  <c r="L239" i="1"/>
  <c r="L3435" i="1"/>
  <c r="L2651" i="1"/>
  <c r="L1081" i="1"/>
  <c r="L1054" i="1"/>
  <c r="L2263" i="1"/>
  <c r="L2768" i="1"/>
  <c r="L1449" i="1"/>
  <c r="L1043" i="1"/>
  <c r="L2249" i="1"/>
  <c r="L2135" i="1"/>
  <c r="L4177" i="1"/>
  <c r="L3757" i="1"/>
  <c r="L3316" i="1"/>
  <c r="L2086" i="1"/>
  <c r="L2535" i="1"/>
  <c r="L107" i="1"/>
  <c r="L1890" i="1"/>
  <c r="L932" i="1"/>
  <c r="L1259" i="1"/>
  <c r="L4508" i="1"/>
  <c r="L3289" i="1"/>
  <c r="L1265" i="1"/>
  <c r="L1041" i="1"/>
  <c r="L973" i="1"/>
  <c r="L1120" i="1"/>
  <c r="L4466" i="1"/>
  <c r="L2180" i="1"/>
  <c r="L1738" i="1"/>
  <c r="L903" i="1"/>
  <c r="L1473" i="1"/>
  <c r="L335" i="1"/>
  <c r="L2983" i="1"/>
  <c r="L782" i="1"/>
  <c r="L2681" i="1"/>
  <c r="L4639" i="1"/>
  <c r="L1583" i="1"/>
  <c r="L4743" i="1"/>
  <c r="L636" i="1"/>
  <c r="L4329" i="1"/>
  <c r="L1960" i="1"/>
  <c r="L586" i="1"/>
  <c r="L904" i="1"/>
  <c r="L3029" i="1"/>
  <c r="L2488" i="1"/>
  <c r="L2219" i="1"/>
  <c r="L360" i="1"/>
  <c r="L704" i="1"/>
  <c r="L4714" i="1"/>
  <c r="L1204" i="1"/>
  <c r="L2186" i="1"/>
  <c r="L527" i="1"/>
  <c r="L1437" i="1"/>
  <c r="L2640" i="1"/>
  <c r="L1655" i="1"/>
  <c r="L2354" i="1"/>
  <c r="L4493" i="1"/>
  <c r="L4116" i="1"/>
  <c r="L3188" i="1"/>
  <c r="L3370" i="1"/>
  <c r="L2227" i="1"/>
  <c r="L2612" i="1"/>
  <c r="L410" i="1"/>
  <c r="L3764" i="1"/>
  <c r="L1149" i="1"/>
  <c r="L4081" i="1"/>
  <c r="L4597" i="1"/>
  <c r="L2586" i="1"/>
  <c r="L645" i="1"/>
  <c r="L2394" i="1"/>
  <c r="L765" i="1"/>
  <c r="L860" i="1"/>
  <c r="L92" i="1"/>
  <c r="L2896" i="1"/>
  <c r="L3130" i="1"/>
  <c r="L4267" i="1"/>
  <c r="L3899" i="1"/>
  <c r="L1498" i="1"/>
  <c r="L2718" i="1"/>
  <c r="L4367" i="1"/>
  <c r="L152" i="1"/>
  <c r="L2223" i="1"/>
  <c r="L46" i="1"/>
  <c r="L2916" i="1"/>
  <c r="L2782" i="1"/>
  <c r="L1028" i="1"/>
  <c r="L4688" i="1"/>
  <c r="L3334" i="1"/>
  <c r="L3562" i="1"/>
  <c r="L2176" i="1"/>
  <c r="L2781" i="1"/>
  <c r="L3994" i="1"/>
  <c r="L4755" i="1"/>
  <c r="L4664" i="1"/>
  <c r="L1713" i="1"/>
  <c r="L4911" i="1"/>
  <c r="L196" i="1"/>
  <c r="L4987" i="1"/>
  <c r="L2234" i="1"/>
  <c r="L1822" i="1"/>
  <c r="L1548" i="1"/>
  <c r="L3342" i="1"/>
  <c r="L815" i="1"/>
  <c r="L4506" i="1"/>
  <c r="L1141" i="1"/>
  <c r="L4259" i="1"/>
  <c r="L2004" i="1"/>
  <c r="L1363" i="1"/>
  <c r="L1033" i="1"/>
  <c r="L1160" i="1"/>
  <c r="L3903" i="1"/>
  <c r="L490" i="1"/>
  <c r="L3312" i="1"/>
  <c r="L298" i="1"/>
  <c r="L2898" i="1"/>
  <c r="L809" i="1"/>
  <c r="L936" i="1"/>
  <c r="L3698" i="1"/>
  <c r="L2990" i="1"/>
  <c r="L3735" i="1"/>
  <c r="L322" i="1"/>
  <c r="L562" i="1"/>
  <c r="L4522" i="1"/>
  <c r="L1461" i="1"/>
  <c r="L2476" i="1"/>
  <c r="L2279" i="1"/>
  <c r="L613" i="1"/>
  <c r="L478" i="1"/>
  <c r="L4516" i="1"/>
  <c r="L2040" i="1"/>
  <c r="L2103" i="1"/>
  <c r="L204" i="1"/>
  <c r="L2560" i="1"/>
  <c r="L2266" i="1"/>
  <c r="L4502" i="1"/>
  <c r="L4700" i="1"/>
  <c r="L414" i="1"/>
  <c r="L1891" i="1"/>
  <c r="L3094" i="1"/>
  <c r="L4085" i="1"/>
  <c r="L4689" i="1"/>
  <c r="L663" i="1"/>
  <c r="L1845" i="1"/>
  <c r="L19" i="1"/>
  <c r="L3065" i="1"/>
  <c r="L4290" i="1"/>
  <c r="L605" i="1"/>
  <c r="L375" i="1"/>
  <c r="L4110" i="1"/>
  <c r="L2296" i="1"/>
  <c r="L1751" i="1"/>
  <c r="L2339" i="1"/>
  <c r="L2340" i="1"/>
  <c r="L332" i="1"/>
  <c r="L3114" i="1"/>
  <c r="L3083" i="1"/>
  <c r="L4186" i="1"/>
  <c r="L1362" i="1"/>
  <c r="L2503" i="1"/>
  <c r="L258" i="1"/>
  <c r="L1869" i="1"/>
  <c r="L1232" i="1"/>
  <c r="L2770" i="1"/>
  <c r="L2722" i="1"/>
  <c r="L2041" i="1"/>
  <c r="L101" i="1"/>
  <c r="L3002" i="1"/>
  <c r="L4883" i="1"/>
  <c r="L771" i="1"/>
  <c r="L3179" i="1"/>
  <c r="L4926" i="1"/>
  <c r="L3689" i="1"/>
  <c r="L2241" i="1"/>
  <c r="L433" i="1"/>
  <c r="L3775" i="1"/>
  <c r="L661" i="1"/>
  <c r="L3779" i="1"/>
  <c r="L2975" i="1"/>
  <c r="L29" i="1"/>
  <c r="L4533" i="1"/>
  <c r="L2448" i="1"/>
  <c r="L4540" i="1"/>
  <c r="L4393" i="1"/>
  <c r="L1855" i="1"/>
  <c r="L1659" i="1"/>
  <c r="L3447" i="1"/>
  <c r="L4363" i="1"/>
  <c r="L4859" i="1"/>
  <c r="L2202" i="1"/>
  <c r="L3306" i="1"/>
  <c r="L4112" i="1"/>
  <c r="L3323" i="1"/>
  <c r="L1300" i="1"/>
  <c r="L3636" i="1"/>
  <c r="L4905" i="1"/>
  <c r="L1747" i="1"/>
  <c r="L2780" i="1"/>
  <c r="L1269" i="1"/>
  <c r="L3816" i="1"/>
  <c r="L1072" i="1"/>
  <c r="L1163" i="1"/>
  <c r="L1575" i="1"/>
  <c r="L889" i="1"/>
  <c r="L2110" i="1"/>
  <c r="L1398" i="1"/>
  <c r="L4415" i="1"/>
  <c r="L339" i="1"/>
  <c r="L725" i="1"/>
  <c r="L2313" i="1"/>
  <c r="L3590" i="1"/>
  <c r="L1002" i="1"/>
  <c r="L2796" i="1"/>
  <c r="L1096" i="1"/>
  <c r="L238" i="1"/>
  <c r="L537" i="1"/>
  <c r="L2677" i="1"/>
  <c r="L4412" i="1"/>
  <c r="L4472" i="1"/>
  <c r="L154" i="1"/>
  <c r="L17" i="1"/>
  <c r="L2486" i="1"/>
  <c r="L366" i="1"/>
  <c r="L2256" i="1"/>
  <c r="L2328" i="1"/>
  <c r="L4344" i="1"/>
  <c r="L501" i="1"/>
  <c r="L2245" i="1"/>
  <c r="L1621" i="1"/>
  <c r="L3156" i="1"/>
  <c r="L2276" i="1"/>
  <c r="L1981" i="1"/>
  <c r="L4372" i="1"/>
  <c r="L2938" i="1"/>
  <c r="L1567" i="1"/>
  <c r="L3998" i="1"/>
  <c r="L389" i="1"/>
  <c r="L4947" i="1"/>
  <c r="L1376" i="1"/>
  <c r="L2855" i="1"/>
  <c r="L4212" i="1"/>
  <c r="L1403" i="1"/>
  <c r="L2852" i="1"/>
  <c r="L2873" i="1"/>
  <c r="L1564" i="1"/>
  <c r="L1103" i="1"/>
  <c r="L1135" i="1"/>
  <c r="L654" i="1"/>
  <c r="L3372" i="1"/>
  <c r="L4378" i="1"/>
  <c r="L4711" i="1"/>
  <c r="L3398" i="1"/>
  <c r="L620" i="1"/>
  <c r="L4018" i="1"/>
  <c r="L1167" i="1"/>
  <c r="L3392" i="1"/>
  <c r="L4070" i="1"/>
  <c r="L3175" i="1"/>
  <c r="L1542" i="1"/>
  <c r="L2902" i="1"/>
  <c r="L1388" i="1"/>
  <c r="L98" i="1"/>
  <c r="L939" i="1"/>
  <c r="L3460" i="1"/>
  <c r="L4816" i="1"/>
  <c r="L2273" i="1"/>
  <c r="L4488" i="1"/>
  <c r="L1793" i="1"/>
  <c r="L3293" i="1"/>
  <c r="L2192" i="1"/>
  <c r="L755" i="1"/>
  <c r="L2542" i="1"/>
  <c r="L1131" i="1"/>
  <c r="L2197" i="1"/>
  <c r="L830" i="1"/>
  <c r="L1044" i="1"/>
  <c r="L813" i="1"/>
  <c r="L2562" i="1"/>
  <c r="L4661" i="1"/>
  <c r="L1550" i="1"/>
  <c r="L4142" i="1"/>
  <c r="L4272" i="1"/>
  <c r="L4421" i="1"/>
  <c r="L1635" i="1"/>
  <c r="L3674" i="1"/>
  <c r="L2911" i="1"/>
  <c r="L3624" i="1"/>
  <c r="L2358" i="1"/>
  <c r="L4258" i="1"/>
  <c r="L4534" i="1"/>
  <c r="L4050" i="1"/>
  <c r="L4819" i="1"/>
  <c r="L2016" i="1"/>
  <c r="L4513" i="1"/>
  <c r="L720" i="1"/>
  <c r="L2731" i="1"/>
  <c r="L1077" i="1"/>
  <c r="L3099" i="1"/>
  <c r="L4444" i="1"/>
  <c r="L4474" i="1"/>
  <c r="L2790" i="1"/>
  <c r="L3813" i="1"/>
  <c r="L2964" i="1"/>
  <c r="L3861" i="1"/>
  <c r="L4647" i="1"/>
  <c r="L1419" i="1"/>
  <c r="L2687" i="1"/>
  <c r="L2117" i="1"/>
  <c r="L4684" i="1"/>
  <c r="L2109" i="1"/>
  <c r="L3290" i="1"/>
  <c r="L2861" i="1"/>
  <c r="L1673" i="1"/>
  <c r="L795" i="1"/>
  <c r="L951" i="1"/>
  <c r="L2168" i="1"/>
  <c r="L1856" i="1"/>
  <c r="L3440" i="1"/>
  <c r="L23" i="1"/>
  <c r="L2986" i="1"/>
  <c r="L1693" i="1"/>
  <c r="L1620" i="1"/>
  <c r="L1196" i="1"/>
  <c r="L2598" i="1"/>
  <c r="L3409" i="1"/>
  <c r="L997" i="1"/>
  <c r="L3609" i="1"/>
  <c r="L1019" i="1"/>
  <c r="L201" i="1"/>
  <c r="L2868" i="1"/>
  <c r="L2353" i="1"/>
  <c r="L641" i="1"/>
  <c r="L2991" i="1"/>
  <c r="L1042" i="1"/>
  <c r="L4583" i="1"/>
  <c r="L4821" i="1"/>
  <c r="L1565" i="1"/>
  <c r="L2559" i="1"/>
  <c r="L2674" i="1"/>
  <c r="L1717" i="1"/>
  <c r="L2857" i="1"/>
  <c r="L1657" i="1"/>
  <c r="L626" i="1"/>
  <c r="L2100" i="1"/>
  <c r="L4892" i="1"/>
  <c r="L2191" i="1"/>
  <c r="L2447" i="1"/>
  <c r="L2146" i="1"/>
  <c r="L1212" i="1"/>
  <c r="L3007" i="1"/>
  <c r="L2285" i="1"/>
  <c r="L1930" i="1"/>
  <c r="L2843" i="1"/>
  <c r="L3206" i="1"/>
  <c r="L4834" i="1"/>
  <c r="L2123" i="1"/>
  <c r="L581" i="1"/>
  <c r="L1049" i="1"/>
  <c r="L4735" i="1"/>
  <c r="L1969" i="1"/>
  <c r="L1932" i="1"/>
  <c r="L1752" i="1"/>
  <c r="L4565" i="1"/>
  <c r="L2220" i="1"/>
  <c r="L2111" i="1"/>
  <c r="L4340" i="1"/>
  <c r="L2371" i="1"/>
  <c r="L3503" i="1"/>
  <c r="L1572" i="1"/>
  <c r="L132" i="1"/>
  <c r="L2903" i="1"/>
  <c r="L189" i="1"/>
  <c r="L4841" i="1"/>
  <c r="L3635" i="1"/>
  <c r="L945" i="1"/>
  <c r="L4886" i="1"/>
  <c r="L1807" i="1"/>
  <c r="L3321" i="1"/>
  <c r="L1563" i="1"/>
  <c r="L3650" i="1"/>
  <c r="L2332" i="1"/>
  <c r="L4262" i="1"/>
  <c r="L5005" i="1"/>
  <c r="L3356" i="1"/>
  <c r="L1158" i="1"/>
  <c r="L2024" i="1"/>
  <c r="L4118" i="1"/>
  <c r="L2026" i="1"/>
  <c r="L2839" i="1"/>
  <c r="L1064" i="1"/>
  <c r="L4732" i="1"/>
  <c r="L2669" i="1"/>
  <c r="L2739" i="1"/>
  <c r="L1062" i="1"/>
  <c r="L2603" i="1"/>
  <c r="L4220" i="1"/>
  <c r="L2204" i="1"/>
  <c r="L4325" i="1"/>
  <c r="L145" i="1"/>
  <c r="L1254" i="1"/>
  <c r="L3382" i="1"/>
  <c r="L653" i="1"/>
  <c r="L2352" i="1"/>
  <c r="L1427" i="1"/>
  <c r="L2101" i="1"/>
  <c r="L690" i="1"/>
  <c r="L1116" i="1"/>
  <c r="L1854" i="1"/>
  <c r="L4292" i="1"/>
  <c r="L4073" i="1"/>
  <c r="L2777" i="1"/>
  <c r="L1508" i="1"/>
  <c r="L4376" i="1"/>
  <c r="L1255" i="1"/>
  <c r="L64" i="1"/>
  <c r="L3209" i="1"/>
  <c r="L509" i="1"/>
  <c r="L1070" i="1"/>
  <c r="L1408" i="1"/>
  <c r="L405" i="1"/>
  <c r="L473" i="1"/>
  <c r="L1124" i="1"/>
  <c r="L3780" i="1"/>
  <c r="L3430" i="1"/>
  <c r="L1605" i="1"/>
  <c r="L2397" i="1"/>
  <c r="L450" i="1"/>
  <c r="L4592" i="1"/>
  <c r="L3597" i="1"/>
  <c r="L2159" i="1"/>
  <c r="L169" i="1"/>
  <c r="L472" i="1"/>
  <c r="L4062" i="1"/>
  <c r="L564" i="1"/>
  <c r="L4164" i="1"/>
  <c r="L4728" i="1"/>
  <c r="L3216" i="1"/>
  <c r="L265" i="1"/>
  <c r="L2011" i="1"/>
  <c r="L3506" i="1"/>
  <c r="L3396" i="1"/>
  <c r="L4011" i="1"/>
  <c r="L4476" i="1"/>
  <c r="L1947" i="1"/>
  <c r="L3345" i="1"/>
  <c r="L1519" i="1"/>
  <c r="L4189" i="1"/>
  <c r="L1767" i="1"/>
  <c r="L4665" i="1"/>
  <c r="L2356" i="1"/>
  <c r="L2217" i="1"/>
  <c r="L609" i="1"/>
  <c r="L3673" i="1"/>
  <c r="L4037" i="1"/>
  <c r="L657" i="1"/>
  <c r="L3339" i="1"/>
  <c r="L1034" i="1"/>
  <c r="L4445" i="1"/>
  <c r="L69" i="1"/>
  <c r="L2907" i="1"/>
  <c r="L5013" i="1"/>
  <c r="L4323" i="1"/>
  <c r="L4049" i="1"/>
  <c r="L4433" i="1"/>
  <c r="L1352" i="1"/>
  <c r="L3264" i="1"/>
  <c r="L2246" i="1"/>
  <c r="L230" i="1"/>
  <c r="L2485" i="1"/>
  <c r="L43" i="1"/>
  <c r="L1340" i="1"/>
  <c r="L387" i="1"/>
  <c r="L3302" i="1"/>
  <c r="L4446" i="1"/>
  <c r="L1086" i="1"/>
  <c r="L3613" i="1"/>
  <c r="L3152" i="1"/>
  <c r="L4172" i="1"/>
  <c r="L1691" i="1"/>
  <c r="L2415" i="1"/>
  <c r="L4542" i="1"/>
  <c r="L1645" i="1"/>
  <c r="L77" i="1"/>
  <c r="L1415" i="1"/>
  <c r="L3902" i="1"/>
  <c r="L4067" i="1"/>
  <c r="L2094" i="1"/>
  <c r="L4906" i="1"/>
  <c r="L2182" i="1"/>
  <c r="L3726" i="1"/>
  <c r="L2969" i="1"/>
  <c r="L2052" i="1"/>
  <c r="L306" i="1"/>
  <c r="L404" i="1"/>
  <c r="L4553" i="1"/>
  <c r="L1704" i="1"/>
  <c r="L455" i="1"/>
  <c r="L412" i="1"/>
  <c r="L4725" i="1"/>
  <c r="L3826" i="1"/>
  <c r="L1197" i="1"/>
  <c r="L4505" i="1"/>
  <c r="L1175" i="1"/>
  <c r="L3191" i="1"/>
  <c r="L3417" i="1"/>
  <c r="L2863" i="1"/>
  <c r="L3113" i="1"/>
  <c r="L4576" i="1"/>
  <c r="L12" i="1"/>
  <c r="L3379" i="1"/>
  <c r="L1026" i="1"/>
  <c r="L3063" i="1"/>
  <c r="L325" i="1"/>
  <c r="L1541" i="1"/>
  <c r="L6" i="1"/>
  <c r="L1602" i="1"/>
  <c r="L2408" i="1"/>
  <c r="L147" i="1"/>
  <c r="L710" i="1"/>
  <c r="L281" i="1"/>
  <c r="L3777" i="1"/>
  <c r="L383" i="1"/>
  <c r="L1150" i="1"/>
  <c r="L2703" i="1"/>
  <c r="L2228" i="1"/>
  <c r="L2602" i="1"/>
  <c r="L2557" i="1"/>
  <c r="L4196" i="1"/>
  <c r="L1464" i="1"/>
  <c r="L1755" i="1"/>
  <c r="L2013" i="1"/>
  <c r="L768" i="1"/>
  <c r="L3170" i="1"/>
  <c r="L602" i="1"/>
  <c r="L2237" i="1"/>
  <c r="L2240" i="1"/>
  <c r="L4265" i="1"/>
  <c r="L1705" i="1"/>
  <c r="L3742" i="1"/>
  <c r="L4525" i="1"/>
  <c r="L3497" i="1"/>
  <c r="L2553" i="1"/>
  <c r="L456" i="1"/>
  <c r="L2860" i="1"/>
  <c r="L1585" i="1"/>
  <c r="L4369" i="1"/>
  <c r="L3690" i="1"/>
  <c r="L711" i="1"/>
  <c r="L3984" i="1"/>
  <c r="L4210" i="1"/>
  <c r="L3048" i="1"/>
  <c r="L2142" i="1"/>
  <c r="L3520" i="1"/>
  <c r="L2890" i="1"/>
  <c r="L3411" i="1"/>
  <c r="L3504" i="1"/>
  <c r="L4365" i="1"/>
  <c r="L279" i="1"/>
  <c r="L2993" i="1"/>
  <c r="L1188" i="1"/>
  <c r="L3309" i="1"/>
  <c r="L1975" i="1"/>
  <c r="L3852" i="1"/>
  <c r="L4139" i="1"/>
  <c r="L2290" i="1"/>
  <c r="L2351" i="1"/>
  <c r="L2478" i="1"/>
  <c r="L3739" i="1"/>
  <c r="L4528" i="1"/>
  <c r="L2883" i="1"/>
  <c r="L2169" i="1"/>
  <c r="L4772" i="1"/>
  <c r="L368" i="1"/>
  <c r="L4625" i="1"/>
  <c r="L3284" i="1"/>
  <c r="L3819" i="1"/>
  <c r="L2426" i="1"/>
  <c r="L4170" i="1"/>
  <c r="L95" i="1"/>
  <c r="L1210" i="1"/>
  <c r="L3034" i="1"/>
  <c r="L3389" i="1"/>
  <c r="L3991" i="1"/>
  <c r="L2954" i="1"/>
  <c r="L2743" i="1"/>
  <c r="L4586" i="1"/>
  <c r="L2740" i="1"/>
  <c r="L4294" i="1"/>
  <c r="L1373" i="1"/>
  <c r="L3144" i="1"/>
  <c r="L4364" i="1"/>
  <c r="L964" i="1"/>
  <c r="L4855" i="1"/>
  <c r="L2230" i="1"/>
  <c r="L3572" i="1"/>
  <c r="L1867" i="1"/>
  <c r="L2154" i="1"/>
  <c r="L2871" i="1"/>
  <c r="L272" i="1"/>
  <c r="L1030" i="1"/>
  <c r="L835" i="1"/>
  <c r="L308" i="1"/>
  <c r="L2832" i="1"/>
  <c r="L834" i="1"/>
  <c r="L1071" i="1"/>
  <c r="L2711" i="1"/>
  <c r="L3205" i="1"/>
  <c r="L555" i="1"/>
  <c r="L707" i="1"/>
  <c r="L760" i="1"/>
  <c r="L4949" i="1"/>
  <c r="L3731" i="1"/>
  <c r="L2359" i="1"/>
  <c r="L4828" i="1"/>
  <c r="L2355" i="1"/>
  <c r="L4720" i="1"/>
  <c r="L1674" i="1"/>
  <c r="L3549" i="1"/>
  <c r="L1929" i="1"/>
  <c r="L3781" i="1"/>
  <c r="L2289" i="1"/>
  <c r="L2597" i="1"/>
  <c r="L824" i="1"/>
  <c r="L3332" i="1"/>
  <c r="L4654" i="1"/>
  <c r="L715" i="1"/>
  <c r="L160" i="1"/>
  <c r="L4524" i="1"/>
  <c r="L2118" i="1"/>
  <c r="L1108" i="1"/>
  <c r="L1587" i="1"/>
  <c r="L314" i="1"/>
  <c r="L2851" i="1"/>
  <c r="L3598" i="1"/>
  <c r="L3965" i="1"/>
  <c r="L99" i="1"/>
  <c r="L1577" i="1"/>
  <c r="L3802" i="1"/>
  <c r="L406" i="1"/>
  <c r="L4381" i="1"/>
  <c r="L2710" i="1"/>
  <c r="L45" i="1"/>
  <c r="L3539" i="1"/>
  <c r="L2733" i="1"/>
  <c r="L2915" i="1"/>
  <c r="L1368" i="1"/>
  <c r="L2506" i="1"/>
  <c r="L1292" i="1"/>
  <c r="L4666" i="1"/>
  <c r="L2769" i="1"/>
  <c r="L4869" i="1"/>
  <c r="L2209" i="1"/>
  <c r="L3515" i="1"/>
  <c r="L42" i="1"/>
  <c r="L2966" i="1"/>
  <c r="L3035" i="1"/>
  <c r="L3792" i="1"/>
  <c r="L4996" i="1"/>
  <c r="L2207" i="1"/>
  <c r="L2955" i="1"/>
  <c r="L1233" i="1"/>
  <c r="L381" i="1"/>
  <c r="L612" i="1"/>
  <c r="L3587" i="1"/>
  <c r="L3517" i="1"/>
  <c r="L2558" i="1"/>
  <c r="L553" i="1"/>
  <c r="L336" i="1"/>
  <c r="L3158" i="1"/>
  <c r="L4903" i="1"/>
  <c r="L163" i="1"/>
  <c r="L3809" i="1"/>
  <c r="L4155" i="1"/>
  <c r="L116" i="1"/>
  <c r="L2116" i="1"/>
  <c r="L3000" i="1"/>
  <c r="L3455" i="1"/>
  <c r="L3887" i="1"/>
  <c r="L3324" i="1"/>
  <c r="L2461" i="1"/>
  <c r="L2848" i="1"/>
  <c r="L1168" i="1"/>
  <c r="L2342" i="1"/>
  <c r="L3709" i="1"/>
  <c r="L1965" i="1"/>
  <c r="L4026" i="1"/>
  <c r="L3787" i="1"/>
  <c r="L2888" i="1"/>
  <c r="L2104" i="1"/>
  <c r="L4672" i="1"/>
  <c r="L688" i="1"/>
  <c r="L2822" i="1"/>
  <c r="L741" i="1"/>
  <c r="L1467" i="1"/>
  <c r="L870" i="1"/>
  <c r="L1465" i="1"/>
  <c r="L3818" i="1"/>
  <c r="L3823" i="1"/>
  <c r="L1238" i="1"/>
  <c r="L942" i="1"/>
  <c r="L2817" i="1"/>
  <c r="L1392" i="1"/>
  <c r="L828" i="1"/>
  <c r="L1129" i="1"/>
  <c r="L2068" i="1"/>
  <c r="L2329" i="1"/>
  <c r="L2797" i="1"/>
  <c r="L4400" i="1"/>
  <c r="L3668" i="1"/>
  <c r="L4286" i="1"/>
  <c r="L3423" i="1"/>
  <c r="L4125" i="1"/>
  <c r="L4885" i="1"/>
  <c r="L3976" i="1"/>
  <c r="L1951" i="1"/>
  <c r="L1249" i="1"/>
  <c r="L4948" i="1"/>
  <c r="L3664" i="1"/>
  <c r="L1225" i="1"/>
  <c r="L863" i="1"/>
  <c r="L4554" i="1"/>
  <c r="L3202" i="1"/>
  <c r="L940" i="1"/>
  <c r="L589" i="1"/>
  <c r="L2064" i="1"/>
  <c r="L2958" i="1"/>
  <c r="L304" i="1"/>
  <c r="L1641" i="1"/>
  <c r="L2385" i="1"/>
  <c r="L4935" i="1"/>
  <c r="L3743" i="1"/>
  <c r="L3561" i="1"/>
  <c r="L802" i="1"/>
  <c r="L2994" i="1"/>
  <c r="L4260" i="1"/>
  <c r="L2251" i="1"/>
  <c r="L58" i="1"/>
  <c r="L3555" i="1"/>
  <c r="L27" i="1"/>
  <c r="L2157" i="1"/>
  <c r="L3559" i="1"/>
  <c r="L4099" i="1"/>
  <c r="L1073" i="1"/>
  <c r="L78" i="1"/>
  <c r="L1395" i="1"/>
  <c r="L3560" i="1"/>
  <c r="L3177" i="1"/>
  <c r="L3663" i="1"/>
  <c r="L500" i="1"/>
  <c r="L3944" i="1"/>
  <c r="L3699" i="1"/>
  <c r="L378" i="1"/>
  <c r="L4774" i="1"/>
  <c r="L842" i="1"/>
  <c r="L1758" i="1"/>
  <c r="L1433" i="1"/>
  <c r="L2644" i="1"/>
  <c r="L984" i="1"/>
  <c r="L1803" i="1"/>
  <c r="L3211" i="1"/>
  <c r="L1889" i="1"/>
  <c r="L4544" i="1"/>
  <c r="L2348" i="1"/>
  <c r="L2753" i="1"/>
  <c r="L912" i="1"/>
  <c r="L2845" i="1"/>
  <c r="L113" i="1"/>
  <c r="L4924" i="1"/>
  <c r="L3985" i="1"/>
  <c r="L4460" i="1"/>
  <c r="L1772" i="1"/>
  <c r="L608" i="1"/>
  <c r="L275" i="1"/>
  <c r="L1014" i="1"/>
  <c r="L2865" i="1"/>
  <c r="L510" i="1"/>
  <c r="L2370" i="1"/>
  <c r="L2550" i="1"/>
  <c r="L198" i="1"/>
  <c r="L1027" i="1"/>
  <c r="L1525" i="1"/>
  <c r="L3340" i="1"/>
  <c r="L3010" i="1"/>
  <c r="L1672" i="1"/>
  <c r="L4722" i="1"/>
  <c r="L2962" i="1"/>
  <c r="L3121" i="1"/>
  <c r="L4114" i="1"/>
  <c r="L1707" i="1"/>
  <c r="L1048" i="1"/>
  <c r="L1320" i="1"/>
  <c r="L3585" i="1"/>
  <c r="L4827" i="1"/>
  <c r="L4699" i="1"/>
  <c r="L2383" i="1"/>
  <c r="L3822" i="1"/>
  <c r="L2705" i="1"/>
  <c r="L4384" i="1"/>
  <c r="L5004" i="1"/>
  <c r="L2409" i="1"/>
  <c r="L1137" i="1"/>
  <c r="L2893" i="1"/>
  <c r="L3850" i="1"/>
  <c r="L1222" i="1"/>
  <c r="L1555" i="1"/>
  <c r="L1591" i="1"/>
  <c r="L4025" i="1"/>
  <c r="L4749" i="1"/>
  <c r="L3523" i="1"/>
  <c r="L2007" i="1"/>
  <c r="L48" i="1"/>
  <c r="L2556" i="1"/>
  <c r="L4374" i="1"/>
  <c r="L2248" i="1"/>
  <c r="L3602" i="1"/>
  <c r="L369" i="1"/>
  <c r="L4467" i="1"/>
  <c r="L665" i="1"/>
  <c r="L231" i="1"/>
  <c r="L4490" i="1"/>
  <c r="L269" i="1"/>
  <c r="L3015" i="1"/>
  <c r="L1502" i="1"/>
  <c r="L3883" i="1"/>
  <c r="L1823" i="1"/>
  <c r="L1968" i="1"/>
  <c r="L3974" i="1"/>
  <c r="L4304" i="1"/>
  <c r="L2053" i="1"/>
  <c r="L2647" i="1"/>
  <c r="L3445" i="1"/>
  <c r="L2772" i="1"/>
  <c r="L2020" i="1"/>
  <c r="L2715" i="1"/>
  <c r="L1745" i="1"/>
  <c r="L2120" i="1"/>
  <c r="L937" i="1"/>
  <c r="L935" i="1"/>
  <c r="L3" i="1"/>
  <c r="L188" i="1"/>
  <c r="L1761" i="1"/>
  <c r="L3190" i="1"/>
  <c r="L34" i="1"/>
  <c r="L425" i="1"/>
  <c r="L4846" i="1"/>
  <c r="L3576" i="1"/>
  <c r="L2965" i="1"/>
  <c r="L4273" i="1"/>
  <c r="L3117" i="1"/>
  <c r="L3434" i="1"/>
  <c r="L448" i="1"/>
  <c r="L4726" i="1"/>
  <c r="L4943" i="1"/>
  <c r="L115" i="1"/>
  <c r="L947" i="1"/>
  <c r="L4685" i="1"/>
  <c r="L3227" i="1"/>
  <c r="L60" i="1"/>
  <c r="L631" i="1"/>
  <c r="L24" i="1"/>
  <c r="L4789" i="1"/>
  <c r="L1906" i="1"/>
  <c r="L3195" i="1"/>
  <c r="L2482" i="1"/>
  <c r="L4282" i="1"/>
  <c r="L3988" i="1"/>
  <c r="L4571" i="1"/>
  <c r="L2334" i="1"/>
  <c r="L2337" i="1"/>
  <c r="L4908" i="1"/>
  <c r="L4305" i="1"/>
  <c r="L3274" i="1"/>
  <c r="L1905" i="1"/>
  <c r="L2090" i="1"/>
  <c r="L100" i="1"/>
  <c r="L2216" i="1"/>
  <c r="L3390" i="1"/>
  <c r="L422" i="1"/>
  <c r="L4703" i="1"/>
  <c r="L493" i="1"/>
  <c r="L2814" i="1"/>
  <c r="L2789" i="1"/>
  <c r="L861" i="1"/>
  <c r="L1218" i="1"/>
  <c r="L1007" i="1"/>
  <c r="L3072" i="1"/>
  <c r="L129" i="1"/>
  <c r="L3463" i="1"/>
  <c r="L274" i="1"/>
  <c r="L4881" i="1"/>
  <c r="L1562" i="1"/>
  <c r="L1110" i="1"/>
  <c r="L2616" i="1"/>
  <c r="L2849" i="1"/>
  <c r="L4929" i="1"/>
  <c r="L2859" i="1"/>
  <c r="L1355" i="1"/>
  <c r="L235" i="1"/>
  <c r="L418" i="1"/>
  <c r="L958" i="1"/>
  <c r="L277" i="1"/>
  <c r="L1741" i="1"/>
  <c r="L4434" i="1"/>
  <c r="L2639" i="1"/>
  <c r="L3184" i="1"/>
  <c r="L4416" i="1"/>
  <c r="L4059" i="1"/>
  <c r="L2327" i="1"/>
  <c r="L2231" i="1"/>
  <c r="L2297" i="1"/>
  <c r="L2884" i="1"/>
  <c r="L4087" i="1"/>
  <c r="L157" i="1"/>
  <c r="L1643" i="1"/>
  <c r="L1369" i="1"/>
  <c r="L1521" i="1"/>
  <c r="L4169" i="1"/>
  <c r="L2108" i="1"/>
  <c r="L4737" i="1"/>
  <c r="L4235" i="1"/>
  <c r="L3956" i="1"/>
  <c r="L1304" i="1"/>
  <c r="L276" i="1"/>
  <c r="L3581" i="1"/>
  <c r="L1821" i="1"/>
  <c r="L1866" i="1"/>
  <c r="L4781" i="1"/>
  <c r="L3566" i="1"/>
  <c r="L2936" i="1"/>
  <c r="L2027" i="1"/>
  <c r="L4806" i="1"/>
  <c r="M1749" i="1"/>
  <c r="M1754" i="1"/>
  <c r="M2467" i="1"/>
  <c r="M3280" i="1"/>
  <c r="M797" i="1"/>
  <c r="M530" i="1"/>
  <c r="M1060" i="1"/>
  <c r="M3019" i="1"/>
  <c r="M3050" i="1"/>
  <c r="M4693" i="1"/>
  <c r="M3052" i="1"/>
  <c r="M4967" i="1"/>
  <c r="M300" i="1"/>
  <c r="M2510" i="1"/>
  <c r="M4914" i="1"/>
  <c r="M4003" i="1"/>
  <c r="M2413" i="1"/>
  <c r="M3803" i="1"/>
  <c r="M1093" i="1"/>
  <c r="M3421" i="1"/>
  <c r="M458" i="1"/>
  <c r="M3256" i="1"/>
  <c r="M286" i="1"/>
  <c r="M2600" i="1"/>
  <c r="M557" i="1"/>
  <c r="M4442" i="1"/>
  <c r="M3934" i="1"/>
  <c r="M2546" i="1"/>
  <c r="M4200" i="1"/>
  <c r="M4765" i="1"/>
  <c r="M1953" i="1"/>
  <c r="M2043" i="1"/>
  <c r="M232" i="1"/>
  <c r="M1607" i="1"/>
  <c r="M1776" i="1"/>
  <c r="M4783" i="1"/>
  <c r="M2253" i="1"/>
  <c r="M546" i="1"/>
  <c r="M2961" i="1"/>
  <c r="M3292" i="1"/>
  <c r="M2714" i="1"/>
  <c r="M4246" i="1"/>
  <c r="M3344" i="1"/>
  <c r="M3891" i="1"/>
  <c r="M3509" i="1"/>
  <c r="M1359" i="1"/>
  <c r="M4033" i="1"/>
  <c r="M3112" i="1"/>
  <c r="M3459" i="1"/>
  <c r="M3230" i="1"/>
  <c r="M4327" i="1"/>
  <c r="M910" i="1"/>
  <c r="M4541" i="1"/>
  <c r="M4879" i="1"/>
  <c r="M934" i="1"/>
  <c r="M400" i="1"/>
  <c r="M1631" i="1"/>
  <c r="M50" i="1"/>
  <c r="M1917" i="1"/>
  <c r="M3938" i="1"/>
  <c r="M3260" i="1"/>
  <c r="M1107" i="1"/>
  <c r="M712" i="1"/>
  <c r="M3226" i="1"/>
  <c r="M4213" i="1"/>
  <c r="M4942" i="1"/>
  <c r="M4840" i="1"/>
  <c r="M1370" i="1"/>
  <c r="M397" i="1"/>
  <c r="M3806" i="1"/>
  <c r="M638" i="1"/>
  <c r="M2573" i="1"/>
  <c r="M1937" i="1"/>
  <c r="M929" i="1"/>
  <c r="M1288" i="1"/>
  <c r="M1836" i="1"/>
  <c r="M811" i="1"/>
  <c r="M3875" i="1"/>
  <c r="M4701" i="1"/>
  <c r="M1629" i="1"/>
  <c r="M266" i="1"/>
  <c r="M3231" i="1"/>
  <c r="M3880" i="1"/>
  <c r="M3375" i="1"/>
  <c r="M2509" i="1"/>
  <c r="M3174" i="1"/>
  <c r="M2244" i="1"/>
  <c r="M4523" i="1"/>
  <c r="M764" i="1"/>
  <c r="M833" i="1"/>
  <c r="M1008" i="1"/>
  <c r="M479" i="1"/>
  <c r="M3100" i="1"/>
  <c r="M918" i="1"/>
  <c r="M432" i="1"/>
  <c r="M4203" i="1"/>
  <c r="M1101" i="1"/>
  <c r="M1287" i="1"/>
  <c r="M2572" i="1"/>
  <c r="M3932" i="1"/>
  <c r="M245" i="1"/>
  <c r="M491" i="1"/>
  <c r="M3210" i="1"/>
  <c r="M3104" i="1"/>
  <c r="M3221" i="1"/>
  <c r="M1894" i="1"/>
  <c r="M2738" i="1"/>
  <c r="M3671" i="1"/>
  <c r="M907" i="1"/>
  <c r="M651" i="1"/>
  <c r="M853" i="1"/>
  <c r="M851" i="1"/>
  <c r="M2420" i="1"/>
  <c r="M3173" i="1"/>
  <c r="M4909" i="1"/>
  <c r="M4296" i="1"/>
  <c r="M4000" i="1"/>
  <c r="M2927" i="1"/>
  <c r="M1743" i="1"/>
  <c r="M248" i="1"/>
  <c r="M380" i="1"/>
  <c r="M806" i="1"/>
  <c r="M3864" i="1"/>
  <c r="M2078" i="1"/>
  <c r="M354" i="1"/>
  <c r="M1954" i="1"/>
  <c r="M4831" i="1"/>
  <c r="M203" i="1"/>
  <c r="M3882" i="1"/>
  <c r="M723" i="1"/>
  <c r="M3693" i="1"/>
  <c r="M4581" i="1"/>
  <c r="M3049" i="1"/>
  <c r="M3075" i="1"/>
  <c r="M2432" i="1"/>
  <c r="M2414" i="1"/>
  <c r="M1040" i="1"/>
  <c r="M672" i="1"/>
  <c r="M2338" i="1"/>
  <c r="M4254" i="1"/>
  <c r="M122" i="1"/>
  <c r="M4718" i="1"/>
  <c r="M3429" i="1"/>
  <c r="M3793" i="1"/>
  <c r="M2847" i="1"/>
  <c r="M4686" i="1"/>
  <c r="M792" i="1"/>
  <c r="M3529" i="1"/>
  <c r="M4580" i="1"/>
  <c r="M1423" i="1"/>
  <c r="M1667" i="1"/>
  <c r="M4742" i="1"/>
  <c r="M3514" i="1"/>
  <c r="M2901" i="1"/>
  <c r="M4741" i="1"/>
  <c r="M3160" i="1"/>
  <c r="M2438" i="1"/>
  <c r="M3491" i="1"/>
  <c r="M4675" i="1"/>
  <c r="M713" i="1"/>
  <c r="M1374" i="1"/>
  <c r="M4182" i="1"/>
  <c r="M3349" i="1"/>
  <c r="M3865" i="1"/>
  <c r="M2462" i="1"/>
  <c r="M2870" i="1"/>
  <c r="M166" i="1"/>
  <c r="M464" i="1"/>
  <c r="M2779" i="1"/>
  <c r="M3271" i="1"/>
  <c r="M3910" i="1"/>
  <c r="M2693" i="1"/>
  <c r="M931" i="1"/>
  <c r="M4857" i="1"/>
  <c r="M1476" i="1"/>
  <c r="M1468" i="1"/>
  <c r="M677" i="1"/>
  <c r="M4986" i="1"/>
  <c r="M2516" i="1"/>
  <c r="M2841" i="1"/>
  <c r="M3540" i="1"/>
  <c r="M1619" i="1"/>
  <c r="M2746" i="1"/>
  <c r="M1603" i="1"/>
  <c r="M4679" i="1"/>
  <c r="M2787" i="1"/>
  <c r="M1786" i="1"/>
  <c r="M734" i="1"/>
  <c r="M3076" i="1"/>
  <c r="M3326" i="1"/>
  <c r="M446" i="1"/>
  <c r="M989" i="1"/>
  <c r="M3586" i="1"/>
  <c r="M4549" i="1"/>
  <c r="M1684" i="1"/>
  <c r="M3920" i="1"/>
  <c r="M4788" i="1"/>
  <c r="M4131" i="1"/>
  <c r="M970" i="1"/>
  <c r="M4585" i="1"/>
  <c r="M1479" i="1"/>
  <c r="M1207" i="1"/>
  <c r="M2909" i="1"/>
  <c r="M1235" i="1"/>
  <c r="M4483" i="1"/>
  <c r="M2096" i="1"/>
  <c r="M3630" i="1"/>
  <c r="M1852" i="1"/>
  <c r="M4763" i="1"/>
  <c r="M718" i="1"/>
  <c r="M3203" i="1"/>
  <c r="M915" i="1"/>
  <c r="M2444" i="1"/>
  <c r="M513" i="1"/>
  <c r="M3228" i="1"/>
  <c r="M642" i="1"/>
  <c r="M4927" i="1"/>
  <c r="M4473" i="1"/>
  <c r="M3399" i="1"/>
  <c r="M2112" i="1"/>
  <c r="M1997" i="1"/>
  <c r="M2224" i="1"/>
  <c r="M1842" i="1"/>
  <c r="M3193" i="1"/>
  <c r="M1601" i="1"/>
  <c r="M4570" i="1"/>
  <c r="M4512" i="1"/>
  <c r="M4277" i="1"/>
  <c r="M4060" i="1"/>
  <c r="M4239" i="1"/>
  <c r="M1516" i="1"/>
  <c r="M1875" i="1"/>
  <c r="M892" i="1"/>
  <c r="M1184" i="1"/>
  <c r="M164" i="1"/>
  <c r="M3573" i="1"/>
  <c r="M2623" i="1"/>
  <c r="M211" i="1"/>
  <c r="M4020" i="1"/>
  <c r="M1680" i="1"/>
  <c r="M4336" i="1"/>
  <c r="M3791" i="1"/>
  <c r="M2745" i="1"/>
  <c r="M3969" i="1"/>
  <c r="M4095" i="1"/>
  <c r="M261" i="1"/>
  <c r="M3428" i="1"/>
  <c r="M1330" i="1"/>
  <c r="M1334" i="1"/>
  <c r="M2607" i="1"/>
  <c r="M219" i="1"/>
  <c r="M1420" i="1"/>
  <c r="M1130" i="1"/>
  <c r="M3363" i="1"/>
  <c r="M559" i="1"/>
  <c r="M4214" i="1"/>
  <c r="M1155" i="1"/>
  <c r="M4940" i="1"/>
  <c r="M2281" i="1"/>
  <c r="M1934" i="1"/>
  <c r="M507" i="1"/>
  <c r="M4521" i="1"/>
  <c r="M2996" i="1"/>
  <c r="M1024" i="1"/>
  <c r="M1959" i="1"/>
  <c r="M570" i="1"/>
  <c r="M4274" i="1"/>
  <c r="M3127" i="1"/>
  <c r="M1031" i="1"/>
  <c r="M975" i="1"/>
  <c r="M4767" i="1"/>
  <c r="M3328" i="1"/>
  <c r="M3513" i="1"/>
  <c r="M2435" i="1"/>
  <c r="M883" i="1"/>
  <c r="M624" i="1"/>
  <c r="M1360" i="1"/>
  <c r="M364" i="1"/>
  <c r="M1286" i="1"/>
  <c r="M1843" i="1"/>
  <c r="M2531" i="1"/>
  <c r="M2145" i="1"/>
  <c r="M2624" i="1"/>
  <c r="M3371" i="1"/>
  <c r="M579" i="1"/>
  <c r="M4850" i="1"/>
  <c r="M3580" i="1"/>
  <c r="M1268" i="1"/>
  <c r="M2077" i="1"/>
  <c r="M4227" i="1"/>
  <c r="M2815" i="1"/>
  <c r="M4511" i="1"/>
  <c r="M840" i="1"/>
  <c r="M3970" i="1"/>
  <c r="M4074" i="1"/>
  <c r="M474" i="1"/>
  <c r="M1438" i="1"/>
  <c r="M3916" i="1"/>
  <c r="M4403" i="1"/>
  <c r="M1903" i="1"/>
  <c r="M2614" i="1"/>
  <c r="M131" i="1"/>
  <c r="M4499" i="1"/>
  <c r="M2914" i="1"/>
  <c r="M3278" i="1"/>
  <c r="M2608" i="1"/>
  <c r="M1132" i="1"/>
  <c r="M3827" i="1"/>
  <c r="M2615" i="1"/>
  <c r="M1991" i="1"/>
  <c r="M3442" i="1"/>
  <c r="M4123" i="1"/>
  <c r="M1661" i="1"/>
  <c r="M694" i="1"/>
  <c r="M4854" i="1"/>
  <c r="M4777" i="1"/>
  <c r="M4071" i="1"/>
  <c r="M1260" i="1"/>
  <c r="M3376" i="1"/>
  <c r="M3918" i="1"/>
  <c r="M1140" i="1"/>
  <c r="M4692" i="1"/>
  <c r="M4776" i="1"/>
  <c r="M4205" i="1"/>
  <c r="M3616" i="1"/>
  <c r="M2469" i="1"/>
  <c r="M1123" i="1"/>
  <c r="M1250" i="1"/>
  <c r="M3569" i="1"/>
  <c r="M1417" i="1"/>
  <c r="M4682" i="1"/>
  <c r="M1341" i="1"/>
  <c r="M2821" i="1"/>
  <c r="M329" i="1"/>
  <c r="M2976" i="1"/>
  <c r="M684" i="1"/>
  <c r="M307" i="1"/>
  <c r="M150" i="1"/>
  <c r="M2985" i="1"/>
  <c r="M1931" i="1"/>
  <c r="M1796" i="1"/>
  <c r="M2492" i="1"/>
  <c r="M3318" i="1"/>
  <c r="M1127" i="1"/>
  <c r="M379" i="1"/>
  <c r="M2200" i="1"/>
  <c r="M4912" i="1"/>
  <c r="M3979" i="1"/>
  <c r="M142" i="1"/>
  <c r="M3471" i="1"/>
  <c r="M1302" i="1"/>
  <c r="M2422" i="1"/>
  <c r="M680" i="1"/>
  <c r="M1381" i="1"/>
  <c r="M162" i="1"/>
  <c r="M4043" i="1"/>
  <c r="M3218" i="1"/>
  <c r="M3915" i="1"/>
  <c r="M3945" i="1"/>
  <c r="M950" i="1"/>
  <c r="M2158" i="1"/>
  <c r="M469" i="1"/>
  <c r="M831" i="1"/>
  <c r="M402" i="1"/>
  <c r="M4382" i="1"/>
  <c r="M1526" i="1"/>
  <c r="M2709" i="1"/>
  <c r="M522" i="1"/>
  <c r="M4687" i="1"/>
  <c r="M1037" i="1"/>
  <c r="M3563" i="1"/>
  <c r="M744" i="1"/>
  <c r="M1600" i="1"/>
  <c r="M212" i="1"/>
  <c r="M2778" i="1"/>
  <c r="M1393" i="1"/>
  <c r="M3192" i="1"/>
  <c r="M85" i="1"/>
  <c r="M3258" i="1"/>
  <c r="M1801" i="1"/>
  <c r="M2858" i="1"/>
  <c r="M2404" i="1"/>
  <c r="M3767" i="1"/>
  <c r="M4086" i="1"/>
  <c r="M305" i="1"/>
  <c r="M376" i="1"/>
  <c r="M877" i="1"/>
  <c r="M4813" i="1"/>
  <c r="M3481" i="1"/>
  <c r="M3347" i="1"/>
  <c r="M1296" i="1"/>
  <c r="M220" i="1"/>
  <c r="M3756" i="1"/>
  <c r="M4359" i="1"/>
  <c r="M4435" i="1"/>
  <c r="M1668" i="1"/>
  <c r="M3374" i="1"/>
  <c r="M4054" i="1"/>
  <c r="M3413" i="1"/>
  <c r="M1731" i="1"/>
  <c r="M2451" i="1"/>
  <c r="M3694" i="1"/>
  <c r="M4582" i="1"/>
  <c r="M4377" i="1"/>
  <c r="M3810" i="1"/>
  <c r="M3862" i="1"/>
  <c r="M656" i="1"/>
  <c r="M3761" i="1"/>
  <c r="M3914" i="1"/>
  <c r="M2977" i="1"/>
  <c r="M4739" i="1"/>
  <c r="M1690" i="1"/>
  <c r="M90" i="1"/>
  <c r="M1551" i="1"/>
  <c r="M4459" i="1"/>
  <c r="M3237" i="1"/>
  <c r="M3762" i="1"/>
  <c r="M4347" i="1"/>
  <c r="M2507" i="1"/>
  <c r="M1125" i="1"/>
  <c r="M4551" i="1"/>
  <c r="M2346" i="1"/>
  <c r="M850" i="1"/>
  <c r="M1057" i="1"/>
  <c r="M623" i="1"/>
  <c r="M2574" i="1"/>
  <c r="M133" i="1"/>
  <c r="M3981" i="1"/>
  <c r="M4477" i="1"/>
  <c r="M3479" i="1"/>
  <c r="M4045" i="1"/>
  <c r="M2697" i="1"/>
  <c r="M4977" i="1"/>
  <c r="M3906" i="1"/>
  <c r="M2552" i="1"/>
  <c r="M4031" i="1"/>
  <c r="M2634" i="1"/>
  <c r="M3518" i="1"/>
  <c r="M2430" i="1"/>
  <c r="M534" i="1"/>
  <c r="M4637" i="1"/>
  <c r="M3006" i="1"/>
  <c r="M4057" i="1"/>
  <c r="M2452" i="1"/>
  <c r="M2534" i="1"/>
  <c r="M3245" i="1"/>
  <c r="M3427" i="1"/>
  <c r="M2089" i="1"/>
  <c r="M3414" i="1"/>
  <c r="M2076" i="1"/>
  <c r="M3164" i="1"/>
  <c r="M209" i="1"/>
  <c r="M2375" i="1"/>
  <c r="M1770" i="1"/>
  <c r="M1962" i="1"/>
  <c r="M2496" i="1"/>
  <c r="M2992" i="1"/>
  <c r="M1450" i="1"/>
  <c r="M3778" i="1"/>
  <c r="M3263" i="1"/>
  <c r="M517" i="1"/>
  <c r="M4956" i="1"/>
  <c r="M4103" i="1"/>
  <c r="M1784" i="1"/>
  <c r="M3364" i="1"/>
  <c r="M1926" i="1"/>
  <c r="M2524" i="1"/>
  <c r="M487" i="1"/>
  <c r="M4602" i="1"/>
  <c r="M1282" i="1"/>
  <c r="M3420" i="1"/>
  <c r="M390" i="1"/>
  <c r="M4247" i="1"/>
  <c r="M1878" i="1"/>
  <c r="M1349" i="1"/>
  <c r="M4484" i="1"/>
  <c r="M4371" i="1"/>
  <c r="M1453" i="1"/>
  <c r="M2999" i="1"/>
  <c r="M1378" i="1"/>
  <c r="M1290" i="1"/>
  <c r="M242" i="1"/>
  <c r="M708" i="1"/>
  <c r="M2419" i="1"/>
  <c r="M1851" i="1"/>
  <c r="M1739" i="1"/>
  <c r="M1988" i="1"/>
  <c r="M640" i="1"/>
  <c r="M1907" i="1"/>
  <c r="M1090" i="1"/>
  <c r="M2312" i="1"/>
  <c r="M313" i="1"/>
  <c r="M3980" i="1"/>
  <c r="M4593" i="1"/>
  <c r="M4769" i="1"/>
  <c r="M2316" i="1"/>
  <c r="M977" i="1"/>
  <c r="M4547" i="1"/>
  <c r="M3057" i="1"/>
  <c r="M471" i="1"/>
  <c r="M4823" i="1"/>
  <c r="M614" i="1"/>
  <c r="M1989" i="1"/>
  <c r="M1639" i="1"/>
  <c r="M901" i="1"/>
  <c r="M908" i="1"/>
  <c r="M1492" i="1"/>
  <c r="M1416" i="1"/>
  <c r="M3846" i="1"/>
  <c r="M3921" i="1"/>
  <c r="M2816" i="1"/>
  <c r="M2221" i="1"/>
  <c r="M165" i="1"/>
  <c r="M2750" i="1"/>
  <c r="M921" i="1"/>
  <c r="M1677" i="1"/>
  <c r="M4288" i="1"/>
  <c r="M1549" i="1"/>
  <c r="M2836" i="1"/>
  <c r="M2935" i="1"/>
  <c r="M1530" i="1"/>
  <c r="M3751" i="1"/>
  <c r="M685" i="1"/>
  <c r="M759" i="1"/>
  <c r="M207" i="1"/>
  <c r="M4890" i="1"/>
  <c r="M3244" i="1"/>
  <c r="M56" i="1"/>
  <c r="M4733" i="1"/>
  <c r="M5003" i="1"/>
  <c r="M2173" i="1"/>
  <c r="M991" i="1"/>
  <c r="M2400" i="1"/>
  <c r="M3570" i="1"/>
  <c r="M4452" i="1"/>
  <c r="M689" i="1"/>
  <c r="M4082" i="1"/>
  <c r="M1357" i="1"/>
  <c r="M1198" i="1"/>
  <c r="M195" i="1"/>
  <c r="M3011" i="1"/>
  <c r="M4691" i="1"/>
  <c r="M4901" i="1"/>
  <c r="M3526" i="1"/>
  <c r="M1295" i="1"/>
  <c r="M3001" i="1"/>
  <c r="M2931" i="1"/>
  <c r="M3059" i="1"/>
  <c r="M3868" i="1"/>
  <c r="M1819" i="1"/>
  <c r="M1012" i="1"/>
  <c r="M1886" i="1"/>
  <c r="M3150" i="1"/>
  <c r="M3763" i="1"/>
  <c r="M321" i="1"/>
  <c r="M3102" i="1"/>
  <c r="M2921" i="1"/>
  <c r="M4058" i="1"/>
  <c r="M3955" i="1"/>
  <c r="M4360" i="1"/>
  <c r="M2091" i="1"/>
  <c r="M4807" i="1"/>
  <c r="M766" i="1"/>
  <c r="M4782" i="1"/>
  <c r="M526" i="1"/>
  <c r="M2128" i="1"/>
  <c r="M3890" i="1"/>
  <c r="M367" i="1"/>
  <c r="M3605" i="1"/>
  <c r="M428" i="1"/>
  <c r="M1458" i="1"/>
  <c r="M4824" i="1"/>
  <c r="M2699" i="1"/>
  <c r="M1050" i="1"/>
  <c r="M816" i="1"/>
  <c r="M1557" i="1"/>
  <c r="M3219" i="1"/>
  <c r="M914" i="1"/>
  <c r="M124" i="1"/>
  <c r="M110" i="1"/>
  <c r="M4243" i="1"/>
  <c r="M3647" i="1"/>
  <c r="M2084" i="1"/>
  <c r="M1726" i="1"/>
  <c r="M798" i="1"/>
  <c r="M2742" i="1"/>
  <c r="M10" i="1"/>
  <c r="M2494" i="1"/>
  <c r="M5006" i="1"/>
  <c r="M4945" i="1"/>
  <c r="M3299" i="1"/>
  <c r="M3408" i="1"/>
  <c r="M4351" i="1"/>
  <c r="M1781" i="1"/>
  <c r="M3866" i="1"/>
  <c r="M3521" i="1"/>
  <c r="M1812" i="1"/>
  <c r="M4820" i="1"/>
  <c r="M4072" i="1"/>
  <c r="M119" i="1"/>
  <c r="M1545" i="1"/>
  <c r="M2803" i="1"/>
  <c r="M3138" i="1"/>
  <c r="M1732" i="1"/>
  <c r="M4958" i="1"/>
  <c r="M1463" i="1"/>
  <c r="M1166" i="1"/>
  <c r="M4104" i="1"/>
  <c r="M344" i="1"/>
  <c r="M3718" i="1"/>
  <c r="M1740" i="1"/>
  <c r="M730" i="1"/>
  <c r="M2897" i="1"/>
  <c r="M5" i="1"/>
  <c r="M2721" i="1"/>
  <c r="M3973" i="1"/>
  <c r="M453" i="1"/>
  <c r="M2051" i="1"/>
  <c r="M1570" i="1"/>
  <c r="M632" i="1"/>
  <c r="M2378" i="1"/>
  <c r="M2330" i="1"/>
  <c r="M4690" i="1"/>
  <c r="M1804" i="1"/>
  <c r="M1514" i="1"/>
  <c r="M4851" i="1"/>
  <c r="M2360" i="1"/>
  <c r="M4795" i="1"/>
  <c r="M3661" i="1"/>
  <c r="M988" i="1"/>
  <c r="M923" i="1"/>
  <c r="M4249" i="1"/>
  <c r="M4056" i="1"/>
  <c r="M1723" i="1"/>
  <c r="M4856" i="1"/>
  <c r="M1348" i="1"/>
  <c r="M1208" i="1"/>
  <c r="M3658" i="1"/>
  <c r="M2095" i="1"/>
  <c r="M4391" i="1"/>
  <c r="M3829" i="1"/>
  <c r="M2205" i="1"/>
  <c r="M3929" i="1"/>
  <c r="M282" i="1"/>
  <c r="M985" i="1"/>
  <c r="M4380" i="1"/>
  <c r="M2989" i="1"/>
  <c r="M4655" i="1"/>
  <c r="M4278" i="1"/>
  <c r="M1377" i="1"/>
  <c r="M2363" i="1"/>
  <c r="M1365" i="1"/>
  <c r="M3713" i="1"/>
  <c r="M128" i="1"/>
  <c r="M699" i="1"/>
  <c r="M4696" i="1"/>
  <c r="M3881" i="1"/>
  <c r="M3074" i="1"/>
  <c r="M4404" i="1"/>
  <c r="M4622" i="1"/>
  <c r="M2347" i="1"/>
  <c r="M621" i="1"/>
  <c r="M2932" i="1"/>
  <c r="M2132" i="1"/>
  <c r="M4518" i="1"/>
  <c r="M4405" i="1"/>
  <c r="M1983" i="1"/>
  <c r="M2161" i="1"/>
  <c r="M4034" i="1"/>
  <c r="M528" i="1"/>
  <c r="M1640" i="1"/>
  <c r="M4697" i="1"/>
  <c r="M4968" i="1"/>
  <c r="M1978" i="1"/>
  <c r="M536" i="1"/>
  <c r="M4187" i="1"/>
  <c r="M1927" i="1"/>
  <c r="M3878" i="1"/>
  <c r="M532" i="1"/>
  <c r="M3490" i="1"/>
  <c r="M3086" i="1"/>
  <c r="M875" i="1"/>
  <c r="M284" i="1"/>
  <c r="M1901" i="1"/>
  <c r="M4425" i="1"/>
  <c r="M617" i="1"/>
  <c r="M2521" i="1"/>
  <c r="M2410" i="1"/>
  <c r="M2066" i="1"/>
  <c r="M664" i="1"/>
  <c r="M4946" i="1"/>
  <c r="M647" i="1"/>
  <c r="M1676" i="1"/>
  <c r="M3215" i="1"/>
  <c r="M2198" i="1"/>
  <c r="M2250" i="1"/>
  <c r="M4017" i="1"/>
  <c r="M4313" i="1"/>
  <c r="M2437" i="1"/>
  <c r="M4695" i="1"/>
  <c r="M4566" i="1"/>
  <c r="M3867" i="1"/>
  <c r="M2755" i="1"/>
  <c r="M1753" i="1"/>
  <c r="M2062" i="1"/>
  <c r="M674" i="1"/>
  <c r="M669" i="1"/>
  <c r="M836" i="1"/>
  <c r="M4331" i="1"/>
  <c r="M4992" i="1"/>
  <c r="M2067" i="1"/>
  <c r="M3830" i="1"/>
  <c r="M1696" i="1"/>
  <c r="M954" i="1"/>
  <c r="M1159" i="1"/>
  <c r="M2364" i="1"/>
  <c r="M2610" i="1"/>
  <c r="M2049" i="1"/>
  <c r="M4346" i="1"/>
  <c r="M2019" i="1"/>
  <c r="M3087" i="1"/>
  <c r="M594" i="1"/>
  <c r="M884" i="1"/>
  <c r="M1595" i="1"/>
  <c r="M1841" i="1"/>
  <c r="M4674" i="1"/>
  <c r="M874" i="1"/>
  <c r="M2662" i="1"/>
  <c r="M4833" i="1"/>
  <c r="M2661" i="1"/>
  <c r="M475" i="1"/>
  <c r="M4995" i="1"/>
  <c r="M1091" i="1"/>
  <c r="M3208" i="1"/>
  <c r="M3081" i="1"/>
  <c r="M4134" i="1"/>
  <c r="M1540" i="1"/>
  <c r="M1165" i="1"/>
  <c r="M1650" i="1"/>
  <c r="M3990" i="1"/>
  <c r="M2712" i="1"/>
  <c r="M3942" i="1"/>
  <c r="M1322" i="1"/>
  <c r="M301" i="1"/>
  <c r="M1970" i="1"/>
  <c r="M633" i="1"/>
  <c r="M3993" i="1"/>
  <c r="M1611" i="1"/>
  <c r="M268" i="1"/>
  <c r="M4423" i="1"/>
  <c r="M3438" i="1"/>
  <c r="M3154" i="1"/>
  <c r="M859" i="1"/>
  <c r="M2569" i="1"/>
  <c r="M2759" i="1"/>
  <c r="M4417" i="1"/>
  <c r="M1984" i="1"/>
  <c r="M823" i="1"/>
  <c r="M967" i="1"/>
  <c r="M1315" i="1"/>
  <c r="M1760" i="1"/>
  <c r="M5008" i="1"/>
  <c r="M1483" i="1"/>
  <c r="M3541" i="1"/>
  <c r="M2031" i="1"/>
  <c r="M4913" i="1"/>
  <c r="M1412" i="1"/>
  <c r="M3943" i="1"/>
  <c r="M2605" i="1"/>
  <c r="M753" i="1"/>
  <c r="M878" i="1"/>
  <c r="M1682" i="1"/>
  <c r="M1568" i="1"/>
  <c r="M2443" i="1"/>
  <c r="M1543" i="1"/>
  <c r="M727" i="1"/>
  <c r="M2934" i="1"/>
  <c r="M4287" i="1"/>
  <c r="M1633" i="1"/>
  <c r="M545" i="1"/>
  <c r="M1848" i="1"/>
  <c r="M1402" i="1"/>
  <c r="M1884" i="1"/>
  <c r="M4811" i="1"/>
  <c r="M4620" i="1"/>
  <c r="M4830" i="1"/>
  <c r="M1746" i="1"/>
  <c r="M655" i="1"/>
  <c r="M3684" i="1"/>
  <c r="M1379" i="1"/>
  <c r="M3682" i="1"/>
  <c r="M2872" i="1"/>
  <c r="M2233" i="1"/>
  <c r="M1442" i="1"/>
  <c r="M1004" i="1"/>
  <c r="M4138" i="1"/>
  <c r="M1829" i="1"/>
  <c r="M4496" i="1"/>
  <c r="M2947" i="1"/>
  <c r="M3982" i="1"/>
  <c r="M1554" i="1"/>
  <c r="M4561" i="1"/>
  <c r="M3766" i="1"/>
  <c r="M3105" i="1"/>
  <c r="M571" i="1"/>
  <c r="M3935" i="1"/>
  <c r="M1706" i="1"/>
  <c r="M1317" i="1"/>
  <c r="M423" i="1"/>
  <c r="M4161" i="1"/>
  <c r="M4392" i="1"/>
  <c r="M31" i="1"/>
  <c r="M318" i="1"/>
  <c r="M4790" i="1"/>
  <c r="M1967" i="1"/>
  <c r="M3670" i="1"/>
  <c r="M273" i="1"/>
  <c r="M4814" i="1"/>
  <c r="M3798" i="1"/>
  <c r="M40" i="1"/>
  <c r="M4764" i="1"/>
  <c r="M146" i="1"/>
  <c r="M1390" i="1"/>
  <c r="M1154" i="1"/>
  <c r="M1215" i="1"/>
  <c r="M544" i="1"/>
  <c r="M3395" i="1"/>
  <c r="M411" i="1"/>
  <c r="M3824" i="1"/>
  <c r="M4971" i="1"/>
  <c r="M3023" i="1"/>
  <c r="M1609" i="1"/>
  <c r="M1764" i="1"/>
  <c r="M4166" i="1"/>
  <c r="M2037" i="1"/>
  <c r="M976" i="1"/>
  <c r="M706" i="1"/>
  <c r="M2345" i="1"/>
  <c r="M22" i="1"/>
  <c r="M3261" i="1"/>
  <c r="M1624" i="1"/>
  <c r="M4564" i="1"/>
  <c r="M1128" i="1"/>
  <c r="M1480" i="1"/>
  <c r="M3217" i="1"/>
  <c r="M2806" i="1"/>
  <c r="M4944" i="1"/>
  <c r="M574" i="1"/>
  <c r="M2825" i="1"/>
  <c r="M881" i="1"/>
  <c r="M898" i="1"/>
  <c r="M334" i="1"/>
  <c r="M1247" i="1"/>
  <c r="M3601" i="1"/>
  <c r="M2533" i="1"/>
  <c r="M2177" i="1"/>
  <c r="M2498" i="1"/>
  <c r="M1382" i="1"/>
  <c r="M3262" i="1"/>
  <c r="M3869" i="1"/>
  <c r="M3848" i="1"/>
  <c r="M4997" i="1"/>
  <c r="M4093" i="1"/>
  <c r="M1361" i="1"/>
  <c r="M1756" i="1"/>
  <c r="M3009" i="1"/>
  <c r="M864" i="1"/>
  <c r="M1763" i="1"/>
  <c r="M4659" i="1"/>
  <c r="M3003" i="1"/>
  <c r="M4330" i="1"/>
  <c r="M4708" i="1"/>
  <c r="M3336" i="1"/>
  <c r="M1912" i="1"/>
  <c r="M262" i="1"/>
  <c r="M3660" i="1"/>
  <c r="M2765" i="1"/>
  <c r="M74" i="1"/>
  <c r="M4607" i="1"/>
  <c r="M4752" i="1"/>
  <c r="M2008" i="1"/>
  <c r="M4936" i="1"/>
  <c r="M1647" i="1"/>
  <c r="M3885" i="1"/>
  <c r="M4981" i="1"/>
  <c r="M4206" i="1"/>
  <c r="M1925" i="1"/>
  <c r="M1358" i="1"/>
  <c r="M3296" i="1"/>
  <c r="M4616" i="1"/>
  <c r="M1456" i="1"/>
  <c r="M2905" i="1"/>
  <c r="M709" i="1"/>
  <c r="M4194" i="1"/>
  <c r="M4341" i="1"/>
  <c r="M2336" i="1"/>
  <c r="M4140" i="1"/>
  <c r="M569" i="1"/>
  <c r="M3557" i="1"/>
  <c r="M4478" i="1"/>
  <c r="M4401" i="1"/>
  <c r="M4171" i="1"/>
  <c r="M793" i="1"/>
  <c r="M4046" i="1"/>
  <c r="M650" i="1"/>
  <c r="M3759" i="1"/>
  <c r="M3415" i="1"/>
  <c r="M1482" i="1"/>
  <c r="M2656" i="1"/>
  <c r="M2127" i="1"/>
  <c r="M437" i="1"/>
  <c r="M197" i="1"/>
  <c r="M785" i="1"/>
  <c r="M3259" i="1"/>
  <c r="M885" i="1"/>
  <c r="M463" i="1"/>
  <c r="M184" i="1"/>
  <c r="M4503" i="1"/>
  <c r="M3736" i="1"/>
  <c r="M3623" i="1"/>
  <c r="M2987" i="1"/>
  <c r="M4531" i="1"/>
  <c r="M1728" i="1"/>
  <c r="M2407" i="1"/>
  <c r="M1148" i="1"/>
  <c r="M443" i="1"/>
  <c r="M533" i="1"/>
  <c r="M5009" i="1"/>
  <c r="M4773" i="1"/>
  <c r="M1220" i="1"/>
  <c r="M2585" i="1"/>
  <c r="M1757" i="1"/>
  <c r="M4302" i="1"/>
  <c r="M4209" i="1"/>
  <c r="M2513" i="1"/>
  <c r="M319" i="1"/>
  <c r="M2097" i="1"/>
  <c r="M3975" i="1"/>
  <c r="M1750" i="1"/>
  <c r="M1316" i="1"/>
  <c r="M3632" i="1"/>
  <c r="M1105" i="1"/>
  <c r="M1471" i="1"/>
  <c r="M1470" i="1"/>
  <c r="M2555" i="1"/>
  <c r="M3352" i="1"/>
  <c r="M1883" i="1"/>
  <c r="M4660" i="1"/>
  <c r="M4268" i="1"/>
  <c r="M868" i="1"/>
  <c r="M467" i="1"/>
  <c r="M503" i="1"/>
  <c r="M4998" i="1"/>
  <c r="M4588" i="1"/>
  <c r="M3055" i="1"/>
  <c r="M1727" i="1"/>
  <c r="M4817" i="1"/>
  <c r="M749" i="1"/>
  <c r="M2724" i="1"/>
  <c r="M4784" i="1"/>
  <c r="M4048" i="1"/>
  <c r="M1059" i="1"/>
  <c r="M1074" i="1"/>
  <c r="M2998" i="1"/>
  <c r="M1021" i="1"/>
  <c r="M4750" i="1"/>
  <c r="M4044" i="1"/>
  <c r="M4024" i="1"/>
  <c r="M2522" i="1"/>
  <c r="M3894" i="1"/>
  <c r="M3530" i="1"/>
  <c r="M646" i="1"/>
  <c r="M457" i="1"/>
  <c r="M629" i="1"/>
  <c r="M4880" i="1"/>
  <c r="M33" i="1"/>
  <c r="M535" i="1"/>
  <c r="M4796" i="1"/>
  <c r="M2527" i="1"/>
  <c r="M3495" i="1"/>
  <c r="M2310" i="1"/>
  <c r="M584" i="1"/>
  <c r="M4527" i="1"/>
  <c r="M960" i="1"/>
  <c r="M2133" i="1"/>
  <c r="M1580" i="1"/>
  <c r="M5011" i="1"/>
  <c r="M2495" i="1"/>
  <c r="M1797" i="1"/>
  <c r="M4853" i="1"/>
  <c r="M2582" i="1"/>
  <c r="M1281" i="1"/>
  <c r="M1608" i="1"/>
  <c r="M844" i="1"/>
  <c r="M3233" i="1"/>
  <c r="M2577" i="1"/>
  <c r="M1191" i="1"/>
  <c r="M4644" i="1"/>
  <c r="M547" i="1"/>
  <c r="M3801" i="1"/>
  <c r="M218" i="1"/>
  <c r="M3633" i="1"/>
  <c r="M2505" i="1"/>
  <c r="M4982" i="1"/>
  <c r="M1023" i="1"/>
  <c r="M4875" i="1"/>
  <c r="M2483" i="1"/>
  <c r="M974" i="1"/>
  <c r="M3381" i="1"/>
  <c r="M3039" i="1"/>
  <c r="M3728" i="1"/>
  <c r="M2171" i="1"/>
  <c r="M3873" i="1"/>
  <c r="M1651" i="1"/>
  <c r="M4448" i="1"/>
  <c r="M3992" i="1"/>
  <c r="M4022" i="1"/>
  <c r="M4350" i="1"/>
  <c r="M1593" i="1"/>
  <c r="M4141" i="1"/>
  <c r="M3405" i="1"/>
  <c r="M3369" i="1"/>
  <c r="M4645" i="1"/>
  <c r="M2137" i="1"/>
  <c r="M2005" i="1"/>
  <c r="M291" i="1"/>
  <c r="M3257" i="1"/>
  <c r="M2294" i="1"/>
  <c r="M1546" i="1"/>
  <c r="M4495" i="1"/>
  <c r="M176" i="1"/>
  <c r="M2939" i="1"/>
  <c r="M4111" i="1"/>
  <c r="M4471" i="1"/>
  <c r="M1421" i="1"/>
  <c r="M4145" i="1"/>
  <c r="M610" i="1"/>
  <c r="M1626" i="1"/>
  <c r="M1828" i="1"/>
  <c r="M2544" i="1"/>
  <c r="M2680" i="1"/>
  <c r="M2088" i="1"/>
  <c r="M2322" i="1"/>
  <c r="M511" i="1"/>
  <c r="M3084" i="1"/>
  <c r="M1136" i="1"/>
  <c r="M1111" i="1"/>
  <c r="M4281" i="1"/>
  <c r="M1332" i="1"/>
  <c r="M1675" i="1"/>
  <c r="M2692" i="1"/>
  <c r="M554" i="1"/>
  <c r="M2529" i="1"/>
  <c r="M2382" i="1"/>
  <c r="M3068" i="1"/>
  <c r="M4469" i="1"/>
  <c r="M4887" i="1"/>
  <c r="M1870" i="1"/>
  <c r="M1285" i="1"/>
  <c r="M2689" i="1"/>
  <c r="M2034" i="1"/>
  <c r="M1636" i="1"/>
  <c r="M3499" i="1"/>
  <c r="M4530" i="1"/>
  <c r="M3672" i="1"/>
  <c r="M4007" i="1"/>
  <c r="M856" i="1"/>
  <c r="M4746" i="1"/>
  <c r="M837" i="1"/>
  <c r="M293" i="1"/>
  <c r="M1297" i="1"/>
  <c r="M3776" i="1"/>
  <c r="M767" i="1"/>
  <c r="M4640" i="1"/>
  <c r="M3724" i="1"/>
  <c r="M185" i="1"/>
  <c r="M1257" i="1"/>
  <c r="M3904" i="1"/>
  <c r="M2853" i="1"/>
  <c r="M1240" i="1"/>
  <c r="M4632" i="1"/>
  <c r="M2082" i="1"/>
  <c r="M3814" i="1"/>
  <c r="M4760" i="1"/>
  <c r="M1172" i="1"/>
  <c r="M1665" i="1"/>
  <c r="M2949" i="1"/>
  <c r="M1589" i="1"/>
  <c r="M2831" i="1"/>
  <c r="M13" i="1"/>
  <c r="M3250" i="1"/>
  <c r="M1153" i="1"/>
  <c r="M2406" i="1"/>
  <c r="M3952" i="1"/>
  <c r="M1147" i="1"/>
  <c r="M4426" i="1"/>
  <c r="M1790" i="1"/>
  <c r="M1902" i="1"/>
  <c r="M2945" i="1"/>
  <c r="M4589" i="1"/>
  <c r="M3241" i="1"/>
  <c r="M591" i="1"/>
  <c r="M1443" i="1"/>
  <c r="M4848" i="1"/>
  <c r="M355" i="1"/>
  <c r="M4436" i="1"/>
  <c r="M1321" i="1"/>
  <c r="M3901" i="1"/>
  <c r="M1298" i="1"/>
  <c r="M639" i="1"/>
  <c r="M1029" i="1"/>
  <c r="M16" i="1"/>
  <c r="M208" i="1"/>
  <c r="M2500" i="1"/>
  <c r="M3167" i="1"/>
  <c r="M2881" i="1"/>
  <c r="M352" i="1"/>
  <c r="M59" i="1"/>
  <c r="M1325" i="1"/>
  <c r="M1192" i="1"/>
  <c r="M4127" i="1"/>
  <c r="M4315" i="1"/>
  <c r="M2226" i="1"/>
  <c r="M495" i="1"/>
  <c r="M3247" i="1"/>
  <c r="M1276" i="1"/>
  <c r="M2671" i="1"/>
  <c r="M4753" i="1"/>
  <c r="M871" i="1"/>
  <c r="M2242" i="1"/>
  <c r="M4600" i="1"/>
  <c r="M3385" i="1"/>
  <c r="M1170" i="1"/>
  <c r="M729" i="1"/>
  <c r="M2047" i="1"/>
  <c r="M2570" i="1"/>
  <c r="M2317" i="1"/>
  <c r="M3607" i="1"/>
  <c r="M1799" i="1"/>
  <c r="M4424" i="1"/>
  <c r="M4375" i="1"/>
  <c r="M2326" i="1"/>
  <c r="M4494" i="1"/>
  <c r="M1314" i="1"/>
  <c r="M1678" i="1"/>
  <c r="M3551" i="1"/>
  <c r="M4832" i="1"/>
  <c r="M3018" i="1"/>
  <c r="M4261" i="1"/>
  <c r="M1194" i="1"/>
  <c r="M3614" i="1"/>
  <c r="M28" i="1"/>
  <c r="M2627" i="1"/>
  <c r="M4394" i="1"/>
  <c r="M3831" i="1"/>
  <c r="M4653" i="1"/>
  <c r="M786" i="1"/>
  <c r="M2819" i="1"/>
  <c r="M2211" i="1"/>
  <c r="M2446" i="1"/>
  <c r="M2324" i="1"/>
  <c r="M4756" i="1"/>
  <c r="M2622" i="1"/>
  <c r="M4961" i="1"/>
  <c r="M4397" i="1"/>
  <c r="M3453" i="1"/>
  <c r="M926" i="1"/>
  <c r="M4843" i="1"/>
  <c r="M4844" i="1"/>
  <c r="M427" i="1"/>
  <c r="M4972" i="1"/>
  <c r="M214" i="1"/>
  <c r="M4238" i="1"/>
  <c r="M783" i="1"/>
  <c r="M4606" i="1"/>
  <c r="M1391" i="1"/>
  <c r="M585" i="1"/>
  <c r="M2059" i="1"/>
  <c r="M4160" i="1"/>
  <c r="M4889" i="1"/>
  <c r="M803" i="1"/>
  <c r="M4507" i="1"/>
  <c r="M386" i="1"/>
  <c r="M3085" i="1"/>
  <c r="M2643" i="1"/>
  <c r="M4594" i="1"/>
  <c r="M2455" i="1"/>
  <c r="M4874" i="1"/>
  <c r="M1066" i="1"/>
  <c r="M158" i="1"/>
  <c r="M1318" i="1"/>
  <c r="M4603" i="1"/>
  <c r="M2678" i="1"/>
  <c r="M4729" i="1"/>
  <c r="M4309" i="1"/>
  <c r="M596" i="1"/>
  <c r="M3307" i="1"/>
  <c r="M4497" i="1"/>
  <c r="M3789" i="1"/>
  <c r="M7" i="1"/>
  <c r="M3548" i="1"/>
  <c r="M1039" i="1"/>
  <c r="M173" i="1"/>
  <c r="M3834" i="1"/>
  <c r="M1312" i="1"/>
  <c r="M468" i="1"/>
  <c r="M3043" i="1"/>
  <c r="M678" i="1"/>
  <c r="M1946" i="1"/>
  <c r="M1806" i="1"/>
  <c r="M2136" i="1"/>
  <c r="M144" i="1"/>
  <c r="M1918" i="1"/>
  <c r="M155" i="1"/>
  <c r="M2514" i="1"/>
  <c r="M4604" i="1"/>
  <c r="M4256" i="1"/>
  <c r="M401" i="1"/>
  <c r="M2134" i="1"/>
  <c r="M542" i="1"/>
  <c r="M810" i="1"/>
  <c r="M3500" i="1"/>
  <c r="M3769" i="1"/>
  <c r="M971" i="1"/>
  <c r="M2368" i="1"/>
  <c r="M388" i="1"/>
  <c r="M2278" i="1"/>
  <c r="M2609" i="1"/>
  <c r="M2869" i="1"/>
  <c r="M4216" i="1"/>
  <c r="M4994" i="1"/>
  <c r="M4150" i="1"/>
  <c r="M4486" i="1"/>
  <c r="M705" i="1"/>
  <c r="M3200" i="1"/>
  <c r="M1692" i="1"/>
  <c r="M4976" i="1"/>
  <c r="M2395" i="1"/>
  <c r="M3320" i="1"/>
  <c r="M3162" i="1"/>
  <c r="M2728" i="1"/>
  <c r="M1613" i="1"/>
  <c r="M2679" i="1"/>
  <c r="M3287" i="1"/>
  <c r="M4745" i="1"/>
  <c r="M4658" i="1"/>
  <c r="M3378" i="1"/>
  <c r="M4727" i="1"/>
  <c r="M4075" i="1"/>
  <c r="M3641" i="1"/>
  <c r="M112" i="1"/>
  <c r="M4768" i="1"/>
  <c r="M3628" i="1"/>
  <c r="M288" i="1"/>
  <c r="M3124" i="1"/>
  <c r="M2655" i="1"/>
  <c r="M4953" i="1"/>
  <c r="M134" i="1"/>
  <c r="M3407" i="1"/>
  <c r="M2035" i="1"/>
  <c r="M3896" i="1"/>
  <c r="M3014" i="1"/>
  <c r="M3181" i="1"/>
  <c r="M2140" i="1"/>
  <c r="M1003" i="1"/>
  <c r="M618" i="1"/>
  <c r="M1711" i="1"/>
  <c r="M141" i="1"/>
  <c r="M1780" i="1"/>
  <c r="M41" i="1"/>
  <c r="M1289" i="1"/>
  <c r="M2491" i="1"/>
  <c r="M4668" i="1"/>
  <c r="M3950" i="1"/>
  <c r="M303" i="1"/>
  <c r="M854" i="1"/>
  <c r="M4959" i="1"/>
  <c r="M3151" i="1"/>
  <c r="M1157" i="1"/>
  <c r="M3137" i="1"/>
  <c r="M4454" i="1"/>
  <c r="M3475" i="1"/>
  <c r="M1380" i="1"/>
  <c r="M3680" i="1"/>
  <c r="M4390" i="1"/>
  <c r="M3268" i="1"/>
  <c r="M4646" i="1"/>
  <c r="M2058" i="1"/>
  <c r="M3410" i="1"/>
  <c r="M2565" i="1"/>
  <c r="M2794" i="1"/>
  <c r="M183" i="1"/>
  <c r="M2717" i="1"/>
  <c r="M439" i="1"/>
  <c r="M1768" i="1"/>
  <c r="M3579" i="1"/>
  <c r="M648" i="1"/>
  <c r="M2440" i="1"/>
  <c r="M1323" i="1"/>
  <c r="M2776" i="1"/>
  <c r="M3359" i="1"/>
  <c r="M2919" i="1"/>
  <c r="M928" i="1"/>
  <c r="M603" i="1"/>
  <c r="M2314" i="1"/>
  <c r="M2320" i="1"/>
  <c r="M4084" i="1"/>
  <c r="M1582" i="1"/>
  <c r="M1474" i="1"/>
  <c r="M4042" i="1"/>
  <c r="M900" i="1"/>
  <c r="M320" i="1"/>
  <c r="M681" i="1"/>
  <c r="M3884" i="1"/>
  <c r="M2139" i="1"/>
  <c r="M1343" i="1"/>
  <c r="M480" i="1"/>
  <c r="M3836" i="1"/>
  <c r="M4520" i="1"/>
  <c r="M417" i="1"/>
  <c r="M2315" i="1"/>
  <c r="M420" i="1"/>
  <c r="M25" i="1"/>
  <c r="M1695" i="1"/>
  <c r="M1606" i="1"/>
  <c r="M4713" i="1"/>
  <c r="M2271" i="1"/>
  <c r="M3556" i="1"/>
  <c r="M1270" i="1"/>
  <c r="M290" i="1"/>
  <c r="M3712" i="1"/>
  <c r="M1974" i="1"/>
  <c r="M1887" i="1"/>
  <c r="M1303" i="1"/>
  <c r="M3448" i="1"/>
  <c r="M3987" i="1"/>
  <c r="M1350" i="1"/>
  <c r="M3439" i="1"/>
  <c r="M3677" i="1"/>
  <c r="M2092" i="1"/>
  <c r="M1827" i="1"/>
  <c r="M4280" i="1"/>
  <c r="M3300" i="1"/>
  <c r="M4266" i="1"/>
  <c r="M4894" i="1"/>
  <c r="M1830" i="1"/>
  <c r="M1681" i="1"/>
  <c r="M625" i="1"/>
  <c r="M615" i="1"/>
  <c r="M2685" i="1"/>
  <c r="M2875" i="1"/>
  <c r="M1810" i="1"/>
  <c r="M4747" i="1"/>
  <c r="M438" i="1"/>
  <c r="M1686" i="1"/>
  <c r="M2592" i="1"/>
  <c r="M1535" i="1"/>
  <c r="M170" i="1"/>
  <c r="M2630" i="1"/>
  <c r="M2918" i="1"/>
  <c r="M4303" i="1"/>
  <c r="M3725" i="1"/>
  <c r="M182" i="1"/>
  <c r="M1397" i="1"/>
  <c r="M2499" i="1"/>
  <c r="M4148" i="1"/>
  <c r="M2877" i="1"/>
  <c r="M4771" i="1"/>
  <c r="M4934" i="1"/>
  <c r="M3770" i="1"/>
  <c r="M4839" i="1"/>
  <c r="M1097" i="1"/>
  <c r="M4849" i="1"/>
  <c r="M2912" i="1"/>
  <c r="M1773" i="1"/>
  <c r="M4475" i="1"/>
  <c r="M4055" i="1"/>
  <c r="M1985" i="1"/>
  <c r="M477" i="1"/>
  <c r="M4284" i="1"/>
  <c r="M4526" i="1"/>
  <c r="M4407" i="1"/>
  <c r="M2878" i="1"/>
  <c r="M1531" i="1"/>
  <c r="M2629" i="1"/>
  <c r="M2479" i="1"/>
  <c r="M4441" i="1"/>
  <c r="M1119" i="1"/>
  <c r="M2468" i="1"/>
  <c r="M3129" i="1"/>
  <c r="M4489" i="1"/>
  <c r="M2540" i="1"/>
  <c r="M2239" i="1"/>
  <c r="M365" i="1"/>
  <c r="M692" i="1"/>
  <c r="M3279" i="1"/>
  <c r="M4838" i="1"/>
  <c r="M3967" i="1"/>
  <c r="M738" i="1"/>
  <c r="M3720" i="1"/>
  <c r="M3189" i="1"/>
  <c r="M4993" i="1"/>
  <c r="M1805" i="1"/>
  <c r="M927" i="1"/>
  <c r="M3038" i="1"/>
  <c r="M4808" i="1"/>
  <c r="M426" i="1"/>
  <c r="M2924" i="1"/>
  <c r="M566" i="1"/>
  <c r="M2002" i="1"/>
  <c r="M1307" i="1"/>
  <c r="M1144" i="1"/>
  <c r="M4778" i="1"/>
  <c r="M4069" i="1"/>
  <c r="M2748" i="1"/>
  <c r="M2904" i="1"/>
  <c r="M2638" i="1"/>
  <c r="M587" i="1"/>
  <c r="M1515" i="1"/>
  <c r="M1868" i="1"/>
  <c r="M3462" i="1"/>
  <c r="M4328" i="1"/>
  <c r="M3494" i="1"/>
  <c r="M983" i="1"/>
  <c r="M70" i="1"/>
  <c r="M2667" i="1"/>
  <c r="M3510" i="1"/>
  <c r="M1995" i="1"/>
  <c r="M1670" i="1"/>
  <c r="M1923" i="1"/>
  <c r="M539" i="1"/>
  <c r="M1844" i="1"/>
  <c r="M4271" i="1"/>
  <c r="M2393" i="1"/>
  <c r="M156" i="1"/>
  <c r="M2418" i="1"/>
  <c r="M2030" i="1"/>
  <c r="M1736" i="1"/>
  <c r="M2190" i="1"/>
  <c r="M1775" i="1"/>
  <c r="M2164" i="1"/>
  <c r="M3544" i="1"/>
  <c r="M4618" i="1"/>
  <c r="M3387" i="1"/>
  <c r="M5001" i="1"/>
  <c r="M1832" i="1"/>
  <c r="M1710" i="1"/>
  <c r="M4641" i="1"/>
  <c r="M2411" i="1"/>
  <c r="M3449" i="1"/>
  <c r="M3358" i="1"/>
  <c r="M240" i="1"/>
  <c r="M2138" i="1"/>
  <c r="M54" i="1"/>
  <c r="M3765" i="1"/>
  <c r="M3611" i="1"/>
  <c r="M498" i="1"/>
  <c r="M4896" i="1"/>
  <c r="M1432" i="1"/>
  <c r="M459" i="1"/>
  <c r="M3140" i="1"/>
  <c r="M4870" i="1"/>
  <c r="M790" i="1"/>
  <c r="M2767" i="1"/>
  <c r="M2761" i="1"/>
  <c r="M3543" i="1"/>
  <c r="M4270" i="1"/>
  <c r="M4383" i="1"/>
  <c r="M91" i="1"/>
  <c r="M784" i="1"/>
  <c r="M1075" i="1"/>
  <c r="M583" i="1"/>
  <c r="M4337" i="1"/>
  <c r="M2862" i="1"/>
  <c r="M4414" i="1"/>
  <c r="M3750" i="1"/>
  <c r="M2365" i="1"/>
  <c r="M3126" i="1"/>
  <c r="M1400" i="1"/>
  <c r="M4076" i="1"/>
  <c r="M221" i="1"/>
  <c r="M1584" i="1"/>
  <c r="M1987" i="1"/>
  <c r="M1387" i="1"/>
  <c r="M1687" i="1"/>
  <c r="M3534" i="1"/>
  <c r="M4573" i="1"/>
  <c r="M2399" i="1"/>
  <c r="M3422" i="1"/>
  <c r="M1117" i="1"/>
  <c r="M4143" i="1"/>
  <c r="M1536" i="1"/>
  <c r="M3153" i="1"/>
  <c r="M4884" i="1"/>
  <c r="M39" i="1"/>
  <c r="M3898" i="1"/>
  <c r="M3857" i="1"/>
  <c r="M893" i="1"/>
  <c r="M4633" i="1"/>
  <c r="M3795" i="1"/>
  <c r="M3169" i="1"/>
  <c r="M2265" i="1"/>
  <c r="M2621" i="1"/>
  <c r="M11" i="1"/>
  <c r="M1915" i="1"/>
  <c r="M1293" i="1"/>
  <c r="M3837" i="1"/>
  <c r="M2321" i="1"/>
  <c r="M2943" i="1"/>
  <c r="M4878" i="1"/>
  <c r="M4900" i="1"/>
  <c r="M4373" i="1"/>
  <c r="M3554" i="1"/>
  <c r="M3242" i="1"/>
  <c r="M3069" i="1"/>
  <c r="M1604" i="1"/>
  <c r="M2564" i="1"/>
  <c r="M1279" i="1"/>
  <c r="M55" i="1"/>
  <c r="M3493" i="1"/>
  <c r="M1078" i="1"/>
  <c r="M2665" i="1"/>
  <c r="M2670" i="1"/>
  <c r="M4091" i="1"/>
  <c r="M4010" i="1"/>
  <c r="M382" i="1"/>
  <c r="M3571" i="1"/>
  <c r="M2163" i="1"/>
  <c r="M2236" i="1"/>
  <c r="M3807" i="1"/>
  <c r="M2201" i="1"/>
  <c r="M2808" i="1"/>
  <c r="M787" i="1"/>
  <c r="M4013" i="1"/>
  <c r="M1112" i="1"/>
  <c r="M3214" i="1"/>
  <c r="M3907" i="1"/>
  <c r="M2995" i="1"/>
  <c r="M4605" i="1"/>
  <c r="M4002" i="1"/>
  <c r="M2272" i="1"/>
  <c r="M1683" i="1"/>
  <c r="M4951" i="1"/>
  <c r="M4322" i="1"/>
  <c r="M442" i="1"/>
  <c r="M2946" i="1"/>
  <c r="M1939" i="1"/>
  <c r="M161" i="1"/>
  <c r="M1100" i="1"/>
  <c r="M3629" i="1"/>
  <c r="M1847" i="1"/>
  <c r="M728" i="1"/>
  <c r="M3771" i="1"/>
  <c r="M3116" i="1"/>
  <c r="M4902" i="1"/>
  <c r="M697" i="1"/>
  <c r="M4563" i="1"/>
  <c r="M2286" i="1"/>
  <c r="M2428" i="1"/>
  <c r="M270" i="1"/>
  <c r="M3362" i="1"/>
  <c r="M2508" i="1"/>
  <c r="M4990" i="1"/>
  <c r="M4569" i="1"/>
  <c r="M57" i="1"/>
  <c r="M2917" i="1"/>
  <c r="M3095" i="1"/>
  <c r="M3599" i="1"/>
  <c r="M2361" i="1"/>
  <c r="M4568" i="1"/>
  <c r="M102" i="1"/>
  <c r="M4938" i="1"/>
  <c r="M3303" i="1"/>
  <c r="M1472" i="1"/>
  <c r="M3790" i="1"/>
  <c r="M1837" i="1"/>
  <c r="M4630" i="1"/>
  <c r="M1864" i="1"/>
  <c r="M576" i="1"/>
  <c r="M1924" i="1"/>
  <c r="M1744" i="1"/>
  <c r="M3425" i="1"/>
  <c r="M4041" i="1"/>
  <c r="M1299" i="1"/>
  <c r="M1649" i="1"/>
  <c r="M4907" i="1"/>
  <c r="M108" i="1"/>
  <c r="M1436" i="1"/>
  <c r="M4295" i="1"/>
  <c r="M4361" i="1"/>
  <c r="M2953" i="1"/>
  <c r="M2113" i="1"/>
  <c r="M251" i="1"/>
  <c r="M1950" i="1"/>
  <c r="M3285" i="1"/>
  <c r="M4154" i="1"/>
  <c r="M1785" i="1"/>
  <c r="M4591" i="1"/>
  <c r="M3799" i="1"/>
  <c r="M1523" i="1"/>
  <c r="M372" i="1"/>
  <c r="M1142" i="1"/>
  <c r="M3301" i="1"/>
  <c r="M3304" i="1"/>
  <c r="M3317" i="1"/>
  <c r="M1765" i="1"/>
  <c r="M2951" i="1"/>
  <c r="M4487" i="1"/>
  <c r="M2980" i="1"/>
  <c r="M3939" i="1"/>
  <c r="M3744" i="1"/>
  <c r="M4800" i="1"/>
  <c r="M2389" i="1"/>
  <c r="M2080" i="1"/>
  <c r="M826" i="1"/>
  <c r="M4465" i="1"/>
  <c r="M4482" i="1"/>
  <c r="M3977" i="1"/>
  <c r="M1122" i="1"/>
  <c r="M4122" i="1"/>
  <c r="M671" i="1"/>
  <c r="M3016" i="1"/>
  <c r="M4012" i="1"/>
  <c r="M1956" i="1"/>
  <c r="M2960" i="1"/>
  <c r="M1224" i="1"/>
  <c r="M3578" i="1"/>
  <c r="M3350" i="1"/>
  <c r="M1529" i="1"/>
  <c r="M1858" i="1"/>
  <c r="M4897" i="1"/>
  <c r="M38" i="1"/>
  <c r="M3843" i="1"/>
  <c r="M4748" i="1"/>
  <c r="M179" i="1"/>
  <c r="M2929" i="1"/>
  <c r="M256" i="1"/>
  <c r="M4035" i="1"/>
  <c r="M599" i="1"/>
  <c r="M3752" i="1"/>
  <c r="M488" i="1"/>
  <c r="M2538" i="1"/>
  <c r="M1642" i="1"/>
  <c r="M3908" i="1"/>
  <c r="M4709" i="1"/>
  <c r="M2879" i="1"/>
  <c r="M1596" i="1"/>
  <c r="M4030" i="1"/>
  <c r="M2379" i="1"/>
  <c r="M4036" i="1"/>
  <c r="M485" i="1"/>
  <c r="M398" i="1"/>
  <c r="M3343" i="1"/>
  <c r="M2442" i="1"/>
  <c r="M4396" i="1"/>
  <c r="M3295" i="1"/>
  <c r="M1722" i="1"/>
  <c r="M326" i="1"/>
  <c r="M4543" i="1"/>
  <c r="M2937" i="1"/>
  <c r="M3159" i="1"/>
  <c r="M3849" i="1"/>
  <c r="M2800" i="1"/>
  <c r="M3272" i="1"/>
  <c r="M3147" i="1"/>
  <c r="M1342" i="1"/>
  <c r="M2424" i="1"/>
  <c r="M1888" i="1"/>
  <c r="M2166" i="1"/>
  <c r="M21" i="1"/>
  <c r="M1990" i="1"/>
  <c r="M1126" i="1"/>
  <c r="M2588" i="1"/>
  <c r="M2022" i="1"/>
  <c r="M1783" i="1"/>
  <c r="M2357" i="1"/>
  <c r="M2433" i="1"/>
  <c r="M3335" i="1"/>
  <c r="M130" i="1"/>
  <c r="M652" i="1"/>
  <c r="M4991" i="1"/>
  <c r="M505" i="1"/>
  <c r="M3103" i="1"/>
  <c r="M2344" i="1"/>
  <c r="M337" i="1"/>
  <c r="M140" i="1"/>
  <c r="M1574" i="1"/>
  <c r="M1146" i="1"/>
  <c r="M525" i="1"/>
  <c r="M2152" i="1"/>
  <c r="M2079" i="1"/>
  <c r="M4321" i="1"/>
  <c r="M444" i="1"/>
  <c r="M4770" i="1"/>
  <c r="M2208" i="1"/>
  <c r="M1834" i="1"/>
  <c r="M4895" i="1"/>
  <c r="M2900" i="1"/>
  <c r="M4876" i="1"/>
  <c r="M4766" i="1"/>
  <c r="M4705" i="1"/>
  <c r="M3705" i="1"/>
  <c r="M1904" i="1"/>
  <c r="M649" i="1"/>
  <c r="M4485" i="1"/>
  <c r="M558" i="1"/>
  <c r="M4175" i="1"/>
  <c r="M194" i="1"/>
  <c r="M4053" i="1"/>
  <c r="M580" i="1"/>
  <c r="M3182" i="1"/>
  <c r="M1169" i="1"/>
  <c r="M3900" i="1"/>
  <c r="M611" i="1"/>
  <c r="M3125" i="1"/>
  <c r="M3817" i="1"/>
  <c r="M1441" i="1"/>
  <c r="M4308" i="1"/>
  <c r="M1792" i="1"/>
  <c r="M2922" i="1"/>
  <c r="M3931" i="1"/>
  <c r="M1982" i="1"/>
  <c r="M1598" i="1"/>
  <c r="M494" i="1"/>
  <c r="M2599" i="1"/>
  <c r="M215" i="1"/>
  <c r="M778" i="1"/>
  <c r="M136" i="1"/>
  <c r="M679" i="1"/>
  <c r="M4097" i="1"/>
  <c r="M2997" i="1"/>
  <c r="M2941" i="1"/>
  <c r="M955" i="1"/>
  <c r="M3397" i="1"/>
  <c r="M2179" i="1"/>
  <c r="M4165" i="1"/>
  <c r="M857" i="1"/>
  <c r="M2913" i="1"/>
  <c r="M1336" i="1"/>
  <c r="M3640" i="1"/>
  <c r="M1638" i="1"/>
  <c r="M3348" i="1"/>
  <c r="M4678" i="1"/>
  <c r="M2830" i="1"/>
  <c r="M4129" i="1"/>
  <c r="M3666" i="1"/>
  <c r="M4663" i="1"/>
  <c r="M2543" i="1"/>
  <c r="M2628" i="1"/>
  <c r="M3291" i="1"/>
  <c r="M2009" i="1"/>
  <c r="M4105" i="1"/>
  <c r="M2175" i="1"/>
  <c r="M3707" i="1"/>
  <c r="M702" i="1"/>
  <c r="M3604" i="1"/>
  <c r="M2752" i="1"/>
  <c r="M1478" i="1"/>
  <c r="M1630" i="1"/>
  <c r="M3501" i="1"/>
  <c r="M1067" i="1"/>
  <c r="M4736" i="1"/>
  <c r="M800" i="1"/>
  <c r="M4538" i="1"/>
  <c r="M1344" i="1"/>
  <c r="M3446" i="1"/>
  <c r="M2255" i="1"/>
  <c r="M2270" i="1"/>
  <c r="M737" i="1"/>
  <c r="M243" i="1"/>
  <c r="M3730" i="1"/>
  <c r="M1133" i="1"/>
  <c r="M3041" i="1"/>
  <c r="M2489" i="1"/>
  <c r="M4006" i="1"/>
  <c r="M4078" i="1"/>
  <c r="M1089" i="1"/>
  <c r="M3946" i="1"/>
  <c r="M1945" i="1"/>
  <c r="M561" i="1"/>
  <c r="M1183" i="1"/>
  <c r="M4063" i="1"/>
  <c r="M1499" i="1"/>
  <c r="M2563" i="1"/>
  <c r="M2657" i="1"/>
  <c r="M996" i="1"/>
  <c r="M4428" i="1"/>
  <c r="M2704" i="1"/>
  <c r="M3923" i="1"/>
  <c r="M740" i="1"/>
  <c r="M1229" i="1"/>
  <c r="M3782" i="1"/>
  <c r="M552" i="1"/>
  <c r="M2017" i="1"/>
  <c r="M3163" i="1"/>
  <c r="M3625" i="1"/>
  <c r="M4275" i="1"/>
  <c r="M2283" i="1"/>
  <c r="M1862" i="1"/>
  <c r="M832" i="1"/>
  <c r="M1262" i="1"/>
  <c r="M598" i="1"/>
  <c r="M1430" i="1"/>
  <c r="M4218" i="1"/>
  <c r="M4915" i="1"/>
  <c r="M3897" i="1"/>
  <c r="M847" i="1"/>
  <c r="M4387" i="1"/>
  <c r="M4335" i="1"/>
  <c r="M2984" i="1"/>
  <c r="M4312" i="1"/>
  <c r="M1782" i="1"/>
  <c r="M2427" i="1"/>
  <c r="M1880" i="1"/>
  <c r="M2502" i="1"/>
  <c r="M1729" i="1"/>
  <c r="M643" i="1"/>
  <c r="M4916" i="1"/>
  <c r="M4623" i="1"/>
  <c r="M481" i="1"/>
  <c r="M1294" i="1"/>
  <c r="M1164" i="1"/>
  <c r="M2528" i="1"/>
  <c r="M3847" i="1"/>
  <c r="M3465" i="1"/>
  <c r="M3308" i="1"/>
  <c r="M4052" i="1"/>
  <c r="M2925" i="1"/>
  <c r="M4310" i="1"/>
  <c r="M3172" i="1"/>
  <c r="M9" i="1"/>
  <c r="M2050" i="1"/>
  <c r="M2854" i="1"/>
  <c r="M4399" i="1"/>
  <c r="M3281" i="1"/>
  <c r="M1425" i="1"/>
  <c r="M4019" i="1"/>
  <c r="M3489" i="1"/>
  <c r="M3648" i="1"/>
  <c r="M4882" i="1"/>
  <c r="M237" i="1"/>
  <c r="M3685" i="1"/>
  <c r="M2014" i="1"/>
  <c r="M3196" i="1"/>
  <c r="M582" i="1"/>
  <c r="M3365" i="1"/>
  <c r="M3476" i="1"/>
  <c r="M4180" i="1"/>
  <c r="M3893" i="1"/>
  <c r="M3933" i="1"/>
  <c r="M1195" i="1"/>
  <c r="M3146" i="1"/>
  <c r="M3036" i="1"/>
  <c r="M347" i="1"/>
  <c r="M3142" i="1"/>
  <c r="M226" i="1"/>
  <c r="M982" i="1"/>
  <c r="M3400" i="1"/>
  <c r="M2153" i="1"/>
  <c r="M858" i="1"/>
  <c r="M814" i="1"/>
  <c r="M3644" i="1"/>
  <c r="M2684" i="1"/>
  <c r="M3917" i="1"/>
  <c r="M2766" i="1"/>
  <c r="M482" i="1"/>
  <c r="M1788" i="1"/>
  <c r="M3796" i="1"/>
  <c r="M2793" i="1"/>
  <c r="M805" i="1"/>
  <c r="M2653" i="1"/>
  <c r="M2660" i="1"/>
  <c r="M3715" i="1"/>
  <c r="M4211" i="1"/>
  <c r="M2292" i="1"/>
  <c r="M3243" i="1"/>
  <c r="M4440" i="1"/>
  <c r="M590" i="1"/>
  <c r="M3064" i="1"/>
  <c r="M4899" i="1"/>
  <c r="M1448" i="1"/>
  <c r="M1539" i="1"/>
  <c r="M2754" i="1"/>
  <c r="M2606" i="1"/>
  <c r="M560" i="1"/>
  <c r="M1882" i="1"/>
  <c r="M1009" i="1"/>
  <c r="M1217" i="1"/>
  <c r="M1610" i="1"/>
  <c r="M4173" i="1"/>
  <c r="M1258" i="1"/>
  <c r="M880" i="1"/>
  <c r="M4761" i="1"/>
  <c r="M3662" i="1"/>
  <c r="M431" i="1"/>
  <c r="M1182" i="1"/>
  <c r="M1329" i="1"/>
  <c r="M4670" i="1"/>
  <c r="M4650" i="1"/>
  <c r="M2258" i="1"/>
  <c r="M2783" i="1"/>
  <c r="M3519" i="1"/>
  <c r="M1897" i="1"/>
  <c r="M1311" i="1"/>
  <c r="M2073" i="1"/>
  <c r="M1896" i="1"/>
  <c r="M2293" i="1"/>
  <c r="M3488" i="1"/>
  <c r="M1308" i="1"/>
  <c r="M4149" i="1"/>
  <c r="M2122" i="1"/>
  <c r="M4032" i="1"/>
  <c r="M1679" i="1"/>
  <c r="M905" i="1"/>
  <c r="M1339" i="1"/>
  <c r="M3508" i="1"/>
  <c r="M1993" i="1"/>
  <c r="M3040" i="1"/>
  <c r="M4354" i="1"/>
  <c r="M2625" i="1"/>
  <c r="M2619" i="1"/>
  <c r="M4241" i="1"/>
  <c r="M280" i="1"/>
  <c r="M4978" i="1"/>
  <c r="M93" i="1"/>
  <c r="M3157" i="1"/>
  <c r="M3768" i="1"/>
  <c r="M3953" i="1"/>
  <c r="M4379" i="1"/>
  <c r="M3958" i="1"/>
  <c r="M3115" i="1"/>
  <c r="M3854" i="1"/>
  <c r="M4964" i="1"/>
  <c r="M1068" i="1"/>
  <c r="M26" i="1"/>
  <c r="M531" i="1"/>
  <c r="M323" i="1"/>
  <c r="M846" i="1"/>
  <c r="M1356" i="1"/>
  <c r="M2129" i="1"/>
  <c r="M1971" i="1"/>
  <c r="M3017" i="1"/>
  <c r="M111" i="1"/>
  <c r="M3008" i="1"/>
  <c r="M1594" i="1"/>
  <c r="M872" i="1"/>
  <c r="M4065" i="1"/>
  <c r="M4567" i="1"/>
  <c r="M1658" i="1"/>
  <c r="M1371" i="1"/>
  <c r="M4121" i="1"/>
  <c r="M4515" i="1"/>
  <c r="M1246" i="1"/>
  <c r="M3386" i="1"/>
  <c r="M4450" i="1"/>
  <c r="M3187" i="1"/>
  <c r="M4973" i="1"/>
  <c r="M3983" i="1"/>
  <c r="M2593" i="1"/>
  <c r="M2107" i="1"/>
  <c r="M2518" i="1"/>
  <c r="M1949" i="1"/>
  <c r="M186" i="1"/>
  <c r="M1779" i="1"/>
  <c r="M3527" i="1"/>
  <c r="M2578" i="1"/>
  <c r="M722" i="1"/>
  <c r="M1176" i="1"/>
  <c r="M3053" i="1"/>
  <c r="M1283" i="1"/>
  <c r="M3627" i="1"/>
  <c r="M743" i="1"/>
  <c r="M719" i="1"/>
  <c r="M4113" i="1"/>
  <c r="M3645" i="1"/>
  <c r="M1553" i="1"/>
  <c r="M630" i="1"/>
  <c r="M4083" i="1"/>
  <c r="M429" i="1"/>
  <c r="M714" i="1"/>
  <c r="M4638" i="1"/>
  <c r="M3507" i="1"/>
  <c r="M1859" i="1"/>
  <c r="M2262" i="1"/>
  <c r="M2187" i="1"/>
  <c r="M993" i="1"/>
  <c r="M1256" i="1"/>
  <c r="M88" i="1"/>
  <c r="M4962" i="1"/>
  <c r="M2690" i="1"/>
  <c r="M4119" i="1"/>
  <c r="M4939" i="1"/>
  <c r="M3426" i="1"/>
  <c r="M4804" i="1"/>
  <c r="M1475" i="1"/>
  <c r="M3676" i="1"/>
  <c r="M3531" i="1"/>
  <c r="M1685" i="1"/>
  <c r="M2006" i="1"/>
  <c r="M1777" i="1"/>
  <c r="M3212" i="1"/>
  <c r="M924" i="1"/>
  <c r="M2029" i="1"/>
  <c r="M1537" i="1"/>
  <c r="M435" i="1"/>
  <c r="M2015" i="1"/>
  <c r="M2810" i="1"/>
  <c r="M4963" i="1"/>
  <c r="M3394" i="1"/>
  <c r="M3937" i="1"/>
  <c r="M979" i="1"/>
  <c r="M1850" i="1"/>
  <c r="M3608" i="1"/>
  <c r="M817" i="1"/>
  <c r="M2170" i="1"/>
  <c r="M2477" i="1"/>
  <c r="M1203" i="1"/>
  <c r="M3132" i="1"/>
  <c r="M4039" i="1"/>
  <c r="M4468" i="1"/>
  <c r="M3745" i="1"/>
  <c r="M4066" i="1"/>
  <c r="M2970" i="1"/>
  <c r="M1138" i="1"/>
  <c r="M1385" i="1"/>
  <c r="M563" i="1"/>
  <c r="M1759" i="1"/>
  <c r="M4289" i="1"/>
  <c r="M3964" i="1"/>
  <c r="M2979" i="1"/>
  <c r="M1327" i="1"/>
  <c r="M777" i="1"/>
  <c r="M662" i="1"/>
  <c r="M86" i="1"/>
  <c r="M1000" i="1"/>
  <c r="M2668" i="1"/>
  <c r="M377" i="1"/>
  <c r="M65" i="1"/>
  <c r="M3101" i="1"/>
  <c r="M4558" i="1"/>
  <c r="M1273" i="1"/>
  <c r="M4759" i="1"/>
  <c r="M1497" i="1"/>
  <c r="M676" i="1"/>
  <c r="M2023" i="1"/>
  <c r="M385" i="1"/>
  <c r="M2885" i="1"/>
  <c r="M1080" i="1"/>
  <c r="M2264" i="1"/>
  <c r="M700" i="1"/>
  <c r="M2723" i="1"/>
  <c r="M4562" i="1"/>
  <c r="M4128" i="1"/>
  <c r="M3621" i="1"/>
  <c r="M1928" i="1"/>
  <c r="M3012" i="1"/>
  <c r="M2713" i="1"/>
  <c r="M4519" i="1"/>
  <c r="M3310" i="1"/>
  <c r="M4865" i="1"/>
  <c r="M3593" i="1"/>
  <c r="M2583" i="1"/>
  <c r="M1933" i="1"/>
  <c r="M551" i="1"/>
  <c r="M4719" i="1"/>
  <c r="M3654" i="1"/>
  <c r="M2554" i="1"/>
  <c r="M3128" i="1"/>
  <c r="M384" i="1"/>
  <c r="M3553" i="1"/>
  <c r="M2300" i="1"/>
  <c r="M3634" i="1"/>
  <c r="M2288" i="1"/>
  <c r="M2480" i="1"/>
  <c r="M4866" i="1"/>
  <c r="M1813" i="1"/>
  <c r="M202" i="1"/>
  <c r="M3473" i="1"/>
  <c r="M451" i="1"/>
  <c r="M540" i="1"/>
  <c r="M1820" i="1"/>
  <c r="M3331" i="1"/>
  <c r="M3936" i="1"/>
  <c r="M4348" i="1"/>
  <c r="M3090" i="1"/>
  <c r="M865" i="1"/>
  <c r="M1941" i="1"/>
  <c r="M2210" i="1"/>
  <c r="M125" i="1"/>
  <c r="M3384" i="1"/>
  <c r="M4611" i="1"/>
  <c r="M2464" i="1"/>
  <c r="M2631" i="1"/>
  <c r="M2512" i="1"/>
  <c r="M3042" i="1"/>
  <c r="M3941" i="1"/>
  <c r="M2795" i="1"/>
  <c r="M1547" i="1"/>
  <c r="M3618" i="1"/>
  <c r="M4757" i="1"/>
  <c r="M2275" i="1"/>
  <c r="M841" i="1"/>
  <c r="M959" i="1"/>
  <c r="M2891" i="1"/>
  <c r="M3545" i="1"/>
  <c r="M2833" i="1"/>
  <c r="M3088" i="1"/>
  <c r="M980" i="1"/>
  <c r="M4413" i="1"/>
  <c r="M3889" i="1"/>
  <c r="M3314" i="1"/>
  <c r="M804" i="1"/>
  <c r="M1407" i="1"/>
  <c r="M2596" i="1"/>
  <c r="M2645" i="1"/>
  <c r="M2301" i="1"/>
  <c r="M3315" i="1"/>
  <c r="M4300" i="1"/>
  <c r="M2333" i="1"/>
  <c r="M1459" i="1"/>
  <c r="M2719" i="1"/>
  <c r="M3107" i="1"/>
  <c r="M2734" i="1"/>
  <c r="M3061" i="1"/>
  <c r="M470" i="1"/>
  <c r="M1538" i="1"/>
  <c r="M1178" i="1"/>
  <c r="M4061" i="1"/>
  <c r="M3046" i="1"/>
  <c r="M3678" i="1"/>
  <c r="M135" i="1"/>
  <c r="M592" i="1"/>
  <c r="M2595" i="1"/>
  <c r="M3583" i="1"/>
  <c r="M3458" i="1"/>
  <c r="M965" i="1"/>
  <c r="M1980" i="1"/>
  <c r="M1205" i="1"/>
  <c r="M2055" i="1"/>
  <c r="M4326" i="1"/>
  <c r="M109" i="1"/>
  <c r="M1794" i="1"/>
  <c r="M371" i="1"/>
  <c r="M4422" i="1"/>
  <c r="M123" i="1"/>
  <c r="M4153" i="1"/>
  <c r="M73" i="1"/>
  <c r="M2319" i="1"/>
  <c r="M3567" i="1"/>
  <c r="M4242" i="1"/>
  <c r="M2805" i="1"/>
  <c r="M4598" i="1"/>
  <c r="M287" i="1"/>
  <c r="M2736" i="1"/>
  <c r="M1881" i="1"/>
  <c r="M4904" i="1"/>
  <c r="M3961" i="1"/>
  <c r="M3333" i="1"/>
  <c r="M2520" i="1"/>
  <c r="M819" i="1"/>
  <c r="M193" i="1"/>
  <c r="M3966" i="1"/>
  <c r="M4704" i="1"/>
  <c r="M703" i="1"/>
  <c r="M667" i="1"/>
  <c r="M2325" i="1"/>
  <c r="M1718" i="1"/>
  <c r="M1885" i="1"/>
  <c r="M3740" i="1"/>
  <c r="M2589" i="1"/>
  <c r="M660" i="1"/>
  <c r="M2726" i="1"/>
  <c r="M1219" i="1"/>
  <c r="M3253" i="1"/>
  <c r="M2196" i="1"/>
  <c r="M200" i="1"/>
  <c r="M4596" i="1"/>
  <c r="M1015" i="1"/>
  <c r="M1018" i="1"/>
  <c r="M3785" i="1"/>
  <c r="M4068" i="1"/>
  <c r="M4027" i="1"/>
  <c r="M695" i="1"/>
  <c r="M1424" i="1"/>
  <c r="M1863" i="1"/>
  <c r="M4181" i="1"/>
  <c r="M2517" i="1"/>
  <c r="M4352" i="1"/>
  <c r="M1972" i="1"/>
  <c r="M3749" i="1"/>
  <c r="M408" i="1"/>
  <c r="M3238" i="1"/>
  <c r="M4652" i="1"/>
  <c r="M2213" i="1"/>
  <c r="M4574" i="1"/>
  <c r="M2376" i="1"/>
  <c r="M3111" i="1"/>
  <c r="M2923" i="1"/>
  <c r="M3919" i="1"/>
  <c r="M3357" i="1"/>
  <c r="M3288" i="1"/>
  <c r="M4250" i="1"/>
  <c r="M4871" i="1"/>
  <c r="M187" i="1"/>
  <c r="M2261" i="1"/>
  <c r="M3097" i="1"/>
  <c r="M2760" i="1"/>
  <c r="M4146" i="1"/>
  <c r="M1410" i="1"/>
  <c r="M1076" i="1"/>
  <c r="M3470" i="1"/>
  <c r="M2792" i="1"/>
  <c r="M3180" i="1"/>
  <c r="M407" i="1"/>
  <c r="M512" i="1"/>
  <c r="M1085" i="1"/>
  <c r="M726" i="1"/>
  <c r="M87" i="1"/>
  <c r="M1486" i="1"/>
  <c r="M2045" i="1"/>
  <c r="M83" i="1"/>
  <c r="M374" i="1"/>
  <c r="M1618" i="1"/>
  <c r="M776" i="1"/>
  <c r="M121" i="1"/>
  <c r="M4217" i="1"/>
  <c r="M4109" i="1"/>
  <c r="M2762" i="1"/>
  <c r="M1500" i="1"/>
  <c r="M1491" i="1"/>
  <c r="M1522" i="1"/>
  <c r="M1414" i="1"/>
  <c r="M1211" i="1"/>
  <c r="M310" i="1"/>
  <c r="M1065" i="1"/>
  <c r="M4009" i="1"/>
  <c r="M3416" i="1"/>
  <c r="M3383" i="1"/>
  <c r="M2956" i="1"/>
  <c r="M4740" i="1"/>
  <c r="M289" i="1"/>
  <c r="M3424" i="1"/>
  <c r="M3753" i="1"/>
  <c r="M1431" i="1"/>
  <c r="M213" i="1"/>
  <c r="M4117" i="1"/>
  <c r="M2306" i="1"/>
  <c r="M1495" i="1"/>
  <c r="M3469" i="1"/>
  <c r="M419" i="1"/>
  <c r="M3020" i="1"/>
  <c r="M171" i="1"/>
  <c r="M3089" i="1"/>
  <c r="M770" i="1"/>
  <c r="M1999" i="1"/>
  <c r="M2829" i="1"/>
  <c r="M4656" i="1"/>
  <c r="M1787" i="1"/>
  <c r="M3092" i="1"/>
  <c r="M3404" i="1"/>
  <c r="M5007" i="1"/>
  <c r="M1032" i="1"/>
  <c r="M3457" i="1"/>
  <c r="M3692" i="1"/>
  <c r="M4386" i="1"/>
  <c r="M1261" i="1"/>
  <c r="M3653" i="1"/>
  <c r="M2613" i="1"/>
  <c r="M317" i="1"/>
  <c r="M2349" i="1"/>
  <c r="M71" i="1"/>
  <c r="M3874" i="1"/>
  <c r="M3808" i="1"/>
  <c r="M873" i="1"/>
  <c r="M3056" i="1"/>
  <c r="M2735" i="1"/>
  <c r="M1771" i="1"/>
  <c r="M4681" i="1"/>
  <c r="M4269" i="1"/>
  <c r="M3610" i="1"/>
  <c r="M3005" i="1"/>
  <c r="M159" i="1"/>
  <c r="M2744" i="1"/>
  <c r="M3311" i="1"/>
  <c r="M3733" i="1"/>
  <c r="M1958" i="1"/>
  <c r="M3622" i="1"/>
  <c r="M3267" i="1"/>
  <c r="M1716" i="1"/>
  <c r="M1451" i="1"/>
  <c r="M2257" i="1"/>
  <c r="M1005" i="1"/>
  <c r="M1337" i="1"/>
  <c r="M829" i="1"/>
  <c r="M3254" i="1"/>
  <c r="M4080" i="1"/>
  <c r="M3201" i="1"/>
  <c r="M178" i="1"/>
  <c r="M264" i="1"/>
  <c r="M1084" i="1"/>
  <c r="M2658" i="1"/>
  <c r="M1898" i="1"/>
  <c r="M1504" i="1"/>
  <c r="M2131" i="1"/>
  <c r="M3186" i="1"/>
  <c r="M3746" i="1"/>
  <c r="M733" i="1"/>
  <c r="M1088" i="1"/>
  <c r="M224" i="1"/>
  <c r="M1104" i="1"/>
  <c r="M3876" i="1"/>
  <c r="M181" i="1"/>
  <c r="M3213" i="1"/>
  <c r="M4443" i="1"/>
  <c r="M4108" i="1"/>
  <c r="M3905" i="1"/>
  <c r="M523" i="1"/>
  <c r="M4822" i="1"/>
  <c r="M3149" i="1"/>
  <c r="M1143" i="1"/>
  <c r="M460" i="1"/>
  <c r="M361" i="1"/>
  <c r="M3838" i="1"/>
  <c r="M2445" i="1"/>
  <c r="M2786" i="1"/>
  <c r="M2974" i="1"/>
  <c r="M4178" i="1"/>
  <c r="M4204" i="1"/>
  <c r="M2162" i="1"/>
  <c r="M2470" i="1"/>
  <c r="M1871" i="1"/>
  <c r="M2688" i="1"/>
  <c r="M295" i="1"/>
  <c r="M887" i="1"/>
  <c r="M3313" i="1"/>
  <c r="M3093" i="1"/>
  <c r="M103" i="1"/>
  <c r="M4920" i="1"/>
  <c r="M4355" i="1"/>
  <c r="M1833" i="1"/>
  <c r="M1724" i="1"/>
  <c r="M1908" i="1"/>
  <c r="M4008" i="1"/>
  <c r="M1976" i="1"/>
  <c r="M4863" i="1"/>
  <c r="M644" i="1"/>
  <c r="M750" i="1"/>
  <c r="M801" i="1"/>
  <c r="M302" i="1"/>
  <c r="M2771" i="1"/>
  <c r="M1586" i="1"/>
  <c r="M1879" i="1"/>
  <c r="M548" i="1"/>
  <c r="M2906" i="1"/>
  <c r="M3872" i="1"/>
  <c r="M3148" i="1"/>
  <c r="M4999" i="1"/>
  <c r="M1201" i="1"/>
  <c r="M3525" i="1"/>
  <c r="M2551" i="1"/>
  <c r="M2366" i="1"/>
  <c r="M2373" i="1"/>
  <c r="M4120" i="1"/>
  <c r="M2515" i="1"/>
  <c r="M2398" i="1"/>
  <c r="M606" i="1"/>
  <c r="M4162" i="1"/>
  <c r="M395" i="1"/>
  <c r="M2675" i="1"/>
  <c r="M986" i="1"/>
  <c r="M3948" i="1"/>
  <c r="M549" i="1"/>
  <c r="M1444" i="1"/>
  <c r="M3054" i="1"/>
  <c r="M413" i="1"/>
  <c r="M3949" i="1"/>
  <c r="M1573" i="1"/>
  <c r="M4648" i="1"/>
  <c r="M4190" i="1"/>
  <c r="M956" i="1"/>
  <c r="M67" i="1"/>
  <c r="M1979" i="1"/>
  <c r="M3714" i="1"/>
  <c r="M3240" i="1"/>
  <c r="M1399" i="1"/>
  <c r="M3033" i="1"/>
  <c r="M138" i="1"/>
  <c r="M827" i="1"/>
  <c r="M2773" i="1"/>
  <c r="M3711" i="1"/>
  <c r="M1943" i="1"/>
  <c r="M1139" i="1"/>
  <c r="M1534" i="1"/>
  <c r="M1737" i="1"/>
  <c r="M4299" i="1"/>
  <c r="M2311" i="1"/>
  <c r="M4584" i="1"/>
  <c r="M2069" i="1"/>
  <c r="M2199" i="1"/>
  <c r="M920" i="1"/>
  <c r="M1035" i="1"/>
  <c r="M343" i="1"/>
  <c r="M1615" i="1"/>
  <c r="M1253" i="1"/>
  <c r="M4925" i="1"/>
  <c r="M3119" i="1"/>
  <c r="M3276" i="1"/>
  <c r="M1291" i="1"/>
  <c r="M4192" i="1"/>
  <c r="M808" i="1"/>
  <c r="M1394" i="1"/>
  <c r="M192" i="1"/>
  <c r="M3197" i="1"/>
  <c r="M2323" i="1"/>
  <c r="M3853" i="1"/>
  <c r="M2716" i="1"/>
  <c r="M3472" i="1"/>
  <c r="M3546" i="1"/>
  <c r="M502" i="1"/>
  <c r="M4439" i="1"/>
  <c r="M149" i="1"/>
  <c r="M315" i="1"/>
  <c r="M4402" i="1"/>
  <c r="M1435" i="1"/>
  <c r="M2908" i="1"/>
  <c r="M3657" i="1"/>
  <c r="M761" i="1"/>
  <c r="M3073" i="1"/>
  <c r="M1694" i="1"/>
  <c r="M3255" i="1"/>
  <c r="M3451" i="1"/>
  <c r="M3997" i="1"/>
  <c r="M1517" i="1"/>
  <c r="M2254" i="1"/>
  <c r="M4406" i="1"/>
  <c r="M3851" i="1"/>
  <c r="M779" i="1"/>
  <c r="M879" i="1"/>
  <c r="M4590" i="1"/>
  <c r="M1413" i="1"/>
  <c r="M2473" i="1"/>
  <c r="M4975" i="1"/>
  <c r="M1156" i="1"/>
  <c r="M3222" i="1"/>
  <c r="M3461" i="1"/>
  <c r="M812" i="1"/>
  <c r="M3535" i="1"/>
  <c r="M4183" i="1"/>
  <c r="M2952" i="1"/>
  <c r="M2838" i="1"/>
  <c r="M1200" i="1"/>
  <c r="M902" i="1"/>
  <c r="M3330" i="1"/>
  <c r="M3204" i="1"/>
  <c r="M4492" i="1"/>
  <c r="M2967" i="1"/>
  <c r="M3108" i="1"/>
  <c r="M2646" i="1"/>
  <c r="M518" i="1"/>
  <c r="M2075" i="1"/>
  <c r="M68" i="1"/>
  <c r="M1022" i="1"/>
  <c r="M4163" i="1"/>
  <c r="M4463" i="1"/>
  <c r="M1774" i="1"/>
  <c r="M4264" i="1"/>
  <c r="M2702" i="1"/>
  <c r="M2676" i="1"/>
  <c r="M4038" i="1"/>
  <c r="M1469" i="1"/>
  <c r="M2126" i="1"/>
  <c r="M3096" i="1"/>
  <c r="M2402" i="1"/>
  <c r="M4974" i="1"/>
  <c r="M180" i="1"/>
  <c r="M735" i="1"/>
  <c r="M445" i="1"/>
  <c r="M572" i="1"/>
  <c r="M4667" i="1"/>
  <c r="M1404" i="1"/>
  <c r="M4279" i="1"/>
  <c r="M4244" i="1"/>
  <c r="M3703" i="1"/>
  <c r="M3643" i="1"/>
  <c r="M2892" i="1"/>
  <c r="M4815" i="1"/>
  <c r="M3665" i="1"/>
  <c r="M686" i="1"/>
  <c r="M541" i="1"/>
  <c r="M1452" i="1"/>
  <c r="M619" i="1"/>
  <c r="M4409" i="1"/>
  <c r="M3841" i="1"/>
  <c r="M4285" i="1"/>
  <c r="M1719" i="1"/>
  <c r="M3045" i="1"/>
  <c r="M2957" i="1"/>
  <c r="M3483" i="1"/>
  <c r="M1938" i="1"/>
  <c r="M167" i="1"/>
  <c r="M4706" i="1"/>
  <c r="M2070" i="1"/>
  <c r="M3058" i="1"/>
  <c r="M2343" i="1"/>
  <c r="M3505" i="1"/>
  <c r="M4621" i="1"/>
  <c r="M1701" i="1"/>
  <c r="M4248" i="1"/>
  <c r="M4231" i="1"/>
  <c r="M520" i="1"/>
  <c r="M1961" i="1"/>
  <c r="M2331" i="1"/>
  <c r="M4232" i="1"/>
  <c r="M1345" i="1"/>
  <c r="M4228" i="1"/>
  <c r="M1244" i="1"/>
  <c r="M4332" i="1"/>
  <c r="M1818" i="1"/>
  <c r="M3842" i="1"/>
  <c r="M4240" i="1"/>
  <c r="M2798" i="1"/>
  <c r="M670" i="1"/>
  <c r="M4219" i="1"/>
  <c r="M1020" i="1"/>
  <c r="M2650" i="1"/>
  <c r="M1455" i="1"/>
  <c r="M4595" i="1"/>
  <c r="M4001" i="1"/>
  <c r="M476" i="1"/>
  <c r="M524" i="1"/>
  <c r="M4579" i="1"/>
  <c r="M2973" i="1"/>
  <c r="M1581" i="1"/>
  <c r="M4614" i="1"/>
  <c r="M1876" i="1"/>
  <c r="M2673" i="1"/>
  <c r="M1921" i="1"/>
  <c r="M3464" i="1"/>
  <c r="M565" i="1"/>
  <c r="M1236" i="1"/>
  <c r="M2659" i="1"/>
  <c r="M3286" i="1"/>
  <c r="M2835" i="1"/>
  <c r="M2804" i="1"/>
  <c r="M1440" i="1"/>
  <c r="M2940" i="1"/>
  <c r="M2942" i="1"/>
  <c r="M75" i="1"/>
  <c r="M2039" i="1"/>
  <c r="M2195" i="1"/>
  <c r="M222" i="1"/>
  <c r="M1666" i="1"/>
  <c r="M2188" i="1"/>
  <c r="M2362" i="1"/>
  <c r="M1328" i="1"/>
  <c r="M342" i="1"/>
  <c r="M2850" i="1"/>
  <c r="M2982" i="1"/>
  <c r="M600" i="1"/>
  <c r="M789" i="1"/>
  <c r="M2436" i="1"/>
  <c r="M4152" i="1"/>
  <c r="M1853" i="1"/>
  <c r="M4014" i="1"/>
  <c r="M4669" i="1"/>
  <c r="M3928" i="1"/>
  <c r="M4410" i="1"/>
  <c r="M393" i="1"/>
  <c r="M2691" i="1"/>
  <c r="M943" i="1"/>
  <c r="M2763" i="1"/>
  <c r="M174" i="1"/>
  <c r="M627" i="1"/>
  <c r="M1284" i="1"/>
  <c r="M2818" i="1"/>
  <c r="M4462" i="1"/>
  <c r="M3030" i="1"/>
  <c r="M1171" i="1"/>
  <c r="M1632" i="1"/>
  <c r="M2532" i="1"/>
  <c r="M3687" i="1"/>
  <c r="M4338" i="1"/>
  <c r="M909" i="1"/>
  <c r="M229" i="1"/>
  <c r="M4137" i="1"/>
  <c r="M3747" i="1"/>
  <c r="M659" i="1"/>
  <c r="M4785" i="1"/>
  <c r="M2425" i="1"/>
  <c r="M4529" i="1"/>
  <c r="M1248" i="1"/>
  <c r="M3294" i="1"/>
  <c r="M2423" i="1"/>
  <c r="M4556" i="1"/>
  <c r="M1900" i="1"/>
  <c r="M4629" i="1"/>
  <c r="M1622" i="1"/>
  <c r="M2842" i="1"/>
  <c r="M3270" i="1"/>
  <c r="M2147" i="1"/>
  <c r="M2222" i="1"/>
  <c r="M4802" i="1"/>
  <c r="M4628" i="1"/>
  <c r="M3686" i="1"/>
  <c r="M2683" i="1"/>
  <c r="M3232" i="1"/>
  <c r="M732" i="1"/>
  <c r="M340" i="1"/>
  <c r="M3467" i="1"/>
  <c r="M3832" i="1"/>
  <c r="M922" i="1"/>
  <c r="M1252" i="1"/>
  <c r="M338" i="1"/>
  <c r="M5000" i="1"/>
  <c r="M2277" i="1"/>
  <c r="M3542" i="1"/>
  <c r="M1914" i="1"/>
  <c r="M1263" i="1"/>
  <c r="M1047" i="1"/>
  <c r="M4094" i="1"/>
  <c r="M4717" i="1"/>
  <c r="M3031" i="1"/>
  <c r="M4898" i="1"/>
  <c r="M4144" i="1"/>
  <c r="M1118" i="1"/>
  <c r="M4291" i="1"/>
  <c r="M3436" i="1"/>
  <c r="M2694" i="1"/>
  <c r="M2065" i="1"/>
  <c r="M497" i="1"/>
  <c r="M691" i="1"/>
  <c r="M1185" i="1"/>
  <c r="M1275" i="1"/>
  <c r="M1429" i="1"/>
  <c r="M962" i="1"/>
  <c r="M260" i="1"/>
  <c r="M1742" i="1"/>
  <c r="M206" i="1"/>
  <c r="M3393" i="1"/>
  <c r="M346" i="1"/>
  <c r="M693" i="1"/>
  <c r="M4504" i="1"/>
  <c r="M1559" i="1"/>
  <c r="M1006" i="1"/>
  <c r="M2813" i="1"/>
  <c r="M2054" i="1"/>
  <c r="M1986" i="1"/>
  <c r="M3595" i="1"/>
  <c r="M4115" i="1"/>
  <c r="M855" i="1"/>
  <c r="M3327" i="1"/>
  <c r="M3297" i="1"/>
  <c r="M567" i="1"/>
  <c r="M4193" i="1"/>
  <c r="M4201" i="1"/>
  <c r="M2944" i="1"/>
  <c r="M2081" i="1"/>
  <c r="M2666" i="1"/>
  <c r="M2350" i="1"/>
  <c r="M2604" i="1"/>
  <c r="M84" i="1"/>
  <c r="M1366" i="1"/>
  <c r="M2856" i="1"/>
  <c r="M4398" i="1"/>
  <c r="M1734" i="1"/>
  <c r="M906" i="1"/>
  <c r="M353" i="1"/>
  <c r="M3697" i="1"/>
  <c r="M952" i="1"/>
  <c r="M1873" i="1"/>
  <c r="M4780" i="1"/>
  <c r="M4950" i="1"/>
  <c r="M114" i="1"/>
  <c r="M4797" i="1"/>
  <c r="M4861" i="1"/>
  <c r="M780" i="1"/>
  <c r="M3626" i="1"/>
  <c r="M742" i="1"/>
  <c r="M3681" i="1"/>
  <c r="M550" i="1"/>
  <c r="M2823" i="1"/>
  <c r="M799" i="1"/>
  <c r="M2003" i="1"/>
  <c r="M4429" i="1"/>
  <c r="M519" i="1"/>
  <c r="M3960" i="1"/>
  <c r="M3122" i="1"/>
  <c r="M1791" i="1"/>
  <c r="M3329" i="1"/>
  <c r="M2730" i="1"/>
  <c r="M2193" i="1"/>
  <c r="M3913" i="1"/>
  <c r="M573" i="1"/>
  <c r="M3962" i="1"/>
  <c r="M4555" i="1"/>
  <c r="M2584" i="1"/>
  <c r="M3812" i="1"/>
  <c r="M2756" i="1"/>
  <c r="M916" i="1"/>
  <c r="M1439" i="1"/>
  <c r="M3612" i="1"/>
  <c r="M3207" i="1"/>
  <c r="M2099" i="1"/>
  <c r="M4810" i="1"/>
  <c r="M2377" i="1"/>
  <c r="M3710" i="1"/>
  <c r="M4918" i="1"/>
  <c r="M3516" i="1"/>
  <c r="M2387" i="1"/>
  <c r="M2038" i="1"/>
  <c r="M2807" i="1"/>
  <c r="M739" i="1"/>
  <c r="M2511" i="1"/>
  <c r="M1689" i="1"/>
  <c r="M1527" i="1"/>
  <c r="M283" i="1"/>
  <c r="M1660" i="1"/>
  <c r="M3675" i="1"/>
  <c r="M4635" i="1"/>
  <c r="M1206" i="1"/>
  <c r="M4608" i="1"/>
  <c r="M1802" i="1"/>
  <c r="M4156" i="1"/>
  <c r="M682" i="1"/>
  <c r="M604" i="1"/>
  <c r="M4334" i="1"/>
  <c r="M4453" i="1"/>
  <c r="M3700" i="1"/>
  <c r="M3166" i="1"/>
  <c r="M1174" i="1"/>
  <c r="M2519" i="1"/>
  <c r="M781" i="1"/>
  <c r="M1571" i="1"/>
  <c r="M2060" i="1"/>
  <c r="M4353" i="1"/>
  <c r="M4868" i="1"/>
  <c r="M3971" i="1"/>
  <c r="M271" i="1"/>
  <c r="M2698" i="1"/>
  <c r="M4195" i="1"/>
  <c r="M4430" i="1"/>
  <c r="M4888" i="1"/>
  <c r="M249" i="1"/>
  <c r="M1911" i="1"/>
  <c r="M3924" i="1"/>
  <c r="M1481" i="1"/>
  <c r="M1251" i="1"/>
  <c r="M1271" i="1"/>
  <c r="M3704" i="1"/>
  <c r="M3835" i="1"/>
  <c r="M3564" i="1"/>
  <c r="M4617" i="1"/>
  <c r="M3930" i="1"/>
  <c r="M4480" i="1"/>
  <c r="M1063" i="1"/>
  <c r="M3468" i="1"/>
  <c r="M3354" i="1"/>
  <c r="M1730" i="1"/>
  <c r="M148" i="1"/>
  <c r="M1644" i="1"/>
  <c r="M1700" i="1"/>
  <c r="M1714" i="1"/>
  <c r="M4411" i="1"/>
  <c r="M2025" i="1"/>
  <c r="M4702" i="1"/>
  <c r="M3013" i="1"/>
  <c r="M1324" i="1"/>
  <c r="M3224" i="1"/>
  <c r="M1346" i="1"/>
  <c r="M3377" i="1"/>
  <c r="M2576" i="1"/>
  <c r="M1544" i="1"/>
  <c r="M1266" i="1"/>
  <c r="M668" i="1"/>
  <c r="M3589" i="1"/>
  <c r="M3748" i="1"/>
  <c r="M2664" i="1"/>
  <c r="M2269" i="1"/>
  <c r="M1569" i="1"/>
  <c r="M2405" i="1"/>
  <c r="M1199" i="1"/>
  <c r="M447" i="1"/>
  <c r="M1532" i="1"/>
  <c r="M104" i="1"/>
  <c r="M1506" i="1"/>
  <c r="M763" i="1"/>
  <c r="M2459" i="1"/>
  <c r="M3784" i="1"/>
  <c r="M4015" i="1"/>
  <c r="M4683" i="1"/>
  <c r="M4047" i="1"/>
  <c r="M1513" i="1"/>
  <c r="M462" i="1"/>
  <c r="M1625" i="1"/>
  <c r="M2575" i="1"/>
  <c r="M1409" i="1"/>
  <c r="M250" i="1"/>
  <c r="M2295" i="1"/>
  <c r="M3755" i="1"/>
  <c r="M1485" i="1"/>
  <c r="M1490" i="1"/>
  <c r="M2307" i="1"/>
  <c r="M2453" i="1"/>
  <c r="M3727" i="1"/>
  <c r="M2788" i="1"/>
  <c r="M3951" i="1"/>
  <c r="M825" i="1"/>
  <c r="M81" i="1"/>
  <c r="M1396" i="1"/>
  <c r="M3547" i="1"/>
  <c r="M2837" i="1"/>
  <c r="M1484" i="1"/>
  <c r="M3909" i="1"/>
  <c r="M1994" i="1"/>
  <c r="M4957" i="1"/>
  <c r="M1017" i="1"/>
  <c r="M3794" i="1"/>
  <c r="M328" i="1"/>
  <c r="M3360" i="1"/>
  <c r="M190" i="1"/>
  <c r="M3592" i="1"/>
  <c r="M3060" i="1"/>
  <c r="M1180" i="1"/>
  <c r="M3235" i="1"/>
  <c r="M1899" i="1"/>
  <c r="M4657" i="1"/>
  <c r="M4276" i="1"/>
  <c r="M3480" i="1"/>
  <c r="M2155" i="1"/>
  <c r="M3171" i="1"/>
  <c r="M3067" i="1"/>
  <c r="M896" i="1"/>
  <c r="M3021" i="1"/>
  <c r="M2390" i="1"/>
  <c r="M4174" i="1"/>
  <c r="M2549" i="1"/>
  <c r="M1319" i="1"/>
  <c r="M2465" i="1"/>
  <c r="M350" i="1"/>
  <c r="M2441" i="1"/>
  <c r="M4966" i="1"/>
  <c r="M216" i="1"/>
  <c r="M36" i="1"/>
  <c r="M4791" i="1"/>
  <c r="M3972" i="1"/>
  <c r="M1662" i="1"/>
  <c r="M1406" i="1"/>
  <c r="M3871" i="1"/>
  <c r="M756" i="1"/>
  <c r="M3484" i="1"/>
  <c r="M3532" i="1"/>
  <c r="M4366" i="1"/>
  <c r="M3927" i="1"/>
  <c r="M4395" i="1"/>
  <c r="M3926" i="1"/>
  <c r="M1623" i="1"/>
  <c r="M4005" i="1"/>
  <c r="M1152" i="1"/>
  <c r="M4694" i="1"/>
  <c r="M2785" i="1"/>
  <c r="M4136" i="1"/>
  <c r="M233" i="1"/>
  <c r="M3702" i="1"/>
  <c r="M2654" i="1"/>
  <c r="M1189" i="1"/>
  <c r="M938" i="1"/>
  <c r="M3719" i="1"/>
  <c r="M514" i="1"/>
  <c r="M4293" i="1"/>
  <c r="M1242" i="1"/>
  <c r="M515" i="1"/>
  <c r="M2899" i="1"/>
  <c r="M3305" i="1"/>
  <c r="M4208" i="1"/>
  <c r="M2774" i="1"/>
  <c r="M2617" i="1"/>
  <c r="M3199" i="1"/>
  <c r="M4318" i="1"/>
  <c r="M1892" i="1"/>
  <c r="M4385" i="1"/>
  <c r="M2720" i="1"/>
  <c r="M1865" i="1"/>
  <c r="M1306" i="1"/>
  <c r="M2021" i="1"/>
  <c r="M3418" i="1"/>
  <c r="M3696" i="1"/>
  <c r="M2010" i="1"/>
  <c r="M4479" i="1"/>
  <c r="M2729" i="1"/>
  <c r="M529" i="1"/>
  <c r="M3659" i="1"/>
  <c r="M724" i="1"/>
  <c r="M241" i="1"/>
  <c r="M3615" i="1"/>
  <c r="M3441" i="1"/>
  <c r="M3511" i="1"/>
  <c r="M913" i="1"/>
  <c r="M3844" i="1"/>
  <c r="M2305" i="1"/>
  <c r="M2601" i="1"/>
  <c r="M177" i="1"/>
  <c r="M930" i="1"/>
  <c r="M2874" i="1"/>
  <c r="M757" i="1"/>
  <c r="M151" i="1"/>
  <c r="M1597" i="1"/>
  <c r="M1079" i="1"/>
  <c r="M1599" i="1"/>
  <c r="M1955" i="1"/>
  <c r="M3811" i="1"/>
  <c r="M1036" i="1"/>
  <c r="M4677" i="1"/>
  <c r="M1560" i="1"/>
  <c r="M3401" i="1"/>
  <c r="M440" i="1"/>
  <c r="M348" i="1"/>
  <c r="M925" i="1"/>
  <c r="M4723" i="1"/>
  <c r="M3118" i="1"/>
  <c r="M5012" i="1"/>
  <c r="M2471" i="1"/>
  <c r="M4572" i="1"/>
  <c r="M3821" i="1"/>
  <c r="M4079" i="1"/>
  <c r="M466" i="1"/>
  <c r="M2682" i="1"/>
  <c r="M2268" i="1"/>
  <c r="M4090" i="1"/>
  <c r="M117" i="1"/>
  <c r="M899" i="1"/>
  <c r="M2267" i="1"/>
  <c r="M1326" i="1"/>
  <c r="M2827" i="1"/>
  <c r="M2537" i="1"/>
  <c r="M3168" i="1"/>
  <c r="M4021" i="1"/>
  <c r="M2707" i="1"/>
  <c r="M2594" i="1"/>
  <c r="M1351" i="1"/>
  <c r="M2472" i="1"/>
  <c r="M3669" i="1"/>
  <c r="M3606" i="1"/>
  <c r="M4408" i="1"/>
  <c r="M3584" i="1"/>
  <c r="M1010" i="1"/>
  <c r="M2812" i="1"/>
  <c r="M96" i="1"/>
  <c r="M1245" i="1"/>
  <c r="M4877" i="1"/>
  <c r="M788" i="1"/>
  <c r="M1434" i="1"/>
  <c r="M2106" i="1"/>
  <c r="M3079" i="1"/>
  <c r="M118" i="1"/>
  <c r="M4805" i="1"/>
  <c r="M1228" i="1"/>
  <c r="M3185" i="1"/>
  <c r="M3870" i="1"/>
  <c r="M2568" i="1"/>
  <c r="M3028" i="1"/>
  <c r="M4535" i="1"/>
  <c r="M1616" i="1"/>
  <c r="M751" i="1"/>
  <c r="M1214" i="1"/>
  <c r="M1477" i="1"/>
  <c r="M2727" i="1"/>
  <c r="M634" i="1"/>
  <c r="M3466" i="1"/>
  <c r="M2181" i="1"/>
  <c r="M2784" i="1"/>
  <c r="M2431" i="1"/>
  <c r="M210" i="1"/>
  <c r="M3051" i="1"/>
  <c r="M1223" i="1"/>
  <c r="M2232" i="1"/>
  <c r="M999" i="1"/>
  <c r="M3283" i="1"/>
  <c r="M2287" i="1"/>
  <c r="M2523" i="1"/>
  <c r="M3236" i="1"/>
  <c r="M2950" i="1"/>
  <c r="M2206" i="1"/>
  <c r="M227" i="1"/>
  <c r="M126" i="1"/>
  <c r="M1313" i="1"/>
  <c r="M944" i="1"/>
  <c r="M946" i="1"/>
  <c r="M2844" i="1"/>
  <c r="M4517" i="1"/>
  <c r="M919" i="1"/>
  <c r="M1309" i="1"/>
  <c r="M1814" i="1"/>
  <c r="M2497" i="1"/>
  <c r="M3368" i="1"/>
  <c r="M1106" i="1"/>
  <c r="M3266" i="1"/>
  <c r="M3403" i="1"/>
  <c r="M1234" i="1"/>
  <c r="M773" i="1"/>
  <c r="M4133" i="1"/>
  <c r="M3820" i="1"/>
  <c r="M4418" i="1"/>
  <c r="M3800" i="1"/>
  <c r="M1375" i="1"/>
  <c r="M4159" i="1"/>
  <c r="M2238" i="1"/>
  <c r="M3486" i="1"/>
  <c r="M1038" i="1"/>
  <c r="M72" i="1"/>
  <c r="M492" i="1"/>
  <c r="M4230" i="1"/>
  <c r="M3617" i="1"/>
  <c r="M4345" i="1"/>
  <c r="M3120" i="1"/>
  <c r="M4255" i="1"/>
  <c r="M394" i="1"/>
  <c r="M4458" i="1"/>
  <c r="M3066" i="1"/>
  <c r="M3391" i="1"/>
  <c r="M2481" i="1"/>
  <c r="M1702" i="1"/>
  <c r="M4509" i="1"/>
  <c r="M1457" i="1"/>
  <c r="M862" i="1"/>
  <c r="M3536" i="1"/>
  <c r="M4368" i="1"/>
  <c r="M2416" i="1"/>
  <c r="M3797" i="1"/>
  <c r="M1877" i="1"/>
  <c r="M3758" i="1"/>
  <c r="M556" i="1"/>
  <c r="M1860" i="1"/>
  <c r="M4919" i="1"/>
  <c r="M3322" i="1"/>
  <c r="M4707" i="1"/>
  <c r="M2633" i="1"/>
  <c r="M415" i="1"/>
  <c r="M356" i="1"/>
  <c r="M2567" i="1"/>
  <c r="M4985" i="1"/>
  <c r="M4263" i="1"/>
  <c r="M1826" i="1"/>
  <c r="M1046" i="1"/>
  <c r="M4311" i="1"/>
  <c r="M3351" i="1"/>
  <c r="M4860" i="1"/>
  <c r="M228" i="1"/>
  <c r="M3722" i="1"/>
  <c r="M3402" i="1"/>
  <c r="M137" i="1"/>
  <c r="M1518" i="1"/>
  <c r="M4349" i="1"/>
  <c r="M3337" i="1"/>
  <c r="M4627" i="1"/>
  <c r="M2225" i="1"/>
  <c r="M2541" i="1"/>
  <c r="M972" i="1"/>
  <c r="M259" i="1"/>
  <c r="M3940" i="1"/>
  <c r="M2386" i="1"/>
  <c r="M403" i="1"/>
  <c r="M1992" i="1"/>
  <c r="M1095" i="1"/>
  <c r="M745" i="1"/>
  <c r="M4437" i="1"/>
  <c r="M748" i="1"/>
  <c r="M370" i="1"/>
  <c r="M1840" i="1"/>
  <c r="M80" i="1"/>
  <c r="M452" i="1"/>
  <c r="M1809" i="1"/>
  <c r="M449" i="1"/>
  <c r="M4500" i="1"/>
  <c r="M483" i="1"/>
  <c r="M3651" i="1"/>
  <c r="M3825" i="1"/>
  <c r="M2335" i="1"/>
  <c r="M3141" i="1"/>
  <c r="M3136" i="1"/>
  <c r="M441" i="1"/>
  <c r="M3922" i="1"/>
  <c r="M752" i="1"/>
  <c r="M236" i="1"/>
  <c r="M2775" i="1"/>
  <c r="M716" i="1"/>
  <c r="M1239" i="1"/>
  <c r="M2725" i="1"/>
  <c r="M1919" i="1"/>
  <c r="M597" i="1"/>
  <c r="M4751" i="1"/>
  <c r="M543" i="1"/>
  <c r="M4092" i="1"/>
  <c r="M4100" i="1"/>
  <c r="M399" i="1"/>
  <c r="M2215" i="1"/>
  <c r="M2074" i="1"/>
  <c r="M4847" i="1"/>
  <c r="M2672" i="1"/>
  <c r="M1087" i="1"/>
  <c r="M637" i="1"/>
  <c r="M2632" i="1"/>
  <c r="M3131" i="1"/>
  <c r="M3367" i="1"/>
  <c r="M2018" i="1"/>
  <c r="M2087" i="1"/>
  <c r="M1264" i="1"/>
  <c r="M205" i="1"/>
  <c r="M666" i="1"/>
  <c r="M4775" i="1"/>
  <c r="M1193" i="1"/>
  <c r="M1646" i="1"/>
  <c r="M3477" i="1"/>
  <c r="M4835" i="1"/>
  <c r="M2618" i="1"/>
  <c r="M1331" i="1"/>
  <c r="M3691" i="1"/>
  <c r="M2124" i="1"/>
  <c r="M1333" i="1"/>
  <c r="M4388" i="1"/>
  <c r="M1748" i="1"/>
  <c r="M4826" i="1"/>
  <c r="M225" i="1"/>
  <c r="M2218" i="1"/>
  <c r="M363" i="1"/>
  <c r="M1274" i="1"/>
  <c r="M1186" i="1"/>
  <c r="M2048" i="1"/>
  <c r="M4922" i="1"/>
  <c r="M746" i="1"/>
  <c r="M3732" i="1"/>
  <c r="M1511" i="1"/>
  <c r="M948" i="1"/>
  <c r="M4744" i="1"/>
  <c r="M362" i="1"/>
  <c r="M2032" i="1"/>
  <c r="M845" i="1"/>
  <c r="M1916" i="1"/>
  <c r="M1447" i="1"/>
  <c r="M3338" i="1"/>
  <c r="M1709" i="1"/>
  <c r="M2751" i="1"/>
  <c r="M4873" i="1"/>
  <c r="M358" i="1"/>
  <c r="M2125" i="1"/>
  <c r="M731" i="1"/>
  <c r="M4333" i="1"/>
  <c r="M1305" i="1"/>
  <c r="M3859" i="1"/>
  <c r="M2971" i="1"/>
  <c r="M2548" i="1"/>
  <c r="M3474" i="1"/>
  <c r="M601" i="1"/>
  <c r="M4226" i="1"/>
  <c r="M349" i="1"/>
  <c r="M1996" i="1"/>
  <c r="M3594" i="1"/>
  <c r="M2882" i="1"/>
  <c r="M392" i="1"/>
  <c r="M1092" i="1"/>
  <c r="M396" i="1"/>
  <c r="M2801" i="1"/>
  <c r="M105" i="1"/>
  <c r="M3695" i="1"/>
  <c r="M978" i="1"/>
  <c r="M1831" i="1"/>
  <c r="M1013" i="1"/>
  <c r="M4283" i="1"/>
  <c r="M3717" i="1"/>
  <c r="M3925" i="1"/>
  <c r="M3637" i="1"/>
  <c r="M2214" i="1"/>
  <c r="M4809" i="1"/>
  <c r="M4107" i="1"/>
  <c r="M3419" i="1"/>
  <c r="M341" i="1"/>
  <c r="M1720" i="1"/>
  <c r="M292" i="1"/>
  <c r="M3888" i="1"/>
  <c r="M4102" i="1"/>
  <c r="M758" i="1"/>
  <c r="M4786" i="1"/>
  <c r="M2988" i="1"/>
  <c r="M701" i="1"/>
  <c r="M2749" i="1"/>
  <c r="M2894" i="1"/>
  <c r="M3482" i="1"/>
  <c r="M391" i="1"/>
  <c r="M4106" i="1"/>
  <c r="M2648" i="1"/>
  <c r="M1016" i="1"/>
  <c r="M2367" i="1"/>
  <c r="M4930" i="1"/>
  <c r="M1712" i="1"/>
  <c r="M895" i="1"/>
  <c r="M1209" i="1"/>
  <c r="M1592" i="1"/>
  <c r="M1052" i="1"/>
  <c r="M4798" i="1"/>
  <c r="M2309" i="1"/>
  <c r="M2388" i="1"/>
  <c r="M1735" i="1"/>
  <c r="M1762" i="1"/>
  <c r="M2098" i="1"/>
  <c r="M3273" i="1"/>
  <c r="M992" i="1"/>
  <c r="M1162" i="1"/>
  <c r="M3496" i="1"/>
  <c r="M267" i="1"/>
  <c r="M1216" i="1"/>
  <c r="M3234" i="1"/>
  <c r="M1512" i="1"/>
  <c r="M2545" i="1"/>
  <c r="M1528" i="1"/>
  <c r="M1354" i="1"/>
  <c r="M1428" i="1"/>
  <c r="M1715" i="1"/>
  <c r="M3106" i="1"/>
  <c r="M2526" i="1"/>
  <c r="M1277" i="1"/>
  <c r="M4343" i="1"/>
  <c r="M866" i="1"/>
  <c r="M3738" i="1"/>
  <c r="M3772" i="1"/>
  <c r="M2696" i="1"/>
  <c r="M489" i="1"/>
  <c r="M2920" i="1"/>
  <c r="M3275" i="1"/>
  <c r="M3683" i="1"/>
  <c r="M330" i="1"/>
  <c r="M285" i="1"/>
  <c r="M2235" i="1"/>
  <c r="M3804" i="1"/>
  <c r="M3248" i="1"/>
  <c r="M2143" i="1"/>
  <c r="M1703" i="1"/>
  <c r="M4207" i="1"/>
  <c r="M4319" i="1"/>
  <c r="M2700" i="1"/>
  <c r="M2864" i="1"/>
  <c r="M4970" i="1"/>
  <c r="M3912" i="1"/>
  <c r="M2274" i="1"/>
  <c r="M2001" i="1"/>
  <c r="M4716" i="1"/>
  <c r="M2304" i="1"/>
  <c r="M4676" i="1"/>
  <c r="M3176" i="1"/>
  <c r="M1364" i="1"/>
  <c r="M994" i="1"/>
  <c r="M2579" i="1"/>
  <c r="M278" i="1"/>
  <c r="M175" i="1"/>
  <c r="M2587" i="1"/>
  <c r="M2114" i="1"/>
  <c r="M1267" i="1"/>
  <c r="M1353" i="1"/>
  <c r="M698" i="1"/>
  <c r="M3989" i="1"/>
  <c r="M2972" i="1"/>
  <c r="M1025" i="1"/>
  <c r="M2968" i="1"/>
  <c r="M969" i="1"/>
  <c r="M2151" i="1"/>
  <c r="M4636" i="1"/>
  <c r="M4016" i="1"/>
  <c r="M2259" i="1"/>
  <c r="M2948" i="1"/>
  <c r="M311" i="1"/>
  <c r="M1487" i="1"/>
  <c r="M1590" i="1"/>
  <c r="M1940" i="1"/>
  <c r="M4342" i="1"/>
  <c r="M2042" i="1"/>
  <c r="M1280" i="1"/>
  <c r="M2072" i="1"/>
  <c r="M2867" i="1"/>
  <c r="M607" i="1"/>
  <c r="M1501" i="1"/>
  <c r="M2820" i="1"/>
  <c r="M246" i="1"/>
  <c r="M775" i="1"/>
  <c r="M1221" i="1"/>
  <c r="M1446" i="1"/>
  <c r="M4867" i="1"/>
  <c r="M3708" i="1"/>
  <c r="M3582" i="1"/>
  <c r="M1637" i="1"/>
  <c r="M4028" i="1"/>
  <c r="M1671" i="1"/>
  <c r="M838" i="1"/>
  <c r="M2791" i="1"/>
  <c r="M4979" i="1"/>
  <c r="M2172" i="1"/>
  <c r="M1454" i="1"/>
  <c r="M3552" i="1"/>
  <c r="M595" i="1"/>
  <c r="M2102" i="1"/>
  <c r="M2071" i="1"/>
  <c r="M593" i="1"/>
  <c r="M2033" i="1"/>
  <c r="M4461" i="1"/>
  <c r="M4552" i="1"/>
  <c r="M3098" i="1"/>
  <c r="M2928" i="1"/>
  <c r="M1861" i="1"/>
  <c r="M2487" i="1"/>
  <c r="M2536" i="1"/>
  <c r="M1389" i="1"/>
  <c r="M3533" i="1"/>
  <c r="M4464" i="1"/>
  <c r="M4191" i="1"/>
  <c r="M4931" i="1"/>
  <c r="M3649" i="1"/>
  <c r="M3444" i="1"/>
  <c r="M4803" i="1"/>
  <c r="M4794" i="1"/>
  <c r="M1964" i="1"/>
  <c r="M4762" i="1"/>
  <c r="M2401" i="1"/>
  <c r="M4862" i="1"/>
  <c r="M3679" i="1"/>
  <c r="M4451" i="1"/>
  <c r="M76" i="1"/>
  <c r="M172" i="1"/>
  <c r="M3986" i="1"/>
  <c r="M2530" i="1"/>
  <c r="M4649" i="1"/>
  <c r="M1725" i="1"/>
  <c r="M3027" i="1"/>
  <c r="M15" i="1"/>
  <c r="M4051" i="1"/>
  <c r="M4910" i="1"/>
  <c r="M3282" i="1"/>
  <c r="M1231" i="1"/>
  <c r="M4923" i="1"/>
  <c r="M3498" i="1"/>
  <c r="M2303" i="1"/>
  <c r="M3596" i="1"/>
  <c r="M3325" i="1"/>
  <c r="M2434" i="1"/>
  <c r="M2571" i="1"/>
  <c r="M3406" i="1"/>
  <c r="M3145" i="1"/>
  <c r="M62" i="1"/>
  <c r="M949" i="1"/>
  <c r="M4185" i="1"/>
  <c r="M44" i="1"/>
  <c r="M2826" i="1"/>
  <c r="M4891" i="1"/>
  <c r="M1795" i="1"/>
  <c r="M4837" i="1"/>
  <c r="M3840" i="1"/>
  <c r="M1769" i="1"/>
  <c r="M1383" i="1"/>
  <c r="M1663" i="1"/>
  <c r="M4151" i="1"/>
  <c r="M4420" i="1"/>
  <c r="M4989" i="1"/>
  <c r="M1082" i="1"/>
  <c r="M1973" i="1"/>
  <c r="M3600" i="1"/>
  <c r="M1445" i="1"/>
  <c r="M3721" i="1"/>
  <c r="M2764" i="1"/>
  <c r="M4960" i="1"/>
  <c r="M4198" i="1"/>
  <c r="M1648" i="1"/>
  <c r="M628" i="1"/>
  <c r="M1173" i="1"/>
  <c r="M2085" i="1"/>
  <c r="M2978" i="1"/>
  <c r="M47" i="1"/>
  <c r="M772" i="1"/>
  <c r="M3077" i="1"/>
  <c r="M4858" i="1"/>
  <c r="M4098" i="1"/>
  <c r="M2840" i="1"/>
  <c r="M2061" i="1"/>
  <c r="M888" i="1"/>
  <c r="M4089" i="1"/>
  <c r="M1977" i="1"/>
  <c r="M4356" i="1"/>
  <c r="M791" i="1"/>
  <c r="M3855" i="1"/>
  <c r="M687" i="1"/>
  <c r="M2372" i="1"/>
  <c r="M3024" i="1"/>
  <c r="M4599" i="1"/>
  <c r="M3805" i="1"/>
  <c r="M2318" i="1"/>
  <c r="M4852" i="1"/>
  <c r="M1401" i="1"/>
  <c r="M4314" i="1"/>
  <c r="M1922" i="1"/>
  <c r="M4836" i="1"/>
  <c r="M3996" i="1"/>
  <c r="M1664" i="1"/>
  <c r="M1151" i="1"/>
  <c r="M4357" i="1"/>
  <c r="M2183" i="1"/>
  <c r="M2458" i="1"/>
  <c r="M508" i="1"/>
  <c r="M3071" i="1"/>
  <c r="M1488" i="1"/>
  <c r="M891" i="1"/>
  <c r="M1494" i="1"/>
  <c r="M2000" i="1"/>
  <c r="M3133" i="1"/>
  <c r="M244" i="1"/>
  <c r="M1102" i="1"/>
  <c r="M2291" i="1"/>
  <c r="M465" i="1"/>
  <c r="M2590" i="1"/>
  <c r="M2757" i="1"/>
  <c r="M3070" i="1"/>
  <c r="M1372" i="1"/>
  <c r="M4197" i="1"/>
  <c r="M4643" i="1"/>
  <c r="M2484" i="1"/>
  <c r="M3947" i="1"/>
  <c r="M3353" i="1"/>
  <c r="M4251" i="1"/>
  <c r="M2046" i="1"/>
  <c r="M1766" i="1"/>
  <c r="M2708" i="1"/>
  <c r="M4253" i="1"/>
  <c r="M3437" i="1"/>
  <c r="M1576" i="1"/>
  <c r="M4536" i="1"/>
  <c r="M4456" i="1"/>
  <c r="M53" i="1"/>
  <c r="M294" i="1"/>
  <c r="M4514" i="1"/>
  <c r="M839" i="1"/>
  <c r="M4307" i="1"/>
  <c r="M4557" i="1"/>
  <c r="M1895" i="1"/>
  <c r="M4738" i="1"/>
  <c r="M333" i="1"/>
  <c r="M1411" i="1"/>
  <c r="M82" i="1"/>
  <c r="M51" i="1"/>
  <c r="M4202" i="1"/>
  <c r="M1634" i="1"/>
  <c r="M4179" i="1"/>
  <c r="M3183" i="1"/>
  <c r="M359" i="1"/>
  <c r="M822" i="1"/>
  <c r="M2130" i="1"/>
  <c r="M1935" i="1"/>
  <c r="M2260" i="1"/>
  <c r="M1948" i="1"/>
  <c r="M1698" i="1"/>
  <c r="M263" i="1"/>
  <c r="M4932" i="1"/>
  <c r="M2302" i="1"/>
  <c r="M1579" i="1"/>
  <c r="M4983" i="1"/>
  <c r="M4662" i="1"/>
  <c r="M1272" i="1"/>
  <c r="M1051" i="1"/>
  <c r="M3123" i="1"/>
  <c r="M3492" i="1"/>
  <c r="M4532" i="1"/>
  <c r="M2457" i="1"/>
  <c r="M3155" i="1"/>
  <c r="M66" i="1"/>
  <c r="M1874" i="1"/>
  <c r="M373" i="1"/>
  <c r="M3655" i="1"/>
  <c r="M191" i="1"/>
  <c r="M2732" i="1"/>
  <c r="M876" i="1"/>
  <c r="M1627" i="1"/>
  <c r="M3361" i="1"/>
  <c r="M2466" i="1"/>
  <c r="M454" i="1"/>
  <c r="M2620" i="1"/>
  <c r="M4609" i="1"/>
  <c r="M2282" i="1"/>
  <c r="M4023" i="1"/>
  <c r="M3773" i="1"/>
  <c r="M1654" i="1"/>
  <c r="M3161" i="1"/>
  <c r="M4624" i="1"/>
  <c r="M3198" i="1"/>
  <c r="M3341" i="1"/>
  <c r="M351" i="1"/>
  <c r="M966" i="1"/>
  <c r="M1505" i="1"/>
  <c r="M4" i="1"/>
  <c r="M869" i="1"/>
  <c r="M2876" i="1"/>
  <c r="M2981" i="1"/>
  <c r="M2959" i="1"/>
  <c r="M987" i="1"/>
  <c r="M4626" i="1"/>
  <c r="M324" i="1"/>
  <c r="M2063" i="1"/>
  <c r="M143" i="1"/>
  <c r="M4233" i="1"/>
  <c r="M1825" i="1"/>
  <c r="M2417" i="1"/>
  <c r="M2866" i="1"/>
  <c r="M3433" i="1"/>
  <c r="M4793" i="1"/>
  <c r="M3892" i="1"/>
  <c r="M1816" i="1"/>
  <c r="M254" i="1"/>
  <c r="M1109" i="1"/>
  <c r="M3252" i="1"/>
  <c r="M4316" i="1"/>
  <c r="M1510" i="1"/>
  <c r="M1113" i="1"/>
  <c r="M1098" i="1"/>
  <c r="M3512" i="1"/>
  <c r="M1310" i="1"/>
  <c r="M4969" i="1"/>
  <c r="M4710" i="1"/>
  <c r="M2635" i="1"/>
  <c r="M3078" i="1"/>
  <c r="M1422" i="1"/>
  <c r="M3877" i="1"/>
  <c r="M2" i="1"/>
  <c r="M1614" i="1"/>
  <c r="M957" i="1"/>
  <c r="M3879" i="1"/>
  <c r="M521" i="1"/>
  <c r="M421" i="1"/>
  <c r="M3135" i="1"/>
  <c r="M4539" i="1"/>
  <c r="M1056" i="1"/>
  <c r="M2381" i="1"/>
  <c r="M1936" i="1"/>
  <c r="M894" i="1"/>
  <c r="M4236" i="1"/>
  <c r="M61" i="1"/>
  <c r="M2449" i="1"/>
  <c r="M49" i="1"/>
  <c r="M3388" i="1"/>
  <c r="M1817" i="1"/>
  <c r="M4370" i="1"/>
  <c r="M998" i="1"/>
  <c r="M820" i="1"/>
  <c r="M635" i="1"/>
  <c r="M4132" i="1"/>
  <c r="M37" i="1"/>
  <c r="M1496" i="1"/>
  <c r="M1721" i="1"/>
  <c r="M3319" i="1"/>
  <c r="M578" i="1"/>
  <c r="M4921" i="1"/>
  <c r="M4184" i="1"/>
  <c r="M4829" i="1"/>
  <c r="M2580" i="1"/>
  <c r="M4234" i="1"/>
  <c r="M2280" i="1"/>
  <c r="M3858" i="1"/>
  <c r="M4301" i="1"/>
  <c r="M3456" i="1"/>
  <c r="M3631" i="1"/>
  <c r="M1509" i="1"/>
  <c r="M4825" i="1"/>
  <c r="M3037" i="1"/>
  <c r="M1920" i="1"/>
  <c r="M106" i="1"/>
  <c r="M1520" i="1"/>
  <c r="M577" i="1"/>
  <c r="M3667" i="1"/>
  <c r="M3856" i="1"/>
  <c r="M3845" i="1"/>
  <c r="M2824" i="1"/>
  <c r="M1552" i="1"/>
  <c r="M4754" i="1"/>
  <c r="M3860" i="1"/>
  <c r="M867" i="1"/>
  <c r="M1617" i="1"/>
  <c r="M63" i="1"/>
  <c r="M4548" i="1"/>
  <c r="M2886" i="1"/>
  <c r="M3995" i="1"/>
  <c r="M1099" i="1"/>
  <c r="M247" i="1"/>
  <c r="M882" i="1"/>
  <c r="M4470" i="1"/>
  <c r="M2649" i="1"/>
  <c r="M3044" i="1"/>
  <c r="M3828" i="1"/>
  <c r="M32" i="1"/>
  <c r="M2184" i="1"/>
  <c r="M4358" i="1"/>
  <c r="M4432" i="1"/>
  <c r="M3143" i="1"/>
  <c r="M3412" i="1"/>
  <c r="M1566" i="1"/>
  <c r="M4339" i="1"/>
  <c r="M257" i="1"/>
  <c r="M2547" i="1"/>
  <c r="M5002" i="1"/>
  <c r="M2581" i="1"/>
  <c r="M4501" i="1"/>
  <c r="M2963" i="1"/>
  <c r="M4928" i="1"/>
  <c r="M4610" i="1"/>
  <c r="M2252" i="1"/>
  <c r="M416" i="1"/>
  <c r="M4619" i="1"/>
  <c r="M2889" i="1"/>
  <c r="M953" i="1"/>
  <c r="M1556" i="1"/>
  <c r="M4168" i="1"/>
  <c r="M995" i="1"/>
  <c r="M2846" i="1"/>
  <c r="M3968" i="1"/>
  <c r="M3839" i="1"/>
  <c r="M1489" i="1"/>
  <c r="M588" i="1"/>
  <c r="M1278" i="1"/>
  <c r="M2165" i="1"/>
  <c r="M496" i="1"/>
  <c r="M2566" i="1"/>
  <c r="M4799" i="1"/>
  <c r="M4577" i="1"/>
  <c r="M1213" i="1"/>
  <c r="M2149" i="1"/>
  <c r="M2150" i="1"/>
  <c r="M1824" i="1"/>
  <c r="M4612" i="1"/>
  <c r="M2933" i="1"/>
  <c r="M1179" i="1"/>
  <c r="M3091" i="1"/>
  <c r="M3706" i="1"/>
  <c r="M1656" i="1"/>
  <c r="M4176" i="1"/>
  <c r="M4545" i="1"/>
  <c r="M3178" i="1"/>
  <c r="M2203" i="1"/>
  <c r="M4224" i="1"/>
  <c r="M3431" i="1"/>
  <c r="M1045" i="1"/>
  <c r="M3450" i="1"/>
  <c r="M3249" i="1"/>
  <c r="M3550" i="1"/>
  <c r="M1872" i="1"/>
  <c r="M434" i="1"/>
  <c r="M4040" i="1"/>
  <c r="M747" i="1"/>
  <c r="M3109" i="1"/>
  <c r="M3639" i="1"/>
  <c r="M3522" i="1"/>
  <c r="M4498" i="1"/>
  <c r="M2121" i="1"/>
  <c r="M843" i="1"/>
  <c r="M1800" i="1"/>
  <c r="M2284" i="1"/>
  <c r="M3723" i="1"/>
  <c r="M1347" i="1"/>
  <c r="M4126" i="1"/>
  <c r="M1011" i="1"/>
  <c r="M2012" i="1"/>
  <c r="M3269" i="1"/>
  <c r="M94" i="1"/>
  <c r="M1367" i="1"/>
  <c r="M1957" i="1"/>
  <c r="M79" i="1"/>
  <c r="M3568" i="1"/>
  <c r="M2456" i="1"/>
  <c r="M4680" i="1"/>
  <c r="M3223" i="1"/>
  <c r="M255" i="1"/>
  <c r="M3729" i="1"/>
  <c r="M3786" i="1"/>
  <c r="M1161" i="1"/>
  <c r="M4257" i="1"/>
  <c r="M4324" i="1"/>
  <c r="M3265" i="1"/>
  <c r="M3346" i="1"/>
  <c r="M3603" i="1"/>
  <c r="M2454" i="1"/>
  <c r="M3110" i="1"/>
  <c r="M3788" i="1"/>
  <c r="M4560" i="1"/>
  <c r="M2178" i="1"/>
  <c r="M1652" i="1"/>
  <c r="M1697" i="1"/>
  <c r="M484" i="1"/>
  <c r="M821" i="1"/>
  <c r="M430" i="1"/>
  <c r="M1839" i="1"/>
  <c r="M807" i="1"/>
  <c r="M3688" i="1"/>
  <c r="M4221" i="1"/>
  <c r="M4252" i="1"/>
  <c r="M2747" i="1"/>
  <c r="M4481" i="1"/>
  <c r="M4734" i="1"/>
  <c r="M2561" i="1"/>
  <c r="M818" i="1"/>
  <c r="M568" i="1"/>
  <c r="M2642" i="1"/>
  <c r="M1335" i="1"/>
  <c r="M4965" i="1"/>
  <c r="M2758" i="1"/>
  <c r="M3251" i="1"/>
  <c r="M217" i="1"/>
  <c r="M316" i="1"/>
  <c r="M1493" i="1"/>
  <c r="M139" i="1"/>
  <c r="M3454" i="1"/>
  <c r="M1202" i="1"/>
  <c r="M3642" i="1"/>
  <c r="M2880" i="1"/>
  <c r="M5010" i="1"/>
  <c r="M2093" i="1"/>
  <c r="M1230" i="1"/>
  <c r="M1849" i="1"/>
  <c r="M794" i="1"/>
  <c r="M4245" i="1"/>
  <c r="M4298" i="1"/>
  <c r="M253" i="1"/>
  <c r="M1237" i="1"/>
  <c r="M1798" i="1"/>
  <c r="M990" i="1"/>
  <c r="M3978" i="1"/>
  <c r="M2887" i="1"/>
  <c r="M4787" i="1"/>
  <c r="M3620" i="1"/>
  <c r="M30" i="1"/>
  <c r="M2247" i="1"/>
  <c r="M1942" i="1"/>
  <c r="M3139" i="1"/>
  <c r="M2501" i="1"/>
  <c r="M538" i="1"/>
  <c r="M2701" i="1"/>
  <c r="M1115" i="1"/>
  <c r="M327" i="1"/>
  <c r="M3833" i="1"/>
  <c r="M4651" i="1"/>
  <c r="M890" i="1"/>
  <c r="M1653" i="1"/>
  <c r="M4845" i="1"/>
  <c r="M2474" i="1"/>
  <c r="M4578" i="1"/>
  <c r="M2641" i="1"/>
  <c r="M2299" i="1"/>
  <c r="M4223" i="1"/>
  <c r="M616" i="1"/>
  <c r="M1001" i="1"/>
  <c r="M2384" i="1"/>
  <c r="M296" i="1"/>
  <c r="M2439" i="1"/>
  <c r="M4297" i="1"/>
  <c r="M2141" i="1"/>
  <c r="M4631" i="1"/>
  <c r="M4064" i="1"/>
  <c r="M4147" i="1"/>
  <c r="M2611" i="1"/>
  <c r="M3741" i="1"/>
  <c r="M2429" i="1"/>
  <c r="M4937" i="1"/>
  <c r="M3062" i="1"/>
  <c r="M1838" i="1"/>
  <c r="M3165" i="1"/>
  <c r="M1418" i="1"/>
  <c r="M1083" i="1"/>
  <c r="M436" i="1"/>
  <c r="M2490" i="1"/>
  <c r="M2194" i="1"/>
  <c r="M4724" i="1"/>
  <c r="M3022" i="1"/>
  <c r="M3959" i="1"/>
  <c r="M1094" i="1"/>
  <c r="M4158" i="1"/>
  <c r="M3246" i="1"/>
  <c r="M4893" i="1"/>
  <c r="M4362" i="1"/>
  <c r="M2539" i="1"/>
  <c r="M2463" i="1"/>
  <c r="M3815" i="1"/>
  <c r="M18" i="1"/>
  <c r="M2119" i="1"/>
  <c r="M1507" i="1"/>
  <c r="M762" i="1"/>
  <c r="M769" i="1"/>
  <c r="M2834" i="1"/>
  <c r="M20" i="1"/>
  <c r="M1134" i="1"/>
  <c r="M2229" i="1"/>
  <c r="M2412" i="1"/>
  <c r="M754" i="1"/>
  <c r="M1069" i="1"/>
  <c r="M4449" i="1"/>
  <c r="M199" i="1"/>
  <c r="M4101" i="1"/>
  <c r="M968" i="1"/>
  <c r="M2028" i="1"/>
  <c r="M89" i="1"/>
  <c r="M3716" i="1"/>
  <c r="M4613" i="1"/>
  <c r="M4419" i="1"/>
  <c r="M3373" i="1"/>
  <c r="M2105" i="1"/>
  <c r="M622" i="1"/>
  <c r="M1462" i="1"/>
  <c r="M3134" i="1"/>
  <c r="M4438" i="1"/>
  <c r="M2174" i="1"/>
  <c r="M4671" i="1"/>
  <c r="M1058" i="1"/>
  <c r="M357" i="1"/>
  <c r="M2298" i="1"/>
  <c r="M4455" i="1"/>
  <c r="M3575" i="1"/>
  <c r="M4984" i="1"/>
  <c r="M3229" i="1"/>
  <c r="M1181" i="1"/>
  <c r="M3734" i="1"/>
  <c r="M3774" i="1"/>
  <c r="M297" i="1"/>
  <c r="M933" i="1"/>
  <c r="M4634" i="1"/>
  <c r="M1503" i="1"/>
  <c r="M127" i="1"/>
  <c r="M1145" i="1"/>
  <c r="M1061" i="1"/>
  <c r="M4698" i="1"/>
  <c r="M1944" i="1"/>
  <c r="M2341" i="1"/>
  <c r="M3032" i="1"/>
  <c r="M4457" i="1"/>
  <c r="M2475" i="1"/>
  <c r="M4575" i="1"/>
  <c r="M1846" i="1"/>
  <c r="M683" i="1"/>
  <c r="M3954" i="1"/>
  <c r="M2369" i="1"/>
  <c r="M4320" i="1"/>
  <c r="M3577" i="1"/>
  <c r="M4222" i="1"/>
  <c r="M97" i="1"/>
  <c r="M3004" i="1"/>
  <c r="M3591" i="1"/>
  <c r="M2799" i="1"/>
  <c r="M3047" i="1"/>
  <c r="M4088" i="1"/>
  <c r="M2115" i="1"/>
  <c r="M848" i="1"/>
  <c r="M4587" i="1"/>
  <c r="M2663" i="1"/>
  <c r="M1835" i="1"/>
  <c r="M3619" i="1"/>
  <c r="M2148" i="1"/>
  <c r="M4199" i="1"/>
  <c r="M309" i="1"/>
  <c r="M2380" i="1"/>
  <c r="M4317" i="1"/>
  <c r="M2741" i="1"/>
  <c r="M1558" i="1"/>
  <c r="M1226" i="1"/>
  <c r="M1733" i="1"/>
  <c r="M3911" i="1"/>
  <c r="M2044" i="1"/>
  <c r="M721" i="1"/>
  <c r="M3963" i="1"/>
  <c r="M941" i="1"/>
  <c r="M2525" i="1"/>
  <c r="M3783" i="1"/>
  <c r="M2212" i="1"/>
  <c r="M1588" i="1"/>
  <c r="M2056" i="1"/>
  <c r="M1578" i="1"/>
  <c r="M2308" i="1"/>
  <c r="M774" i="1"/>
  <c r="M120" i="1"/>
  <c r="M736" i="1"/>
  <c r="M4801" i="1"/>
  <c r="M2504" i="1"/>
  <c r="M1688" i="1"/>
  <c r="M4389" i="1"/>
  <c r="M409" i="1"/>
  <c r="M2167" i="1"/>
  <c r="M4004" i="1"/>
  <c r="M1338" i="1"/>
  <c r="M504" i="1"/>
  <c r="M4758" i="1"/>
  <c r="M575" i="1"/>
  <c r="M4491" i="1"/>
  <c r="M4215" i="1"/>
  <c r="M4917" i="1"/>
  <c r="M168" i="1"/>
  <c r="M2493" i="1"/>
  <c r="M852" i="1"/>
  <c r="M3485" i="1"/>
  <c r="M153" i="1"/>
  <c r="M1426" i="1"/>
  <c r="M3355" i="1"/>
  <c r="M2802" i="1"/>
  <c r="M223" i="1"/>
  <c r="M2636" i="1"/>
  <c r="M4952" i="1"/>
  <c r="M4954" i="1"/>
  <c r="M4135" i="1"/>
  <c r="M2391" i="1"/>
  <c r="M1114" i="1"/>
  <c r="M796" i="1"/>
  <c r="M2695" i="1"/>
  <c r="M4077" i="1"/>
  <c r="M4601" i="1"/>
  <c r="M961" i="1"/>
  <c r="M1187" i="1"/>
  <c r="M3863" i="1"/>
  <c r="M3380" i="1"/>
  <c r="M239" i="1"/>
  <c r="M3435" i="1"/>
  <c r="M2651" i="1"/>
  <c r="M1081" i="1"/>
  <c r="M1054" i="1"/>
  <c r="M2263" i="1"/>
  <c r="M2768" i="1"/>
  <c r="M1449" i="1"/>
  <c r="M1043" i="1"/>
  <c r="M2249" i="1"/>
  <c r="M2135" i="1"/>
  <c r="M4177" i="1"/>
  <c r="M3757" i="1"/>
  <c r="M3316" i="1"/>
  <c r="M2086" i="1"/>
  <c r="M2535" i="1"/>
  <c r="M107" i="1"/>
  <c r="M1890" i="1"/>
  <c r="M932" i="1"/>
  <c r="M1259" i="1"/>
  <c r="M4508" i="1"/>
  <c r="M3289" i="1"/>
  <c r="M1265" i="1"/>
  <c r="M1041" i="1"/>
  <c r="M973" i="1"/>
  <c r="M1120" i="1"/>
  <c r="M4466" i="1"/>
  <c r="M2180" i="1"/>
  <c r="M1738" i="1"/>
  <c r="M903" i="1"/>
  <c r="M1473" i="1"/>
  <c r="M335" i="1"/>
  <c r="M2983" i="1"/>
  <c r="M782" i="1"/>
  <c r="M2681" i="1"/>
  <c r="M4639" i="1"/>
  <c r="M1583" i="1"/>
  <c r="M4743" i="1"/>
  <c r="M636" i="1"/>
  <c r="M4329" i="1"/>
  <c r="M1960" i="1"/>
  <c r="M586" i="1"/>
  <c r="M904" i="1"/>
  <c r="M3029" i="1"/>
  <c r="M2488" i="1"/>
  <c r="M2219" i="1"/>
  <c r="M360" i="1"/>
  <c r="M704" i="1"/>
  <c r="M4714" i="1"/>
  <c r="M1204" i="1"/>
  <c r="M2186" i="1"/>
  <c r="M527" i="1"/>
  <c r="M1437" i="1"/>
  <c r="M2640" i="1"/>
  <c r="M1655" i="1"/>
  <c r="M2354" i="1"/>
  <c r="M4493" i="1"/>
  <c r="M4116" i="1"/>
  <c r="M3188" i="1"/>
  <c r="M3370" i="1"/>
  <c r="M2227" i="1"/>
  <c r="M2612" i="1"/>
  <c r="M410" i="1"/>
  <c r="M3764" i="1"/>
  <c r="M1149" i="1"/>
  <c r="M4081" i="1"/>
  <c r="M4597" i="1"/>
  <c r="M2586" i="1"/>
  <c r="M645" i="1"/>
  <c r="M2394" i="1"/>
  <c r="M765" i="1"/>
  <c r="M860" i="1"/>
  <c r="M92" i="1"/>
  <c r="M2896" i="1"/>
  <c r="M3130" i="1"/>
  <c r="M4267" i="1"/>
  <c r="M3899" i="1"/>
  <c r="M1498" i="1"/>
  <c r="M2718" i="1"/>
  <c r="M4367" i="1"/>
  <c r="M152" i="1"/>
  <c r="M2223" i="1"/>
  <c r="M46" i="1"/>
  <c r="M2916" i="1"/>
  <c r="M2782" i="1"/>
  <c r="M1028" i="1"/>
  <c r="M4688" i="1"/>
  <c r="M3334" i="1"/>
  <c r="M3562" i="1"/>
  <c r="M2176" i="1"/>
  <c r="M2781" i="1"/>
  <c r="M3994" i="1"/>
  <c r="M4755" i="1"/>
  <c r="M4664" i="1"/>
  <c r="M1713" i="1"/>
  <c r="M4911" i="1"/>
  <c r="M196" i="1"/>
  <c r="M4987" i="1"/>
  <c r="M2234" i="1"/>
  <c r="M1822" i="1"/>
  <c r="M1548" i="1"/>
  <c r="M3342" i="1"/>
  <c r="M815" i="1"/>
  <c r="M4506" i="1"/>
  <c r="M1141" i="1"/>
  <c r="M4259" i="1"/>
  <c r="M2004" i="1"/>
  <c r="M1363" i="1"/>
  <c r="M1033" i="1"/>
  <c r="M1160" i="1"/>
  <c r="M3903" i="1"/>
  <c r="M490" i="1"/>
  <c r="M3312" i="1"/>
  <c r="M298" i="1"/>
  <c r="M2898" i="1"/>
  <c r="M809" i="1"/>
  <c r="M936" i="1"/>
  <c r="M3698" i="1"/>
  <c r="M2990" i="1"/>
  <c r="M3735" i="1"/>
  <c r="M322" i="1"/>
  <c r="M562" i="1"/>
  <c r="M4522" i="1"/>
  <c r="M1461" i="1"/>
  <c r="M2476" i="1"/>
  <c r="M2279" i="1"/>
  <c r="M613" i="1"/>
  <c r="M478" i="1"/>
  <c r="M4516" i="1"/>
  <c r="M2040" i="1"/>
  <c r="M2103" i="1"/>
  <c r="M204" i="1"/>
  <c r="M2560" i="1"/>
  <c r="M2266" i="1"/>
  <c r="M4502" i="1"/>
  <c r="M4700" i="1"/>
  <c r="M414" i="1"/>
  <c r="M1891" i="1"/>
  <c r="M3094" i="1"/>
  <c r="M4085" i="1"/>
  <c r="M4689" i="1"/>
  <c r="M663" i="1"/>
  <c r="M1845" i="1"/>
  <c r="M19" i="1"/>
  <c r="M3065" i="1"/>
  <c r="M4290" i="1"/>
  <c r="M605" i="1"/>
  <c r="M375" i="1"/>
  <c r="M4110" i="1"/>
  <c r="M2296" i="1"/>
  <c r="M1751" i="1"/>
  <c r="M2339" i="1"/>
  <c r="M2340" i="1"/>
  <c r="M332" i="1"/>
  <c r="M3114" i="1"/>
  <c r="M3083" i="1"/>
  <c r="M4186" i="1"/>
  <c r="M1362" i="1"/>
  <c r="M2503" i="1"/>
  <c r="M258" i="1"/>
  <c r="M1869" i="1"/>
  <c r="M1232" i="1"/>
  <c r="M2770" i="1"/>
  <c r="M2722" i="1"/>
  <c r="M2041" i="1"/>
  <c r="M101" i="1"/>
  <c r="M3002" i="1"/>
  <c r="M4883" i="1"/>
  <c r="M771" i="1"/>
  <c r="M3179" i="1"/>
  <c r="M4926" i="1"/>
  <c r="M3689" i="1"/>
  <c r="M2241" i="1"/>
  <c r="M433" i="1"/>
  <c r="M3775" i="1"/>
  <c r="M661" i="1"/>
  <c r="M3779" i="1"/>
  <c r="M2975" i="1"/>
  <c r="M29" i="1"/>
  <c r="M4533" i="1"/>
  <c r="M2448" i="1"/>
  <c r="M4540" i="1"/>
  <c r="M4393" i="1"/>
  <c r="M1855" i="1"/>
  <c r="M1659" i="1"/>
  <c r="M3447" i="1"/>
  <c r="M4363" i="1"/>
  <c r="M4859" i="1"/>
  <c r="M2202" i="1"/>
  <c r="M3306" i="1"/>
  <c r="M4112" i="1"/>
  <c r="M3323" i="1"/>
  <c r="M1300" i="1"/>
  <c r="M3636" i="1"/>
  <c r="M4905" i="1"/>
  <c r="M1747" i="1"/>
  <c r="M2780" i="1"/>
  <c r="M1269" i="1"/>
  <c r="M3816" i="1"/>
  <c r="M1072" i="1"/>
  <c r="M1163" i="1"/>
  <c r="M1575" i="1"/>
  <c r="M889" i="1"/>
  <c r="M2110" i="1"/>
  <c r="M1398" i="1"/>
  <c r="M4415" i="1"/>
  <c r="M339" i="1"/>
  <c r="M725" i="1"/>
  <c r="M2313" i="1"/>
  <c r="M3590" i="1"/>
  <c r="M1002" i="1"/>
  <c r="M2796" i="1"/>
  <c r="M1096" i="1"/>
  <c r="M238" i="1"/>
  <c r="M537" i="1"/>
  <c r="M2677" i="1"/>
  <c r="M4412" i="1"/>
  <c r="M4472" i="1"/>
  <c r="M154" i="1"/>
  <c r="M17" i="1"/>
  <c r="M2486" i="1"/>
  <c r="M366" i="1"/>
  <c r="M2256" i="1"/>
  <c r="M2328" i="1"/>
  <c r="M4344" i="1"/>
  <c r="M501" i="1"/>
  <c r="M2245" i="1"/>
  <c r="M1621" i="1"/>
  <c r="M3156" i="1"/>
  <c r="M2276" i="1"/>
  <c r="M1981" i="1"/>
  <c r="M4372" i="1"/>
  <c r="M2938" i="1"/>
  <c r="M1567" i="1"/>
  <c r="M3998" i="1"/>
  <c r="M389" i="1"/>
  <c r="M4947" i="1"/>
  <c r="M1376" i="1"/>
  <c r="M2855" i="1"/>
  <c r="M4212" i="1"/>
  <c r="M1403" i="1"/>
  <c r="M2852" i="1"/>
  <c r="M2873" i="1"/>
  <c r="M1564" i="1"/>
  <c r="M1103" i="1"/>
  <c r="M1135" i="1"/>
  <c r="M654" i="1"/>
  <c r="M3372" i="1"/>
  <c r="M4378" i="1"/>
  <c r="M4711" i="1"/>
  <c r="M3398" i="1"/>
  <c r="M620" i="1"/>
  <c r="M4018" i="1"/>
  <c r="M1167" i="1"/>
  <c r="M3392" i="1"/>
  <c r="M4070" i="1"/>
  <c r="M3175" i="1"/>
  <c r="M1542" i="1"/>
  <c r="M2902" i="1"/>
  <c r="M1388" i="1"/>
  <c r="M98" i="1"/>
  <c r="M939" i="1"/>
  <c r="M3460" i="1"/>
  <c r="M4816" i="1"/>
  <c r="M2273" i="1"/>
  <c r="M4488" i="1"/>
  <c r="M1793" i="1"/>
  <c r="M3293" i="1"/>
  <c r="M2192" i="1"/>
  <c r="M755" i="1"/>
  <c r="M2542" i="1"/>
  <c r="M1131" i="1"/>
  <c r="M2197" i="1"/>
  <c r="M830" i="1"/>
  <c r="M1044" i="1"/>
  <c r="M813" i="1"/>
  <c r="M2562" i="1"/>
  <c r="M4661" i="1"/>
  <c r="M1550" i="1"/>
  <c r="M4142" i="1"/>
  <c r="M4272" i="1"/>
  <c r="M4421" i="1"/>
  <c r="M1635" i="1"/>
  <c r="M3674" i="1"/>
  <c r="M2911" i="1"/>
  <c r="M3624" i="1"/>
  <c r="M2358" i="1"/>
  <c r="M4258" i="1"/>
  <c r="M4534" i="1"/>
  <c r="M4050" i="1"/>
  <c r="M4819" i="1"/>
  <c r="M2016" i="1"/>
  <c r="M4513" i="1"/>
  <c r="M720" i="1"/>
  <c r="M2731" i="1"/>
  <c r="M1077" i="1"/>
  <c r="M3099" i="1"/>
  <c r="M4444" i="1"/>
  <c r="M4474" i="1"/>
  <c r="M2790" i="1"/>
  <c r="M3813" i="1"/>
  <c r="M2964" i="1"/>
  <c r="M3861" i="1"/>
  <c r="M4647" i="1"/>
  <c r="M1419" i="1"/>
  <c r="M2687" i="1"/>
  <c r="M2117" i="1"/>
  <c r="M4684" i="1"/>
  <c r="M2109" i="1"/>
  <c r="M3290" i="1"/>
  <c r="M2861" i="1"/>
  <c r="M1673" i="1"/>
  <c r="M795" i="1"/>
  <c r="M951" i="1"/>
  <c r="M2168" i="1"/>
  <c r="M1856" i="1"/>
  <c r="M3440" i="1"/>
  <c r="M23" i="1"/>
  <c r="M2986" i="1"/>
  <c r="M1693" i="1"/>
  <c r="M1620" i="1"/>
  <c r="M1196" i="1"/>
  <c r="M2598" i="1"/>
  <c r="M3409" i="1"/>
  <c r="M997" i="1"/>
  <c r="M3609" i="1"/>
  <c r="M1019" i="1"/>
  <c r="M201" i="1"/>
  <c r="M2868" i="1"/>
  <c r="M2353" i="1"/>
  <c r="M641" i="1"/>
  <c r="M2991" i="1"/>
  <c r="M1042" i="1"/>
  <c r="M4583" i="1"/>
  <c r="M4821" i="1"/>
  <c r="M1565" i="1"/>
  <c r="M2559" i="1"/>
  <c r="M2674" i="1"/>
  <c r="M1717" i="1"/>
  <c r="M2857" i="1"/>
  <c r="M1657" i="1"/>
  <c r="M626" i="1"/>
  <c r="M2100" i="1"/>
  <c r="M4892" i="1"/>
  <c r="M2191" i="1"/>
  <c r="M2447" i="1"/>
  <c r="M2146" i="1"/>
  <c r="M1212" i="1"/>
  <c r="M3007" i="1"/>
  <c r="M2285" i="1"/>
  <c r="M1930" i="1"/>
  <c r="M2843" i="1"/>
  <c r="M3206" i="1"/>
  <c r="M4834" i="1"/>
  <c r="M2123" i="1"/>
  <c r="M581" i="1"/>
  <c r="M1049" i="1"/>
  <c r="M4735" i="1"/>
  <c r="M1969" i="1"/>
  <c r="M1932" i="1"/>
  <c r="M1752" i="1"/>
  <c r="M4565" i="1"/>
  <c r="M2220" i="1"/>
  <c r="M2111" i="1"/>
  <c r="M4340" i="1"/>
  <c r="M2371" i="1"/>
  <c r="M3503" i="1"/>
  <c r="M1572" i="1"/>
  <c r="M132" i="1"/>
  <c r="M2903" i="1"/>
  <c r="M189" i="1"/>
  <c r="M4841" i="1"/>
  <c r="M3635" i="1"/>
  <c r="M945" i="1"/>
  <c r="M4886" i="1"/>
  <c r="M1807" i="1"/>
  <c r="M3321" i="1"/>
  <c r="M1563" i="1"/>
  <c r="M3650" i="1"/>
  <c r="M2332" i="1"/>
  <c r="M4262" i="1"/>
  <c r="M5005" i="1"/>
  <c r="M3356" i="1"/>
  <c r="M1158" i="1"/>
  <c r="M2024" i="1"/>
  <c r="M4118" i="1"/>
  <c r="M2026" i="1"/>
  <c r="M2839" i="1"/>
  <c r="M1064" i="1"/>
  <c r="M4732" i="1"/>
  <c r="M2669" i="1"/>
  <c r="M2739" i="1"/>
  <c r="M1062" i="1"/>
  <c r="M2603" i="1"/>
  <c r="M4220" i="1"/>
  <c r="M2204" i="1"/>
  <c r="M4325" i="1"/>
  <c r="M145" i="1"/>
  <c r="M1254" i="1"/>
  <c r="M3382" i="1"/>
  <c r="M653" i="1"/>
  <c r="M2352" i="1"/>
  <c r="M1427" i="1"/>
  <c r="M2101" i="1"/>
  <c r="M690" i="1"/>
  <c r="M1116" i="1"/>
  <c r="M1854" i="1"/>
  <c r="M4292" i="1"/>
  <c r="M4073" i="1"/>
  <c r="M2777" i="1"/>
  <c r="M1508" i="1"/>
  <c r="M4376" i="1"/>
  <c r="M1255" i="1"/>
  <c r="M64" i="1"/>
  <c r="M3209" i="1"/>
  <c r="M509" i="1"/>
  <c r="M1070" i="1"/>
  <c r="M1408" i="1"/>
  <c r="M405" i="1"/>
  <c r="M473" i="1"/>
  <c r="M1124" i="1"/>
  <c r="M3780" i="1"/>
  <c r="M3430" i="1"/>
  <c r="M1605" i="1"/>
  <c r="M2397" i="1"/>
  <c r="M450" i="1"/>
  <c r="M4592" i="1"/>
  <c r="M3597" i="1"/>
  <c r="M2159" i="1"/>
  <c r="M169" i="1"/>
  <c r="M472" i="1"/>
  <c r="M4062" i="1"/>
  <c r="M564" i="1"/>
  <c r="M4164" i="1"/>
  <c r="M4728" i="1"/>
  <c r="M3216" i="1"/>
  <c r="M265" i="1"/>
  <c r="M2011" i="1"/>
  <c r="M3506" i="1"/>
  <c r="M3396" i="1"/>
  <c r="M4011" i="1"/>
  <c r="M4476" i="1"/>
  <c r="M1947" i="1"/>
  <c r="M3345" i="1"/>
  <c r="M1519" i="1"/>
  <c r="M4189" i="1"/>
  <c r="M1767" i="1"/>
  <c r="M4665" i="1"/>
  <c r="M2356" i="1"/>
  <c r="M2217" i="1"/>
  <c r="M609" i="1"/>
  <c r="M3673" i="1"/>
  <c r="M4037" i="1"/>
  <c r="M657" i="1"/>
  <c r="M3339" i="1"/>
  <c r="M1034" i="1"/>
  <c r="M4445" i="1"/>
  <c r="M69" i="1"/>
  <c r="M2907" i="1"/>
  <c r="M5013" i="1"/>
  <c r="M4323" i="1"/>
  <c r="M4049" i="1"/>
  <c r="M4433" i="1"/>
  <c r="M1352" i="1"/>
  <c r="M3264" i="1"/>
  <c r="M2246" i="1"/>
  <c r="M230" i="1"/>
  <c r="M2485" i="1"/>
  <c r="M43" i="1"/>
  <c r="M1340" i="1"/>
  <c r="M387" i="1"/>
  <c r="M3302" i="1"/>
  <c r="M4446" i="1"/>
  <c r="M1086" i="1"/>
  <c r="M3613" i="1"/>
  <c r="M3152" i="1"/>
  <c r="M4172" i="1"/>
  <c r="M1691" i="1"/>
  <c r="M2415" i="1"/>
  <c r="M4542" i="1"/>
  <c r="M1645" i="1"/>
  <c r="M77" i="1"/>
  <c r="M1415" i="1"/>
  <c r="M3902" i="1"/>
  <c r="M4067" i="1"/>
  <c r="M2094" i="1"/>
  <c r="M4906" i="1"/>
  <c r="M2182" i="1"/>
  <c r="M3726" i="1"/>
  <c r="M2969" i="1"/>
  <c r="M2052" i="1"/>
  <c r="M306" i="1"/>
  <c r="M404" i="1"/>
  <c r="M4553" i="1"/>
  <c r="M1704" i="1"/>
  <c r="M455" i="1"/>
  <c r="M412" i="1"/>
  <c r="M4725" i="1"/>
  <c r="M3826" i="1"/>
  <c r="M1197" i="1"/>
  <c r="M4505" i="1"/>
  <c r="M1175" i="1"/>
  <c r="M3191" i="1"/>
  <c r="M3417" i="1"/>
  <c r="M2863" i="1"/>
  <c r="M3113" i="1"/>
  <c r="M4576" i="1"/>
  <c r="M12" i="1"/>
  <c r="M3379" i="1"/>
  <c r="M1026" i="1"/>
  <c r="M3063" i="1"/>
  <c r="M325" i="1"/>
  <c r="M1541" i="1"/>
  <c r="M6" i="1"/>
  <c r="M1602" i="1"/>
  <c r="M2408" i="1"/>
  <c r="M147" i="1"/>
  <c r="M710" i="1"/>
  <c r="M281" i="1"/>
  <c r="M3777" i="1"/>
  <c r="M383" i="1"/>
  <c r="M1150" i="1"/>
  <c r="M2703" i="1"/>
  <c r="M2228" i="1"/>
  <c r="M2602" i="1"/>
  <c r="M2557" i="1"/>
  <c r="M4196" i="1"/>
  <c r="M1464" i="1"/>
  <c r="M1755" i="1"/>
  <c r="M2013" i="1"/>
  <c r="M768" i="1"/>
  <c r="M3170" i="1"/>
  <c r="M602" i="1"/>
  <c r="M2237" i="1"/>
  <c r="M2240" i="1"/>
  <c r="M4265" i="1"/>
  <c r="M1705" i="1"/>
  <c r="M3742" i="1"/>
  <c r="M4525" i="1"/>
  <c r="M3497" i="1"/>
  <c r="M2553" i="1"/>
  <c r="M456" i="1"/>
  <c r="M2860" i="1"/>
  <c r="M1585" i="1"/>
  <c r="M4369" i="1"/>
  <c r="M3690" i="1"/>
  <c r="M711" i="1"/>
  <c r="M3984" i="1"/>
  <c r="M4210" i="1"/>
  <c r="M3048" i="1"/>
  <c r="M2142" i="1"/>
  <c r="M3520" i="1"/>
  <c r="M2890" i="1"/>
  <c r="M3411" i="1"/>
  <c r="M3504" i="1"/>
  <c r="M4365" i="1"/>
  <c r="M279" i="1"/>
  <c r="M2993" i="1"/>
  <c r="M1188" i="1"/>
  <c r="M3309" i="1"/>
  <c r="M1975" i="1"/>
  <c r="M3852" i="1"/>
  <c r="M4139" i="1"/>
  <c r="M2290" i="1"/>
  <c r="M2351" i="1"/>
  <c r="M2478" i="1"/>
  <c r="M3739" i="1"/>
  <c r="M4528" i="1"/>
  <c r="M2883" i="1"/>
  <c r="M2169" i="1"/>
  <c r="M4772" i="1"/>
  <c r="M368" i="1"/>
  <c r="M4625" i="1"/>
  <c r="M3284" i="1"/>
  <c r="M3819" i="1"/>
  <c r="M2426" i="1"/>
  <c r="M4170" i="1"/>
  <c r="M95" i="1"/>
  <c r="M1210" i="1"/>
  <c r="M3034" i="1"/>
  <c r="M3389" i="1"/>
  <c r="M3991" i="1"/>
  <c r="M2954" i="1"/>
  <c r="M2743" i="1"/>
  <c r="M4586" i="1"/>
  <c r="M2740" i="1"/>
  <c r="M4294" i="1"/>
  <c r="M1373" i="1"/>
  <c r="M3144" i="1"/>
  <c r="M4364" i="1"/>
  <c r="M964" i="1"/>
  <c r="M4855" i="1"/>
  <c r="M2230" i="1"/>
  <c r="M3572" i="1"/>
  <c r="M1867" i="1"/>
  <c r="M2154" i="1"/>
  <c r="M2871" i="1"/>
  <c r="M272" i="1"/>
  <c r="M1030" i="1"/>
  <c r="M835" i="1"/>
  <c r="M308" i="1"/>
  <c r="M2832" i="1"/>
  <c r="M834" i="1"/>
  <c r="M1071" i="1"/>
  <c r="M2711" i="1"/>
  <c r="M3205" i="1"/>
  <c r="M555" i="1"/>
  <c r="M707" i="1"/>
  <c r="M760" i="1"/>
  <c r="M4949" i="1"/>
  <c r="M3731" i="1"/>
  <c r="M2359" i="1"/>
  <c r="M4828" i="1"/>
  <c r="M2355" i="1"/>
  <c r="M4720" i="1"/>
  <c r="M1674" i="1"/>
  <c r="M3549" i="1"/>
  <c r="M1929" i="1"/>
  <c r="M3781" i="1"/>
  <c r="M2289" i="1"/>
  <c r="M2597" i="1"/>
  <c r="M824" i="1"/>
  <c r="M3332" i="1"/>
  <c r="M4654" i="1"/>
  <c r="M715" i="1"/>
  <c r="M160" i="1"/>
  <c r="M4524" i="1"/>
  <c r="M2118" i="1"/>
  <c r="M1108" i="1"/>
  <c r="M1587" i="1"/>
  <c r="M314" i="1"/>
  <c r="M2851" i="1"/>
  <c r="M3598" i="1"/>
  <c r="M3965" i="1"/>
  <c r="M99" i="1"/>
  <c r="M1577" i="1"/>
  <c r="M3802" i="1"/>
  <c r="M406" i="1"/>
  <c r="M4381" i="1"/>
  <c r="M2710" i="1"/>
  <c r="M45" i="1"/>
  <c r="M3539" i="1"/>
  <c r="M2733" i="1"/>
  <c r="M2915" i="1"/>
  <c r="M1368" i="1"/>
  <c r="M2506" i="1"/>
  <c r="M1292" i="1"/>
  <c r="M4666" i="1"/>
  <c r="M2769" i="1"/>
  <c r="M4869" i="1"/>
  <c r="M2209" i="1"/>
  <c r="M3515" i="1"/>
  <c r="M42" i="1"/>
  <c r="M2966" i="1"/>
  <c r="M3035" i="1"/>
  <c r="M3792" i="1"/>
  <c r="M4996" i="1"/>
  <c r="M2207" i="1"/>
  <c r="M2955" i="1"/>
  <c r="M1233" i="1"/>
  <c r="M381" i="1"/>
  <c r="M612" i="1"/>
  <c r="M3587" i="1"/>
  <c r="M3517" i="1"/>
  <c r="M2558" i="1"/>
  <c r="M553" i="1"/>
  <c r="M336" i="1"/>
  <c r="M3158" i="1"/>
  <c r="M4903" i="1"/>
  <c r="M163" i="1"/>
  <c r="M3809" i="1"/>
  <c r="M4155" i="1"/>
  <c r="M116" i="1"/>
  <c r="M2116" i="1"/>
  <c r="M3000" i="1"/>
  <c r="M3455" i="1"/>
  <c r="M3887" i="1"/>
  <c r="M3324" i="1"/>
  <c r="M2461" i="1"/>
  <c r="M2848" i="1"/>
  <c r="M1168" i="1"/>
  <c r="M2342" i="1"/>
  <c r="M3709" i="1"/>
  <c r="M1965" i="1"/>
  <c r="M4026" i="1"/>
  <c r="M3787" i="1"/>
  <c r="M2888" i="1"/>
  <c r="M2104" i="1"/>
  <c r="M4672" i="1"/>
  <c r="M688" i="1"/>
  <c r="M2822" i="1"/>
  <c r="M741" i="1"/>
  <c r="M1467" i="1"/>
  <c r="M870" i="1"/>
  <c r="M1465" i="1"/>
  <c r="M3818" i="1"/>
  <c r="M3823" i="1"/>
  <c r="M1238" i="1"/>
  <c r="M942" i="1"/>
  <c r="M2817" i="1"/>
  <c r="M1392" i="1"/>
  <c r="M828" i="1"/>
  <c r="M1129" i="1"/>
  <c r="M2068" i="1"/>
  <c r="M2329" i="1"/>
  <c r="M2797" i="1"/>
  <c r="M4400" i="1"/>
  <c r="M3668" i="1"/>
  <c r="M4286" i="1"/>
  <c r="M3423" i="1"/>
  <c r="M4125" i="1"/>
  <c r="M4885" i="1"/>
  <c r="M3976" i="1"/>
  <c r="M1951" i="1"/>
  <c r="M1249" i="1"/>
  <c r="M4948" i="1"/>
  <c r="M3664" i="1"/>
  <c r="M1225" i="1"/>
  <c r="M863" i="1"/>
  <c r="M4554" i="1"/>
  <c r="M3202" i="1"/>
  <c r="M940" i="1"/>
  <c r="M589" i="1"/>
  <c r="M2064" i="1"/>
  <c r="M2958" i="1"/>
  <c r="M304" i="1"/>
  <c r="M1641" i="1"/>
  <c r="M2385" i="1"/>
  <c r="M4935" i="1"/>
  <c r="M3743" i="1"/>
  <c r="M3561" i="1"/>
  <c r="M802" i="1"/>
  <c r="M2994" i="1"/>
  <c r="M4260" i="1"/>
  <c r="M2251" i="1"/>
  <c r="M58" i="1"/>
  <c r="M3555" i="1"/>
  <c r="M27" i="1"/>
  <c r="M2157" i="1"/>
  <c r="M3559" i="1"/>
  <c r="M4099" i="1"/>
  <c r="M1073" i="1"/>
  <c r="M78" i="1"/>
  <c r="M1395" i="1"/>
  <c r="M3560" i="1"/>
  <c r="M3177" i="1"/>
  <c r="M3663" i="1"/>
  <c r="M500" i="1"/>
  <c r="M3944" i="1"/>
  <c r="M3699" i="1"/>
  <c r="M378" i="1"/>
  <c r="M4774" i="1"/>
  <c r="M842" i="1"/>
  <c r="M1758" i="1"/>
  <c r="M1433" i="1"/>
  <c r="M2644" i="1"/>
  <c r="M984" i="1"/>
  <c r="M1803" i="1"/>
  <c r="M3211" i="1"/>
  <c r="M1889" i="1"/>
  <c r="M4544" i="1"/>
  <c r="M2348" i="1"/>
  <c r="M2753" i="1"/>
  <c r="M912" i="1"/>
  <c r="M2845" i="1"/>
  <c r="M113" i="1"/>
  <c r="M4924" i="1"/>
  <c r="M3985" i="1"/>
  <c r="M4460" i="1"/>
  <c r="M1772" i="1"/>
  <c r="M608" i="1"/>
  <c r="M275" i="1"/>
  <c r="M1014" i="1"/>
  <c r="M2865" i="1"/>
  <c r="M510" i="1"/>
  <c r="M2370" i="1"/>
  <c r="M2550" i="1"/>
  <c r="M198" i="1"/>
  <c r="M1027" i="1"/>
  <c r="M1525" i="1"/>
  <c r="M3340" i="1"/>
  <c r="M3010" i="1"/>
  <c r="M1672" i="1"/>
  <c r="M4722" i="1"/>
  <c r="M2962" i="1"/>
  <c r="M3121" i="1"/>
  <c r="M4114" i="1"/>
  <c r="M1707" i="1"/>
  <c r="M1048" i="1"/>
  <c r="M1320" i="1"/>
  <c r="M3585" i="1"/>
  <c r="M4827" i="1"/>
  <c r="M4699" i="1"/>
  <c r="M2383" i="1"/>
  <c r="M3822" i="1"/>
  <c r="M2705" i="1"/>
  <c r="M4384" i="1"/>
  <c r="M5004" i="1"/>
  <c r="M2409" i="1"/>
  <c r="M1137" i="1"/>
  <c r="M2893" i="1"/>
  <c r="M3850" i="1"/>
  <c r="M1222" i="1"/>
  <c r="M1555" i="1"/>
  <c r="M1591" i="1"/>
  <c r="M4025" i="1"/>
  <c r="M4749" i="1"/>
  <c r="M3523" i="1"/>
  <c r="M2007" i="1"/>
  <c r="M48" i="1"/>
  <c r="M2556" i="1"/>
  <c r="M4374" i="1"/>
  <c r="M2248" i="1"/>
  <c r="M3602" i="1"/>
  <c r="M369" i="1"/>
  <c r="M4467" i="1"/>
  <c r="M665" i="1"/>
  <c r="M231" i="1"/>
  <c r="M4490" i="1"/>
  <c r="M269" i="1"/>
  <c r="M3015" i="1"/>
  <c r="M1502" i="1"/>
  <c r="M3883" i="1"/>
  <c r="M1823" i="1"/>
  <c r="M1968" i="1"/>
  <c r="M3974" i="1"/>
  <c r="M4304" i="1"/>
  <c r="M2053" i="1"/>
  <c r="M2647" i="1"/>
  <c r="M3445" i="1"/>
  <c r="M2772" i="1"/>
  <c r="M2020" i="1"/>
  <c r="M2715" i="1"/>
  <c r="M1745" i="1"/>
  <c r="M2120" i="1"/>
  <c r="M937" i="1"/>
  <c r="M935" i="1"/>
  <c r="M3" i="1"/>
  <c r="M188" i="1"/>
  <c r="M1761" i="1"/>
  <c r="M3190" i="1"/>
  <c r="M34" i="1"/>
  <c r="M425" i="1"/>
  <c r="M4846" i="1"/>
  <c r="M3576" i="1"/>
  <c r="M2965" i="1"/>
  <c r="M4273" i="1"/>
  <c r="M3117" i="1"/>
  <c r="M3434" i="1"/>
  <c r="M448" i="1"/>
  <c r="M4726" i="1"/>
  <c r="M4943" i="1"/>
  <c r="M115" i="1"/>
  <c r="M947" i="1"/>
  <c r="M4685" i="1"/>
  <c r="M3227" i="1"/>
  <c r="M60" i="1"/>
  <c r="M631" i="1"/>
  <c r="M24" i="1"/>
  <c r="M4789" i="1"/>
  <c r="M1906" i="1"/>
  <c r="M3195" i="1"/>
  <c r="M2482" i="1"/>
  <c r="M4282" i="1"/>
  <c r="M3988" i="1"/>
  <c r="M4571" i="1"/>
  <c r="M2334" i="1"/>
  <c r="M2337" i="1"/>
  <c r="M4908" i="1"/>
  <c r="M4305" i="1"/>
  <c r="M3274" i="1"/>
  <c r="M1905" i="1"/>
  <c r="M2090" i="1"/>
  <c r="M100" i="1"/>
  <c r="M2216" i="1"/>
  <c r="M3390" i="1"/>
  <c r="M422" i="1"/>
  <c r="M4703" i="1"/>
  <c r="M493" i="1"/>
  <c r="M2814" i="1"/>
  <c r="M2789" i="1"/>
  <c r="M861" i="1"/>
  <c r="M1218" i="1"/>
  <c r="M1007" i="1"/>
  <c r="M3072" i="1"/>
  <c r="M129" i="1"/>
  <c r="M3463" i="1"/>
  <c r="M274" i="1"/>
  <c r="M4881" i="1"/>
  <c r="M1562" i="1"/>
  <c r="M1110" i="1"/>
  <c r="M2616" i="1"/>
  <c r="M2849" i="1"/>
  <c r="M4929" i="1"/>
  <c r="M2859" i="1"/>
  <c r="M1355" i="1"/>
  <c r="M235" i="1"/>
  <c r="M418" i="1"/>
  <c r="M958" i="1"/>
  <c r="M277" i="1"/>
  <c r="M1741" i="1"/>
  <c r="M4434" i="1"/>
  <c r="M2639" i="1"/>
  <c r="M3184" i="1"/>
  <c r="M4416" i="1"/>
  <c r="M4059" i="1"/>
  <c r="M2327" i="1"/>
  <c r="M2231" i="1"/>
  <c r="M2297" i="1"/>
  <c r="M2884" i="1"/>
  <c r="M4087" i="1"/>
  <c r="M157" i="1"/>
  <c r="M1643" i="1"/>
  <c r="M1369" i="1"/>
  <c r="M1521" i="1"/>
  <c r="M4169" i="1"/>
  <c r="M2108" i="1"/>
  <c r="M4737" i="1"/>
  <c r="M4235" i="1"/>
  <c r="M3956" i="1"/>
  <c r="M1304" i="1"/>
  <c r="M276" i="1"/>
  <c r="M3581" i="1"/>
  <c r="M1821" i="1"/>
  <c r="M1866" i="1"/>
  <c r="M4781" i="1"/>
  <c r="M3566" i="1"/>
  <c r="M2936" i="1"/>
  <c r="M2027" i="1"/>
  <c r="M480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21B29-2079-42D6-B1F2-454E8944E4CF}" keepAlive="1" name="Query - CleanData" description="Connection to the 'CleanData' query in the workbook." type="5" refreshedVersion="8" background="1" saveData="1">
    <dbPr connection="Provider=Microsoft.Mashup.OleDb.1;Data Source=$Workbook$;Location=CleanData;Extended Properties=&quot;&quot;" command="SELECT * FROM [CleanData]"/>
  </connection>
  <connection id="2" xr16:uid="{76F9FD7C-2EE4-4A5A-851D-9591D2972663}" keepAlive="1" name="Query - RawData" description="Connection to the 'RawData' query in the workbook." type="5" refreshedVersion="0" background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<sst xmlns="http://schemas.openxmlformats.org/spreadsheetml/2006/main" count="25141" uniqueCount="10121">
  <si>
    <t>rank</t>
  </si>
  <si>
    <t>name</t>
  </si>
  <si>
    <t>state</t>
  </si>
  <si>
    <t>growth_%</t>
  </si>
  <si>
    <t>industry</t>
  </si>
  <si>
    <t>workers</t>
  </si>
  <si>
    <t>previous_workers</t>
  </si>
  <si>
    <t>founded</t>
  </si>
  <si>
    <t>yrs_on_list</t>
  </si>
  <si>
    <t>1</t>
  </si>
  <si>
    <t>Freestar</t>
  </si>
  <si>
    <t>AZ</t>
  </si>
  <si>
    <t>Advertising &amp; Marketing</t>
  </si>
  <si>
    <t>2015</t>
  </si>
  <si>
    <t>2</t>
  </si>
  <si>
    <t>FreightWise</t>
  </si>
  <si>
    <t>TN</t>
  </si>
  <si>
    <t>Logistics &amp; Transportation</t>
  </si>
  <si>
    <t>3</t>
  </si>
  <si>
    <t>Cece's Veggie Co.</t>
  </si>
  <si>
    <t>TX</t>
  </si>
  <si>
    <t>Food &amp; Beverage</t>
  </si>
  <si>
    <t>4</t>
  </si>
  <si>
    <t>LadyBoss</t>
  </si>
  <si>
    <t>NM</t>
  </si>
  <si>
    <t>Consumer Products &amp; Services</t>
  </si>
  <si>
    <t>2014</t>
  </si>
  <si>
    <t>5</t>
  </si>
  <si>
    <t>Perpay</t>
  </si>
  <si>
    <t>PA</t>
  </si>
  <si>
    <t>Retail</t>
  </si>
  <si>
    <t>6</t>
  </si>
  <si>
    <t>Cano Health</t>
  </si>
  <si>
    <t>FL</t>
  </si>
  <si>
    <t>Health</t>
  </si>
  <si>
    <t>2009</t>
  </si>
  <si>
    <t>7</t>
  </si>
  <si>
    <t>Bear Mattress</t>
  </si>
  <si>
    <t>NJ</t>
  </si>
  <si>
    <t>8</t>
  </si>
  <si>
    <t>Connected Solutions Group</t>
  </si>
  <si>
    <t>VA</t>
  </si>
  <si>
    <t>Telecommunications</t>
  </si>
  <si>
    <t>9</t>
  </si>
  <si>
    <t>Providence Healthcare Management</t>
  </si>
  <si>
    <t>OH</t>
  </si>
  <si>
    <t>2008</t>
  </si>
  <si>
    <t>10</t>
  </si>
  <si>
    <t>NOM</t>
  </si>
  <si>
    <t>CA</t>
  </si>
  <si>
    <t>11</t>
  </si>
  <si>
    <t>NuLeaf Naturals</t>
  </si>
  <si>
    <t>CO</t>
  </si>
  <si>
    <t>12</t>
  </si>
  <si>
    <t>Urgently</t>
  </si>
  <si>
    <t>2013</t>
  </si>
  <si>
    <t>13</t>
  </si>
  <si>
    <t>nutpods</t>
  </si>
  <si>
    <t>WA</t>
  </si>
  <si>
    <t>14</t>
  </si>
  <si>
    <t>YieldStreet</t>
  </si>
  <si>
    <t>NY</t>
  </si>
  <si>
    <t>Financial Services</t>
  </si>
  <si>
    <t>15</t>
  </si>
  <si>
    <t>MuteSix</t>
  </si>
  <si>
    <t>16</t>
  </si>
  <si>
    <t>Anchor Worldwide</t>
  </si>
  <si>
    <t>17</t>
  </si>
  <si>
    <t>LendingPoint</t>
  </si>
  <si>
    <t>GA</t>
  </si>
  <si>
    <t>18</t>
  </si>
  <si>
    <t>With Clarity</t>
  </si>
  <si>
    <t>19</t>
  </si>
  <si>
    <t>Sonendo</t>
  </si>
  <si>
    <t>2006</t>
  </si>
  <si>
    <t>20</t>
  </si>
  <si>
    <t>Kindred Bravely</t>
  </si>
  <si>
    <t>21</t>
  </si>
  <si>
    <t>Tailor Made Compounding</t>
  </si>
  <si>
    <t>KY</t>
  </si>
  <si>
    <t>22</t>
  </si>
  <si>
    <t>SD3IT</t>
  </si>
  <si>
    <t>Computer Hardware</t>
  </si>
  <si>
    <t>23</t>
  </si>
  <si>
    <t>ConvertKit</t>
  </si>
  <si>
    <t>ID</t>
  </si>
  <si>
    <t>Software</t>
  </si>
  <si>
    <t>24</t>
  </si>
  <si>
    <t>Printify</t>
  </si>
  <si>
    <t>25</t>
  </si>
  <si>
    <t>Awardco</t>
  </si>
  <si>
    <t>UT</t>
  </si>
  <si>
    <t>26</t>
  </si>
  <si>
    <t>Pegasus Optimization Managers</t>
  </si>
  <si>
    <t>Energy</t>
  </si>
  <si>
    <t>27</t>
  </si>
  <si>
    <t>FITT Scientific</t>
  </si>
  <si>
    <t>Government Services</t>
  </si>
  <si>
    <t>28</t>
  </si>
  <si>
    <t>Amherst Madison</t>
  </si>
  <si>
    <t>Real Estate</t>
  </si>
  <si>
    <t>29</t>
  </si>
  <si>
    <t>LumenAd</t>
  </si>
  <si>
    <t>MT</t>
  </si>
  <si>
    <t>30</t>
  </si>
  <si>
    <t>Bendcare</t>
  </si>
  <si>
    <t>31</t>
  </si>
  <si>
    <t>The Welfont Companies</t>
  </si>
  <si>
    <t>32</t>
  </si>
  <si>
    <t>Skinny Dipped</t>
  </si>
  <si>
    <t>33</t>
  </si>
  <si>
    <t>RDI Technologies</t>
  </si>
  <si>
    <t>Manufacturing</t>
  </si>
  <si>
    <t>34</t>
  </si>
  <si>
    <t>Limited Run Games</t>
  </si>
  <si>
    <t>NC</t>
  </si>
  <si>
    <t>Media</t>
  </si>
  <si>
    <t>2010</t>
  </si>
  <si>
    <t>35</t>
  </si>
  <si>
    <t>SwanLeap</t>
  </si>
  <si>
    <t>WI</t>
  </si>
  <si>
    <t>36</t>
  </si>
  <si>
    <t>Vesta Modular</t>
  </si>
  <si>
    <t>MI</t>
  </si>
  <si>
    <t>Construction</t>
  </si>
  <si>
    <t>37</t>
  </si>
  <si>
    <t>H&amp;C Animal Health</t>
  </si>
  <si>
    <t>38</t>
  </si>
  <si>
    <t>Homesnap</t>
  </si>
  <si>
    <t>MD</t>
  </si>
  <si>
    <t>2012</t>
  </si>
  <si>
    <t>39</t>
  </si>
  <si>
    <t>Paradigm Construction</t>
  </si>
  <si>
    <t>40</t>
  </si>
  <si>
    <t>Allata</t>
  </si>
  <si>
    <t>IT System Development</t>
  </si>
  <si>
    <t>41</t>
  </si>
  <si>
    <t>Fanchest</t>
  </si>
  <si>
    <t>42</t>
  </si>
  <si>
    <t>Fund That Flip</t>
  </si>
  <si>
    <t>43</t>
  </si>
  <si>
    <t>Villaway</t>
  </si>
  <si>
    <t>Travel &amp; Hospitality</t>
  </si>
  <si>
    <t>44</t>
  </si>
  <si>
    <t>IQM</t>
  </si>
  <si>
    <t>45</t>
  </si>
  <si>
    <t>Home Quality Remodeling</t>
  </si>
  <si>
    <t>2004</t>
  </si>
  <si>
    <t>46</t>
  </si>
  <si>
    <t>Beeswax</t>
  </si>
  <si>
    <t>47</t>
  </si>
  <si>
    <t>Netizen</t>
  </si>
  <si>
    <t>Security</t>
  </si>
  <si>
    <t>48</t>
  </si>
  <si>
    <t>phData</t>
  </si>
  <si>
    <t>MN</t>
  </si>
  <si>
    <t>IT Management</t>
  </si>
  <si>
    <t>49</t>
  </si>
  <si>
    <t>MDstaffers</t>
  </si>
  <si>
    <t>50</t>
  </si>
  <si>
    <t>TalEx</t>
  </si>
  <si>
    <t>Human Resources</t>
  </si>
  <si>
    <t>51</t>
  </si>
  <si>
    <t>Nationwide Mortgage Bankers</t>
  </si>
  <si>
    <t>2011</t>
  </si>
  <si>
    <t>52</t>
  </si>
  <si>
    <t>Podium</t>
  </si>
  <si>
    <t>53</t>
  </si>
  <si>
    <t>SIA Solutions</t>
  </si>
  <si>
    <t>Environmental Services</t>
  </si>
  <si>
    <t>54</t>
  </si>
  <si>
    <t>QEO Group</t>
  </si>
  <si>
    <t>Insurance</t>
  </si>
  <si>
    <t>55</t>
  </si>
  <si>
    <t>Dropified</t>
  </si>
  <si>
    <t>AL</t>
  </si>
  <si>
    <t>Business Products &amp; Services</t>
  </si>
  <si>
    <t>56</t>
  </si>
  <si>
    <t>Sparx Hockey</t>
  </si>
  <si>
    <t>MA</t>
  </si>
  <si>
    <t>57</t>
  </si>
  <si>
    <t>TrueChoicePack</t>
  </si>
  <si>
    <t>58</t>
  </si>
  <si>
    <t>Ooze Wholesale</t>
  </si>
  <si>
    <t>59</t>
  </si>
  <si>
    <t>Progyny</t>
  </si>
  <si>
    <t>60</t>
  </si>
  <si>
    <t>Pax8</t>
  </si>
  <si>
    <t>61</t>
  </si>
  <si>
    <t>Terminus</t>
  </si>
  <si>
    <t>62</t>
  </si>
  <si>
    <t>Chomps</t>
  </si>
  <si>
    <t>63</t>
  </si>
  <si>
    <t>Rad Power Bikes</t>
  </si>
  <si>
    <t>2007</t>
  </si>
  <si>
    <t>64</t>
  </si>
  <si>
    <t>TradePending</t>
  </si>
  <si>
    <t>65</t>
  </si>
  <si>
    <t>West Creek Financial</t>
  </si>
  <si>
    <t>66</t>
  </si>
  <si>
    <t>CityLift Parking</t>
  </si>
  <si>
    <t>67</t>
  </si>
  <si>
    <t>Associated Veterans</t>
  </si>
  <si>
    <t>68</t>
  </si>
  <si>
    <t>Fetch Rewards</t>
  </si>
  <si>
    <t>69</t>
  </si>
  <si>
    <t>10X Genomics</t>
  </si>
  <si>
    <t>70</t>
  </si>
  <si>
    <t>4th &amp; Heart</t>
  </si>
  <si>
    <t>71</t>
  </si>
  <si>
    <t>GreenPrint</t>
  </si>
  <si>
    <t>72</t>
  </si>
  <si>
    <t>Sky Marketing Corporation</t>
  </si>
  <si>
    <t>73</t>
  </si>
  <si>
    <t>Pendo</t>
  </si>
  <si>
    <t>74</t>
  </si>
  <si>
    <t>Core Software Technologies</t>
  </si>
  <si>
    <t>75</t>
  </si>
  <si>
    <t>EcoSystems</t>
  </si>
  <si>
    <t>76</t>
  </si>
  <si>
    <t>Brickell Men's Products</t>
  </si>
  <si>
    <t>ME</t>
  </si>
  <si>
    <t>77</t>
  </si>
  <si>
    <t>Patton Warehousing</t>
  </si>
  <si>
    <t>78</t>
  </si>
  <si>
    <t>SydanTech</t>
  </si>
  <si>
    <t>2000</t>
  </si>
  <si>
    <t>79</t>
  </si>
  <si>
    <t>WT Stevens Construction</t>
  </si>
  <si>
    <t>2002</t>
  </si>
  <si>
    <t>80</t>
  </si>
  <si>
    <t>Wandrd</t>
  </si>
  <si>
    <t>81</t>
  </si>
  <si>
    <t>Confidio</t>
  </si>
  <si>
    <t>82</t>
  </si>
  <si>
    <t>Dynamic Logistix</t>
  </si>
  <si>
    <t>KS</t>
  </si>
  <si>
    <t>83</t>
  </si>
  <si>
    <t>Asset Panda</t>
  </si>
  <si>
    <t>SeaBay Building Group</t>
  </si>
  <si>
    <t>84</t>
  </si>
  <si>
    <t>Blue Fire Leads</t>
  </si>
  <si>
    <t>85</t>
  </si>
  <si>
    <t>Loanatik</t>
  </si>
  <si>
    <t>86</t>
  </si>
  <si>
    <t>SupportNinja</t>
  </si>
  <si>
    <t>87</t>
  </si>
  <si>
    <t>Grove Collaborative</t>
  </si>
  <si>
    <t>88</t>
  </si>
  <si>
    <t>Cisoshare</t>
  </si>
  <si>
    <t>89</t>
  </si>
  <si>
    <t>DigitalOnUS</t>
  </si>
  <si>
    <t>90</t>
  </si>
  <si>
    <t>GForce Life Sciences</t>
  </si>
  <si>
    <t>IL</t>
  </si>
  <si>
    <t>91</t>
  </si>
  <si>
    <t>Capitol Bridge</t>
  </si>
  <si>
    <t>92</t>
  </si>
  <si>
    <t>Kentucky Counseling Center</t>
  </si>
  <si>
    <t>93</t>
  </si>
  <si>
    <t>Shefit</t>
  </si>
  <si>
    <t>94</t>
  </si>
  <si>
    <t>US Mobile</t>
  </si>
  <si>
    <t>95</t>
  </si>
  <si>
    <t>Feedonomics</t>
  </si>
  <si>
    <t>96</t>
  </si>
  <si>
    <t>Amenity Health</t>
  </si>
  <si>
    <t>97</t>
  </si>
  <si>
    <t>Payability</t>
  </si>
  <si>
    <t>98</t>
  </si>
  <si>
    <t>Eagle Transport and Logistics</t>
  </si>
  <si>
    <t>99</t>
  </si>
  <si>
    <t>ShipBob</t>
  </si>
  <si>
    <t>100</t>
  </si>
  <si>
    <t>Powerhome Solar</t>
  </si>
  <si>
    <t>101</t>
  </si>
  <si>
    <t>LendingOne</t>
  </si>
  <si>
    <t>102</t>
  </si>
  <si>
    <t>OwnBackup</t>
  </si>
  <si>
    <t>103</t>
  </si>
  <si>
    <t>Invictus International Consulting</t>
  </si>
  <si>
    <t>104</t>
  </si>
  <si>
    <t>Go Energistics</t>
  </si>
  <si>
    <t>105</t>
  </si>
  <si>
    <t>Total Expert</t>
  </si>
  <si>
    <t>106</t>
  </si>
  <si>
    <t>BuzzyBooth</t>
  </si>
  <si>
    <t>107</t>
  </si>
  <si>
    <t>Carolin Soldo Coaching &amp; Events</t>
  </si>
  <si>
    <t>108</t>
  </si>
  <si>
    <t>Cognira</t>
  </si>
  <si>
    <t>109</t>
  </si>
  <si>
    <t>B3 Group</t>
  </si>
  <si>
    <t>110</t>
  </si>
  <si>
    <t>Inspiranza Designs</t>
  </si>
  <si>
    <t>2005</t>
  </si>
  <si>
    <t>111</t>
  </si>
  <si>
    <t>OnesourcePCS</t>
  </si>
  <si>
    <t>112</t>
  </si>
  <si>
    <t>Cience Technologies</t>
  </si>
  <si>
    <t>113</t>
  </si>
  <si>
    <t>Austin Cryo Ventures</t>
  </si>
  <si>
    <t>114</t>
  </si>
  <si>
    <t>Sweet Loren's</t>
  </si>
  <si>
    <t>115</t>
  </si>
  <si>
    <t>Copper</t>
  </si>
  <si>
    <t>116</t>
  </si>
  <si>
    <t>5 Star Roofing and Restoration</t>
  </si>
  <si>
    <t>117</t>
  </si>
  <si>
    <t>DigitalCrafts</t>
  </si>
  <si>
    <t>Education</t>
  </si>
  <si>
    <t>118</t>
  </si>
  <si>
    <t>LoadUp Technologies</t>
  </si>
  <si>
    <t>119</t>
  </si>
  <si>
    <t>SkillSet Group</t>
  </si>
  <si>
    <t>120</t>
  </si>
  <si>
    <t>Ally Logistics</t>
  </si>
  <si>
    <t>121</t>
  </si>
  <si>
    <t>BAMFi</t>
  </si>
  <si>
    <t>122</t>
  </si>
  <si>
    <t>Potoo</t>
  </si>
  <si>
    <t>CT</t>
  </si>
  <si>
    <t>123</t>
  </si>
  <si>
    <t>Parsons Xtreme Golf</t>
  </si>
  <si>
    <t>124</t>
  </si>
  <si>
    <t>Onfleet</t>
  </si>
  <si>
    <t>125</t>
  </si>
  <si>
    <t>PatientPop</t>
  </si>
  <si>
    <t>126</t>
  </si>
  <si>
    <t>Gravity IT Resources</t>
  </si>
  <si>
    <t>127</t>
  </si>
  <si>
    <t>MedLab International</t>
  </si>
  <si>
    <t>128</t>
  </si>
  <si>
    <t>Equity &amp; Help</t>
  </si>
  <si>
    <t>129</t>
  </si>
  <si>
    <t>Ridgeline International</t>
  </si>
  <si>
    <t>130</t>
  </si>
  <si>
    <t>China Metal Solutions</t>
  </si>
  <si>
    <t>131</t>
  </si>
  <si>
    <t>BlueSky Resource Solutions</t>
  </si>
  <si>
    <t>132</t>
  </si>
  <si>
    <t>Centauri Health Solutions</t>
  </si>
  <si>
    <t>133</t>
  </si>
  <si>
    <t>CellTrade NY</t>
  </si>
  <si>
    <t>134</t>
  </si>
  <si>
    <t>Exabeam</t>
  </si>
  <si>
    <t>135</t>
  </si>
  <si>
    <t>Kinsmen Group</t>
  </si>
  <si>
    <t>136</t>
  </si>
  <si>
    <t>Owens Recovery Science</t>
  </si>
  <si>
    <t>137</t>
  </si>
  <si>
    <t>WinIt</t>
  </si>
  <si>
    <t>138</t>
  </si>
  <si>
    <t>Techolution</t>
  </si>
  <si>
    <t>139</t>
  </si>
  <si>
    <t>Solvix Solutions</t>
  </si>
  <si>
    <t>140</t>
  </si>
  <si>
    <t>LoveBug Probiotics</t>
  </si>
  <si>
    <t>141</t>
  </si>
  <si>
    <t>Nationwide Pharmaceutical</t>
  </si>
  <si>
    <t>142</t>
  </si>
  <si>
    <t>Freedom Forever</t>
  </si>
  <si>
    <t>143</t>
  </si>
  <si>
    <t>Alpha Omega Integration</t>
  </si>
  <si>
    <t>144</t>
  </si>
  <si>
    <t>Arsenal Strength</t>
  </si>
  <si>
    <t>145</t>
  </si>
  <si>
    <t>Capital Brand Group</t>
  </si>
  <si>
    <t>146</t>
  </si>
  <si>
    <t>FedWriters</t>
  </si>
  <si>
    <t>147</t>
  </si>
  <si>
    <t>Sethmar Transportation</t>
  </si>
  <si>
    <t>1999</t>
  </si>
  <si>
    <t>148</t>
  </si>
  <si>
    <t>Hyperion Partners</t>
  </si>
  <si>
    <t>NV</t>
  </si>
  <si>
    <t>149</t>
  </si>
  <si>
    <t>Arcalea</t>
  </si>
  <si>
    <t>150</t>
  </si>
  <si>
    <t>Haga Kommer</t>
  </si>
  <si>
    <t>ND</t>
  </si>
  <si>
    <t>151</t>
  </si>
  <si>
    <t>Waggl</t>
  </si>
  <si>
    <t>152</t>
  </si>
  <si>
    <t>Roman Roofing</t>
  </si>
  <si>
    <t>153</t>
  </si>
  <si>
    <t>Akumina</t>
  </si>
  <si>
    <t>NH</t>
  </si>
  <si>
    <t>154</t>
  </si>
  <si>
    <t>ShipMonk</t>
  </si>
  <si>
    <t>155</t>
  </si>
  <si>
    <t>BrillMedia.co</t>
  </si>
  <si>
    <t>156</t>
  </si>
  <si>
    <t>Rocket Insights</t>
  </si>
  <si>
    <t>157</t>
  </si>
  <si>
    <t>Tridant Solutions</t>
  </si>
  <si>
    <t>158</t>
  </si>
  <si>
    <t>ESC Choice</t>
  </si>
  <si>
    <t>159</t>
  </si>
  <si>
    <t>Nugget</t>
  </si>
  <si>
    <t>160</t>
  </si>
  <si>
    <t>Octopi Brewing</t>
  </si>
  <si>
    <t>161</t>
  </si>
  <si>
    <t>KnowBe4</t>
  </si>
  <si>
    <t>162</t>
  </si>
  <si>
    <t>Kinect Solar</t>
  </si>
  <si>
    <t>163</t>
  </si>
  <si>
    <t>ComplianceQuest</t>
  </si>
  <si>
    <t>164</t>
  </si>
  <si>
    <t>DecisionPoint</t>
  </si>
  <si>
    <t>165</t>
  </si>
  <si>
    <t>Bombas</t>
  </si>
  <si>
    <t>166</t>
  </si>
  <si>
    <t>Jonas Paul Eyewear</t>
  </si>
  <si>
    <t>167</t>
  </si>
  <si>
    <t>Tamimi Pharmacy</t>
  </si>
  <si>
    <t>168</t>
  </si>
  <si>
    <t>Ad Hoc</t>
  </si>
  <si>
    <t>169</t>
  </si>
  <si>
    <t>Valify</t>
  </si>
  <si>
    <t>170</t>
  </si>
  <si>
    <t>Sapper Consulting</t>
  </si>
  <si>
    <t>MO</t>
  </si>
  <si>
    <t>171</t>
  </si>
  <si>
    <t>Privy</t>
  </si>
  <si>
    <t>172</t>
  </si>
  <si>
    <t>Scooch</t>
  </si>
  <si>
    <t>IN</t>
  </si>
  <si>
    <t>173</t>
  </si>
  <si>
    <t>Monkedia</t>
  </si>
  <si>
    <t>174</t>
  </si>
  <si>
    <t>UPshow</t>
  </si>
  <si>
    <t>175</t>
  </si>
  <si>
    <t>CampusLogic</t>
  </si>
  <si>
    <t>176</t>
  </si>
  <si>
    <t>PCC Cleaning and Maintenance</t>
  </si>
  <si>
    <t>177</t>
  </si>
  <si>
    <t>Quirk Creative</t>
  </si>
  <si>
    <t>178</t>
  </si>
  <si>
    <t>Tricopian</t>
  </si>
  <si>
    <t>179</t>
  </si>
  <si>
    <t>Efficient Home Services of Florida</t>
  </si>
  <si>
    <t>180</t>
  </si>
  <si>
    <t>Fitness Cubed</t>
  </si>
  <si>
    <t>181</t>
  </si>
  <si>
    <t>Velox Media</t>
  </si>
  <si>
    <t>182</t>
  </si>
  <si>
    <t>1Link Technology</t>
  </si>
  <si>
    <t>183</t>
  </si>
  <si>
    <t>Quadrant Resource</t>
  </si>
  <si>
    <t>184</t>
  </si>
  <si>
    <t>MyHealth</t>
  </si>
  <si>
    <t>185</t>
  </si>
  <si>
    <t>Velocity Global</t>
  </si>
  <si>
    <t>186</t>
  </si>
  <si>
    <t>Oseth Group</t>
  </si>
  <si>
    <t>187</t>
  </si>
  <si>
    <t>Koia</t>
  </si>
  <si>
    <t>188</t>
  </si>
  <si>
    <t>Sifted</t>
  </si>
  <si>
    <t>189</t>
  </si>
  <si>
    <t>PRx Performance</t>
  </si>
  <si>
    <t>190</t>
  </si>
  <si>
    <t>Universal Yums</t>
  </si>
  <si>
    <t>191</t>
  </si>
  <si>
    <t>Bridge Brothers</t>
  </si>
  <si>
    <t>192</t>
  </si>
  <si>
    <t>Dynamic Systems Technology</t>
  </si>
  <si>
    <t>1995</t>
  </si>
  <si>
    <t>193</t>
  </si>
  <si>
    <t>Supinf Technologies</t>
  </si>
  <si>
    <t>194</t>
  </si>
  <si>
    <t>Davis Cargo</t>
  </si>
  <si>
    <t>195</t>
  </si>
  <si>
    <t>Polaris Energy Services</t>
  </si>
  <si>
    <t>196</t>
  </si>
  <si>
    <t>SetSchedule</t>
  </si>
  <si>
    <t>197</t>
  </si>
  <si>
    <t>L2 Defense</t>
  </si>
  <si>
    <t>198</t>
  </si>
  <si>
    <t>Motivosity</t>
  </si>
  <si>
    <t>199</t>
  </si>
  <si>
    <t>Advoc8</t>
  </si>
  <si>
    <t>DC</t>
  </si>
  <si>
    <t>200</t>
  </si>
  <si>
    <t>Real Plans</t>
  </si>
  <si>
    <t>201</t>
  </si>
  <si>
    <t>Axiom Strategies</t>
  </si>
  <si>
    <t>202</t>
  </si>
  <si>
    <t>Midway Staffing</t>
  </si>
  <si>
    <t>203</t>
  </si>
  <si>
    <t>Perfect Part</t>
  </si>
  <si>
    <t>204</t>
  </si>
  <si>
    <t>Silverline Home Remodeling</t>
  </si>
  <si>
    <t>205</t>
  </si>
  <si>
    <t>Maxim Zenwise Opco</t>
  </si>
  <si>
    <t>206</t>
  </si>
  <si>
    <t>World Housing Solution</t>
  </si>
  <si>
    <t>207</t>
  </si>
  <si>
    <t>City Ventures</t>
  </si>
  <si>
    <t>NE</t>
  </si>
  <si>
    <t>208</t>
  </si>
  <si>
    <t>Web Presence</t>
  </si>
  <si>
    <t>209</t>
  </si>
  <si>
    <t>Energy Earth</t>
  </si>
  <si>
    <t>210</t>
  </si>
  <si>
    <t>Empowered Electric</t>
  </si>
  <si>
    <t>211</t>
  </si>
  <si>
    <t>Bookkeeper Business Launch</t>
  </si>
  <si>
    <t>WY</t>
  </si>
  <si>
    <t>212</t>
  </si>
  <si>
    <t>Noom</t>
  </si>
  <si>
    <t>213</t>
  </si>
  <si>
    <t>Zenith Engineers</t>
  </si>
  <si>
    <t>Engineering</t>
  </si>
  <si>
    <t>214</t>
  </si>
  <si>
    <t>Let's Make A Lead</t>
  </si>
  <si>
    <t>215</t>
  </si>
  <si>
    <t>Momentum Solar</t>
  </si>
  <si>
    <t>216</t>
  </si>
  <si>
    <t>Radius Networks</t>
  </si>
  <si>
    <t>217</t>
  </si>
  <si>
    <t>Fattmerchant</t>
  </si>
  <si>
    <t>218</t>
  </si>
  <si>
    <t>Infinium Group</t>
  </si>
  <si>
    <t>219</t>
  </si>
  <si>
    <t>Memory.net</t>
  </si>
  <si>
    <t>220</t>
  </si>
  <si>
    <t>FactoryPure</t>
  </si>
  <si>
    <t>221</t>
  </si>
  <si>
    <t>Untappd</t>
  </si>
  <si>
    <t>222</t>
  </si>
  <si>
    <t>MikMak</t>
  </si>
  <si>
    <t>223</t>
  </si>
  <si>
    <t>Fusion Recruiting Labs</t>
  </si>
  <si>
    <t>224</t>
  </si>
  <si>
    <t>Office Libations</t>
  </si>
  <si>
    <t>225</t>
  </si>
  <si>
    <t>Broker Online Exchange</t>
  </si>
  <si>
    <t>226</t>
  </si>
  <si>
    <t>ODL Services</t>
  </si>
  <si>
    <t>227</t>
  </si>
  <si>
    <t>Platinum Health</t>
  </si>
  <si>
    <t>228</t>
  </si>
  <si>
    <t>Avelead</t>
  </si>
  <si>
    <t>229</t>
  </si>
  <si>
    <t>CMG-Midwest</t>
  </si>
  <si>
    <t>230</t>
  </si>
  <si>
    <t>Quince Orchard Psychotherapy</t>
  </si>
  <si>
    <t>231</t>
  </si>
  <si>
    <t>RedShelf</t>
  </si>
  <si>
    <t>232</t>
  </si>
  <si>
    <t>TransAmerica Express Logistics</t>
  </si>
  <si>
    <t>233</t>
  </si>
  <si>
    <t>Flipcause</t>
  </si>
  <si>
    <t>234</t>
  </si>
  <si>
    <t>Simply NUC</t>
  </si>
  <si>
    <t>235</t>
  </si>
  <si>
    <t>Virtual Machine Solutions</t>
  </si>
  <si>
    <t>236</t>
  </si>
  <si>
    <t>Gateway Genomics</t>
  </si>
  <si>
    <t>237</t>
  </si>
  <si>
    <t>Strativia</t>
  </si>
  <si>
    <t>238</t>
  </si>
  <si>
    <t>ClockShark</t>
  </si>
  <si>
    <t>239</t>
  </si>
  <si>
    <t>TriFold</t>
  </si>
  <si>
    <t>240</t>
  </si>
  <si>
    <t>Energy Ogre</t>
  </si>
  <si>
    <t>241</t>
  </si>
  <si>
    <t>D. Ott Construction</t>
  </si>
  <si>
    <t>242</t>
  </si>
  <si>
    <t>Medisuite</t>
  </si>
  <si>
    <t>243</t>
  </si>
  <si>
    <t>MYTA Technologies</t>
  </si>
  <si>
    <t>244</t>
  </si>
  <si>
    <t>Deal Partners</t>
  </si>
  <si>
    <t>245</t>
  </si>
  <si>
    <t>Tier4 Group</t>
  </si>
  <si>
    <t>246</t>
  </si>
  <si>
    <t>IES</t>
  </si>
  <si>
    <t>247</t>
  </si>
  <si>
    <t>ResiCap</t>
  </si>
  <si>
    <t>248</t>
  </si>
  <si>
    <t>Transcend Security Solutions</t>
  </si>
  <si>
    <t>249</t>
  </si>
  <si>
    <t>GlobalTex USA</t>
  </si>
  <si>
    <t>250</t>
  </si>
  <si>
    <t>Vespa Group</t>
  </si>
  <si>
    <t>251</t>
  </si>
  <si>
    <t>Bridgewater Homes</t>
  </si>
  <si>
    <t>252</t>
  </si>
  <si>
    <t>Park Financial Group</t>
  </si>
  <si>
    <t>253</t>
  </si>
  <si>
    <t>Chronovo</t>
  </si>
  <si>
    <t>254</t>
  </si>
  <si>
    <t>Maverick Media Ventures</t>
  </si>
  <si>
    <t>255</t>
  </si>
  <si>
    <t>Kortx</t>
  </si>
  <si>
    <t>256</t>
  </si>
  <si>
    <t>Bawla Consulting</t>
  </si>
  <si>
    <t>257</t>
  </si>
  <si>
    <t>Pawstruck</t>
  </si>
  <si>
    <t>258</t>
  </si>
  <si>
    <t>Blue Raven Solar</t>
  </si>
  <si>
    <t>259</t>
  </si>
  <si>
    <t>Woom Bikes USA</t>
  </si>
  <si>
    <t>260</t>
  </si>
  <si>
    <t>Mixt Solutions</t>
  </si>
  <si>
    <t>261</t>
  </si>
  <si>
    <t>ThrivePass</t>
  </si>
  <si>
    <t>262</t>
  </si>
  <si>
    <t>Premier Health Solutions</t>
  </si>
  <si>
    <t>263</t>
  </si>
  <si>
    <t>Impact Analytics</t>
  </si>
  <si>
    <t>264</t>
  </si>
  <si>
    <t>Hemper</t>
  </si>
  <si>
    <t>265</t>
  </si>
  <si>
    <t>Intermex</t>
  </si>
  <si>
    <t>266</t>
  </si>
  <si>
    <t>PatientBond</t>
  </si>
  <si>
    <t>267</t>
  </si>
  <si>
    <t>Ginn Group</t>
  </si>
  <si>
    <t>268</t>
  </si>
  <si>
    <t>PANTHERX Rare</t>
  </si>
  <si>
    <t>269</t>
  </si>
  <si>
    <t>Factorial Digital</t>
  </si>
  <si>
    <t>SC</t>
  </si>
  <si>
    <t>270</t>
  </si>
  <si>
    <t>T-Rex Solutions</t>
  </si>
  <si>
    <t>271</t>
  </si>
  <si>
    <t>Toops</t>
  </si>
  <si>
    <t>272</t>
  </si>
  <si>
    <t>InfuseMedia</t>
  </si>
  <si>
    <t>273</t>
  </si>
  <si>
    <t>Teachable</t>
  </si>
  <si>
    <t>274</t>
  </si>
  <si>
    <t>Squadhelp.com</t>
  </si>
  <si>
    <t>275</t>
  </si>
  <si>
    <t>Take2 Consulting</t>
  </si>
  <si>
    <t>276</t>
  </si>
  <si>
    <t>Epion Health</t>
  </si>
  <si>
    <t>277</t>
  </si>
  <si>
    <t>Gotcha Media Holdings</t>
  </si>
  <si>
    <t>278</t>
  </si>
  <si>
    <t>Kyzen Consulting Services</t>
  </si>
  <si>
    <t>279</t>
  </si>
  <si>
    <t>CheckedUp</t>
  </si>
  <si>
    <t>280</t>
  </si>
  <si>
    <t>Cultivate Advisors</t>
  </si>
  <si>
    <t>281</t>
  </si>
  <si>
    <t>Advisors Education</t>
  </si>
  <si>
    <t>282</t>
  </si>
  <si>
    <t>Recleim</t>
  </si>
  <si>
    <t>283</t>
  </si>
  <si>
    <t>Maddox Industrial Transformer</t>
  </si>
  <si>
    <t>284</t>
  </si>
  <si>
    <t>Mako Medical Laboratories</t>
  </si>
  <si>
    <t>285</t>
  </si>
  <si>
    <t>Alert Media</t>
  </si>
  <si>
    <t>286</t>
  </si>
  <si>
    <t>Southern Veterinary Partners</t>
  </si>
  <si>
    <t>287</t>
  </si>
  <si>
    <t>Flexicrew Technical Services</t>
  </si>
  <si>
    <t>LA</t>
  </si>
  <si>
    <t>288</t>
  </si>
  <si>
    <t>Texas Beauty Labs</t>
  </si>
  <si>
    <t>289</t>
  </si>
  <si>
    <t>Scientist.com</t>
  </si>
  <si>
    <t>290</t>
  </si>
  <si>
    <t>Hennessey Consulting</t>
  </si>
  <si>
    <t>291</t>
  </si>
  <si>
    <t>Meleeo</t>
  </si>
  <si>
    <t>292</t>
  </si>
  <si>
    <t>SNA International</t>
  </si>
  <si>
    <t>293</t>
  </si>
  <si>
    <t>Staymobile</t>
  </si>
  <si>
    <t>294</t>
  </si>
  <si>
    <t>Amani Enterprises</t>
  </si>
  <si>
    <t>295</t>
  </si>
  <si>
    <t>Privateer IT</t>
  </si>
  <si>
    <t>296</t>
  </si>
  <si>
    <t>Discuss.io</t>
  </si>
  <si>
    <t>297</t>
  </si>
  <si>
    <t>Dollar Fulfillment</t>
  </si>
  <si>
    <t>298</t>
  </si>
  <si>
    <t>Domino Data Lab</t>
  </si>
  <si>
    <t>299</t>
  </si>
  <si>
    <t>LYFE Marketing</t>
  </si>
  <si>
    <t>300</t>
  </si>
  <si>
    <t>Alivi</t>
  </si>
  <si>
    <t>301</t>
  </si>
  <si>
    <t>EETech Media</t>
  </si>
  <si>
    <t>302</t>
  </si>
  <si>
    <t>Gravis Law</t>
  </si>
  <si>
    <t>303</t>
  </si>
  <si>
    <t>Cousins Logistics</t>
  </si>
  <si>
    <t>304</t>
  </si>
  <si>
    <t>Position2</t>
  </si>
  <si>
    <t>305</t>
  </si>
  <si>
    <t>BentoBox CMS</t>
  </si>
  <si>
    <t>306</t>
  </si>
  <si>
    <t>Symbol Health Solutions</t>
  </si>
  <si>
    <t>307</t>
  </si>
  <si>
    <t>Crisp Video Group</t>
  </si>
  <si>
    <t>308</t>
  </si>
  <si>
    <t>Sand Cloud</t>
  </si>
  <si>
    <t>309</t>
  </si>
  <si>
    <t>Wrapify</t>
  </si>
  <si>
    <t>310</t>
  </si>
  <si>
    <t>Iuvo Logistics</t>
  </si>
  <si>
    <t>311</t>
  </si>
  <si>
    <t>Group 10 Capital</t>
  </si>
  <si>
    <t>312</t>
  </si>
  <si>
    <t>Basemakers</t>
  </si>
  <si>
    <t>313</t>
  </si>
  <si>
    <t>Tossware</t>
  </si>
  <si>
    <t>314</t>
  </si>
  <si>
    <t>360ia</t>
  </si>
  <si>
    <t>315</t>
  </si>
  <si>
    <t>NextGen Leads</t>
  </si>
  <si>
    <t>316</t>
  </si>
  <si>
    <t>ColtonCooper</t>
  </si>
  <si>
    <t>317</t>
  </si>
  <si>
    <t>HANDLE</t>
  </si>
  <si>
    <t>318</t>
  </si>
  <si>
    <t>BestSelf Ventures</t>
  </si>
  <si>
    <t>319</t>
  </si>
  <si>
    <t>TazKai</t>
  </si>
  <si>
    <t>320</t>
  </si>
  <si>
    <t>Cumulus Networks</t>
  </si>
  <si>
    <t>321</t>
  </si>
  <si>
    <t>OppLoans</t>
  </si>
  <si>
    <t>322</t>
  </si>
  <si>
    <t>Common Thread Collective</t>
  </si>
  <si>
    <t>323</t>
  </si>
  <si>
    <t>Cloudbeds</t>
  </si>
  <si>
    <t>324</t>
  </si>
  <si>
    <t>Vested Metals International</t>
  </si>
  <si>
    <t>325</t>
  </si>
  <si>
    <t>Platt Cheema Richmond</t>
  </si>
  <si>
    <t>326</t>
  </si>
  <si>
    <t>Revelry</t>
  </si>
  <si>
    <t>327</t>
  </si>
  <si>
    <t>QOS Networks</t>
  </si>
  <si>
    <t>328</t>
  </si>
  <si>
    <t>Koddi</t>
  </si>
  <si>
    <t>329</t>
  </si>
  <si>
    <t>Change Media Group</t>
  </si>
  <si>
    <t>330</t>
  </si>
  <si>
    <t>BLDG-25</t>
  </si>
  <si>
    <t>331</t>
  </si>
  <si>
    <t>Dropoff</t>
  </si>
  <si>
    <t>332</t>
  </si>
  <si>
    <t>Modavate</t>
  </si>
  <si>
    <t>333</t>
  </si>
  <si>
    <t>Arcus Financial Intelligence</t>
  </si>
  <si>
    <t>334</t>
  </si>
  <si>
    <t>Digital Resource</t>
  </si>
  <si>
    <t>335</t>
  </si>
  <si>
    <t>Girikon</t>
  </si>
  <si>
    <t>336</t>
  </si>
  <si>
    <t>Liberty Rent Guarantee</t>
  </si>
  <si>
    <t>337</t>
  </si>
  <si>
    <t>Inflowlogistics</t>
  </si>
  <si>
    <t>338</t>
  </si>
  <si>
    <t>Pymetrics</t>
  </si>
  <si>
    <t>339</t>
  </si>
  <si>
    <t>Madewell Construction</t>
  </si>
  <si>
    <t>340</t>
  </si>
  <si>
    <t>Power Target</t>
  </si>
  <si>
    <t>341</t>
  </si>
  <si>
    <t>Bidwise</t>
  </si>
  <si>
    <t>PR</t>
  </si>
  <si>
    <t>342</t>
  </si>
  <si>
    <t>Wavicle Data Solutions</t>
  </si>
  <si>
    <t>343</t>
  </si>
  <si>
    <t>Red Seat Ventures</t>
  </si>
  <si>
    <t>344</t>
  </si>
  <si>
    <t>reCommerce</t>
  </si>
  <si>
    <t>345</t>
  </si>
  <si>
    <t>Design Pickle</t>
  </si>
  <si>
    <t>346</t>
  </si>
  <si>
    <t>Hyperice</t>
  </si>
  <si>
    <t>347</t>
  </si>
  <si>
    <t>Synfiny Advisors</t>
  </si>
  <si>
    <t>348</t>
  </si>
  <si>
    <t>MNS1 Express</t>
  </si>
  <si>
    <t>349</t>
  </si>
  <si>
    <t>TomboyX</t>
  </si>
  <si>
    <t>350</t>
  </si>
  <si>
    <t>ShopPad</t>
  </si>
  <si>
    <t>351</t>
  </si>
  <si>
    <t>Carta</t>
  </si>
  <si>
    <t>352</t>
  </si>
  <si>
    <t>SnackNation</t>
  </si>
  <si>
    <t>353</t>
  </si>
  <si>
    <t>Staffing as a Mission</t>
  </si>
  <si>
    <t>354</t>
  </si>
  <si>
    <t>Azure Knowledge</t>
  </si>
  <si>
    <t>355</t>
  </si>
  <si>
    <t>Element78 Partners</t>
  </si>
  <si>
    <t>356</t>
  </si>
  <si>
    <t>inVibe Labs</t>
  </si>
  <si>
    <t>357</t>
  </si>
  <si>
    <t>SimpleNexus</t>
  </si>
  <si>
    <t>358</t>
  </si>
  <si>
    <t>The Language Group</t>
  </si>
  <si>
    <t>359</t>
  </si>
  <si>
    <t>Green Bits</t>
  </si>
  <si>
    <t>360</t>
  </si>
  <si>
    <t>M2M In Motion</t>
  </si>
  <si>
    <t>361</t>
  </si>
  <si>
    <t>AdFicient</t>
  </si>
  <si>
    <t>362</t>
  </si>
  <si>
    <t>Raddish Kids</t>
  </si>
  <si>
    <t>363</t>
  </si>
  <si>
    <t>Titan Mechanical</t>
  </si>
  <si>
    <t>364</t>
  </si>
  <si>
    <t>NanaMacs Clothing</t>
  </si>
  <si>
    <t>365</t>
  </si>
  <si>
    <t>Perimeter Security Partners</t>
  </si>
  <si>
    <t>366</t>
  </si>
  <si>
    <t>LYNC Logistics</t>
  </si>
  <si>
    <t>367</t>
  </si>
  <si>
    <t>Cox Residential</t>
  </si>
  <si>
    <t>368</t>
  </si>
  <si>
    <t>Stealth-ISS Group</t>
  </si>
  <si>
    <t>369</t>
  </si>
  <si>
    <t>Seeq Corporation</t>
  </si>
  <si>
    <t>370</t>
  </si>
  <si>
    <t>M7 Services</t>
  </si>
  <si>
    <t>371</t>
  </si>
  <si>
    <t>Healthy Human</t>
  </si>
  <si>
    <t>372</t>
  </si>
  <si>
    <t>Professional Hair Labs</t>
  </si>
  <si>
    <t>1994</t>
  </si>
  <si>
    <t>373</t>
  </si>
  <si>
    <t>Strategic Alliance Business Group</t>
  </si>
  <si>
    <t>374</t>
  </si>
  <si>
    <t>Synup</t>
  </si>
  <si>
    <t>375</t>
  </si>
  <si>
    <t>First Stop Health</t>
  </si>
  <si>
    <t>376</t>
  </si>
  <si>
    <t>BoxyCharm</t>
  </si>
  <si>
    <t>377</t>
  </si>
  <si>
    <t>WearMe Pro</t>
  </si>
  <si>
    <t>378</t>
  </si>
  <si>
    <t>Vidoori</t>
  </si>
  <si>
    <t>379</t>
  </si>
  <si>
    <t>Stackify</t>
  </si>
  <si>
    <t>380</t>
  </si>
  <si>
    <t>XY - The Persistent Company</t>
  </si>
  <si>
    <t>381</t>
  </si>
  <si>
    <t>Dental Intelligence</t>
  </si>
  <si>
    <t>382</t>
  </si>
  <si>
    <t>PowerInbox</t>
  </si>
  <si>
    <t>383</t>
  </si>
  <si>
    <t>SimpleTire</t>
  </si>
  <si>
    <t>384</t>
  </si>
  <si>
    <t>Creative State Marketing</t>
  </si>
  <si>
    <t>385</t>
  </si>
  <si>
    <t>UrbanStems</t>
  </si>
  <si>
    <t>386</t>
  </si>
  <si>
    <t>GCubed Enterprises</t>
  </si>
  <si>
    <t>387</t>
  </si>
  <si>
    <t>VideoAmp</t>
  </si>
  <si>
    <t>388</t>
  </si>
  <si>
    <t>SweetScience Marketing</t>
  </si>
  <si>
    <t>389</t>
  </si>
  <si>
    <t>Rented.com</t>
  </si>
  <si>
    <t>390</t>
  </si>
  <si>
    <t>Lakarya</t>
  </si>
  <si>
    <t>391</t>
  </si>
  <si>
    <t>Cosset</t>
  </si>
  <si>
    <t>392</t>
  </si>
  <si>
    <t>Tomahawk Strategic Solutions</t>
  </si>
  <si>
    <t>393</t>
  </si>
  <si>
    <t>Della Infotech</t>
  </si>
  <si>
    <t>394</t>
  </si>
  <si>
    <t>Realvolve</t>
  </si>
  <si>
    <t>395</t>
  </si>
  <si>
    <t>Edvenswa Tech</t>
  </si>
  <si>
    <t>396</t>
  </si>
  <si>
    <t>UpNest</t>
  </si>
  <si>
    <t>397</t>
  </si>
  <si>
    <t>Double Wood</t>
  </si>
  <si>
    <t>398</t>
  </si>
  <si>
    <t>Van Law Firm</t>
  </si>
  <si>
    <t>399</t>
  </si>
  <si>
    <t>Mobile Text Alerts</t>
  </si>
  <si>
    <t>400</t>
  </si>
  <si>
    <t>Apogee Stores</t>
  </si>
  <si>
    <t>401</t>
  </si>
  <si>
    <t>New Credit America</t>
  </si>
  <si>
    <t>OR</t>
  </si>
  <si>
    <t>402</t>
  </si>
  <si>
    <t>Bore Tech Utilities</t>
  </si>
  <si>
    <t>403</t>
  </si>
  <si>
    <t>Anna Marie Events</t>
  </si>
  <si>
    <t>404</t>
  </si>
  <si>
    <t>Pattern</t>
  </si>
  <si>
    <t>405</t>
  </si>
  <si>
    <t>Advanced Operations Partners</t>
  </si>
  <si>
    <t>406</t>
  </si>
  <si>
    <t>Newline Interactive</t>
  </si>
  <si>
    <t>407</t>
  </si>
  <si>
    <t>Groove.co</t>
  </si>
  <si>
    <t>408</t>
  </si>
  <si>
    <t>G2</t>
  </si>
  <si>
    <t>409</t>
  </si>
  <si>
    <t>Lean Staffing Solutions</t>
  </si>
  <si>
    <t>410</t>
  </si>
  <si>
    <t>Vigene Biosciences</t>
  </si>
  <si>
    <t>411</t>
  </si>
  <si>
    <t>Pitisci &amp; Associates</t>
  </si>
  <si>
    <t>412</t>
  </si>
  <si>
    <t>CouponCause.com</t>
  </si>
  <si>
    <t>413</t>
  </si>
  <si>
    <t>Arrive Logistics</t>
  </si>
  <si>
    <t>414</t>
  </si>
  <si>
    <t>Integrity Cargo Solutions</t>
  </si>
  <si>
    <t>415</t>
  </si>
  <si>
    <t>Wireless Everywhere</t>
  </si>
  <si>
    <t>416</t>
  </si>
  <si>
    <t>AudienceX</t>
  </si>
  <si>
    <t>417</t>
  </si>
  <si>
    <t>SOCi</t>
  </si>
  <si>
    <t>418</t>
  </si>
  <si>
    <t>Advanced Architectural Products</t>
  </si>
  <si>
    <t>419</t>
  </si>
  <si>
    <t>Proper Media</t>
  </si>
  <si>
    <t>420</t>
  </si>
  <si>
    <t>Dispatch Technologies</t>
  </si>
  <si>
    <t>421</t>
  </si>
  <si>
    <t>Kisi Security</t>
  </si>
  <si>
    <t>422</t>
  </si>
  <si>
    <t>BridgeTech</t>
  </si>
  <si>
    <t>423</t>
  </si>
  <si>
    <t>Boomerang Transportation</t>
  </si>
  <si>
    <t>424</t>
  </si>
  <si>
    <t>E&amp;M Technologies</t>
  </si>
  <si>
    <t>425</t>
  </si>
  <si>
    <t>Advertise Purple</t>
  </si>
  <si>
    <t>426</t>
  </si>
  <si>
    <t>Spike Brewing Equipment</t>
  </si>
  <si>
    <t>427</t>
  </si>
  <si>
    <t>Pathway Vet Alliance</t>
  </si>
  <si>
    <t>2003</t>
  </si>
  <si>
    <t>428</t>
  </si>
  <si>
    <t>Bailey's Blossoms</t>
  </si>
  <si>
    <t>429</t>
  </si>
  <si>
    <t>Simple Technology Solutions</t>
  </si>
  <si>
    <t>430</t>
  </si>
  <si>
    <t>SkyRun Breckenridge</t>
  </si>
  <si>
    <t>431</t>
  </si>
  <si>
    <t>Clean Juice</t>
  </si>
  <si>
    <t>432</t>
  </si>
  <si>
    <t>InGenius Prep</t>
  </si>
  <si>
    <t>433</t>
  </si>
  <si>
    <t>Aysco Technology Integration</t>
  </si>
  <si>
    <t>1988</t>
  </si>
  <si>
    <t>434</t>
  </si>
  <si>
    <t>Kenna Security</t>
  </si>
  <si>
    <t>435</t>
  </si>
  <si>
    <t>CarLotz</t>
  </si>
  <si>
    <t>436</t>
  </si>
  <si>
    <t>Assured Consulting Solutions</t>
  </si>
  <si>
    <t>437</t>
  </si>
  <si>
    <t>The Garrett Companies</t>
  </si>
  <si>
    <t>438</t>
  </si>
  <si>
    <t>Era Transport</t>
  </si>
  <si>
    <t>439</t>
  </si>
  <si>
    <t>M-Communications</t>
  </si>
  <si>
    <t>440</t>
  </si>
  <si>
    <t>ClickFunnels</t>
  </si>
  <si>
    <t>441</t>
  </si>
  <si>
    <t>BCM London</t>
  </si>
  <si>
    <t>442</t>
  </si>
  <si>
    <t>Uptime</t>
  </si>
  <si>
    <t>1985</t>
  </si>
  <si>
    <t>443</t>
  </si>
  <si>
    <t>Competitive Range Solutions</t>
  </si>
  <si>
    <t>444</t>
  </si>
  <si>
    <t>Real Broker</t>
  </si>
  <si>
    <t>445</t>
  </si>
  <si>
    <t>Buhler Commercial</t>
  </si>
  <si>
    <t>446</t>
  </si>
  <si>
    <t>Trailhead Marketing</t>
  </si>
  <si>
    <t>447</t>
  </si>
  <si>
    <t>Factor 75</t>
  </si>
  <si>
    <t>448</t>
  </si>
  <si>
    <t>Algolia</t>
  </si>
  <si>
    <t>449</t>
  </si>
  <si>
    <t>Midway Dental Supply</t>
  </si>
  <si>
    <t>1984</t>
  </si>
  <si>
    <t>450</t>
  </si>
  <si>
    <t>eAudit</t>
  </si>
  <si>
    <t>451</t>
  </si>
  <si>
    <t>Panagora Group</t>
  </si>
  <si>
    <t>452</t>
  </si>
  <si>
    <t>MCI</t>
  </si>
  <si>
    <t>IA</t>
  </si>
  <si>
    <t>453</t>
  </si>
  <si>
    <t>Abrams Realty</t>
  </si>
  <si>
    <t>454</t>
  </si>
  <si>
    <t>Pelican Waste &amp; Debris</t>
  </si>
  <si>
    <t>455</t>
  </si>
  <si>
    <t>Gametime</t>
  </si>
  <si>
    <t>456</t>
  </si>
  <si>
    <t>Morning Lavender</t>
  </si>
  <si>
    <t>457</t>
  </si>
  <si>
    <t>Keypath Education</t>
  </si>
  <si>
    <t>458</t>
  </si>
  <si>
    <t>Thigo International</t>
  </si>
  <si>
    <t>459</t>
  </si>
  <si>
    <t>Saved By The Dress</t>
  </si>
  <si>
    <t>460</t>
  </si>
  <si>
    <t>Starc Systems</t>
  </si>
  <si>
    <t>461</t>
  </si>
  <si>
    <t>Angel Heart Boutique</t>
  </si>
  <si>
    <t>OK</t>
  </si>
  <si>
    <t>462</t>
  </si>
  <si>
    <t>ARM Consulting</t>
  </si>
  <si>
    <t>463</t>
  </si>
  <si>
    <t>Chacka Marketing</t>
  </si>
  <si>
    <t>464</t>
  </si>
  <si>
    <t>MapleMark Bank</t>
  </si>
  <si>
    <t>1909</t>
  </si>
  <si>
    <t>465</t>
  </si>
  <si>
    <t>Vonlane</t>
  </si>
  <si>
    <t>466</t>
  </si>
  <si>
    <t>Prosper Group</t>
  </si>
  <si>
    <t>467</t>
  </si>
  <si>
    <t>Point3 Security</t>
  </si>
  <si>
    <t>468</t>
  </si>
  <si>
    <t>Directive</t>
  </si>
  <si>
    <t>469</t>
  </si>
  <si>
    <t>Alkami Technology</t>
  </si>
  <si>
    <t>470</t>
  </si>
  <si>
    <t>QuickBox Fulfillment</t>
  </si>
  <si>
    <t>471</t>
  </si>
  <si>
    <t>SandsRx</t>
  </si>
  <si>
    <t>472</t>
  </si>
  <si>
    <t>The Building People</t>
  </si>
  <si>
    <t>473</t>
  </si>
  <si>
    <t>The SnapBar</t>
  </si>
  <si>
    <t>474</t>
  </si>
  <si>
    <t>FitSmallBusiness.com</t>
  </si>
  <si>
    <t>475</t>
  </si>
  <si>
    <t>Powerful Professionals</t>
  </si>
  <si>
    <t>2001</t>
  </si>
  <si>
    <t>476</t>
  </si>
  <si>
    <t>Probo Medical</t>
  </si>
  <si>
    <t>477</t>
  </si>
  <si>
    <t>Spotio</t>
  </si>
  <si>
    <t>478</t>
  </si>
  <si>
    <t>Prime Meridian Capital Management</t>
  </si>
  <si>
    <t>479</t>
  </si>
  <si>
    <t>Fox Dealer</t>
  </si>
  <si>
    <t>480</t>
  </si>
  <si>
    <t>Kubikware</t>
  </si>
  <si>
    <t>481</t>
  </si>
  <si>
    <t>Rocket Referrals</t>
  </si>
  <si>
    <t>482</t>
  </si>
  <si>
    <t>Bonusly</t>
  </si>
  <si>
    <t>483</t>
  </si>
  <si>
    <t>Trident Transport</t>
  </si>
  <si>
    <t>484</t>
  </si>
  <si>
    <t>The Fila Group</t>
  </si>
  <si>
    <t>485</t>
  </si>
  <si>
    <t>Seaman's Beverage and Logistics</t>
  </si>
  <si>
    <t>486</t>
  </si>
  <si>
    <t>ServiceTitan</t>
  </si>
  <si>
    <t>487</t>
  </si>
  <si>
    <t>BlueWave Solar</t>
  </si>
  <si>
    <t>488</t>
  </si>
  <si>
    <t>Resource Financial</t>
  </si>
  <si>
    <t>489</t>
  </si>
  <si>
    <t>Saprex</t>
  </si>
  <si>
    <t>490</t>
  </si>
  <si>
    <t>Simple Energy</t>
  </si>
  <si>
    <t>491</t>
  </si>
  <si>
    <t>New Energy Equity</t>
  </si>
  <si>
    <t>492</t>
  </si>
  <si>
    <t>Vedder Holsters</t>
  </si>
  <si>
    <t>493</t>
  </si>
  <si>
    <t>FloWater</t>
  </si>
  <si>
    <t>494</t>
  </si>
  <si>
    <t>Vaughan Buckley Construction</t>
  </si>
  <si>
    <t>495</t>
  </si>
  <si>
    <t>Acacia Counseling &amp; Wellness</t>
  </si>
  <si>
    <t>496</t>
  </si>
  <si>
    <t>Every Door Real Estate</t>
  </si>
  <si>
    <t>497</t>
  </si>
  <si>
    <t>Thought Logic Consulting</t>
  </si>
  <si>
    <t>498</t>
  </si>
  <si>
    <t>PBG Consulting</t>
  </si>
  <si>
    <t>499</t>
  </si>
  <si>
    <t>Sarvicus</t>
  </si>
  <si>
    <t>500</t>
  </si>
  <si>
    <t>Universal Processing</t>
  </si>
  <si>
    <t>501</t>
  </si>
  <si>
    <t>The Apella Group</t>
  </si>
  <si>
    <t>502</t>
  </si>
  <si>
    <t>Lemonaid Health</t>
  </si>
  <si>
    <t>503</t>
  </si>
  <si>
    <t>Coulee Techlink</t>
  </si>
  <si>
    <t>504</t>
  </si>
  <si>
    <t>Transform Group</t>
  </si>
  <si>
    <t>505</t>
  </si>
  <si>
    <t>JP Ecommerce</t>
  </si>
  <si>
    <t>506</t>
  </si>
  <si>
    <t>Hardcore Fitness Boot Camp</t>
  </si>
  <si>
    <t>507</t>
  </si>
  <si>
    <t>cellhelmet</t>
  </si>
  <si>
    <t>508</t>
  </si>
  <si>
    <t>Conga</t>
  </si>
  <si>
    <t>509</t>
  </si>
  <si>
    <t>Blast Tech</t>
  </si>
  <si>
    <t>510</t>
  </si>
  <si>
    <t>LoanPaymentPro</t>
  </si>
  <si>
    <t>511</t>
  </si>
  <si>
    <t>Admera Health</t>
  </si>
  <si>
    <t>512</t>
  </si>
  <si>
    <t>Professional Realty Services International</t>
  </si>
  <si>
    <t>513</t>
  </si>
  <si>
    <t>Social Sparkling Wine</t>
  </si>
  <si>
    <t>514</t>
  </si>
  <si>
    <t>TicketSauce.com</t>
  </si>
  <si>
    <t>515</t>
  </si>
  <si>
    <t>ProSource360 Consulting Services</t>
  </si>
  <si>
    <t>516</t>
  </si>
  <si>
    <t>Spinnaker Consulting Group</t>
  </si>
  <si>
    <t>517</t>
  </si>
  <si>
    <t>Maxx Builders and Designers</t>
  </si>
  <si>
    <t>518</t>
  </si>
  <si>
    <t>Vape Guys</t>
  </si>
  <si>
    <t>519</t>
  </si>
  <si>
    <t>Y-Tech</t>
  </si>
  <si>
    <t>520</t>
  </si>
  <si>
    <t>Silver Trucking</t>
  </si>
  <si>
    <t>521</t>
  </si>
  <si>
    <t>Linux Academy</t>
  </si>
  <si>
    <t>522</t>
  </si>
  <si>
    <t>Spartan Armor Systems</t>
  </si>
  <si>
    <t>523</t>
  </si>
  <si>
    <t>Mainsail Group</t>
  </si>
  <si>
    <t>524</t>
  </si>
  <si>
    <t>Baybridge Pharmacy Corp</t>
  </si>
  <si>
    <t>525</t>
  </si>
  <si>
    <t>Quantico Tactical</t>
  </si>
  <si>
    <t>526</t>
  </si>
  <si>
    <t>Knewsales Group</t>
  </si>
  <si>
    <t>527</t>
  </si>
  <si>
    <t>Beauty Bakerie Cosmetics Brand</t>
  </si>
  <si>
    <t>528</t>
  </si>
  <si>
    <t>Two Bulls</t>
  </si>
  <si>
    <t>529</t>
  </si>
  <si>
    <t>Nickel &amp; Suede</t>
  </si>
  <si>
    <t>530</t>
  </si>
  <si>
    <t>Teknismart Solutions</t>
  </si>
  <si>
    <t>531</t>
  </si>
  <si>
    <t>Sprout School Supplies</t>
  </si>
  <si>
    <t>532</t>
  </si>
  <si>
    <t>Kuli Kuli Foods</t>
  </si>
  <si>
    <t>533</t>
  </si>
  <si>
    <t>LifeHealth</t>
  </si>
  <si>
    <t>534</t>
  </si>
  <si>
    <t>Peaxy</t>
  </si>
  <si>
    <t>535</t>
  </si>
  <si>
    <t>Private Label Extensions</t>
  </si>
  <si>
    <t>536</t>
  </si>
  <si>
    <t>Retail Service Systems</t>
  </si>
  <si>
    <t>537</t>
  </si>
  <si>
    <t>Icon Building Supplies</t>
  </si>
  <si>
    <t>538</t>
  </si>
  <si>
    <t>Prime Technical Services</t>
  </si>
  <si>
    <t>539</t>
  </si>
  <si>
    <t>Hyper Networks</t>
  </si>
  <si>
    <t>540</t>
  </si>
  <si>
    <t>Out of the Box Technology</t>
  </si>
  <si>
    <t>541</t>
  </si>
  <si>
    <t>Aldevra</t>
  </si>
  <si>
    <t>542</t>
  </si>
  <si>
    <t>Native Digital</t>
  </si>
  <si>
    <t>543</t>
  </si>
  <si>
    <t>Karya Property Management</t>
  </si>
  <si>
    <t>544</t>
  </si>
  <si>
    <t>Full Circle Brands</t>
  </si>
  <si>
    <t>545</t>
  </si>
  <si>
    <t>Harbor Compliance</t>
  </si>
  <si>
    <t>546</t>
  </si>
  <si>
    <t>LEDMyplace.com</t>
  </si>
  <si>
    <t>547</t>
  </si>
  <si>
    <t>NEXgistics</t>
  </si>
  <si>
    <t>548</t>
  </si>
  <si>
    <t>Concourse Federal Group</t>
  </si>
  <si>
    <t>549</t>
  </si>
  <si>
    <t>Elite Insurance Partners</t>
  </si>
  <si>
    <t>550</t>
  </si>
  <si>
    <t>SBGA</t>
  </si>
  <si>
    <t>551</t>
  </si>
  <si>
    <t>Pentwater Furnishing</t>
  </si>
  <si>
    <t>552</t>
  </si>
  <si>
    <t>BayInfotech</t>
  </si>
  <si>
    <t>553</t>
  </si>
  <si>
    <t>XY Planning Network</t>
  </si>
  <si>
    <t>554</t>
  </si>
  <si>
    <t>Gymguyz</t>
  </si>
  <si>
    <t>555</t>
  </si>
  <si>
    <t>Steward Construction Services</t>
  </si>
  <si>
    <t>556</t>
  </si>
  <si>
    <t>Fusion</t>
  </si>
  <si>
    <t>557</t>
  </si>
  <si>
    <t>PositivePsyche.Biz Corp</t>
  </si>
  <si>
    <t>558</t>
  </si>
  <si>
    <t>GridGain Systems</t>
  </si>
  <si>
    <t>559</t>
  </si>
  <si>
    <t>Levvel</t>
  </si>
  <si>
    <t>560</t>
  </si>
  <si>
    <t>Employdrive</t>
  </si>
  <si>
    <t>561</t>
  </si>
  <si>
    <t>BairesDev</t>
  </si>
  <si>
    <t>562</t>
  </si>
  <si>
    <t>TripleLift</t>
  </si>
  <si>
    <t>563</t>
  </si>
  <si>
    <t>Digital Hyve</t>
  </si>
  <si>
    <t>564</t>
  </si>
  <si>
    <t>Printful</t>
  </si>
  <si>
    <t>565</t>
  </si>
  <si>
    <t>Ashley Black Guru</t>
  </si>
  <si>
    <t>566</t>
  </si>
  <si>
    <t>Phoenix Operations Group</t>
  </si>
  <si>
    <t>567</t>
  </si>
  <si>
    <t>Talk IQ Media</t>
  </si>
  <si>
    <t>568</t>
  </si>
  <si>
    <t>GovernmentCIO</t>
  </si>
  <si>
    <t>569</t>
  </si>
  <si>
    <t>Draken International</t>
  </si>
  <si>
    <t>570</t>
  </si>
  <si>
    <t>Tierra Encantada</t>
  </si>
  <si>
    <t>571</t>
  </si>
  <si>
    <t>The Digital Ring</t>
  </si>
  <si>
    <t>572</t>
  </si>
  <si>
    <t>FNEX</t>
  </si>
  <si>
    <t>573</t>
  </si>
  <si>
    <t>Elite Transit Solutions</t>
  </si>
  <si>
    <t>574</t>
  </si>
  <si>
    <t>Nexus Pharmaceuticals</t>
  </si>
  <si>
    <t>575</t>
  </si>
  <si>
    <t>Dynamo Technologies</t>
  </si>
  <si>
    <t>576</t>
  </si>
  <si>
    <t>Dignari</t>
  </si>
  <si>
    <t>577</t>
  </si>
  <si>
    <t>All-Pro Electric</t>
  </si>
  <si>
    <t>578</t>
  </si>
  <si>
    <t>Alphacore</t>
  </si>
  <si>
    <t>579</t>
  </si>
  <si>
    <t>Breakthrough Physical Therapy Marketing</t>
  </si>
  <si>
    <t>580</t>
  </si>
  <si>
    <t>Kingsview Partners</t>
  </si>
  <si>
    <t>581</t>
  </si>
  <si>
    <t>GlobalPro Recovery</t>
  </si>
  <si>
    <t>582</t>
  </si>
  <si>
    <t>FreeAlliance.com</t>
  </si>
  <si>
    <t>583</t>
  </si>
  <si>
    <t>HealthCare.com</t>
  </si>
  <si>
    <t>584</t>
  </si>
  <si>
    <t>Ansley Operating Holding Company</t>
  </si>
  <si>
    <t>585</t>
  </si>
  <si>
    <t>Blue Marble Payroll</t>
  </si>
  <si>
    <t>586</t>
  </si>
  <si>
    <t>Green Powered Technology</t>
  </si>
  <si>
    <t>587</t>
  </si>
  <si>
    <t>Conversion Logix</t>
  </si>
  <si>
    <t>588</t>
  </si>
  <si>
    <t>Jay Morrison Academy</t>
  </si>
  <si>
    <t>589</t>
  </si>
  <si>
    <t>Anson Belt</t>
  </si>
  <si>
    <t>590</t>
  </si>
  <si>
    <t>Braeden Engineering</t>
  </si>
  <si>
    <t>591</t>
  </si>
  <si>
    <t>Social Fulcrum</t>
  </si>
  <si>
    <t>592</t>
  </si>
  <si>
    <t>Trinity Technology Partners</t>
  </si>
  <si>
    <t>593</t>
  </si>
  <si>
    <t>Vetnique Pet Products</t>
  </si>
  <si>
    <t>594</t>
  </si>
  <si>
    <t>JBK Wellness Labs</t>
  </si>
  <si>
    <t>595</t>
  </si>
  <si>
    <t>cloudIT</t>
  </si>
  <si>
    <t>596</t>
  </si>
  <si>
    <t>The Shredder + MedShred</t>
  </si>
  <si>
    <t>597</t>
  </si>
  <si>
    <t>Tranont</t>
  </si>
  <si>
    <t>598</t>
  </si>
  <si>
    <t>Nyla Technology Solutions</t>
  </si>
  <si>
    <t>599</t>
  </si>
  <si>
    <t>Azazie</t>
  </si>
  <si>
    <t>600</t>
  </si>
  <si>
    <t>Vuesol Technologies</t>
  </si>
  <si>
    <t>601</t>
  </si>
  <si>
    <t>Black Spectacles</t>
  </si>
  <si>
    <t>602</t>
  </si>
  <si>
    <t>Tractleads</t>
  </si>
  <si>
    <t>603</t>
  </si>
  <si>
    <t>HealthFlex Home Health Services</t>
  </si>
  <si>
    <t>604</t>
  </si>
  <si>
    <t>Fieldwork Brewing Company</t>
  </si>
  <si>
    <t>605</t>
  </si>
  <si>
    <t>Chewy</t>
  </si>
  <si>
    <t>606</t>
  </si>
  <si>
    <t>Chloeta</t>
  </si>
  <si>
    <t>607</t>
  </si>
  <si>
    <t>Enshored</t>
  </si>
  <si>
    <t>608</t>
  </si>
  <si>
    <t>Ingrain Construction</t>
  </si>
  <si>
    <t>609</t>
  </si>
  <si>
    <t>eduPresent</t>
  </si>
  <si>
    <t>610</t>
  </si>
  <si>
    <t>Sendlane</t>
  </si>
  <si>
    <t>611</t>
  </si>
  <si>
    <t>Simply Nutrition</t>
  </si>
  <si>
    <t>612</t>
  </si>
  <si>
    <t>MobiChord</t>
  </si>
  <si>
    <t>613</t>
  </si>
  <si>
    <t>Interim HealthCare</t>
  </si>
  <si>
    <t>614</t>
  </si>
  <si>
    <t>Fundera</t>
  </si>
  <si>
    <t>615</t>
  </si>
  <si>
    <t>AdvisoryCloud</t>
  </si>
  <si>
    <t>616</t>
  </si>
  <si>
    <t>Merchology</t>
  </si>
  <si>
    <t>617</t>
  </si>
  <si>
    <t>Cintel</t>
  </si>
  <si>
    <t>618</t>
  </si>
  <si>
    <t>Fletcher Construction</t>
  </si>
  <si>
    <t>619</t>
  </si>
  <si>
    <t>TechAnax</t>
  </si>
  <si>
    <t>620</t>
  </si>
  <si>
    <t>Green Street Power Partners</t>
  </si>
  <si>
    <t>621</t>
  </si>
  <si>
    <t>Evergreen Market</t>
  </si>
  <si>
    <t>622</t>
  </si>
  <si>
    <t>Mohawk Group Holdings</t>
  </si>
  <si>
    <t>623</t>
  </si>
  <si>
    <t>Nav</t>
  </si>
  <si>
    <t>624</t>
  </si>
  <si>
    <t>ERP Global</t>
  </si>
  <si>
    <t>625</t>
  </si>
  <si>
    <t>Saligram Systems</t>
  </si>
  <si>
    <t>626</t>
  </si>
  <si>
    <t>Smart Roofs Solar</t>
  </si>
  <si>
    <t>627</t>
  </si>
  <si>
    <t>BOS Security</t>
  </si>
  <si>
    <t>1993</t>
  </si>
  <si>
    <t>628</t>
  </si>
  <si>
    <t>Bustle Digital Group</t>
  </si>
  <si>
    <t>629</t>
  </si>
  <si>
    <t>Alchemy 365</t>
  </si>
  <si>
    <t>630</t>
  </si>
  <si>
    <t>WheelHouse Solutions</t>
  </si>
  <si>
    <t>631</t>
  </si>
  <si>
    <t>Pearson Smith Realty</t>
  </si>
  <si>
    <t>632</t>
  </si>
  <si>
    <t>Zennify</t>
  </si>
  <si>
    <t>633</t>
  </si>
  <si>
    <t>5Q Partners</t>
  </si>
  <si>
    <t>634</t>
  </si>
  <si>
    <t>Vcheck Global</t>
  </si>
  <si>
    <t>635</t>
  </si>
  <si>
    <t>Zolli Candy</t>
  </si>
  <si>
    <t>636</t>
  </si>
  <si>
    <t>Innowave Marketing Group</t>
  </si>
  <si>
    <t>637</t>
  </si>
  <si>
    <t>CMR Construction &amp; Roofing</t>
  </si>
  <si>
    <t>638</t>
  </si>
  <si>
    <t>Strategic Digital Services</t>
  </si>
  <si>
    <t>639</t>
  </si>
  <si>
    <t>Kettlebell Kings</t>
  </si>
  <si>
    <t>640</t>
  </si>
  <si>
    <t>Rebbl</t>
  </si>
  <si>
    <t>641</t>
  </si>
  <si>
    <t>Thinx</t>
  </si>
  <si>
    <t>642</t>
  </si>
  <si>
    <t>BottleKeeper</t>
  </si>
  <si>
    <t>643</t>
  </si>
  <si>
    <t>Standard Freight</t>
  </si>
  <si>
    <t>644</t>
  </si>
  <si>
    <t>BMNT Partners</t>
  </si>
  <si>
    <t>645</t>
  </si>
  <si>
    <t>Driftless Glen Distillery</t>
  </si>
  <si>
    <t>646</t>
  </si>
  <si>
    <t>CustomPictureFrames.com</t>
  </si>
  <si>
    <t>647</t>
  </si>
  <si>
    <t>Agillitics</t>
  </si>
  <si>
    <t>648</t>
  </si>
  <si>
    <t>Nivid Infotech</t>
  </si>
  <si>
    <t>649</t>
  </si>
  <si>
    <t>UrbanBCN Worldwide</t>
  </si>
  <si>
    <t>650</t>
  </si>
  <si>
    <t>Maggie Louise Confections</t>
  </si>
  <si>
    <t>651</t>
  </si>
  <si>
    <t>Willy's</t>
  </si>
  <si>
    <t>652</t>
  </si>
  <si>
    <t>Quicksilver Scientific</t>
  </si>
  <si>
    <t>653</t>
  </si>
  <si>
    <t>Directional Services</t>
  </si>
  <si>
    <t>654</t>
  </si>
  <si>
    <t>NexusTek</t>
  </si>
  <si>
    <t>1996</t>
  </si>
  <si>
    <t>655</t>
  </si>
  <si>
    <t>NativePath</t>
  </si>
  <si>
    <t>656</t>
  </si>
  <si>
    <t>Eagle Pipe</t>
  </si>
  <si>
    <t>657</t>
  </si>
  <si>
    <t>o9 Solutions</t>
  </si>
  <si>
    <t>658</t>
  </si>
  <si>
    <t>SH Mechanical</t>
  </si>
  <si>
    <t>659</t>
  </si>
  <si>
    <t>GeistM</t>
  </si>
  <si>
    <t>660</t>
  </si>
  <si>
    <t>Coherent Staffing Solutions</t>
  </si>
  <si>
    <t>661</t>
  </si>
  <si>
    <t>GrandView Aviation</t>
  </si>
  <si>
    <t>662</t>
  </si>
  <si>
    <t>CTW Group</t>
  </si>
  <si>
    <t>663</t>
  </si>
  <si>
    <t>ORC Utility &amp; Infrastructure Land Services</t>
  </si>
  <si>
    <t>664</t>
  </si>
  <si>
    <t>Satelles</t>
  </si>
  <si>
    <t>665</t>
  </si>
  <si>
    <t>Apex Dental Partners</t>
  </si>
  <si>
    <t>666</t>
  </si>
  <si>
    <t>OneStream Software</t>
  </si>
  <si>
    <t>667</t>
  </si>
  <si>
    <t>National Insurance Consulting Group</t>
  </si>
  <si>
    <t>668</t>
  </si>
  <si>
    <t>Solvegy</t>
  </si>
  <si>
    <t>669</t>
  </si>
  <si>
    <t>Spruce InfoTech</t>
  </si>
  <si>
    <t>670</t>
  </si>
  <si>
    <t>Smart City Locating</t>
  </si>
  <si>
    <t>671</t>
  </si>
  <si>
    <t>The Cabana Group</t>
  </si>
  <si>
    <t>AR</t>
  </si>
  <si>
    <t>672</t>
  </si>
  <si>
    <t>Ideal Concepts</t>
  </si>
  <si>
    <t>673</t>
  </si>
  <si>
    <t>VividCortex</t>
  </si>
  <si>
    <t>674</t>
  </si>
  <si>
    <t>Green Threads</t>
  </si>
  <si>
    <t>675</t>
  </si>
  <si>
    <t>C Evans Consulting</t>
  </si>
  <si>
    <t>676</t>
  </si>
  <si>
    <t>Village Realty</t>
  </si>
  <si>
    <t>677</t>
  </si>
  <si>
    <t>Be Social</t>
  </si>
  <si>
    <t>678</t>
  </si>
  <si>
    <t>Incorporate Massage</t>
  </si>
  <si>
    <t>679</t>
  </si>
  <si>
    <t>SHR Consulting Group</t>
  </si>
  <si>
    <t>680</t>
  </si>
  <si>
    <t>Insticator</t>
  </si>
  <si>
    <t>681</t>
  </si>
  <si>
    <t>Ardent Pest Control</t>
  </si>
  <si>
    <t>682</t>
  </si>
  <si>
    <t>Relief Factor</t>
  </si>
  <si>
    <t>683</t>
  </si>
  <si>
    <t>Aura Financial Corporation</t>
  </si>
  <si>
    <t>684</t>
  </si>
  <si>
    <t>Emerald Pools and Spas</t>
  </si>
  <si>
    <t>685</t>
  </si>
  <si>
    <t>Vydia</t>
  </si>
  <si>
    <t>686</t>
  </si>
  <si>
    <t>Emergent Method</t>
  </si>
  <si>
    <t>687</t>
  </si>
  <si>
    <t>MBCO Engineering.</t>
  </si>
  <si>
    <t>688</t>
  </si>
  <si>
    <t>ConcealFab Corporation</t>
  </si>
  <si>
    <t>689</t>
  </si>
  <si>
    <t>CapStone Technologies</t>
  </si>
  <si>
    <t>690</t>
  </si>
  <si>
    <t>Evolution Event Solutions</t>
  </si>
  <si>
    <t>691</t>
  </si>
  <si>
    <t>Patient Care Coordination</t>
  </si>
  <si>
    <t>692</t>
  </si>
  <si>
    <t>Sun Mountain</t>
  </si>
  <si>
    <t>693</t>
  </si>
  <si>
    <t>ChromebookParts.com</t>
  </si>
  <si>
    <t>694</t>
  </si>
  <si>
    <t>Ad Victoriam Solutions</t>
  </si>
  <si>
    <t>695</t>
  </si>
  <si>
    <t>Acliviti</t>
  </si>
  <si>
    <t>696</t>
  </si>
  <si>
    <t>Talent Solvers</t>
  </si>
  <si>
    <t>697</t>
  </si>
  <si>
    <t>Retention Science (ReSci)</t>
  </si>
  <si>
    <t>698</t>
  </si>
  <si>
    <t>Hotel Rehabs</t>
  </si>
  <si>
    <t>699</t>
  </si>
  <si>
    <t>Ibotta</t>
  </si>
  <si>
    <t>700</t>
  </si>
  <si>
    <t>Foundation Software Group</t>
  </si>
  <si>
    <t>701</t>
  </si>
  <si>
    <t>CanSource</t>
  </si>
  <si>
    <t>702</t>
  </si>
  <si>
    <t>MedTrust Medical Transport</t>
  </si>
  <si>
    <t>703</t>
  </si>
  <si>
    <t>123 Home Care</t>
  </si>
  <si>
    <t>704</t>
  </si>
  <si>
    <t>Spark.Orange</t>
  </si>
  <si>
    <t>705</t>
  </si>
  <si>
    <t>LeaseAccelerator</t>
  </si>
  <si>
    <t>706</t>
  </si>
  <si>
    <t>Zoom Video Communications</t>
  </si>
  <si>
    <t>707</t>
  </si>
  <si>
    <t>Xcaliber Solutions</t>
  </si>
  <si>
    <t>708</t>
  </si>
  <si>
    <t>Piano</t>
  </si>
  <si>
    <t>709</t>
  </si>
  <si>
    <t>PresPro Homes</t>
  </si>
  <si>
    <t>710</t>
  </si>
  <si>
    <t>Kruze Consulting</t>
  </si>
  <si>
    <t>711</t>
  </si>
  <si>
    <t>The Auto Cave</t>
  </si>
  <si>
    <t>712</t>
  </si>
  <si>
    <t>Funworks</t>
  </si>
  <si>
    <t>713</t>
  </si>
  <si>
    <t>Sevan Multi-Site Solutions</t>
  </si>
  <si>
    <t>714</t>
  </si>
  <si>
    <t>Qubole</t>
  </si>
  <si>
    <t>715</t>
  </si>
  <si>
    <t>Gather Workspaces</t>
  </si>
  <si>
    <t>716</t>
  </si>
  <si>
    <t>Ohio Cashflow</t>
  </si>
  <si>
    <t>717</t>
  </si>
  <si>
    <t>VSA</t>
  </si>
  <si>
    <t>718</t>
  </si>
  <si>
    <t>Stadiumred Group</t>
  </si>
  <si>
    <t>719</t>
  </si>
  <si>
    <t>Acuity Surgical</t>
  </si>
  <si>
    <t>720</t>
  </si>
  <si>
    <t>Evans Industrial</t>
  </si>
  <si>
    <t>721</t>
  </si>
  <si>
    <t>Mi-One Brands</t>
  </si>
  <si>
    <t>722</t>
  </si>
  <si>
    <t>Gather</t>
  </si>
  <si>
    <t>723</t>
  </si>
  <si>
    <t>Option Alpha</t>
  </si>
  <si>
    <t>724</t>
  </si>
  <si>
    <t>FP Property Restoration</t>
  </si>
  <si>
    <t>725</t>
  </si>
  <si>
    <t>Y7 Studio</t>
  </si>
  <si>
    <t>726</t>
  </si>
  <si>
    <t>Empire Flippers</t>
  </si>
  <si>
    <t>DE</t>
  </si>
  <si>
    <t>727</t>
  </si>
  <si>
    <t>Crossflow Technologies</t>
  </si>
  <si>
    <t>728</t>
  </si>
  <si>
    <t>Transworld Business Advisors - Rocky Mountain</t>
  </si>
  <si>
    <t>729</t>
  </si>
  <si>
    <t>Steward Partners Global Advisory</t>
  </si>
  <si>
    <t>730</t>
  </si>
  <si>
    <t>AppsFlyer</t>
  </si>
  <si>
    <t>731</t>
  </si>
  <si>
    <t>Ruby Has Fulfillment</t>
  </si>
  <si>
    <t>732</t>
  </si>
  <si>
    <t>Freed Marcroft</t>
  </si>
  <si>
    <t>733</t>
  </si>
  <si>
    <t>Broadleaf</t>
  </si>
  <si>
    <t>734</t>
  </si>
  <si>
    <t>Reduce</t>
  </si>
  <si>
    <t>735</t>
  </si>
  <si>
    <t>My Home Group Real Estate</t>
  </si>
  <si>
    <t>736</t>
  </si>
  <si>
    <t>100% Chiropractic</t>
  </si>
  <si>
    <t>737</t>
  </si>
  <si>
    <t>Media Creek</t>
  </si>
  <si>
    <t>738</t>
  </si>
  <si>
    <t>Snap! Mobile</t>
  </si>
  <si>
    <t>739</t>
  </si>
  <si>
    <t>Avionos</t>
  </si>
  <si>
    <t>740</t>
  </si>
  <si>
    <t>STRATIS IoT</t>
  </si>
  <si>
    <t>741</t>
  </si>
  <si>
    <t>HookBang</t>
  </si>
  <si>
    <t>742</t>
  </si>
  <si>
    <t>ExcelHealth</t>
  </si>
  <si>
    <t>743</t>
  </si>
  <si>
    <t>Blue Air Training</t>
  </si>
  <si>
    <t>744</t>
  </si>
  <si>
    <t>Katydid</t>
  </si>
  <si>
    <t>745</t>
  </si>
  <si>
    <t>JLE Industries</t>
  </si>
  <si>
    <t>746</t>
  </si>
  <si>
    <t>Kipsu</t>
  </si>
  <si>
    <t>747</t>
  </si>
  <si>
    <t>Urban Capital Group</t>
  </si>
  <si>
    <t>748</t>
  </si>
  <si>
    <t>Garage Champs</t>
  </si>
  <si>
    <t>749</t>
  </si>
  <si>
    <t>Epic Personnel Partners</t>
  </si>
  <si>
    <t>750</t>
  </si>
  <si>
    <t>Wayne Contracting</t>
  </si>
  <si>
    <t>751</t>
  </si>
  <si>
    <t>K2 Dental Arts</t>
  </si>
  <si>
    <t>752</t>
  </si>
  <si>
    <t>V3Gate</t>
  </si>
  <si>
    <t>753</t>
  </si>
  <si>
    <t>Visiture</t>
  </si>
  <si>
    <t>754</t>
  </si>
  <si>
    <t>RevUnit</t>
  </si>
  <si>
    <t>755</t>
  </si>
  <si>
    <t>CME Lending Group</t>
  </si>
  <si>
    <t>756</t>
  </si>
  <si>
    <t>Cira Infotech</t>
  </si>
  <si>
    <t>757</t>
  </si>
  <si>
    <t>Tallgrass Freight</t>
  </si>
  <si>
    <t>758</t>
  </si>
  <si>
    <t>Anchor Loans</t>
  </si>
  <si>
    <t>1998</t>
  </si>
  <si>
    <t>759</t>
  </si>
  <si>
    <t>Springbot</t>
  </si>
  <si>
    <t>760</t>
  </si>
  <si>
    <t>Forward Financing</t>
  </si>
  <si>
    <t>761</t>
  </si>
  <si>
    <t>Weave Communications</t>
  </si>
  <si>
    <t>762</t>
  </si>
  <si>
    <t>Dr. Squatch</t>
  </si>
  <si>
    <t>763</t>
  </si>
  <si>
    <t>Dagger</t>
  </si>
  <si>
    <t>764</t>
  </si>
  <si>
    <t>Stukent</t>
  </si>
  <si>
    <t>765</t>
  </si>
  <si>
    <t>Revived Exteriors</t>
  </si>
  <si>
    <t>766</t>
  </si>
  <si>
    <t>Ienjoy</t>
  </si>
  <si>
    <t>767</t>
  </si>
  <si>
    <t>The Hiring Group</t>
  </si>
  <si>
    <t>768</t>
  </si>
  <si>
    <t>Sehlke Consulting</t>
  </si>
  <si>
    <t>769</t>
  </si>
  <si>
    <t>Intellectsoft</t>
  </si>
  <si>
    <t>770</t>
  </si>
  <si>
    <t>Axiologic Solutions</t>
  </si>
  <si>
    <t>771</t>
  </si>
  <si>
    <t>Skar Audio</t>
  </si>
  <si>
    <t>772</t>
  </si>
  <si>
    <t>Amerikas</t>
  </si>
  <si>
    <t>773</t>
  </si>
  <si>
    <t>Clutch</t>
  </si>
  <si>
    <t>774</t>
  </si>
  <si>
    <t>The Garage Group</t>
  </si>
  <si>
    <t>775</t>
  </si>
  <si>
    <t>NewsWatch</t>
  </si>
  <si>
    <t>1989</t>
  </si>
  <si>
    <t>776</t>
  </si>
  <si>
    <t>Warrior Media</t>
  </si>
  <si>
    <t>777</t>
  </si>
  <si>
    <t>Unified Building Group</t>
  </si>
  <si>
    <t>778</t>
  </si>
  <si>
    <t>Team Adhoc</t>
  </si>
  <si>
    <t>779</t>
  </si>
  <si>
    <t>Dynamo</t>
  </si>
  <si>
    <t>780</t>
  </si>
  <si>
    <t>Kaimetrix</t>
  </si>
  <si>
    <t>781</t>
  </si>
  <si>
    <t>DSD Merchandisers</t>
  </si>
  <si>
    <t>782</t>
  </si>
  <si>
    <t>Synergy Home</t>
  </si>
  <si>
    <t>783</t>
  </si>
  <si>
    <t>RPM</t>
  </si>
  <si>
    <t>784</t>
  </si>
  <si>
    <t>AdCellerant</t>
  </si>
  <si>
    <t>785</t>
  </si>
  <si>
    <t>Branded Group</t>
  </si>
  <si>
    <t>786</t>
  </si>
  <si>
    <t>US Business Funding</t>
  </si>
  <si>
    <t>787</t>
  </si>
  <si>
    <t>ShipEX</t>
  </si>
  <si>
    <t>788</t>
  </si>
  <si>
    <t>The Rx Advocates</t>
  </si>
  <si>
    <t>789</t>
  </si>
  <si>
    <t>Octane Energy</t>
  </si>
  <si>
    <t>790</t>
  </si>
  <si>
    <t>The Leads Network</t>
  </si>
  <si>
    <t>791</t>
  </si>
  <si>
    <t>TruSource Consulting Group</t>
  </si>
  <si>
    <t>792</t>
  </si>
  <si>
    <t>JP Services</t>
  </si>
  <si>
    <t>793</t>
  </si>
  <si>
    <t>Blake Willson Group</t>
  </si>
  <si>
    <t>794</t>
  </si>
  <si>
    <t>CloudQ</t>
  </si>
  <si>
    <t>795</t>
  </si>
  <si>
    <t>Natix</t>
  </si>
  <si>
    <t>796</t>
  </si>
  <si>
    <t>Indev</t>
  </si>
  <si>
    <t>797</t>
  </si>
  <si>
    <t>TorkLaw</t>
  </si>
  <si>
    <t>798</t>
  </si>
  <si>
    <t>The Linked Strategies Group</t>
  </si>
  <si>
    <t>799</t>
  </si>
  <si>
    <t>Health Recovery Solutions</t>
  </si>
  <si>
    <t>800</t>
  </si>
  <si>
    <t>Foresight Wealth Management</t>
  </si>
  <si>
    <t>801</t>
  </si>
  <si>
    <t>Ingram Fire Protection</t>
  </si>
  <si>
    <t>802</t>
  </si>
  <si>
    <t>Spatial Front</t>
  </si>
  <si>
    <t>803</t>
  </si>
  <si>
    <t>Bean Box</t>
  </si>
  <si>
    <t>804</t>
  </si>
  <si>
    <t>Fifth Wheel Freight</t>
  </si>
  <si>
    <t>805</t>
  </si>
  <si>
    <t>US Cargo Link</t>
  </si>
  <si>
    <t>806</t>
  </si>
  <si>
    <t>IBEX IT Business Experts</t>
  </si>
  <si>
    <t>807</t>
  </si>
  <si>
    <t>Yoga International</t>
  </si>
  <si>
    <t>808</t>
  </si>
  <si>
    <t>Health and Commerce</t>
  </si>
  <si>
    <t>809</t>
  </si>
  <si>
    <t>Beauty by Earth</t>
  </si>
  <si>
    <t>810</t>
  </si>
  <si>
    <t>SupplyKick</t>
  </si>
  <si>
    <t>811</t>
  </si>
  <si>
    <t>Grillaholics</t>
  </si>
  <si>
    <t>812</t>
  </si>
  <si>
    <t>Zamp HR</t>
  </si>
  <si>
    <t>813</t>
  </si>
  <si>
    <t>Shepherd Search Group</t>
  </si>
  <si>
    <t>814</t>
  </si>
  <si>
    <t>BeauTech Power Systems</t>
  </si>
  <si>
    <t>815</t>
  </si>
  <si>
    <t>Proximity Learning</t>
  </si>
  <si>
    <t>816</t>
  </si>
  <si>
    <t>Olly</t>
  </si>
  <si>
    <t>817</t>
  </si>
  <si>
    <t>CGC Consulting</t>
  </si>
  <si>
    <t>818</t>
  </si>
  <si>
    <t>FyberCom</t>
  </si>
  <si>
    <t>819</t>
  </si>
  <si>
    <t>Ametros</t>
  </si>
  <si>
    <t>820</t>
  </si>
  <si>
    <t>Greek House</t>
  </si>
  <si>
    <t>821</t>
  </si>
  <si>
    <t>The Ricciardi Group</t>
  </si>
  <si>
    <t>822</t>
  </si>
  <si>
    <t>Blackstone Fire Control</t>
  </si>
  <si>
    <t>823</t>
  </si>
  <si>
    <t>Levementum</t>
  </si>
  <si>
    <t>824</t>
  </si>
  <si>
    <t>Key Tower</t>
  </si>
  <si>
    <t>825</t>
  </si>
  <si>
    <t>Kids in the Game</t>
  </si>
  <si>
    <t>826</t>
  </si>
  <si>
    <t>Hubb</t>
  </si>
  <si>
    <t>827</t>
  </si>
  <si>
    <t>Body del Sol Medical Spa</t>
  </si>
  <si>
    <t>828</t>
  </si>
  <si>
    <t>Xero Shoes</t>
  </si>
  <si>
    <t>829</t>
  </si>
  <si>
    <t>Bluecore</t>
  </si>
  <si>
    <t>830</t>
  </si>
  <si>
    <t>Valiant Residential</t>
  </si>
  <si>
    <t>1974</t>
  </si>
  <si>
    <t>831</t>
  </si>
  <si>
    <t>Flavors15</t>
  </si>
  <si>
    <t>832</t>
  </si>
  <si>
    <t>Passport</t>
  </si>
  <si>
    <t>833</t>
  </si>
  <si>
    <t>Integrative Physiatry</t>
  </si>
  <si>
    <t>834</t>
  </si>
  <si>
    <t>IPfolio</t>
  </si>
  <si>
    <t>835</t>
  </si>
  <si>
    <t>Southern Designs</t>
  </si>
  <si>
    <t>836</t>
  </si>
  <si>
    <t>Sabio Mobile</t>
  </si>
  <si>
    <t>837</t>
  </si>
  <si>
    <t>Tellenger</t>
  </si>
  <si>
    <t>838</t>
  </si>
  <si>
    <t>Kodiak Cakes</t>
  </si>
  <si>
    <t>839</t>
  </si>
  <si>
    <t>US Aluminum Services</t>
  </si>
  <si>
    <t>840</t>
  </si>
  <si>
    <t>Trellis</t>
  </si>
  <si>
    <t>841</t>
  </si>
  <si>
    <t>Sgt. Clean's Car Wash</t>
  </si>
  <si>
    <t>842</t>
  </si>
  <si>
    <t>CoSchedule</t>
  </si>
  <si>
    <t>843</t>
  </si>
  <si>
    <t>Merit321, Launching Careers</t>
  </si>
  <si>
    <t>844</t>
  </si>
  <si>
    <t>Freight Right Global Logistics</t>
  </si>
  <si>
    <t>845</t>
  </si>
  <si>
    <t>HQSoftware</t>
  </si>
  <si>
    <t>846</t>
  </si>
  <si>
    <t>Bond Collective</t>
  </si>
  <si>
    <t>847</t>
  </si>
  <si>
    <t>Boll &amp; Branch</t>
  </si>
  <si>
    <t>848</t>
  </si>
  <si>
    <t>ApplePie Capital</t>
  </si>
  <si>
    <t>849</t>
  </si>
  <si>
    <t>Carroll Organization</t>
  </si>
  <si>
    <t>850</t>
  </si>
  <si>
    <t>TESCHGlobal</t>
  </si>
  <si>
    <t>851</t>
  </si>
  <si>
    <t>ZeroBounce</t>
  </si>
  <si>
    <t>852</t>
  </si>
  <si>
    <t>Hubstaff</t>
  </si>
  <si>
    <t>853</t>
  </si>
  <si>
    <t>SEI-Chicago</t>
  </si>
  <si>
    <t>854</t>
  </si>
  <si>
    <t>Greenix Holdings</t>
  </si>
  <si>
    <t>855</t>
  </si>
  <si>
    <t>Flywheel</t>
  </si>
  <si>
    <t>856</t>
  </si>
  <si>
    <t>Clear Touch</t>
  </si>
  <si>
    <t>857</t>
  </si>
  <si>
    <t>Critical Project Services</t>
  </si>
  <si>
    <t>858</t>
  </si>
  <si>
    <t>Kaizen Media Group</t>
  </si>
  <si>
    <t>859</t>
  </si>
  <si>
    <t>Lyon Stahl Investment Real Estate</t>
  </si>
  <si>
    <t>860</t>
  </si>
  <si>
    <t>Wellbots</t>
  </si>
  <si>
    <t>861</t>
  </si>
  <si>
    <t>HomeWorks Energy</t>
  </si>
  <si>
    <t>862</t>
  </si>
  <si>
    <t>The Agency Texas</t>
  </si>
  <si>
    <t>863</t>
  </si>
  <si>
    <t>Hireology</t>
  </si>
  <si>
    <t>864</t>
  </si>
  <si>
    <t>Omaze</t>
  </si>
  <si>
    <t>865</t>
  </si>
  <si>
    <t>Billy Gene Is Marketing</t>
  </si>
  <si>
    <t>866</t>
  </si>
  <si>
    <t>Baseballism</t>
  </si>
  <si>
    <t>867</t>
  </si>
  <si>
    <t>Changeis</t>
  </si>
  <si>
    <t>868</t>
  </si>
  <si>
    <t>F3 MFG</t>
  </si>
  <si>
    <t>869</t>
  </si>
  <si>
    <t>Gimbal</t>
  </si>
  <si>
    <t>870</t>
  </si>
  <si>
    <t>Universal Windows Direct</t>
  </si>
  <si>
    <t>871</t>
  </si>
  <si>
    <t>CFOL International</t>
  </si>
  <si>
    <t>872</t>
  </si>
  <si>
    <t>VRC Metal Systems</t>
  </si>
  <si>
    <t>SD</t>
  </si>
  <si>
    <t>873</t>
  </si>
  <si>
    <t>Marketplace Ops</t>
  </si>
  <si>
    <t>874</t>
  </si>
  <si>
    <t>Walk West</t>
  </si>
  <si>
    <t>875</t>
  </si>
  <si>
    <t>Marketopia</t>
  </si>
  <si>
    <t>876</t>
  </si>
  <si>
    <t>B&amp;B Beverage Management</t>
  </si>
  <si>
    <t>877</t>
  </si>
  <si>
    <t>Zip Moving and Storage</t>
  </si>
  <si>
    <t>878</t>
  </si>
  <si>
    <t>Website Closers</t>
  </si>
  <si>
    <t>879</t>
  </si>
  <si>
    <t>ConversionPoint Technologies</t>
  </si>
  <si>
    <t>880</t>
  </si>
  <si>
    <t>Parrish and Partners</t>
  </si>
  <si>
    <t>881</t>
  </si>
  <si>
    <t>OH Partners</t>
  </si>
  <si>
    <t>882</t>
  </si>
  <si>
    <t>Stratus Video</t>
  </si>
  <si>
    <t>883</t>
  </si>
  <si>
    <t>Etegra</t>
  </si>
  <si>
    <t>884</t>
  </si>
  <si>
    <t>Harper Scott</t>
  </si>
  <si>
    <t>885</t>
  </si>
  <si>
    <t>Crossfire Sound Productions</t>
  </si>
  <si>
    <t>886</t>
  </si>
  <si>
    <t>FireDisc Cookers</t>
  </si>
  <si>
    <t>887</t>
  </si>
  <si>
    <t>Softrams</t>
  </si>
  <si>
    <t>888</t>
  </si>
  <si>
    <t>MDsave</t>
  </si>
  <si>
    <t>889</t>
  </si>
  <si>
    <t>Skynet Healthcare Technologies</t>
  </si>
  <si>
    <t>890</t>
  </si>
  <si>
    <t>Peridot Solutions</t>
  </si>
  <si>
    <t>891</t>
  </si>
  <si>
    <t>Dock Street Trading</t>
  </si>
  <si>
    <t>892</t>
  </si>
  <si>
    <t>Anchour</t>
  </si>
  <si>
    <t>893</t>
  </si>
  <si>
    <t>Hawke Media</t>
  </si>
  <si>
    <t>894</t>
  </si>
  <si>
    <t>Blue Canyon Technologies</t>
  </si>
  <si>
    <t>895</t>
  </si>
  <si>
    <t>Sojourn Solutions</t>
  </si>
  <si>
    <t>896</t>
  </si>
  <si>
    <t>MzeroA.com</t>
  </si>
  <si>
    <t>897</t>
  </si>
  <si>
    <t>Fast Slow Motion</t>
  </si>
  <si>
    <t>898</t>
  </si>
  <si>
    <t>American Business Brokers</t>
  </si>
  <si>
    <t>899</t>
  </si>
  <si>
    <t>The Retail Outsource</t>
  </si>
  <si>
    <t>900</t>
  </si>
  <si>
    <t>ProcureIT Network</t>
  </si>
  <si>
    <t>901</t>
  </si>
  <si>
    <t>Orion Consulting Group</t>
  </si>
  <si>
    <t>902</t>
  </si>
  <si>
    <t>Proforma Springboard Promotions</t>
  </si>
  <si>
    <t>903</t>
  </si>
  <si>
    <t>CentralReach</t>
  </si>
  <si>
    <t>LMK Clinical Research Consulting</t>
  </si>
  <si>
    <t>904</t>
  </si>
  <si>
    <t>MessageWrap</t>
  </si>
  <si>
    <t>905</t>
  </si>
  <si>
    <t>The Pet Loss Center</t>
  </si>
  <si>
    <t>906</t>
  </si>
  <si>
    <t>Health Union</t>
  </si>
  <si>
    <t>907</t>
  </si>
  <si>
    <t>Kartago America</t>
  </si>
  <si>
    <t>908</t>
  </si>
  <si>
    <t>CardFlight</t>
  </si>
  <si>
    <t>909</t>
  </si>
  <si>
    <t>Clientserver Technology Solutions</t>
  </si>
  <si>
    <t>910</t>
  </si>
  <si>
    <t>DLP Real Estate Capital</t>
  </si>
  <si>
    <t>911</t>
  </si>
  <si>
    <t>Friendly Home Services</t>
  </si>
  <si>
    <t>912</t>
  </si>
  <si>
    <t>Zoup! Specialty Products</t>
  </si>
  <si>
    <t>913</t>
  </si>
  <si>
    <t>Uber Technologies</t>
  </si>
  <si>
    <t>914</t>
  </si>
  <si>
    <t>EngagedIN</t>
  </si>
  <si>
    <t>915</t>
  </si>
  <si>
    <t>RagingBull.com</t>
  </si>
  <si>
    <t>916</t>
  </si>
  <si>
    <t>Holzer Resnick Contracting</t>
  </si>
  <si>
    <t>917</t>
  </si>
  <si>
    <t>Wishlist Rewards</t>
  </si>
  <si>
    <t>918</t>
  </si>
  <si>
    <t>Edge Logistics</t>
  </si>
  <si>
    <t>919</t>
  </si>
  <si>
    <t>Visible Supply Chain Management</t>
  </si>
  <si>
    <t>1992</t>
  </si>
  <si>
    <t>920</t>
  </si>
  <si>
    <t>Skynet Integrations</t>
  </si>
  <si>
    <t>921</t>
  </si>
  <si>
    <t>Luxe RV</t>
  </si>
  <si>
    <t>922</t>
  </si>
  <si>
    <t>Burgess Civil</t>
  </si>
  <si>
    <t>923</t>
  </si>
  <si>
    <t>Chad T. Wilson Law Firm</t>
  </si>
  <si>
    <t>924</t>
  </si>
  <si>
    <t>FlexPrint Managed Print Solutions</t>
  </si>
  <si>
    <t>925</t>
  </si>
  <si>
    <t>Norada Real Estate Investments</t>
  </si>
  <si>
    <t>926</t>
  </si>
  <si>
    <t>Excel Impact</t>
  </si>
  <si>
    <t>927</t>
  </si>
  <si>
    <t>Kord Technologies</t>
  </si>
  <si>
    <t>928</t>
  </si>
  <si>
    <t>Eva Garland Consulting</t>
  </si>
  <si>
    <t>929</t>
  </si>
  <si>
    <t>Brivity</t>
  </si>
  <si>
    <t>930</t>
  </si>
  <si>
    <t>Natural Force</t>
  </si>
  <si>
    <t>931</t>
  </si>
  <si>
    <t>Wright Energy Partners</t>
  </si>
  <si>
    <t>932</t>
  </si>
  <si>
    <t>Tech Talent South</t>
  </si>
  <si>
    <t>933</t>
  </si>
  <si>
    <t>FHE</t>
  </si>
  <si>
    <t>934</t>
  </si>
  <si>
    <t>Beer Home Team</t>
  </si>
  <si>
    <t>935</t>
  </si>
  <si>
    <t>Global Soft Systems</t>
  </si>
  <si>
    <t>936</t>
  </si>
  <si>
    <t>Ecomitize</t>
  </si>
  <si>
    <t>937</t>
  </si>
  <si>
    <t>Chenal Family Therapy</t>
  </si>
  <si>
    <t>938</t>
  </si>
  <si>
    <t>Grand Canyon Gas Logs</t>
  </si>
  <si>
    <t>939</t>
  </si>
  <si>
    <t>VOLO</t>
  </si>
  <si>
    <t>940</t>
  </si>
  <si>
    <t>Trupet</t>
  </si>
  <si>
    <t>941</t>
  </si>
  <si>
    <t>Wafts Solutions</t>
  </si>
  <si>
    <t>942</t>
  </si>
  <si>
    <t>Freedom Real Estate</t>
  </si>
  <si>
    <t>943</t>
  </si>
  <si>
    <t>Volt Athletics</t>
  </si>
  <si>
    <t>944</t>
  </si>
  <si>
    <t>Bluewater Media</t>
  </si>
  <si>
    <t>945</t>
  </si>
  <si>
    <t>RKB Handyman Services</t>
  </si>
  <si>
    <t>946</t>
  </si>
  <si>
    <t>E Contractors</t>
  </si>
  <si>
    <t>947</t>
  </si>
  <si>
    <t>RIVS</t>
  </si>
  <si>
    <t>948</t>
  </si>
  <si>
    <t>Motus</t>
  </si>
  <si>
    <t>949</t>
  </si>
  <si>
    <t>MJ Seats</t>
  </si>
  <si>
    <t>950</t>
  </si>
  <si>
    <t>Inter-Op</t>
  </si>
  <si>
    <t>951</t>
  </si>
  <si>
    <t>Elevate Staffing</t>
  </si>
  <si>
    <t>952</t>
  </si>
  <si>
    <t>Coffee Meets Bagel</t>
  </si>
  <si>
    <t>953</t>
  </si>
  <si>
    <t>Streamline Marketing</t>
  </si>
  <si>
    <t>954</t>
  </si>
  <si>
    <t>GEN-Y Hitch</t>
  </si>
  <si>
    <t>955</t>
  </si>
  <si>
    <t>Reverb.com</t>
  </si>
  <si>
    <t>956</t>
  </si>
  <si>
    <t>Tipping Point Solutions</t>
  </si>
  <si>
    <t>957</t>
  </si>
  <si>
    <t>Need/Want</t>
  </si>
  <si>
    <t>958</t>
  </si>
  <si>
    <t>Socialfly</t>
  </si>
  <si>
    <t>959</t>
  </si>
  <si>
    <t>Everyware</t>
  </si>
  <si>
    <t>960</t>
  </si>
  <si>
    <t>Trash Butler</t>
  </si>
  <si>
    <t>961</t>
  </si>
  <si>
    <t>Channel Partners Capital</t>
  </si>
  <si>
    <t>962</t>
  </si>
  <si>
    <t>Savan Group</t>
  </si>
  <si>
    <t>963</t>
  </si>
  <si>
    <t>Onit</t>
  </si>
  <si>
    <t>964</t>
  </si>
  <si>
    <t>Better.com</t>
  </si>
  <si>
    <t>965</t>
  </si>
  <si>
    <t>Skuid</t>
  </si>
  <si>
    <t>966</t>
  </si>
  <si>
    <t>Forcura</t>
  </si>
  <si>
    <t>967</t>
  </si>
  <si>
    <t>BarnAllen Technologies</t>
  </si>
  <si>
    <t>968</t>
  </si>
  <si>
    <t>DMB Financial</t>
  </si>
  <si>
    <t>969</t>
  </si>
  <si>
    <t>Audantic</t>
  </si>
  <si>
    <t>970</t>
  </si>
  <si>
    <t>Suite Management Franchising</t>
  </si>
  <si>
    <t>971</t>
  </si>
  <si>
    <t>The Hoth</t>
  </si>
  <si>
    <t>972</t>
  </si>
  <si>
    <t>360 Energy Solutions</t>
  </si>
  <si>
    <t>973</t>
  </si>
  <si>
    <t>Decode Digital Marketing</t>
  </si>
  <si>
    <t>974</t>
  </si>
  <si>
    <t>Apetan Consulting</t>
  </si>
  <si>
    <t>975</t>
  </si>
  <si>
    <t>Virtue Capital Management</t>
  </si>
  <si>
    <t>976</t>
  </si>
  <si>
    <t>Harts Servcies</t>
  </si>
  <si>
    <t>977</t>
  </si>
  <si>
    <t>Ridge Wallet</t>
  </si>
  <si>
    <t>978</t>
  </si>
  <si>
    <t>American Print Consultants</t>
  </si>
  <si>
    <t>979</t>
  </si>
  <si>
    <t>Alley</t>
  </si>
  <si>
    <t>980</t>
  </si>
  <si>
    <t>Votto Vines Importing</t>
  </si>
  <si>
    <t>981</t>
  </si>
  <si>
    <t>Scott, Vicknair, Hair &amp; Checki</t>
  </si>
  <si>
    <t>982</t>
  </si>
  <si>
    <t>3D Solar</t>
  </si>
  <si>
    <t>983</t>
  </si>
  <si>
    <t>Vessel FWP</t>
  </si>
  <si>
    <t>984</t>
  </si>
  <si>
    <t>Advanced Computer Solutions Group</t>
  </si>
  <si>
    <t>985</t>
  </si>
  <si>
    <t>Choozle</t>
  </si>
  <si>
    <t>986</t>
  </si>
  <si>
    <t>Ease Logistics</t>
  </si>
  <si>
    <t>987</t>
  </si>
  <si>
    <t>Crisp Marketing</t>
  </si>
  <si>
    <t>988</t>
  </si>
  <si>
    <t>Darn Good Yarn</t>
  </si>
  <si>
    <t>989</t>
  </si>
  <si>
    <t>Beemac</t>
  </si>
  <si>
    <t>990</t>
  </si>
  <si>
    <t>Preferred Home Services</t>
  </si>
  <si>
    <t>991</t>
  </si>
  <si>
    <t>Ciconix</t>
  </si>
  <si>
    <t>992</t>
  </si>
  <si>
    <t>Atlanta Office Technologies</t>
  </si>
  <si>
    <t>993</t>
  </si>
  <si>
    <t>Seek Business Capital</t>
  </si>
  <si>
    <t>994</t>
  </si>
  <si>
    <t>Your Business Solutions</t>
  </si>
  <si>
    <t>995</t>
  </si>
  <si>
    <t>Nomatic</t>
  </si>
  <si>
    <t>996</t>
  </si>
  <si>
    <t>Farmgirl Flowers</t>
  </si>
  <si>
    <t>997</t>
  </si>
  <si>
    <t>Bombora</t>
  </si>
  <si>
    <t>998</t>
  </si>
  <si>
    <t>Frugal Flippers</t>
  </si>
  <si>
    <t>999</t>
  </si>
  <si>
    <t>SUMO Communications</t>
  </si>
  <si>
    <t>1000</t>
  </si>
  <si>
    <t>Home View Technologies</t>
  </si>
  <si>
    <t>1001</t>
  </si>
  <si>
    <t>CloudHesive</t>
  </si>
  <si>
    <t>1002</t>
  </si>
  <si>
    <t>Braviant Holdings</t>
  </si>
  <si>
    <t>1003</t>
  </si>
  <si>
    <t>ProSomnus Sleep Technologies</t>
  </si>
  <si>
    <t>1004</t>
  </si>
  <si>
    <t>JP and Associates Realtors</t>
  </si>
  <si>
    <t>1005</t>
  </si>
  <si>
    <t>23rd Group</t>
  </si>
  <si>
    <t>1006</t>
  </si>
  <si>
    <t>Penji</t>
  </si>
  <si>
    <t>1007</t>
  </si>
  <si>
    <t>FE International</t>
  </si>
  <si>
    <t>1008</t>
  </si>
  <si>
    <t>Tredence</t>
  </si>
  <si>
    <t>1009</t>
  </si>
  <si>
    <t>APS Building Services</t>
  </si>
  <si>
    <t>1010</t>
  </si>
  <si>
    <t>Courier Distribution Systems</t>
  </si>
  <si>
    <t>1011</t>
  </si>
  <si>
    <t>Energy Toolbase</t>
  </si>
  <si>
    <t>1012</t>
  </si>
  <si>
    <t>Pathfinder Consultants</t>
  </si>
  <si>
    <t>1013</t>
  </si>
  <si>
    <t>Mission Critical Facilities International</t>
  </si>
  <si>
    <t>1014</t>
  </si>
  <si>
    <t>Xavier Creative House</t>
  </si>
  <si>
    <t>1015</t>
  </si>
  <si>
    <t>FastExpert</t>
  </si>
  <si>
    <t>1016</t>
  </si>
  <si>
    <t>Beverly Hills Teddy Bear</t>
  </si>
  <si>
    <t>1017</t>
  </si>
  <si>
    <t>MOD Pizza</t>
  </si>
  <si>
    <t>1018</t>
  </si>
  <si>
    <t>Chandlee and Sons Construction</t>
  </si>
  <si>
    <t>1019</t>
  </si>
  <si>
    <t>Cherry Blow Dry Bar</t>
  </si>
  <si>
    <t>Applied Development</t>
  </si>
  <si>
    <t>1020</t>
  </si>
  <si>
    <t>Definitive Healthcare</t>
  </si>
  <si>
    <t>1021</t>
  </si>
  <si>
    <t>Reliance Partners</t>
  </si>
  <si>
    <t>1022</t>
  </si>
  <si>
    <t>Lief Labs</t>
  </si>
  <si>
    <t>1023</t>
  </si>
  <si>
    <t>Inseev Interactive</t>
  </si>
  <si>
    <t>1024</t>
  </si>
  <si>
    <t>Leeward Business Advisors</t>
  </si>
  <si>
    <t>1025</t>
  </si>
  <si>
    <t>E. Bouchard Company</t>
  </si>
  <si>
    <t>1026</t>
  </si>
  <si>
    <t>Pensionmark Financial Group</t>
  </si>
  <si>
    <t>1027</t>
  </si>
  <si>
    <t>ShalePro Energy Services</t>
  </si>
  <si>
    <t>1028</t>
  </si>
  <si>
    <t>Senior Healthcare Direct</t>
  </si>
  <si>
    <t>1029</t>
  </si>
  <si>
    <t>ZippyPaws</t>
  </si>
  <si>
    <t>1030</t>
  </si>
  <si>
    <t>Stay Alfred</t>
  </si>
  <si>
    <t>1031</t>
  </si>
  <si>
    <t>Dropps</t>
  </si>
  <si>
    <t>1032</t>
  </si>
  <si>
    <t>Fresh Consulting</t>
  </si>
  <si>
    <t>1033</t>
  </si>
  <si>
    <t>NimbeLink</t>
  </si>
  <si>
    <t>1034</t>
  </si>
  <si>
    <t>Century Support Services</t>
  </si>
  <si>
    <t>1035</t>
  </si>
  <si>
    <t>FrontRunnerHC</t>
  </si>
  <si>
    <t>1036</t>
  </si>
  <si>
    <t>United Carports</t>
  </si>
  <si>
    <t>1037</t>
  </si>
  <si>
    <t>Nexxt Gen</t>
  </si>
  <si>
    <t>1038</t>
  </si>
  <si>
    <t>Terradyne Engineering</t>
  </si>
  <si>
    <t>1039</t>
  </si>
  <si>
    <t>Utah Global Transportation Management Solutions</t>
  </si>
  <si>
    <t>1040</t>
  </si>
  <si>
    <t>PM Consulting Group</t>
  </si>
  <si>
    <t>1041</t>
  </si>
  <si>
    <t>Greenhouse Software</t>
  </si>
  <si>
    <t>1042</t>
  </si>
  <si>
    <t>Amazing Lash Studio</t>
  </si>
  <si>
    <t>1043</t>
  </si>
  <si>
    <t>RevolutionParts</t>
  </si>
  <si>
    <t>1044</t>
  </si>
  <si>
    <t>Metropolitan interactive</t>
  </si>
  <si>
    <t>1045</t>
  </si>
  <si>
    <t>A1 Garage Door Service and Repair</t>
  </si>
  <si>
    <t>1046</t>
  </si>
  <si>
    <t>Triumph Construction</t>
  </si>
  <si>
    <t>1047</t>
  </si>
  <si>
    <t>Verde Solutions</t>
  </si>
  <si>
    <t>1048</t>
  </si>
  <si>
    <t>High Road Craft Ice Cream</t>
  </si>
  <si>
    <t>1049</t>
  </si>
  <si>
    <t>World Services</t>
  </si>
  <si>
    <t>1050</t>
  </si>
  <si>
    <t>Fire &amp; Brilliance</t>
  </si>
  <si>
    <t>1051</t>
  </si>
  <si>
    <t>Shockoe.com</t>
  </si>
  <si>
    <t>1052</t>
  </si>
  <si>
    <t>Zaniboni Lighting</t>
  </si>
  <si>
    <t>1053</t>
  </si>
  <si>
    <t>Swenson He</t>
  </si>
  <si>
    <t>1054</t>
  </si>
  <si>
    <t>GreyCastle Security</t>
  </si>
  <si>
    <t>1055</t>
  </si>
  <si>
    <t>Drive Social Media</t>
  </si>
  <si>
    <t>1056</t>
  </si>
  <si>
    <t>Phoenix Logistics</t>
  </si>
  <si>
    <t>1991</t>
  </si>
  <si>
    <t>1057</t>
  </si>
  <si>
    <t>TrueIT</t>
  </si>
  <si>
    <t>1058</t>
  </si>
  <si>
    <t>Embark</t>
  </si>
  <si>
    <t>1059</t>
  </si>
  <si>
    <t>Mynt Systems</t>
  </si>
  <si>
    <t>1060</t>
  </si>
  <si>
    <t>Breeze IT</t>
  </si>
  <si>
    <t>1061</t>
  </si>
  <si>
    <t>Sustainable Comfort</t>
  </si>
  <si>
    <t>1062</t>
  </si>
  <si>
    <t>TGW Company</t>
  </si>
  <si>
    <t>1063</t>
  </si>
  <si>
    <t>Johnson Roofing &amp; Restoration</t>
  </si>
  <si>
    <t>Street Smart Transmission</t>
  </si>
  <si>
    <t>1064</t>
  </si>
  <si>
    <t>Bestica</t>
  </si>
  <si>
    <t>1065</t>
  </si>
  <si>
    <t>Raymer Oil Company</t>
  </si>
  <si>
    <t>1945</t>
  </si>
  <si>
    <t>1066</t>
  </si>
  <si>
    <t>TickPick</t>
  </si>
  <si>
    <t>1067</t>
  </si>
  <si>
    <t>The Kool Source</t>
  </si>
  <si>
    <t>1068</t>
  </si>
  <si>
    <t>Sunken Stone</t>
  </si>
  <si>
    <t>1069</t>
  </si>
  <si>
    <t>Camrock Oil &amp; Supply</t>
  </si>
  <si>
    <t>1070</t>
  </si>
  <si>
    <t>Spinutech</t>
  </si>
  <si>
    <t>1071</t>
  </si>
  <si>
    <t>Blueprint Consulting Services</t>
  </si>
  <si>
    <t>1072</t>
  </si>
  <si>
    <t>Sante Realty Investments</t>
  </si>
  <si>
    <t>1073</t>
  </si>
  <si>
    <t>Prime Therapeutics</t>
  </si>
  <si>
    <t>1074</t>
  </si>
  <si>
    <t>Engage3</t>
  </si>
  <si>
    <t>1075</t>
  </si>
  <si>
    <t>Mark Sanders - Alrossa</t>
  </si>
  <si>
    <t>1076</t>
  </si>
  <si>
    <t>Income Store</t>
  </si>
  <si>
    <t>1077</t>
  </si>
  <si>
    <t>Autonomous Media</t>
  </si>
  <si>
    <t>1078</t>
  </si>
  <si>
    <t>AIIR Consulting</t>
  </si>
  <si>
    <t>1079</t>
  </si>
  <si>
    <t>CallRail</t>
  </si>
  <si>
    <t>1080</t>
  </si>
  <si>
    <t>Pendant Automation</t>
  </si>
  <si>
    <t>1081</t>
  </si>
  <si>
    <t>Channel Factory</t>
  </si>
  <si>
    <t>1082</t>
  </si>
  <si>
    <t>Axiom Path</t>
  </si>
  <si>
    <t>1083</t>
  </si>
  <si>
    <t>Agape Luxury Corp</t>
  </si>
  <si>
    <t>1084</t>
  </si>
  <si>
    <t>TK Trailer Parts</t>
  </si>
  <si>
    <t>1085</t>
  </si>
  <si>
    <t>SaaSOptics</t>
  </si>
  <si>
    <t>1086</t>
  </si>
  <si>
    <t>Repsly</t>
  </si>
  <si>
    <t>1087</t>
  </si>
  <si>
    <t>Newmedia</t>
  </si>
  <si>
    <t>1088</t>
  </si>
  <si>
    <t>Towel Tracker</t>
  </si>
  <si>
    <t>1089</t>
  </si>
  <si>
    <t>Fountainhead Commercial Capital</t>
  </si>
  <si>
    <t>1090</t>
  </si>
  <si>
    <t>Keystone Perfusion Services, PC</t>
  </si>
  <si>
    <t>1091</t>
  </si>
  <si>
    <t>Credit Suite</t>
  </si>
  <si>
    <t>1092</t>
  </si>
  <si>
    <t>Avanti Industries</t>
  </si>
  <si>
    <t>1093</t>
  </si>
  <si>
    <t>Beautique</t>
  </si>
  <si>
    <t>1094</t>
  </si>
  <si>
    <t>Zquared</t>
  </si>
  <si>
    <t>1095</t>
  </si>
  <si>
    <t>Vibe Kayaks</t>
  </si>
  <si>
    <t>1096</t>
  </si>
  <si>
    <t>DataClover</t>
  </si>
  <si>
    <t>1097</t>
  </si>
  <si>
    <t>Lone Cone</t>
  </si>
  <si>
    <t>1098</t>
  </si>
  <si>
    <t>Fresh Prints</t>
  </si>
  <si>
    <t>1099</t>
  </si>
  <si>
    <t>Tek Leaders</t>
  </si>
  <si>
    <t>1100</t>
  </si>
  <si>
    <t>Swig</t>
  </si>
  <si>
    <t>1101</t>
  </si>
  <si>
    <t>LensDirect.com</t>
  </si>
  <si>
    <t>1102</t>
  </si>
  <si>
    <t>Apex Air</t>
  </si>
  <si>
    <t>1103</t>
  </si>
  <si>
    <t>Ignite Visibility</t>
  </si>
  <si>
    <t>1104</t>
  </si>
  <si>
    <t>Snapsheet</t>
  </si>
  <si>
    <t>1105</t>
  </si>
  <si>
    <t>Freeus</t>
  </si>
  <si>
    <t>1106</t>
  </si>
  <si>
    <t>DMA Holdings</t>
  </si>
  <si>
    <t>1107</t>
  </si>
  <si>
    <t>Resident360</t>
  </si>
  <si>
    <t>1108</t>
  </si>
  <si>
    <t>Core Living</t>
  </si>
  <si>
    <t>1109</t>
  </si>
  <si>
    <t>Encore Search Partners</t>
  </si>
  <si>
    <t>1110</t>
  </si>
  <si>
    <t>EnableIT</t>
  </si>
  <si>
    <t>1111</t>
  </si>
  <si>
    <t>Liquid Bottles</t>
  </si>
  <si>
    <t>1112</t>
  </si>
  <si>
    <t>PoliteMail Software</t>
  </si>
  <si>
    <t>1113</t>
  </si>
  <si>
    <t>Grain &amp; Barrel Spirits</t>
  </si>
  <si>
    <t>1114</t>
  </si>
  <si>
    <t>United Energy Services</t>
  </si>
  <si>
    <t>1115</t>
  </si>
  <si>
    <t>TaskUs</t>
  </si>
  <si>
    <t>1116</t>
  </si>
  <si>
    <t>Ceros</t>
  </si>
  <si>
    <t>1117</t>
  </si>
  <si>
    <t>Axle Logistics</t>
  </si>
  <si>
    <t>1118</t>
  </si>
  <si>
    <t>Barratt Asset Management</t>
  </si>
  <si>
    <t>1119</t>
  </si>
  <si>
    <t>Zivelo</t>
  </si>
  <si>
    <t>1120</t>
  </si>
  <si>
    <t>Trinity Air Medical</t>
  </si>
  <si>
    <t>1121</t>
  </si>
  <si>
    <t>Nuvolo</t>
  </si>
  <si>
    <t>1122</t>
  </si>
  <si>
    <t>Foundry Outdoors</t>
  </si>
  <si>
    <t>1123</t>
  </si>
  <si>
    <t>Vpak</t>
  </si>
  <si>
    <t>1124</t>
  </si>
  <si>
    <t>Buildout</t>
  </si>
  <si>
    <t>1125</t>
  </si>
  <si>
    <t>MediaCrossing</t>
  </si>
  <si>
    <t>1126</t>
  </si>
  <si>
    <t>Vinformatix</t>
  </si>
  <si>
    <t>1127</t>
  </si>
  <si>
    <t>Splash</t>
  </si>
  <si>
    <t>1128</t>
  </si>
  <si>
    <t>Connect Media</t>
  </si>
  <si>
    <t>1129</t>
  </si>
  <si>
    <t>Construction Cost Management</t>
  </si>
  <si>
    <t>1979</t>
  </si>
  <si>
    <t>1130</t>
  </si>
  <si>
    <t>Nextlink Internet</t>
  </si>
  <si>
    <t>1131</t>
  </si>
  <si>
    <t>College Hunks Hauling Junk and Moving (West Chester, Penn.)</t>
  </si>
  <si>
    <t>1132</t>
  </si>
  <si>
    <t>Verato</t>
  </si>
  <si>
    <t>1133</t>
  </si>
  <si>
    <t>Spilt Ink SLC</t>
  </si>
  <si>
    <t>1134</t>
  </si>
  <si>
    <t>Southwest Site Services</t>
  </si>
  <si>
    <t>1135</t>
  </si>
  <si>
    <t>Lever1</t>
  </si>
  <si>
    <t>1136</t>
  </si>
  <si>
    <t>Siege Media</t>
  </si>
  <si>
    <t>1137</t>
  </si>
  <si>
    <t>Quiroga Law Office</t>
  </si>
  <si>
    <t>1138</t>
  </si>
  <si>
    <t>Bluechip Retail</t>
  </si>
  <si>
    <t>1139</t>
  </si>
  <si>
    <t>Avtec Homes</t>
  </si>
  <si>
    <t>1140</t>
  </si>
  <si>
    <t>BloomNation</t>
  </si>
  <si>
    <t>1141</t>
  </si>
  <si>
    <t>Western Peaks Logistics</t>
  </si>
  <si>
    <t>1142</t>
  </si>
  <si>
    <t>360 Risk Partners Insurance Solutions</t>
  </si>
  <si>
    <t>1143</t>
  </si>
  <si>
    <t>Beauty Barrage</t>
  </si>
  <si>
    <t>1144</t>
  </si>
  <si>
    <t>Visual Computer Solutions</t>
  </si>
  <si>
    <t>1145</t>
  </si>
  <si>
    <t>Lexitas</t>
  </si>
  <si>
    <t>1987</t>
  </si>
  <si>
    <t>1146</t>
  </si>
  <si>
    <t>Purchasing Platform</t>
  </si>
  <si>
    <t>1147</t>
  </si>
  <si>
    <t>Javelin Group</t>
  </si>
  <si>
    <t>1148</t>
  </si>
  <si>
    <t>Big Idea Technology</t>
  </si>
  <si>
    <t>1149</t>
  </si>
  <si>
    <t>Total Technology Results</t>
  </si>
  <si>
    <t>1150</t>
  </si>
  <si>
    <t>Clearview Business Intelligence</t>
  </si>
  <si>
    <t>1151</t>
  </si>
  <si>
    <t>Index Analytics</t>
  </si>
  <si>
    <t>1152</t>
  </si>
  <si>
    <t>Expedition Technology</t>
  </si>
  <si>
    <t>1153</t>
  </si>
  <si>
    <t>Zuhne</t>
  </si>
  <si>
    <t>1154</t>
  </si>
  <si>
    <t>Ledge Lounger</t>
  </si>
  <si>
    <t>1155</t>
  </si>
  <si>
    <t>G2 Ops</t>
  </si>
  <si>
    <t>1156</t>
  </si>
  <si>
    <t>WealthForge</t>
  </si>
  <si>
    <t>1157</t>
  </si>
  <si>
    <t>Logical Position</t>
  </si>
  <si>
    <t>1158</t>
  </si>
  <si>
    <t>Digital Forensic Services</t>
  </si>
  <si>
    <t>1159</t>
  </si>
  <si>
    <t>Farber &amp; Company Attorneys</t>
  </si>
  <si>
    <t>1160</t>
  </si>
  <si>
    <t>Catalyst Outdoor</t>
  </si>
  <si>
    <t>1161</t>
  </si>
  <si>
    <t>Payer Compass</t>
  </si>
  <si>
    <t>1162</t>
  </si>
  <si>
    <t>Local Web Leads</t>
  </si>
  <si>
    <t>1163</t>
  </si>
  <si>
    <t>Curate Partners</t>
  </si>
  <si>
    <t>1164</t>
  </si>
  <si>
    <t>UCW Logistics</t>
  </si>
  <si>
    <t>1165</t>
  </si>
  <si>
    <t>Behavioral Health Works</t>
  </si>
  <si>
    <t>1166</t>
  </si>
  <si>
    <t>Scribe-X Northwest</t>
  </si>
  <si>
    <t>1167</t>
  </si>
  <si>
    <t>ALIRM</t>
  </si>
  <si>
    <t>1168</t>
  </si>
  <si>
    <t>Resolute Technologies</t>
  </si>
  <si>
    <t>1169</t>
  </si>
  <si>
    <t>Legwork Software</t>
  </si>
  <si>
    <t>1170</t>
  </si>
  <si>
    <t>Zeel</t>
  </si>
  <si>
    <t>1171</t>
  </si>
  <si>
    <t>Colorado Health &amp; Rehab</t>
  </si>
  <si>
    <t>1172</t>
  </si>
  <si>
    <t>Wellflex Energy Solutions</t>
  </si>
  <si>
    <t>1173</t>
  </si>
  <si>
    <t>Lastline</t>
  </si>
  <si>
    <t>1174</t>
  </si>
  <si>
    <t>Cloudbakers</t>
  </si>
  <si>
    <t>1175</t>
  </si>
  <si>
    <t>PPT Solutions (Oklahoma)</t>
  </si>
  <si>
    <t>1176</t>
  </si>
  <si>
    <t>Northwestern Improvement Company</t>
  </si>
  <si>
    <t>1177</t>
  </si>
  <si>
    <t>Ryan Geldermann</t>
  </si>
  <si>
    <t>1178</t>
  </si>
  <si>
    <t>Innovetive Petcare</t>
  </si>
  <si>
    <t>1179</t>
  </si>
  <si>
    <t>Shearer</t>
  </si>
  <si>
    <t>1180</t>
  </si>
  <si>
    <t>FireFly Computers</t>
  </si>
  <si>
    <t>1181</t>
  </si>
  <si>
    <t>Thin Air Brands</t>
  </si>
  <si>
    <t>1182</t>
  </si>
  <si>
    <t>SoHo Dragon</t>
  </si>
  <si>
    <t>1183</t>
  </si>
  <si>
    <t>Southwest Geotechnical</t>
  </si>
  <si>
    <t>1184</t>
  </si>
  <si>
    <t>The Aspire Software Company</t>
  </si>
  <si>
    <t>1185</t>
  </si>
  <si>
    <t>EyeKor</t>
  </si>
  <si>
    <t>1186</t>
  </si>
  <si>
    <t>Stretch Shapes</t>
  </si>
  <si>
    <t>1187</t>
  </si>
  <si>
    <t>Premier Remodeling</t>
  </si>
  <si>
    <t>1188</t>
  </si>
  <si>
    <t>Power Digital Marketing</t>
  </si>
  <si>
    <t>1189</t>
  </si>
  <si>
    <t>Ueno</t>
  </si>
  <si>
    <t>1190</t>
  </si>
  <si>
    <t>Industry Dive</t>
  </si>
  <si>
    <t>1191</t>
  </si>
  <si>
    <t>HIDEit Mounts</t>
  </si>
  <si>
    <t>1192</t>
  </si>
  <si>
    <t>AMMD</t>
  </si>
  <si>
    <t>1193</t>
  </si>
  <si>
    <t>Pegasus Technology Solutions</t>
  </si>
  <si>
    <t>1194</t>
  </si>
  <si>
    <t>Jacaruso Enterprises</t>
  </si>
  <si>
    <t>1195</t>
  </si>
  <si>
    <t>Eventellect</t>
  </si>
  <si>
    <t>1196</t>
  </si>
  <si>
    <t>Tipalti</t>
  </si>
  <si>
    <t>1197</t>
  </si>
  <si>
    <t>Aevex Aerospace</t>
  </si>
  <si>
    <t>1198</t>
  </si>
  <si>
    <t>Ncontracts</t>
  </si>
  <si>
    <t>1199</t>
  </si>
  <si>
    <t>Stone Glacier</t>
  </si>
  <si>
    <t>1200</t>
  </si>
  <si>
    <t>Thrive Internet Marketing Agency</t>
  </si>
  <si>
    <t>1201</t>
  </si>
  <si>
    <t>Eff Creative Group</t>
  </si>
  <si>
    <t>1202</t>
  </si>
  <si>
    <t>Strike Visuals</t>
  </si>
  <si>
    <t>1203</t>
  </si>
  <si>
    <t>BKM Capital Partners</t>
  </si>
  <si>
    <t>1204</t>
  </si>
  <si>
    <t>Federal Strategies</t>
  </si>
  <si>
    <t>1205</t>
  </si>
  <si>
    <t>GenTech Associates</t>
  </si>
  <si>
    <t>1206</t>
  </si>
  <si>
    <t>Lima One Capital</t>
  </si>
  <si>
    <t>1207</t>
  </si>
  <si>
    <t>MatterHackers</t>
  </si>
  <si>
    <t>1208</t>
  </si>
  <si>
    <t>iClick</t>
  </si>
  <si>
    <t>1209</t>
  </si>
  <si>
    <t>JDA Worldwide</t>
  </si>
  <si>
    <t>1210</t>
  </si>
  <si>
    <t>Battery Recyclers of America</t>
  </si>
  <si>
    <t>1211</t>
  </si>
  <si>
    <t>Oklahoma LED</t>
  </si>
  <si>
    <t>1212</t>
  </si>
  <si>
    <t>Creamistry</t>
  </si>
  <si>
    <t>1213</t>
  </si>
  <si>
    <t>Corkcicle</t>
  </si>
  <si>
    <t>1214</t>
  </si>
  <si>
    <t>Team Solutions Dental</t>
  </si>
  <si>
    <t>1215</t>
  </si>
  <si>
    <t>Dome Headwear</t>
  </si>
  <si>
    <t>1216</t>
  </si>
  <si>
    <t>Fix It People</t>
  </si>
  <si>
    <t>1217</t>
  </si>
  <si>
    <t>MaxGen Energy Services</t>
  </si>
  <si>
    <t>1218</t>
  </si>
  <si>
    <t>Ben Kinney Real Estate Team</t>
  </si>
  <si>
    <t>1219</t>
  </si>
  <si>
    <t>Liberty Home Mortgage Corporation</t>
  </si>
  <si>
    <t>1220</t>
  </si>
  <si>
    <t>KBMax</t>
  </si>
  <si>
    <t>1221</t>
  </si>
  <si>
    <t>ObservePoint</t>
  </si>
  <si>
    <t>1222</t>
  </si>
  <si>
    <t>Thrive</t>
  </si>
  <si>
    <t>1223</t>
  </si>
  <si>
    <t>What If Holdings</t>
  </si>
  <si>
    <t>1224</t>
  </si>
  <si>
    <t>GonLED</t>
  </si>
  <si>
    <t>1225</t>
  </si>
  <si>
    <t>Digital Relativity</t>
  </si>
  <si>
    <t>WV</t>
  </si>
  <si>
    <t>1226</t>
  </si>
  <si>
    <t>Mavrck</t>
  </si>
  <si>
    <t>1227</t>
  </si>
  <si>
    <t>Home Perfect Carpet &amp; Tile Cleaning</t>
  </si>
  <si>
    <t>1228</t>
  </si>
  <si>
    <t>Field Industries</t>
  </si>
  <si>
    <t>1229</t>
  </si>
  <si>
    <t>Pure Incubation</t>
  </si>
  <si>
    <t>1230</t>
  </si>
  <si>
    <t>TouchUpDirect</t>
  </si>
  <si>
    <t>1231</t>
  </si>
  <si>
    <t>Right at School</t>
  </si>
  <si>
    <t>1232</t>
  </si>
  <si>
    <t>Sorry Robots</t>
  </si>
  <si>
    <t>1233</t>
  </si>
  <si>
    <t>Central Point Partners</t>
  </si>
  <si>
    <t>1234</t>
  </si>
  <si>
    <t>Ventive</t>
  </si>
  <si>
    <t>1235</t>
  </si>
  <si>
    <t>Carrot</t>
  </si>
  <si>
    <t>1236</t>
  </si>
  <si>
    <t>Amplio Digital</t>
  </si>
  <si>
    <t>1237</t>
  </si>
  <si>
    <t>Dirt Wurx Excavation</t>
  </si>
  <si>
    <t>1238</t>
  </si>
  <si>
    <t>Sayva Solutions</t>
  </si>
  <si>
    <t>1239</t>
  </si>
  <si>
    <t>C Squared Social</t>
  </si>
  <si>
    <t>1240</t>
  </si>
  <si>
    <t>U.Group</t>
  </si>
  <si>
    <t>1241</t>
  </si>
  <si>
    <t>RWD Consulting</t>
  </si>
  <si>
    <t>1242</t>
  </si>
  <si>
    <t>AGB Investigative Services</t>
  </si>
  <si>
    <t>1243</t>
  </si>
  <si>
    <t>Denken Solutions</t>
  </si>
  <si>
    <t>1244</t>
  </si>
  <si>
    <t>Silotech Group</t>
  </si>
  <si>
    <t>1245</t>
  </si>
  <si>
    <t>Moonglow Jewelry</t>
  </si>
  <si>
    <t>1246</t>
  </si>
  <si>
    <t>Decision Sciences Research Associates</t>
  </si>
  <si>
    <t>1982</t>
  </si>
  <si>
    <t>1247</t>
  </si>
  <si>
    <t>Twelve Consulting Group</t>
  </si>
  <si>
    <t>1248</t>
  </si>
  <si>
    <t>iArch Solutions</t>
  </si>
  <si>
    <t>1249</t>
  </si>
  <si>
    <t>Seawater Seafood Company</t>
  </si>
  <si>
    <t>1250</t>
  </si>
  <si>
    <t>Vert Digital</t>
  </si>
  <si>
    <t>1251</t>
  </si>
  <si>
    <t>CT Assist</t>
  </si>
  <si>
    <t>1252</t>
  </si>
  <si>
    <t>Fit Body Boot Camp</t>
  </si>
  <si>
    <t>1253</t>
  </si>
  <si>
    <t>Nekteck</t>
  </si>
  <si>
    <t>1254</t>
  </si>
  <si>
    <t>Expression Networks</t>
  </si>
  <si>
    <t>1997</t>
  </si>
  <si>
    <t>1255</t>
  </si>
  <si>
    <t>Modern Message</t>
  </si>
  <si>
    <t>1256</t>
  </si>
  <si>
    <t>1-Call Staffing</t>
  </si>
  <si>
    <t>1257</t>
  </si>
  <si>
    <t>Pediatric Therapy</t>
  </si>
  <si>
    <t>1258</t>
  </si>
  <si>
    <t>Crimson Agility</t>
  </si>
  <si>
    <t>1259</t>
  </si>
  <si>
    <t>Keystone Funding</t>
  </si>
  <si>
    <t>1260</t>
  </si>
  <si>
    <t>SlideBelts</t>
  </si>
  <si>
    <t>1261</t>
  </si>
  <si>
    <t>Credit Service Intl.</t>
  </si>
  <si>
    <t>1962</t>
  </si>
  <si>
    <t>1262</t>
  </si>
  <si>
    <t>The Roman Guy</t>
  </si>
  <si>
    <t>1263</t>
  </si>
  <si>
    <t>Fyzical</t>
  </si>
  <si>
    <t>1264</t>
  </si>
  <si>
    <t>Green Bay Remodeling</t>
  </si>
  <si>
    <t>1265</t>
  </si>
  <si>
    <t>Nebulaworks</t>
  </si>
  <si>
    <t>1266</t>
  </si>
  <si>
    <t>Trinity Logistics USA</t>
  </si>
  <si>
    <t>1267</t>
  </si>
  <si>
    <t>PDQ.com Corporation</t>
  </si>
  <si>
    <t>1268</t>
  </si>
  <si>
    <t>Bighorn Design Studio</t>
  </si>
  <si>
    <t>1269</t>
  </si>
  <si>
    <t>Elevation Solar</t>
  </si>
  <si>
    <t>1270</t>
  </si>
  <si>
    <t>Watterson</t>
  </si>
  <si>
    <t>1271</t>
  </si>
  <si>
    <t>Arch Systems</t>
  </si>
  <si>
    <t>1272</t>
  </si>
  <si>
    <t>The Social Lights</t>
  </si>
  <si>
    <t>1273</t>
  </si>
  <si>
    <t>Doceo Office Solutions</t>
  </si>
  <si>
    <t>1274</t>
  </si>
  <si>
    <t>Signs.com</t>
  </si>
  <si>
    <t>1275</t>
  </si>
  <si>
    <t>Disability Planners</t>
  </si>
  <si>
    <t>1276</t>
  </si>
  <si>
    <t>Blue Label Labs</t>
  </si>
  <si>
    <t>1277</t>
  </si>
  <si>
    <t>Commercial Services</t>
  </si>
  <si>
    <t>1978</t>
  </si>
  <si>
    <t>1278</t>
  </si>
  <si>
    <t>1st Choice Construction Management</t>
  </si>
  <si>
    <t>1279</t>
  </si>
  <si>
    <t>Alderson Loop</t>
  </si>
  <si>
    <t>1280</t>
  </si>
  <si>
    <t>Legacy Toys</t>
  </si>
  <si>
    <t>1281</t>
  </si>
  <si>
    <t>Outsource Consultants</t>
  </si>
  <si>
    <t>1282</t>
  </si>
  <si>
    <t>MRL Promotions</t>
  </si>
  <si>
    <t>1283</t>
  </si>
  <si>
    <t>ARC Risk and Compliance</t>
  </si>
  <si>
    <t>1284</t>
  </si>
  <si>
    <t>829 Studios</t>
  </si>
  <si>
    <t>1285</t>
  </si>
  <si>
    <t>DoctorLogic</t>
  </si>
  <si>
    <t>1286</t>
  </si>
  <si>
    <t>Curlkit</t>
  </si>
  <si>
    <t>1287</t>
  </si>
  <si>
    <t>STRATEGIC SOLUTION PARTNERS</t>
  </si>
  <si>
    <t>1288</t>
  </si>
  <si>
    <t>Tellus</t>
  </si>
  <si>
    <t>1289</t>
  </si>
  <si>
    <t>International Ceramic Construction</t>
  </si>
  <si>
    <t>1290</t>
  </si>
  <si>
    <t>Banyan Hills Technologies</t>
  </si>
  <si>
    <t>1291</t>
  </si>
  <si>
    <t>Peddle</t>
  </si>
  <si>
    <t>1292</t>
  </si>
  <si>
    <t>Dibsies Personalization Station</t>
  </si>
  <si>
    <t>1293</t>
  </si>
  <si>
    <t>Massie R&amp;D Tax Credits</t>
  </si>
  <si>
    <t>1294</t>
  </si>
  <si>
    <t>Verdia</t>
  </si>
  <si>
    <t>1295</t>
  </si>
  <si>
    <t>Cetechs</t>
  </si>
  <si>
    <t>1296</t>
  </si>
  <si>
    <t>Investor Grit</t>
  </si>
  <si>
    <t>1297</t>
  </si>
  <si>
    <t>Triple E Equipment</t>
  </si>
  <si>
    <t>1298</t>
  </si>
  <si>
    <t>Prairie Tickets</t>
  </si>
  <si>
    <t>1299</t>
  </si>
  <si>
    <t>Crystal Clear Digital Marketing</t>
  </si>
  <si>
    <t>1300</t>
  </si>
  <si>
    <t>BroadJump</t>
  </si>
  <si>
    <t>1301</t>
  </si>
  <si>
    <t>HomeStar Remodeling</t>
  </si>
  <si>
    <t>1302</t>
  </si>
  <si>
    <t>LMS (Logistics Made Simple)</t>
  </si>
  <si>
    <t>1303</t>
  </si>
  <si>
    <t>jBloom</t>
  </si>
  <si>
    <t>1304</t>
  </si>
  <si>
    <t>Reltio</t>
  </si>
  <si>
    <t>1305</t>
  </si>
  <si>
    <t>G2S</t>
  </si>
  <si>
    <t>1306</t>
  </si>
  <si>
    <t>The Revenue Optimization Companies</t>
  </si>
  <si>
    <t>1307</t>
  </si>
  <si>
    <t>The Exterior Company</t>
  </si>
  <si>
    <t>1308</t>
  </si>
  <si>
    <t>Jennaration Boutique</t>
  </si>
  <si>
    <t>1309</t>
  </si>
  <si>
    <t>Tinuiti</t>
  </si>
  <si>
    <t>1310</t>
  </si>
  <si>
    <t>DKP Express</t>
  </si>
  <si>
    <t>1311</t>
  </si>
  <si>
    <t>FlexFunds ETP</t>
  </si>
  <si>
    <t>1312</t>
  </si>
  <si>
    <t>RapidOps</t>
  </si>
  <si>
    <t>1313</t>
  </si>
  <si>
    <t>Waiakea</t>
  </si>
  <si>
    <t>1314</t>
  </si>
  <si>
    <t>Nolan Transportation Group</t>
  </si>
  <si>
    <t>1315</t>
  </si>
  <si>
    <t>TapResearch</t>
  </si>
  <si>
    <t>1316</t>
  </si>
  <si>
    <t>Custom Decks</t>
  </si>
  <si>
    <t>1317</t>
  </si>
  <si>
    <t>Rent Ready</t>
  </si>
  <si>
    <t>1318</t>
  </si>
  <si>
    <t>30 Lines</t>
  </si>
  <si>
    <t>1319</t>
  </si>
  <si>
    <t>MagMod</t>
  </si>
  <si>
    <t>1320</t>
  </si>
  <si>
    <t>The Idea Box - Powered by Proforma</t>
  </si>
  <si>
    <t>1321</t>
  </si>
  <si>
    <t>SEI-Dallas</t>
  </si>
  <si>
    <t>1322</t>
  </si>
  <si>
    <t>Under30Experiences</t>
  </si>
  <si>
    <t>1323</t>
  </si>
  <si>
    <t>Calyx</t>
  </si>
  <si>
    <t>1324</t>
  </si>
  <si>
    <t>Mobile Posse</t>
  </si>
  <si>
    <t>1325</t>
  </si>
  <si>
    <t>Intelligent Waves</t>
  </si>
  <si>
    <t>1326</t>
  </si>
  <si>
    <t>KPG Healthcare</t>
  </si>
  <si>
    <t>1327</t>
  </si>
  <si>
    <t>Jeff Shipley Enterprises</t>
  </si>
  <si>
    <t>1328</t>
  </si>
  <si>
    <t>Verified First</t>
  </si>
  <si>
    <t>1329</t>
  </si>
  <si>
    <t>MacStadium</t>
  </si>
  <si>
    <t>1330</t>
  </si>
  <si>
    <t>Yapta</t>
  </si>
  <si>
    <t>1331</t>
  </si>
  <si>
    <t>The Jenny Maraghy Team</t>
  </si>
  <si>
    <t>1332</t>
  </si>
  <si>
    <t>Proforma Think Ink</t>
  </si>
  <si>
    <t>1333</t>
  </si>
  <si>
    <t>CircusTrix</t>
  </si>
  <si>
    <t>1334</t>
  </si>
  <si>
    <t>Washington Capital Partners</t>
  </si>
  <si>
    <t>1335</t>
  </si>
  <si>
    <t>Waste Away Systems</t>
  </si>
  <si>
    <t>1336</t>
  </si>
  <si>
    <t>Audley Travel</t>
  </si>
  <si>
    <t>1337</t>
  </si>
  <si>
    <t>Your Home Sold Guaranteed Realty</t>
  </si>
  <si>
    <t>1338</t>
  </si>
  <si>
    <t>A-Lign</t>
  </si>
  <si>
    <t>1339</t>
  </si>
  <si>
    <t>Taimen Transport</t>
  </si>
  <si>
    <t>1340</t>
  </si>
  <si>
    <t>Calldrip</t>
  </si>
  <si>
    <t>1341</t>
  </si>
  <si>
    <t>Triton Commerce</t>
  </si>
  <si>
    <t>eAssist Dental Solutions</t>
  </si>
  <si>
    <t>1342</t>
  </si>
  <si>
    <t>Big Leap</t>
  </si>
  <si>
    <t>1343</t>
  </si>
  <si>
    <t>Housing Trust Group</t>
  </si>
  <si>
    <t>1344</t>
  </si>
  <si>
    <t>Suite Experience Group</t>
  </si>
  <si>
    <t>1345</t>
  </si>
  <si>
    <t>WheelHouse IT</t>
  </si>
  <si>
    <t>1346</t>
  </si>
  <si>
    <t>CAP Venture Group</t>
  </si>
  <si>
    <t>1347</t>
  </si>
  <si>
    <t>TokenEx</t>
  </si>
  <si>
    <t>1348</t>
  </si>
  <si>
    <t>ASB Resources</t>
  </si>
  <si>
    <t>1349</t>
  </si>
  <si>
    <t>Old Dominion Mechanical</t>
  </si>
  <si>
    <t>1350</t>
  </si>
  <si>
    <t>Managed Energy Systems</t>
  </si>
  <si>
    <t>1351</t>
  </si>
  <si>
    <t>Trinity3 Technology</t>
  </si>
  <si>
    <t>1352</t>
  </si>
  <si>
    <t>Kureiji</t>
  </si>
  <si>
    <t>1353</t>
  </si>
  <si>
    <t>Wellex</t>
  </si>
  <si>
    <t>1354</t>
  </si>
  <si>
    <t>Connoils</t>
  </si>
  <si>
    <t>1355</t>
  </si>
  <si>
    <t>Advantage Media Group</t>
  </si>
  <si>
    <t>1356</t>
  </si>
  <si>
    <t>DMD Products</t>
  </si>
  <si>
    <t>1357</t>
  </si>
  <si>
    <t>Triplemint</t>
  </si>
  <si>
    <t>1358</t>
  </si>
  <si>
    <t>Matrix 4</t>
  </si>
  <si>
    <t>1976</t>
  </si>
  <si>
    <t>1359</t>
  </si>
  <si>
    <t>Vantage Point Logistics</t>
  </si>
  <si>
    <t>1360</t>
  </si>
  <si>
    <t>Telco Connection</t>
  </si>
  <si>
    <t>1361</t>
  </si>
  <si>
    <t>Binary Defense</t>
  </si>
  <si>
    <t>1362</t>
  </si>
  <si>
    <t>Pinnacle Dermatology</t>
  </si>
  <si>
    <t>1363</t>
  </si>
  <si>
    <t>TISTA Science and Technology</t>
  </si>
  <si>
    <t>1364</t>
  </si>
  <si>
    <t>Schweiger Dermatology Group</t>
  </si>
  <si>
    <t>1365</t>
  </si>
  <si>
    <t>10th Magnitude</t>
  </si>
  <si>
    <t>1366</t>
  </si>
  <si>
    <t>Rankings.io</t>
  </si>
  <si>
    <t>1367</t>
  </si>
  <si>
    <t>Complete Recovery Corp</t>
  </si>
  <si>
    <t>1368</t>
  </si>
  <si>
    <t>Aerospace Asset Trading</t>
  </si>
  <si>
    <t>1369</t>
  </si>
  <si>
    <t>Select Communications</t>
  </si>
  <si>
    <t>1370</t>
  </si>
  <si>
    <t>DJB Hospitality Holding Co/Sedona Taphouse Restaurants</t>
  </si>
  <si>
    <t>1371</t>
  </si>
  <si>
    <t>Aya Healthcare</t>
  </si>
  <si>
    <t>1372</t>
  </si>
  <si>
    <t>NovuHealth</t>
  </si>
  <si>
    <t>1373</t>
  </si>
  <si>
    <t>Bookkeeper360</t>
  </si>
  <si>
    <t>1374</t>
  </si>
  <si>
    <t>Guaba</t>
  </si>
  <si>
    <t>1375</t>
  </si>
  <si>
    <t>Gasket Guy</t>
  </si>
  <si>
    <t>1376</t>
  </si>
  <si>
    <t>Industrial Security Integrators</t>
  </si>
  <si>
    <t>1377</t>
  </si>
  <si>
    <t>Advanced Care Partners</t>
  </si>
  <si>
    <t>1378</t>
  </si>
  <si>
    <t>Greentek Energy Systems</t>
  </si>
  <si>
    <t>1379</t>
  </si>
  <si>
    <t>Advanced Technological Solutions</t>
  </si>
  <si>
    <t>1380</t>
  </si>
  <si>
    <t>Lentech</t>
  </si>
  <si>
    <t>1381</t>
  </si>
  <si>
    <t>Triplepoint Environmental</t>
  </si>
  <si>
    <t>1382</t>
  </si>
  <si>
    <t>Tango Card</t>
  </si>
  <si>
    <t>1383</t>
  </si>
  <si>
    <t>Assure</t>
  </si>
  <si>
    <t>1384</t>
  </si>
  <si>
    <t>Index Exchange</t>
  </si>
  <si>
    <t>1385</t>
  </si>
  <si>
    <t>Beddy's</t>
  </si>
  <si>
    <t>1386</t>
  </si>
  <si>
    <t>Capital Wealth Advisors</t>
  </si>
  <si>
    <t>1387</t>
  </si>
  <si>
    <t>PureCars Automotive</t>
  </si>
  <si>
    <t>1388</t>
  </si>
  <si>
    <t>SaviLinx</t>
  </si>
  <si>
    <t>1389</t>
  </si>
  <si>
    <t>CloserIQ</t>
  </si>
  <si>
    <t>1390</t>
  </si>
  <si>
    <t>Kamind IT</t>
  </si>
  <si>
    <t>1391</t>
  </si>
  <si>
    <t>Ascent Innovations</t>
  </si>
  <si>
    <t>1392</t>
  </si>
  <si>
    <t>ITProTV</t>
  </si>
  <si>
    <t>1393</t>
  </si>
  <si>
    <t>Lynker Technologies</t>
  </si>
  <si>
    <t>1394</t>
  </si>
  <si>
    <t>Motifworks</t>
  </si>
  <si>
    <t>1395</t>
  </si>
  <si>
    <t>Symmetry Financial Group</t>
  </si>
  <si>
    <t>1396</t>
  </si>
  <si>
    <t>Zilker Technology</t>
  </si>
  <si>
    <t>1397</t>
  </si>
  <si>
    <t>StruXure Outdoor</t>
  </si>
  <si>
    <t>1398</t>
  </si>
  <si>
    <t>Tiger Analytics</t>
  </si>
  <si>
    <t>1399</t>
  </si>
  <si>
    <t>Brandywine Homes</t>
  </si>
  <si>
    <t>1400</t>
  </si>
  <si>
    <t>Paragon Payroll</t>
  </si>
  <si>
    <t>1401</t>
  </si>
  <si>
    <t>FluentStream Technologies</t>
  </si>
  <si>
    <t>1402</t>
  </si>
  <si>
    <t>Youtech</t>
  </si>
  <si>
    <t>1403</t>
  </si>
  <si>
    <t>Kentech</t>
  </si>
  <si>
    <t>1404</t>
  </si>
  <si>
    <t>Pixability</t>
  </si>
  <si>
    <t>1405</t>
  </si>
  <si>
    <t>Osprey Management</t>
  </si>
  <si>
    <t>1406</t>
  </si>
  <si>
    <t>Medical Guardian</t>
  </si>
  <si>
    <t>1407</t>
  </si>
  <si>
    <t>Fastmore Logistics</t>
  </si>
  <si>
    <t>1408</t>
  </si>
  <si>
    <t>Matt Curtis Real Estate</t>
  </si>
  <si>
    <t>1409</t>
  </si>
  <si>
    <t>PetWell Partners</t>
  </si>
  <si>
    <t>1410</t>
  </si>
  <si>
    <t>Ventech Solutions</t>
  </si>
  <si>
    <t>1411</t>
  </si>
  <si>
    <t>Unitas Global</t>
  </si>
  <si>
    <t>1412</t>
  </si>
  <si>
    <t>PowerSchool</t>
  </si>
  <si>
    <t>1413</t>
  </si>
  <si>
    <t>Vantage Payments</t>
  </si>
  <si>
    <t>1414</t>
  </si>
  <si>
    <t>Staffing Specifix</t>
  </si>
  <si>
    <t>1415</t>
  </si>
  <si>
    <t>Restoration 1</t>
  </si>
  <si>
    <t>1416</t>
  </si>
  <si>
    <t>Acorio</t>
  </si>
  <si>
    <t>1417</t>
  </si>
  <si>
    <t>Veterinary Practice Partners</t>
  </si>
  <si>
    <t>1418</t>
  </si>
  <si>
    <t>Research America</t>
  </si>
  <si>
    <t>1419</t>
  </si>
  <si>
    <t>Amicus Enterprises</t>
  </si>
  <si>
    <t>1420</t>
  </si>
  <si>
    <t>Opex Analytics</t>
  </si>
  <si>
    <t>1421</t>
  </si>
  <si>
    <t>Marijuana Business Daily</t>
  </si>
  <si>
    <t>1422</t>
  </si>
  <si>
    <t>Xtreme Park Adventures</t>
  </si>
  <si>
    <t>1423</t>
  </si>
  <si>
    <t>Adonis Auto Group</t>
  </si>
  <si>
    <t>1424</t>
  </si>
  <si>
    <t>Prescient Company</t>
  </si>
  <si>
    <t>1425</t>
  </si>
  <si>
    <t>Home Pride Construction</t>
  </si>
  <si>
    <t>1426</t>
  </si>
  <si>
    <t>SIGMA SOFTWARE</t>
  </si>
  <si>
    <t>1427</t>
  </si>
  <si>
    <t>No Limit Agency</t>
  </si>
  <si>
    <t>1428</t>
  </si>
  <si>
    <t>P2Binvestor</t>
  </si>
  <si>
    <t>1429</t>
  </si>
  <si>
    <t>Infinite Pool Finishes</t>
  </si>
  <si>
    <t>1430</t>
  </si>
  <si>
    <t>COFC Logistics</t>
  </si>
  <si>
    <t>1431</t>
  </si>
  <si>
    <t>Blackstone Medical Services</t>
  </si>
  <si>
    <t>1432</t>
  </si>
  <si>
    <t>FormulaFolio Investments</t>
  </si>
  <si>
    <t>1433</t>
  </si>
  <si>
    <t>Advance Your Reach</t>
  </si>
  <si>
    <t>1434</t>
  </si>
  <si>
    <t>Fundrise</t>
  </si>
  <si>
    <t>1435</t>
  </si>
  <si>
    <t>3-GIS</t>
  </si>
  <si>
    <t>1436</t>
  </si>
  <si>
    <t>Digitalspec</t>
  </si>
  <si>
    <t>1437</t>
  </si>
  <si>
    <t>LeafFilter Gutter Protection</t>
  </si>
  <si>
    <t>1438</t>
  </si>
  <si>
    <t>United Wall Systems</t>
  </si>
  <si>
    <t>1439</t>
  </si>
  <si>
    <t>Sleeping Giant Brewing Company</t>
  </si>
  <si>
    <t>1440</t>
  </si>
  <si>
    <t>Anemoi</t>
  </si>
  <si>
    <t>1441</t>
  </si>
  <si>
    <t>Center for Social Dynamics</t>
  </si>
  <si>
    <t>1442</t>
  </si>
  <si>
    <t>Yamibuy</t>
  </si>
  <si>
    <t>1443</t>
  </si>
  <si>
    <t>OrderMyGear</t>
  </si>
  <si>
    <t>1444</t>
  </si>
  <si>
    <t>Criterion Systems</t>
  </si>
  <si>
    <t>1445</t>
  </si>
  <si>
    <t>Optimum RV</t>
  </si>
  <si>
    <t>1446</t>
  </si>
  <si>
    <t>Thompson Healthcare &amp; Sports Medicine</t>
  </si>
  <si>
    <t>1447</t>
  </si>
  <si>
    <t>PropLogix</t>
  </si>
  <si>
    <t>1448</t>
  </si>
  <si>
    <t>E Network Supply</t>
  </si>
  <si>
    <t>1449</t>
  </si>
  <si>
    <t>Riva Solutions</t>
  </si>
  <si>
    <t>1450</t>
  </si>
  <si>
    <t>The Hilb Group</t>
  </si>
  <si>
    <t>1451</t>
  </si>
  <si>
    <t>Perceptive Recruiting</t>
  </si>
  <si>
    <t>1452</t>
  </si>
  <si>
    <t>UI Global Brands</t>
  </si>
  <si>
    <t>1453</t>
  </si>
  <si>
    <t>House Advantage</t>
  </si>
  <si>
    <t>1454</t>
  </si>
  <si>
    <t>Primal Life Organics</t>
  </si>
  <si>
    <t>1455</t>
  </si>
  <si>
    <t>Living Wellness Partners</t>
  </si>
  <si>
    <t>1456</t>
  </si>
  <si>
    <t>Millhouse Logistics</t>
  </si>
  <si>
    <t>1457</t>
  </si>
  <si>
    <t>AgAmerica Lending</t>
  </si>
  <si>
    <t>1458</t>
  </si>
  <si>
    <t>MedBridge</t>
  </si>
  <si>
    <t>1459</t>
  </si>
  <si>
    <t>AutoSource Motors</t>
  </si>
  <si>
    <t>1460</t>
  </si>
  <si>
    <t>Fulcrum Construction Group</t>
  </si>
  <si>
    <t>1461</t>
  </si>
  <si>
    <t>Red River</t>
  </si>
  <si>
    <t>1462</t>
  </si>
  <si>
    <t>BlueDog</t>
  </si>
  <si>
    <t>1463</t>
  </si>
  <si>
    <t>Kontrol</t>
  </si>
  <si>
    <t>1464</t>
  </si>
  <si>
    <t>DockYard</t>
  </si>
  <si>
    <t>1465</t>
  </si>
  <si>
    <t>MidPoint Technology Group</t>
  </si>
  <si>
    <t>1466</t>
  </si>
  <si>
    <t>Porcaro Stolarek Mete Partners</t>
  </si>
  <si>
    <t>1467</t>
  </si>
  <si>
    <t>National Energy &amp; Light</t>
  </si>
  <si>
    <t>1468</t>
  </si>
  <si>
    <t>CisCom Solutions</t>
  </si>
  <si>
    <t>1469</t>
  </si>
  <si>
    <t>Biotrans</t>
  </si>
  <si>
    <t>1470</t>
  </si>
  <si>
    <t>JB Office</t>
  </si>
  <si>
    <t>1471</t>
  </si>
  <si>
    <t>JCW Search</t>
  </si>
  <si>
    <t>1472</t>
  </si>
  <si>
    <t>Star Lab Corp.</t>
  </si>
  <si>
    <t>1473</t>
  </si>
  <si>
    <t>Expero</t>
  </si>
  <si>
    <t>1474</t>
  </si>
  <si>
    <t>Endurance</t>
  </si>
  <si>
    <t>1475</t>
  </si>
  <si>
    <t>Spiceology</t>
  </si>
  <si>
    <t>1476</t>
  </si>
  <si>
    <t>Chewse</t>
  </si>
  <si>
    <t>1477</t>
  </si>
  <si>
    <t>Apex Appraisal Service</t>
  </si>
  <si>
    <t>1478</t>
  </si>
  <si>
    <t>Boomset</t>
  </si>
  <si>
    <t>1479</t>
  </si>
  <si>
    <t>ShipSound</t>
  </si>
  <si>
    <t>1480</t>
  </si>
  <si>
    <t>Infinite Leap</t>
  </si>
  <si>
    <t>1481</t>
  </si>
  <si>
    <t>Douglas Realty</t>
  </si>
  <si>
    <t>1482</t>
  </si>
  <si>
    <t>B3 Medical</t>
  </si>
  <si>
    <t>1483</t>
  </si>
  <si>
    <t>Self-Publishing School</t>
  </si>
  <si>
    <t>1484</t>
  </si>
  <si>
    <t>Torrent Consulting</t>
  </si>
  <si>
    <t>1485</t>
  </si>
  <si>
    <t>Atlas MedStaff</t>
  </si>
  <si>
    <t>1486</t>
  </si>
  <si>
    <t>JB Software and Consulting</t>
  </si>
  <si>
    <t>1487</t>
  </si>
  <si>
    <t>Atredis Partners</t>
  </si>
  <si>
    <t>1488</t>
  </si>
  <si>
    <t>2A Consulting</t>
  </si>
  <si>
    <t>1489</t>
  </si>
  <si>
    <t>Flux7</t>
  </si>
  <si>
    <t>1490</t>
  </si>
  <si>
    <t>Famous Toastery</t>
  </si>
  <si>
    <t>1491</t>
  </si>
  <si>
    <t>Vac2Go</t>
  </si>
  <si>
    <t>1492</t>
  </si>
  <si>
    <t>ITA International</t>
  </si>
  <si>
    <t>1493</t>
  </si>
  <si>
    <t>Raw Sugar Living</t>
  </si>
  <si>
    <t>1494</t>
  </si>
  <si>
    <t>Devbridge</t>
  </si>
  <si>
    <t>1495</t>
  </si>
  <si>
    <t>AML RightSource</t>
  </si>
  <si>
    <t>1496</t>
  </si>
  <si>
    <t>Rozalado</t>
  </si>
  <si>
    <t>1497</t>
  </si>
  <si>
    <t>Hayes Healthcare</t>
  </si>
  <si>
    <t>1498</t>
  </si>
  <si>
    <t>Grant Enterprises</t>
  </si>
  <si>
    <t>1499</t>
  </si>
  <si>
    <t>Disruptive Advertising</t>
  </si>
  <si>
    <t>1500</t>
  </si>
  <si>
    <t>Proforma Angelini + Diamond Solutions</t>
  </si>
  <si>
    <t>1501</t>
  </si>
  <si>
    <t>Softeq Development</t>
  </si>
  <si>
    <t>1502</t>
  </si>
  <si>
    <t>Dream Finders Homes</t>
  </si>
  <si>
    <t>1503</t>
  </si>
  <si>
    <t>ProEquity Asset Management</t>
  </si>
  <si>
    <t>1504</t>
  </si>
  <si>
    <t>Rise Brands</t>
  </si>
  <si>
    <t>1505</t>
  </si>
  <si>
    <t>iDealFurniture/KozyFurniture</t>
  </si>
  <si>
    <t>1506</t>
  </si>
  <si>
    <t>GenerX Generators</t>
  </si>
  <si>
    <t>1507</t>
  </si>
  <si>
    <t>Team SI</t>
  </si>
  <si>
    <t>1508</t>
  </si>
  <si>
    <t>Picardie Timber Frame</t>
  </si>
  <si>
    <t>1509</t>
  </si>
  <si>
    <t>Tarmac</t>
  </si>
  <si>
    <t>1510</t>
  </si>
  <si>
    <t>WhirlWind Technologies</t>
  </si>
  <si>
    <t>1511</t>
  </si>
  <si>
    <t>Geo Owl</t>
  </si>
  <si>
    <t>1512</t>
  </si>
  <si>
    <t>Flexisales</t>
  </si>
  <si>
    <t>1513</t>
  </si>
  <si>
    <t>Bleacher Restorators of Colorado</t>
  </si>
  <si>
    <t>1514</t>
  </si>
  <si>
    <t>Black Tie Moving</t>
  </si>
  <si>
    <t>1515</t>
  </si>
  <si>
    <t>Maven Wave</t>
  </si>
  <si>
    <t>1516</t>
  </si>
  <si>
    <t>Mountain State Software Solutions</t>
  </si>
  <si>
    <t>1517</t>
  </si>
  <si>
    <t>Gateway Multifamily</t>
  </si>
  <si>
    <t>1518</t>
  </si>
  <si>
    <t>Venture REI</t>
  </si>
  <si>
    <t>1519</t>
  </si>
  <si>
    <t>AutoPets</t>
  </si>
  <si>
    <t>1520</t>
  </si>
  <si>
    <t>Flocknote</t>
  </si>
  <si>
    <t>1521</t>
  </si>
  <si>
    <t>Lowers Risk Group</t>
  </si>
  <si>
    <t>1522</t>
  </si>
  <si>
    <t>Escapology</t>
  </si>
  <si>
    <t>1523</t>
  </si>
  <si>
    <t>Aero Accessories</t>
  </si>
  <si>
    <t>1524</t>
  </si>
  <si>
    <t>Magnolia Innovation</t>
  </si>
  <si>
    <t>1525</t>
  </si>
  <si>
    <t>National Design Build Services</t>
  </si>
  <si>
    <t>1526</t>
  </si>
  <si>
    <t>TekCom Resources</t>
  </si>
  <si>
    <t>1527</t>
  </si>
  <si>
    <t>Rx Savings Solutions</t>
  </si>
  <si>
    <t>1528</t>
  </si>
  <si>
    <t>AG Consulting Partners</t>
  </si>
  <si>
    <t>1529</t>
  </si>
  <si>
    <t>Eck Services</t>
  </si>
  <si>
    <t>1530</t>
  </si>
  <si>
    <t>Legacy Service</t>
  </si>
  <si>
    <t>1531</t>
  </si>
  <si>
    <t>Strong Together Fitness</t>
  </si>
  <si>
    <t>1532</t>
  </si>
  <si>
    <t>Moxie Solar</t>
  </si>
  <si>
    <t>1533</t>
  </si>
  <si>
    <t>Veyo</t>
  </si>
  <si>
    <t>1534</t>
  </si>
  <si>
    <t>World Insurance Associates</t>
  </si>
  <si>
    <t>1535</t>
  </si>
  <si>
    <t>Saviynt</t>
  </si>
  <si>
    <t>1536</t>
  </si>
  <si>
    <t>Wana Brands</t>
  </si>
  <si>
    <t>1537</t>
  </si>
  <si>
    <t>Cookie Cutters Haircuts for Kids</t>
  </si>
  <si>
    <t>1538</t>
  </si>
  <si>
    <t>WaveFly Powered by JMF Solutions</t>
  </si>
  <si>
    <t>1539</t>
  </si>
  <si>
    <t>n2grate</t>
  </si>
  <si>
    <t>1540</t>
  </si>
  <si>
    <t>FullContact</t>
  </si>
  <si>
    <t>1541</t>
  </si>
  <si>
    <t>Thycotic</t>
  </si>
  <si>
    <t>1542</t>
  </si>
  <si>
    <t>Spring Dental</t>
  </si>
  <si>
    <t>1543</t>
  </si>
  <si>
    <t>HealthCaps</t>
  </si>
  <si>
    <t>1544</t>
  </si>
  <si>
    <t>B.O.S.S. Retirement Solutions</t>
  </si>
  <si>
    <t>1545</t>
  </si>
  <si>
    <t>Teamson Design Corp.</t>
  </si>
  <si>
    <t>1546</t>
  </si>
  <si>
    <t>Total Server Solutions</t>
  </si>
  <si>
    <t>1547</t>
  </si>
  <si>
    <t>The Mix Group</t>
  </si>
  <si>
    <t>1548</t>
  </si>
  <si>
    <t>Mpact Strategic Consulting</t>
  </si>
  <si>
    <t>1549</t>
  </si>
  <si>
    <t>ERP Maestro</t>
  </si>
  <si>
    <t>1550</t>
  </si>
  <si>
    <t>Magnolia Boutique</t>
  </si>
  <si>
    <t>1551</t>
  </si>
  <si>
    <t>LandSouth Construction</t>
  </si>
  <si>
    <t>1552</t>
  </si>
  <si>
    <t>The Vested Group</t>
  </si>
  <si>
    <t>1553</t>
  </si>
  <si>
    <t>Cortina Solutions</t>
  </si>
  <si>
    <t>1554</t>
  </si>
  <si>
    <t>Lafayette Metal &amp; Glass Company</t>
  </si>
  <si>
    <t>1899</t>
  </si>
  <si>
    <t>1555</t>
  </si>
  <si>
    <t>Ops Tech Alliance</t>
  </si>
  <si>
    <t>1556</t>
  </si>
  <si>
    <t>TIME Systems</t>
  </si>
  <si>
    <t>1557</t>
  </si>
  <si>
    <t>Lighter Capital</t>
  </si>
  <si>
    <t>1558</t>
  </si>
  <si>
    <t>Intuitive Web Solutions</t>
  </si>
  <si>
    <t>1559</t>
  </si>
  <si>
    <t>Ardent Eagle Solutions</t>
  </si>
  <si>
    <t>1560</t>
  </si>
  <si>
    <t>Boutique Recruiting</t>
  </si>
  <si>
    <t>1561</t>
  </si>
  <si>
    <t>PerkSpot</t>
  </si>
  <si>
    <t>1562</t>
  </si>
  <si>
    <t>WamBam Fence</t>
  </si>
  <si>
    <t>1563</t>
  </si>
  <si>
    <t>SMR Holdings</t>
  </si>
  <si>
    <t>1564</t>
  </si>
  <si>
    <t>Brown Fox PLLC</t>
  </si>
  <si>
    <t>1565</t>
  </si>
  <si>
    <t>Ruckus Marketing</t>
  </si>
  <si>
    <t>1566</t>
  </si>
  <si>
    <t>Pacifica Consulting Services</t>
  </si>
  <si>
    <t>1567</t>
  </si>
  <si>
    <t>Zerto</t>
  </si>
  <si>
    <t>1568</t>
  </si>
  <si>
    <t>Garland Technology</t>
  </si>
  <si>
    <t>1569</t>
  </si>
  <si>
    <t>CirrusLabs</t>
  </si>
  <si>
    <t>IT Services</t>
  </si>
  <si>
    <t>1570</t>
  </si>
  <si>
    <t>Northwest Healthcare</t>
  </si>
  <si>
    <t>1571</t>
  </si>
  <si>
    <t>VividFront</t>
  </si>
  <si>
    <t>1572</t>
  </si>
  <si>
    <t>Auditmacs</t>
  </si>
  <si>
    <t>1573</t>
  </si>
  <si>
    <t>Nationwide IT Services</t>
  </si>
  <si>
    <t>1574</t>
  </si>
  <si>
    <t>Bespoke Sports &amp; Entertainment</t>
  </si>
  <si>
    <t>1575</t>
  </si>
  <si>
    <t>Hero Digital</t>
  </si>
  <si>
    <t>1576</t>
  </si>
  <si>
    <t>Diversified</t>
  </si>
  <si>
    <t>1577</t>
  </si>
  <si>
    <t>Credence Management Solutions</t>
  </si>
  <si>
    <t>1578</t>
  </si>
  <si>
    <t>ViewSport International</t>
  </si>
  <si>
    <t>1579</t>
  </si>
  <si>
    <t>Stack Construction Technologies</t>
  </si>
  <si>
    <t>1580</t>
  </si>
  <si>
    <t>meQuilibrium/New Life Solution</t>
  </si>
  <si>
    <t>1581</t>
  </si>
  <si>
    <t>Myles Apparel</t>
  </si>
  <si>
    <t>1582</t>
  </si>
  <si>
    <t>Malka</t>
  </si>
  <si>
    <t>1583</t>
  </si>
  <si>
    <t>BigBinary</t>
  </si>
  <si>
    <t>1584</t>
  </si>
  <si>
    <t>Epic Property Management</t>
  </si>
  <si>
    <t>1585</t>
  </si>
  <si>
    <t>Goldfish Swim School Franchising</t>
  </si>
  <si>
    <t>1586</t>
  </si>
  <si>
    <t>ProjectManager.com</t>
  </si>
  <si>
    <t>1587</t>
  </si>
  <si>
    <t>Terra Exports</t>
  </si>
  <si>
    <t>1588</t>
  </si>
  <si>
    <t>Purchasing Group</t>
  </si>
  <si>
    <t>1589</t>
  </si>
  <si>
    <t>Cloudticity</t>
  </si>
  <si>
    <t>1590</t>
  </si>
  <si>
    <t>A. Prentice Ray</t>
  </si>
  <si>
    <t>1591</t>
  </si>
  <si>
    <t>MartinFederal</t>
  </si>
  <si>
    <t>1592</t>
  </si>
  <si>
    <t>QFS</t>
  </si>
  <si>
    <t>1593</t>
  </si>
  <si>
    <t>Heaton Dainard Real Estate</t>
  </si>
  <si>
    <t>1594</t>
  </si>
  <si>
    <t>Five Doors Network</t>
  </si>
  <si>
    <t>1595</t>
  </si>
  <si>
    <t>GreenWorks Service Company</t>
  </si>
  <si>
    <t>1596</t>
  </si>
  <si>
    <t>Becker Logistics</t>
  </si>
  <si>
    <t>1597</t>
  </si>
  <si>
    <t>GIS Surveyors</t>
  </si>
  <si>
    <t>1598</t>
  </si>
  <si>
    <t>Taulia</t>
  </si>
  <si>
    <t>1599</t>
  </si>
  <si>
    <t>KensieMae</t>
  </si>
  <si>
    <t>1600</t>
  </si>
  <si>
    <t>Advanced Technology Logistics</t>
  </si>
  <si>
    <t>1601</t>
  </si>
  <si>
    <t>Kingsmen Software</t>
  </si>
  <si>
    <t>1602</t>
  </si>
  <si>
    <t>Hologenix</t>
  </si>
  <si>
    <t>1603</t>
  </si>
  <si>
    <t>Franklin Media</t>
  </si>
  <si>
    <t>1604</t>
  </si>
  <si>
    <t>Instinct Dog Behavior &amp; Training</t>
  </si>
  <si>
    <t>1605</t>
  </si>
  <si>
    <t>Fulton Grace Realty</t>
  </si>
  <si>
    <t>1606</t>
  </si>
  <si>
    <t>Innovatemap</t>
  </si>
  <si>
    <t>1607</t>
  </si>
  <si>
    <t>Ramsey &amp; Walker</t>
  </si>
  <si>
    <t>1608</t>
  </si>
  <si>
    <t>TruFusion</t>
  </si>
  <si>
    <t>1609</t>
  </si>
  <si>
    <t>Precise Software Solutions</t>
  </si>
  <si>
    <t>1610</t>
  </si>
  <si>
    <t>ZoCo Design</t>
  </si>
  <si>
    <t>1611</t>
  </si>
  <si>
    <t>GeoLinks</t>
  </si>
  <si>
    <t>1612</t>
  </si>
  <si>
    <t>FormAssembly</t>
  </si>
  <si>
    <t>1613</t>
  </si>
  <si>
    <t>Uber Bazaar</t>
  </si>
  <si>
    <t>1614</t>
  </si>
  <si>
    <t>Kiki LaRue</t>
  </si>
  <si>
    <t>1615</t>
  </si>
  <si>
    <t>Proforma BrandCentric Solutions</t>
  </si>
  <si>
    <t>1616</t>
  </si>
  <si>
    <t>PopShorts</t>
  </si>
  <si>
    <t>1617</t>
  </si>
  <si>
    <t>Allied Universal</t>
  </si>
  <si>
    <t>1957</t>
  </si>
  <si>
    <t>1618</t>
  </si>
  <si>
    <t>InfiniSource Consulting Solutions</t>
  </si>
  <si>
    <t>1619</t>
  </si>
  <si>
    <t>540.co</t>
  </si>
  <si>
    <t>1620</t>
  </si>
  <si>
    <t>Sauce Labs</t>
  </si>
  <si>
    <t>1621</t>
  </si>
  <si>
    <t>Renaissance Windows &amp; Doors</t>
  </si>
  <si>
    <t>1622</t>
  </si>
  <si>
    <t>Barbee Jackson Insurance</t>
  </si>
  <si>
    <t>1623</t>
  </si>
  <si>
    <t>Whitestone Branding</t>
  </si>
  <si>
    <t>1624</t>
  </si>
  <si>
    <t>Einstein PEO</t>
  </si>
  <si>
    <t>1625</t>
  </si>
  <si>
    <t>Axe Prime</t>
  </si>
  <si>
    <t>1626</t>
  </si>
  <si>
    <t>Optmyzr</t>
  </si>
  <si>
    <t>1627</t>
  </si>
  <si>
    <t>Well Told</t>
  </si>
  <si>
    <t>1628</t>
  </si>
  <si>
    <t>Camp Gladiator</t>
  </si>
  <si>
    <t>1629</t>
  </si>
  <si>
    <t>Mfrg-Icon Construction</t>
  </si>
  <si>
    <t>1630</t>
  </si>
  <si>
    <t>Metis Solutions</t>
  </si>
  <si>
    <t>1631</t>
  </si>
  <si>
    <t>Rainmaker Ad Ventures</t>
  </si>
  <si>
    <t>1632</t>
  </si>
  <si>
    <t>Tattersall Companies</t>
  </si>
  <si>
    <t>1633</t>
  </si>
  <si>
    <t>The GFB: Gluten Free Bar</t>
  </si>
  <si>
    <t>1634</t>
  </si>
  <si>
    <t>Accelerate Solar</t>
  </si>
  <si>
    <t>1635</t>
  </si>
  <si>
    <t>Callibrity Solutions</t>
  </si>
  <si>
    <t>1636</t>
  </si>
  <si>
    <t>Construction Plus</t>
  </si>
  <si>
    <t>1637</t>
  </si>
  <si>
    <t>Big Hammer Wines</t>
  </si>
  <si>
    <t>1638</t>
  </si>
  <si>
    <t>TFM Truckload</t>
  </si>
  <si>
    <t>1639</t>
  </si>
  <si>
    <t>Mortgage Financial Services</t>
  </si>
  <si>
    <t>1640</t>
  </si>
  <si>
    <t>The Participation Agency</t>
  </si>
  <si>
    <t>1641</t>
  </si>
  <si>
    <t>SalesLoft</t>
  </si>
  <si>
    <t>1642</t>
  </si>
  <si>
    <t>Kaizen Technology Partners</t>
  </si>
  <si>
    <t>1643</t>
  </si>
  <si>
    <t>OppGenetix</t>
  </si>
  <si>
    <t>1644</t>
  </si>
  <si>
    <t>Ecogistics</t>
  </si>
  <si>
    <t>1645</t>
  </si>
  <si>
    <t>StaffRehab</t>
  </si>
  <si>
    <t>1646</t>
  </si>
  <si>
    <t>Alkemy Partners Instruction and Design</t>
  </si>
  <si>
    <t>1647</t>
  </si>
  <si>
    <t>Explotrain</t>
  </si>
  <si>
    <t>1648</t>
  </si>
  <si>
    <t>Healthcare Solutions Direct</t>
  </si>
  <si>
    <t>1649</t>
  </si>
  <si>
    <t>Eaglestone</t>
  </si>
  <si>
    <t>1990</t>
  </si>
  <si>
    <t>1650</t>
  </si>
  <si>
    <t>FloodBreak</t>
  </si>
  <si>
    <t>1651</t>
  </si>
  <si>
    <t>R2C</t>
  </si>
  <si>
    <t>1652</t>
  </si>
  <si>
    <t>Triad</t>
  </si>
  <si>
    <t>1653</t>
  </si>
  <si>
    <t>Kerberos International</t>
  </si>
  <si>
    <t>1654</t>
  </si>
  <si>
    <t>Priority Ambulance</t>
  </si>
  <si>
    <t>1655</t>
  </si>
  <si>
    <t>Corporate Tax Advisors</t>
  </si>
  <si>
    <t>1656</t>
  </si>
  <si>
    <t>Stride Consulting</t>
  </si>
  <si>
    <t>1657</t>
  </si>
  <si>
    <t>ESO</t>
  </si>
  <si>
    <t>1658</t>
  </si>
  <si>
    <t>Origami Risk</t>
  </si>
  <si>
    <t>1659</t>
  </si>
  <si>
    <t>Westview Productions</t>
  </si>
  <si>
    <t>1660</t>
  </si>
  <si>
    <t>3Blue Media</t>
  </si>
  <si>
    <t>1661</t>
  </si>
  <si>
    <t>Signature Analytics</t>
  </si>
  <si>
    <t>1662</t>
  </si>
  <si>
    <t>Seriously</t>
  </si>
  <si>
    <t>1663</t>
  </si>
  <si>
    <t>Chefman</t>
  </si>
  <si>
    <t>1664</t>
  </si>
  <si>
    <t>twelve NYC</t>
  </si>
  <si>
    <t>1665</t>
  </si>
  <si>
    <t>Scorpion</t>
  </si>
  <si>
    <t>1666</t>
  </si>
  <si>
    <t>Overdrive Brands</t>
  </si>
  <si>
    <t>1667</t>
  </si>
  <si>
    <t>IT Authorities</t>
  </si>
  <si>
    <t>1668</t>
  </si>
  <si>
    <t>Mac's LTC Pharmacy Solutions</t>
  </si>
  <si>
    <t>1669</t>
  </si>
  <si>
    <t>123ws.com</t>
  </si>
  <si>
    <t>1670</t>
  </si>
  <si>
    <t>Greenlink Financial</t>
  </si>
  <si>
    <t>1671</t>
  </si>
  <si>
    <t>Direct Components</t>
  </si>
  <si>
    <t>1672</t>
  </si>
  <si>
    <t>Seller Labs</t>
  </si>
  <si>
    <t>1673</t>
  </si>
  <si>
    <t>JD Precision Plumbing Services</t>
  </si>
  <si>
    <t>1674</t>
  </si>
  <si>
    <t>Nearshore Technology</t>
  </si>
  <si>
    <t>1675</t>
  </si>
  <si>
    <t>Weris</t>
  </si>
  <si>
    <t>1676</t>
  </si>
  <si>
    <t>WillowTree</t>
  </si>
  <si>
    <t>1677</t>
  </si>
  <si>
    <t>The DVI Group</t>
  </si>
  <si>
    <t>1678</t>
  </si>
  <si>
    <t>Rational Interaction</t>
  </si>
  <si>
    <t>1679</t>
  </si>
  <si>
    <t>Peak Dental Services</t>
  </si>
  <si>
    <t>1680</t>
  </si>
  <si>
    <t>Obsidian Solutions Group</t>
  </si>
  <si>
    <t>1681</t>
  </si>
  <si>
    <t>Fairbridge Partners</t>
  </si>
  <si>
    <t>1682</t>
  </si>
  <si>
    <t>Livewell Clinic</t>
  </si>
  <si>
    <t>1683</t>
  </si>
  <si>
    <t>Digital Brew</t>
  </si>
  <si>
    <t>1684</t>
  </si>
  <si>
    <t>5by5</t>
  </si>
  <si>
    <t>1685</t>
  </si>
  <si>
    <t>Punch Bowl Social</t>
  </si>
  <si>
    <t>1686</t>
  </si>
  <si>
    <t>ConsumerAffairs</t>
  </si>
  <si>
    <t>1687</t>
  </si>
  <si>
    <t>Mars Services</t>
  </si>
  <si>
    <t>1688</t>
  </si>
  <si>
    <t>MAS Global Consulting</t>
  </si>
  <si>
    <t>1689</t>
  </si>
  <si>
    <t>StatGear</t>
  </si>
  <si>
    <t>1690</t>
  </si>
  <si>
    <t>Source 1 Solutions</t>
  </si>
  <si>
    <t>1691</t>
  </si>
  <si>
    <t>Artemis Consulting</t>
  </si>
  <si>
    <t>1692</t>
  </si>
  <si>
    <t>Rebellion Photonics</t>
  </si>
  <si>
    <t>1693</t>
  </si>
  <si>
    <t>InnovateEd</t>
  </si>
  <si>
    <t>1694</t>
  </si>
  <si>
    <t>intlx Solutions</t>
  </si>
  <si>
    <t>1695</t>
  </si>
  <si>
    <t>Seal Software</t>
  </si>
  <si>
    <t>1696</t>
  </si>
  <si>
    <t>Integrity Express Logistics</t>
  </si>
  <si>
    <t>1697</t>
  </si>
  <si>
    <t>Mission Field</t>
  </si>
  <si>
    <t>1698</t>
  </si>
  <si>
    <t>Cambay Consulting</t>
  </si>
  <si>
    <t>1699</t>
  </si>
  <si>
    <t>Sourcetoad</t>
  </si>
  <si>
    <t>1700</t>
  </si>
  <si>
    <t>CorLife</t>
  </si>
  <si>
    <t>1701</t>
  </si>
  <si>
    <t>Passio Technologies</t>
  </si>
  <si>
    <t>1702</t>
  </si>
  <si>
    <t>Silverback Strategies</t>
  </si>
  <si>
    <t>1703</t>
  </si>
  <si>
    <t>NextGen Federal Systems</t>
  </si>
  <si>
    <t>1704</t>
  </si>
  <si>
    <t>Tripleseat</t>
  </si>
  <si>
    <t>1705</t>
  </si>
  <si>
    <t>Sonatype</t>
  </si>
  <si>
    <t>1706</t>
  </si>
  <si>
    <t>iTechArt Group</t>
  </si>
  <si>
    <t>1707</t>
  </si>
  <si>
    <t>Flexton</t>
  </si>
  <si>
    <t>1708</t>
  </si>
  <si>
    <t>Xtenfer Consulting</t>
  </si>
  <si>
    <t>1709</t>
  </si>
  <si>
    <t>Tenfold</t>
  </si>
  <si>
    <t>1710</t>
  </si>
  <si>
    <t>Avant Healthcare Professionals</t>
  </si>
  <si>
    <t>1711</t>
  </si>
  <si>
    <t>Need Supply Co.</t>
  </si>
  <si>
    <t>1712</t>
  </si>
  <si>
    <t>Grow Op Farms</t>
  </si>
  <si>
    <t>1713</t>
  </si>
  <si>
    <t>Advent Health Partners</t>
  </si>
  <si>
    <t>1714</t>
  </si>
  <si>
    <t>CopaSAT</t>
  </si>
  <si>
    <t>1715</t>
  </si>
  <si>
    <t>Reservations.com</t>
  </si>
  <si>
    <t>1716</t>
  </si>
  <si>
    <t>Global Lending Services</t>
  </si>
  <si>
    <t>1717</t>
  </si>
  <si>
    <t>Broad Sky Networks</t>
  </si>
  <si>
    <t>1718</t>
  </si>
  <si>
    <t>Sawtst</t>
  </si>
  <si>
    <t>1719</t>
  </si>
  <si>
    <t>Open Lending</t>
  </si>
  <si>
    <t>1720</t>
  </si>
  <si>
    <t>Wilson Shaw Information Technology</t>
  </si>
  <si>
    <t>1721</t>
  </si>
  <si>
    <t>Brand Bureau</t>
  </si>
  <si>
    <t>1722</t>
  </si>
  <si>
    <t>Travlu.com : DHD Hospetality Services</t>
  </si>
  <si>
    <t>1723</t>
  </si>
  <si>
    <t>Ivy Lane</t>
  </si>
  <si>
    <t>1724</t>
  </si>
  <si>
    <t>Klymit</t>
  </si>
  <si>
    <t>1725</t>
  </si>
  <si>
    <t>American Hartford Gold Group</t>
  </si>
  <si>
    <t>1726</t>
  </si>
  <si>
    <t>Poseidon Systems</t>
  </si>
  <si>
    <t>1727</t>
  </si>
  <si>
    <t>Lemonlight</t>
  </si>
  <si>
    <t>1728</t>
  </si>
  <si>
    <t>Zentra</t>
  </si>
  <si>
    <t>1729</t>
  </si>
  <si>
    <t>Tresata</t>
  </si>
  <si>
    <t>1730</t>
  </si>
  <si>
    <t>70E Solutions</t>
  </si>
  <si>
    <t>1731</t>
  </si>
  <si>
    <t>National Coatings</t>
  </si>
  <si>
    <t>1732</t>
  </si>
  <si>
    <t>One Source Companies</t>
  </si>
  <si>
    <t>1733</t>
  </si>
  <si>
    <t>Reliable Relamping</t>
  </si>
  <si>
    <t>1734</t>
  </si>
  <si>
    <t>K3 Solutions</t>
  </si>
  <si>
    <t>1735</t>
  </si>
  <si>
    <t>Trendsformers</t>
  </si>
  <si>
    <t>1736</t>
  </si>
  <si>
    <t>Accountfully</t>
  </si>
  <si>
    <t>1737</t>
  </si>
  <si>
    <t>Worth Clark Realty</t>
  </si>
  <si>
    <t>1738</t>
  </si>
  <si>
    <t>Piedmont Payment Services</t>
  </si>
  <si>
    <t>1739</t>
  </si>
  <si>
    <t>Endeavor Schools</t>
  </si>
  <si>
    <t>1740</t>
  </si>
  <si>
    <t>Science and Medicine Group</t>
  </si>
  <si>
    <t>1741</t>
  </si>
  <si>
    <t>GigSalad</t>
  </si>
  <si>
    <t>1742</t>
  </si>
  <si>
    <t>Turo</t>
  </si>
  <si>
    <t>1743</t>
  </si>
  <si>
    <t>Golden Gate BPO Solutions</t>
  </si>
  <si>
    <t>1744</t>
  </si>
  <si>
    <t>Beyond Codes</t>
  </si>
  <si>
    <t>1745</t>
  </si>
  <si>
    <t>Greg Norman &amp; Associates</t>
  </si>
  <si>
    <t>1746</t>
  </si>
  <si>
    <t>Freedom Healthcare Staffing</t>
  </si>
  <si>
    <t>1747</t>
  </si>
  <si>
    <t>Priority Title &amp; Escrow</t>
  </si>
  <si>
    <t>1748</t>
  </si>
  <si>
    <t>Spice Jungle</t>
  </si>
  <si>
    <t>1749</t>
  </si>
  <si>
    <t>DiscoverOrg</t>
  </si>
  <si>
    <t>1750</t>
  </si>
  <si>
    <t>Firebird Analytical Solutions and Technologies</t>
  </si>
  <si>
    <t>1751</t>
  </si>
  <si>
    <t>Windy City Equipment (WCE)</t>
  </si>
  <si>
    <t>1752</t>
  </si>
  <si>
    <t>Acertus</t>
  </si>
  <si>
    <t>1753</t>
  </si>
  <si>
    <t>Electrostar Electronics Recovery Solutions</t>
  </si>
  <si>
    <t>1754</t>
  </si>
  <si>
    <t>Technical Assurance</t>
  </si>
  <si>
    <t>1755</t>
  </si>
  <si>
    <t>The Ceres Group</t>
  </si>
  <si>
    <t>1756</t>
  </si>
  <si>
    <t>Neo Prism Solutions</t>
  </si>
  <si>
    <t>1757</t>
  </si>
  <si>
    <t>Impact Branding &amp; Design</t>
  </si>
  <si>
    <t>1758</t>
  </si>
  <si>
    <t>Alpha Structural</t>
  </si>
  <si>
    <t>1759</t>
  </si>
  <si>
    <t>Gulf Coast Crating</t>
  </si>
  <si>
    <t>1760</t>
  </si>
  <si>
    <t>Petra Coach</t>
  </si>
  <si>
    <t>1761</t>
  </si>
  <si>
    <t>Studio III Marketing</t>
  </si>
  <si>
    <t>1762</t>
  </si>
  <si>
    <t>Fusion Medical Staffing</t>
  </si>
  <si>
    <t>1763</t>
  </si>
  <si>
    <t>Trinity Packaging Supply</t>
  </si>
  <si>
    <t>1764</t>
  </si>
  <si>
    <t>Scotto</t>
  </si>
  <si>
    <t>1765</t>
  </si>
  <si>
    <t>Equiscript</t>
  </si>
  <si>
    <t>1766</t>
  </si>
  <si>
    <t>Argus Merchant Services</t>
  </si>
  <si>
    <t>1767</t>
  </si>
  <si>
    <t>Creative Systems and Consulting</t>
  </si>
  <si>
    <t>1768</t>
  </si>
  <si>
    <t>Picore International</t>
  </si>
  <si>
    <t>1769</t>
  </si>
  <si>
    <t>Pierce Education Properties</t>
  </si>
  <si>
    <t>1770</t>
  </si>
  <si>
    <t>PIRS Capital</t>
  </si>
  <si>
    <t>1771</t>
  </si>
  <si>
    <t>FTK Constructions Services</t>
  </si>
  <si>
    <t>1772</t>
  </si>
  <si>
    <t>Nelson</t>
  </si>
  <si>
    <t>1977</t>
  </si>
  <si>
    <t>1773</t>
  </si>
  <si>
    <t>Tilson Technology Management</t>
  </si>
  <si>
    <t>1774</t>
  </si>
  <si>
    <t>New Signature</t>
  </si>
  <si>
    <t>1775</t>
  </si>
  <si>
    <t>SkyHop Global</t>
  </si>
  <si>
    <t>1776</t>
  </si>
  <si>
    <t>Sage Millimeter</t>
  </si>
  <si>
    <t>1777</t>
  </si>
  <si>
    <t>Vitality Bowls Enterprise</t>
  </si>
  <si>
    <t>1778</t>
  </si>
  <si>
    <t>Keller Williams Legacy</t>
  </si>
  <si>
    <t>1779</t>
  </si>
  <si>
    <t>I.T. Works Recruitment</t>
  </si>
  <si>
    <t>1780</t>
  </si>
  <si>
    <t>Cardiva Medical</t>
  </si>
  <si>
    <t>1781</t>
  </si>
  <si>
    <t>Three T's Properties</t>
  </si>
  <si>
    <t>1782</t>
  </si>
  <si>
    <t>Tier4 Advisors</t>
  </si>
  <si>
    <t>1783</t>
  </si>
  <si>
    <t>SoBe Promos</t>
  </si>
  <si>
    <t>1784</t>
  </si>
  <si>
    <t>CoSolutions</t>
  </si>
  <si>
    <t>1785</t>
  </si>
  <si>
    <t>Strait</t>
  </si>
  <si>
    <t>1786</t>
  </si>
  <si>
    <t>Bolton Remote</t>
  </si>
  <si>
    <t>1787</t>
  </si>
  <si>
    <t>Noble.com</t>
  </si>
  <si>
    <t>1788</t>
  </si>
  <si>
    <t>Source Ortho</t>
  </si>
  <si>
    <t>1789</t>
  </si>
  <si>
    <t>Halo Maritime Defense Systems</t>
  </si>
  <si>
    <t>1790</t>
  </si>
  <si>
    <t>NetImpact Strategies</t>
  </si>
  <si>
    <t>1791</t>
  </si>
  <si>
    <t>Dave Burgess Consulting</t>
  </si>
  <si>
    <t>1792</t>
  </si>
  <si>
    <t>Red Oak Compliance Solutions Holdings</t>
  </si>
  <si>
    <t>1793</t>
  </si>
  <si>
    <t>Polaris Logistics Group</t>
  </si>
  <si>
    <t>1794</t>
  </si>
  <si>
    <t>ERP Advisors Group</t>
  </si>
  <si>
    <t>1795</t>
  </si>
  <si>
    <t>Go Fish Digital</t>
  </si>
  <si>
    <t>1796</t>
  </si>
  <si>
    <t>Whoice USA</t>
  </si>
  <si>
    <t>1797</t>
  </si>
  <si>
    <t>3B Medical</t>
  </si>
  <si>
    <t>1798</t>
  </si>
  <si>
    <t>Semihandmade</t>
  </si>
  <si>
    <t>1799</t>
  </si>
  <si>
    <t>Venza</t>
  </si>
  <si>
    <t>1800</t>
  </si>
  <si>
    <t>Affinity Dental Management</t>
  </si>
  <si>
    <t>1801</t>
  </si>
  <si>
    <t>Nationwide Transport Services</t>
  </si>
  <si>
    <t>1802</t>
  </si>
  <si>
    <t>Altaworx</t>
  </si>
  <si>
    <t>1803</t>
  </si>
  <si>
    <t>Spear Physical Therapy</t>
  </si>
  <si>
    <t>1804</t>
  </si>
  <si>
    <t>Bioluz LED</t>
  </si>
  <si>
    <t>1805</t>
  </si>
  <si>
    <t>Saltwater Collective</t>
  </si>
  <si>
    <t>1806</t>
  </si>
  <si>
    <t>Baldwin Risk Partners</t>
  </si>
  <si>
    <t>1807</t>
  </si>
  <si>
    <t>Lightbeam Health</t>
  </si>
  <si>
    <t>1808</t>
  </si>
  <si>
    <t>Files.com</t>
  </si>
  <si>
    <t>1809</t>
  </si>
  <si>
    <t>SilverCloud</t>
  </si>
  <si>
    <t>1810</t>
  </si>
  <si>
    <t>Utility Concierge</t>
  </si>
  <si>
    <t>1811</t>
  </si>
  <si>
    <t>MPLT Healthcare</t>
  </si>
  <si>
    <t>1812</t>
  </si>
  <si>
    <t>Fab Glass and Mirror</t>
  </si>
  <si>
    <t>1813</t>
  </si>
  <si>
    <t>Sparkle In Pink</t>
  </si>
  <si>
    <t>1814</t>
  </si>
  <si>
    <t>Katz Capital</t>
  </si>
  <si>
    <t>1815</t>
  </si>
  <si>
    <t>Spears Consulting Group</t>
  </si>
  <si>
    <t>1816</t>
  </si>
  <si>
    <t>BahFed</t>
  </si>
  <si>
    <t>1817</t>
  </si>
  <si>
    <t>Assisted Living Locators</t>
  </si>
  <si>
    <t>1818</t>
  </si>
  <si>
    <t>pNeo</t>
  </si>
  <si>
    <t>1819</t>
  </si>
  <si>
    <t>Kopis Mobile</t>
  </si>
  <si>
    <t>MS</t>
  </si>
  <si>
    <t>1820</t>
  </si>
  <si>
    <t>The Institute for Wealth Management</t>
  </si>
  <si>
    <t>1821</t>
  </si>
  <si>
    <t>Phoenix Financial Services</t>
  </si>
  <si>
    <t>1822</t>
  </si>
  <si>
    <t>Fortress Credit Professionals</t>
  </si>
  <si>
    <t>1823</t>
  </si>
  <si>
    <t>Apex Infinite Solutions</t>
  </si>
  <si>
    <t>1824</t>
  </si>
  <si>
    <t>Traditions Health</t>
  </si>
  <si>
    <t>1825</t>
  </si>
  <si>
    <t>Navigate Power</t>
  </si>
  <si>
    <t>1826</t>
  </si>
  <si>
    <t>Oscar Orduno</t>
  </si>
  <si>
    <t>1827</t>
  </si>
  <si>
    <t>Senior Solutions Home Care</t>
  </si>
  <si>
    <t>1828</t>
  </si>
  <si>
    <t>Mindgruve</t>
  </si>
  <si>
    <t>1829</t>
  </si>
  <si>
    <t>Perfect Snacks</t>
  </si>
  <si>
    <t>1830</t>
  </si>
  <si>
    <t>Orangetheory Fitness</t>
  </si>
  <si>
    <t>1831</t>
  </si>
  <si>
    <t>DoubleMap</t>
  </si>
  <si>
    <t>1832</t>
  </si>
  <si>
    <t>KLDiscovery</t>
  </si>
  <si>
    <t>1833</t>
  </si>
  <si>
    <t>GrapeTree Medical Staffing</t>
  </si>
  <si>
    <t>1834</t>
  </si>
  <si>
    <t>Innovative Collaboration</t>
  </si>
  <si>
    <t>1835</t>
  </si>
  <si>
    <t>22nd Century Technologies</t>
  </si>
  <si>
    <t>1836</t>
  </si>
  <si>
    <t>HealthMark Group</t>
  </si>
  <si>
    <t>1837</t>
  </si>
  <si>
    <t>Countrywide Realty Partners</t>
  </si>
  <si>
    <t>1838</t>
  </si>
  <si>
    <t>Longneck &amp; Thunderfoot</t>
  </si>
  <si>
    <t>1839</t>
  </si>
  <si>
    <t>HJR Global</t>
  </si>
  <si>
    <t>1840</t>
  </si>
  <si>
    <t>Fuse3 Solutions</t>
  </si>
  <si>
    <t>1841</t>
  </si>
  <si>
    <t>JWB Real Estate Capital</t>
  </si>
  <si>
    <t>1842</t>
  </si>
  <si>
    <t>Kobie Marketing</t>
  </si>
  <si>
    <t>1843</t>
  </si>
  <si>
    <t>Plutora</t>
  </si>
  <si>
    <t>1844</t>
  </si>
  <si>
    <t>Adeptus Solutions</t>
  </si>
  <si>
    <t>1845</t>
  </si>
  <si>
    <t>BlueSnap</t>
  </si>
  <si>
    <t>1846</t>
  </si>
  <si>
    <t>Zero Gravity Marketing</t>
  </si>
  <si>
    <t>1847</t>
  </si>
  <si>
    <t>Base4</t>
  </si>
  <si>
    <t>1848</t>
  </si>
  <si>
    <t>OneTrust Home Loans</t>
  </si>
  <si>
    <t>1849</t>
  </si>
  <si>
    <t>Josh's Frogs</t>
  </si>
  <si>
    <t>1850</t>
  </si>
  <si>
    <t>Applied Resource Group</t>
  </si>
  <si>
    <t>1851</t>
  </si>
  <si>
    <t>Advance Financial</t>
  </si>
  <si>
    <t>1852</t>
  </si>
  <si>
    <t>Executive Placements</t>
  </si>
  <si>
    <t>1853</t>
  </si>
  <si>
    <t>Credit Repair Cloud</t>
  </si>
  <si>
    <t>1854</t>
  </si>
  <si>
    <t>BDI</t>
  </si>
  <si>
    <t>1855</t>
  </si>
  <si>
    <t>InfoTrust</t>
  </si>
  <si>
    <t>1856</t>
  </si>
  <si>
    <t>Hyperquake</t>
  </si>
  <si>
    <t>1986</t>
  </si>
  <si>
    <t>1857</t>
  </si>
  <si>
    <t>Tender Loving Empire</t>
  </si>
  <si>
    <t>1858</t>
  </si>
  <si>
    <t>Avanti Systems USA</t>
  </si>
  <si>
    <t>1859</t>
  </si>
  <si>
    <t>Vetsource</t>
  </si>
  <si>
    <t>1860</t>
  </si>
  <si>
    <t>Intelliforce-IT Solutions Group</t>
  </si>
  <si>
    <t>1861</t>
  </si>
  <si>
    <t>Geraci Law Firm</t>
  </si>
  <si>
    <t>1862</t>
  </si>
  <si>
    <t>Whistle Sports</t>
  </si>
  <si>
    <t>1863</t>
  </si>
  <si>
    <t>MyComputerCareer</t>
  </si>
  <si>
    <t>1864</t>
  </si>
  <si>
    <t>Welltok</t>
  </si>
  <si>
    <t>1865</t>
  </si>
  <si>
    <t>Vesta Preferred</t>
  </si>
  <si>
    <t>1866</t>
  </si>
  <si>
    <t>Userful</t>
  </si>
  <si>
    <t>1867</t>
  </si>
  <si>
    <t>Rootstrap</t>
  </si>
  <si>
    <t>1868</t>
  </si>
  <si>
    <t>Green Cloud Technologies</t>
  </si>
  <si>
    <t>1869</t>
  </si>
  <si>
    <t>BluePeak Technology Solutions</t>
  </si>
  <si>
    <t>1870</t>
  </si>
  <si>
    <t>Tiesta Tea Company</t>
  </si>
  <si>
    <t>1871</t>
  </si>
  <si>
    <t>Beneficial Blends dba Kelapo</t>
  </si>
  <si>
    <t>1872</t>
  </si>
  <si>
    <t>Sunset Healthcare Solutions</t>
  </si>
  <si>
    <t>1873</t>
  </si>
  <si>
    <t>Agilisium Consulting</t>
  </si>
  <si>
    <t>1874</t>
  </si>
  <si>
    <t>Spot Freight</t>
  </si>
  <si>
    <t>1875</t>
  </si>
  <si>
    <t>Big Block Realty</t>
  </si>
  <si>
    <t>1876</t>
  </si>
  <si>
    <t>P2sample</t>
  </si>
  <si>
    <t>1877</t>
  </si>
  <si>
    <t>Crunch Fitness West Florida and Atlanta (CR Fitness)</t>
  </si>
  <si>
    <t>1878</t>
  </si>
  <si>
    <t>Signature Transportation Group</t>
  </si>
  <si>
    <t>1879</t>
  </si>
  <si>
    <t>Black Button Distilling</t>
  </si>
  <si>
    <t>1880</t>
  </si>
  <si>
    <t>Opex Technologies</t>
  </si>
  <si>
    <t>1881</t>
  </si>
  <si>
    <t>Secunetics</t>
  </si>
  <si>
    <t>1882</t>
  </si>
  <si>
    <t>Elevate</t>
  </si>
  <si>
    <t>1883</t>
  </si>
  <si>
    <t>Telarus</t>
  </si>
  <si>
    <t>1884</t>
  </si>
  <si>
    <t>G Fuel</t>
  </si>
  <si>
    <t>1885</t>
  </si>
  <si>
    <t>National Land Realty</t>
  </si>
  <si>
    <t>1886</t>
  </si>
  <si>
    <t>SKG</t>
  </si>
  <si>
    <t>1887</t>
  </si>
  <si>
    <t>Health Products For You</t>
  </si>
  <si>
    <t>1888</t>
  </si>
  <si>
    <t>Facilities Maintenance Management</t>
  </si>
  <si>
    <t>1889</t>
  </si>
  <si>
    <t>Banquest Payment Systems</t>
  </si>
  <si>
    <t>1890</t>
  </si>
  <si>
    <t>Lumber One Services</t>
  </si>
  <si>
    <t>1891</t>
  </si>
  <si>
    <t>Align Technical Resources</t>
  </si>
  <si>
    <t>1893</t>
  </si>
  <si>
    <t>Caliber Corporate Advisers</t>
  </si>
  <si>
    <t>1894</t>
  </si>
  <si>
    <t>Adpearance</t>
  </si>
  <si>
    <t>1895</t>
  </si>
  <si>
    <t>Boomerang DM</t>
  </si>
  <si>
    <t>1896</t>
  </si>
  <si>
    <t>Steam Logistics</t>
  </si>
  <si>
    <t>1897</t>
  </si>
  <si>
    <t>NextHome</t>
  </si>
  <si>
    <t>1898</t>
  </si>
  <si>
    <t>ndVOR Solutions</t>
  </si>
  <si>
    <t>ClearCompany</t>
  </si>
  <si>
    <t>1900</t>
  </si>
  <si>
    <t>Premier Coil Solutions</t>
  </si>
  <si>
    <t>1901</t>
  </si>
  <si>
    <t>Inside Ventures</t>
  </si>
  <si>
    <t>1902</t>
  </si>
  <si>
    <t>Summus Group</t>
  </si>
  <si>
    <t>1903</t>
  </si>
  <si>
    <t>Central Vapors</t>
  </si>
  <si>
    <t>1904</t>
  </si>
  <si>
    <t>Nam Technologies</t>
  </si>
  <si>
    <t>1905</t>
  </si>
  <si>
    <t>Done Right Merchandising</t>
  </si>
  <si>
    <t>1906</t>
  </si>
  <si>
    <t>Restaurant Partners Procurement</t>
  </si>
  <si>
    <t>1907</t>
  </si>
  <si>
    <t>Fieldstone Homes</t>
  </si>
  <si>
    <t>1981</t>
  </si>
  <si>
    <t>1908</t>
  </si>
  <si>
    <t>Pointe Pest Control-ID</t>
  </si>
  <si>
    <t>Unosquare</t>
  </si>
  <si>
    <t>1910</t>
  </si>
  <si>
    <t>Modern Market Master</t>
  </si>
  <si>
    <t>1911</t>
  </si>
  <si>
    <t>StrategyWise</t>
  </si>
  <si>
    <t>1912</t>
  </si>
  <si>
    <t>Rhino Fleet Tracking</t>
  </si>
  <si>
    <t>1913</t>
  </si>
  <si>
    <t>United Installs</t>
  </si>
  <si>
    <t>1914</t>
  </si>
  <si>
    <t>Lightspeed Voice</t>
  </si>
  <si>
    <t>1915</t>
  </si>
  <si>
    <t>Magneti</t>
  </si>
  <si>
    <t>1916</t>
  </si>
  <si>
    <t>Pharmapacks</t>
  </si>
  <si>
    <t>1917</t>
  </si>
  <si>
    <t>Higher Logic</t>
  </si>
  <si>
    <t>1918</t>
  </si>
  <si>
    <t>Stewardship</t>
  </si>
  <si>
    <t>1919</t>
  </si>
  <si>
    <t>InRhythm</t>
  </si>
  <si>
    <t>1920</t>
  </si>
  <si>
    <t>RoundTower Technologies</t>
  </si>
  <si>
    <t>1921</t>
  </si>
  <si>
    <t>Brandlive</t>
  </si>
  <si>
    <t>1922</t>
  </si>
  <si>
    <t>Reliant Vision Group</t>
  </si>
  <si>
    <t>1923</t>
  </si>
  <si>
    <t>Meredith Lodging</t>
  </si>
  <si>
    <t>1924</t>
  </si>
  <si>
    <t>Energy Lighting Services</t>
  </si>
  <si>
    <t>1925</t>
  </si>
  <si>
    <t>Felix Media Solutions</t>
  </si>
  <si>
    <t>1926</t>
  </si>
  <si>
    <t>Pye-Barker Fire</t>
  </si>
  <si>
    <t>1946</t>
  </si>
  <si>
    <t>1927</t>
  </si>
  <si>
    <t>ConnXus</t>
  </si>
  <si>
    <t>1928</t>
  </si>
  <si>
    <t>VEA Foods</t>
  </si>
  <si>
    <t>1929</t>
  </si>
  <si>
    <t>Cantor Property Services</t>
  </si>
  <si>
    <t>1930</t>
  </si>
  <si>
    <t>Trade Ideas</t>
  </si>
  <si>
    <t>1931</t>
  </si>
  <si>
    <t>Dovel Technologies</t>
  </si>
  <si>
    <t>1932</t>
  </si>
  <si>
    <t>ProfitOptics</t>
  </si>
  <si>
    <t>1933</t>
  </si>
  <si>
    <t>IronArch Technology</t>
  </si>
  <si>
    <t>1934</t>
  </si>
  <si>
    <t>IT Veterans</t>
  </si>
  <si>
    <t>1935</t>
  </si>
  <si>
    <t>Brother's Mechanical</t>
  </si>
  <si>
    <t>1936</t>
  </si>
  <si>
    <t>Allturna</t>
  </si>
  <si>
    <t>1937</t>
  </si>
  <si>
    <t>Ryan Insurance Services</t>
  </si>
  <si>
    <t>1938</t>
  </si>
  <si>
    <t>CPR1</t>
  </si>
  <si>
    <t>1939</t>
  </si>
  <si>
    <t>Noury Construction</t>
  </si>
  <si>
    <t>1940</t>
  </si>
  <si>
    <t>Leading Edge Aviation</t>
  </si>
  <si>
    <t>1941</t>
  </si>
  <si>
    <t>SOR Technology</t>
  </si>
  <si>
    <t>1942</t>
  </si>
  <si>
    <t>Stake Center Locating</t>
  </si>
  <si>
    <t>1943</t>
  </si>
  <si>
    <t>Conversica</t>
  </si>
  <si>
    <t>1944</t>
  </si>
  <si>
    <t>SkyRun Vacation Rentals</t>
  </si>
  <si>
    <t>G-Squared Partners</t>
  </si>
  <si>
    <t>Benzer Pharmacy</t>
  </si>
  <si>
    <t>1947</t>
  </si>
  <si>
    <t>Cultiva</t>
  </si>
  <si>
    <t>1948</t>
  </si>
  <si>
    <t>SRP Environmental</t>
  </si>
  <si>
    <t>1949</t>
  </si>
  <si>
    <t>EnTouch Controls</t>
  </si>
  <si>
    <t>1950</t>
  </si>
  <si>
    <t>Little Sunshine's Playhouse</t>
  </si>
  <si>
    <t>1951</t>
  </si>
  <si>
    <t>Mark Spain Real Estate</t>
  </si>
  <si>
    <t>1952</t>
  </si>
  <si>
    <t>Coast Medical Service</t>
  </si>
  <si>
    <t>1953</t>
  </si>
  <si>
    <t>The Salas Team</t>
  </si>
  <si>
    <t>1954</t>
  </si>
  <si>
    <t>McClure</t>
  </si>
  <si>
    <t>1956</t>
  </si>
  <si>
    <t>1955</t>
  </si>
  <si>
    <t>SinglePoint Global</t>
  </si>
  <si>
    <t>Bubbies Homemade Ice Cream and Desserts</t>
  </si>
  <si>
    <t>DayBlink Consulting</t>
  </si>
  <si>
    <t>1958</t>
  </si>
  <si>
    <t>Scanco Software</t>
  </si>
  <si>
    <t>1959</t>
  </si>
  <si>
    <t>beMatrix USA</t>
  </si>
  <si>
    <t>1960</t>
  </si>
  <si>
    <t>Hindsight Software Solutions</t>
  </si>
  <si>
    <t>1961</t>
  </si>
  <si>
    <t>Otter's Chicken</t>
  </si>
  <si>
    <t>Reputation.com</t>
  </si>
  <si>
    <t>1963</t>
  </si>
  <si>
    <t>TBX</t>
  </si>
  <si>
    <t>1964</t>
  </si>
  <si>
    <t>Ivalua</t>
  </si>
  <si>
    <t>1965</t>
  </si>
  <si>
    <t>Gold Medal Pools</t>
  </si>
  <si>
    <t>1966</t>
  </si>
  <si>
    <t>Carnivore Meat Company</t>
  </si>
  <si>
    <t>1967</t>
  </si>
  <si>
    <t>Denver Design Build</t>
  </si>
  <si>
    <t>1968</t>
  </si>
  <si>
    <t>BioAgilytix</t>
  </si>
  <si>
    <t>1969</t>
  </si>
  <si>
    <t>Eight Oh Two Marketing</t>
  </si>
  <si>
    <t>VT</t>
  </si>
  <si>
    <t>1970</t>
  </si>
  <si>
    <t>Synapse Business Systems</t>
  </si>
  <si>
    <t>1971</t>
  </si>
  <si>
    <t>Within Interior Design</t>
  </si>
  <si>
    <t>1972</t>
  </si>
  <si>
    <t>Sigma Tax Pro</t>
  </si>
  <si>
    <t>1973</t>
  </si>
  <si>
    <t>CC&amp;D</t>
  </si>
  <si>
    <t>The HCI Group</t>
  </si>
  <si>
    <t>1975</t>
  </si>
  <si>
    <t>Texan Allergy and Sinus Center</t>
  </si>
  <si>
    <t>NEwhere</t>
  </si>
  <si>
    <t>TeleVoIPs</t>
  </si>
  <si>
    <t>Furniture Clinic</t>
  </si>
  <si>
    <t>Kline Home Exteriors</t>
  </si>
  <si>
    <t>1980</t>
  </si>
  <si>
    <t>GP Transco</t>
  </si>
  <si>
    <t>Legalpeople/The Partners Group</t>
  </si>
  <si>
    <t>FountainheadME</t>
  </si>
  <si>
    <t>1983</t>
  </si>
  <si>
    <t>Blue Sky IT Partners</t>
  </si>
  <si>
    <t>Wizard Labels</t>
  </si>
  <si>
    <t>Trust Security Services</t>
  </si>
  <si>
    <t>Baby Bling</t>
  </si>
  <si>
    <t>DirectDefense</t>
  </si>
  <si>
    <t>CrossCountry Mortgage</t>
  </si>
  <si>
    <t>LGCY Power</t>
  </si>
  <si>
    <t>Seneca Resources</t>
  </si>
  <si>
    <t>ProLink Staffing</t>
  </si>
  <si>
    <t>Pinnacle Furnished Suites</t>
  </si>
  <si>
    <t>Sportsdigita</t>
  </si>
  <si>
    <t>Nationwide Logistics</t>
  </si>
  <si>
    <t>Teleradiology Specialists</t>
  </si>
  <si>
    <t>Owenby Law</t>
  </si>
  <si>
    <t>121 USA</t>
  </si>
  <si>
    <t>Honest Abe Roofing</t>
  </si>
  <si>
    <t>Moore Solar / Heating / Cooling</t>
  </si>
  <si>
    <t>The K Company Realty</t>
  </si>
  <si>
    <t>Perpetual:</t>
  </si>
  <si>
    <t>Eglentowicz Demoliiton</t>
  </si>
  <si>
    <t>Southern Striping Solutions</t>
  </si>
  <si>
    <t>Provision Insurnace Group</t>
  </si>
  <si>
    <t>Rethink Autism</t>
  </si>
  <si>
    <t>WesternTechSystems</t>
  </si>
  <si>
    <t>Alliance Family of Companies</t>
  </si>
  <si>
    <t>RKC Products</t>
  </si>
  <si>
    <t>Hilgers Graben</t>
  </si>
  <si>
    <t>Paradise Exteriors</t>
  </si>
  <si>
    <t>Big Elk Energy Systems</t>
  </si>
  <si>
    <t>POTENZA</t>
  </si>
  <si>
    <t>ProScribe</t>
  </si>
  <si>
    <t>Superior Print and Exhibit</t>
  </si>
  <si>
    <t>Sidebench</t>
  </si>
  <si>
    <t>Skin by Lovely</t>
  </si>
  <si>
    <t>2016</t>
  </si>
  <si>
    <t>Custom Pro Logistics</t>
  </si>
  <si>
    <t>2017</t>
  </si>
  <si>
    <t>Orange Tree Staffing</t>
  </si>
  <si>
    <t>2018</t>
  </si>
  <si>
    <t>Northwest Career College</t>
  </si>
  <si>
    <t>2019</t>
  </si>
  <si>
    <t>Apto</t>
  </si>
  <si>
    <t>2020</t>
  </si>
  <si>
    <t>Opus Agency</t>
  </si>
  <si>
    <t>2021</t>
  </si>
  <si>
    <t>All In One Custom Renovations</t>
  </si>
  <si>
    <t>2022</t>
  </si>
  <si>
    <t>CloudSmartz</t>
  </si>
  <si>
    <t>2023</t>
  </si>
  <si>
    <t>Premier Logistics Partners</t>
  </si>
  <si>
    <t>2024</t>
  </si>
  <si>
    <t>Infoverity</t>
  </si>
  <si>
    <t>2025</t>
  </si>
  <si>
    <t>Centralized Service</t>
  </si>
  <si>
    <t>2026</t>
  </si>
  <si>
    <t>Capstone Fire &amp; Safety</t>
  </si>
  <si>
    <t>2027</t>
  </si>
  <si>
    <t>Retail Cloud Technologies</t>
  </si>
  <si>
    <t>2028</t>
  </si>
  <si>
    <t>Maui Resort Rentals</t>
  </si>
  <si>
    <t>HI</t>
  </si>
  <si>
    <t>2029</t>
  </si>
  <si>
    <t>SimplePart</t>
  </si>
  <si>
    <t>2030</t>
  </si>
  <si>
    <t>MFI Medical Equipment</t>
  </si>
  <si>
    <t>2031</t>
  </si>
  <si>
    <t>Back at You</t>
  </si>
  <si>
    <t>2032</t>
  </si>
  <si>
    <t>Futuri Media</t>
  </si>
  <si>
    <t>2033</t>
  </si>
  <si>
    <t>Scotlynn USA Division</t>
  </si>
  <si>
    <t>2034</t>
  </si>
  <si>
    <t>Millennium Trust Company</t>
  </si>
  <si>
    <t>2035</t>
  </si>
  <si>
    <t>CapGrow Partners</t>
  </si>
  <si>
    <t>2036</t>
  </si>
  <si>
    <t>Marathon Strategies</t>
  </si>
  <si>
    <t>2037</t>
  </si>
  <si>
    <t>Marketing Genome</t>
  </si>
  <si>
    <t>2038</t>
  </si>
  <si>
    <t>RSB Environmental</t>
  </si>
  <si>
    <t>2039</t>
  </si>
  <si>
    <t>Swiss American CDMO</t>
  </si>
  <si>
    <t>2040</t>
  </si>
  <si>
    <t>J.W. Logistics</t>
  </si>
  <si>
    <t>2041</t>
  </si>
  <si>
    <t>Peak Properties Group</t>
  </si>
  <si>
    <t>2042</t>
  </si>
  <si>
    <t>The Ventus Network</t>
  </si>
  <si>
    <t>2043</t>
  </si>
  <si>
    <t>BiggerPockets</t>
  </si>
  <si>
    <t>2044</t>
  </si>
  <si>
    <t>Oasys</t>
  </si>
  <si>
    <t>2045</t>
  </si>
  <si>
    <t>Williamsburg Enterprises</t>
  </si>
  <si>
    <t>2046</t>
  </si>
  <si>
    <t>Elite Events &amp; Rentals</t>
  </si>
  <si>
    <t>2047</t>
  </si>
  <si>
    <t>Estrella Franchising</t>
  </si>
  <si>
    <t>2048</t>
  </si>
  <si>
    <t>Merit Financial Group</t>
  </si>
  <si>
    <t>2049</t>
  </si>
  <si>
    <t>Luxury Living Chicago Realty</t>
  </si>
  <si>
    <t>2050</t>
  </si>
  <si>
    <t>Benton Roofing</t>
  </si>
  <si>
    <t>2051</t>
  </si>
  <si>
    <t>Graham Technologies</t>
  </si>
  <si>
    <t>2052</t>
  </si>
  <si>
    <t>Cognitus Consulting</t>
  </si>
  <si>
    <t>2053</t>
  </si>
  <si>
    <t>Data Canopy Colocation</t>
  </si>
  <si>
    <t>2054</t>
  </si>
  <si>
    <t>Farwell</t>
  </si>
  <si>
    <t>2055</t>
  </si>
  <si>
    <t>Sunpro Solar</t>
  </si>
  <si>
    <t>2056</t>
  </si>
  <si>
    <t>Denny Cherry &amp; Associates Consulting</t>
  </si>
  <si>
    <t>2057</t>
  </si>
  <si>
    <t>Challas Group</t>
  </si>
  <si>
    <t>2058</t>
  </si>
  <si>
    <t>Vertex Global Solutions</t>
  </si>
  <si>
    <t>2059</t>
  </si>
  <si>
    <t>rewardStyle</t>
  </si>
  <si>
    <t>2060</t>
  </si>
  <si>
    <t>Austin Capital Bank</t>
  </si>
  <si>
    <t>2061</t>
  </si>
  <si>
    <t>Culprit Creative</t>
  </si>
  <si>
    <t>2062</t>
  </si>
  <si>
    <t>Doing Good Works</t>
  </si>
  <si>
    <t>2063</t>
  </si>
  <si>
    <t>Universal Language Service</t>
  </si>
  <si>
    <t>2064</t>
  </si>
  <si>
    <t>UNA</t>
  </si>
  <si>
    <t>2065</t>
  </si>
  <si>
    <t>Isenberg Bath Corporation</t>
  </si>
  <si>
    <t>2066</t>
  </si>
  <si>
    <t>Mightily</t>
  </si>
  <si>
    <t>2067</t>
  </si>
  <si>
    <t>Quantum Dynamics</t>
  </si>
  <si>
    <t>2068</t>
  </si>
  <si>
    <t>Greasecycle</t>
  </si>
  <si>
    <t>2069</t>
  </si>
  <si>
    <t>Dizzion</t>
  </si>
  <si>
    <t>2070</t>
  </si>
  <si>
    <t>Huss Brewing</t>
  </si>
  <si>
    <t>2071</t>
  </si>
  <si>
    <t>GrayMatter</t>
  </si>
  <si>
    <t>2072</t>
  </si>
  <si>
    <t>J2 Solutions</t>
  </si>
  <si>
    <t>2073</t>
  </si>
  <si>
    <t>ProviderTrust</t>
  </si>
  <si>
    <t>2074</t>
  </si>
  <si>
    <t>Diversified Conveyors International</t>
  </si>
  <si>
    <t>2075</t>
  </si>
  <si>
    <t>Structure Ventures</t>
  </si>
  <si>
    <t>2076</t>
  </si>
  <si>
    <t>Inbenta Holdings</t>
  </si>
  <si>
    <t>2077</t>
  </si>
  <si>
    <t>Spartan Value Investors</t>
  </si>
  <si>
    <t>2078</t>
  </si>
  <si>
    <t>Flexible Staffing of Georgia</t>
  </si>
  <si>
    <t>2079</t>
  </si>
  <si>
    <t>Chicken Salad Chick</t>
  </si>
  <si>
    <t>2080</t>
  </si>
  <si>
    <t>Double A Labs</t>
  </si>
  <si>
    <t>2081</t>
  </si>
  <si>
    <t>QC Manufacturing</t>
  </si>
  <si>
    <t>2082</t>
  </si>
  <si>
    <t>Heartcore Women</t>
  </si>
  <si>
    <t>2083</t>
  </si>
  <si>
    <t>Nou Systems</t>
  </si>
  <si>
    <t>2084</t>
  </si>
  <si>
    <t>The Bachrach Group</t>
  </si>
  <si>
    <t>2085</t>
  </si>
  <si>
    <t>Madwire</t>
  </si>
  <si>
    <t>2086</t>
  </si>
  <si>
    <t>MacGregor Partners</t>
  </si>
  <si>
    <t>2087</t>
  </si>
  <si>
    <t>Taktik Logistics Group</t>
  </si>
  <si>
    <t>2088</t>
  </si>
  <si>
    <t>Americord Registry</t>
  </si>
  <si>
    <t>2089</t>
  </si>
  <si>
    <t>Z Transportation</t>
  </si>
  <si>
    <t>2090</t>
  </si>
  <si>
    <t>Accelerated Growth Advisors</t>
  </si>
  <si>
    <t>2091</t>
  </si>
  <si>
    <t>OrthoFi</t>
  </si>
  <si>
    <t>2092</t>
  </si>
  <si>
    <t>Savewize Wholesale Distribution</t>
  </si>
  <si>
    <t>2093</t>
  </si>
  <si>
    <t>Smarsh</t>
  </si>
  <si>
    <t>2094</t>
  </si>
  <si>
    <t>The Flyway Companies</t>
  </si>
  <si>
    <t>2095</t>
  </si>
  <si>
    <t>SmartBug Media</t>
  </si>
  <si>
    <t>2096</t>
  </si>
  <si>
    <t>Open Influence</t>
  </si>
  <si>
    <t>2097</t>
  </si>
  <si>
    <t>SEO Werkz</t>
  </si>
  <si>
    <t>2098</t>
  </si>
  <si>
    <t>YellowTelescope/SEOversite/iScreamSocialMedia</t>
  </si>
  <si>
    <t>2099</t>
  </si>
  <si>
    <t>Conserva Irrigation Franchising</t>
  </si>
  <si>
    <t>2100</t>
  </si>
  <si>
    <t>2nd Family</t>
  </si>
  <si>
    <t>2101</t>
  </si>
  <si>
    <t>BeatBox Beverages</t>
  </si>
  <si>
    <t>2102</t>
  </si>
  <si>
    <t>Apex Energy Solutions Georgia</t>
  </si>
  <si>
    <t>Cava Companies</t>
  </si>
  <si>
    <t>2103</t>
  </si>
  <si>
    <t>Dribbble</t>
  </si>
  <si>
    <t>2104</t>
  </si>
  <si>
    <t>Incredible Technologies</t>
  </si>
  <si>
    <t>2105</t>
  </si>
  <si>
    <t>Hawkers Asian Street Fare</t>
  </si>
  <si>
    <t>2106</t>
  </si>
  <si>
    <t>Noetic Strategies</t>
  </si>
  <si>
    <t>2107</t>
  </si>
  <si>
    <t>Acmetek Global Solutions</t>
  </si>
  <si>
    <t>2108</t>
  </si>
  <si>
    <t>Niha Technologies</t>
  </si>
  <si>
    <t>2109</t>
  </si>
  <si>
    <t>F. H. Cann &amp; Associates</t>
  </si>
  <si>
    <t>2110</t>
  </si>
  <si>
    <t>Ceterus</t>
  </si>
  <si>
    <t>2111</t>
  </si>
  <si>
    <t>SRT Group</t>
  </si>
  <si>
    <t>2112</t>
  </si>
  <si>
    <t>TrendHR</t>
  </si>
  <si>
    <t>2113</t>
  </si>
  <si>
    <t>First Help Financial</t>
  </si>
  <si>
    <t>2114</t>
  </si>
  <si>
    <t>Dynamic Pricing Partners</t>
  </si>
  <si>
    <t>2115</t>
  </si>
  <si>
    <t>StraCon Services Group</t>
  </si>
  <si>
    <t>2116</t>
  </si>
  <si>
    <t>Topstep</t>
  </si>
  <si>
    <t>2117</t>
  </si>
  <si>
    <t>defi solutions</t>
  </si>
  <si>
    <t>2118</t>
  </si>
  <si>
    <t>Praxent</t>
  </si>
  <si>
    <t>2119</t>
  </si>
  <si>
    <t>ThinkLite</t>
  </si>
  <si>
    <t>2120</t>
  </si>
  <si>
    <t>Pacific Packaging Products</t>
  </si>
  <si>
    <t>2121</t>
  </si>
  <si>
    <t>Your Location Lubrication</t>
  </si>
  <si>
    <t>2122</t>
  </si>
  <si>
    <t>SocialSEO</t>
  </si>
  <si>
    <t>2123</t>
  </si>
  <si>
    <t>LRAP Association</t>
  </si>
  <si>
    <t>2124</t>
  </si>
  <si>
    <t>Imaginuity</t>
  </si>
  <si>
    <t>2125</t>
  </si>
  <si>
    <t>Level 3 Audio Visual</t>
  </si>
  <si>
    <t>2126</t>
  </si>
  <si>
    <t>GuidePoint Security</t>
  </si>
  <si>
    <t>2127</t>
  </si>
  <si>
    <t>Agency EA</t>
  </si>
  <si>
    <t>2128</t>
  </si>
  <si>
    <t>Funding Merchant Source</t>
  </si>
  <si>
    <t>2129</t>
  </si>
  <si>
    <t>Quid</t>
  </si>
  <si>
    <t>2130</t>
  </si>
  <si>
    <t>Lodging Access Systems</t>
  </si>
  <si>
    <t>2131</t>
  </si>
  <si>
    <t>Brillient Corporation</t>
  </si>
  <si>
    <t>2132</t>
  </si>
  <si>
    <t>CTI (Taylorville, IL)</t>
  </si>
  <si>
    <t>2133</t>
  </si>
  <si>
    <t>Nutronics</t>
  </si>
  <si>
    <t>2134</t>
  </si>
  <si>
    <t>Digital Media Solutions</t>
  </si>
  <si>
    <t>2135</t>
  </si>
  <si>
    <t>Rescue One Financial</t>
  </si>
  <si>
    <t>2136</t>
  </si>
  <si>
    <t>Buffalo Computer Graphics</t>
  </si>
  <si>
    <t>2137</t>
  </si>
  <si>
    <t>Bright Power</t>
  </si>
  <si>
    <t>2138</t>
  </si>
  <si>
    <t>Stone Tower Winery</t>
  </si>
  <si>
    <t>2139</t>
  </si>
  <si>
    <t>Retail Security Services</t>
  </si>
  <si>
    <t>2140</t>
  </si>
  <si>
    <t>Everybodyfights</t>
  </si>
  <si>
    <t>2141</t>
  </si>
  <si>
    <t>Blossom Ridge Home Health</t>
  </si>
  <si>
    <t>2142</t>
  </si>
  <si>
    <t>Star Building Services</t>
  </si>
  <si>
    <t>2143</t>
  </si>
  <si>
    <t>Aureus Techsystems</t>
  </si>
  <si>
    <t>2144</t>
  </si>
  <si>
    <t>Bridge Marketing</t>
  </si>
  <si>
    <t>2145</t>
  </si>
  <si>
    <t>Tx3 Services</t>
  </si>
  <si>
    <t>2146</t>
  </si>
  <si>
    <t>Q4Launch</t>
  </si>
  <si>
    <t>2147</t>
  </si>
  <si>
    <t>Goettl Air Conditioning</t>
  </si>
  <si>
    <t>2148</t>
  </si>
  <si>
    <t>ISN</t>
  </si>
  <si>
    <t>2149</t>
  </si>
  <si>
    <t>Inspirix Technologies</t>
  </si>
  <si>
    <t>2150</t>
  </si>
  <si>
    <t>CNC Machines</t>
  </si>
  <si>
    <t>2151</t>
  </si>
  <si>
    <t>Denair HVAC</t>
  </si>
  <si>
    <t>2152</t>
  </si>
  <si>
    <t>ABT Plumbing Electric Heat</t>
  </si>
  <si>
    <t>2153</t>
  </si>
  <si>
    <t>YCharts</t>
  </si>
  <si>
    <t>2154</t>
  </si>
  <si>
    <t>Max Trans Logistics of Chattanooga</t>
  </si>
  <si>
    <t>2155</t>
  </si>
  <si>
    <t>Storm Smart</t>
  </si>
  <si>
    <t>2156</t>
  </si>
  <si>
    <t>Wpromote</t>
  </si>
  <si>
    <t>2157</t>
  </si>
  <si>
    <t>PrismHR</t>
  </si>
  <si>
    <t>2158</t>
  </si>
  <si>
    <t>Vivaldi Music Academy</t>
  </si>
  <si>
    <t>2159</t>
  </si>
  <si>
    <t>Energy 1</t>
  </si>
  <si>
    <t>2160</t>
  </si>
  <si>
    <t>Ripple Effect</t>
  </si>
  <si>
    <t>2161</t>
  </si>
  <si>
    <t>Qwinix Technologies</t>
  </si>
  <si>
    <t>2162</t>
  </si>
  <si>
    <t>Flix Brewhouse</t>
  </si>
  <si>
    <t>2163</t>
  </si>
  <si>
    <t>High Five Events</t>
  </si>
  <si>
    <t>2164</t>
  </si>
  <si>
    <t>Fund&amp;Grow</t>
  </si>
  <si>
    <t>2165</t>
  </si>
  <si>
    <t>Parts Town</t>
  </si>
  <si>
    <t>2166</t>
  </si>
  <si>
    <t>Circa Interactive</t>
  </si>
  <si>
    <t>2167</t>
  </si>
  <si>
    <t>Holmberg Mechanical</t>
  </si>
  <si>
    <t>2168</t>
  </si>
  <si>
    <t>Espee Biopharma &amp; Finechem</t>
  </si>
  <si>
    <t>2169</t>
  </si>
  <si>
    <t>Automotive Avenues</t>
  </si>
  <si>
    <t>2170</t>
  </si>
  <si>
    <t>Hill Technical Solutions</t>
  </si>
  <si>
    <t>2171</t>
  </si>
  <si>
    <t>MJ Freeway</t>
  </si>
  <si>
    <t>2172</t>
  </si>
  <si>
    <t>Yellowstone Health &amp; Rehab</t>
  </si>
  <si>
    <t>2173</t>
  </si>
  <si>
    <t>Precision Staffing Services</t>
  </si>
  <si>
    <t>2174</t>
  </si>
  <si>
    <t>SkuVault</t>
  </si>
  <si>
    <t>2175</t>
  </si>
  <si>
    <t>Cloudnexa</t>
  </si>
  <si>
    <t>2176</t>
  </si>
  <si>
    <t>Global Water Technology</t>
  </si>
  <si>
    <t>2177</t>
  </si>
  <si>
    <t>Remarkable Liquids</t>
  </si>
  <si>
    <t>2178</t>
  </si>
  <si>
    <t>Capstone Title</t>
  </si>
  <si>
    <t>2179</t>
  </si>
  <si>
    <t>Innovecs</t>
  </si>
  <si>
    <t>2180</t>
  </si>
  <si>
    <t>Landmark Properties</t>
  </si>
  <si>
    <t>2181</t>
  </si>
  <si>
    <t>Cynergy Professional Systems</t>
  </si>
  <si>
    <t>2182</t>
  </si>
  <si>
    <t>Optiline Enterprises</t>
  </si>
  <si>
    <t>2183</t>
  </si>
  <si>
    <t>Spectra360</t>
  </si>
  <si>
    <t>2184</t>
  </si>
  <si>
    <t>Threshold</t>
  </si>
  <si>
    <t>2185</t>
  </si>
  <si>
    <t>SageRider</t>
  </si>
  <si>
    <t>2186</t>
  </si>
  <si>
    <t>SS Equipment Holdings</t>
  </si>
  <si>
    <t>2187</t>
  </si>
  <si>
    <t>Network Builders IT</t>
  </si>
  <si>
    <t>2188</t>
  </si>
  <si>
    <t>Creative Homes</t>
  </si>
  <si>
    <t>2189</t>
  </si>
  <si>
    <t>Eagle Point Solar</t>
  </si>
  <si>
    <t>2190</t>
  </si>
  <si>
    <t>Berlin Motors - Efendos Global</t>
  </si>
  <si>
    <t>2191</t>
  </si>
  <si>
    <t>Frictionless Solutions</t>
  </si>
  <si>
    <t>2192</t>
  </si>
  <si>
    <t>TechAspect Solutions</t>
  </si>
  <si>
    <t>2193</t>
  </si>
  <si>
    <t>Smilepoint PLLC</t>
  </si>
  <si>
    <t>2194</t>
  </si>
  <si>
    <t>New Project</t>
  </si>
  <si>
    <t>2195</t>
  </si>
  <si>
    <t>Dogtown Media</t>
  </si>
  <si>
    <t>2196</t>
  </si>
  <si>
    <t>Cali Bamboo</t>
  </si>
  <si>
    <t>2197</t>
  </si>
  <si>
    <t>Boardroom Salon for Men</t>
  </si>
  <si>
    <t>2198</t>
  </si>
  <si>
    <t>Absolute Web Services</t>
  </si>
  <si>
    <t>2199</t>
  </si>
  <si>
    <t>CoConstruct</t>
  </si>
  <si>
    <t>2200</t>
  </si>
  <si>
    <t>Maryland Addiction Recovery Center</t>
  </si>
  <si>
    <t>2201</t>
  </si>
  <si>
    <t>Arnold's Office Furniture</t>
  </si>
  <si>
    <t>2202</t>
  </si>
  <si>
    <t>9Round</t>
  </si>
  <si>
    <t>2203</t>
  </si>
  <si>
    <t>Onestaff Medical</t>
  </si>
  <si>
    <t>2204</t>
  </si>
  <si>
    <t>Transportation One</t>
  </si>
  <si>
    <t>2205</t>
  </si>
  <si>
    <t>DFPG Investments</t>
  </si>
  <si>
    <t>2206</t>
  </si>
  <si>
    <t>VersaTech</t>
  </si>
  <si>
    <t>2207</t>
  </si>
  <si>
    <t>Entire Productions</t>
  </si>
  <si>
    <t>2208</t>
  </si>
  <si>
    <t>Book4Time</t>
  </si>
  <si>
    <t>2209</t>
  </si>
  <si>
    <t>HMD Transport</t>
  </si>
  <si>
    <t>2210</t>
  </si>
  <si>
    <t>Artlin Consulting</t>
  </si>
  <si>
    <t>2211</t>
  </si>
  <si>
    <t>MST Solutions</t>
  </si>
  <si>
    <t>2212</t>
  </si>
  <si>
    <t>Contigo Technology</t>
  </si>
  <si>
    <t>2213</t>
  </si>
  <si>
    <t>Issquared</t>
  </si>
  <si>
    <t>2214</t>
  </si>
  <si>
    <t>Branded Online</t>
  </si>
  <si>
    <t>2215</t>
  </si>
  <si>
    <t>MediaAlpha</t>
  </si>
  <si>
    <t>2216</t>
  </si>
  <si>
    <t>TRAVEL EXCLUSIVE</t>
  </si>
  <si>
    <t>2217</t>
  </si>
  <si>
    <t>Strategus</t>
  </si>
  <si>
    <t>2218</t>
  </si>
  <si>
    <t>Reorg</t>
  </si>
  <si>
    <t>2219</t>
  </si>
  <si>
    <t>Grit Technologies</t>
  </si>
  <si>
    <t>2220</t>
  </si>
  <si>
    <t>Nix Companies</t>
  </si>
  <si>
    <t>2221</t>
  </si>
  <si>
    <t>MDScripts</t>
  </si>
  <si>
    <t>2222</t>
  </si>
  <si>
    <t>Toro Taxes</t>
  </si>
  <si>
    <t>2223</t>
  </si>
  <si>
    <t>Pinnacle Solutions</t>
  </si>
  <si>
    <t>2224</t>
  </si>
  <si>
    <t>Webspec Design</t>
  </si>
  <si>
    <t>2225</t>
  </si>
  <si>
    <t>Regal Pools</t>
  </si>
  <si>
    <t>2226</t>
  </si>
  <si>
    <t>Logistic Dynamics</t>
  </si>
  <si>
    <t>2227</t>
  </si>
  <si>
    <t>GroundWorks</t>
  </si>
  <si>
    <t>2228</t>
  </si>
  <si>
    <t>beMarketing</t>
  </si>
  <si>
    <t>2229</t>
  </si>
  <si>
    <t>Valintry</t>
  </si>
  <si>
    <t>2230</t>
  </si>
  <si>
    <t>Revenue River</t>
  </si>
  <si>
    <t>2231</t>
  </si>
  <si>
    <t>Liquid Audio</t>
  </si>
  <si>
    <t>2232</t>
  </si>
  <si>
    <t>OPS Security Group</t>
  </si>
  <si>
    <t>2233</t>
  </si>
  <si>
    <t>Artisan Media Group</t>
  </si>
  <si>
    <t>2234</t>
  </si>
  <si>
    <t>Rastaclat</t>
  </si>
  <si>
    <t>2235</t>
  </si>
  <si>
    <t>Jaguar Fueling Services</t>
  </si>
  <si>
    <t>2236</t>
  </si>
  <si>
    <t>Resonance</t>
  </si>
  <si>
    <t>2237</t>
  </si>
  <si>
    <t>J&amp;D Brush</t>
  </si>
  <si>
    <t>2238</t>
  </si>
  <si>
    <t>Langford Allergy</t>
  </si>
  <si>
    <t>2239</t>
  </si>
  <si>
    <t>Weby Corp</t>
  </si>
  <si>
    <t>2240</t>
  </si>
  <si>
    <t>GatherUp</t>
  </si>
  <si>
    <t>2241</t>
  </si>
  <si>
    <t>Akshaya</t>
  </si>
  <si>
    <t>2242</t>
  </si>
  <si>
    <t>ProPharma Sales</t>
  </si>
  <si>
    <t>2243</t>
  </si>
  <si>
    <t>AvidXchange</t>
  </si>
  <si>
    <t>2244</t>
  </si>
  <si>
    <t>Becker Wright Consultants</t>
  </si>
  <si>
    <t>2245</t>
  </si>
  <si>
    <t>GEM Manufacturing</t>
  </si>
  <si>
    <t>2246</t>
  </si>
  <si>
    <t>Plum Creek Environmental Technologies</t>
  </si>
  <si>
    <t>2247</t>
  </si>
  <si>
    <t>Skull Shaver</t>
  </si>
  <si>
    <t>2248</t>
  </si>
  <si>
    <t>The Arbinger Institute</t>
  </si>
  <si>
    <t>2249</t>
  </si>
  <si>
    <t>OmniPrint International</t>
  </si>
  <si>
    <t>2250</t>
  </si>
  <si>
    <t>CEO Coaching International</t>
  </si>
  <si>
    <t>2251</t>
  </si>
  <si>
    <t>Growth Institute</t>
  </si>
  <si>
    <t>2252</t>
  </si>
  <si>
    <t>Intelligent Video Solutions</t>
  </si>
  <si>
    <t>2253</t>
  </si>
  <si>
    <t>AdaptiBar</t>
  </si>
  <si>
    <t>2254</t>
  </si>
  <si>
    <t>Praetorian</t>
  </si>
  <si>
    <t>2255</t>
  </si>
  <si>
    <t>truDigital Signage</t>
  </si>
  <si>
    <t>2256</t>
  </si>
  <si>
    <t>La Colombe Coffee Roaster</t>
  </si>
  <si>
    <t>2257</t>
  </si>
  <si>
    <t>Magnolia River Services</t>
  </si>
  <si>
    <t>2258</t>
  </si>
  <si>
    <t>Lenora Systems</t>
  </si>
  <si>
    <t>2259</t>
  </si>
  <si>
    <t>Novasyte</t>
  </si>
  <si>
    <t>2260</t>
  </si>
  <si>
    <t>SkyLine Scaffold</t>
  </si>
  <si>
    <t>2261</t>
  </si>
  <si>
    <t>MillTown Plumbing, Heating, AC, and Drain Cleaning</t>
  </si>
  <si>
    <t>2262</t>
  </si>
  <si>
    <t>EventSphere</t>
  </si>
  <si>
    <t>2263</t>
  </si>
  <si>
    <t>Renters Warehouse Houston</t>
  </si>
  <si>
    <t>2264</t>
  </si>
  <si>
    <t>Veritas Prime</t>
  </si>
  <si>
    <t>2265</t>
  </si>
  <si>
    <t>ITI Communications</t>
  </si>
  <si>
    <t>2266</t>
  </si>
  <si>
    <t>Casino Cash Trac</t>
  </si>
  <si>
    <t>2267</t>
  </si>
  <si>
    <t>ClearPlan</t>
  </si>
  <si>
    <t>2268</t>
  </si>
  <si>
    <t>Murphy Door</t>
  </si>
  <si>
    <t>2269</t>
  </si>
  <si>
    <t>Raney's</t>
  </si>
  <si>
    <t>2270</t>
  </si>
  <si>
    <t>Modernizing Medicine</t>
  </si>
  <si>
    <t>2271</t>
  </si>
  <si>
    <t>OmegaQuant</t>
  </si>
  <si>
    <t>2272</t>
  </si>
  <si>
    <t>Cloudnexion</t>
  </si>
  <si>
    <t>2273</t>
  </si>
  <si>
    <t>The Nutrition Corners</t>
  </si>
  <si>
    <t>2274</t>
  </si>
  <si>
    <t>Show Imaging</t>
  </si>
  <si>
    <t>2275</t>
  </si>
  <si>
    <t>Pioneer Bank</t>
  </si>
  <si>
    <t>2276</t>
  </si>
  <si>
    <t>Capacity</t>
  </si>
  <si>
    <t>2277</t>
  </si>
  <si>
    <t>ecUtopia</t>
  </si>
  <si>
    <t>2278</t>
  </si>
  <si>
    <t>LSP Technologies</t>
  </si>
  <si>
    <t>2279</t>
  </si>
  <si>
    <t>ManhattanHomeDesign.com</t>
  </si>
  <si>
    <t>2280</t>
  </si>
  <si>
    <t>Jahnel Group</t>
  </si>
  <si>
    <t>2281</t>
  </si>
  <si>
    <t>Pipaya Partners</t>
  </si>
  <si>
    <t>2282</t>
  </si>
  <si>
    <t>Teeming Vacation Rentals</t>
  </si>
  <si>
    <t>2283</t>
  </si>
  <si>
    <t>JNS Media Specialists</t>
  </si>
  <si>
    <t>2284</t>
  </si>
  <si>
    <t>Emergency Restoration Xperts</t>
  </si>
  <si>
    <t>2285</t>
  </si>
  <si>
    <t>MedEvoke</t>
  </si>
  <si>
    <t>2286</t>
  </si>
  <si>
    <t>OnPar Technologies</t>
  </si>
  <si>
    <t>2287</t>
  </si>
  <si>
    <t>MediRevv</t>
  </si>
  <si>
    <t>2288</t>
  </si>
  <si>
    <t>Oakman Aerospace</t>
  </si>
  <si>
    <t>2289</t>
  </si>
  <si>
    <t>Azalea Health Innovations</t>
  </si>
  <si>
    <t>2290</t>
  </si>
  <si>
    <t>eSquared Communication Consulting</t>
  </si>
  <si>
    <t>2291</t>
  </si>
  <si>
    <t>Cubby's</t>
  </si>
  <si>
    <t>2292</t>
  </si>
  <si>
    <t>Squaremouth</t>
  </si>
  <si>
    <t>2293</t>
  </si>
  <si>
    <t>NRI USA</t>
  </si>
  <si>
    <t>2294</t>
  </si>
  <si>
    <t>Rising Sun Farms</t>
  </si>
  <si>
    <t>2295</t>
  </si>
  <si>
    <t>Adopt Technologies</t>
  </si>
  <si>
    <t>2296</t>
  </si>
  <si>
    <t>BigSpeak Speakers Bureau</t>
  </si>
  <si>
    <t>2297</t>
  </si>
  <si>
    <t>LSINC</t>
  </si>
  <si>
    <t>2298</t>
  </si>
  <si>
    <t>Redeemers Group</t>
  </si>
  <si>
    <t>2299</t>
  </si>
  <si>
    <t>Progressive Screens</t>
  </si>
  <si>
    <t>2300</t>
  </si>
  <si>
    <t>Client Command</t>
  </si>
  <si>
    <t>2301</t>
  </si>
  <si>
    <t>Health Catalyst</t>
  </si>
  <si>
    <t>2302</t>
  </si>
  <si>
    <t>D&amp;B Elite Construction Group</t>
  </si>
  <si>
    <t>2303</t>
  </si>
  <si>
    <t>Host Healthcare</t>
  </si>
  <si>
    <t>2304</t>
  </si>
  <si>
    <t>Teriyaki Madness</t>
  </si>
  <si>
    <t>2305</t>
  </si>
  <si>
    <t>AchieveIt</t>
  </si>
  <si>
    <t>2306</t>
  </si>
  <si>
    <t>G&amp;G LED Lighting</t>
  </si>
  <si>
    <t>2307</t>
  </si>
  <si>
    <t>Argotrak</t>
  </si>
  <si>
    <t>2308</t>
  </si>
  <si>
    <t>The Ranger Group</t>
  </si>
  <si>
    <t>2309</t>
  </si>
  <si>
    <t>Ad Results Media</t>
  </si>
  <si>
    <t>2310</t>
  </si>
  <si>
    <t>Studio 11 Design</t>
  </si>
  <si>
    <t>A+ Staffing</t>
  </si>
  <si>
    <t>2311</t>
  </si>
  <si>
    <t>JCM Capital Investments</t>
  </si>
  <si>
    <t>2312</t>
  </si>
  <si>
    <t>Real Social Dynamics</t>
  </si>
  <si>
    <t>2313</t>
  </si>
  <si>
    <t>Talent Framework</t>
  </si>
  <si>
    <t>2314</t>
  </si>
  <si>
    <t>MIS Solutions</t>
  </si>
  <si>
    <t>2315</t>
  </si>
  <si>
    <t>Tripack</t>
  </si>
  <si>
    <t>2316</t>
  </si>
  <si>
    <t>Amicon Management</t>
  </si>
  <si>
    <t>2317</t>
  </si>
  <si>
    <t>Medisouth</t>
  </si>
  <si>
    <t>2318</t>
  </si>
  <si>
    <t>GPS Trackit</t>
  </si>
  <si>
    <t>2319</t>
  </si>
  <si>
    <t>Window Nation</t>
  </si>
  <si>
    <t>2320</t>
  </si>
  <si>
    <t>SmartHouse Heating &amp; Cooling</t>
  </si>
  <si>
    <t>2321</t>
  </si>
  <si>
    <t>Plus Group</t>
  </si>
  <si>
    <t>2322</t>
  </si>
  <si>
    <t>Levelset</t>
  </si>
  <si>
    <t>2323</t>
  </si>
  <si>
    <t>Captive Alternatives</t>
  </si>
  <si>
    <t>2324</t>
  </si>
  <si>
    <t>Agilis Systems</t>
  </si>
  <si>
    <t>2325</t>
  </si>
  <si>
    <t>SMP Pharmacy Solutions</t>
  </si>
  <si>
    <t>2326</t>
  </si>
  <si>
    <t>USConnect</t>
  </si>
  <si>
    <t>2327</t>
  </si>
  <si>
    <t>BrandNex.com</t>
  </si>
  <si>
    <t>2328</t>
  </si>
  <si>
    <t>BodyHealth</t>
  </si>
  <si>
    <t>2329</t>
  </si>
  <si>
    <t>Jeni's Splendid Ice Creams</t>
  </si>
  <si>
    <t>2330</t>
  </si>
  <si>
    <t>Fortified Data</t>
  </si>
  <si>
    <t>2331</t>
  </si>
  <si>
    <t>Grand River Aseptic Manufacturing</t>
  </si>
  <si>
    <t>2332</t>
  </si>
  <si>
    <t>SADA Systems</t>
  </si>
  <si>
    <t>2333</t>
  </si>
  <si>
    <t>Los Angeles Distributing Company</t>
  </si>
  <si>
    <t>2334</t>
  </si>
  <si>
    <t>Boa Logistics</t>
  </si>
  <si>
    <t>2335</t>
  </si>
  <si>
    <t>MediaSmack</t>
  </si>
  <si>
    <t>2336</t>
  </si>
  <si>
    <t>Data Storage Science</t>
  </si>
  <si>
    <t>2337</t>
  </si>
  <si>
    <t>PeerSource</t>
  </si>
  <si>
    <t>2338</t>
  </si>
  <si>
    <t>Integrated Biometrics</t>
  </si>
  <si>
    <t>2339</t>
  </si>
  <si>
    <t>Airosmith Development</t>
  </si>
  <si>
    <t>2340</t>
  </si>
  <si>
    <t>Trio</t>
  </si>
  <si>
    <t>2341</t>
  </si>
  <si>
    <t>Coldwell Banker Distinctive Properties</t>
  </si>
  <si>
    <t>2342</t>
  </si>
  <si>
    <t>Collateral Management</t>
  </si>
  <si>
    <t>2343</t>
  </si>
  <si>
    <t>Schadler Industrial</t>
  </si>
  <si>
    <t>2344</t>
  </si>
  <si>
    <t>SSDM</t>
  </si>
  <si>
    <t>2345</t>
  </si>
  <si>
    <t>Spangler Restoration</t>
  </si>
  <si>
    <t>2346</t>
  </si>
  <si>
    <t>BPO USA</t>
  </si>
  <si>
    <t>2347</t>
  </si>
  <si>
    <t>EGen Solutions</t>
  </si>
  <si>
    <t>2348</t>
  </si>
  <si>
    <t>Golden Financial Services Debt Settlement Corp.</t>
  </si>
  <si>
    <t>2349</t>
  </si>
  <si>
    <t>Superior Restoration</t>
  </si>
  <si>
    <t>2350</t>
  </si>
  <si>
    <t>Level 2 Legal Solutions</t>
  </si>
  <si>
    <t>2351</t>
  </si>
  <si>
    <t>The Autumn Group</t>
  </si>
  <si>
    <t>2352</t>
  </si>
  <si>
    <t>Hawksearch</t>
  </si>
  <si>
    <t>2353</t>
  </si>
  <si>
    <t>Sales Xceleration</t>
  </si>
  <si>
    <t>2354</t>
  </si>
  <si>
    <t>Athletx Sports Group</t>
  </si>
  <si>
    <t>2355</t>
  </si>
  <si>
    <t>PC Age</t>
  </si>
  <si>
    <t>2356</t>
  </si>
  <si>
    <t>Uncomn</t>
  </si>
  <si>
    <t>2357</t>
  </si>
  <si>
    <t>Intelpath</t>
  </si>
  <si>
    <t>2358</t>
  </si>
  <si>
    <t>Triad RF Systems</t>
  </si>
  <si>
    <t>2359</t>
  </si>
  <si>
    <t>Katalyst Group</t>
  </si>
  <si>
    <t>2360</t>
  </si>
  <si>
    <t>OnSite Oilfield Service</t>
  </si>
  <si>
    <t>2361</t>
  </si>
  <si>
    <t>National Petroleum</t>
  </si>
  <si>
    <t>2362</t>
  </si>
  <si>
    <t>Simply Dental Management</t>
  </si>
  <si>
    <t>2363</t>
  </si>
  <si>
    <t>Poppin</t>
  </si>
  <si>
    <t>2364</t>
  </si>
  <si>
    <t>Phaidon International</t>
  </si>
  <si>
    <t>2365</t>
  </si>
  <si>
    <t>Tallwave</t>
  </si>
  <si>
    <t>2366</t>
  </si>
  <si>
    <t>WellBiz Brands</t>
  </si>
  <si>
    <t>2367</t>
  </si>
  <si>
    <t>Agency672</t>
  </si>
  <si>
    <t>2368</t>
  </si>
  <si>
    <t>ISI Professional Services</t>
  </si>
  <si>
    <t>2369</t>
  </si>
  <si>
    <t>OneDigital Health and Benefits</t>
  </si>
  <si>
    <t>2370</t>
  </si>
  <si>
    <t>Method Architecture</t>
  </si>
  <si>
    <t>2371</t>
  </si>
  <si>
    <t>Strolid</t>
  </si>
  <si>
    <t>2372</t>
  </si>
  <si>
    <t>Edge Business Systems</t>
  </si>
  <si>
    <t>2373</t>
  </si>
  <si>
    <t>Consumer Acquisition</t>
  </si>
  <si>
    <t>2374</t>
  </si>
  <si>
    <t>Propeller</t>
  </si>
  <si>
    <t>2375</t>
  </si>
  <si>
    <t>Millennium Alliance</t>
  </si>
  <si>
    <t>2376</t>
  </si>
  <si>
    <t>P.R.O.S. Corporate Housing</t>
  </si>
  <si>
    <t>2377</t>
  </si>
  <si>
    <t>Athena Technology Group</t>
  </si>
  <si>
    <t>2378</t>
  </si>
  <si>
    <t>BattlBox</t>
  </si>
  <si>
    <t>2379</t>
  </si>
  <si>
    <t>Converge Consulting</t>
  </si>
  <si>
    <t>2380</t>
  </si>
  <si>
    <t>British Swim School</t>
  </si>
  <si>
    <t>2381</t>
  </si>
  <si>
    <t>Abstrakt Marketing Group</t>
  </si>
  <si>
    <t>2382</t>
  </si>
  <si>
    <t>Engineer.ai</t>
  </si>
  <si>
    <t>2383</t>
  </si>
  <si>
    <t>Homespire Mortgage</t>
  </si>
  <si>
    <t>2384</t>
  </si>
  <si>
    <t>Abode Luxury Rentals</t>
  </si>
  <si>
    <t>2385</t>
  </si>
  <si>
    <t>Arixa Capital Advisors</t>
  </si>
  <si>
    <t>2386</t>
  </si>
  <si>
    <t>Fathom Realty</t>
  </si>
  <si>
    <t>2387</t>
  </si>
  <si>
    <t>Caldera Medical</t>
  </si>
  <si>
    <t>2388</t>
  </si>
  <si>
    <t>Acuity Technologies</t>
  </si>
  <si>
    <t>2389</t>
  </si>
  <si>
    <t>Symplr</t>
  </si>
  <si>
    <t>2390</t>
  </si>
  <si>
    <t>Stokes &amp; Company, CPAs</t>
  </si>
  <si>
    <t>2391</t>
  </si>
  <si>
    <t>Metric Theory</t>
  </si>
  <si>
    <t>2392</t>
  </si>
  <si>
    <t>Enviro-Master International Franchise</t>
  </si>
  <si>
    <t>2393</t>
  </si>
  <si>
    <t>Enseo</t>
  </si>
  <si>
    <t>2394</t>
  </si>
  <si>
    <t>Equipment Management Group</t>
  </si>
  <si>
    <t>2395</t>
  </si>
  <si>
    <t>Edlogical Group Corp</t>
  </si>
  <si>
    <t>2396</t>
  </si>
  <si>
    <t>Dane Manufacturing</t>
  </si>
  <si>
    <t>2397</t>
  </si>
  <si>
    <t>annLeo</t>
  </si>
  <si>
    <t>2398</t>
  </si>
  <si>
    <t>Connexa</t>
  </si>
  <si>
    <t>2399</t>
  </si>
  <si>
    <t>Sour Fish Events</t>
  </si>
  <si>
    <t>2400</t>
  </si>
  <si>
    <t>Prime TSR</t>
  </si>
  <si>
    <t>2401</t>
  </si>
  <si>
    <t>Practice Promotions</t>
  </si>
  <si>
    <t>2402</t>
  </si>
  <si>
    <t>Net Conversion</t>
  </si>
  <si>
    <t>2403</t>
  </si>
  <si>
    <t>Vee Technologies</t>
  </si>
  <si>
    <t>2404</t>
  </si>
  <si>
    <t>Amijag</t>
  </si>
  <si>
    <t>2405</t>
  </si>
  <si>
    <t>Priority Lighting</t>
  </si>
  <si>
    <t>2406</t>
  </si>
  <si>
    <t>Sameday Insurance Services</t>
  </si>
  <si>
    <t>2407</t>
  </si>
  <si>
    <t>Einstein Moving Company</t>
  </si>
  <si>
    <t>2408</t>
  </si>
  <si>
    <t>Alight Analytics</t>
  </si>
  <si>
    <t>2409</t>
  </si>
  <si>
    <t>Storebound</t>
  </si>
  <si>
    <t>2410</t>
  </si>
  <si>
    <t>January Digital</t>
  </si>
  <si>
    <t>2411</t>
  </si>
  <si>
    <t>Enterprise Knowledge</t>
  </si>
  <si>
    <t>2412</t>
  </si>
  <si>
    <t>Proozy</t>
  </si>
  <si>
    <t>2413</t>
  </si>
  <si>
    <t>Atlas Research</t>
  </si>
  <si>
    <t>2414</t>
  </si>
  <si>
    <t>Nomad Financial</t>
  </si>
  <si>
    <t>2415</t>
  </si>
  <si>
    <t>Aerodyne Industries</t>
  </si>
  <si>
    <t>2416</t>
  </si>
  <si>
    <t>OMG Commerce</t>
  </si>
  <si>
    <t>2417</t>
  </si>
  <si>
    <t>C&amp;S Communications</t>
  </si>
  <si>
    <t>Heritage Group</t>
  </si>
  <si>
    <t>2418</t>
  </si>
  <si>
    <t>Modern American Recycling Services</t>
  </si>
  <si>
    <t>2419</t>
  </si>
  <si>
    <t>Union</t>
  </si>
  <si>
    <t>2420</t>
  </si>
  <si>
    <t>Future State Consulting</t>
  </si>
  <si>
    <t>2421</t>
  </si>
  <si>
    <t>On Target Health</t>
  </si>
  <si>
    <t>2422</t>
  </si>
  <si>
    <t>Premier Pools and Spas - Dallas</t>
  </si>
  <si>
    <t>2423</t>
  </si>
  <si>
    <t>ZoomInfo</t>
  </si>
  <si>
    <t>2424</t>
  </si>
  <si>
    <t>commonFont</t>
  </si>
  <si>
    <t>2425</t>
  </si>
  <si>
    <t>Progressive Freight</t>
  </si>
  <si>
    <t>2426</t>
  </si>
  <si>
    <t>Rockerbox</t>
  </si>
  <si>
    <t>2427</t>
  </si>
  <si>
    <t>The Hay Legal Group</t>
  </si>
  <si>
    <t>2428</t>
  </si>
  <si>
    <t>Denton Floyd Real Estate Group</t>
  </si>
  <si>
    <t>2429</t>
  </si>
  <si>
    <t>Reveneer</t>
  </si>
  <si>
    <t>2430</t>
  </si>
  <si>
    <t>M2E</t>
  </si>
  <si>
    <t>2431</t>
  </si>
  <si>
    <t>AOK RVs</t>
  </si>
  <si>
    <t>2432</t>
  </si>
  <si>
    <t>JSK Transportation</t>
  </si>
  <si>
    <t>2433</t>
  </si>
  <si>
    <t>A.M. Sun Solar</t>
  </si>
  <si>
    <t>Sheds Direct</t>
  </si>
  <si>
    <t>2434</t>
  </si>
  <si>
    <t>Sealink International</t>
  </si>
  <si>
    <t>2435</t>
  </si>
  <si>
    <t>CFO Alliance</t>
  </si>
  <si>
    <t>2436</t>
  </si>
  <si>
    <t>NXGN</t>
  </si>
  <si>
    <t>2437</t>
  </si>
  <si>
    <t>MediSked</t>
  </si>
  <si>
    <t>2438</t>
  </si>
  <si>
    <t>Full Circle Research</t>
  </si>
  <si>
    <t>2439</t>
  </si>
  <si>
    <t>Updox</t>
  </si>
  <si>
    <t>2440</t>
  </si>
  <si>
    <t>Tasteful Selections</t>
  </si>
  <si>
    <t>2441</t>
  </si>
  <si>
    <t>REN Dermatology</t>
  </si>
  <si>
    <t>2442</t>
  </si>
  <si>
    <t>NFI/Nameplates for Industry</t>
  </si>
  <si>
    <t>2443</t>
  </si>
  <si>
    <t>Advantage Technology</t>
  </si>
  <si>
    <t>2444</t>
  </si>
  <si>
    <t>MegaCorp Logistics</t>
  </si>
  <si>
    <t>2445</t>
  </si>
  <si>
    <t>Pinnacus</t>
  </si>
  <si>
    <t>2446</t>
  </si>
  <si>
    <t>S3 Builders</t>
  </si>
  <si>
    <t>2447</t>
  </si>
  <si>
    <t>Hancock Claims Consultants</t>
  </si>
  <si>
    <t>2448</t>
  </si>
  <si>
    <t>Repay</t>
  </si>
  <si>
    <t>2449</t>
  </si>
  <si>
    <t>Pepine Realty</t>
  </si>
  <si>
    <t>2450</t>
  </si>
  <si>
    <t>Fort Construction,</t>
  </si>
  <si>
    <t>2451</t>
  </si>
  <si>
    <t>Elite Pacific Properties</t>
  </si>
  <si>
    <t>2452</t>
  </si>
  <si>
    <t>IronMountain Solutions</t>
  </si>
  <si>
    <t>2453</t>
  </si>
  <si>
    <t>Coffeebar</t>
  </si>
  <si>
    <t>2454</t>
  </si>
  <si>
    <t>Doodlebuggers</t>
  </si>
  <si>
    <t>2455</t>
  </si>
  <si>
    <t>Careerminds</t>
  </si>
  <si>
    <t>2456</t>
  </si>
  <si>
    <t>PEG Compaines</t>
  </si>
  <si>
    <t>2457</t>
  </si>
  <si>
    <t>Stand Up Guys Junk Removal</t>
  </si>
  <si>
    <t>2458</t>
  </si>
  <si>
    <t>Paragon Private Health</t>
  </si>
  <si>
    <t>2459</t>
  </si>
  <si>
    <t>AffiniPay</t>
  </si>
  <si>
    <t>2460</t>
  </si>
  <si>
    <t>AMC Bridge</t>
  </si>
  <si>
    <t>2461</t>
  </si>
  <si>
    <t>Convene (New York, NY)</t>
  </si>
  <si>
    <t>2462</t>
  </si>
  <si>
    <t>MarketBeat</t>
  </si>
  <si>
    <t>2463</t>
  </si>
  <si>
    <t>Great Dental Websites</t>
  </si>
  <si>
    <t>2464</t>
  </si>
  <si>
    <t>Environmental Protection Industries</t>
  </si>
  <si>
    <t>2465</t>
  </si>
  <si>
    <t>Independent Trust Company of America</t>
  </si>
  <si>
    <t>2466</t>
  </si>
  <si>
    <t>Pacific Gold Marketing</t>
  </si>
  <si>
    <t>2467</t>
  </si>
  <si>
    <t>SAJJ Mediterranean</t>
  </si>
  <si>
    <t>2468</t>
  </si>
  <si>
    <t>Broadreach Medical Resources</t>
  </si>
  <si>
    <t>2469</t>
  </si>
  <si>
    <t>Conversant Group</t>
  </si>
  <si>
    <t>2470</t>
  </si>
  <si>
    <t>All American Entertainment</t>
  </si>
  <si>
    <t>2471</t>
  </si>
  <si>
    <t>CORE Consultants</t>
  </si>
  <si>
    <t>2472</t>
  </si>
  <si>
    <t>Shelter</t>
  </si>
  <si>
    <t>2473</t>
  </si>
  <si>
    <t>Afters Ice Cream</t>
  </si>
  <si>
    <t>2474</t>
  </si>
  <si>
    <t>Passage Technology</t>
  </si>
  <si>
    <t>2475</t>
  </si>
  <si>
    <t>The Westport Group</t>
  </si>
  <si>
    <t>2476</t>
  </si>
  <si>
    <t>Stirista</t>
  </si>
  <si>
    <t>2477</t>
  </si>
  <si>
    <t>Silver Lining Design Group</t>
  </si>
  <si>
    <t>2478</t>
  </si>
  <si>
    <t>BCS CallProcessing</t>
  </si>
  <si>
    <t>2479</t>
  </si>
  <si>
    <t>vTech Solution</t>
  </si>
  <si>
    <t>2480</t>
  </si>
  <si>
    <t>Orbit Logic</t>
  </si>
  <si>
    <t>2481</t>
  </si>
  <si>
    <t>Creative Works</t>
  </si>
  <si>
    <t>2482</t>
  </si>
  <si>
    <t>AXI International Corp.</t>
  </si>
  <si>
    <t>2483</t>
  </si>
  <si>
    <t>Architecture Design Collaborative</t>
  </si>
  <si>
    <t>2484</t>
  </si>
  <si>
    <t>SellerCloud</t>
  </si>
  <si>
    <t>2485</t>
  </si>
  <si>
    <t>Koya Leadership Partners</t>
  </si>
  <si>
    <t>2486</t>
  </si>
  <si>
    <t>Mike's Metal Works</t>
  </si>
  <si>
    <t>2487</t>
  </si>
  <si>
    <t>New Breed Marketing</t>
  </si>
  <si>
    <t>2488</t>
  </si>
  <si>
    <t>Superior Fireworks</t>
  </si>
  <si>
    <t>2489</t>
  </si>
  <si>
    <t>Sweet Peach Wax &amp; Sugaring Studio</t>
  </si>
  <si>
    <t>2490</t>
  </si>
  <si>
    <t>Injured Gadgets</t>
  </si>
  <si>
    <t>2491</t>
  </si>
  <si>
    <t>Lake Homes Realty</t>
  </si>
  <si>
    <t>2492</t>
  </si>
  <si>
    <t>Good Life Companies</t>
  </si>
  <si>
    <t>2493</t>
  </si>
  <si>
    <t>Mavice</t>
  </si>
  <si>
    <t>2494</t>
  </si>
  <si>
    <t>Amstill Roofing</t>
  </si>
  <si>
    <t>2495</t>
  </si>
  <si>
    <t>Chantel Ray Real Estate</t>
  </si>
  <si>
    <t>2496</t>
  </si>
  <si>
    <t>Pinpoint Payments</t>
  </si>
  <si>
    <t>2497</t>
  </si>
  <si>
    <t>On the Map Marketing</t>
  </si>
  <si>
    <t>2498</t>
  </si>
  <si>
    <t>AcctTwo Shared Services</t>
  </si>
  <si>
    <t>2499</t>
  </si>
  <si>
    <t>WNA Engineering</t>
  </si>
  <si>
    <t>2500</t>
  </si>
  <si>
    <t>The Basement</t>
  </si>
  <si>
    <t>2501</t>
  </si>
  <si>
    <t>Georgetown Home Care</t>
  </si>
  <si>
    <t>2502</t>
  </si>
  <si>
    <t>Foster Crown</t>
  </si>
  <si>
    <t>2503</t>
  </si>
  <si>
    <t>Green Star Exteriors</t>
  </si>
  <si>
    <t>2504</t>
  </si>
  <si>
    <t>Soundhouse Rentals</t>
  </si>
  <si>
    <t>2505</t>
  </si>
  <si>
    <t>HBR Consulting</t>
  </si>
  <si>
    <t>2506</t>
  </si>
  <si>
    <t>WebPT</t>
  </si>
  <si>
    <t>2507</t>
  </si>
  <si>
    <t>Blue Wheel Media</t>
  </si>
  <si>
    <t>2508</t>
  </si>
  <si>
    <t>Bullseye Strategy</t>
  </si>
  <si>
    <t>2509</t>
  </si>
  <si>
    <t>Canvs</t>
  </si>
  <si>
    <t>2510</t>
  </si>
  <si>
    <t>Anders Group</t>
  </si>
  <si>
    <t>2511</t>
  </si>
  <si>
    <t>Michael Hyatt &amp; Company</t>
  </si>
  <si>
    <t>2512</t>
  </si>
  <si>
    <t>Exponential Property Group</t>
  </si>
  <si>
    <t>2513</t>
  </si>
  <si>
    <t>GP Flooring Solutions</t>
  </si>
  <si>
    <t>2514</t>
  </si>
  <si>
    <t>Belay</t>
  </si>
  <si>
    <t>2515</t>
  </si>
  <si>
    <t>Myriad Mobile</t>
  </si>
  <si>
    <t>2516</t>
  </si>
  <si>
    <t>ShayCore Enterprises</t>
  </si>
  <si>
    <t>2517</t>
  </si>
  <si>
    <t>Orases</t>
  </si>
  <si>
    <t>2518</t>
  </si>
  <si>
    <t>ZMAC Transportation</t>
  </si>
  <si>
    <t>2519</t>
  </si>
  <si>
    <t>CVP (Customer Value Partners)</t>
  </si>
  <si>
    <t>2520</t>
  </si>
  <si>
    <t>Quicklotz Liquidations</t>
  </si>
  <si>
    <t>2521</t>
  </si>
  <si>
    <t>LinkedSelling</t>
  </si>
  <si>
    <t>2522</t>
  </si>
  <si>
    <t>Kajabi</t>
  </si>
  <si>
    <t>2523</t>
  </si>
  <si>
    <t>Karsun Solutions</t>
  </si>
  <si>
    <t>2524</t>
  </si>
  <si>
    <t>STP Investment Services</t>
  </si>
  <si>
    <t>2525</t>
  </si>
  <si>
    <t>Less Annoying Software</t>
  </si>
  <si>
    <t>2526</t>
  </si>
  <si>
    <t>keono</t>
  </si>
  <si>
    <t>2527</t>
  </si>
  <si>
    <t>BisonOffice</t>
  </si>
  <si>
    <t>2528</t>
  </si>
  <si>
    <t>Sullivan Engineering</t>
  </si>
  <si>
    <t>2529</t>
  </si>
  <si>
    <t>Aspirent</t>
  </si>
  <si>
    <t>2530</t>
  </si>
  <si>
    <t>Material Handling Services</t>
  </si>
  <si>
    <t>2531</t>
  </si>
  <si>
    <t>Clutch Holdings</t>
  </si>
  <si>
    <t>2532</t>
  </si>
  <si>
    <t>SkyVerge</t>
  </si>
  <si>
    <t>2533</t>
  </si>
  <si>
    <t>Bell Media</t>
  </si>
  <si>
    <t>2534</t>
  </si>
  <si>
    <t>Eligo Energy</t>
  </si>
  <si>
    <t>2535</t>
  </si>
  <si>
    <t>Nuventra Pharma Sciences</t>
  </si>
  <si>
    <t>2536</t>
  </si>
  <si>
    <t>Atlantic Blue Water Services</t>
  </si>
  <si>
    <t>2537</t>
  </si>
  <si>
    <t>Skyword</t>
  </si>
  <si>
    <t>2538</t>
  </si>
  <si>
    <t>Executech</t>
  </si>
  <si>
    <t>2539</t>
  </si>
  <si>
    <t>Ultimate Jet Vacations</t>
  </si>
  <si>
    <t>2540</t>
  </si>
  <si>
    <t>Surdi Enterprise</t>
  </si>
  <si>
    <t>2541</t>
  </si>
  <si>
    <t>Clearent</t>
  </si>
  <si>
    <t>2542</t>
  </si>
  <si>
    <t>A Head For Profits</t>
  </si>
  <si>
    <t>2543</t>
  </si>
  <si>
    <t>Health Carousel</t>
  </si>
  <si>
    <t>2544</t>
  </si>
  <si>
    <t>RR Appliance Services</t>
  </si>
  <si>
    <t>2545</t>
  </si>
  <si>
    <t>PCI Group</t>
  </si>
  <si>
    <t>2546</t>
  </si>
  <si>
    <t>Eclipse Brand Builders</t>
  </si>
  <si>
    <t>2547</t>
  </si>
  <si>
    <t>Northern Planet</t>
  </si>
  <si>
    <t>2548</t>
  </si>
  <si>
    <t>AdTheorent</t>
  </si>
  <si>
    <t>2549</t>
  </si>
  <si>
    <t>Career Start</t>
  </si>
  <si>
    <t>2550</t>
  </si>
  <si>
    <t>Mid America Logistics</t>
  </si>
  <si>
    <t>2551</t>
  </si>
  <si>
    <t>Roz Marketing Group</t>
  </si>
  <si>
    <t>2552</t>
  </si>
  <si>
    <t>GRSi</t>
  </si>
  <si>
    <t>2553</t>
  </si>
  <si>
    <t>Creative Marketing Resources</t>
  </si>
  <si>
    <t>2554</t>
  </si>
  <si>
    <t>Escalon Services</t>
  </si>
  <si>
    <t>2555</t>
  </si>
  <si>
    <t>Franpos</t>
  </si>
  <si>
    <t>2556</t>
  </si>
  <si>
    <t>Tectonic Audio Labs</t>
  </si>
  <si>
    <t>2557</t>
  </si>
  <si>
    <t>JAX Refrigeration</t>
  </si>
  <si>
    <t>2558</t>
  </si>
  <si>
    <t>Tridiuum</t>
  </si>
  <si>
    <t>2559</t>
  </si>
  <si>
    <t>Human Element</t>
  </si>
  <si>
    <t>2560</t>
  </si>
  <si>
    <t>Integrhythm</t>
  </si>
  <si>
    <t>2561</t>
  </si>
  <si>
    <t>Cinergy Entertainment</t>
  </si>
  <si>
    <t>2562</t>
  </si>
  <si>
    <t>CompassMSP</t>
  </si>
  <si>
    <t>2563</t>
  </si>
  <si>
    <t>Apps Solutions</t>
  </si>
  <si>
    <t>2564</t>
  </si>
  <si>
    <t>Fatbeam</t>
  </si>
  <si>
    <t>2565</t>
  </si>
  <si>
    <t>demandDrive</t>
  </si>
  <si>
    <t>2566</t>
  </si>
  <si>
    <t>Woodridge Advisors</t>
  </si>
  <si>
    <t>2567</t>
  </si>
  <si>
    <t>Open Systems Healthcare</t>
  </si>
  <si>
    <t>2568</t>
  </si>
  <si>
    <t>Perfusion.com</t>
  </si>
  <si>
    <t>2569</t>
  </si>
  <si>
    <t>Diligent Corporation</t>
  </si>
  <si>
    <t>2570</t>
  </si>
  <si>
    <t>Surefire Local</t>
  </si>
  <si>
    <t>2571</t>
  </si>
  <si>
    <t>Capital Square 1031</t>
  </si>
  <si>
    <t>2572</t>
  </si>
  <si>
    <t>EBQuickstart</t>
  </si>
  <si>
    <t>2573</t>
  </si>
  <si>
    <t>AgileThought</t>
  </si>
  <si>
    <t>2574</t>
  </si>
  <si>
    <t>Paradyme Management</t>
  </si>
  <si>
    <t>2575</t>
  </si>
  <si>
    <t>JEAR Logistics</t>
  </si>
  <si>
    <t>2576</t>
  </si>
  <si>
    <t>Senture</t>
  </si>
  <si>
    <t>2577</t>
  </si>
  <si>
    <t>Med Tech Solutions</t>
  </si>
  <si>
    <t>2578</t>
  </si>
  <si>
    <t>Property Management</t>
  </si>
  <si>
    <t>2579</t>
  </si>
  <si>
    <t>Rang Technologies</t>
  </si>
  <si>
    <t>2580</t>
  </si>
  <si>
    <t>Barracuda Staffing</t>
  </si>
  <si>
    <t>2581</t>
  </si>
  <si>
    <t>The Surface Masters</t>
  </si>
  <si>
    <t>2582</t>
  </si>
  <si>
    <t>Advanced Medical Integration</t>
  </si>
  <si>
    <t>2583</t>
  </si>
  <si>
    <t>Anytime Flooring</t>
  </si>
  <si>
    <t>2584</t>
  </si>
  <si>
    <t>The Kotter Group</t>
  </si>
  <si>
    <t>2585</t>
  </si>
  <si>
    <t>Electrosoft Services</t>
  </si>
  <si>
    <t>2586</t>
  </si>
  <si>
    <t>Myrtle Group</t>
  </si>
  <si>
    <t>2587</t>
  </si>
  <si>
    <t>ReviewPush</t>
  </si>
  <si>
    <t>2588</t>
  </si>
  <si>
    <t>BuybackBoss.com</t>
  </si>
  <si>
    <t>2589</t>
  </si>
  <si>
    <t>OceanTech</t>
  </si>
  <si>
    <t>2590</t>
  </si>
  <si>
    <t>Fluidmesh Networks</t>
  </si>
  <si>
    <t>2591</t>
  </si>
  <si>
    <t>Pegasus one</t>
  </si>
  <si>
    <t>2592</t>
  </si>
  <si>
    <t>Proforma Printing Systems</t>
  </si>
  <si>
    <t>2593</t>
  </si>
  <si>
    <t>Solutions by Text</t>
  </si>
  <si>
    <t>2594</t>
  </si>
  <si>
    <t>Epiq</t>
  </si>
  <si>
    <t>2595</t>
  </si>
  <si>
    <t>iQuanti</t>
  </si>
  <si>
    <t>2596</t>
  </si>
  <si>
    <t>The Lockwood Group</t>
  </si>
  <si>
    <t>2597</t>
  </si>
  <si>
    <t>Sentinel Sales &amp; Management</t>
  </si>
  <si>
    <t>2598</t>
  </si>
  <si>
    <t>Caliber The Wealth Development Company</t>
  </si>
  <si>
    <t>2599</t>
  </si>
  <si>
    <t>Chair 10 Marketing</t>
  </si>
  <si>
    <t>2600</t>
  </si>
  <si>
    <t>Trinity Multifamily</t>
  </si>
  <si>
    <t>2601</t>
  </si>
  <si>
    <t>Edgewater Federal Solutions</t>
  </si>
  <si>
    <t>2602</t>
  </si>
  <si>
    <t>Lamb Insurance Services</t>
  </si>
  <si>
    <t>2603</t>
  </si>
  <si>
    <t>YourMechanic</t>
  </si>
  <si>
    <t>2604</t>
  </si>
  <si>
    <t>Criteria (Los Angeles, CA)</t>
  </si>
  <si>
    <t>2605</t>
  </si>
  <si>
    <t>Patra</t>
  </si>
  <si>
    <t>2606</t>
  </si>
  <si>
    <t>Project Repat</t>
  </si>
  <si>
    <t>2607</t>
  </si>
  <si>
    <t>Capitol Home Health</t>
  </si>
  <si>
    <t>2608</t>
  </si>
  <si>
    <t>Raare Solutions</t>
  </si>
  <si>
    <t>2609</t>
  </si>
  <si>
    <t>Supplies Now</t>
  </si>
  <si>
    <t>2610</t>
  </si>
  <si>
    <t>Nelson Construction and Renovations</t>
  </si>
  <si>
    <t>2611</t>
  </si>
  <si>
    <t>MomentFeed</t>
  </si>
  <si>
    <t>2612</t>
  </si>
  <si>
    <t>Cutting Edge Services</t>
  </si>
  <si>
    <t>2613</t>
  </si>
  <si>
    <t>Chhabra Enterprises</t>
  </si>
  <si>
    <t>2614</t>
  </si>
  <si>
    <t>Pless Security Incorporated</t>
  </si>
  <si>
    <t>2615</t>
  </si>
  <si>
    <t>Park Place Technologies</t>
  </si>
  <si>
    <t>2616</t>
  </si>
  <si>
    <t>Tin Roof Software</t>
  </si>
  <si>
    <t>2617</t>
  </si>
  <si>
    <t>Netrush</t>
  </si>
  <si>
    <t>2618</t>
  </si>
  <si>
    <t>OnPrem Solution Partners</t>
  </si>
  <si>
    <t>2619</t>
  </si>
  <si>
    <t>ManhattanTechSupport.com</t>
  </si>
  <si>
    <t>2620</t>
  </si>
  <si>
    <t>Bayless Integrated Healthcare</t>
  </si>
  <si>
    <t>2621</t>
  </si>
  <si>
    <t>HydroFloTech</t>
  </si>
  <si>
    <t>2622</t>
  </si>
  <si>
    <t>A Plus Garage Doors</t>
  </si>
  <si>
    <t>2623</t>
  </si>
  <si>
    <t>Collision Works</t>
  </si>
  <si>
    <t>2624</t>
  </si>
  <si>
    <t>Summit CPA Group</t>
  </si>
  <si>
    <t>2625</t>
  </si>
  <si>
    <t>ThreatConnect</t>
  </si>
  <si>
    <t>2626</t>
  </si>
  <si>
    <t>Fully Accountable</t>
  </si>
  <si>
    <t>2627</t>
  </si>
  <si>
    <t>TargetPath</t>
  </si>
  <si>
    <t>2628</t>
  </si>
  <si>
    <t>McCabe Construction Company</t>
  </si>
  <si>
    <t>2629</t>
  </si>
  <si>
    <t>Material Handling Systems</t>
  </si>
  <si>
    <t>2630</t>
  </si>
  <si>
    <t>Specialist ID</t>
  </si>
  <si>
    <t>2631</t>
  </si>
  <si>
    <t>EnableComp</t>
  </si>
  <si>
    <t>2632</t>
  </si>
  <si>
    <t>Incedo</t>
  </si>
  <si>
    <t>2633</t>
  </si>
  <si>
    <t>One Stop Equine Shop</t>
  </si>
  <si>
    <t>2634</t>
  </si>
  <si>
    <t>Key Credit Repair</t>
  </si>
  <si>
    <t>2635</t>
  </si>
  <si>
    <t>Your Wealth Effect</t>
  </si>
  <si>
    <t>2636</t>
  </si>
  <si>
    <t>Affordable Luxury Group</t>
  </si>
  <si>
    <t>2637</t>
  </si>
  <si>
    <t>Brookstone Restoration</t>
  </si>
  <si>
    <t>2638</t>
  </si>
  <si>
    <t>Avatria</t>
  </si>
  <si>
    <t>2639</t>
  </si>
  <si>
    <t>Bevara Building Services</t>
  </si>
  <si>
    <t>2640</t>
  </si>
  <si>
    <t>United Solutions</t>
  </si>
  <si>
    <t>2641</t>
  </si>
  <si>
    <t>Ecosystem Planning and Restoration</t>
  </si>
  <si>
    <t>2642</t>
  </si>
  <si>
    <t>Team Fitz Graphics</t>
  </si>
  <si>
    <t>2643</t>
  </si>
  <si>
    <t>TalentBridge</t>
  </si>
  <si>
    <t>2644</t>
  </si>
  <si>
    <t>Romulus Marketing</t>
  </si>
  <si>
    <t>2645</t>
  </si>
  <si>
    <t>Restore Rehab Services</t>
  </si>
  <si>
    <t>2646</t>
  </si>
  <si>
    <t>Murray Resources</t>
  </si>
  <si>
    <t>2647</t>
  </si>
  <si>
    <t>VOX DJs</t>
  </si>
  <si>
    <t>2648</t>
  </si>
  <si>
    <t>RGD</t>
  </si>
  <si>
    <t>2649</t>
  </si>
  <si>
    <t>BOS Staffing</t>
  </si>
  <si>
    <t>2650</t>
  </si>
  <si>
    <t>Becker's Healthcare</t>
  </si>
  <si>
    <t>2651</t>
  </si>
  <si>
    <t>Elite Roofing</t>
  </si>
  <si>
    <t>2652</t>
  </si>
  <si>
    <t>BlackTree Heathcare Consulting</t>
  </si>
  <si>
    <t>2653</t>
  </si>
  <si>
    <t>The Neiders Company</t>
  </si>
  <si>
    <t>2654</t>
  </si>
  <si>
    <t>SellYourMac.com</t>
  </si>
  <si>
    <t>2655</t>
  </si>
  <si>
    <t>Tech Americas USA</t>
  </si>
  <si>
    <t>2656</t>
  </si>
  <si>
    <t>Fortis Construction</t>
  </si>
  <si>
    <t>2657</t>
  </si>
  <si>
    <t>NPD Logistics</t>
  </si>
  <si>
    <t>2658</t>
  </si>
  <si>
    <t>Net2Source</t>
  </si>
  <si>
    <t>2659</t>
  </si>
  <si>
    <t>ProTitleUSA</t>
  </si>
  <si>
    <t>2660</t>
  </si>
  <si>
    <t>Grover Gaming</t>
  </si>
  <si>
    <t>2661</t>
  </si>
  <si>
    <t>Adwerx</t>
  </si>
  <si>
    <t>2662</t>
  </si>
  <si>
    <t>UserTesting</t>
  </si>
  <si>
    <t>2663</t>
  </si>
  <si>
    <t>HumanN</t>
  </si>
  <si>
    <t>2664</t>
  </si>
  <si>
    <t>O.P.E.N. America</t>
  </si>
  <si>
    <t>2665</t>
  </si>
  <si>
    <t>Joorney Business Plans</t>
  </si>
  <si>
    <t>2666</t>
  </si>
  <si>
    <t>Pyure Brands</t>
  </si>
  <si>
    <t>2667</t>
  </si>
  <si>
    <t>TruQua Enterprises</t>
  </si>
  <si>
    <t>2668</t>
  </si>
  <si>
    <t>Food52</t>
  </si>
  <si>
    <t>2669</t>
  </si>
  <si>
    <t>Tallahassee Rock Real Estate</t>
  </si>
  <si>
    <t>2670</t>
  </si>
  <si>
    <t>T. Parker Host</t>
  </si>
  <si>
    <t>2671</t>
  </si>
  <si>
    <t>BBQ Guy's Manufacturing</t>
  </si>
  <si>
    <t>2672</t>
  </si>
  <si>
    <t>Happy Trailer Sales</t>
  </si>
  <si>
    <t>2673</t>
  </si>
  <si>
    <t>JMC Equipment</t>
  </si>
  <si>
    <t>2674</t>
  </si>
  <si>
    <t>T3 Expo</t>
  </si>
  <si>
    <t>2675</t>
  </si>
  <si>
    <t>Downeast Cider House</t>
  </si>
  <si>
    <t>2676</t>
  </si>
  <si>
    <t>Syntelligent Analytic Solutions</t>
  </si>
  <si>
    <t>2677</t>
  </si>
  <si>
    <t>Deep Blue Communications</t>
  </si>
  <si>
    <t>2678</t>
  </si>
  <si>
    <t>Test Double</t>
  </si>
  <si>
    <t>2679</t>
  </si>
  <si>
    <t>GeBBS Healthcare Solutions</t>
  </si>
  <si>
    <t>2680</t>
  </si>
  <si>
    <t>Semcasting</t>
  </si>
  <si>
    <t>2681</t>
  </si>
  <si>
    <t>Takeout Central</t>
  </si>
  <si>
    <t>2682</t>
  </si>
  <si>
    <t>Mind Your Business</t>
  </si>
  <si>
    <t>2683</t>
  </si>
  <si>
    <t>Bolt on Technology</t>
  </si>
  <si>
    <t>2684</t>
  </si>
  <si>
    <t>Synapse Studios</t>
  </si>
  <si>
    <t>2685</t>
  </si>
  <si>
    <t>College Hunks Hauling Junk and Moving (Tampa, FL)</t>
  </si>
  <si>
    <t>2686</t>
  </si>
  <si>
    <t>Mansfield Crane Service</t>
  </si>
  <si>
    <t>2687</t>
  </si>
  <si>
    <t>EmazingLights / iHeartRaves / Into the AM</t>
  </si>
  <si>
    <t>2688</t>
  </si>
  <si>
    <t>Trintech</t>
  </si>
  <si>
    <t>2689</t>
  </si>
  <si>
    <t>SomerTile</t>
  </si>
  <si>
    <t>2690</t>
  </si>
  <si>
    <t>B&amp;B Heating and Air</t>
  </si>
  <si>
    <t>2691</t>
  </si>
  <si>
    <t>BCV Social</t>
  </si>
  <si>
    <t>2692</t>
  </si>
  <si>
    <t>Tricap Residential Group</t>
  </si>
  <si>
    <t>2693</t>
  </si>
  <si>
    <t>NetX Information Systems</t>
  </si>
  <si>
    <t>2694</t>
  </si>
  <si>
    <t>Experion Technologies</t>
  </si>
  <si>
    <t>2695</t>
  </si>
  <si>
    <t>True Inspection Services</t>
  </si>
  <si>
    <t>2696</t>
  </si>
  <si>
    <t>GotUwired</t>
  </si>
  <si>
    <t>2697</t>
  </si>
  <si>
    <t>Master Medical Equipment</t>
  </si>
  <si>
    <t>2698</t>
  </si>
  <si>
    <t>Greenway Insurance</t>
  </si>
  <si>
    <t>2699</t>
  </si>
  <si>
    <t>Prolific Interactive</t>
  </si>
  <si>
    <t>2700</t>
  </si>
  <si>
    <t>Berry Law Firm</t>
  </si>
  <si>
    <t>2701</t>
  </si>
  <si>
    <t>Dealer World</t>
  </si>
  <si>
    <t>2702</t>
  </si>
  <si>
    <t>Marketing Doctor</t>
  </si>
  <si>
    <t>2703</t>
  </si>
  <si>
    <t>Petrelli Previtera Schimmel</t>
  </si>
  <si>
    <t>2704</t>
  </si>
  <si>
    <t>Modus Create</t>
  </si>
  <si>
    <t>2705</t>
  </si>
  <si>
    <t>Miracle Mile Advisors</t>
  </si>
  <si>
    <t>2706</t>
  </si>
  <si>
    <t>Elev8 Hire Solutions</t>
  </si>
  <si>
    <t>2707</t>
  </si>
  <si>
    <t>NCWC</t>
  </si>
  <si>
    <t>2708</t>
  </si>
  <si>
    <t>Neal&amp;Neal Team</t>
  </si>
  <si>
    <t>2709</t>
  </si>
  <si>
    <t>A1C Partners</t>
  </si>
  <si>
    <t>2710</t>
  </si>
  <si>
    <t>Homeland Manufacturing Services</t>
  </si>
  <si>
    <t>2711</t>
  </si>
  <si>
    <t>inTech Trailers</t>
  </si>
  <si>
    <t>2712</t>
  </si>
  <si>
    <t>ALKU</t>
  </si>
  <si>
    <t>2713</t>
  </si>
  <si>
    <t>Fit My Feet Orthotic Lab and Shoes</t>
  </si>
  <si>
    <t>2714</t>
  </si>
  <si>
    <t>Instasize</t>
  </si>
  <si>
    <t>2715</t>
  </si>
  <si>
    <t>Kahn Media</t>
  </si>
  <si>
    <t>2716</t>
  </si>
  <si>
    <t>DoHardMoney.com</t>
  </si>
  <si>
    <t>2717</t>
  </si>
  <si>
    <t>Appreciation Financial</t>
  </si>
  <si>
    <t>2718</t>
  </si>
  <si>
    <t>Monogram Windows and Doors</t>
  </si>
  <si>
    <t>2719</t>
  </si>
  <si>
    <t>New Vision</t>
  </si>
  <si>
    <t>2720</t>
  </si>
  <si>
    <t>Biomedical Research Laboratories</t>
  </si>
  <si>
    <t>2721</t>
  </si>
  <si>
    <t>Cambria Solutions</t>
  </si>
  <si>
    <t>2722</t>
  </si>
  <si>
    <t>Kodiak Building Partners</t>
  </si>
  <si>
    <t>2723</t>
  </si>
  <si>
    <t>STS International</t>
  </si>
  <si>
    <t>2724</t>
  </si>
  <si>
    <t>Globo</t>
  </si>
  <si>
    <t>2725</t>
  </si>
  <si>
    <t>South Bay Hot Yoga</t>
  </si>
  <si>
    <t>2726</t>
  </si>
  <si>
    <t>Unity FI Solutions</t>
  </si>
  <si>
    <t>2727</t>
  </si>
  <si>
    <t>Skaled Consulting</t>
  </si>
  <si>
    <t>2728</t>
  </si>
  <si>
    <t>The Network Pro</t>
  </si>
  <si>
    <t>2729</t>
  </si>
  <si>
    <t>Aspen Exteriors</t>
  </si>
  <si>
    <t>2730</t>
  </si>
  <si>
    <t>Maxey Trailers Mfg.</t>
  </si>
  <si>
    <t>2731</t>
  </si>
  <si>
    <t>Clark Bros.</t>
  </si>
  <si>
    <t>2732</t>
  </si>
  <si>
    <t>Metro Stars Gymnastics</t>
  </si>
  <si>
    <t>2733</t>
  </si>
  <si>
    <t>Aerospace Quality Research and Development</t>
  </si>
  <si>
    <t>2734</t>
  </si>
  <si>
    <t>Blink Fitness</t>
  </si>
  <si>
    <t>2735</t>
  </si>
  <si>
    <t>Digital Pi</t>
  </si>
  <si>
    <t>2736</t>
  </si>
  <si>
    <t>Mobile Outfitters</t>
  </si>
  <si>
    <t>2737</t>
  </si>
  <si>
    <t>Threat Tec</t>
  </si>
  <si>
    <t>2738</t>
  </si>
  <si>
    <t>North American Payment Solutions</t>
  </si>
  <si>
    <t>2739</t>
  </si>
  <si>
    <t>CS Recruiting</t>
  </si>
  <si>
    <t>2740</t>
  </si>
  <si>
    <t>Feury Image Group</t>
  </si>
  <si>
    <t>2741</t>
  </si>
  <si>
    <t>LIDO ADVISORS</t>
  </si>
  <si>
    <t>2742</t>
  </si>
  <si>
    <t>RNN Group</t>
  </si>
  <si>
    <t>2743</t>
  </si>
  <si>
    <t>TFS</t>
  </si>
  <si>
    <t>2744</t>
  </si>
  <si>
    <t>Choice Merchant Solutions</t>
  </si>
  <si>
    <t>2745</t>
  </si>
  <si>
    <t>All Pro Security</t>
  </si>
  <si>
    <t>2746</t>
  </si>
  <si>
    <t>Streamline</t>
  </si>
  <si>
    <t>2747</t>
  </si>
  <si>
    <t>Salas O'Brien</t>
  </si>
  <si>
    <t>2748</t>
  </si>
  <si>
    <t>BNG Team</t>
  </si>
  <si>
    <t>2749</t>
  </si>
  <si>
    <t>Vinyl Me, Please</t>
  </si>
  <si>
    <t>2750</t>
  </si>
  <si>
    <t>Klein Hall CPAs</t>
  </si>
  <si>
    <t>2751</t>
  </si>
  <si>
    <t>Touchstone Merchandise Group</t>
  </si>
  <si>
    <t>2752</t>
  </si>
  <si>
    <t>DEG</t>
  </si>
  <si>
    <t>2753</t>
  </si>
  <si>
    <t>Phobio</t>
  </si>
  <si>
    <t>2754</t>
  </si>
  <si>
    <t>KitchenSearch.com</t>
  </si>
  <si>
    <t>2755</t>
  </si>
  <si>
    <t>Transportation Impact</t>
  </si>
  <si>
    <t>2756</t>
  </si>
  <si>
    <t>Great Waters Financial</t>
  </si>
  <si>
    <t>2757</t>
  </si>
  <si>
    <t>Turbonomic</t>
  </si>
  <si>
    <t>2758</t>
  </si>
  <si>
    <t>FCM</t>
  </si>
  <si>
    <t>2759</t>
  </si>
  <si>
    <t>Momentum Solutionz</t>
  </si>
  <si>
    <t>2760</t>
  </si>
  <si>
    <t>Perceptyx</t>
  </si>
  <si>
    <t>2761</t>
  </si>
  <si>
    <t>Info Way Solutions</t>
  </si>
  <si>
    <t>2762</t>
  </si>
  <si>
    <t>InterImage</t>
  </si>
  <si>
    <t>2763</t>
  </si>
  <si>
    <t>VitalWare</t>
  </si>
  <si>
    <t>2764</t>
  </si>
  <si>
    <t>Tundraland Home Improvements</t>
  </si>
  <si>
    <t>2765</t>
  </si>
  <si>
    <t>RMG Media</t>
  </si>
  <si>
    <t>2766</t>
  </si>
  <si>
    <t>Maui Leones</t>
  </si>
  <si>
    <t>2767</t>
  </si>
  <si>
    <t>PayDay Payroll Resources</t>
  </si>
  <si>
    <t>2768</t>
  </si>
  <si>
    <t>Broadline Components</t>
  </si>
  <si>
    <t>2769</t>
  </si>
  <si>
    <t>Appogee</t>
  </si>
  <si>
    <t>2770</t>
  </si>
  <si>
    <t>Prominent Construction</t>
  </si>
  <si>
    <t>2771</t>
  </si>
  <si>
    <t>SEI-New York</t>
  </si>
  <si>
    <t>2772</t>
  </si>
  <si>
    <t>Cipher Tech Solutions</t>
  </si>
  <si>
    <t>2773</t>
  </si>
  <si>
    <t>Delta Solutions &amp; Strategies</t>
  </si>
  <si>
    <t>2774</t>
  </si>
  <si>
    <t>Applied Technology Services</t>
  </si>
  <si>
    <t>2775</t>
  </si>
  <si>
    <t>ZochNet</t>
  </si>
  <si>
    <t>2776</t>
  </si>
  <si>
    <t>iTouchless.com</t>
  </si>
  <si>
    <t>2777</t>
  </si>
  <si>
    <t>Rain City Capital</t>
  </si>
  <si>
    <t>2778</t>
  </si>
  <si>
    <t>Greenland America</t>
  </si>
  <si>
    <t>2779</t>
  </si>
  <si>
    <t>Derm Holdings</t>
  </si>
  <si>
    <t>2780</t>
  </si>
  <si>
    <t>Computer Overhauls</t>
  </si>
  <si>
    <t>2781</t>
  </si>
  <si>
    <t>Staylisted</t>
  </si>
  <si>
    <t>2782</t>
  </si>
  <si>
    <t>Validation Associates</t>
  </si>
  <si>
    <t>2783</t>
  </si>
  <si>
    <t>North Pacific Industries</t>
  </si>
  <si>
    <t>2784</t>
  </si>
  <si>
    <t>Whois API</t>
  </si>
  <si>
    <t>2785</t>
  </si>
  <si>
    <t>Strike</t>
  </si>
  <si>
    <t>2786</t>
  </si>
  <si>
    <t>Corsis</t>
  </si>
  <si>
    <t>2787</t>
  </si>
  <si>
    <t>Techfino</t>
  </si>
  <si>
    <t>2788</t>
  </si>
  <si>
    <t>ProConstruction</t>
  </si>
  <si>
    <t>2789</t>
  </si>
  <si>
    <t>Maximum Games</t>
  </si>
  <si>
    <t>2790</t>
  </si>
  <si>
    <t>HSTpathways</t>
  </si>
  <si>
    <t>2791</t>
  </si>
  <si>
    <t>Bar-All</t>
  </si>
  <si>
    <t>2792</t>
  </si>
  <si>
    <t>Bounteous</t>
  </si>
  <si>
    <t>2793</t>
  </si>
  <si>
    <t>Culture Studio</t>
  </si>
  <si>
    <t>2794</t>
  </si>
  <si>
    <t>DiamondBack Truck Covers</t>
  </si>
  <si>
    <t>2795</t>
  </si>
  <si>
    <t>Eight Bit Studios</t>
  </si>
  <si>
    <t>2796</t>
  </si>
  <si>
    <t>ClickDimensions</t>
  </si>
  <si>
    <t>2797</t>
  </si>
  <si>
    <t>Altura Engineering &amp; Design</t>
  </si>
  <si>
    <t>2798</t>
  </si>
  <si>
    <t>Freedom Capital</t>
  </si>
  <si>
    <t>2799</t>
  </si>
  <si>
    <t>Alarm Grid</t>
  </si>
  <si>
    <t>2800</t>
  </si>
  <si>
    <t>Precision Precast Erectors</t>
  </si>
  <si>
    <t>2801</t>
  </si>
  <si>
    <t>APS Marketing Group</t>
  </si>
  <si>
    <t>2802</t>
  </si>
  <si>
    <t>Boxwell Southwest</t>
  </si>
  <si>
    <t>2803</t>
  </si>
  <si>
    <t>TLC Associates</t>
  </si>
  <si>
    <t>2804</t>
  </si>
  <si>
    <t>E-Volve Systems</t>
  </si>
  <si>
    <t>2805</t>
  </si>
  <si>
    <t>Cogent Analytics</t>
  </si>
  <si>
    <t>2806</t>
  </si>
  <si>
    <t>MKS2 Technologies</t>
  </si>
  <si>
    <t>2807</t>
  </si>
  <si>
    <t>Hoss Industrial</t>
  </si>
  <si>
    <t>2808</t>
  </si>
  <si>
    <t>Healthcare IT Leaders</t>
  </si>
  <si>
    <t>2809</t>
  </si>
  <si>
    <t>Rekruiters</t>
  </si>
  <si>
    <t>2810</t>
  </si>
  <si>
    <t>Stoneridge Software</t>
  </si>
  <si>
    <t>2811</t>
  </si>
  <si>
    <t>Centex Technologies</t>
  </si>
  <si>
    <t>2812</t>
  </si>
  <si>
    <t>Platinum Realty</t>
  </si>
  <si>
    <t>2813</t>
  </si>
  <si>
    <t>Phoenix Marketing International</t>
  </si>
  <si>
    <t>2814</t>
  </si>
  <si>
    <t>Best Deal Car Service</t>
  </si>
  <si>
    <t>2815</t>
  </si>
  <si>
    <t>Survwest</t>
  </si>
  <si>
    <t>2816</t>
  </si>
  <si>
    <t>Swarm</t>
  </si>
  <si>
    <t>2817</t>
  </si>
  <si>
    <t>Nebo</t>
  </si>
  <si>
    <t>2818</t>
  </si>
  <si>
    <t>i3</t>
  </si>
  <si>
    <t>2819</t>
  </si>
  <si>
    <t>Marshall Scientific</t>
  </si>
  <si>
    <t>2820</t>
  </si>
  <si>
    <t>JSL Technologies</t>
  </si>
  <si>
    <t>2821</t>
  </si>
  <si>
    <t>LUX Catering &amp; Events</t>
  </si>
  <si>
    <t>2822</t>
  </si>
  <si>
    <t>Above All Transportation/ Boston Car Service</t>
  </si>
  <si>
    <t>2823</t>
  </si>
  <si>
    <t>Durante Rentals</t>
  </si>
  <si>
    <t>2824</t>
  </si>
  <si>
    <t>Morgan Li</t>
  </si>
  <si>
    <t>2825</t>
  </si>
  <si>
    <t>The Junkluggers</t>
  </si>
  <si>
    <t>2826</t>
  </si>
  <si>
    <t>Framework Solutions</t>
  </si>
  <si>
    <t>2827</t>
  </si>
  <si>
    <t>Chief Outsiders</t>
  </si>
  <si>
    <t>2828</t>
  </si>
  <si>
    <t>Arcadia.io</t>
  </si>
  <si>
    <t>2829</t>
  </si>
  <si>
    <t>Rockwell Partners</t>
  </si>
  <si>
    <t>2830</t>
  </si>
  <si>
    <t>Cleanlife LED</t>
  </si>
  <si>
    <t>2831</t>
  </si>
  <si>
    <t>Gorgo Group</t>
  </si>
  <si>
    <t>2832</t>
  </si>
  <si>
    <t>Vigilant Global Trade Services</t>
  </si>
  <si>
    <t>2833</t>
  </si>
  <si>
    <t>Xtelligent Healthcare Media</t>
  </si>
  <si>
    <t>2834</t>
  </si>
  <si>
    <t>acquisitionsandrenewals.com</t>
  </si>
  <si>
    <t>2835</t>
  </si>
  <si>
    <t>Visual Connections</t>
  </si>
  <si>
    <t>2836</t>
  </si>
  <si>
    <t>WebIT Services</t>
  </si>
  <si>
    <t>2837</t>
  </si>
  <si>
    <t>CaliChi Design Group</t>
  </si>
  <si>
    <t>2838</t>
  </si>
  <si>
    <t>Rescue | The Behavior Change Agency</t>
  </si>
  <si>
    <t>2839</t>
  </si>
  <si>
    <t>Budget Dumpster</t>
  </si>
  <si>
    <t>2840</t>
  </si>
  <si>
    <t>Riverside Payments</t>
  </si>
  <si>
    <t>2841</t>
  </si>
  <si>
    <t>Bellwether Asset Management</t>
  </si>
  <si>
    <t>2842</t>
  </si>
  <si>
    <t>Mobilewalla</t>
  </si>
  <si>
    <t>2843</t>
  </si>
  <si>
    <t>Cantey Technology</t>
  </si>
  <si>
    <t>2844</t>
  </si>
  <si>
    <t>HHAeXchange</t>
  </si>
  <si>
    <t>2845</t>
  </si>
  <si>
    <t>The Saywitz Company</t>
  </si>
  <si>
    <t>2846</t>
  </si>
  <si>
    <t>Bayone Solutions</t>
  </si>
  <si>
    <t>2847</t>
  </si>
  <si>
    <t>SmarterHQ</t>
  </si>
  <si>
    <t>2848</t>
  </si>
  <si>
    <t>OpenWater Software</t>
  </si>
  <si>
    <t>2849</t>
  </si>
  <si>
    <t>G Adventures</t>
  </si>
  <si>
    <t>2850</t>
  </si>
  <si>
    <t>Plenus Group</t>
  </si>
  <si>
    <t>2851</t>
  </si>
  <si>
    <t>Medical Weight Loss by Healthogenics</t>
  </si>
  <si>
    <t>2852</t>
  </si>
  <si>
    <t>InsureYourCompany.com</t>
  </si>
  <si>
    <t>2853</t>
  </si>
  <si>
    <t>Simon Transport</t>
  </si>
  <si>
    <t>2854</t>
  </si>
  <si>
    <t>Beverly Hills Rejuvenation Center</t>
  </si>
  <si>
    <t>2855</t>
  </si>
  <si>
    <t>SmartSites</t>
  </si>
  <si>
    <t>2856</t>
  </si>
  <si>
    <t>Transportation and Logistical Services</t>
  </si>
  <si>
    <t>2857</t>
  </si>
  <si>
    <t>Logistics Plus</t>
  </si>
  <si>
    <t>2858</t>
  </si>
  <si>
    <t>Search Solution Group</t>
  </si>
  <si>
    <t>2859</t>
  </si>
  <si>
    <t>Meriwether &amp; Tharp</t>
  </si>
  <si>
    <t>2860</t>
  </si>
  <si>
    <t>CI&amp;T</t>
  </si>
  <si>
    <t>2861</t>
  </si>
  <si>
    <t>Elements Massage</t>
  </si>
  <si>
    <t>2862</t>
  </si>
  <si>
    <t>Renatus</t>
  </si>
  <si>
    <t>2863</t>
  </si>
  <si>
    <t>Parkmobile</t>
  </si>
  <si>
    <t>2864</t>
  </si>
  <si>
    <t>iKeyless</t>
  </si>
  <si>
    <t>2865</t>
  </si>
  <si>
    <t>VLK Architects</t>
  </si>
  <si>
    <t>2866</t>
  </si>
  <si>
    <t>Katom Restaurant Supply</t>
  </si>
  <si>
    <t>2867</t>
  </si>
  <si>
    <t>Royal Vending</t>
  </si>
  <si>
    <t>2868</t>
  </si>
  <si>
    <t>WLE</t>
  </si>
  <si>
    <t>2869</t>
  </si>
  <si>
    <t>Quality Engineering &amp; Surveying</t>
  </si>
  <si>
    <t>2870</t>
  </si>
  <si>
    <t>Keeping Current Matters</t>
  </si>
  <si>
    <t>2871</t>
  </si>
  <si>
    <t>HomeCare Connect</t>
  </si>
  <si>
    <t>2872</t>
  </si>
  <si>
    <t>Mission Driven Research</t>
  </si>
  <si>
    <t>2873</t>
  </si>
  <si>
    <t>Brown Parker &amp; DeMarinis Advertising</t>
  </si>
  <si>
    <t>2874</t>
  </si>
  <si>
    <t>Lendr</t>
  </si>
  <si>
    <t>2875</t>
  </si>
  <si>
    <t>Flow Right Plumbing, Heating &amp; Cooling</t>
  </si>
  <si>
    <t>2876</t>
  </si>
  <si>
    <t>Erben Associates</t>
  </si>
  <si>
    <t>2877</t>
  </si>
  <si>
    <t>AmeriPharma</t>
  </si>
  <si>
    <t>2878</t>
  </si>
  <si>
    <t>First National Title Insurance Company</t>
  </si>
  <si>
    <t>2879</t>
  </si>
  <si>
    <t>Ripple</t>
  </si>
  <si>
    <t>2880</t>
  </si>
  <si>
    <t>TWG Security</t>
  </si>
  <si>
    <t>2881</t>
  </si>
  <si>
    <t>D&amp;B Precision Cutting and Manufacturing</t>
  </si>
  <si>
    <t>2882</t>
  </si>
  <si>
    <t>Triumph Services</t>
  </si>
  <si>
    <t>2883</t>
  </si>
  <si>
    <t>Gant Systems</t>
  </si>
  <si>
    <t>2884</t>
  </si>
  <si>
    <t>Studio98</t>
  </si>
  <si>
    <t>2885</t>
  </si>
  <si>
    <t>Boomsourcing</t>
  </si>
  <si>
    <t>2886</t>
  </si>
  <si>
    <t>BirdDogHR</t>
  </si>
  <si>
    <t>2887</t>
  </si>
  <si>
    <t>Texadia Systems</t>
  </si>
  <si>
    <t>2888</t>
  </si>
  <si>
    <t>thomastech</t>
  </si>
  <si>
    <t>2889</t>
  </si>
  <si>
    <t>ROI Healthcare Solutions</t>
  </si>
  <si>
    <t>2890</t>
  </si>
  <si>
    <t>Output</t>
  </si>
  <si>
    <t>2891</t>
  </si>
  <si>
    <t>CTE Logistics</t>
  </si>
  <si>
    <t>2892</t>
  </si>
  <si>
    <t>Level Access</t>
  </si>
  <si>
    <t>2893</t>
  </si>
  <si>
    <t>California CareGivers Home Healthcare</t>
  </si>
  <si>
    <t>2894</t>
  </si>
  <si>
    <t>Excella Consulting</t>
  </si>
  <si>
    <t>2895</t>
  </si>
  <si>
    <t>How to Manage a Small Law Firm</t>
  </si>
  <si>
    <t>2896</t>
  </si>
  <si>
    <t>The Auxiliary Group</t>
  </si>
  <si>
    <t>2897</t>
  </si>
  <si>
    <t>Weisser Distributing</t>
  </si>
  <si>
    <t>2898</t>
  </si>
  <si>
    <t>Snap Agency</t>
  </si>
  <si>
    <t>2899</t>
  </si>
  <si>
    <t>American Insurance Organization</t>
  </si>
  <si>
    <t>2900</t>
  </si>
  <si>
    <t>Mayvin</t>
  </si>
  <si>
    <t>2901</t>
  </si>
  <si>
    <t>Sustainable Restaurant Group</t>
  </si>
  <si>
    <t>2902</t>
  </si>
  <si>
    <t>The Sheppard</t>
  </si>
  <si>
    <t>2903</t>
  </si>
  <si>
    <t>Wheelhouse DMG</t>
  </si>
  <si>
    <t>2904</t>
  </si>
  <si>
    <t>Alpha Paving Industries</t>
  </si>
  <si>
    <t>2905</t>
  </si>
  <si>
    <t>GreenBanana SEO</t>
  </si>
  <si>
    <t>2906</t>
  </si>
  <si>
    <t>Singleton Enterprises</t>
  </si>
  <si>
    <t>2907</t>
  </si>
  <si>
    <t>Engage PEO</t>
  </si>
  <si>
    <t>2908</t>
  </si>
  <si>
    <t>Delta Defense</t>
  </si>
  <si>
    <t>2909</t>
  </si>
  <si>
    <t>Developintelligence</t>
  </si>
  <si>
    <t>2910</t>
  </si>
  <si>
    <t>Roofcare</t>
  </si>
  <si>
    <t>2911</t>
  </si>
  <si>
    <t>Select Security</t>
  </si>
  <si>
    <t>2912</t>
  </si>
  <si>
    <t>Real People Realty</t>
  </si>
  <si>
    <t>2913</t>
  </si>
  <si>
    <t>TruePoint Communications</t>
  </si>
  <si>
    <t>2914</t>
  </si>
  <si>
    <t>SketchDeck</t>
  </si>
  <si>
    <t>2915</t>
  </si>
  <si>
    <t>Tiempo Development</t>
  </si>
  <si>
    <t>2916</t>
  </si>
  <si>
    <t>ConnectPay</t>
  </si>
  <si>
    <t>2917</t>
  </si>
  <si>
    <t>Promoboxx</t>
  </si>
  <si>
    <t>2918</t>
  </si>
  <si>
    <t>Pondurance</t>
  </si>
  <si>
    <t>2919</t>
  </si>
  <si>
    <t>Four Foods Group</t>
  </si>
  <si>
    <t>2920</t>
  </si>
  <si>
    <t>Advanced Flooring</t>
  </si>
  <si>
    <t>2921</t>
  </si>
  <si>
    <t>Filterworks USA</t>
  </si>
  <si>
    <t>2922</t>
  </si>
  <si>
    <t>Fonteva</t>
  </si>
  <si>
    <t>2923</t>
  </si>
  <si>
    <t>Fors Marsh Group</t>
  </si>
  <si>
    <t>2924</t>
  </si>
  <si>
    <t>The Nines</t>
  </si>
  <si>
    <t>2925</t>
  </si>
  <si>
    <t>HMT Associates</t>
  </si>
  <si>
    <t>2926</t>
  </si>
  <si>
    <t>US Patriot</t>
  </si>
  <si>
    <t>2927</t>
  </si>
  <si>
    <t>nLogic</t>
  </si>
  <si>
    <t>2928</t>
  </si>
  <si>
    <t>Docmation</t>
  </si>
  <si>
    <t>2929</t>
  </si>
  <si>
    <t>Patriot Pool and Spa</t>
  </si>
  <si>
    <t>2930</t>
  </si>
  <si>
    <t>Downtown Catering Company</t>
  </si>
  <si>
    <t>2931</t>
  </si>
  <si>
    <t>PowerReviews</t>
  </si>
  <si>
    <t>2932</t>
  </si>
  <si>
    <t>Local Marketing Solutions Group</t>
  </si>
  <si>
    <t>2933</t>
  </si>
  <si>
    <t>Evans Incorporated</t>
  </si>
  <si>
    <t>2934</t>
  </si>
  <si>
    <t>Design Extensions</t>
  </si>
  <si>
    <t>2935</t>
  </si>
  <si>
    <t>Bold Construction</t>
  </si>
  <si>
    <t>2936</t>
  </si>
  <si>
    <t>ReedTMS Logistics</t>
  </si>
  <si>
    <t>2937</t>
  </si>
  <si>
    <t>Sales Empowerment Group</t>
  </si>
  <si>
    <t>2938</t>
  </si>
  <si>
    <t>MarkSYS</t>
  </si>
  <si>
    <t>2939</t>
  </si>
  <si>
    <t>IT Support RI</t>
  </si>
  <si>
    <t>RI</t>
  </si>
  <si>
    <t>2940</t>
  </si>
  <si>
    <t>Excel Services</t>
  </si>
  <si>
    <t>2941</t>
  </si>
  <si>
    <t>Keyser</t>
  </si>
  <si>
    <t>2942</t>
  </si>
  <si>
    <t>Cutting Edge Countertops</t>
  </si>
  <si>
    <t>2943</t>
  </si>
  <si>
    <t>Aventri</t>
  </si>
  <si>
    <t>2944</t>
  </si>
  <si>
    <t>Erus Energy</t>
  </si>
  <si>
    <t>2945</t>
  </si>
  <si>
    <t>Accucomp Appraisal Services</t>
  </si>
  <si>
    <t>2946</t>
  </si>
  <si>
    <t>Envisage</t>
  </si>
  <si>
    <t>2947</t>
  </si>
  <si>
    <t>Buzz Franchise Brands</t>
  </si>
  <si>
    <t>2948</t>
  </si>
  <si>
    <t>Kyriba</t>
  </si>
  <si>
    <t>2949</t>
  </si>
  <si>
    <t>Schaal Plumbing, Heating &amp; Cooling</t>
  </si>
  <si>
    <t>2950</t>
  </si>
  <si>
    <t>Southeast Veterinary Neurology</t>
  </si>
  <si>
    <t>2951</t>
  </si>
  <si>
    <t>Upper Edge Technologies</t>
  </si>
  <si>
    <t>2952</t>
  </si>
  <si>
    <t>Spire Digital</t>
  </si>
  <si>
    <t>2953</t>
  </si>
  <si>
    <t>EPIC Insurance Brokers &amp; Consultants</t>
  </si>
  <si>
    <t>2954</t>
  </si>
  <si>
    <t>Axiom Eco Pest Control</t>
  </si>
  <si>
    <t>2955</t>
  </si>
  <si>
    <t>FedBiz IT Solutions</t>
  </si>
  <si>
    <t>2956</t>
  </si>
  <si>
    <t>Local Loyalty Marketing Solutions NC</t>
  </si>
  <si>
    <t>2957</t>
  </si>
  <si>
    <t>Edge</t>
  </si>
  <si>
    <t>2958</t>
  </si>
  <si>
    <t>Alpha Premier</t>
  </si>
  <si>
    <t>2959</t>
  </si>
  <si>
    <t>Jack Browns Joint</t>
  </si>
  <si>
    <t>2960</t>
  </si>
  <si>
    <t>Sandler Partners</t>
  </si>
  <si>
    <t>2961</t>
  </si>
  <si>
    <t>EngeniusMicro</t>
  </si>
  <si>
    <t>2962</t>
  </si>
  <si>
    <t>Enscicon</t>
  </si>
  <si>
    <t>2963</t>
  </si>
  <si>
    <t>Janus International Group</t>
  </si>
  <si>
    <t>2964</t>
  </si>
  <si>
    <t>Kumparison</t>
  </si>
  <si>
    <t>2965</t>
  </si>
  <si>
    <t>RxNT</t>
  </si>
  <si>
    <t>2966</t>
  </si>
  <si>
    <t>MileMark Media</t>
  </si>
  <si>
    <t>2967</t>
  </si>
  <si>
    <t>SleepQuest</t>
  </si>
  <si>
    <t>2968</t>
  </si>
  <si>
    <t>CardioSolution</t>
  </si>
  <si>
    <t>2969</t>
  </si>
  <si>
    <t>Abenity</t>
  </si>
  <si>
    <t>2970</t>
  </si>
  <si>
    <t>Echo Health</t>
  </si>
  <si>
    <t>2971</t>
  </si>
  <si>
    <t>Rank Crankers</t>
  </si>
  <si>
    <t>2972</t>
  </si>
  <si>
    <t>Mojo Media Labs</t>
  </si>
  <si>
    <t>2973</t>
  </si>
  <si>
    <t>Engelke Construction Solutions</t>
  </si>
  <si>
    <t>2974</t>
  </si>
  <si>
    <t>Silverline</t>
  </si>
  <si>
    <t>2975</t>
  </si>
  <si>
    <t>Heartsmart.com</t>
  </si>
  <si>
    <t>2976</t>
  </si>
  <si>
    <t>Xyngular</t>
  </si>
  <si>
    <t>2977</t>
  </si>
  <si>
    <t>CollabraLink Technologies</t>
  </si>
  <si>
    <t>2978</t>
  </si>
  <si>
    <t>Score a Score</t>
  </si>
  <si>
    <t>2979</t>
  </si>
  <si>
    <t>APIC Solutions</t>
  </si>
  <si>
    <t>2980</t>
  </si>
  <si>
    <t>Portable Oxygen Solutions</t>
  </si>
  <si>
    <t>2981</t>
  </si>
  <si>
    <t>Agile Velocity</t>
  </si>
  <si>
    <t>2982</t>
  </si>
  <si>
    <t>Reflex Sales Group</t>
  </si>
  <si>
    <t>2983</t>
  </si>
  <si>
    <t>OAC Services</t>
  </si>
  <si>
    <t>2984</t>
  </si>
  <si>
    <t>Culinary Eye Catering and Events</t>
  </si>
  <si>
    <t>2985</t>
  </si>
  <si>
    <t>Payroll4Construction.com</t>
  </si>
  <si>
    <t>2986</t>
  </si>
  <si>
    <t>Great Hire</t>
  </si>
  <si>
    <t>2987</t>
  </si>
  <si>
    <t>Union Home Mortgage</t>
  </si>
  <si>
    <t>2988</t>
  </si>
  <si>
    <t>TDK Technologies</t>
  </si>
  <si>
    <t>2989</t>
  </si>
  <si>
    <t>Prosper Consulting</t>
  </si>
  <si>
    <t>2990</t>
  </si>
  <si>
    <t>InfraWare</t>
  </si>
  <si>
    <t>2991</t>
  </si>
  <si>
    <t>Owen Jones and Partners</t>
  </si>
  <si>
    <t>2992</t>
  </si>
  <si>
    <t>Objectstream</t>
  </si>
  <si>
    <t>2993</t>
  </si>
  <si>
    <t>Chemlock Nutrition</t>
  </si>
  <si>
    <t>2994</t>
  </si>
  <si>
    <t>Nomadic Real Estate</t>
  </si>
  <si>
    <t>2995</t>
  </si>
  <si>
    <t>Keller Williams Realty Capital District</t>
  </si>
  <si>
    <t>2996</t>
  </si>
  <si>
    <t>Sunrise Erectors</t>
  </si>
  <si>
    <t>2997</t>
  </si>
  <si>
    <t>Lindmark Outdoor Media</t>
  </si>
  <si>
    <t>2998</t>
  </si>
  <si>
    <t>Doberman Technologies</t>
  </si>
  <si>
    <t>2999</t>
  </si>
  <si>
    <t>LA Solar Group</t>
  </si>
  <si>
    <t>3000</t>
  </si>
  <si>
    <t>AR Solutions</t>
  </si>
  <si>
    <t>3001</t>
  </si>
  <si>
    <t>Kopis</t>
  </si>
  <si>
    <t>3002</t>
  </si>
  <si>
    <t>Yes&amp;</t>
  </si>
  <si>
    <t>3003</t>
  </si>
  <si>
    <t>Aligne Wealth Preservation &amp; Insurance Services</t>
  </si>
  <si>
    <t>3004</t>
  </si>
  <si>
    <t>365 Retail Markets</t>
  </si>
  <si>
    <t>3005</t>
  </si>
  <si>
    <t>Virtus Partners</t>
  </si>
  <si>
    <t>3006</t>
  </si>
  <si>
    <t>Snap Install</t>
  </si>
  <si>
    <t>3007</t>
  </si>
  <si>
    <t>FirstClose</t>
  </si>
  <si>
    <t>3008</t>
  </si>
  <si>
    <t>Ecotone</t>
  </si>
  <si>
    <t>3009</t>
  </si>
  <si>
    <t>Shaw + Scott</t>
  </si>
  <si>
    <t>3010</t>
  </si>
  <si>
    <t>Busch Global</t>
  </si>
  <si>
    <t>3011</t>
  </si>
  <si>
    <t>Protocol Networks</t>
  </si>
  <si>
    <t>3012</t>
  </si>
  <si>
    <t>R &amp; Y A/C Compressors</t>
  </si>
  <si>
    <t>3013</t>
  </si>
  <si>
    <t>The Cutting Board Company</t>
  </si>
  <si>
    <t>3014</t>
  </si>
  <si>
    <t>SiteLock</t>
  </si>
  <si>
    <t>3015</t>
  </si>
  <si>
    <t>The Indigo Road Hospitality Group</t>
  </si>
  <si>
    <t>3016</t>
  </si>
  <si>
    <t>Siteline Interior Carpentry</t>
  </si>
  <si>
    <t>3017</t>
  </si>
  <si>
    <t>FCP Euro</t>
  </si>
  <si>
    <t>3018</t>
  </si>
  <si>
    <t>Sophus IT Solutions</t>
  </si>
  <si>
    <t>3019</t>
  </si>
  <si>
    <t>Crimcheck Holdings</t>
  </si>
  <si>
    <t>3020</t>
  </si>
  <si>
    <t>US</t>
  </si>
  <si>
    <t>3021</t>
  </si>
  <si>
    <t>Miguel Lopez Jr.</t>
  </si>
  <si>
    <t>3022</t>
  </si>
  <si>
    <t>Stream Logistics</t>
  </si>
  <si>
    <t>3023</t>
  </si>
  <si>
    <t>Allegheny Science &amp; Technology</t>
  </si>
  <si>
    <t>3024</t>
  </si>
  <si>
    <t>Romaric Automation Design</t>
  </si>
  <si>
    <t>3025</t>
  </si>
  <si>
    <t>Marathon TS</t>
  </si>
  <si>
    <t>3026</t>
  </si>
  <si>
    <t>Cummings Creative Group</t>
  </si>
  <si>
    <t>3027</t>
  </si>
  <si>
    <t>Claimify (formerly Lucens Group)</t>
  </si>
  <si>
    <t>3028</t>
  </si>
  <si>
    <t>Ruby Receptionists</t>
  </si>
  <si>
    <t>3029</t>
  </si>
  <si>
    <t>Bay State Search</t>
  </si>
  <si>
    <t>3030</t>
  </si>
  <si>
    <t>TechLink Services</t>
  </si>
  <si>
    <t>3031</t>
  </si>
  <si>
    <t>Decisiv</t>
  </si>
  <si>
    <t>3032</t>
  </si>
  <si>
    <t>Bay to Bay Properties</t>
  </si>
  <si>
    <t>3033</t>
  </si>
  <si>
    <t>MYCA Material Handling Solutions</t>
  </si>
  <si>
    <t>3034</t>
  </si>
  <si>
    <t>Pillar Properties</t>
  </si>
  <si>
    <t>3035</t>
  </si>
  <si>
    <t>Swift Straw II</t>
  </si>
  <si>
    <t>3036</t>
  </si>
  <si>
    <t>Mid America Pet Food</t>
  </si>
  <si>
    <t>3037</t>
  </si>
  <si>
    <t>Maantic</t>
  </si>
  <si>
    <t>3038</t>
  </si>
  <si>
    <t>Paragon Healthcare</t>
  </si>
  <si>
    <t>3039</t>
  </si>
  <si>
    <t>ten24</t>
  </si>
  <si>
    <t>3040</t>
  </si>
  <si>
    <t>Grassburger</t>
  </si>
  <si>
    <t>3041</t>
  </si>
  <si>
    <t>The Haro Group of Keller Williams Real Estate</t>
  </si>
  <si>
    <t>3042</t>
  </si>
  <si>
    <t>Media Bridge Advertising</t>
  </si>
  <si>
    <t>3043</t>
  </si>
  <si>
    <t>Golden Reserve</t>
  </si>
  <si>
    <t>3044</t>
  </si>
  <si>
    <t>Distrivalto USA / Holstein Housewares</t>
  </si>
  <si>
    <t>3045</t>
  </si>
  <si>
    <t>HispaniSpace</t>
  </si>
  <si>
    <t>3046</t>
  </si>
  <si>
    <t>PrinterLogic</t>
  </si>
  <si>
    <t>3047</t>
  </si>
  <si>
    <t>Rockway Exhibits + Events</t>
  </si>
  <si>
    <t>3048</t>
  </si>
  <si>
    <t>HigherGround Managed Services</t>
  </si>
  <si>
    <t>3049</t>
  </si>
  <si>
    <t>Tidewater Fleet Supply</t>
  </si>
  <si>
    <t>3050</t>
  </si>
  <si>
    <t>Medical Solutions</t>
  </si>
  <si>
    <t>3051</t>
  </si>
  <si>
    <t>Bean Group</t>
  </si>
  <si>
    <t>3052</t>
  </si>
  <si>
    <t>RevLocal</t>
  </si>
  <si>
    <t>3053</t>
  </si>
  <si>
    <t>Brink</t>
  </si>
  <si>
    <t>3054</t>
  </si>
  <si>
    <t>Allixo</t>
  </si>
  <si>
    <t>3055</t>
  </si>
  <si>
    <t>Rentec Direct</t>
  </si>
  <si>
    <t>3056</t>
  </si>
  <si>
    <t>Professional Enrollment Concepts</t>
  </si>
  <si>
    <t>3057</t>
  </si>
  <si>
    <t>Qiigo</t>
  </si>
  <si>
    <t>3058</t>
  </si>
  <si>
    <t>Chrome River</t>
  </si>
  <si>
    <t>3059</t>
  </si>
  <si>
    <t>Sender One Climbing</t>
  </si>
  <si>
    <t>3060</t>
  </si>
  <si>
    <t>Jane.com</t>
  </si>
  <si>
    <t>3061</t>
  </si>
  <si>
    <t>Lumiere Children's Therapy</t>
  </si>
  <si>
    <t>3062</t>
  </si>
  <si>
    <t>Affiliated Communications dba Alert Communications</t>
  </si>
  <si>
    <t>3063</t>
  </si>
  <si>
    <t>City Brew Tours</t>
  </si>
  <si>
    <t>3064</t>
  </si>
  <si>
    <t>Mountain Showcase Group</t>
  </si>
  <si>
    <t>3065</t>
  </si>
  <si>
    <t>Business IT Source</t>
  </si>
  <si>
    <t>3066</t>
  </si>
  <si>
    <t>Advanced Powder Products</t>
  </si>
  <si>
    <t>3067</t>
  </si>
  <si>
    <t>Fab-Tec</t>
  </si>
  <si>
    <t>3068</t>
  </si>
  <si>
    <t>Conti</t>
  </si>
  <si>
    <t>3069</t>
  </si>
  <si>
    <t>Facility Systems</t>
  </si>
  <si>
    <t>3070</t>
  </si>
  <si>
    <t>Halco Testing Services</t>
  </si>
  <si>
    <t>3071</t>
  </si>
  <si>
    <t>Search Discovery</t>
  </si>
  <si>
    <t>3072</t>
  </si>
  <si>
    <t>Competitive Health</t>
  </si>
  <si>
    <t>3073</t>
  </si>
  <si>
    <t>Unlimited Landscaping &amp; Turf Management</t>
  </si>
  <si>
    <t>3074</t>
  </si>
  <si>
    <t>EvolveMKD</t>
  </si>
  <si>
    <t>3075</t>
  </si>
  <si>
    <t>Premier Networx</t>
  </si>
  <si>
    <t>3076</t>
  </si>
  <si>
    <t>AvAir</t>
  </si>
  <si>
    <t>3077</t>
  </si>
  <si>
    <t>Aqua-Yield Operations</t>
  </si>
  <si>
    <t>3078</t>
  </si>
  <si>
    <t>Circle Computer Resources</t>
  </si>
  <si>
    <t>3079</t>
  </si>
  <si>
    <t>Vandelay Education</t>
  </si>
  <si>
    <t>3080</t>
  </si>
  <si>
    <t>Open Source Integrators</t>
  </si>
  <si>
    <t>3081</t>
  </si>
  <si>
    <t>Zulu Marketing</t>
  </si>
  <si>
    <t>3082</t>
  </si>
  <si>
    <t>Laketown Electric</t>
  </si>
  <si>
    <t>3083</t>
  </si>
  <si>
    <t>Tri Tower Telecom</t>
  </si>
  <si>
    <t>3084</t>
  </si>
  <si>
    <t>SecureLink</t>
  </si>
  <si>
    <t>3085</t>
  </si>
  <si>
    <t>Stamford Technology Solutions</t>
  </si>
  <si>
    <t>3086</t>
  </si>
  <si>
    <t>Axispoint</t>
  </si>
  <si>
    <t>3087</t>
  </si>
  <si>
    <t>Mattingly Concrete</t>
  </si>
  <si>
    <t>3088</t>
  </si>
  <si>
    <t>IT Partners (Bethel Park, PA)</t>
  </si>
  <si>
    <t>3089</t>
  </si>
  <si>
    <t>StateServ-Hospicelink</t>
  </si>
  <si>
    <t>3090</t>
  </si>
  <si>
    <t>Activate Marketing Services</t>
  </si>
  <si>
    <t>3091</t>
  </si>
  <si>
    <t>Chesapeake Plumbing &amp; Heating</t>
  </si>
  <si>
    <t>3092</t>
  </si>
  <si>
    <t>IT Management Corporation</t>
  </si>
  <si>
    <t>3093</t>
  </si>
  <si>
    <t>Dogtopia Enterprises</t>
  </si>
  <si>
    <t>3094</t>
  </si>
  <si>
    <t>Modality Solutions</t>
  </si>
  <si>
    <t>3095</t>
  </si>
  <si>
    <t>Light Dental Studios</t>
  </si>
  <si>
    <t>3096</t>
  </si>
  <si>
    <t>Ovative Group</t>
  </si>
  <si>
    <t>3097</t>
  </si>
  <si>
    <t>Southwest Antennas</t>
  </si>
  <si>
    <t>3098</t>
  </si>
  <si>
    <t>McKay Advertising + Activation</t>
  </si>
  <si>
    <t>3099</t>
  </si>
  <si>
    <t>LS Systems</t>
  </si>
  <si>
    <t>3100</t>
  </si>
  <si>
    <t>Dream Local Digital</t>
  </si>
  <si>
    <t>3101</t>
  </si>
  <si>
    <t>Lamacchia Realty</t>
  </si>
  <si>
    <t>3102</t>
  </si>
  <si>
    <t>Rice Insurance</t>
  </si>
  <si>
    <t>3103</t>
  </si>
  <si>
    <t>Relief-Mart</t>
  </si>
  <si>
    <t>3104</t>
  </si>
  <si>
    <t>The Music Room</t>
  </si>
  <si>
    <t>3105</t>
  </si>
  <si>
    <t>Redhorse</t>
  </si>
  <si>
    <t>3106</t>
  </si>
  <si>
    <t>Cohen &amp; Company</t>
  </si>
  <si>
    <t>3107</t>
  </si>
  <si>
    <t>MKD Electric</t>
  </si>
  <si>
    <t>3108</t>
  </si>
  <si>
    <t>Accelogix</t>
  </si>
  <si>
    <t>3109</t>
  </si>
  <si>
    <t>Deep Well Services</t>
  </si>
  <si>
    <t>3110</t>
  </si>
  <si>
    <t>Wellworks For You</t>
  </si>
  <si>
    <t>3111</t>
  </si>
  <si>
    <t>Cambria Investment Management, LP</t>
  </si>
  <si>
    <t>3112</t>
  </si>
  <si>
    <t>eLearningBrothers</t>
  </si>
  <si>
    <t>3113</t>
  </si>
  <si>
    <t>ImagineSoftware</t>
  </si>
  <si>
    <t>3114</t>
  </si>
  <si>
    <t>Odyssey Systems Consulting Group</t>
  </si>
  <si>
    <t>3115</t>
  </si>
  <si>
    <t>ActualTech Media</t>
  </si>
  <si>
    <t>3116</t>
  </si>
  <si>
    <t>Vivax Pros</t>
  </si>
  <si>
    <t>3117</t>
  </si>
  <si>
    <t>Day Translations</t>
  </si>
  <si>
    <t>3118</t>
  </si>
  <si>
    <t>Pacific Energy Concepts</t>
  </si>
  <si>
    <t>3119</t>
  </si>
  <si>
    <t>SHARP MEDICAL STAFFING</t>
  </si>
  <si>
    <t>3120</t>
  </si>
  <si>
    <t>LMG</t>
  </si>
  <si>
    <t>3121</t>
  </si>
  <si>
    <t>Norman Heating &amp; Air Conditioning</t>
  </si>
  <si>
    <t>3122</t>
  </si>
  <si>
    <t>TR MILLER HEATING &amp; COOLING</t>
  </si>
  <si>
    <t>3123</t>
  </si>
  <si>
    <t>FATHOM (Oakland, CA)</t>
  </si>
  <si>
    <t>3124</t>
  </si>
  <si>
    <t>Bulu</t>
  </si>
  <si>
    <t>3125</t>
  </si>
  <si>
    <t>Darkblade Systems</t>
  </si>
  <si>
    <t>3126</t>
  </si>
  <si>
    <t>Energy Fitness</t>
  </si>
  <si>
    <t>3127</t>
  </si>
  <si>
    <t>Medical B &amp; T services</t>
  </si>
  <si>
    <t>3128</t>
  </si>
  <si>
    <t>Blue Chip Talent</t>
  </si>
  <si>
    <t>3129</t>
  </si>
  <si>
    <t>ProMedia</t>
  </si>
  <si>
    <t>3130</t>
  </si>
  <si>
    <t>Insight Sourcing Group</t>
  </si>
  <si>
    <t>3131</t>
  </si>
  <si>
    <t>Mighty 8th Media</t>
  </si>
  <si>
    <t>3132</t>
  </si>
  <si>
    <t>Knight Federal Solutions</t>
  </si>
  <si>
    <t>3133</t>
  </si>
  <si>
    <t>Alegiant Services,LLC</t>
  </si>
  <si>
    <t>3134</t>
  </si>
  <si>
    <t>Nuspire</t>
  </si>
  <si>
    <t>3135</t>
  </si>
  <si>
    <t>Datavail</t>
  </si>
  <si>
    <t>3136</t>
  </si>
  <si>
    <t>Intero Real Estate Services</t>
  </si>
  <si>
    <t>3137</t>
  </si>
  <si>
    <t>Coastal Payroll</t>
  </si>
  <si>
    <t>3138</t>
  </si>
  <si>
    <t>Pet Assure Corp</t>
  </si>
  <si>
    <t>3139</t>
  </si>
  <si>
    <t>J&amp;B Pallet</t>
  </si>
  <si>
    <t>3140</t>
  </si>
  <si>
    <t>Levitate Media</t>
  </si>
  <si>
    <t>3141</t>
  </si>
  <si>
    <t>PaySphere Payroll &amp; HR</t>
  </si>
  <si>
    <t>3142</t>
  </si>
  <si>
    <t>Nekter Juice Bar</t>
  </si>
  <si>
    <t>3143</t>
  </si>
  <si>
    <t>Intellectual Capitol</t>
  </si>
  <si>
    <t>3144</t>
  </si>
  <si>
    <t>All Industrial Tool Supply</t>
  </si>
  <si>
    <t>3145</t>
  </si>
  <si>
    <t>Adaptive Nursing and Healthcare Services</t>
  </si>
  <si>
    <t>3146</t>
  </si>
  <si>
    <t>DKBinnovative</t>
  </si>
  <si>
    <t>3147</t>
  </si>
  <si>
    <t>Clason Point Partners</t>
  </si>
  <si>
    <t>3148</t>
  </si>
  <si>
    <t>Classy Art</t>
  </si>
  <si>
    <t>3149</t>
  </si>
  <si>
    <t>Mommy's Bliss</t>
  </si>
  <si>
    <t>3150</t>
  </si>
  <si>
    <t>TorchLight Hire</t>
  </si>
  <si>
    <t>3151</t>
  </si>
  <si>
    <t>Cinch IT</t>
  </si>
  <si>
    <t>3152</t>
  </si>
  <si>
    <t>Division-D</t>
  </si>
  <si>
    <t>3153</t>
  </si>
  <si>
    <t>GC Realty &amp; Development</t>
  </si>
  <si>
    <t>3154</t>
  </si>
  <si>
    <t>Lee's Air Conditioning, Heating &amp; Building Performance</t>
  </si>
  <si>
    <t>3155</t>
  </si>
  <si>
    <t>Power Design</t>
  </si>
  <si>
    <t>3156</t>
  </si>
  <si>
    <t>Core Nutritionals</t>
  </si>
  <si>
    <t>3157</t>
  </si>
  <si>
    <t>People's Television</t>
  </si>
  <si>
    <t>3158</t>
  </si>
  <si>
    <t>Premier Pools and Spas</t>
  </si>
  <si>
    <t>3159</t>
  </si>
  <si>
    <t>de Jong Duke</t>
  </si>
  <si>
    <t>3160</t>
  </si>
  <si>
    <t>Cadence Communications and Research</t>
  </si>
  <si>
    <t>3161</t>
  </si>
  <si>
    <t>Stratus Building Solutions</t>
  </si>
  <si>
    <t>3162</t>
  </si>
  <si>
    <t>Secure One Capital</t>
  </si>
  <si>
    <t>3163</t>
  </si>
  <si>
    <t>The Predictive Index</t>
  </si>
  <si>
    <t>3164</t>
  </si>
  <si>
    <t>ScribeAmerica</t>
  </si>
  <si>
    <t>3165</t>
  </si>
  <si>
    <t>Dynamics Resources</t>
  </si>
  <si>
    <t>3166</t>
  </si>
  <si>
    <t>Succession Resource Group</t>
  </si>
  <si>
    <t>3167</t>
  </si>
  <si>
    <t>Intrust Funding</t>
  </si>
  <si>
    <t>3168</t>
  </si>
  <si>
    <t>Providence Care</t>
  </si>
  <si>
    <t>3169</t>
  </si>
  <si>
    <t>Complete Network</t>
  </si>
  <si>
    <t>3170</t>
  </si>
  <si>
    <t>A+ Derr Heating and Cooling</t>
  </si>
  <si>
    <t>3171</t>
  </si>
  <si>
    <t>Bandwave Systems</t>
  </si>
  <si>
    <t>3172</t>
  </si>
  <si>
    <t>Systems Integration</t>
  </si>
  <si>
    <t>3173</t>
  </si>
  <si>
    <t>Renters Warehouse</t>
  </si>
  <si>
    <t>3174</t>
  </si>
  <si>
    <t>The Agency</t>
  </si>
  <si>
    <t>3175</t>
  </si>
  <si>
    <t>Open Systems Technologies</t>
  </si>
  <si>
    <t>3176</t>
  </si>
  <si>
    <t>Tane</t>
  </si>
  <si>
    <t>3177</t>
  </si>
  <si>
    <t>Aspen Systems</t>
  </si>
  <si>
    <t>3178</t>
  </si>
  <si>
    <t>Thornhill</t>
  </si>
  <si>
    <t>3179</t>
  </si>
  <si>
    <t>Obility</t>
  </si>
  <si>
    <t>3180</t>
  </si>
  <si>
    <t>Precision Measurement Engineering</t>
  </si>
  <si>
    <t>3181</t>
  </si>
  <si>
    <t>Laritech</t>
  </si>
  <si>
    <t>3182</t>
  </si>
  <si>
    <t>FOR</t>
  </si>
  <si>
    <t>3183</t>
  </si>
  <si>
    <t>Tom Ferry</t>
  </si>
  <si>
    <t>3184</t>
  </si>
  <si>
    <t>EMD Strategies</t>
  </si>
  <si>
    <t>3185</t>
  </si>
  <si>
    <t>Century Business Solutions: EBizCharge</t>
  </si>
  <si>
    <t>3186</t>
  </si>
  <si>
    <t>Rabbit Air</t>
  </si>
  <si>
    <t>3187</t>
  </si>
  <si>
    <t>The Dagit Group</t>
  </si>
  <si>
    <t>3188</t>
  </si>
  <si>
    <t>King Memory</t>
  </si>
  <si>
    <t>3189</t>
  </si>
  <si>
    <t>Scott Brown Media Group</t>
  </si>
  <si>
    <t>3190</t>
  </si>
  <si>
    <t>Government Marketing</t>
  </si>
  <si>
    <t>3191</t>
  </si>
  <si>
    <t>Sanmejio</t>
  </si>
  <si>
    <t>3192</t>
  </si>
  <si>
    <t>Benchworks</t>
  </si>
  <si>
    <t>3193</t>
  </si>
  <si>
    <t>Go-Forth Pest Control</t>
  </si>
  <si>
    <t>3194</t>
  </si>
  <si>
    <t>WMK</t>
  </si>
  <si>
    <t>3195</t>
  </si>
  <si>
    <t>Placers</t>
  </si>
  <si>
    <t>3196</t>
  </si>
  <si>
    <t>USSC Group</t>
  </si>
  <si>
    <t>3197</t>
  </si>
  <si>
    <t>Mailchimp</t>
  </si>
  <si>
    <t>3198</t>
  </si>
  <si>
    <t>Atlantic Petroleum</t>
  </si>
  <si>
    <t>3199</t>
  </si>
  <si>
    <t>Arch-Con Construction</t>
  </si>
  <si>
    <t>3200</t>
  </si>
  <si>
    <t>LLamasoft</t>
  </si>
  <si>
    <t>3201</t>
  </si>
  <si>
    <t>Zenetex</t>
  </si>
  <si>
    <t>3202</t>
  </si>
  <si>
    <t>Targeted Pet Treats</t>
  </si>
  <si>
    <t>3203</t>
  </si>
  <si>
    <t>Generation Iron Brands</t>
  </si>
  <si>
    <t>3204</t>
  </si>
  <si>
    <t>Computer Enterprises</t>
  </si>
  <si>
    <t>3205</t>
  </si>
  <si>
    <t>TeleSolv Consulting</t>
  </si>
  <si>
    <t>3206</t>
  </si>
  <si>
    <t>PolicyPak</t>
  </si>
  <si>
    <t>3207</t>
  </si>
  <si>
    <t>WebFX</t>
  </si>
  <si>
    <t>3208</t>
  </si>
  <si>
    <t>All Points Broadband</t>
  </si>
  <si>
    <t>3209</t>
  </si>
  <si>
    <t>Ruoff Home Mortgage</t>
  </si>
  <si>
    <t>3210</t>
  </si>
  <si>
    <t>Premier Orthodontic Specialists</t>
  </si>
  <si>
    <t>3211</t>
  </si>
  <si>
    <t>ADSG</t>
  </si>
  <si>
    <t>3212</t>
  </si>
  <si>
    <t>EQ1 Real Estate</t>
  </si>
  <si>
    <t>3213</t>
  </si>
  <si>
    <t>The ASK Method Company</t>
  </si>
  <si>
    <t>3214</t>
  </si>
  <si>
    <t>PM Hotel Group</t>
  </si>
  <si>
    <t>3215</t>
  </si>
  <si>
    <t>Tucker-Rose Associates</t>
  </si>
  <si>
    <t>3216</t>
  </si>
  <si>
    <t>Intermountain Audiology Hearing and Brain Clinics</t>
  </si>
  <si>
    <t>3217</t>
  </si>
  <si>
    <t>Lightfoot Mechanical</t>
  </si>
  <si>
    <t>3218</t>
  </si>
  <si>
    <t>Closet America</t>
  </si>
  <si>
    <t>3219</t>
  </si>
  <si>
    <t>AltSource</t>
  </si>
  <si>
    <t>3220</t>
  </si>
  <si>
    <t>Skyline Builders</t>
  </si>
  <si>
    <t>3221</t>
  </si>
  <si>
    <t>Keen Decision Systems</t>
  </si>
  <si>
    <t>3222</t>
  </si>
  <si>
    <t>Asurint</t>
  </si>
  <si>
    <t>3223</t>
  </si>
  <si>
    <t>Healthy Spot</t>
  </si>
  <si>
    <t>3224</t>
  </si>
  <si>
    <t>ConveyIQ</t>
  </si>
  <si>
    <t>3225</t>
  </si>
  <si>
    <t>Builder's Choice</t>
  </si>
  <si>
    <t>3226</t>
  </si>
  <si>
    <t>The Spur Group</t>
  </si>
  <si>
    <t>3227</t>
  </si>
  <si>
    <t>Buildium</t>
  </si>
  <si>
    <t>3228</t>
  </si>
  <si>
    <t>ARGI Financial Group</t>
  </si>
  <si>
    <t>3229</t>
  </si>
  <si>
    <t>Giltner Logistics</t>
  </si>
  <si>
    <t>3230</t>
  </si>
  <si>
    <t>ABCO Systems</t>
  </si>
  <si>
    <t>3231</t>
  </si>
  <si>
    <t>AVIO Consulting</t>
  </si>
  <si>
    <t>3232</t>
  </si>
  <si>
    <t>Gateway Mortgage Group</t>
  </si>
  <si>
    <t>3233</t>
  </si>
  <si>
    <t>Averhealth</t>
  </si>
  <si>
    <t>3234</t>
  </si>
  <si>
    <t>Titus Talent Strategies</t>
  </si>
  <si>
    <t>3235</t>
  </si>
  <si>
    <t>Backblaze</t>
  </si>
  <si>
    <t>3236</t>
  </si>
  <si>
    <t>Reveleer</t>
  </si>
  <si>
    <t>3237</t>
  </si>
  <si>
    <t>Seek Thermal</t>
  </si>
  <si>
    <t>3238</t>
  </si>
  <si>
    <t>Johnson Consulting Group</t>
  </si>
  <si>
    <t>3239</t>
  </si>
  <si>
    <t>Optomi</t>
  </si>
  <si>
    <t>3240</t>
  </si>
  <si>
    <t>Optimum Employer Solutions</t>
  </si>
  <si>
    <t>3241</t>
  </si>
  <si>
    <t>Avanath Capital Management</t>
  </si>
  <si>
    <t>3242</t>
  </si>
  <si>
    <t>Simulation Technologies</t>
  </si>
  <si>
    <t>3243</t>
  </si>
  <si>
    <t>B-Unlimited</t>
  </si>
  <si>
    <t>3244</t>
  </si>
  <si>
    <t>Alliance Executive Search</t>
  </si>
  <si>
    <t>3245</t>
  </si>
  <si>
    <t>Mid Valley IT</t>
  </si>
  <si>
    <t>3246</t>
  </si>
  <si>
    <t>BridgePoint Construction</t>
  </si>
  <si>
    <t>3247</t>
  </si>
  <si>
    <t>DECA Dental Group</t>
  </si>
  <si>
    <t>3248</t>
  </si>
  <si>
    <t>Mediafly</t>
  </si>
  <si>
    <t>3249</t>
  </si>
  <si>
    <t>Greenview Lawns</t>
  </si>
  <si>
    <t>3250</t>
  </si>
  <si>
    <t>Binc</t>
  </si>
  <si>
    <t>3251</t>
  </si>
  <si>
    <t>Verblio</t>
  </si>
  <si>
    <t>3252</t>
  </si>
  <si>
    <t>Bedroc</t>
  </si>
  <si>
    <t>3253</t>
  </si>
  <si>
    <t>Status Labs</t>
  </si>
  <si>
    <t>3254</t>
  </si>
  <si>
    <t>Sterling Site Access Solutions</t>
  </si>
  <si>
    <t>3255</t>
  </si>
  <si>
    <t>Assisting Hands Home Care</t>
  </si>
  <si>
    <t>3256</t>
  </si>
  <si>
    <t>Interactive Entertainment Group</t>
  </si>
  <si>
    <t>3257</t>
  </si>
  <si>
    <t>Hydra-Flex</t>
  </si>
  <si>
    <t>3258</t>
  </si>
  <si>
    <t>Watters International Realty</t>
  </si>
  <si>
    <t>3259</t>
  </si>
  <si>
    <t>MassPay</t>
  </si>
  <si>
    <t>3260</t>
  </si>
  <si>
    <t>Convergint Technologies</t>
  </si>
  <si>
    <t>3261</t>
  </si>
  <si>
    <t>Blue Door Consulting</t>
  </si>
  <si>
    <t>3262</t>
  </si>
  <si>
    <t>Mail Shark</t>
  </si>
  <si>
    <t>3263</t>
  </si>
  <si>
    <t>OptiFuse</t>
  </si>
  <si>
    <t>3264</t>
  </si>
  <si>
    <t>Poulton Associates</t>
  </si>
  <si>
    <t>3265</t>
  </si>
  <si>
    <t>Hire Dynamics</t>
  </si>
  <si>
    <t>3266</t>
  </si>
  <si>
    <t>iCIMS</t>
  </si>
  <si>
    <t>3267</t>
  </si>
  <si>
    <t>Dermacare Hampton Roads</t>
  </si>
  <si>
    <t>3268</t>
  </si>
  <si>
    <t>Aladtec</t>
  </si>
  <si>
    <t>3269</t>
  </si>
  <si>
    <t>Bodycentral Physical Therapy</t>
  </si>
  <si>
    <t>3270</t>
  </si>
  <si>
    <t>Victra</t>
  </si>
  <si>
    <t>3271</t>
  </si>
  <si>
    <t>Curriculum Associates</t>
  </si>
  <si>
    <t>3272</t>
  </si>
  <si>
    <t>Fingerpaint</t>
  </si>
  <si>
    <t>3273</t>
  </si>
  <si>
    <t>Prosek Partners</t>
  </si>
  <si>
    <t>3274</t>
  </si>
  <si>
    <t>Walker Sands</t>
  </si>
  <si>
    <t>3275</t>
  </si>
  <si>
    <t>Mabbett &amp; Associates</t>
  </si>
  <si>
    <t>3276</t>
  </si>
  <si>
    <t>Dom &amp; Tom</t>
  </si>
  <si>
    <t>3277</t>
  </si>
  <si>
    <t>Rock The House Entertainment</t>
  </si>
  <si>
    <t>3278</t>
  </si>
  <si>
    <t>Incapsulate</t>
  </si>
  <si>
    <t>3279</t>
  </si>
  <si>
    <t>Dominion Payroll</t>
  </si>
  <si>
    <t>3280</t>
  </si>
  <si>
    <t>The Hennessey Group</t>
  </si>
  <si>
    <t>3281</t>
  </si>
  <si>
    <t>Freeit Data Solutions</t>
  </si>
  <si>
    <t>3282</t>
  </si>
  <si>
    <t>W Services Group</t>
  </si>
  <si>
    <t>3283</t>
  </si>
  <si>
    <t>All Filters</t>
  </si>
  <si>
    <t>3284</t>
  </si>
  <si>
    <t>Intercontinental Capital Group</t>
  </si>
  <si>
    <t>3285</t>
  </si>
  <si>
    <t>Arctic Supplies</t>
  </si>
  <si>
    <t>3286</t>
  </si>
  <si>
    <t>Dfuse Technologies</t>
  </si>
  <si>
    <t>3287</t>
  </si>
  <si>
    <t>Culver Equipment</t>
  </si>
  <si>
    <t>3288</t>
  </si>
  <si>
    <t>HomeVestors of America</t>
  </si>
  <si>
    <t>3289</t>
  </si>
  <si>
    <t>Women Rocking Business</t>
  </si>
  <si>
    <t>3290</t>
  </si>
  <si>
    <t>Building Engines</t>
  </si>
  <si>
    <t>3291</t>
  </si>
  <si>
    <t>S2 IT Group</t>
  </si>
  <si>
    <t>3292</t>
  </si>
  <si>
    <t>ePelican.com</t>
  </si>
  <si>
    <t>3293</t>
  </si>
  <si>
    <t>Clean Energy Solutions</t>
  </si>
  <si>
    <t>3294</t>
  </si>
  <si>
    <t>Vennli</t>
  </si>
  <si>
    <t>3295</t>
  </si>
  <si>
    <t>Arcos</t>
  </si>
  <si>
    <t>3296</t>
  </si>
  <si>
    <t>Home Health Companions</t>
  </si>
  <si>
    <t>3297</t>
  </si>
  <si>
    <t>Catchpoint</t>
  </si>
  <si>
    <t>3298</t>
  </si>
  <si>
    <t>Greenphire</t>
  </si>
  <si>
    <t>3299</t>
  </si>
  <si>
    <t>Elite Core Enterprises</t>
  </si>
  <si>
    <t>3300</t>
  </si>
  <si>
    <t>PM Pediatrics</t>
  </si>
  <si>
    <t>3301</t>
  </si>
  <si>
    <t>Forever.com</t>
  </si>
  <si>
    <t>3302</t>
  </si>
  <si>
    <t>Mercury Mosaics</t>
  </si>
  <si>
    <t>3303</t>
  </si>
  <si>
    <t>Wellen Capital</t>
  </si>
  <si>
    <t>3304</t>
  </si>
  <si>
    <t>Archgate TMS Solutions</t>
  </si>
  <si>
    <t>3305</t>
  </si>
  <si>
    <t>INCATech</t>
  </si>
  <si>
    <t>3306</t>
  </si>
  <si>
    <t>Broadleaf Commerce</t>
  </si>
  <si>
    <t>3307</t>
  </si>
  <si>
    <t>Tevora</t>
  </si>
  <si>
    <t>3308</t>
  </si>
  <si>
    <t>Distritech</t>
  </si>
  <si>
    <t>3309</t>
  </si>
  <si>
    <t>Service Direct</t>
  </si>
  <si>
    <t>3310</t>
  </si>
  <si>
    <t>Network Optix</t>
  </si>
  <si>
    <t>3311</t>
  </si>
  <si>
    <t>Linden Construction of South Carolina</t>
  </si>
  <si>
    <t>3312</t>
  </si>
  <si>
    <t>Propio Language Services</t>
  </si>
  <si>
    <t>3313</t>
  </si>
  <si>
    <t>BioPoint</t>
  </si>
  <si>
    <t>3314</t>
  </si>
  <si>
    <t>SynergyLabs</t>
  </si>
  <si>
    <t>3315</t>
  </si>
  <si>
    <t>Aqueduct Technologies</t>
  </si>
  <si>
    <t>3316</t>
  </si>
  <si>
    <t>Heavy Equipment Colleges of America</t>
  </si>
  <si>
    <t>3317</t>
  </si>
  <si>
    <t>REI Automation</t>
  </si>
  <si>
    <t>3318</t>
  </si>
  <si>
    <t>MRO</t>
  </si>
  <si>
    <t>3319</t>
  </si>
  <si>
    <t>ASP-America's Swimming Pool Company</t>
  </si>
  <si>
    <t>3320</t>
  </si>
  <si>
    <t>Convert IT Marketing</t>
  </si>
  <si>
    <t>3321</t>
  </si>
  <si>
    <t>Asset Based Lending</t>
  </si>
  <si>
    <t>3322</t>
  </si>
  <si>
    <t>Mindoula</t>
  </si>
  <si>
    <t>3323</t>
  </si>
  <si>
    <t>AccuReg Software</t>
  </si>
  <si>
    <t>3324</t>
  </si>
  <si>
    <t>Rockland Insurance Agency</t>
  </si>
  <si>
    <t>3325</t>
  </si>
  <si>
    <t>CloudMyBiz</t>
  </si>
  <si>
    <t>3326</t>
  </si>
  <si>
    <t>Geocent</t>
  </si>
  <si>
    <t>3327</t>
  </si>
  <si>
    <t>Colarelli Construction</t>
  </si>
  <si>
    <t>3328</t>
  </si>
  <si>
    <t>TeamLogic IT</t>
  </si>
  <si>
    <t>3329</t>
  </si>
  <si>
    <t>RTM Engineering Consultants</t>
  </si>
  <si>
    <t>3330</t>
  </si>
  <si>
    <t>Sioux Falls Tower Specialists</t>
  </si>
  <si>
    <t>3331</t>
  </si>
  <si>
    <t>Resource Environmental Solutions</t>
  </si>
  <si>
    <t>3332</t>
  </si>
  <si>
    <t>Interactions</t>
  </si>
  <si>
    <t>3333</t>
  </si>
  <si>
    <t>Vizzia Technologies</t>
  </si>
  <si>
    <t>3334</t>
  </si>
  <si>
    <t>StickerGiant</t>
  </si>
  <si>
    <t>3335</t>
  </si>
  <si>
    <t>Printfection</t>
  </si>
  <si>
    <t>3336</t>
  </si>
  <si>
    <t>Appraisal Nation</t>
  </si>
  <si>
    <t>3337</t>
  </si>
  <si>
    <t>Fortis Riders</t>
  </si>
  <si>
    <t>3338</t>
  </si>
  <si>
    <t>Ampcus</t>
  </si>
  <si>
    <t>3339</t>
  </si>
  <si>
    <t>Shore Funding Solutions</t>
  </si>
  <si>
    <t>3340</t>
  </si>
  <si>
    <t>Stevens Trucking</t>
  </si>
  <si>
    <t>3341</t>
  </si>
  <si>
    <t>Business Promotion</t>
  </si>
  <si>
    <t>3342</t>
  </si>
  <si>
    <t>Viralstyle.com</t>
  </si>
  <si>
    <t>3343</t>
  </si>
  <si>
    <t>NEWPRO operating</t>
  </si>
  <si>
    <t>3344</t>
  </si>
  <si>
    <t>Brandito</t>
  </si>
  <si>
    <t>3345</t>
  </si>
  <si>
    <t>Mercer Advisors</t>
  </si>
  <si>
    <t>3346</t>
  </si>
  <si>
    <t>Museum Hack</t>
  </si>
  <si>
    <t>3347</t>
  </si>
  <si>
    <t>Protex Restaurant Services</t>
  </si>
  <si>
    <t>3348</t>
  </si>
  <si>
    <t>ASP Global</t>
  </si>
  <si>
    <t>3349</t>
  </si>
  <si>
    <t>Stewardship Investments</t>
  </si>
  <si>
    <t>3350</t>
  </si>
  <si>
    <t>Man-Machine Systems Assessment</t>
  </si>
  <si>
    <t>3351</t>
  </si>
  <si>
    <t>Coldwell Solar</t>
  </si>
  <si>
    <t>3352</t>
  </si>
  <si>
    <t>Kalles Group</t>
  </si>
  <si>
    <t>3353</t>
  </si>
  <si>
    <t>Workfront</t>
  </si>
  <si>
    <t>3354</t>
  </si>
  <si>
    <t>Formulife</t>
  </si>
  <si>
    <t>3355</t>
  </si>
  <si>
    <t>Chelsoft Solutions</t>
  </si>
  <si>
    <t>3356</t>
  </si>
  <si>
    <t>Dallas Unique Indoor Comfort</t>
  </si>
  <si>
    <t>3357</t>
  </si>
  <si>
    <t>Exterior Medics</t>
  </si>
  <si>
    <t>3358</t>
  </si>
  <si>
    <t>Concierge Cleaning Services</t>
  </si>
  <si>
    <t>3359</t>
  </si>
  <si>
    <t>Vital</t>
  </si>
  <si>
    <t>3360</t>
  </si>
  <si>
    <t>Java Connections</t>
  </si>
  <si>
    <t>3361</t>
  </si>
  <si>
    <t>Keller Logistics</t>
  </si>
  <si>
    <t>3362</t>
  </si>
  <si>
    <t>Frank Surveying Co</t>
  </si>
  <si>
    <t>3363</t>
  </si>
  <si>
    <t>Frontline Source Group</t>
  </si>
  <si>
    <t>3364</t>
  </si>
  <si>
    <t>IGNW</t>
  </si>
  <si>
    <t>3365</t>
  </si>
  <si>
    <t>Perfect Water Technologies</t>
  </si>
  <si>
    <t>3366</t>
  </si>
  <si>
    <t>CMT Services</t>
  </si>
  <si>
    <t>3367</t>
  </si>
  <si>
    <t>Cross Media Corporation</t>
  </si>
  <si>
    <t>3368</t>
  </si>
  <si>
    <t>Pure Adapt</t>
  </si>
  <si>
    <t>3369</t>
  </si>
  <si>
    <t>American Builders</t>
  </si>
  <si>
    <t>3370</t>
  </si>
  <si>
    <t>Dash2 Group</t>
  </si>
  <si>
    <t>3371</t>
  </si>
  <si>
    <t>PayNorthwest</t>
  </si>
  <si>
    <t>3372</t>
  </si>
  <si>
    <t>Epic Freight Solutions</t>
  </si>
  <si>
    <t>3373</t>
  </si>
  <si>
    <t>Limeade</t>
  </si>
  <si>
    <t>3374</t>
  </si>
  <si>
    <t>eROI</t>
  </si>
  <si>
    <t>3375</t>
  </si>
  <si>
    <t>Dreamstyle Remodeling</t>
  </si>
  <si>
    <t>3376</t>
  </si>
  <si>
    <t>EideCom</t>
  </si>
  <si>
    <t>3377</t>
  </si>
  <si>
    <t>Forshay</t>
  </si>
  <si>
    <t>3378</t>
  </si>
  <si>
    <t>Online Rewards</t>
  </si>
  <si>
    <t>3379</t>
  </si>
  <si>
    <t>Lexicon Solutions</t>
  </si>
  <si>
    <t>3380</t>
  </si>
  <si>
    <t>Differential</t>
  </si>
  <si>
    <t>3381</t>
  </si>
  <si>
    <t>The Abbi Agency</t>
  </si>
  <si>
    <t>3382</t>
  </si>
  <si>
    <t>Cerdant</t>
  </si>
  <si>
    <t>3383</t>
  </si>
  <si>
    <t>Sabre88</t>
  </si>
  <si>
    <t>3384</t>
  </si>
  <si>
    <t>Sawyer Manufacturing Company</t>
  </si>
  <si>
    <t>3385</t>
  </si>
  <si>
    <t>Maxton &amp; Company</t>
  </si>
  <si>
    <t>3386</t>
  </si>
  <si>
    <t>Bali Construction</t>
  </si>
  <si>
    <t>3387</t>
  </si>
  <si>
    <t>National Funding</t>
  </si>
  <si>
    <t>3388</t>
  </si>
  <si>
    <t>Performance Plus Carts</t>
  </si>
  <si>
    <t>3389</t>
  </si>
  <si>
    <t>RJR Partners</t>
  </si>
  <si>
    <t>3390</t>
  </si>
  <si>
    <t>Apollo Interactive</t>
  </si>
  <si>
    <t>3391</t>
  </si>
  <si>
    <t>AMG &amp; Associates</t>
  </si>
  <si>
    <t>Intivix</t>
  </si>
  <si>
    <t>3392</t>
  </si>
  <si>
    <t>SDB Steel &amp; Pipe</t>
  </si>
  <si>
    <t>3393</t>
  </si>
  <si>
    <t>Pedego Electric Bikes</t>
  </si>
  <si>
    <t>3394</t>
  </si>
  <si>
    <t>Infiniti HR</t>
  </si>
  <si>
    <t>3395</t>
  </si>
  <si>
    <t>Fora Financial</t>
  </si>
  <si>
    <t>3396</t>
  </si>
  <si>
    <t>Swift HR Solutions</t>
  </si>
  <si>
    <t>3397</t>
  </si>
  <si>
    <t>Tenaglia &amp; Hunt</t>
  </si>
  <si>
    <t>3398</t>
  </si>
  <si>
    <t>MBW Enterprises</t>
  </si>
  <si>
    <t>3399</t>
  </si>
  <si>
    <t>Mosaic Consulting Group</t>
  </si>
  <si>
    <t>3400</t>
  </si>
  <si>
    <t>Young Automotive Group</t>
  </si>
  <si>
    <t>3401</t>
  </si>
  <si>
    <t>SimIS</t>
  </si>
  <si>
    <t>3402</t>
  </si>
  <si>
    <t>iTexico</t>
  </si>
  <si>
    <t>3403</t>
  </si>
  <si>
    <t>Hernon Manufacturing</t>
  </si>
  <si>
    <t>3404</t>
  </si>
  <si>
    <t>Valiant Solutions</t>
  </si>
  <si>
    <t>3405</t>
  </si>
  <si>
    <t>Jamaica Cottage Shop</t>
  </si>
  <si>
    <t>3406</t>
  </si>
  <si>
    <t>Univista Insurance</t>
  </si>
  <si>
    <t>3407</t>
  </si>
  <si>
    <t>Oxford Builders</t>
  </si>
  <si>
    <t>3408</t>
  </si>
  <si>
    <t>Dry Pro Foundation and Crawlspace Specialists</t>
  </si>
  <si>
    <t>3409</t>
  </si>
  <si>
    <t>CNF Technologies Corporation</t>
  </si>
  <si>
    <t>3410</t>
  </si>
  <si>
    <t>Logenix International</t>
  </si>
  <si>
    <t>3411</t>
  </si>
  <si>
    <t>AmeriChem Systems</t>
  </si>
  <si>
    <t>3412</t>
  </si>
  <si>
    <t>Aesthetic Products</t>
  </si>
  <si>
    <t>3413</t>
  </si>
  <si>
    <t>Longford &amp; Company</t>
  </si>
  <si>
    <t>3414</t>
  </si>
  <si>
    <t>Impact Networking</t>
  </si>
  <si>
    <t>3415</t>
  </si>
  <si>
    <t>Design Management Group</t>
  </si>
  <si>
    <t>3416</t>
  </si>
  <si>
    <t>DreamGear</t>
  </si>
  <si>
    <t>3417</t>
  </si>
  <si>
    <t>Branded Entertainment Network</t>
  </si>
  <si>
    <t>3418</t>
  </si>
  <si>
    <t>SoftNice</t>
  </si>
  <si>
    <t>3419</t>
  </si>
  <si>
    <t>Netwrix</t>
  </si>
  <si>
    <t>3420</t>
  </si>
  <si>
    <t>Comfort Now</t>
  </si>
  <si>
    <t>3421</t>
  </si>
  <si>
    <t>NetSearch Digital Marketing</t>
  </si>
  <si>
    <t>3422</t>
  </si>
  <si>
    <t>ClinLab Staffing</t>
  </si>
  <si>
    <t>3423</t>
  </si>
  <si>
    <t>Information Technology Professionals</t>
  </si>
  <si>
    <t>3424</t>
  </si>
  <si>
    <t>Twisted X</t>
  </si>
  <si>
    <t>3425</t>
  </si>
  <si>
    <t>Southeastern Equipment &amp; Supply</t>
  </si>
  <si>
    <t>3426</t>
  </si>
  <si>
    <t>ISG</t>
  </si>
  <si>
    <t>3427</t>
  </si>
  <si>
    <t>Neighborly</t>
  </si>
  <si>
    <t>3428</t>
  </si>
  <si>
    <t>ANOVA Marine Insurance</t>
  </si>
  <si>
    <t>3429</t>
  </si>
  <si>
    <t>Engineered Solutions of GA</t>
  </si>
  <si>
    <t>3430</t>
  </si>
  <si>
    <t>Exscape Designs</t>
  </si>
  <si>
    <t>3431</t>
  </si>
  <si>
    <t>Growth Academy</t>
  </si>
  <si>
    <t>3432</t>
  </si>
  <si>
    <t>That Agency</t>
  </si>
  <si>
    <t>3433</t>
  </si>
  <si>
    <t>HomeSmart International</t>
  </si>
  <si>
    <t>3434</t>
  </si>
  <si>
    <t>Digital Edge</t>
  </si>
  <si>
    <t>3435</t>
  </si>
  <si>
    <t>Hunter Business Law</t>
  </si>
  <si>
    <t>3436</t>
  </si>
  <si>
    <t>Mosquito Squad</t>
  </si>
  <si>
    <t>3437</t>
  </si>
  <si>
    <t>BizIQ</t>
  </si>
  <si>
    <t>3438</t>
  </si>
  <si>
    <t>Environmental Heating and Air Solutions</t>
  </si>
  <si>
    <t>3439</t>
  </si>
  <si>
    <t>Mobile Solutions</t>
  </si>
  <si>
    <t>3440</t>
  </si>
  <si>
    <t>Alo House Recovery Centers</t>
  </si>
  <si>
    <t>3441</t>
  </si>
  <si>
    <t>CadmiumCD</t>
  </si>
  <si>
    <t>3442</t>
  </si>
  <si>
    <t>DataShield</t>
  </si>
  <si>
    <t>3443</t>
  </si>
  <si>
    <t>Elite Biomedical Solutions</t>
  </si>
  <si>
    <t>3444</t>
  </si>
  <si>
    <t>Weifield Group Contracting</t>
  </si>
  <si>
    <t>3445</t>
  </si>
  <si>
    <t>Route Transportation &amp; Logistics</t>
  </si>
  <si>
    <t>3446</t>
  </si>
  <si>
    <t>RedCloud Consulting</t>
  </si>
  <si>
    <t>3447</t>
  </si>
  <si>
    <t>FieldEdge</t>
  </si>
  <si>
    <t>3448</t>
  </si>
  <si>
    <t>Spark Orthodontics</t>
  </si>
  <si>
    <t>3449</t>
  </si>
  <si>
    <t>Five Lakes Coffee</t>
  </si>
  <si>
    <t>3450</t>
  </si>
  <si>
    <t>Carson Group</t>
  </si>
  <si>
    <t>3451</t>
  </si>
  <si>
    <t>Millennium (Lake Geneva, WI)</t>
  </si>
  <si>
    <t>3452</t>
  </si>
  <si>
    <t>Zambezi</t>
  </si>
  <si>
    <t>3453</t>
  </si>
  <si>
    <t>innoVia Events</t>
  </si>
  <si>
    <t>3454</t>
  </si>
  <si>
    <t>Ellevate Network</t>
  </si>
  <si>
    <t>3455</t>
  </si>
  <si>
    <t>RapidVisa</t>
  </si>
  <si>
    <t>3456</t>
  </si>
  <si>
    <t>Bilt Rite Scaffold</t>
  </si>
  <si>
    <t>3457</t>
  </si>
  <si>
    <t>iluma Agency</t>
  </si>
  <si>
    <t>3458</t>
  </si>
  <si>
    <t>Hungerford Technologies</t>
  </si>
  <si>
    <t>3459</t>
  </si>
  <si>
    <t>BigTime Software</t>
  </si>
  <si>
    <t>3460</t>
  </si>
  <si>
    <t>Home Health Solutions</t>
  </si>
  <si>
    <t>3461</t>
  </si>
  <si>
    <t>Threadbird</t>
  </si>
  <si>
    <t>3462</t>
  </si>
  <si>
    <t>Transparent BPO</t>
  </si>
  <si>
    <t>3463</t>
  </si>
  <si>
    <t>ONeils</t>
  </si>
  <si>
    <t>3464</t>
  </si>
  <si>
    <t>Nationwide Real Estate Executives</t>
  </si>
  <si>
    <t>3465</t>
  </si>
  <si>
    <t>Goken America</t>
  </si>
  <si>
    <t>3466</t>
  </si>
  <si>
    <t>LBA Ware</t>
  </si>
  <si>
    <t>3467</t>
  </si>
  <si>
    <t>Lifestyle Publications</t>
  </si>
  <si>
    <t>3468</t>
  </si>
  <si>
    <t>Early Growth Financial Services</t>
  </si>
  <si>
    <t>3469</t>
  </si>
  <si>
    <t>R Panitch Enterprises</t>
  </si>
  <si>
    <t>3470</t>
  </si>
  <si>
    <t>Three Day Rule</t>
  </si>
  <si>
    <t>3471</t>
  </si>
  <si>
    <t>SureCall</t>
  </si>
  <si>
    <t>3472</t>
  </si>
  <si>
    <t>Workhorse Marketing</t>
  </si>
  <si>
    <t>3473</t>
  </si>
  <si>
    <t>Rev.io</t>
  </si>
  <si>
    <t>3474</t>
  </si>
  <si>
    <t>Profit Advisory Group</t>
  </si>
  <si>
    <t>3475</t>
  </si>
  <si>
    <t>Viva Railings</t>
  </si>
  <si>
    <t>3476</t>
  </si>
  <si>
    <t>Vision33</t>
  </si>
  <si>
    <t>3477</t>
  </si>
  <si>
    <t>Hargrove Engineers + Constructors</t>
  </si>
  <si>
    <t>3478</t>
  </si>
  <si>
    <t>Very</t>
  </si>
  <si>
    <t>3479</t>
  </si>
  <si>
    <t>Kevin.Murphy</t>
  </si>
  <si>
    <t>3480</t>
  </si>
  <si>
    <t>WebMechanix</t>
  </si>
  <si>
    <t>3481</t>
  </si>
  <si>
    <t>Risk International Services</t>
  </si>
  <si>
    <t>3482</t>
  </si>
  <si>
    <t>ThinkShout</t>
  </si>
  <si>
    <t>3483</t>
  </si>
  <si>
    <t>AArete</t>
  </si>
  <si>
    <t>3484</t>
  </si>
  <si>
    <t>Aeroflow Healthcare</t>
  </si>
  <si>
    <t>3485</t>
  </si>
  <si>
    <t>Softdocs</t>
  </si>
  <si>
    <t>3486</t>
  </si>
  <si>
    <t>Liberty POST</t>
  </si>
  <si>
    <t>3487</t>
  </si>
  <si>
    <t>ULTIMOVALUE.COM</t>
  </si>
  <si>
    <t>3488</t>
  </si>
  <si>
    <t>Foundant Technologies</t>
  </si>
  <si>
    <t>3489</t>
  </si>
  <si>
    <t>NorCal Ambulance</t>
  </si>
  <si>
    <t>3490</t>
  </si>
  <si>
    <t>1Point21 Interactive</t>
  </si>
  <si>
    <t>3491</t>
  </si>
  <si>
    <t>Sportique</t>
  </si>
  <si>
    <t>3492</t>
  </si>
  <si>
    <t>Winslow Technology Group</t>
  </si>
  <si>
    <t>3493</t>
  </si>
  <si>
    <t>Persons Services Corp</t>
  </si>
  <si>
    <t>3494</t>
  </si>
  <si>
    <t>DB Services</t>
  </si>
  <si>
    <t>3495</t>
  </si>
  <si>
    <t>Wonita International</t>
  </si>
  <si>
    <t>3496</t>
  </si>
  <si>
    <t>PURE Group of Insurance Companies</t>
  </si>
  <si>
    <t>3497</t>
  </si>
  <si>
    <t>Jakt</t>
  </si>
  <si>
    <t>3498</t>
  </si>
  <si>
    <t>Relationship One</t>
  </si>
  <si>
    <t>3499</t>
  </si>
  <si>
    <t>Plasticard Locktech International</t>
  </si>
  <si>
    <t>3500</t>
  </si>
  <si>
    <t>Koch</t>
  </si>
  <si>
    <t>3501</t>
  </si>
  <si>
    <t>LoadDelivered</t>
  </si>
  <si>
    <t>3502</t>
  </si>
  <si>
    <t>PrepNow</t>
  </si>
  <si>
    <t>3503</t>
  </si>
  <si>
    <t>Orange Aluminum</t>
  </si>
  <si>
    <t>3504</t>
  </si>
  <si>
    <t>919 Marketing</t>
  </si>
  <si>
    <t>3505</t>
  </si>
  <si>
    <t>Clean Fuels National</t>
  </si>
  <si>
    <t>3506</t>
  </si>
  <si>
    <t>Supply Solutions</t>
  </si>
  <si>
    <t>3507</t>
  </si>
  <si>
    <t>3Sixty Integrated</t>
  </si>
  <si>
    <t>3508</t>
  </si>
  <si>
    <t>Moda Light</t>
  </si>
  <si>
    <t>3509</t>
  </si>
  <si>
    <t>WheelsOnsite USA</t>
  </si>
  <si>
    <t>3510</t>
  </si>
  <si>
    <t>G&amp;N Insurance</t>
  </si>
  <si>
    <t>3511</t>
  </si>
  <si>
    <t>Walton Contractors</t>
  </si>
  <si>
    <t>3512</t>
  </si>
  <si>
    <t>Sellmark</t>
  </si>
  <si>
    <t>3513</t>
  </si>
  <si>
    <t>Fulcrum Digital</t>
  </si>
  <si>
    <t>3514</t>
  </si>
  <si>
    <t>Eagle Business Credit</t>
  </si>
  <si>
    <t>3515</t>
  </si>
  <si>
    <t>FirstLight HomeCare Franchising</t>
  </si>
  <si>
    <t>3516</t>
  </si>
  <si>
    <t>Stryker Construction</t>
  </si>
  <si>
    <t>3517</t>
  </si>
  <si>
    <t>The Quintin Group @ Keller Williams</t>
  </si>
  <si>
    <t>3518</t>
  </si>
  <si>
    <t>Zensa</t>
  </si>
  <si>
    <t>3519</t>
  </si>
  <si>
    <t>Contract Exteriors</t>
  </si>
  <si>
    <t>3520</t>
  </si>
  <si>
    <t>Hayden Outdoors</t>
  </si>
  <si>
    <t>3521</t>
  </si>
  <si>
    <t>Reliable Staffing Services</t>
  </si>
  <si>
    <t>3522</t>
  </si>
  <si>
    <t>Elite Auctions</t>
  </si>
  <si>
    <t>3523</t>
  </si>
  <si>
    <t>Rugo Machine Shop Services</t>
  </si>
  <si>
    <t>3524</t>
  </si>
  <si>
    <t>Metronome</t>
  </si>
  <si>
    <t>3525</t>
  </si>
  <si>
    <t>YapStone</t>
  </si>
  <si>
    <t>3526</t>
  </si>
  <si>
    <t>Swampfox Technologies</t>
  </si>
  <si>
    <t>3527</t>
  </si>
  <si>
    <t>Fire Equipment</t>
  </si>
  <si>
    <t>3528</t>
  </si>
  <si>
    <t>Blink UX</t>
  </si>
  <si>
    <t>3529</t>
  </si>
  <si>
    <t>CTC Events and Productions</t>
  </si>
  <si>
    <t>3530</t>
  </si>
  <si>
    <t>Ice Now</t>
  </si>
  <si>
    <t>3531</t>
  </si>
  <si>
    <t>New Law Business Model</t>
  </si>
  <si>
    <t>3532</t>
  </si>
  <si>
    <t>49er Communications</t>
  </si>
  <si>
    <t>3533</t>
  </si>
  <si>
    <t>Cache Private Capital</t>
  </si>
  <si>
    <t>3534</t>
  </si>
  <si>
    <t>ODW Logistics &amp; Transportation Services</t>
  </si>
  <si>
    <t>3535</t>
  </si>
  <si>
    <t>Web River Group</t>
  </si>
  <si>
    <t>3536</t>
  </si>
  <si>
    <t>Steele &amp; Freeman Construction Managers</t>
  </si>
  <si>
    <t>3537</t>
  </si>
  <si>
    <t>Momentum Factor</t>
  </si>
  <si>
    <t>3538</t>
  </si>
  <si>
    <t>Hoyos Consulting</t>
  </si>
  <si>
    <t>3539</t>
  </si>
  <si>
    <t>Charles IT</t>
  </si>
  <si>
    <t>3540</t>
  </si>
  <si>
    <t>Start to End Networks</t>
  </si>
  <si>
    <t>3541</t>
  </si>
  <si>
    <t>Health &amp; Rehab Solutions</t>
  </si>
  <si>
    <t>3542</t>
  </si>
  <si>
    <t>The BOSS - The Builders Outlet Super Store</t>
  </si>
  <si>
    <t>3543</t>
  </si>
  <si>
    <t>Camp Run-a-Mutt</t>
  </si>
  <si>
    <t>3544</t>
  </si>
  <si>
    <t>Sequoia Financial Group</t>
  </si>
  <si>
    <t>3545</t>
  </si>
  <si>
    <t>Boss Logistics</t>
  </si>
  <si>
    <t>3546</t>
  </si>
  <si>
    <t>Karins and Associates</t>
  </si>
  <si>
    <t>3547</t>
  </si>
  <si>
    <t>Nonprofit HR Solutions</t>
  </si>
  <si>
    <t>3548</t>
  </si>
  <si>
    <t>Triple Crown Construction</t>
  </si>
  <si>
    <t>3549</t>
  </si>
  <si>
    <t>Sea Bags</t>
  </si>
  <si>
    <t>3550</t>
  </si>
  <si>
    <t>JCAL Holdings</t>
  </si>
  <si>
    <t>3551</t>
  </si>
  <si>
    <t>We Insure</t>
  </si>
  <si>
    <t>3552</t>
  </si>
  <si>
    <t>EcoMark Solar</t>
  </si>
  <si>
    <t>3553</t>
  </si>
  <si>
    <t>Tellerex</t>
  </si>
  <si>
    <t>3554</t>
  </si>
  <si>
    <t>Greenwich Medical Spa</t>
  </si>
  <si>
    <t>3555</t>
  </si>
  <si>
    <t>Walsingham Group</t>
  </si>
  <si>
    <t>3556</t>
  </si>
  <si>
    <t>Solution Source</t>
  </si>
  <si>
    <t>3557</t>
  </si>
  <si>
    <t>FirstMile</t>
  </si>
  <si>
    <t>3558</t>
  </si>
  <si>
    <t>Crescent Homes</t>
  </si>
  <si>
    <t>3559</t>
  </si>
  <si>
    <t>The Branding Agency Powered by Proforma</t>
  </si>
  <si>
    <t>3560</t>
  </si>
  <si>
    <t>Insight2Profit</t>
  </si>
  <si>
    <t>3561</t>
  </si>
  <si>
    <t>Kyber Security</t>
  </si>
  <si>
    <t>3562</t>
  </si>
  <si>
    <t>Bases Loaded</t>
  </si>
  <si>
    <t>3563</t>
  </si>
  <si>
    <t>Occu-Tec</t>
  </si>
  <si>
    <t>3564</t>
  </si>
  <si>
    <t>Enhanced Veterans Solutions</t>
  </si>
  <si>
    <t>3565</t>
  </si>
  <si>
    <t>CheckAlt</t>
  </si>
  <si>
    <t>3566</t>
  </si>
  <si>
    <t>Entara</t>
  </si>
  <si>
    <t>3567</t>
  </si>
  <si>
    <t>Hernandez Construction</t>
  </si>
  <si>
    <t>3568</t>
  </si>
  <si>
    <t>Optima Tax Relief</t>
  </si>
  <si>
    <t>3569</t>
  </si>
  <si>
    <t>Allworld Project Management</t>
  </si>
  <si>
    <t>3570</t>
  </si>
  <si>
    <t>Coranet</t>
  </si>
  <si>
    <t>3571</t>
  </si>
  <si>
    <t>J.S. Goray</t>
  </si>
  <si>
    <t>3572</t>
  </si>
  <si>
    <t>Axis Global Enterprises</t>
  </si>
  <si>
    <t>3573</t>
  </si>
  <si>
    <t>Louisville Geek</t>
  </si>
  <si>
    <t>3574</t>
  </si>
  <si>
    <t>Merrimak Capital Company</t>
  </si>
  <si>
    <t>3575</t>
  </si>
  <si>
    <t>Occams Advisory</t>
  </si>
  <si>
    <t>3576</t>
  </si>
  <si>
    <t>Dynamic Solutions Worldwide</t>
  </si>
  <si>
    <t>3577</t>
  </si>
  <si>
    <t>Swag Promo</t>
  </si>
  <si>
    <t>3578</t>
  </si>
  <si>
    <t>Ubiquity Global Services</t>
  </si>
  <si>
    <t>3579</t>
  </si>
  <si>
    <t>Launch Leads</t>
  </si>
  <si>
    <t>3580</t>
  </si>
  <si>
    <t>Skysis</t>
  </si>
  <si>
    <t>3581</t>
  </si>
  <si>
    <t>Polymer Solutions International</t>
  </si>
  <si>
    <t>3582</t>
  </si>
  <si>
    <t>Talroo</t>
  </si>
  <si>
    <t>3583</t>
  </si>
  <si>
    <t>Homestar Financial</t>
  </si>
  <si>
    <t>3584</t>
  </si>
  <si>
    <t>Fuel Medical Group</t>
  </si>
  <si>
    <t>3585</t>
  </si>
  <si>
    <t>McKee Homes</t>
  </si>
  <si>
    <t>3586</t>
  </si>
  <si>
    <t>Tamarack Consulting</t>
  </si>
  <si>
    <t>3587</t>
  </si>
  <si>
    <t>ProcureAbility</t>
  </si>
  <si>
    <t>3588</t>
  </si>
  <si>
    <t>Exegistics</t>
  </si>
  <si>
    <t>3589</t>
  </si>
  <si>
    <t>Trabus Technologies</t>
  </si>
  <si>
    <t>3590</t>
  </si>
  <si>
    <t>Thorburn Associates</t>
  </si>
  <si>
    <t>3591</t>
  </si>
  <si>
    <t>503 Motoring</t>
  </si>
  <si>
    <t>3592</t>
  </si>
  <si>
    <t>AMR Care Group</t>
  </si>
  <si>
    <t>3593</t>
  </si>
  <si>
    <t>TopRight</t>
  </si>
  <si>
    <t>3594</t>
  </si>
  <si>
    <t>CART MART</t>
  </si>
  <si>
    <t>3595</t>
  </si>
  <si>
    <t>TekStream Solutions</t>
  </si>
  <si>
    <t>3596</t>
  </si>
  <si>
    <t>Transportation Insight</t>
  </si>
  <si>
    <t>3597</t>
  </si>
  <si>
    <t>GRAYBOX</t>
  </si>
  <si>
    <t>3598</t>
  </si>
  <si>
    <t>Vector Media Group</t>
  </si>
  <si>
    <t>3599</t>
  </si>
  <si>
    <t>Applied Design</t>
  </si>
  <si>
    <t>3600</t>
  </si>
  <si>
    <t>Edge Financial</t>
  </si>
  <si>
    <t>3601</t>
  </si>
  <si>
    <t>ABIP CPAs</t>
  </si>
  <si>
    <t>3602</t>
  </si>
  <si>
    <t>3603</t>
  </si>
  <si>
    <t>Sweb Development</t>
  </si>
  <si>
    <t>3604</t>
  </si>
  <si>
    <t>Fidelity PartnersMedical Staffing</t>
  </si>
  <si>
    <t>3605</t>
  </si>
  <si>
    <t>Superior Logistics Solutions</t>
  </si>
  <si>
    <t>3606</t>
  </si>
  <si>
    <t>Pacific Companies</t>
  </si>
  <si>
    <t>3607</t>
  </si>
  <si>
    <t>Archimedia Solutions Group</t>
  </si>
  <si>
    <t>3608</t>
  </si>
  <si>
    <t>CarData</t>
  </si>
  <si>
    <t>3609</t>
  </si>
  <si>
    <t>Indagare Travel</t>
  </si>
  <si>
    <t>3610</t>
  </si>
  <si>
    <t>Group Benefit Services</t>
  </si>
  <si>
    <t>3611</t>
  </si>
  <si>
    <t>Ishir</t>
  </si>
  <si>
    <t>3612</t>
  </si>
  <si>
    <t>Guardian Services</t>
  </si>
  <si>
    <t>3613</t>
  </si>
  <si>
    <t>FNB Merchants</t>
  </si>
  <si>
    <t>3614</t>
  </si>
  <si>
    <t>Amber Green</t>
  </si>
  <si>
    <t>3615</t>
  </si>
  <si>
    <t>Worksighted</t>
  </si>
  <si>
    <t>3616</t>
  </si>
  <si>
    <t>Jake's Heating and Air Conditioning</t>
  </si>
  <si>
    <t>3617</t>
  </si>
  <si>
    <t>Expansion Capital Group</t>
  </si>
  <si>
    <t>3618</t>
  </si>
  <si>
    <t>Zefr</t>
  </si>
  <si>
    <t>3619</t>
  </si>
  <si>
    <t>United Fray</t>
  </si>
  <si>
    <t>3620</t>
  </si>
  <si>
    <t>DeVine Consulting</t>
  </si>
  <si>
    <t>3621</t>
  </si>
  <si>
    <t>Concierge Auctions</t>
  </si>
  <si>
    <t>3622</t>
  </si>
  <si>
    <t>Operative IQ / EMS Technology Solutions</t>
  </si>
  <si>
    <t>3623</t>
  </si>
  <si>
    <t>PT Solutions Physical Therapy</t>
  </si>
  <si>
    <t>3624</t>
  </si>
  <si>
    <t>Town Square Mortgage</t>
  </si>
  <si>
    <t>3625</t>
  </si>
  <si>
    <t>KwikBoost</t>
  </si>
  <si>
    <t>3626</t>
  </si>
  <si>
    <t>Orion Entrance Control</t>
  </si>
  <si>
    <t>3627</t>
  </si>
  <si>
    <t>A &amp; A Plumbing</t>
  </si>
  <si>
    <t>3628</t>
  </si>
  <si>
    <t>Gorilla Logic</t>
  </si>
  <si>
    <t>3629</t>
  </si>
  <si>
    <t>ARIIX</t>
  </si>
  <si>
    <t>3630</t>
  </si>
  <si>
    <t>RevenueWell</t>
  </si>
  <si>
    <t>3631</t>
  </si>
  <si>
    <t>AgileEngine</t>
  </si>
  <si>
    <t>3632</t>
  </si>
  <si>
    <t>MedicOne Medical Response</t>
  </si>
  <si>
    <t>3633</t>
  </si>
  <si>
    <t>CGS Business Solutions</t>
  </si>
  <si>
    <t>3634</t>
  </si>
  <si>
    <t>FederalConference.com</t>
  </si>
  <si>
    <t>3635</t>
  </si>
  <si>
    <t>Portables</t>
  </si>
  <si>
    <t>3636</t>
  </si>
  <si>
    <t>Lady M Confections Co.</t>
  </si>
  <si>
    <t>3637</t>
  </si>
  <si>
    <t>Avionte</t>
  </si>
  <si>
    <t>3638</t>
  </si>
  <si>
    <t>MachineLogic</t>
  </si>
  <si>
    <t>3639</t>
  </si>
  <si>
    <t>Tropical Smoothie Cafe</t>
  </si>
  <si>
    <t>3640</t>
  </si>
  <si>
    <t>Iuvo Technologies</t>
  </si>
  <si>
    <t>3641</t>
  </si>
  <si>
    <t>Southwest Industrial Electric</t>
  </si>
  <si>
    <t>3642</t>
  </si>
  <si>
    <t>Saxbys</t>
  </si>
  <si>
    <t>3643</t>
  </si>
  <si>
    <t>FireSprint</t>
  </si>
  <si>
    <t>3644</t>
  </si>
  <si>
    <t>OSM Worldwide</t>
  </si>
  <si>
    <t>3645</t>
  </si>
  <si>
    <t>Trusted Nurse Staffing</t>
  </si>
  <si>
    <t>3646</t>
  </si>
  <si>
    <t>Paragon Architecture</t>
  </si>
  <si>
    <t>3647</t>
  </si>
  <si>
    <t>PMsquare</t>
  </si>
  <si>
    <t>3648</t>
  </si>
  <si>
    <t>ARC Contracting</t>
  </si>
  <si>
    <t>3649</t>
  </si>
  <si>
    <t>Client Savvy</t>
  </si>
  <si>
    <t>3650</t>
  </si>
  <si>
    <t>Environmental Works</t>
  </si>
  <si>
    <t>3651</t>
  </si>
  <si>
    <t>1 Source Business Solutions</t>
  </si>
  <si>
    <t>3652</t>
  </si>
  <si>
    <t>Certent</t>
  </si>
  <si>
    <t>3653</t>
  </si>
  <si>
    <t>Movoto</t>
  </si>
  <si>
    <t>3654</t>
  </si>
  <si>
    <t>New Tech Solutions</t>
  </si>
  <si>
    <t>3655</t>
  </si>
  <si>
    <t>Netgate</t>
  </si>
  <si>
    <t>3656</t>
  </si>
  <si>
    <t>CMBA Architects</t>
  </si>
  <si>
    <t>3657</t>
  </si>
  <si>
    <t>TSI</t>
  </si>
  <si>
    <t>3658</t>
  </si>
  <si>
    <t>Apex Flooring</t>
  </si>
  <si>
    <t>3659</t>
  </si>
  <si>
    <t>HR Collaborative</t>
  </si>
  <si>
    <t>3660</t>
  </si>
  <si>
    <t>Advanced Business Solutions</t>
  </si>
  <si>
    <t>3661</t>
  </si>
  <si>
    <t>TACG</t>
  </si>
  <si>
    <t>3662</t>
  </si>
  <si>
    <t>General Materials</t>
  </si>
  <si>
    <t>3663</t>
  </si>
  <si>
    <t>Kingsgate Logistics</t>
  </si>
  <si>
    <t>3664</t>
  </si>
  <si>
    <t>Mosaic451</t>
  </si>
  <si>
    <t>3665</t>
  </si>
  <si>
    <t>Procare Ambulance of Maryland</t>
  </si>
  <si>
    <t>3666</t>
  </si>
  <si>
    <t>Vision Wireless</t>
  </si>
  <si>
    <t>3667</t>
  </si>
  <si>
    <t>Side By Side Stuff</t>
  </si>
  <si>
    <t>3668</t>
  </si>
  <si>
    <t>GDS Link</t>
  </si>
  <si>
    <t>3669</t>
  </si>
  <si>
    <t>Alta Vista Technology</t>
  </si>
  <si>
    <t>3670</t>
  </si>
  <si>
    <t>Coretelligent</t>
  </si>
  <si>
    <t>3671</t>
  </si>
  <si>
    <t>Peepers by PeeperSpecs</t>
  </si>
  <si>
    <t>3672</t>
  </si>
  <si>
    <t>Tempaper</t>
  </si>
  <si>
    <t>3673</t>
  </si>
  <si>
    <t>EP Wealth Advisors</t>
  </si>
  <si>
    <t>3674</t>
  </si>
  <si>
    <t>Corner Alliance</t>
  </si>
  <si>
    <t>3675</t>
  </si>
  <si>
    <t>Coolhaus Ice Cream</t>
  </si>
  <si>
    <t>3676</t>
  </si>
  <si>
    <t>Qnary</t>
  </si>
  <si>
    <t>3677</t>
  </si>
  <si>
    <t>Divisions Maintenance Group</t>
  </si>
  <si>
    <t>3678</t>
  </si>
  <si>
    <t>YouDecide</t>
  </si>
  <si>
    <t>3679</t>
  </si>
  <si>
    <t>Utopian Luxury Vacation Homes</t>
  </si>
  <si>
    <t>3680</t>
  </si>
  <si>
    <t>Mainstream Electric, Heating, Cooling &amp; Plumbing</t>
  </si>
  <si>
    <t>3681</t>
  </si>
  <si>
    <t>Odyssey Logistics &amp; Technology</t>
  </si>
  <si>
    <t>3682</t>
  </si>
  <si>
    <t>Effective Spend</t>
  </si>
  <si>
    <t>3683</t>
  </si>
  <si>
    <t>Shepherd Insurance</t>
  </si>
  <si>
    <t>3684</t>
  </si>
  <si>
    <t>"I and Love and You"</t>
  </si>
  <si>
    <t>3685</t>
  </si>
  <si>
    <t>FastSpring</t>
  </si>
  <si>
    <t>3686</t>
  </si>
  <si>
    <t>Clearinghouse Community Development Financial Institution</t>
  </si>
  <si>
    <t>3687</t>
  </si>
  <si>
    <t>Sherlock Services</t>
  </si>
  <si>
    <t>3688</t>
  </si>
  <si>
    <t>BCDVideo</t>
  </si>
  <si>
    <t>3689</t>
  </si>
  <si>
    <t>Atria Consulting</t>
  </si>
  <si>
    <t>3690</t>
  </si>
  <si>
    <t>OPTiMO Information Technology</t>
  </si>
  <si>
    <t>3691</t>
  </si>
  <si>
    <t>Trademark Hardware</t>
  </si>
  <si>
    <t>3692</t>
  </si>
  <si>
    <t>Confirmation.com</t>
  </si>
  <si>
    <t>3693</t>
  </si>
  <si>
    <t>Kavayah Solutions</t>
  </si>
  <si>
    <t>3694</t>
  </si>
  <si>
    <t>Group Management Services</t>
  </si>
  <si>
    <t>3695</t>
  </si>
  <si>
    <t>Chef's Depot</t>
  </si>
  <si>
    <t>3696</t>
  </si>
  <si>
    <t>TaiLopez.com</t>
  </si>
  <si>
    <t>3697</t>
  </si>
  <si>
    <t>90octane</t>
  </si>
  <si>
    <t>3698</t>
  </si>
  <si>
    <t>Krilogy</t>
  </si>
  <si>
    <t>3699</t>
  </si>
  <si>
    <t>4Ever Young Anti Aging Solutions</t>
  </si>
  <si>
    <t>3700</t>
  </si>
  <si>
    <t>Precise Systems</t>
  </si>
  <si>
    <t>3701</t>
  </si>
  <si>
    <t>Gear</t>
  </si>
  <si>
    <t>3702</t>
  </si>
  <si>
    <t>The DeWinter Group</t>
  </si>
  <si>
    <t>3703</t>
  </si>
  <si>
    <t>Coast to Coast Pools</t>
  </si>
  <si>
    <t>3704</t>
  </si>
  <si>
    <t>Capture Higher Ed</t>
  </si>
  <si>
    <t>3705</t>
  </si>
  <si>
    <t>Blue Coast Savings Consultants</t>
  </si>
  <si>
    <t>3706</t>
  </si>
  <si>
    <t>Stratix Systems</t>
  </si>
  <si>
    <t>3707</t>
  </si>
  <si>
    <t>37th Parallel Properties</t>
  </si>
  <si>
    <t>3708</t>
  </si>
  <si>
    <t>Enterprise Solutions</t>
  </si>
  <si>
    <t>3709</t>
  </si>
  <si>
    <t>Fortress Building Products</t>
  </si>
  <si>
    <t>3710</t>
  </si>
  <si>
    <t>Pivot International</t>
  </si>
  <si>
    <t>3711</t>
  </si>
  <si>
    <t>Bhgre Homecity</t>
  </si>
  <si>
    <t>3712</t>
  </si>
  <si>
    <t>Wodify Technologies</t>
  </si>
  <si>
    <t>3713</t>
  </si>
  <si>
    <t>Supply Chain Wizard</t>
  </si>
  <si>
    <t>3714</t>
  </si>
  <si>
    <t>W2O Group</t>
  </si>
  <si>
    <t>3715</t>
  </si>
  <si>
    <t>Logic20/20</t>
  </si>
  <si>
    <t>3716</t>
  </si>
  <si>
    <t>Tachyon Technologies</t>
  </si>
  <si>
    <t>3717</t>
  </si>
  <si>
    <t>ITS</t>
  </si>
  <si>
    <t>3718</t>
  </si>
  <si>
    <t>Serve First Solutions</t>
  </si>
  <si>
    <t>3719</t>
  </si>
  <si>
    <t>Teguar Corporation</t>
  </si>
  <si>
    <t>3720</t>
  </si>
  <si>
    <t>Progressive Dental</t>
  </si>
  <si>
    <t>3721</t>
  </si>
  <si>
    <t>Resicon</t>
  </si>
  <si>
    <t>3722</t>
  </si>
  <si>
    <t>EO Products</t>
  </si>
  <si>
    <t>3723</t>
  </si>
  <si>
    <t>Vyne</t>
  </si>
  <si>
    <t>3724</t>
  </si>
  <si>
    <t>Northwest Green Solutions</t>
  </si>
  <si>
    <t>3725</t>
  </si>
  <si>
    <t>Greenville Avenue Pizza Company</t>
  </si>
  <si>
    <t>3726</t>
  </si>
  <si>
    <t>AccuSource</t>
  </si>
  <si>
    <t>3727</t>
  </si>
  <si>
    <t>Equian</t>
  </si>
  <si>
    <t>3728</t>
  </si>
  <si>
    <t>Beyond20</t>
  </si>
  <si>
    <t>3729</t>
  </si>
  <si>
    <t>Rhythmic Technologies</t>
  </si>
  <si>
    <t>3730</t>
  </si>
  <si>
    <t>SEQUOIA HOLDINGS</t>
  </si>
  <si>
    <t>3731</t>
  </si>
  <si>
    <t>Sendero</t>
  </si>
  <si>
    <t>3732</t>
  </si>
  <si>
    <t>Mobomo</t>
  </si>
  <si>
    <t>3733</t>
  </si>
  <si>
    <t>EveryAction</t>
  </si>
  <si>
    <t>3734</t>
  </si>
  <si>
    <t>Vergent LMS</t>
  </si>
  <si>
    <t>3735</t>
  </si>
  <si>
    <t>Service Express</t>
  </si>
  <si>
    <t>3736</t>
  </si>
  <si>
    <t>Cerebra Consulting</t>
  </si>
  <si>
    <t>3737</t>
  </si>
  <si>
    <t>Fathom 4</t>
  </si>
  <si>
    <t>3738</t>
  </si>
  <si>
    <t>97th Floor</t>
  </si>
  <si>
    <t>3739</t>
  </si>
  <si>
    <t>Tranquility Dental Wellness Center</t>
  </si>
  <si>
    <t>3740</t>
  </si>
  <si>
    <t>Mullin</t>
  </si>
  <si>
    <t>3741</t>
  </si>
  <si>
    <t>Solodev</t>
  </si>
  <si>
    <t>3742</t>
  </si>
  <si>
    <t>Cooper's Hawk Winery &amp; Restaurants</t>
  </si>
  <si>
    <t>3743</t>
  </si>
  <si>
    <t>Alorica</t>
  </si>
  <si>
    <t>3744</t>
  </si>
  <si>
    <t>Chandra Technologies</t>
  </si>
  <si>
    <t>3745</t>
  </si>
  <si>
    <t>Thrive Consulting</t>
  </si>
  <si>
    <t>3746</t>
  </si>
  <si>
    <t>Mansari</t>
  </si>
  <si>
    <t>3747</t>
  </si>
  <si>
    <t>Novus Architects</t>
  </si>
  <si>
    <t>3748</t>
  </si>
  <si>
    <t>Seer Interactive</t>
  </si>
  <si>
    <t>3749</t>
  </si>
  <si>
    <t>360 Payments</t>
  </si>
  <si>
    <t>3750</t>
  </si>
  <si>
    <t>Inspira Marketing</t>
  </si>
  <si>
    <t>3751</t>
  </si>
  <si>
    <t>The Braun Agency</t>
  </si>
  <si>
    <t>3752</t>
  </si>
  <si>
    <t>The Siegfried Group</t>
  </si>
  <si>
    <t>3753</t>
  </si>
  <si>
    <t>Opus Interactive</t>
  </si>
  <si>
    <t>3754</t>
  </si>
  <si>
    <t>Primary Wave Media</t>
  </si>
  <si>
    <t>3755</t>
  </si>
  <si>
    <t>Exbabylon IT Solutions</t>
  </si>
  <si>
    <t>3756</t>
  </si>
  <si>
    <t>TGG Accounting</t>
  </si>
  <si>
    <t>3757</t>
  </si>
  <si>
    <t>AltexSoft</t>
  </si>
  <si>
    <t>3758</t>
  </si>
  <si>
    <t>Lincoln Security Services</t>
  </si>
  <si>
    <t>3759</t>
  </si>
  <si>
    <t>Zogics</t>
  </si>
  <si>
    <t>3760</t>
  </si>
  <si>
    <t>Logical Media Group</t>
  </si>
  <si>
    <t>3761</t>
  </si>
  <si>
    <t>Tjfact</t>
  </si>
  <si>
    <t>3762</t>
  </si>
  <si>
    <t>Netreo</t>
  </si>
  <si>
    <t>3763</t>
  </si>
  <si>
    <t>Worcester Companies</t>
  </si>
  <si>
    <t>3764</t>
  </si>
  <si>
    <t>Trowbridge &amp; Trowbridge</t>
  </si>
  <si>
    <t>3765</t>
  </si>
  <si>
    <t>iPower Technologies</t>
  </si>
  <si>
    <t>3766</t>
  </si>
  <si>
    <t>Atlas Insurance Brokers</t>
  </si>
  <si>
    <t>3767</t>
  </si>
  <si>
    <t>Truland Homes</t>
  </si>
  <si>
    <t>3768</t>
  </si>
  <si>
    <t>Municibid</t>
  </si>
  <si>
    <t>3769</t>
  </si>
  <si>
    <t>Clear Resolution</t>
  </si>
  <si>
    <t>3770</t>
  </si>
  <si>
    <t>Evoke Brand Strategies</t>
  </si>
  <si>
    <t>3771</t>
  </si>
  <si>
    <t>Sun Solar</t>
  </si>
  <si>
    <t>3772</t>
  </si>
  <si>
    <t>CoAdvantage</t>
  </si>
  <si>
    <t>3773</t>
  </si>
  <si>
    <t>Monitors.com</t>
  </si>
  <si>
    <t>3774</t>
  </si>
  <si>
    <t>SMS Lodging</t>
  </si>
  <si>
    <t>3775</t>
  </si>
  <si>
    <t>Selling Simplified</t>
  </si>
  <si>
    <t>3776</t>
  </si>
  <si>
    <t>Enlinx</t>
  </si>
  <si>
    <t>3777</t>
  </si>
  <si>
    <t>Bigcommerce</t>
  </si>
  <si>
    <t>3778</t>
  </si>
  <si>
    <t>Digital Boardwalk</t>
  </si>
  <si>
    <t>3779</t>
  </si>
  <si>
    <t>Innovative Business Solutions</t>
  </si>
  <si>
    <t>3780</t>
  </si>
  <si>
    <t>Banyan Technology</t>
  </si>
  <si>
    <t>3781</t>
  </si>
  <si>
    <t>Lizzy Lift</t>
  </si>
  <si>
    <t>3782</t>
  </si>
  <si>
    <t>Vital Edge Solutions</t>
  </si>
  <si>
    <t>3783</t>
  </si>
  <si>
    <t>Tribal Tech</t>
  </si>
  <si>
    <t>3784</t>
  </si>
  <si>
    <t>D'Aprile Properties</t>
  </si>
  <si>
    <t>3785</t>
  </si>
  <si>
    <t>Infomatics</t>
  </si>
  <si>
    <t>3786</t>
  </si>
  <si>
    <t>InfoReady</t>
  </si>
  <si>
    <t>3787</t>
  </si>
  <si>
    <t>General Informatics</t>
  </si>
  <si>
    <t>3788</t>
  </si>
  <si>
    <t>True Builders</t>
  </si>
  <si>
    <t>3789</t>
  </si>
  <si>
    <t>Natran</t>
  </si>
  <si>
    <t>3790</t>
  </si>
  <si>
    <t>Cuddle Clones</t>
  </si>
  <si>
    <t>3791</t>
  </si>
  <si>
    <t>ON Partners</t>
  </si>
  <si>
    <t>3792</t>
  </si>
  <si>
    <t>Roundstone</t>
  </si>
  <si>
    <t>3793</t>
  </si>
  <si>
    <t>First Centennial Mortgage</t>
  </si>
  <si>
    <t>3794</t>
  </si>
  <si>
    <t>Sunset Transportation</t>
  </si>
  <si>
    <t>3795</t>
  </si>
  <si>
    <t>TrafficSafetyStore.com</t>
  </si>
  <si>
    <t>3796</t>
  </si>
  <si>
    <t>P.J. Wallbank Springs</t>
  </si>
  <si>
    <t>3797</t>
  </si>
  <si>
    <t>Inteletech Global</t>
  </si>
  <si>
    <t>3798</t>
  </si>
  <si>
    <t>Synergy Comp Insurance Company</t>
  </si>
  <si>
    <t>3799</t>
  </si>
  <si>
    <t>Proactive Technologies</t>
  </si>
  <si>
    <t>3800</t>
  </si>
  <si>
    <t>CompuTech City</t>
  </si>
  <si>
    <t>3801</t>
  </si>
  <si>
    <t>Proforma GPS Global Promotional Sourcing</t>
  </si>
  <si>
    <t>3802</t>
  </si>
  <si>
    <t>Pediatric Home Healthcare</t>
  </si>
  <si>
    <t>3803</t>
  </si>
  <si>
    <t>Rapid Web Services</t>
  </si>
  <si>
    <t>3804</t>
  </si>
  <si>
    <t>Goodzer</t>
  </si>
  <si>
    <t>3805</t>
  </si>
  <si>
    <t>Automated Systems Design</t>
  </si>
  <si>
    <t>3806</t>
  </si>
  <si>
    <t>Spectrio</t>
  </si>
  <si>
    <t>3807</t>
  </si>
  <si>
    <t>Buildingstars of Charlotte</t>
  </si>
  <si>
    <t>3808</t>
  </si>
  <si>
    <t>OnQ Solutions</t>
  </si>
  <si>
    <t>3809</t>
  </si>
  <si>
    <t>ReSource Pro</t>
  </si>
  <si>
    <t>3810</t>
  </si>
  <si>
    <t>Ques Industries</t>
  </si>
  <si>
    <t>3811</t>
  </si>
  <si>
    <t>Titan Growth</t>
  </si>
  <si>
    <t>3812</t>
  </si>
  <si>
    <t>In Time Tec</t>
  </si>
  <si>
    <t>3813</t>
  </si>
  <si>
    <t>Cast Aluminum Solutions</t>
  </si>
  <si>
    <t>3814</t>
  </si>
  <si>
    <t>GadellNet Technology Solutions</t>
  </si>
  <si>
    <t>3815</t>
  </si>
  <si>
    <t>iVenture Solutions</t>
  </si>
  <si>
    <t>3816</t>
  </si>
  <si>
    <t>Russell Cellular</t>
  </si>
  <si>
    <t>3817</t>
  </si>
  <si>
    <t>DP Electric</t>
  </si>
  <si>
    <t>3818</t>
  </si>
  <si>
    <t>strategic HR</t>
  </si>
  <si>
    <t>3819</t>
  </si>
  <si>
    <t>Coherent Solutions</t>
  </si>
  <si>
    <t>3820</t>
  </si>
  <si>
    <t>Hightowers Petroleum Company</t>
  </si>
  <si>
    <t>3821</t>
  </si>
  <si>
    <t>Percepture</t>
  </si>
  <si>
    <t>3822</t>
  </si>
  <si>
    <t>AccelHRate</t>
  </si>
  <si>
    <t>3823</t>
  </si>
  <si>
    <t>Dutch Country Living</t>
  </si>
  <si>
    <t>3824</t>
  </si>
  <si>
    <t>Hanapin Marketing</t>
  </si>
  <si>
    <t>3825</t>
  </si>
  <si>
    <t>Abadie-Williams</t>
  </si>
  <si>
    <t>3826</t>
  </si>
  <si>
    <t>RealJoy Vacations</t>
  </si>
  <si>
    <t>3827</t>
  </si>
  <si>
    <t>KW Property Management &amp; Consulting</t>
  </si>
  <si>
    <t>3828</t>
  </si>
  <si>
    <t>UpClear</t>
  </si>
  <si>
    <t>3829</t>
  </si>
  <si>
    <t>Patrick Accounting and Tax Services</t>
  </si>
  <si>
    <t>3830</t>
  </si>
  <si>
    <t>AltaVista Strategic Partners</t>
  </si>
  <si>
    <t>3831</t>
  </si>
  <si>
    <t>Ryan Gootee General Contractors</t>
  </si>
  <si>
    <t>3832</t>
  </si>
  <si>
    <t>Schaumburg Specialties</t>
  </si>
  <si>
    <t>3833</t>
  </si>
  <si>
    <t>Cross Country Home Services</t>
  </si>
  <si>
    <t>3834</t>
  </si>
  <si>
    <t>Taoti Creative</t>
  </si>
  <si>
    <t>3835</t>
  </si>
  <si>
    <t>Tenon Tours</t>
  </si>
  <si>
    <t>3836</t>
  </si>
  <si>
    <t>Peoples Company</t>
  </si>
  <si>
    <t>3837</t>
  </si>
  <si>
    <t>Point of Rental Software</t>
  </si>
  <si>
    <t>3838</t>
  </si>
  <si>
    <t>Reliant Funding</t>
  </si>
  <si>
    <t>3839</t>
  </si>
  <si>
    <t>Kung Fu Tea</t>
  </si>
  <si>
    <t>3840</t>
  </si>
  <si>
    <t>OnSite Fleet</t>
  </si>
  <si>
    <t>3841</t>
  </si>
  <si>
    <t>Schox Patent Group</t>
  </si>
  <si>
    <t>3842</t>
  </si>
  <si>
    <t>Trapp Technology</t>
  </si>
  <si>
    <t>3843</t>
  </si>
  <si>
    <t>inSeption Group</t>
  </si>
  <si>
    <t>3844</t>
  </si>
  <si>
    <t>Firehook</t>
  </si>
  <si>
    <t>3845</t>
  </si>
  <si>
    <t>Flywheel Brands</t>
  </si>
  <si>
    <t>3846</t>
  </si>
  <si>
    <t>Badass Brand</t>
  </si>
  <si>
    <t>3847</t>
  </si>
  <si>
    <t>Carahsoft Technology</t>
  </si>
  <si>
    <t>3848</t>
  </si>
  <si>
    <t>Aurora Imaging Company</t>
  </si>
  <si>
    <t>3849</t>
  </si>
  <si>
    <t>Gilmore Solutions</t>
  </si>
  <si>
    <t>3850</t>
  </si>
  <si>
    <t>Capital Edge Consulting</t>
  </si>
  <si>
    <t>3851</t>
  </si>
  <si>
    <t>Roadway Moving Company</t>
  </si>
  <si>
    <t>3852</t>
  </si>
  <si>
    <t>Synchrogistics</t>
  </si>
  <si>
    <t>3853</t>
  </si>
  <si>
    <t>TalTeam</t>
  </si>
  <si>
    <t>3854</t>
  </si>
  <si>
    <t>memoryBlue</t>
  </si>
  <si>
    <t>3855</t>
  </si>
  <si>
    <t>TiER1</t>
  </si>
  <si>
    <t>3856</t>
  </si>
  <si>
    <t>vCORE Technology Partners</t>
  </si>
  <si>
    <t>3857</t>
  </si>
  <si>
    <t>Lithko Contracting</t>
  </si>
  <si>
    <t>3858</t>
  </si>
  <si>
    <t>CapTech Ventures</t>
  </si>
  <si>
    <t>3859</t>
  </si>
  <si>
    <t>Best Practice Energy</t>
  </si>
  <si>
    <t>3860</t>
  </si>
  <si>
    <t>Managed Care Advisors</t>
  </si>
  <si>
    <t>3861</t>
  </si>
  <si>
    <t>Donaldson Plastic Surgery</t>
  </si>
  <si>
    <t>3862</t>
  </si>
  <si>
    <t>Yepremyan Law Firm</t>
  </si>
  <si>
    <t>3863</t>
  </si>
  <si>
    <t>MESH(r)</t>
  </si>
  <si>
    <t>3864</t>
  </si>
  <si>
    <t>Pedigree Technologies</t>
  </si>
  <si>
    <t>3865</t>
  </si>
  <si>
    <t>Aligned Technology Solutions</t>
  </si>
  <si>
    <t>3866</t>
  </si>
  <si>
    <t>AOA</t>
  </si>
  <si>
    <t>3867</t>
  </si>
  <si>
    <t>Enstoa</t>
  </si>
  <si>
    <t>3868</t>
  </si>
  <si>
    <t>Aduro</t>
  </si>
  <si>
    <t>3869</t>
  </si>
  <si>
    <t>Profuse Solutions</t>
  </si>
  <si>
    <t>3870</t>
  </si>
  <si>
    <t>CWDL CPAs</t>
  </si>
  <si>
    <t>3871</t>
  </si>
  <si>
    <t>Restoration Cleaners</t>
  </si>
  <si>
    <t>3872</t>
  </si>
  <si>
    <t>MRG Construction Management</t>
  </si>
  <si>
    <t>3873</t>
  </si>
  <si>
    <t>Zters</t>
  </si>
  <si>
    <t>3874</t>
  </si>
  <si>
    <t>IdeaTek Telcom</t>
  </si>
  <si>
    <t>3875</t>
  </si>
  <si>
    <t>DaySmart Software</t>
  </si>
  <si>
    <t>3876</t>
  </si>
  <si>
    <t>Global Tee</t>
  </si>
  <si>
    <t>3877</t>
  </si>
  <si>
    <t>Canal Capital Management</t>
  </si>
  <si>
    <t>3878</t>
  </si>
  <si>
    <t>TalentLaunch</t>
  </si>
  <si>
    <t>3879</t>
  </si>
  <si>
    <t>TechStar Group</t>
  </si>
  <si>
    <t>3880</t>
  </si>
  <si>
    <t>Al's Complete Lawn Care</t>
  </si>
  <si>
    <t>3881</t>
  </si>
  <si>
    <t>DeAngelis Diamond</t>
  </si>
  <si>
    <t>3882</t>
  </si>
  <si>
    <t>g2 Revolution</t>
  </si>
  <si>
    <t>3883</t>
  </si>
  <si>
    <t>CMMS Data Group</t>
  </si>
  <si>
    <t>3884</t>
  </si>
  <si>
    <t>Soccer Shots Franchising</t>
  </si>
  <si>
    <t>3885</t>
  </si>
  <si>
    <t>Multifamily Utility Company</t>
  </si>
  <si>
    <t>3886</t>
  </si>
  <si>
    <t>VirTex Enterprises</t>
  </si>
  <si>
    <t>3887</t>
  </si>
  <si>
    <t>RentWerx Property Management</t>
  </si>
  <si>
    <t>3888</t>
  </si>
  <si>
    <t>360 Blue</t>
  </si>
  <si>
    <t>3889</t>
  </si>
  <si>
    <t>inWhatLanguage</t>
  </si>
  <si>
    <t>3890</t>
  </si>
  <si>
    <t>GrowthForce</t>
  </si>
  <si>
    <t>3891</t>
  </si>
  <si>
    <t>Optizmo Technologies</t>
  </si>
  <si>
    <t>3892</t>
  </si>
  <si>
    <t>LegalEASE</t>
  </si>
  <si>
    <t>3893</t>
  </si>
  <si>
    <t>Beck Partners</t>
  </si>
  <si>
    <t>3894</t>
  </si>
  <si>
    <t>McAllen Valley Roofing</t>
  </si>
  <si>
    <t>3895</t>
  </si>
  <si>
    <t>Corp2000</t>
  </si>
  <si>
    <t>3896</t>
  </si>
  <si>
    <t>APEX Recovery</t>
  </si>
  <si>
    <t>3897</t>
  </si>
  <si>
    <t>SEJ Services</t>
  </si>
  <si>
    <t>3898</t>
  </si>
  <si>
    <t>Unanet</t>
  </si>
  <si>
    <t>3899</t>
  </si>
  <si>
    <t>Cheba Hut Toasted Subs</t>
  </si>
  <si>
    <t>3900</t>
  </si>
  <si>
    <t>Fireking Baking Company</t>
  </si>
  <si>
    <t>3901</t>
  </si>
  <si>
    <t>WatchGuard Video</t>
  </si>
  <si>
    <t>3902</t>
  </si>
  <si>
    <t>Land design studio</t>
  </si>
  <si>
    <t>3903</t>
  </si>
  <si>
    <t>TribalVision</t>
  </si>
  <si>
    <t>3904</t>
  </si>
  <si>
    <t>Mammoth</t>
  </si>
  <si>
    <t>3905</t>
  </si>
  <si>
    <t>Jade Global</t>
  </si>
  <si>
    <t>3906</t>
  </si>
  <si>
    <t>Synergen Health</t>
  </si>
  <si>
    <t>3907</t>
  </si>
  <si>
    <t>Black-Haak Heating</t>
  </si>
  <si>
    <t>3908</t>
  </si>
  <si>
    <t>Code42</t>
  </si>
  <si>
    <t>3909</t>
  </si>
  <si>
    <t>KCL Engineering</t>
  </si>
  <si>
    <t>3910</t>
  </si>
  <si>
    <t>Amtel</t>
  </si>
  <si>
    <t>3911</t>
  </si>
  <si>
    <t>Koncept Events</t>
  </si>
  <si>
    <t>3912</t>
  </si>
  <si>
    <t>TechOp Solutions International</t>
  </si>
  <si>
    <t>3913</t>
  </si>
  <si>
    <t>Infinite Resource Solutions</t>
  </si>
  <si>
    <t>3914</t>
  </si>
  <si>
    <t>Tusk Enterprises</t>
  </si>
  <si>
    <t>3915</t>
  </si>
  <si>
    <t>SRS Distribution</t>
  </si>
  <si>
    <t>3916</t>
  </si>
  <si>
    <t>Strong Smiles Dental Care</t>
  </si>
  <si>
    <t>3917</t>
  </si>
  <si>
    <t>M&amp;M Productions USA</t>
  </si>
  <si>
    <t>3918</t>
  </si>
  <si>
    <t>Safe Hiring Solutions</t>
  </si>
  <si>
    <t>3919</t>
  </si>
  <si>
    <t>KMS Technology</t>
  </si>
  <si>
    <t>3920</t>
  </si>
  <si>
    <t>Worldwide Insurance Network</t>
  </si>
  <si>
    <t>3921</t>
  </si>
  <si>
    <t>Oakworth Capital Bank</t>
  </si>
  <si>
    <t>3922</t>
  </si>
  <si>
    <t>Gilleard Dental Marketing</t>
  </si>
  <si>
    <t>3923</t>
  </si>
  <si>
    <t>Outer Banks Blue</t>
  </si>
  <si>
    <t>3924</t>
  </si>
  <si>
    <t>Edward Marc Brands</t>
  </si>
  <si>
    <t>3925</t>
  </si>
  <si>
    <t>Contract Solutions</t>
  </si>
  <si>
    <t>3926</t>
  </si>
  <si>
    <t>Automotive Internet Media</t>
  </si>
  <si>
    <t>3927</t>
  </si>
  <si>
    <t>Leading EDJE</t>
  </si>
  <si>
    <t>3928</t>
  </si>
  <si>
    <t>Intact Technology</t>
  </si>
  <si>
    <t>3929</t>
  </si>
  <si>
    <t>Vanguard Claims Administration</t>
  </si>
  <si>
    <t>3930</t>
  </si>
  <si>
    <t>Nomadness</t>
  </si>
  <si>
    <t>3931</t>
  </si>
  <si>
    <t>SmarterChaos.com</t>
  </si>
  <si>
    <t>3932</t>
  </si>
  <si>
    <t>Converze Media Group</t>
  </si>
  <si>
    <t>3933</t>
  </si>
  <si>
    <t>Submittable</t>
  </si>
  <si>
    <t>3934</t>
  </si>
  <si>
    <t>Peck Brothers Roofing</t>
  </si>
  <si>
    <t>3935</t>
  </si>
  <si>
    <t>Whim Hospitality</t>
  </si>
  <si>
    <t>3936</t>
  </si>
  <si>
    <t>The Clearing</t>
  </si>
  <si>
    <t>3937</t>
  </si>
  <si>
    <t>Lightbridge Academy</t>
  </si>
  <si>
    <t>3938</t>
  </si>
  <si>
    <t>L37 Creative</t>
  </si>
  <si>
    <t>3939</t>
  </si>
  <si>
    <t>Seaway Printing Company</t>
  </si>
  <si>
    <t>3940</t>
  </si>
  <si>
    <t>1st Class Real Estate</t>
  </si>
  <si>
    <t>3941</t>
  </si>
  <si>
    <t>IMS Technology Services</t>
  </si>
  <si>
    <t>3942</t>
  </si>
  <si>
    <t>Envision</t>
  </si>
  <si>
    <t>3943</t>
  </si>
  <si>
    <t>BuyBackWorld</t>
  </si>
  <si>
    <t>3944</t>
  </si>
  <si>
    <t>C&amp;R</t>
  </si>
  <si>
    <t>3945</t>
  </si>
  <si>
    <t>Modo Modo Agency</t>
  </si>
  <si>
    <t>3946</t>
  </si>
  <si>
    <t>2020 Teknology</t>
  </si>
  <si>
    <t>3947</t>
  </si>
  <si>
    <t>CQ fluency</t>
  </si>
  <si>
    <t>3948</t>
  </si>
  <si>
    <t>International Voyager</t>
  </si>
  <si>
    <t>3949</t>
  </si>
  <si>
    <t>Killer Visual Strategies</t>
  </si>
  <si>
    <t>3950</t>
  </si>
  <si>
    <t>Burgos Group</t>
  </si>
  <si>
    <t>3951</t>
  </si>
  <si>
    <t>Conservice</t>
  </si>
  <si>
    <t>3952</t>
  </si>
  <si>
    <t>Think Company</t>
  </si>
  <si>
    <t>3953</t>
  </si>
  <si>
    <t>Air Solutions &amp; Balancing</t>
  </si>
  <si>
    <t>3954</t>
  </si>
  <si>
    <t>Sterling Staffing Solutions</t>
  </si>
  <si>
    <t>3955</t>
  </si>
  <si>
    <t>ClinicalMind</t>
  </si>
  <si>
    <t>3956</t>
  </si>
  <si>
    <t>Hollister Construction Services</t>
  </si>
  <si>
    <t>3957</t>
  </si>
  <si>
    <t>Acacia</t>
  </si>
  <si>
    <t>3958</t>
  </si>
  <si>
    <t>RTG Medical</t>
  </si>
  <si>
    <t>3959</t>
  </si>
  <si>
    <t>True Hire</t>
  </si>
  <si>
    <t>3960</t>
  </si>
  <si>
    <t>The Purple Guys</t>
  </si>
  <si>
    <t>3961</t>
  </si>
  <si>
    <t>PowerDMS</t>
  </si>
  <si>
    <t>3962</t>
  </si>
  <si>
    <t>ImageWorks</t>
  </si>
  <si>
    <t>3963</t>
  </si>
  <si>
    <t>Blast Analytics &amp; Marketing</t>
  </si>
  <si>
    <t>3964</t>
  </si>
  <si>
    <t>EMEX</t>
  </si>
  <si>
    <t>3965</t>
  </si>
  <si>
    <t>Optimal Design</t>
  </si>
  <si>
    <t>3966</t>
  </si>
  <si>
    <t>The Stem</t>
  </si>
  <si>
    <t>3967</t>
  </si>
  <si>
    <t>Inova Payroll</t>
  </si>
  <si>
    <t>3968</t>
  </si>
  <si>
    <t>Universal Painting Corporation</t>
  </si>
  <si>
    <t>3969</t>
  </si>
  <si>
    <t>Congruity HR</t>
  </si>
  <si>
    <t>3970</t>
  </si>
  <si>
    <t>Archer</t>
  </si>
  <si>
    <t>3971</t>
  </si>
  <si>
    <t>Jacobson Strategic Communications</t>
  </si>
  <si>
    <t>3972</t>
  </si>
  <si>
    <t>Thomsen Homes</t>
  </si>
  <si>
    <t>3973</t>
  </si>
  <si>
    <t>Rectangle Health</t>
  </si>
  <si>
    <t>3974</t>
  </si>
  <si>
    <t>Zelis Healthcare</t>
  </si>
  <si>
    <t>3975</t>
  </si>
  <si>
    <t>Pax Financial Group</t>
  </si>
  <si>
    <t>3976</t>
  </si>
  <si>
    <t>Culmen International</t>
  </si>
  <si>
    <t>3977</t>
  </si>
  <si>
    <t>SA Photonics</t>
  </si>
  <si>
    <t>3978</t>
  </si>
  <si>
    <t>Saxon Global</t>
  </si>
  <si>
    <t>3979</t>
  </si>
  <si>
    <t>Amuza</t>
  </si>
  <si>
    <t>3980</t>
  </si>
  <si>
    <t>City Winery</t>
  </si>
  <si>
    <t>3981</t>
  </si>
  <si>
    <t>Twelve Points Wealth Management</t>
  </si>
  <si>
    <t>3982</t>
  </si>
  <si>
    <t>Environmental Pest Management</t>
  </si>
  <si>
    <t>3983</t>
  </si>
  <si>
    <t>Adapture</t>
  </si>
  <si>
    <t>3984</t>
  </si>
  <si>
    <t>Credible Behavioral Health</t>
  </si>
  <si>
    <t>3985</t>
  </si>
  <si>
    <t>Connecticut Sealcoating</t>
  </si>
  <si>
    <t>3986</t>
  </si>
  <si>
    <t>US Freight</t>
  </si>
  <si>
    <t>3987</t>
  </si>
  <si>
    <t>GSI Health</t>
  </si>
  <si>
    <t>3988</t>
  </si>
  <si>
    <t>Jones Sign Company</t>
  </si>
  <si>
    <t>3989</t>
  </si>
  <si>
    <t>North Terrace Property Management</t>
  </si>
  <si>
    <t>3990</t>
  </si>
  <si>
    <t>Thorn Pest Solutions</t>
  </si>
  <si>
    <t>3991</t>
  </si>
  <si>
    <t>Land Info Worldwide Mapping</t>
  </si>
  <si>
    <t>3992</t>
  </si>
  <si>
    <t>Triage Medical Staffing</t>
  </si>
  <si>
    <t>3993</t>
  </si>
  <si>
    <t>Global Data Vault</t>
  </si>
  <si>
    <t>3994</t>
  </si>
  <si>
    <t>Boost Payment Solutions</t>
  </si>
  <si>
    <t>3995</t>
  </si>
  <si>
    <t>Smart Chemical Services</t>
  </si>
  <si>
    <t>3996</t>
  </si>
  <si>
    <t>Kanda Software</t>
  </si>
  <si>
    <t>3997</t>
  </si>
  <si>
    <t>Tender Belly</t>
  </si>
  <si>
    <t>3998</t>
  </si>
  <si>
    <t>RED Group</t>
  </si>
  <si>
    <t>3999</t>
  </si>
  <si>
    <t>SyncShow</t>
  </si>
  <si>
    <t>4000</t>
  </si>
  <si>
    <t>Access Information Management</t>
  </si>
  <si>
    <t>4001</t>
  </si>
  <si>
    <t>NFI Industries</t>
  </si>
  <si>
    <t>4002</t>
  </si>
  <si>
    <t>ReferralExchange</t>
  </si>
  <si>
    <t>4003</t>
  </si>
  <si>
    <t>Mindgrub Technologies</t>
  </si>
  <si>
    <t>4004</t>
  </si>
  <si>
    <t>NTE Energy</t>
  </si>
  <si>
    <t>4005</t>
  </si>
  <si>
    <t>Starnes Media</t>
  </si>
  <si>
    <t>4006</t>
  </si>
  <si>
    <t>Impekable</t>
  </si>
  <si>
    <t>4007</t>
  </si>
  <si>
    <t>CCS Technology Group</t>
  </si>
  <si>
    <t>4008</t>
  </si>
  <si>
    <t>Trillion Technology Solutions</t>
  </si>
  <si>
    <t>4009</t>
  </si>
  <si>
    <t>Mark-it Express</t>
  </si>
  <si>
    <t>4010</t>
  </si>
  <si>
    <t>GetWireless</t>
  </si>
  <si>
    <t>4011</t>
  </si>
  <si>
    <t>Rentex Audio Visual &amp; Computer Rentals</t>
  </si>
  <si>
    <t>4012</t>
  </si>
  <si>
    <t>Infogressive</t>
  </si>
  <si>
    <t>4013</t>
  </si>
  <si>
    <t>Swanktek</t>
  </si>
  <si>
    <t>4014</t>
  </si>
  <si>
    <t>Annkissam</t>
  </si>
  <si>
    <t>4015</t>
  </si>
  <si>
    <t>Kaufman Development</t>
  </si>
  <si>
    <t>4016</t>
  </si>
  <si>
    <t>Tempco Glass Fabrication</t>
  </si>
  <si>
    <t>4017</t>
  </si>
  <si>
    <t>MedSpeed</t>
  </si>
  <si>
    <t>4018</t>
  </si>
  <si>
    <t>Evolve IP</t>
  </si>
  <si>
    <t>4019</t>
  </si>
  <si>
    <t>Davenport Theatrical Enterprises</t>
  </si>
  <si>
    <t>4020</t>
  </si>
  <si>
    <t>Fractl</t>
  </si>
  <si>
    <t>4021</t>
  </si>
  <si>
    <t>Simeio Solutions</t>
  </si>
  <si>
    <t>4022</t>
  </si>
  <si>
    <t>HomeSpec BasementFix</t>
  </si>
  <si>
    <t>4023</t>
  </si>
  <si>
    <t>Brilliant Ink</t>
  </si>
  <si>
    <t>4024</t>
  </si>
  <si>
    <t>SMG</t>
  </si>
  <si>
    <t>4025</t>
  </si>
  <si>
    <t>Clarity Partners</t>
  </si>
  <si>
    <t>4026</t>
  </si>
  <si>
    <t>Lewis-Price &amp; Associates</t>
  </si>
  <si>
    <t>4027</t>
  </si>
  <si>
    <t>Sceptre Hospitality Resources (SHR)</t>
  </si>
  <si>
    <t>4028</t>
  </si>
  <si>
    <t>IntelliWare</t>
  </si>
  <si>
    <t>4029</t>
  </si>
  <si>
    <t>Express Logistics</t>
  </si>
  <si>
    <t>4030</t>
  </si>
  <si>
    <t>Hostek.com</t>
  </si>
  <si>
    <t>4031</t>
  </si>
  <si>
    <t>ExIT Technologies</t>
  </si>
  <si>
    <t>4032</t>
  </si>
  <si>
    <t>Jarrett Logistics Systems</t>
  </si>
  <si>
    <t>4033</t>
  </si>
  <si>
    <t>Cadenza Innovation</t>
  </si>
  <si>
    <t>4034</t>
  </si>
  <si>
    <t>Acuity Systems</t>
  </si>
  <si>
    <t>4035</t>
  </si>
  <si>
    <t>Brothers International Desserts</t>
  </si>
  <si>
    <t>4036</t>
  </si>
  <si>
    <t>Vitality Medical</t>
  </si>
  <si>
    <t>4037</t>
  </si>
  <si>
    <t>LegitScript</t>
  </si>
  <si>
    <t>4038</t>
  </si>
  <si>
    <t>Flores Financial Services</t>
  </si>
  <si>
    <t>4039</t>
  </si>
  <si>
    <t>The Heyl Group at Keller Williams</t>
  </si>
  <si>
    <t>4040</t>
  </si>
  <si>
    <t>ATIS Elevator Inspections</t>
  </si>
  <si>
    <t>4041</t>
  </si>
  <si>
    <t>Innovative Commercial Environments</t>
  </si>
  <si>
    <t>4042</t>
  </si>
  <si>
    <t>Sonwil Distribution and Logistics</t>
  </si>
  <si>
    <t>4043</t>
  </si>
  <si>
    <t>Dots</t>
  </si>
  <si>
    <t>4044</t>
  </si>
  <si>
    <t>Barrett Distribution Centers</t>
  </si>
  <si>
    <t>4045</t>
  </si>
  <si>
    <t>Verity Commercial</t>
  </si>
  <si>
    <t>4046</t>
  </si>
  <si>
    <t>Bevilacqua Research</t>
  </si>
  <si>
    <t>4047</t>
  </si>
  <si>
    <t>Timo's Air Conditioning &amp; Heating</t>
  </si>
  <si>
    <t>4048</t>
  </si>
  <si>
    <t>Symmetrix Solutions</t>
  </si>
  <si>
    <t>4049</t>
  </si>
  <si>
    <t>WizeHive</t>
  </si>
  <si>
    <t>4050</t>
  </si>
  <si>
    <t>AEC Group</t>
  </si>
  <si>
    <t>4051</t>
  </si>
  <si>
    <t>Learn on Demand Systems</t>
  </si>
  <si>
    <t>4052</t>
  </si>
  <si>
    <t>Cenero</t>
  </si>
  <si>
    <t>4053</t>
  </si>
  <si>
    <t>Proven IT</t>
  </si>
  <si>
    <t>4054</t>
  </si>
  <si>
    <t>Advanced RPO</t>
  </si>
  <si>
    <t>4055</t>
  </si>
  <si>
    <t>eGuard Technology Services</t>
  </si>
  <si>
    <t>4056</t>
  </si>
  <si>
    <t>Poo~Pourri</t>
  </si>
  <si>
    <t>4057</t>
  </si>
  <si>
    <t>MindTouch</t>
  </si>
  <si>
    <t>4058</t>
  </si>
  <si>
    <t>All About Events - Jacksonville</t>
  </si>
  <si>
    <t>4059</t>
  </si>
  <si>
    <t>Makers Nutrition</t>
  </si>
  <si>
    <t>4060</t>
  </si>
  <si>
    <t>Xtivia</t>
  </si>
  <si>
    <t>4061</t>
  </si>
  <si>
    <t>Xtreme Xperience</t>
  </si>
  <si>
    <t>4062</t>
  </si>
  <si>
    <t>Stream Companies</t>
  </si>
  <si>
    <t>4063</t>
  </si>
  <si>
    <t>Kendall Capital Management</t>
  </si>
  <si>
    <t>4064</t>
  </si>
  <si>
    <t>Cornerstone Wealth Management</t>
  </si>
  <si>
    <t>4065</t>
  </si>
  <si>
    <t>Candid Partners</t>
  </si>
  <si>
    <t>4066</t>
  </si>
  <si>
    <t>Maximum One Realty</t>
  </si>
  <si>
    <t>4067</t>
  </si>
  <si>
    <t>Stainless Steel products</t>
  </si>
  <si>
    <t>4068</t>
  </si>
  <si>
    <t>Triple J Armory</t>
  </si>
  <si>
    <t>4069</t>
  </si>
  <si>
    <t>Clerestory Consulting</t>
  </si>
  <si>
    <t>4070</t>
  </si>
  <si>
    <t>Cumberland Consulting Group</t>
  </si>
  <si>
    <t>4071</t>
  </si>
  <si>
    <t>Servsys</t>
  </si>
  <si>
    <t>4072</t>
  </si>
  <si>
    <t>PPT Consulting</t>
  </si>
  <si>
    <t>4073</t>
  </si>
  <si>
    <t>Allied Instructional Services</t>
  </si>
  <si>
    <t>4074</t>
  </si>
  <si>
    <t>Procida Construction</t>
  </si>
  <si>
    <t>4075</t>
  </si>
  <si>
    <t>Manufacturers Distributor</t>
  </si>
  <si>
    <t>4076</t>
  </si>
  <si>
    <t>Continental Mapping Consultants</t>
  </si>
  <si>
    <t>4077</t>
  </si>
  <si>
    <t>CoNexus CPA Group</t>
  </si>
  <si>
    <t>4078</t>
  </si>
  <si>
    <t>Isos Technology</t>
  </si>
  <si>
    <t>4079</t>
  </si>
  <si>
    <t>MFS Supply</t>
  </si>
  <si>
    <t>4080</t>
  </si>
  <si>
    <t>Elite Innovative Solutions</t>
  </si>
  <si>
    <t>4081</t>
  </si>
  <si>
    <t>Compressor World</t>
  </si>
  <si>
    <t>4082</t>
  </si>
  <si>
    <t>ION Solar</t>
  </si>
  <si>
    <t>4083</t>
  </si>
  <si>
    <t>Industrial Motor Power Coporation</t>
  </si>
  <si>
    <t>4084</t>
  </si>
  <si>
    <t>Sunshine Plumbing Heating Air</t>
  </si>
  <si>
    <t>4085</t>
  </si>
  <si>
    <t>Sanity Solutions</t>
  </si>
  <si>
    <t>4086</t>
  </si>
  <si>
    <t>Pipeline Equipment</t>
  </si>
  <si>
    <t>4087</t>
  </si>
  <si>
    <t>IcePortal</t>
  </si>
  <si>
    <t>4088</t>
  </si>
  <si>
    <t>Lifescape Colorado</t>
  </si>
  <si>
    <t>4089</t>
  </si>
  <si>
    <t>Acertara Acoustic Laboratories</t>
  </si>
  <si>
    <t>4090</t>
  </si>
  <si>
    <t>Graphics and More</t>
  </si>
  <si>
    <t>4091</t>
  </si>
  <si>
    <t>City Wide Franchise Company</t>
  </si>
  <si>
    <t>4092</t>
  </si>
  <si>
    <t>Dental Care New Jersey</t>
  </si>
  <si>
    <t>4093</t>
  </si>
  <si>
    <t>Tom Drexler Plumbing Air</t>
  </si>
  <si>
    <t>4094</t>
  </si>
  <si>
    <t>Pharmaceutical Strategies Group</t>
  </si>
  <si>
    <t>4095</t>
  </si>
  <si>
    <t>Des Moines Truck Brokers</t>
  </si>
  <si>
    <t>4096</t>
  </si>
  <si>
    <t>Component Surfaces</t>
  </si>
  <si>
    <t>4097</t>
  </si>
  <si>
    <t>Cloud for Good</t>
  </si>
  <si>
    <t>4098</t>
  </si>
  <si>
    <t>Corvette Mods</t>
  </si>
  <si>
    <t>4099</t>
  </si>
  <si>
    <t>ThreeBridge Solutions</t>
  </si>
  <si>
    <t>4100</t>
  </si>
  <si>
    <t>Insight Resource Group</t>
  </si>
  <si>
    <t>4101</t>
  </si>
  <si>
    <t>Freddy's Frozen Custard</t>
  </si>
  <si>
    <t>4102</t>
  </si>
  <si>
    <t>CHHJ Franchising</t>
  </si>
  <si>
    <t>4103</t>
  </si>
  <si>
    <t>Endsight</t>
  </si>
  <si>
    <t>4104</t>
  </si>
  <si>
    <t>Applied Educational Systems</t>
  </si>
  <si>
    <t>4105</t>
  </si>
  <si>
    <t>New Vision Properties</t>
  </si>
  <si>
    <t>4106</t>
  </si>
  <si>
    <t>Call Management Resources</t>
  </si>
  <si>
    <t>4107</t>
  </si>
  <si>
    <t>Matthew A. Dickason</t>
  </si>
  <si>
    <t>4108</t>
  </si>
  <si>
    <t>Tyler Petroleum</t>
  </si>
  <si>
    <t>4109</t>
  </si>
  <si>
    <t>Expert Computer Solutions</t>
  </si>
  <si>
    <t>4110</t>
  </si>
  <si>
    <t>Venn Strategies</t>
  </si>
  <si>
    <t>4111</t>
  </si>
  <si>
    <t>Blue Corona</t>
  </si>
  <si>
    <t>4112</t>
  </si>
  <si>
    <t>TerraCycle</t>
  </si>
  <si>
    <t>4113</t>
  </si>
  <si>
    <t>HAP Investments</t>
  </si>
  <si>
    <t>4114</t>
  </si>
  <si>
    <t>Big Outdoor</t>
  </si>
  <si>
    <t>4115</t>
  </si>
  <si>
    <t>CHHJ North Jersey</t>
  </si>
  <si>
    <t>4116</t>
  </si>
  <si>
    <t>North American Coating Laboratories</t>
  </si>
  <si>
    <t>4117</t>
  </si>
  <si>
    <t>Lead id</t>
  </si>
  <si>
    <t>4118</t>
  </si>
  <si>
    <t>InterDev</t>
  </si>
  <si>
    <t>4119</t>
  </si>
  <si>
    <t>Architectural Fabrication</t>
  </si>
  <si>
    <t>4120</t>
  </si>
  <si>
    <t>BrandYourself.com</t>
  </si>
  <si>
    <t>4121</t>
  </si>
  <si>
    <t>Vaco</t>
  </si>
  <si>
    <t>4122</t>
  </si>
  <si>
    <t>Cynet Systems</t>
  </si>
  <si>
    <t>4123</t>
  </si>
  <si>
    <t>Inspired eLearning</t>
  </si>
  <si>
    <t>4124</t>
  </si>
  <si>
    <t>Beacon Capital Management</t>
  </si>
  <si>
    <t>4125</t>
  </si>
  <si>
    <t>Element Three</t>
  </si>
  <si>
    <t>4126</t>
  </si>
  <si>
    <t>Malwarebytes</t>
  </si>
  <si>
    <t>4127</t>
  </si>
  <si>
    <t>First American Payment Systems</t>
  </si>
  <si>
    <t>4128</t>
  </si>
  <si>
    <t>Just Right Products</t>
  </si>
  <si>
    <t>4129</t>
  </si>
  <si>
    <t>Tint World</t>
  </si>
  <si>
    <t>4130</t>
  </si>
  <si>
    <t>Storage Media Group</t>
  </si>
  <si>
    <t>4131</t>
  </si>
  <si>
    <t>Pacific Western Painting</t>
  </si>
  <si>
    <t>4132</t>
  </si>
  <si>
    <t>Power Home Remodeling</t>
  </si>
  <si>
    <t>4133</t>
  </si>
  <si>
    <t>INTERNATIONAL TEFL ACADEMY</t>
  </si>
  <si>
    <t>4134</t>
  </si>
  <si>
    <t>M2 Strategy</t>
  </si>
  <si>
    <t>4135</t>
  </si>
  <si>
    <t>Atlanta Communities Real Estate Brokerage</t>
  </si>
  <si>
    <t>4136</t>
  </si>
  <si>
    <t>Saturn Tech</t>
  </si>
  <si>
    <t>4137</t>
  </si>
  <si>
    <t>Creditsafe USA</t>
  </si>
  <si>
    <t>4138</t>
  </si>
  <si>
    <t>Standard Black</t>
  </si>
  <si>
    <t>4139</t>
  </si>
  <si>
    <t>TRIOSE</t>
  </si>
  <si>
    <t>4140</t>
  </si>
  <si>
    <t>Long Story Short Media</t>
  </si>
  <si>
    <t>4141</t>
  </si>
  <si>
    <t>Blueberry Builders</t>
  </si>
  <si>
    <t>4142</t>
  </si>
  <si>
    <t>Kent Power</t>
  </si>
  <si>
    <t>4143</t>
  </si>
  <si>
    <t>BWS Plumbing, Heating and Air Conditioning</t>
  </si>
  <si>
    <t>4144</t>
  </si>
  <si>
    <t>Centrify</t>
  </si>
  <si>
    <t>4145</t>
  </si>
  <si>
    <t>Accelerated Claims</t>
  </si>
  <si>
    <t>4146</t>
  </si>
  <si>
    <t>MVS</t>
  </si>
  <si>
    <t>4147</t>
  </si>
  <si>
    <t>OptConnect</t>
  </si>
  <si>
    <t>4148</t>
  </si>
  <si>
    <t>Tarrytech Security</t>
  </si>
  <si>
    <t>4149</t>
  </si>
  <si>
    <t>Signature Bank</t>
  </si>
  <si>
    <t>4150</t>
  </si>
  <si>
    <t>Entisys360</t>
  </si>
  <si>
    <t>4151</t>
  </si>
  <si>
    <t>MedCerts</t>
  </si>
  <si>
    <t>4152</t>
  </si>
  <si>
    <t>The Cydio Group</t>
  </si>
  <si>
    <t>4153</t>
  </si>
  <si>
    <t>Advanced Project Consulting</t>
  </si>
  <si>
    <t>4154</t>
  </si>
  <si>
    <t>Interlink Cloud Advisors</t>
  </si>
  <si>
    <t>4155</t>
  </si>
  <si>
    <t>495 Movers</t>
  </si>
  <si>
    <t>4156</t>
  </si>
  <si>
    <t>Natalie's Orchid Island Juice Company</t>
  </si>
  <si>
    <t>4157</t>
  </si>
  <si>
    <t>MIE Solutions</t>
  </si>
  <si>
    <t>4158</t>
  </si>
  <si>
    <t>CommerceIQ</t>
  </si>
  <si>
    <t>4159</t>
  </si>
  <si>
    <t>Uptime Legal Systems</t>
  </si>
  <si>
    <t>4160</t>
  </si>
  <si>
    <t>Plushnyc Post</t>
  </si>
  <si>
    <t>4161</t>
  </si>
  <si>
    <t>Reading Horizons</t>
  </si>
  <si>
    <t>4162</t>
  </si>
  <si>
    <t>Inscio</t>
  </si>
  <si>
    <t>4163</t>
  </si>
  <si>
    <t>Midwest Restoration</t>
  </si>
  <si>
    <t>4164</t>
  </si>
  <si>
    <t>Solar Solution</t>
  </si>
  <si>
    <t>4165</t>
  </si>
  <si>
    <t>Vericon Construction Company</t>
  </si>
  <si>
    <t>4166</t>
  </si>
  <si>
    <t>United Medco</t>
  </si>
  <si>
    <t>4167</t>
  </si>
  <si>
    <t>Forrest Performance Group</t>
  </si>
  <si>
    <t>4168</t>
  </si>
  <si>
    <t>Winston's of Northern Virginia</t>
  </si>
  <si>
    <t>4169</t>
  </si>
  <si>
    <t>AHS Consulting</t>
  </si>
  <si>
    <t>4170</t>
  </si>
  <si>
    <t>Zenmonics</t>
  </si>
  <si>
    <t>4171</t>
  </si>
  <si>
    <t>InterWorks</t>
  </si>
  <si>
    <t>4172</t>
  </si>
  <si>
    <t>Gemini Tech Services</t>
  </si>
  <si>
    <t>4173</t>
  </si>
  <si>
    <t>Evereve</t>
  </si>
  <si>
    <t>4174</t>
  </si>
  <si>
    <t>PN Automation</t>
  </si>
  <si>
    <t>4175</t>
  </si>
  <si>
    <t>Capstone Information Technologies</t>
  </si>
  <si>
    <t>4176</t>
  </si>
  <si>
    <t>Todays Business</t>
  </si>
  <si>
    <t>4177</t>
  </si>
  <si>
    <t>Creative Studio Promotions</t>
  </si>
  <si>
    <t>4178</t>
  </si>
  <si>
    <t>TapClassifieds Auto</t>
  </si>
  <si>
    <t>4179</t>
  </si>
  <si>
    <t>Hiatus Spa Retreat</t>
  </si>
  <si>
    <t>4180</t>
  </si>
  <si>
    <t>DRT Transportation</t>
  </si>
  <si>
    <t>4181</t>
  </si>
  <si>
    <t>Community Association Management Company</t>
  </si>
  <si>
    <t>4182</t>
  </si>
  <si>
    <t>CRM Passport</t>
  </si>
  <si>
    <t>4183</t>
  </si>
  <si>
    <t>Silk Worldwide</t>
  </si>
  <si>
    <t>4184</t>
  </si>
  <si>
    <t>Balsam Hill</t>
  </si>
  <si>
    <t>4185</t>
  </si>
  <si>
    <t>Pin-Point Logistics</t>
  </si>
  <si>
    <t>4186</t>
  </si>
  <si>
    <t>Anchor Distributing</t>
  </si>
  <si>
    <t>4187</t>
  </si>
  <si>
    <t>MY Shower Door / D3 Glass</t>
  </si>
  <si>
    <t>Capital Title of Texas</t>
  </si>
  <si>
    <t>4188</t>
  </si>
  <si>
    <t>CivicPlus</t>
  </si>
  <si>
    <t>4189</t>
  </si>
  <si>
    <t>ROCS Grad Staffing</t>
  </si>
  <si>
    <t>4190</t>
  </si>
  <si>
    <t>Nexcom</t>
  </si>
  <si>
    <t>4191</t>
  </si>
  <si>
    <t>Saalex Solutions</t>
  </si>
  <si>
    <t>4192</t>
  </si>
  <si>
    <t>Apex Energy Solutions</t>
  </si>
  <si>
    <t>4193</t>
  </si>
  <si>
    <t>Berkley</t>
  </si>
  <si>
    <t>4194</t>
  </si>
  <si>
    <t>Total Care Connections</t>
  </si>
  <si>
    <t>4195</t>
  </si>
  <si>
    <t>Emergicon</t>
  </si>
  <si>
    <t>4196</t>
  </si>
  <si>
    <t>Landerholm Family Law</t>
  </si>
  <si>
    <t>4197</t>
  </si>
  <si>
    <t>Itransition</t>
  </si>
  <si>
    <t>4198</t>
  </si>
  <si>
    <t>Black Mountain Systems</t>
  </si>
  <si>
    <t>4199</t>
  </si>
  <si>
    <t>B2Gnow</t>
  </si>
  <si>
    <t>4200</t>
  </si>
  <si>
    <t>Torch Technologies</t>
  </si>
  <si>
    <t>4201</t>
  </si>
  <si>
    <t>HomElectrical</t>
  </si>
  <si>
    <t>4202</t>
  </si>
  <si>
    <t>Image Business Interiors</t>
  </si>
  <si>
    <t>4203</t>
  </si>
  <si>
    <t>Akuranvyka DBA</t>
  </si>
  <si>
    <t>4204</t>
  </si>
  <si>
    <t>Listrak</t>
  </si>
  <si>
    <t>4205</t>
  </si>
  <si>
    <t>IT Direct</t>
  </si>
  <si>
    <t>4206</t>
  </si>
  <si>
    <t>TK Promotions</t>
  </si>
  <si>
    <t>4207</t>
  </si>
  <si>
    <t>US Med-Equip</t>
  </si>
  <si>
    <t>4208</t>
  </si>
  <si>
    <t>Atlantic Environmental Solutions</t>
  </si>
  <si>
    <t>4209</t>
  </si>
  <si>
    <t>Grasp Technologies</t>
  </si>
  <si>
    <t>4210</t>
  </si>
  <si>
    <t>OnceLogix</t>
  </si>
  <si>
    <t>4211</t>
  </si>
  <si>
    <t>Star Staffing Alpena</t>
  </si>
  <si>
    <t>4212</t>
  </si>
  <si>
    <t>Urban Betty</t>
  </si>
  <si>
    <t>4213</t>
  </si>
  <si>
    <t>Boca Beauty Academy</t>
  </si>
  <si>
    <t>4214</t>
  </si>
  <si>
    <t>Glen Eagle</t>
  </si>
  <si>
    <t>4215</t>
  </si>
  <si>
    <t>2:20 Marketing Group /Xurli</t>
  </si>
  <si>
    <t>4216</t>
  </si>
  <si>
    <t>Ob Hospitalist Group</t>
  </si>
  <si>
    <t>4217</t>
  </si>
  <si>
    <t>TechCXO</t>
  </si>
  <si>
    <t>4218</t>
  </si>
  <si>
    <t>Birds Barbershop</t>
  </si>
  <si>
    <t>4219</t>
  </si>
  <si>
    <t>Arke Systems</t>
  </si>
  <si>
    <t>4220</t>
  </si>
  <si>
    <t>Stomping Ground Photography</t>
  </si>
  <si>
    <t>4221</t>
  </si>
  <si>
    <t>Jackrabbit Technologies</t>
  </si>
  <si>
    <t>4222</t>
  </si>
  <si>
    <t>Freight Hub Group</t>
  </si>
  <si>
    <t>4223</t>
  </si>
  <si>
    <t>Jonathan's Grille</t>
  </si>
  <si>
    <t>4224</t>
  </si>
  <si>
    <t>Jones PR</t>
  </si>
  <si>
    <t>4225</t>
  </si>
  <si>
    <t>ApplicantPro</t>
  </si>
  <si>
    <t>4226</t>
  </si>
  <si>
    <t>Open Dealer Exchange</t>
  </si>
  <si>
    <t>4227</t>
  </si>
  <si>
    <t>Oklahoma Forge</t>
  </si>
  <si>
    <t>4228</t>
  </si>
  <si>
    <t>SupplyCore</t>
  </si>
  <si>
    <t>4229</t>
  </si>
  <si>
    <t>DRT Strategies</t>
  </si>
  <si>
    <t>4230</t>
  </si>
  <si>
    <t>Legend Medical</t>
  </si>
  <si>
    <t>4231</t>
  </si>
  <si>
    <t>Altitude Marketing</t>
  </si>
  <si>
    <t>4232</t>
  </si>
  <si>
    <t>Golftec</t>
  </si>
  <si>
    <t>4233</t>
  </si>
  <si>
    <t>DBSync</t>
  </si>
  <si>
    <t>4234</t>
  </si>
  <si>
    <t>MiCamp Solutions</t>
  </si>
  <si>
    <t>4235</t>
  </si>
  <si>
    <t>Media Minefield</t>
  </si>
  <si>
    <t>4236</t>
  </si>
  <si>
    <t>Homeside Financial</t>
  </si>
  <si>
    <t>4237</t>
  </si>
  <si>
    <t>Accord Group</t>
  </si>
  <si>
    <t>4238</t>
  </si>
  <si>
    <t>nexVortex</t>
  </si>
  <si>
    <t>4239</t>
  </si>
  <si>
    <t>Westminster American Insurance Company</t>
  </si>
  <si>
    <t>4240</t>
  </si>
  <si>
    <t>Cable Ties Unlimited</t>
  </si>
  <si>
    <t>4241</t>
  </si>
  <si>
    <t>P.Q.D. International</t>
  </si>
  <si>
    <t>4242</t>
  </si>
  <si>
    <t>Woolley Robertson Group</t>
  </si>
  <si>
    <t>4243</t>
  </si>
  <si>
    <t>Robinson Air</t>
  </si>
  <si>
    <t>4244</t>
  </si>
  <si>
    <t>Investigroup Limited Liability Company</t>
  </si>
  <si>
    <t>4245</t>
  </si>
  <si>
    <t>Authentic Custom Homes</t>
  </si>
  <si>
    <t>4246</t>
  </si>
  <si>
    <t>Saxum</t>
  </si>
  <si>
    <t>4247</t>
  </si>
  <si>
    <t>BoardPaq</t>
  </si>
  <si>
    <t>4248</t>
  </si>
  <si>
    <t>SBS CyberSecurity</t>
  </si>
  <si>
    <t>4249</t>
  </si>
  <si>
    <t>New City Moving</t>
  </si>
  <si>
    <t>4250</t>
  </si>
  <si>
    <t>30 Point Strategies</t>
  </si>
  <si>
    <t>4251</t>
  </si>
  <si>
    <t>Towner Communications</t>
  </si>
  <si>
    <t>4252</t>
  </si>
  <si>
    <t>KRG Technologies</t>
  </si>
  <si>
    <t>4253</t>
  </si>
  <si>
    <t>Trademasters Service</t>
  </si>
  <si>
    <t>4254</t>
  </si>
  <si>
    <t>The Icebox</t>
  </si>
  <si>
    <t>4255</t>
  </si>
  <si>
    <t>GMF Steel Group</t>
  </si>
  <si>
    <t>4256</t>
  </si>
  <si>
    <t>First Line Technology</t>
  </si>
  <si>
    <t>4257</t>
  </si>
  <si>
    <t>Proforma Add-a-Line</t>
  </si>
  <si>
    <t>4258</t>
  </si>
  <si>
    <t>The Complete Child</t>
  </si>
  <si>
    <t>4259</t>
  </si>
  <si>
    <t>Web Shop Manager</t>
  </si>
  <si>
    <t>4260</t>
  </si>
  <si>
    <t>Integrity Services</t>
  </si>
  <si>
    <t>4261</t>
  </si>
  <si>
    <t>Pine Grove Financial Group</t>
  </si>
  <si>
    <t>4262</t>
  </si>
  <si>
    <t>Stone Resource Group</t>
  </si>
  <si>
    <t>4263</t>
  </si>
  <si>
    <t>Planet DDS</t>
  </si>
  <si>
    <t>4264</t>
  </si>
  <si>
    <t>Discovery Health Partners</t>
  </si>
  <si>
    <t>4265</t>
  </si>
  <si>
    <t>Resource Communications Group</t>
  </si>
  <si>
    <t>4266</t>
  </si>
  <si>
    <t>Window World of Baton Rouge</t>
  </si>
  <si>
    <t>4267</t>
  </si>
  <si>
    <t>Freedom Specialty Services</t>
  </si>
  <si>
    <t>4268</t>
  </si>
  <si>
    <t>Midwest Prototyping</t>
  </si>
  <si>
    <t>4269</t>
  </si>
  <si>
    <t>Devada</t>
  </si>
  <si>
    <t>Sebpo</t>
  </si>
  <si>
    <t>4270</t>
  </si>
  <si>
    <t>Consolidus</t>
  </si>
  <si>
    <t>4271</t>
  </si>
  <si>
    <t>CrossCountry Consulting</t>
  </si>
  <si>
    <t>4272</t>
  </si>
  <si>
    <t>Executive Speakers Bureau</t>
  </si>
  <si>
    <t>4273</t>
  </si>
  <si>
    <t>Charlesgate Realty Group</t>
  </si>
  <si>
    <t>4274</t>
  </si>
  <si>
    <t>iMobile</t>
  </si>
  <si>
    <t>4275</t>
  </si>
  <si>
    <t>Eclat Health Solutions</t>
  </si>
  <si>
    <t>4276</t>
  </si>
  <si>
    <t>The Payroll Company (TPC)</t>
  </si>
  <si>
    <t>4277</t>
  </si>
  <si>
    <t>Applied Training Solutions</t>
  </si>
  <si>
    <t>4278</t>
  </si>
  <si>
    <t>Brio Benefit Consulting</t>
  </si>
  <si>
    <t>4279</t>
  </si>
  <si>
    <t>JazzHR</t>
  </si>
  <si>
    <t>4280</t>
  </si>
  <si>
    <t>ReEmployAbility</t>
  </si>
  <si>
    <t>4281</t>
  </si>
  <si>
    <t>CoDev</t>
  </si>
  <si>
    <t>4282</t>
  </si>
  <si>
    <t>Milo's Tea Company</t>
  </si>
  <si>
    <t>4283</t>
  </si>
  <si>
    <t>Cook Security Group</t>
  </si>
  <si>
    <t>4284</t>
  </si>
  <si>
    <t>Alliance Resource Group</t>
  </si>
  <si>
    <t>4285</t>
  </si>
  <si>
    <t>Beauty Solutions</t>
  </si>
  <si>
    <t>4286</t>
  </si>
  <si>
    <t>Mathys+Potestio</t>
  </si>
  <si>
    <t>4287</t>
  </si>
  <si>
    <t>The Northbridge Companies</t>
  </si>
  <si>
    <t>4288</t>
  </si>
  <si>
    <t>Thriveon</t>
  </si>
  <si>
    <t>4289</t>
  </si>
  <si>
    <t>Advanced Strategic Enterprise Concepts 3</t>
  </si>
  <si>
    <t>4290</t>
  </si>
  <si>
    <t>1st Choice Roofing Company</t>
  </si>
  <si>
    <t>4291</t>
  </si>
  <si>
    <t>LBA Haynes Strand</t>
  </si>
  <si>
    <t>4292</t>
  </si>
  <si>
    <t>Ardent Learning</t>
  </si>
  <si>
    <t>4293</t>
  </si>
  <si>
    <t>IronEdge Group</t>
  </si>
  <si>
    <t>4294</t>
  </si>
  <si>
    <t>Jewel Branding &amp; Licensing</t>
  </si>
  <si>
    <t>4295</t>
  </si>
  <si>
    <t>The Advocates</t>
  </si>
  <si>
    <t>4296</t>
  </si>
  <si>
    <t>Barra &amp; Associates</t>
  </si>
  <si>
    <t>4297</t>
  </si>
  <si>
    <t>InVision Security</t>
  </si>
  <si>
    <t>4298</t>
  </si>
  <si>
    <t>FC Construction Services</t>
  </si>
  <si>
    <t>4299</t>
  </si>
  <si>
    <t>Orion Technologies</t>
  </si>
  <si>
    <t>4300</t>
  </si>
  <si>
    <t>ITility</t>
  </si>
  <si>
    <t>4301</t>
  </si>
  <si>
    <t>Health Perspectives Group</t>
  </si>
  <si>
    <t>4302</t>
  </si>
  <si>
    <t>The Dirt Connection</t>
  </si>
  <si>
    <t>4303</t>
  </si>
  <si>
    <t>Nayamode</t>
  </si>
  <si>
    <t>4304</t>
  </si>
  <si>
    <t>Excel Education Systems</t>
  </si>
  <si>
    <t>4305</t>
  </si>
  <si>
    <t>Solvaria</t>
  </si>
  <si>
    <t>4306</t>
  </si>
  <si>
    <t>Ascii Group</t>
  </si>
  <si>
    <t>4307</t>
  </si>
  <si>
    <t>XeteX</t>
  </si>
  <si>
    <t>4308</t>
  </si>
  <si>
    <t>Dynamit</t>
  </si>
  <si>
    <t>4309</t>
  </si>
  <si>
    <t>Morales Group</t>
  </si>
  <si>
    <t>4310</t>
  </si>
  <si>
    <t>Swisstrax Corporation</t>
  </si>
  <si>
    <t>4311</t>
  </si>
  <si>
    <t>Econologics Financial Advisors</t>
  </si>
  <si>
    <t>4312</t>
  </si>
  <si>
    <t>Monumetric</t>
  </si>
  <si>
    <t>4313</t>
  </si>
  <si>
    <t>Mountain Construction and Management Denver Division</t>
  </si>
  <si>
    <t>4314</t>
  </si>
  <si>
    <t>ExactCare Pharmacy</t>
  </si>
  <si>
    <t>4315</t>
  </si>
  <si>
    <t>Corbett Technology Solutions</t>
  </si>
  <si>
    <t>4316</t>
  </si>
  <si>
    <t>Crabtree, Rowe &amp; Berger</t>
  </si>
  <si>
    <t>4317</t>
  </si>
  <si>
    <t>Bluetree Network</t>
  </si>
  <si>
    <t>4318</t>
  </si>
  <si>
    <t>Powerblanket</t>
  </si>
  <si>
    <t>4319</t>
  </si>
  <si>
    <t>The Firm Advisors</t>
  </si>
  <si>
    <t>4320</t>
  </si>
  <si>
    <t>V Digital Services</t>
  </si>
  <si>
    <t>4321</t>
  </si>
  <si>
    <t>Premier Graphics</t>
  </si>
  <si>
    <t>4322</t>
  </si>
  <si>
    <t>Blair Technology Group</t>
  </si>
  <si>
    <t>4323</t>
  </si>
  <si>
    <t>Southern RV</t>
  </si>
  <si>
    <t>4324</t>
  </si>
  <si>
    <t>Crosslin Technologies</t>
  </si>
  <si>
    <t>4325</t>
  </si>
  <si>
    <t>Precision Medical Products</t>
  </si>
  <si>
    <t>4326</t>
  </si>
  <si>
    <t>StackCommerce</t>
  </si>
  <si>
    <t>4327</t>
  </si>
  <si>
    <t>Oxagile</t>
  </si>
  <si>
    <t>4328</t>
  </si>
  <si>
    <t>Etica</t>
  </si>
  <si>
    <t>4329</t>
  </si>
  <si>
    <t>MyITpros</t>
  </si>
  <si>
    <t>4330</t>
  </si>
  <si>
    <t>Eanes Heating and Air</t>
  </si>
  <si>
    <t>4331</t>
  </si>
  <si>
    <t>Access Insurance Underwriter</t>
  </si>
  <si>
    <t>4332</t>
  </si>
  <si>
    <t>Clarendon Partners</t>
  </si>
  <si>
    <t>4333</t>
  </si>
  <si>
    <t>ProHome Metro DC</t>
  </si>
  <si>
    <t>4334</t>
  </si>
  <si>
    <t>VOX Network Solutions</t>
  </si>
  <si>
    <t>4335</t>
  </si>
  <si>
    <t>ITEGRIA</t>
  </si>
  <si>
    <t>4336</t>
  </si>
  <si>
    <t>Timber Industries</t>
  </si>
  <si>
    <t>4337</t>
  </si>
  <si>
    <t>G&amp;A Partners</t>
  </si>
  <si>
    <t>4338</t>
  </si>
  <si>
    <t>Phipps Reporting</t>
  </si>
  <si>
    <t>4339</t>
  </si>
  <si>
    <t>Insurance Services Group of the Southeast</t>
  </si>
  <si>
    <t>4340</t>
  </si>
  <si>
    <t>Burnham Benefits Insurance Services</t>
  </si>
  <si>
    <t>4341</t>
  </si>
  <si>
    <t>Lighthouse Lab Services</t>
  </si>
  <si>
    <t>4342</t>
  </si>
  <si>
    <t>Covenant Eyes</t>
  </si>
  <si>
    <t>4343</t>
  </si>
  <si>
    <t>Integrated Payroll Services</t>
  </si>
  <si>
    <t>4344</t>
  </si>
  <si>
    <t>Caring Commercial Cleaning</t>
  </si>
  <si>
    <t>4345</t>
  </si>
  <si>
    <t>Compunnel Software Group</t>
  </si>
  <si>
    <t>4346</t>
  </si>
  <si>
    <t>Capstone Consulting</t>
  </si>
  <si>
    <t>4347</t>
  </si>
  <si>
    <t>Litigation Services</t>
  </si>
  <si>
    <t>4348</t>
  </si>
  <si>
    <t>United Franchise Group</t>
  </si>
  <si>
    <t>4349</t>
  </si>
  <si>
    <t>Everlasting Capital</t>
  </si>
  <si>
    <t>4350</t>
  </si>
  <si>
    <t>Stria</t>
  </si>
  <si>
    <t>4351</t>
  </si>
  <si>
    <t>Taylor's Natural Green Lawn</t>
  </si>
  <si>
    <t>4352</t>
  </si>
  <si>
    <t>The Rainmaker Group</t>
  </si>
  <si>
    <t>4353</t>
  </si>
  <si>
    <t>Fidelus Technologies</t>
  </si>
  <si>
    <t>4354</t>
  </si>
  <si>
    <t>Right Sized Solutions</t>
  </si>
  <si>
    <t>4355</t>
  </si>
  <si>
    <t>N&amp;L Investment Corp</t>
  </si>
  <si>
    <t>4356</t>
  </si>
  <si>
    <t>Republic Bank of Chicago</t>
  </si>
  <si>
    <t>4357</t>
  </si>
  <si>
    <t>K &amp; P Enterprises</t>
  </si>
  <si>
    <t>4358</t>
  </si>
  <si>
    <t>tap|QA</t>
  </si>
  <si>
    <t>4359</t>
  </si>
  <si>
    <t>TPI Efficiency</t>
  </si>
  <si>
    <t>4360</t>
  </si>
  <si>
    <t>SPOL</t>
  </si>
  <si>
    <t>4361</t>
  </si>
  <si>
    <t>VS carriers</t>
  </si>
  <si>
    <t>4362</t>
  </si>
  <si>
    <t>Hillmann Consulting</t>
  </si>
  <si>
    <t>4363</t>
  </si>
  <si>
    <t>Top Class Actions</t>
  </si>
  <si>
    <t>4364</t>
  </si>
  <si>
    <t>Brilliant Infotech</t>
  </si>
  <si>
    <t>4365</t>
  </si>
  <si>
    <t>Medication Management Partners</t>
  </si>
  <si>
    <t>4366</t>
  </si>
  <si>
    <t>Consumer Cellular</t>
  </si>
  <si>
    <t>4367</t>
  </si>
  <si>
    <t>OneSource Virtual</t>
  </si>
  <si>
    <t>4368</t>
  </si>
  <si>
    <t>The Wireless Experience</t>
  </si>
  <si>
    <t>4369</t>
  </si>
  <si>
    <t>THS Constructors</t>
  </si>
  <si>
    <t>4370</t>
  </si>
  <si>
    <t>Milk + Honey</t>
  </si>
  <si>
    <t>4371</t>
  </si>
  <si>
    <t>Seattle Coffee Gear</t>
  </si>
  <si>
    <t>4372</t>
  </si>
  <si>
    <t>Netrepid</t>
  </si>
  <si>
    <t>4373</t>
  </si>
  <si>
    <t>Service Professor</t>
  </si>
  <si>
    <t>4374</t>
  </si>
  <si>
    <t>UIS</t>
  </si>
  <si>
    <t>4375</t>
  </si>
  <si>
    <t>Edwards Performance Solutions</t>
  </si>
  <si>
    <t>4376</t>
  </si>
  <si>
    <t>Maverick Networks</t>
  </si>
  <si>
    <t>4377</t>
  </si>
  <si>
    <t>Impiger Technologies</t>
  </si>
  <si>
    <t>4378</t>
  </si>
  <si>
    <t>UPS Protection</t>
  </si>
  <si>
    <t>4379</t>
  </si>
  <si>
    <t>Immersion Active</t>
  </si>
  <si>
    <t>4380</t>
  </si>
  <si>
    <t>PharmaLogics Recruiting</t>
  </si>
  <si>
    <t>4381</t>
  </si>
  <si>
    <t>Mortgage Capital Trading</t>
  </si>
  <si>
    <t>4382</t>
  </si>
  <si>
    <t>Five Star Connect</t>
  </si>
  <si>
    <t>4383</t>
  </si>
  <si>
    <t>Canale Communications</t>
  </si>
  <si>
    <t>4384</t>
  </si>
  <si>
    <t>CleanChoice Energy</t>
  </si>
  <si>
    <t>4385</t>
  </si>
  <si>
    <t>Innovative Enterprises</t>
  </si>
  <si>
    <t>4386</t>
  </si>
  <si>
    <t>GNT Solutions</t>
  </si>
  <si>
    <t>4387</t>
  </si>
  <si>
    <t>Professional Capital Services</t>
  </si>
  <si>
    <t>4388</t>
  </si>
  <si>
    <t>24Hr HomeCare</t>
  </si>
  <si>
    <t>4389</t>
  </si>
  <si>
    <t>NewMark Merrill Companies</t>
  </si>
  <si>
    <t>4390</t>
  </si>
  <si>
    <t>Fluid-Aire Dynamics</t>
  </si>
  <si>
    <t>4391</t>
  </si>
  <si>
    <t>Faye Business Systems Group</t>
  </si>
  <si>
    <t>4392</t>
  </si>
  <si>
    <t>Custom Tree Care</t>
  </si>
  <si>
    <t>4393</t>
  </si>
  <si>
    <t>Lumark Technologies</t>
  </si>
  <si>
    <t>4394</t>
  </si>
  <si>
    <t>Primal Health</t>
  </si>
  <si>
    <t>4395</t>
  </si>
  <si>
    <t>Coast Professional</t>
  </si>
  <si>
    <t>4396</t>
  </si>
  <si>
    <t>ReminderMedia</t>
  </si>
  <si>
    <t>4397</t>
  </si>
  <si>
    <t>College Hunks Hauling Junk &amp; Moving of Long Island</t>
  </si>
  <si>
    <t>4398</t>
  </si>
  <si>
    <t>Akorbi</t>
  </si>
  <si>
    <t>4399</t>
  </si>
  <si>
    <t>MotherG</t>
  </si>
  <si>
    <t>4400</t>
  </si>
  <si>
    <t>JusbyJulie.com</t>
  </si>
  <si>
    <t>4401</t>
  </si>
  <si>
    <t>Blue Microphones</t>
  </si>
  <si>
    <t>4402</t>
  </si>
  <si>
    <t>NexDine</t>
  </si>
  <si>
    <t>4403</t>
  </si>
  <si>
    <t>Comprehensive Finance</t>
  </si>
  <si>
    <t>4404</t>
  </si>
  <si>
    <t>Trideum Corporation</t>
  </si>
  <si>
    <t>4405</t>
  </si>
  <si>
    <t>V-Soft Consulting Group</t>
  </si>
  <si>
    <t>4406</t>
  </si>
  <si>
    <t>EXB Solutions</t>
  </si>
  <si>
    <t>4407</t>
  </si>
  <si>
    <t>ListEngage</t>
  </si>
  <si>
    <t>4408</t>
  </si>
  <si>
    <t>MasteryPrep</t>
  </si>
  <si>
    <t>4409</t>
  </si>
  <si>
    <t>Forthea Interactive</t>
  </si>
  <si>
    <t>4410</t>
  </si>
  <si>
    <t>Morgan Properties</t>
  </si>
  <si>
    <t>4411</t>
  </si>
  <si>
    <t>First Flight Solutions</t>
  </si>
  <si>
    <t>4412</t>
  </si>
  <si>
    <t>Blend360</t>
  </si>
  <si>
    <t>4413</t>
  </si>
  <si>
    <t>Illegal Pete's</t>
  </si>
  <si>
    <t>4414</t>
  </si>
  <si>
    <t>Whereoware</t>
  </si>
  <si>
    <t>4415</t>
  </si>
  <si>
    <t>Insurance Brokers West</t>
  </si>
  <si>
    <t>4416</t>
  </si>
  <si>
    <t>KRD - Kutchins, Robbins &amp; Diamond, Ltd.</t>
  </si>
  <si>
    <t>4417</t>
  </si>
  <si>
    <t>Influence &amp; Co.</t>
  </si>
  <si>
    <t>4418</t>
  </si>
  <si>
    <t>Dane Street</t>
  </si>
  <si>
    <t>4419</t>
  </si>
  <si>
    <t>Nightlight Pediatric Urgent Care</t>
  </si>
  <si>
    <t>4420</t>
  </si>
  <si>
    <t>iVision</t>
  </si>
  <si>
    <t>4421</t>
  </si>
  <si>
    <t>Groggy Dog Sportswear &amp; Graphic Design</t>
  </si>
  <si>
    <t>4422</t>
  </si>
  <si>
    <t>Momentum Telecom</t>
  </si>
  <si>
    <t>4423</t>
  </si>
  <si>
    <t>Parker's</t>
  </si>
  <si>
    <t>4424</t>
  </si>
  <si>
    <t>Walker Elliott</t>
  </si>
  <si>
    <t>4425</t>
  </si>
  <si>
    <t>InboundProspect</t>
  </si>
  <si>
    <t>4426</t>
  </si>
  <si>
    <t>Big Data Supply</t>
  </si>
  <si>
    <t>4427</t>
  </si>
  <si>
    <t>Comtec Cloud Management Company</t>
  </si>
  <si>
    <t>4428</t>
  </si>
  <si>
    <t>VDart</t>
  </si>
  <si>
    <t>4429</t>
  </si>
  <si>
    <t>Hasko Trading</t>
  </si>
  <si>
    <t>4430</t>
  </si>
  <si>
    <t>Groover Seminars</t>
  </si>
  <si>
    <t>4431</t>
  </si>
  <si>
    <t>Freight Management Team</t>
  </si>
  <si>
    <t>4432</t>
  </si>
  <si>
    <t>Trelevate</t>
  </si>
  <si>
    <t>4433</t>
  </si>
  <si>
    <t>Interglass Corp</t>
  </si>
  <si>
    <t>4434</t>
  </si>
  <si>
    <t>Impact Advisors</t>
  </si>
  <si>
    <t>4435</t>
  </si>
  <si>
    <t>TGRP Solutions</t>
  </si>
  <si>
    <t>4436</t>
  </si>
  <si>
    <t>Karavan Trailers</t>
  </si>
  <si>
    <t>4437</t>
  </si>
  <si>
    <t>Pyramid Dental Integration</t>
  </si>
  <si>
    <t>4438</t>
  </si>
  <si>
    <t>Exclusive Concepts</t>
  </si>
  <si>
    <t>4439</t>
  </si>
  <si>
    <t>Adler Windows</t>
  </si>
  <si>
    <t>4440</t>
  </si>
  <si>
    <t>MyJobHelper.com</t>
  </si>
  <si>
    <t>4441</t>
  </si>
  <si>
    <t>Aggressor Adventures</t>
  </si>
  <si>
    <t>4442</t>
  </si>
  <si>
    <t>Ware Malcomb</t>
  </si>
  <si>
    <t>4443</t>
  </si>
  <si>
    <t>Resonate</t>
  </si>
  <si>
    <t>4444</t>
  </si>
  <si>
    <t>Classic Rock Fabrication</t>
  </si>
  <si>
    <t>4445</t>
  </si>
  <si>
    <t>WGroup</t>
  </si>
  <si>
    <t>4446</t>
  </si>
  <si>
    <t>Gaspar Insurance Services</t>
  </si>
  <si>
    <t>4447</t>
  </si>
  <si>
    <t>PJP Marketing</t>
  </si>
  <si>
    <t>4448</t>
  </si>
  <si>
    <t>Exact Solar</t>
  </si>
  <si>
    <t>4449</t>
  </si>
  <si>
    <t>Revel Interactive</t>
  </si>
  <si>
    <t>4450</t>
  </si>
  <si>
    <t>JMJS</t>
  </si>
  <si>
    <t>4451</t>
  </si>
  <si>
    <t>Taradel</t>
  </si>
  <si>
    <t>4452</t>
  </si>
  <si>
    <t>Zoom Technical Services</t>
  </si>
  <si>
    <t>4453</t>
  </si>
  <si>
    <t>POP Yachts</t>
  </si>
  <si>
    <t>4454</t>
  </si>
  <si>
    <t>Critical Link</t>
  </si>
  <si>
    <t>4455</t>
  </si>
  <si>
    <t>HMS Global Maritime</t>
  </si>
  <si>
    <t>4456</t>
  </si>
  <si>
    <t>Stored Technology Solutions</t>
  </si>
  <si>
    <t>4457</t>
  </si>
  <si>
    <t>HNH Investment LP</t>
  </si>
  <si>
    <t>4458</t>
  </si>
  <si>
    <t>Momentum Consulting</t>
  </si>
  <si>
    <t>4459</t>
  </si>
  <si>
    <t>ConnectYourCare</t>
  </si>
  <si>
    <t>4460</t>
  </si>
  <si>
    <t>Vault Communications</t>
  </si>
  <si>
    <t>4461</t>
  </si>
  <si>
    <t>Maryland and Delaware Group of Long and Foster</t>
  </si>
  <si>
    <t>4462</t>
  </si>
  <si>
    <t>MedRisk</t>
  </si>
  <si>
    <t>4463</t>
  </si>
  <si>
    <t>Connective Talent</t>
  </si>
  <si>
    <t>4464</t>
  </si>
  <si>
    <t>Lumitec Lighting</t>
  </si>
  <si>
    <t>4465</t>
  </si>
  <si>
    <t>SyncHR</t>
  </si>
  <si>
    <t>4466</t>
  </si>
  <si>
    <t>Intellect Solutions</t>
  </si>
  <si>
    <t>4467</t>
  </si>
  <si>
    <t>TENS Rx</t>
  </si>
  <si>
    <t>4468</t>
  </si>
  <si>
    <t>Advanced Clinical</t>
  </si>
  <si>
    <t>4469</t>
  </si>
  <si>
    <t>Demco Automation</t>
  </si>
  <si>
    <t>4470</t>
  </si>
  <si>
    <t>PRA Business Events New Orleans</t>
  </si>
  <si>
    <t>4471</t>
  </si>
  <si>
    <t>blueStone Staffing</t>
  </si>
  <si>
    <t>4472</t>
  </si>
  <si>
    <t>Juno Search Partners</t>
  </si>
  <si>
    <t>4473</t>
  </si>
  <si>
    <t>eHealth Technologies</t>
  </si>
  <si>
    <t>4474</t>
  </si>
  <si>
    <t>Illuminate</t>
  </si>
  <si>
    <t>4475</t>
  </si>
  <si>
    <t>Bottlerocket Media</t>
  </si>
  <si>
    <t>4476</t>
  </si>
  <si>
    <t>Corporate Essentials</t>
  </si>
  <si>
    <t>4477</t>
  </si>
  <si>
    <t>Globotech USA Corporation</t>
  </si>
  <si>
    <t>4478</t>
  </si>
  <si>
    <t>Tech-Keys</t>
  </si>
  <si>
    <t>4479</t>
  </si>
  <si>
    <t>Staff Matters</t>
  </si>
  <si>
    <t>4480</t>
  </si>
  <si>
    <t>Midtown Home Improvements</t>
  </si>
  <si>
    <t>4481</t>
  </si>
  <si>
    <t>Envision Capital Group</t>
  </si>
  <si>
    <t>4482</t>
  </si>
  <si>
    <t>The Eye Doctors</t>
  </si>
  <si>
    <t>4483</t>
  </si>
  <si>
    <t>Dempsey Construction</t>
  </si>
  <si>
    <t>4484</t>
  </si>
  <si>
    <t>9Gauge Partners</t>
  </si>
  <si>
    <t>4485</t>
  </si>
  <si>
    <t>Parsonex Enterprises</t>
  </si>
  <si>
    <t>4486</t>
  </si>
  <si>
    <t>Baskervill</t>
  </si>
  <si>
    <t>4487</t>
  </si>
  <si>
    <t>Consolidated Analytics</t>
  </si>
  <si>
    <t>4488</t>
  </si>
  <si>
    <t>EDG</t>
  </si>
  <si>
    <t>4489</t>
  </si>
  <si>
    <t>Aterra Real Estate</t>
  </si>
  <si>
    <t>4490</t>
  </si>
  <si>
    <t>Azpro</t>
  </si>
  <si>
    <t>4491</t>
  </si>
  <si>
    <t>CoTa Global</t>
  </si>
  <si>
    <t>4492</t>
  </si>
  <si>
    <t>Scalar</t>
  </si>
  <si>
    <t>4493</t>
  </si>
  <si>
    <t>Pro Mach</t>
  </si>
  <si>
    <t>4494</t>
  </si>
  <si>
    <t>Fakhoury Global Immigration</t>
  </si>
  <si>
    <t>4495</t>
  </si>
  <si>
    <t>Kenway Consulting</t>
  </si>
  <si>
    <t>4496</t>
  </si>
  <si>
    <t>Avian</t>
  </si>
  <si>
    <t>4497</t>
  </si>
  <si>
    <t>Trinity Solar</t>
  </si>
  <si>
    <t>4498</t>
  </si>
  <si>
    <t>Relevant Web Strategies</t>
  </si>
  <si>
    <t>4499</t>
  </si>
  <si>
    <t>Ingo Money</t>
  </si>
  <si>
    <t>4500</t>
  </si>
  <si>
    <t>Aegis Law</t>
  </si>
  <si>
    <t>4501</t>
  </si>
  <si>
    <t>Azimuth</t>
  </si>
  <si>
    <t>4502</t>
  </si>
  <si>
    <t>Sriven Technologies</t>
  </si>
  <si>
    <t>4503</t>
  </si>
  <si>
    <t>Bernard Health</t>
  </si>
  <si>
    <t>4504</t>
  </si>
  <si>
    <t>Summit Wealth Group</t>
  </si>
  <si>
    <t>4505</t>
  </si>
  <si>
    <t>Vantage Point</t>
  </si>
  <si>
    <t>4506</t>
  </si>
  <si>
    <t>Path Interactive</t>
  </si>
  <si>
    <t>4507</t>
  </si>
  <si>
    <t>Ameex Technologies</t>
  </si>
  <si>
    <t>4508</t>
  </si>
  <si>
    <t>Highlands Residential Mortgage</t>
  </si>
  <si>
    <t>4509</t>
  </si>
  <si>
    <t>Q Ship USA</t>
  </si>
  <si>
    <t>4510</t>
  </si>
  <si>
    <t>Premier Automation</t>
  </si>
  <si>
    <t>4511</t>
  </si>
  <si>
    <t>Source Alliance Network</t>
  </si>
  <si>
    <t>4512</t>
  </si>
  <si>
    <t>TicketManager</t>
  </si>
  <si>
    <t>4513</t>
  </si>
  <si>
    <t>Guaranteed Rate</t>
  </si>
  <si>
    <t>4514</t>
  </si>
  <si>
    <t>Poetic Systems</t>
  </si>
  <si>
    <t>4515</t>
  </si>
  <si>
    <t>Equator Coffees</t>
  </si>
  <si>
    <t>4516</t>
  </si>
  <si>
    <t>Supreme Resources</t>
  </si>
  <si>
    <t>4517</t>
  </si>
  <si>
    <t>Fuel Talent</t>
  </si>
  <si>
    <t>4518</t>
  </si>
  <si>
    <t>United Real Estate Group</t>
  </si>
  <si>
    <t>4519</t>
  </si>
  <si>
    <t>JW Construction</t>
  </si>
  <si>
    <t>4520</t>
  </si>
  <si>
    <t>Intercare Therapy</t>
  </si>
  <si>
    <t>4521</t>
  </si>
  <si>
    <t>Bizzell Corporation</t>
  </si>
  <si>
    <t>4522</t>
  </si>
  <si>
    <t>Right Height Manufacturing</t>
  </si>
  <si>
    <t>4523</t>
  </si>
  <si>
    <t>Special Aerospace Services</t>
  </si>
  <si>
    <t>4524</t>
  </si>
  <si>
    <t>BM2 Freight Services</t>
  </si>
  <si>
    <t>4525</t>
  </si>
  <si>
    <t>PMA</t>
  </si>
  <si>
    <t>4526</t>
  </si>
  <si>
    <t>Compass Self Storage</t>
  </si>
  <si>
    <t>4527</t>
  </si>
  <si>
    <t>The Woodhouse Day Spas</t>
  </si>
  <si>
    <t>4528</t>
  </si>
  <si>
    <t>A&amp;P Air Conditioning</t>
  </si>
  <si>
    <t>4529</t>
  </si>
  <si>
    <t>Myriad360</t>
  </si>
  <si>
    <t>4530</t>
  </si>
  <si>
    <t>ZZPerformance</t>
  </si>
  <si>
    <t>4531</t>
  </si>
  <si>
    <t>TengoInternet</t>
  </si>
  <si>
    <t>4532</t>
  </si>
  <si>
    <t>Spoke Marketing</t>
  </si>
  <si>
    <t>4533</t>
  </si>
  <si>
    <t>The Signature Real Estate Companies</t>
  </si>
  <si>
    <t>4534</t>
  </si>
  <si>
    <t>Dreamclinic</t>
  </si>
  <si>
    <t>4535</t>
  </si>
  <si>
    <t>PeopleG2</t>
  </si>
  <si>
    <t>4536</t>
  </si>
  <si>
    <t>Involta</t>
  </si>
  <si>
    <t>4537</t>
  </si>
  <si>
    <t>All Safe Industries</t>
  </si>
  <si>
    <t>4538</t>
  </si>
  <si>
    <t>Law Offices of Anidjar</t>
  </si>
  <si>
    <t>4539</t>
  </si>
  <si>
    <t>3Pillar Global</t>
  </si>
  <si>
    <t>4540</t>
  </si>
  <si>
    <t>Double Good</t>
  </si>
  <si>
    <t>4541</t>
  </si>
  <si>
    <t>Ascend Staffing</t>
  </si>
  <si>
    <t>4542</t>
  </si>
  <si>
    <t>PICS ITech</t>
  </si>
  <si>
    <t>4543</t>
  </si>
  <si>
    <t>Thermal-Vac Technology</t>
  </si>
  <si>
    <t>4544</t>
  </si>
  <si>
    <t>Convergence Consulting Group</t>
  </si>
  <si>
    <t>4545</t>
  </si>
  <si>
    <t>Rendition Infosec</t>
  </si>
  <si>
    <t>4546</t>
  </si>
  <si>
    <t>Organicix</t>
  </si>
  <si>
    <t>4547</t>
  </si>
  <si>
    <t>Sunny Days In-Home Care</t>
  </si>
  <si>
    <t>4548</t>
  </si>
  <si>
    <t>Flowing Wells Landscape</t>
  </si>
  <si>
    <t>4549</t>
  </si>
  <si>
    <t>Kinetix</t>
  </si>
  <si>
    <t>4550</t>
  </si>
  <si>
    <t>TradeTec Skyline</t>
  </si>
  <si>
    <t>4551</t>
  </si>
  <si>
    <t>Financial Carrier Services</t>
  </si>
  <si>
    <t>4552</t>
  </si>
  <si>
    <t>Abacus Group</t>
  </si>
  <si>
    <t>4553</t>
  </si>
  <si>
    <t>Educere</t>
  </si>
  <si>
    <t>4554</t>
  </si>
  <si>
    <t>Silicus Technologies</t>
  </si>
  <si>
    <t>4555</t>
  </si>
  <si>
    <t>SS Industries</t>
  </si>
  <si>
    <t>4556</t>
  </si>
  <si>
    <t>IDS International Government Services</t>
  </si>
  <si>
    <t>4557</t>
  </si>
  <si>
    <t>Windsong Productions</t>
  </si>
  <si>
    <t>4558</t>
  </si>
  <si>
    <t>Insight Technology Solutions</t>
  </si>
  <si>
    <t>4559</t>
  </si>
  <si>
    <t>RxLogix Corporation</t>
  </si>
  <si>
    <t>4560</t>
  </si>
  <si>
    <t>Netsertive</t>
  </si>
  <si>
    <t>4561</t>
  </si>
  <si>
    <t>Hooten Construction</t>
  </si>
  <si>
    <t>4562</t>
  </si>
  <si>
    <t>Angler Construction</t>
  </si>
  <si>
    <t>4563</t>
  </si>
  <si>
    <t>A-Tech Consulting</t>
  </si>
  <si>
    <t>4564</t>
  </si>
  <si>
    <t>Transport Express</t>
  </si>
  <si>
    <t>4565</t>
  </si>
  <si>
    <t>Force Marketing</t>
  </si>
  <si>
    <t>4566</t>
  </si>
  <si>
    <t>Avizion Technologies Group Company</t>
  </si>
  <si>
    <t>4567</t>
  </si>
  <si>
    <t>Atlantic Blowers</t>
  </si>
  <si>
    <t>4568</t>
  </si>
  <si>
    <t>Vanguard Fire Systems</t>
  </si>
  <si>
    <t>4569</t>
  </si>
  <si>
    <t>Seeking Health</t>
  </si>
  <si>
    <t>4570</t>
  </si>
  <si>
    <t>Customized Energy Solutions</t>
  </si>
  <si>
    <t>4571</t>
  </si>
  <si>
    <t>TM5 Properties</t>
  </si>
  <si>
    <t>4572</t>
  </si>
  <si>
    <t>Ctems</t>
  </si>
  <si>
    <t>4573</t>
  </si>
  <si>
    <t>Palmer Signs</t>
  </si>
  <si>
    <t>4574</t>
  </si>
  <si>
    <t>PrimeRevenue</t>
  </si>
  <si>
    <t>4575</t>
  </si>
  <si>
    <t>Morton</t>
  </si>
  <si>
    <t>4576</t>
  </si>
  <si>
    <t>OPAV</t>
  </si>
  <si>
    <t>4577</t>
  </si>
  <si>
    <t>Triangle Insights Group</t>
  </si>
  <si>
    <t>4578</t>
  </si>
  <si>
    <t>180 Engineering</t>
  </si>
  <si>
    <t>4579</t>
  </si>
  <si>
    <t>Powertrain Products</t>
  </si>
  <si>
    <t>4580</t>
  </si>
  <si>
    <t>Comfort Supply</t>
  </si>
  <si>
    <t>4581</t>
  </si>
  <si>
    <t>Oasis Turf &amp; Tree</t>
  </si>
  <si>
    <t>4582</t>
  </si>
  <si>
    <t>Apex HCM</t>
  </si>
  <si>
    <t>4583</t>
  </si>
  <si>
    <t>eTek IT Services</t>
  </si>
  <si>
    <t>4584</t>
  </si>
  <si>
    <t>10Pearls</t>
  </si>
  <si>
    <t>4585</t>
  </si>
  <si>
    <t>Factory Expo Home Centers</t>
  </si>
  <si>
    <t>4586</t>
  </si>
  <si>
    <t>Kidd Roofing</t>
  </si>
  <si>
    <t>4587</t>
  </si>
  <si>
    <t>Advanced Electronic Designs</t>
  </si>
  <si>
    <t>4588</t>
  </si>
  <si>
    <t>Brewer &amp; Stratton Property Management</t>
  </si>
  <si>
    <t>4589</t>
  </si>
  <si>
    <t>Americorp-The Matt Laricy Group</t>
  </si>
  <si>
    <t>4590</t>
  </si>
  <si>
    <t>SBC Contractors</t>
  </si>
  <si>
    <t>4591</t>
  </si>
  <si>
    <t>Artful Living</t>
  </si>
  <si>
    <t>4592</t>
  </si>
  <si>
    <t>Crepes a Latte</t>
  </si>
  <si>
    <t>4593</t>
  </si>
  <si>
    <t>MCCi</t>
  </si>
  <si>
    <t>4594</t>
  </si>
  <si>
    <t>International Van Lines ( Ocean Star International )</t>
  </si>
  <si>
    <t>4595</t>
  </si>
  <si>
    <t>LuminFire</t>
  </si>
  <si>
    <t>4596</t>
  </si>
  <si>
    <t>Liquid Web</t>
  </si>
  <si>
    <t>4597</t>
  </si>
  <si>
    <t>Sustainable Supply</t>
  </si>
  <si>
    <t>4598</t>
  </si>
  <si>
    <t>EmpireWorks</t>
  </si>
  <si>
    <t>4599</t>
  </si>
  <si>
    <t>Fresh Concepts</t>
  </si>
  <si>
    <t>4600</t>
  </si>
  <si>
    <t>Highwire Public Relations</t>
  </si>
  <si>
    <t>4601</t>
  </si>
  <si>
    <t>C&amp;H Baseball</t>
  </si>
  <si>
    <t>4602</t>
  </si>
  <si>
    <t>OVM Financial</t>
  </si>
  <si>
    <t>4603</t>
  </si>
  <si>
    <t>Biotech X-ray</t>
  </si>
  <si>
    <t>4604</t>
  </si>
  <si>
    <t>IntraLogic Solutions</t>
  </si>
  <si>
    <t>4605</t>
  </si>
  <si>
    <t>Invariant</t>
  </si>
  <si>
    <t>4606</t>
  </si>
  <si>
    <t>TargetX.com</t>
  </si>
  <si>
    <t>4607</t>
  </si>
  <si>
    <t>ForceBrands</t>
  </si>
  <si>
    <t>4608</t>
  </si>
  <si>
    <t>Safety Management Group</t>
  </si>
  <si>
    <t>4609</t>
  </si>
  <si>
    <t>Total Quality Logistics</t>
  </si>
  <si>
    <t>4610</t>
  </si>
  <si>
    <t>Pure Financial Advisors</t>
  </si>
  <si>
    <t>4611</t>
  </si>
  <si>
    <t>LINX</t>
  </si>
  <si>
    <t>4612</t>
  </si>
  <si>
    <t>AvroKO</t>
  </si>
  <si>
    <t>4613</t>
  </si>
  <si>
    <t>Morrow Family Medicine</t>
  </si>
  <si>
    <t>4614</t>
  </si>
  <si>
    <t>ExpoMarketing Group</t>
  </si>
  <si>
    <t>4615</t>
  </si>
  <si>
    <t>The Denzel Group</t>
  </si>
  <si>
    <t>4616</t>
  </si>
  <si>
    <t>Rock Solid Stabilization</t>
  </si>
  <si>
    <t>4617</t>
  </si>
  <si>
    <t>Brewer Enterprises</t>
  </si>
  <si>
    <t>4618</t>
  </si>
  <si>
    <t>SoftClouds</t>
  </si>
  <si>
    <t>4619</t>
  </si>
  <si>
    <t>SwipeClock</t>
  </si>
  <si>
    <t>4620</t>
  </si>
  <si>
    <t>Ntiva</t>
  </si>
  <si>
    <t>4621</t>
  </si>
  <si>
    <t>Infinite Windows</t>
  </si>
  <si>
    <t>4622</t>
  </si>
  <si>
    <t>Quantum Workplace</t>
  </si>
  <si>
    <t>4623</t>
  </si>
  <si>
    <t>MuniciPAY</t>
  </si>
  <si>
    <t>4624</t>
  </si>
  <si>
    <t>Primary Staffing</t>
  </si>
  <si>
    <t>4625</t>
  </si>
  <si>
    <t>Pyramid Technologies</t>
  </si>
  <si>
    <t>4626</t>
  </si>
  <si>
    <t>The Credit Pros</t>
  </si>
  <si>
    <t>4627</t>
  </si>
  <si>
    <t>Americollect</t>
  </si>
  <si>
    <t>4628</t>
  </si>
  <si>
    <t>Nexgrill Industries</t>
  </si>
  <si>
    <t>4629</t>
  </si>
  <si>
    <t>Cumming</t>
  </si>
  <si>
    <t>4630</t>
  </si>
  <si>
    <t>Pinnacle Lodging</t>
  </si>
  <si>
    <t>4631</t>
  </si>
  <si>
    <t>HazTek</t>
  </si>
  <si>
    <t>4632</t>
  </si>
  <si>
    <t>Sentinel Security Solutions</t>
  </si>
  <si>
    <t>4633</t>
  </si>
  <si>
    <t>Streamline Publishing</t>
  </si>
  <si>
    <t>4634</t>
  </si>
  <si>
    <t>J.C. Restoration</t>
  </si>
  <si>
    <t>4635</t>
  </si>
  <si>
    <t>Julianna Rae</t>
  </si>
  <si>
    <t>4636</t>
  </si>
  <si>
    <t>Landscape Workshop</t>
  </si>
  <si>
    <t>4637</t>
  </si>
  <si>
    <t>Sacramento Rack and Shelving</t>
  </si>
  <si>
    <t>4638</t>
  </si>
  <si>
    <t>TouchSource</t>
  </si>
  <si>
    <t>4639</t>
  </si>
  <si>
    <t>MSC Development</t>
  </si>
  <si>
    <t>4640</t>
  </si>
  <si>
    <t>Innovative Office Solutions</t>
  </si>
  <si>
    <t>4641</t>
  </si>
  <si>
    <t>VHA Prepaid Wireless</t>
  </si>
  <si>
    <t>4642</t>
  </si>
  <si>
    <t>ARG - AgentHR Recruiting Group</t>
  </si>
  <si>
    <t>4643</t>
  </si>
  <si>
    <t>TruTech Tools</t>
  </si>
  <si>
    <t>4644</t>
  </si>
  <si>
    <t>Peterman Heating, Cooling &amp; Plumbing</t>
  </si>
  <si>
    <t>4645</t>
  </si>
  <si>
    <t>Secure Medical</t>
  </si>
  <si>
    <t>4646</t>
  </si>
  <si>
    <t>Klemchuk</t>
  </si>
  <si>
    <t>4647</t>
  </si>
  <si>
    <t>SunDance Marketing Solutions</t>
  </si>
  <si>
    <t>4648</t>
  </si>
  <si>
    <t>Accellis Technology Group</t>
  </si>
  <si>
    <t>4649</t>
  </si>
  <si>
    <t>Dana's Bakery</t>
  </si>
  <si>
    <t>4650</t>
  </si>
  <si>
    <t>Northside Tool Rental</t>
  </si>
  <si>
    <t>4651</t>
  </si>
  <si>
    <t>Precision Laser Services</t>
  </si>
  <si>
    <t>4652</t>
  </si>
  <si>
    <t>Softworld</t>
  </si>
  <si>
    <t>4653</t>
  </si>
  <si>
    <t>Neogov</t>
  </si>
  <si>
    <t>4654</t>
  </si>
  <si>
    <t>Meeting Tomorrow</t>
  </si>
  <si>
    <t>4655</t>
  </si>
  <si>
    <t>Trilliant Surgical</t>
  </si>
  <si>
    <t>4656</t>
  </si>
  <si>
    <t>MedSource</t>
  </si>
  <si>
    <t>4657</t>
  </si>
  <si>
    <t>TechMD</t>
  </si>
  <si>
    <t>4658</t>
  </si>
  <si>
    <t>Dynamic Systems</t>
  </si>
  <si>
    <t>4659</t>
  </si>
  <si>
    <t>OPYS</t>
  </si>
  <si>
    <t>4660</t>
  </si>
  <si>
    <t>The Copley Consulting Group</t>
  </si>
  <si>
    <t>4661</t>
  </si>
  <si>
    <t>Clickstop</t>
  </si>
  <si>
    <t>4662</t>
  </si>
  <si>
    <t>Weatherly Asset Management</t>
  </si>
  <si>
    <t>4663</t>
  </si>
  <si>
    <t>Internet Creations</t>
  </si>
  <si>
    <t>4664</t>
  </si>
  <si>
    <t>RebelMouse</t>
  </si>
  <si>
    <t>4665</t>
  </si>
  <si>
    <t>Goldenhelix</t>
  </si>
  <si>
    <t>4666</t>
  </si>
  <si>
    <t>InfoWorks</t>
  </si>
  <si>
    <t>4667</t>
  </si>
  <si>
    <t>Motivworks</t>
  </si>
  <si>
    <t>4668</t>
  </si>
  <si>
    <t>American Painting &amp; Renovations</t>
  </si>
  <si>
    <t>4669</t>
  </si>
  <si>
    <t>Common Angle</t>
  </si>
  <si>
    <t>4670</t>
  </si>
  <si>
    <t>Carpet Source</t>
  </si>
  <si>
    <t>4671</t>
  </si>
  <si>
    <t>Annex Wealth Management</t>
  </si>
  <si>
    <t>4672</t>
  </si>
  <si>
    <t>Modern Technology Solutions</t>
  </si>
  <si>
    <t>4673</t>
  </si>
  <si>
    <t>Carolinas IT</t>
  </si>
  <si>
    <t>4674</t>
  </si>
  <si>
    <t>Consolidated Asset Recovery Systems</t>
  </si>
  <si>
    <t>4675</t>
  </si>
  <si>
    <t>MDG Connected Solutions</t>
  </si>
  <si>
    <t>4676</t>
  </si>
  <si>
    <t>Park Square Homes</t>
  </si>
  <si>
    <t>4677</t>
  </si>
  <si>
    <t>Benchmark Realty</t>
  </si>
  <si>
    <t>4678</t>
  </si>
  <si>
    <t>BravoTECH</t>
  </si>
  <si>
    <t>4679</t>
  </si>
  <si>
    <t>Butters Construction &amp; Development</t>
  </si>
  <si>
    <t>4680</t>
  </si>
  <si>
    <t>XpoSolutions</t>
  </si>
  <si>
    <t>4681</t>
  </si>
  <si>
    <t>S. Bravo Systems</t>
  </si>
  <si>
    <t>4682</t>
  </si>
  <si>
    <t>K. Parks Consulting</t>
  </si>
  <si>
    <t>4683</t>
  </si>
  <si>
    <t>W.A. Smith Financial Group</t>
  </si>
  <si>
    <t>4684</t>
  </si>
  <si>
    <t>Just Ryt Foods</t>
  </si>
  <si>
    <t>4685</t>
  </si>
  <si>
    <t>Van Horn Law Group, PA</t>
  </si>
  <si>
    <t>4686</t>
  </si>
  <si>
    <t>Five Star Restoration</t>
  </si>
  <si>
    <t>4687</t>
  </si>
  <si>
    <t>Rapid Response Marketing</t>
  </si>
  <si>
    <t>4688</t>
  </si>
  <si>
    <t>Grobstein Teeple</t>
  </si>
  <si>
    <t>4689</t>
  </si>
  <si>
    <t>Scalefast</t>
  </si>
  <si>
    <t>4690</t>
  </si>
  <si>
    <t>J&amp;L Dimensional Services</t>
  </si>
  <si>
    <t>4691</t>
  </si>
  <si>
    <t>LSS Life Safety Services</t>
  </si>
  <si>
    <t>4692</t>
  </si>
  <si>
    <t>Cardinal Staffing Services</t>
  </si>
  <si>
    <t>4693</t>
  </si>
  <si>
    <t>Plumbing &amp; HVAC SEO</t>
  </si>
  <si>
    <t>4694</t>
  </si>
  <si>
    <t>Underground Printing</t>
  </si>
  <si>
    <t>4695</t>
  </si>
  <si>
    <t>Bridge Partners</t>
  </si>
  <si>
    <t>4696</t>
  </si>
  <si>
    <t>Advent Advisory Group</t>
  </si>
  <si>
    <t>4697</t>
  </si>
  <si>
    <t>Total Maintenance Services</t>
  </si>
  <si>
    <t>4698</t>
  </si>
  <si>
    <t>Improving</t>
  </si>
  <si>
    <t>4699</t>
  </si>
  <si>
    <t>Corefact</t>
  </si>
  <si>
    <t>4700</t>
  </si>
  <si>
    <t>Express Corporate Housing</t>
  </si>
  <si>
    <t>4701</t>
  </si>
  <si>
    <t>Any Lab Test Now</t>
  </si>
  <si>
    <t>4702</t>
  </si>
  <si>
    <t>Monster Technology</t>
  </si>
  <si>
    <t>4703</t>
  </si>
  <si>
    <t>Reliable Pharmaceutical Returns</t>
  </si>
  <si>
    <t>4704</t>
  </si>
  <si>
    <t>Smoothie King</t>
  </si>
  <si>
    <t>4705</t>
  </si>
  <si>
    <t>Access Physical Therapy</t>
  </si>
  <si>
    <t>4706</t>
  </si>
  <si>
    <t>Exhibitus</t>
  </si>
  <si>
    <t>4707</t>
  </si>
  <si>
    <t>Scrimmage</t>
  </si>
  <si>
    <t>4708</t>
  </si>
  <si>
    <t>Athaco</t>
  </si>
  <si>
    <t>4709</t>
  </si>
  <si>
    <t>The Garland Company</t>
  </si>
  <si>
    <t>4710</t>
  </si>
  <si>
    <t>MD Connect</t>
  </si>
  <si>
    <t>4711</t>
  </si>
  <si>
    <t>4 Walls</t>
  </si>
  <si>
    <t>4712</t>
  </si>
  <si>
    <t>Radiant Plumbing &amp; Air Conditioning</t>
  </si>
  <si>
    <t>4713</t>
  </si>
  <si>
    <t>Medicus Healthcare Solutions</t>
  </si>
  <si>
    <t>4714</t>
  </si>
  <si>
    <t>Nassau National Cable</t>
  </si>
  <si>
    <t>0</t>
  </si>
  <si>
    <t>4715</t>
  </si>
  <si>
    <t>Duval's Fresh. Local. Seafood.</t>
  </si>
  <si>
    <t>4716</t>
  </si>
  <si>
    <t>Leigh Marcus | @properties</t>
  </si>
  <si>
    <t>4717</t>
  </si>
  <si>
    <t>Dimensional Innovations</t>
  </si>
  <si>
    <t>4718</t>
  </si>
  <si>
    <t>United Services Group</t>
  </si>
  <si>
    <t>4719</t>
  </si>
  <si>
    <t>MGX Copy</t>
  </si>
  <si>
    <t>4720</t>
  </si>
  <si>
    <t>Well Crafted Wine &amp; Beverage</t>
  </si>
  <si>
    <t>4721</t>
  </si>
  <si>
    <t>Intelligent Logistics</t>
  </si>
  <si>
    <t>4722</t>
  </si>
  <si>
    <t>Quaker Window Products</t>
  </si>
  <si>
    <t>4723</t>
  </si>
  <si>
    <t>3nom</t>
  </si>
  <si>
    <t>4724</t>
  </si>
  <si>
    <t>Netropole</t>
  </si>
  <si>
    <t>4725</t>
  </si>
  <si>
    <t>NorthStar Restoration Services</t>
  </si>
  <si>
    <t>4726</t>
  </si>
  <si>
    <t>SciSafe</t>
  </si>
  <si>
    <t>4727</t>
  </si>
  <si>
    <t>Zipline Logistics</t>
  </si>
  <si>
    <t>4728</t>
  </si>
  <si>
    <t>Intellifarms</t>
  </si>
  <si>
    <t>4729</t>
  </si>
  <si>
    <t>Neostek</t>
  </si>
  <si>
    <t>4730</t>
  </si>
  <si>
    <t>Dciny</t>
  </si>
  <si>
    <t>4731</t>
  </si>
  <si>
    <t>ARServices</t>
  </si>
  <si>
    <t>4732</t>
  </si>
  <si>
    <t>Black Clover Enterprises</t>
  </si>
  <si>
    <t>4733</t>
  </si>
  <si>
    <t>Redtail Technology</t>
  </si>
  <si>
    <t>4734</t>
  </si>
  <si>
    <t>Quality Mobile Home Services</t>
  </si>
  <si>
    <t>4735</t>
  </si>
  <si>
    <t>List Partners</t>
  </si>
  <si>
    <t>4736</t>
  </si>
  <si>
    <t>Ben Kinney Companies</t>
  </si>
  <si>
    <t>4737</t>
  </si>
  <si>
    <t>Applied Imaging</t>
  </si>
  <si>
    <t>4738</t>
  </si>
  <si>
    <t>Orthopedic Motion</t>
  </si>
  <si>
    <t>4739</t>
  </si>
  <si>
    <t>Windhaven Insurance</t>
  </si>
  <si>
    <t>4740</t>
  </si>
  <si>
    <t>Advice Media</t>
  </si>
  <si>
    <t>4741</t>
  </si>
  <si>
    <t>SEAM Group</t>
  </si>
  <si>
    <t>4742</t>
  </si>
  <si>
    <t>Studio Movie Grill</t>
  </si>
  <si>
    <t>4743</t>
  </si>
  <si>
    <t>ACTenviro</t>
  </si>
  <si>
    <t>4744</t>
  </si>
  <si>
    <t>Imperial Lighting Maintenance Company</t>
  </si>
  <si>
    <t>4745</t>
  </si>
  <si>
    <t>Nexus Systems</t>
  </si>
  <si>
    <t>4746</t>
  </si>
  <si>
    <t>Program Productions</t>
  </si>
  <si>
    <t>4747</t>
  </si>
  <si>
    <t>ShoppersChoice.com dba BBQGuys</t>
  </si>
  <si>
    <t>4748</t>
  </si>
  <si>
    <t>Plastic Molding Technology</t>
  </si>
  <si>
    <t>4749</t>
  </si>
  <si>
    <t>L Squared Engineering</t>
  </si>
  <si>
    <t>4750</t>
  </si>
  <si>
    <t>Monkee-Boy Web Design</t>
  </si>
  <si>
    <t>4751</t>
  </si>
  <si>
    <t>Crown Coverings</t>
  </si>
  <si>
    <t>4752</t>
  </si>
  <si>
    <t>Jones Therapy Services</t>
  </si>
  <si>
    <t>4753</t>
  </si>
  <si>
    <t>Royal Interpack Group USA</t>
  </si>
  <si>
    <t>4754</t>
  </si>
  <si>
    <t>Harmonics Consulting</t>
  </si>
  <si>
    <t>4755</t>
  </si>
  <si>
    <t>SpaceBound</t>
  </si>
  <si>
    <t>4756</t>
  </si>
  <si>
    <t>Schneller and Knochelmann Plumbing Heating and Air</t>
  </si>
  <si>
    <t>4757</t>
  </si>
  <si>
    <t>Multilingual Connections</t>
  </si>
  <si>
    <t>4758</t>
  </si>
  <si>
    <t>Image Systems</t>
  </si>
  <si>
    <t>4759</t>
  </si>
  <si>
    <t>Universal Plant Services</t>
  </si>
  <si>
    <t>4760</t>
  </si>
  <si>
    <t>Boston Government Services</t>
  </si>
  <si>
    <t>4761</t>
  </si>
  <si>
    <t>MobileDemand</t>
  </si>
  <si>
    <t>4762</t>
  </si>
  <si>
    <t>Buckfire &amp; Buckfire</t>
  </si>
  <si>
    <t>4763</t>
  </si>
  <si>
    <t>Employment Screening Services</t>
  </si>
  <si>
    <t>4764</t>
  </si>
  <si>
    <t>Certified Languages International</t>
  </si>
  <si>
    <t>4765</t>
  </si>
  <si>
    <t>Empist</t>
  </si>
  <si>
    <t>4766</t>
  </si>
  <si>
    <t>Secure Ideas</t>
  </si>
  <si>
    <t>4767</t>
  </si>
  <si>
    <t>Sedona Soul Adventures</t>
  </si>
  <si>
    <t>4768</t>
  </si>
  <si>
    <t>Debtmerica</t>
  </si>
  <si>
    <t>4769</t>
  </si>
  <si>
    <t>Clarity Software Solutions</t>
  </si>
  <si>
    <t>4770</t>
  </si>
  <si>
    <t>Mobile Advance</t>
  </si>
  <si>
    <t>4771</t>
  </si>
  <si>
    <t>Eating Recovery Center</t>
  </si>
  <si>
    <t>4772</t>
  </si>
  <si>
    <t>Career Support Systems</t>
  </si>
  <si>
    <t>4773</t>
  </si>
  <si>
    <t>Coury &amp; Buehler Physical Therapy</t>
  </si>
  <si>
    <t>4774</t>
  </si>
  <si>
    <t>Hughes Environmental</t>
  </si>
  <si>
    <t>4775</t>
  </si>
  <si>
    <t>JKaiser Workspaces</t>
  </si>
  <si>
    <t>4776</t>
  </si>
  <si>
    <t>Milosi</t>
  </si>
  <si>
    <t>4777</t>
  </si>
  <si>
    <t>The Kingston Group</t>
  </si>
  <si>
    <t>4778</t>
  </si>
  <si>
    <t>Rhythmlink International</t>
  </si>
  <si>
    <t>4779</t>
  </si>
  <si>
    <t>Tech Guru</t>
  </si>
  <si>
    <t>4780</t>
  </si>
  <si>
    <t>Priority Designs</t>
  </si>
  <si>
    <t>4781</t>
  </si>
  <si>
    <t>Strategic Factory</t>
  </si>
  <si>
    <t>4782</t>
  </si>
  <si>
    <t>Wet Sounds</t>
  </si>
  <si>
    <t>4783</t>
  </si>
  <si>
    <t>SnapShot Interactive</t>
  </si>
  <si>
    <t>4784</t>
  </si>
  <si>
    <t>GXA Network Solutions</t>
  </si>
  <si>
    <t>4785</t>
  </si>
  <si>
    <t>Del Toro Loan Servicing</t>
  </si>
  <si>
    <t>4786</t>
  </si>
  <si>
    <t>Xidax PCs</t>
  </si>
  <si>
    <t>4787</t>
  </si>
  <si>
    <t>RF-Smart</t>
  </si>
  <si>
    <t>4788</t>
  </si>
  <si>
    <t>Davenport Group</t>
  </si>
  <si>
    <t>4789</t>
  </si>
  <si>
    <t>Century Solutions Group</t>
  </si>
  <si>
    <t>4790</t>
  </si>
  <si>
    <t>Transport Services</t>
  </si>
  <si>
    <t>4791</t>
  </si>
  <si>
    <t>Pariveda Solutions</t>
  </si>
  <si>
    <t>4792</t>
  </si>
  <si>
    <t>Clarion Security</t>
  </si>
  <si>
    <t>4793</t>
  </si>
  <si>
    <t>Big-D Construction Corp.</t>
  </si>
  <si>
    <t>4794</t>
  </si>
  <si>
    <t>hrQ</t>
  </si>
  <si>
    <t>4795</t>
  </si>
  <si>
    <t>Neta Scientific</t>
  </si>
  <si>
    <t>4796</t>
  </si>
  <si>
    <t>Angeion Group</t>
  </si>
  <si>
    <t>4797</t>
  </si>
  <si>
    <t>FIG</t>
  </si>
  <si>
    <t>4798</t>
  </si>
  <si>
    <t>Keen 360</t>
  </si>
  <si>
    <t>4799</t>
  </si>
  <si>
    <t>World of Wheels</t>
  </si>
  <si>
    <t>4800</t>
  </si>
  <si>
    <t>Saffron Road Foods</t>
  </si>
  <si>
    <t>4801</t>
  </si>
  <si>
    <t>Readerlink</t>
  </si>
  <si>
    <t>4802</t>
  </si>
  <si>
    <t>Cap City Dental Lab</t>
  </si>
  <si>
    <t>4803</t>
  </si>
  <si>
    <t>Next Day Dumpsters</t>
  </si>
  <si>
    <t>4804</t>
  </si>
  <si>
    <t>Tapestry Technologies</t>
  </si>
  <si>
    <t>4805</t>
  </si>
  <si>
    <t>ipipeline</t>
  </si>
  <si>
    <t>4806</t>
  </si>
  <si>
    <t>7Summits</t>
  </si>
  <si>
    <t>4807</t>
  </si>
  <si>
    <t>RAW Artists</t>
  </si>
  <si>
    <t>4808</t>
  </si>
  <si>
    <t>3 Blind Mice Window Coverings</t>
  </si>
  <si>
    <t>4809</t>
  </si>
  <si>
    <t>Infutor Data Solutions</t>
  </si>
  <si>
    <t>4810</t>
  </si>
  <si>
    <t>RE 360</t>
  </si>
  <si>
    <t>4811</t>
  </si>
  <si>
    <t>Sterling Computers</t>
  </si>
  <si>
    <t>4812</t>
  </si>
  <si>
    <t>Constellation Software Engineering</t>
  </si>
  <si>
    <t>4813</t>
  </si>
  <si>
    <t>Abacus Wealth Partners</t>
  </si>
  <si>
    <t>4814</t>
  </si>
  <si>
    <t>Ebs Associates</t>
  </si>
  <si>
    <t>4815</t>
  </si>
  <si>
    <t>Reach Sports Marketing Group</t>
  </si>
  <si>
    <t>4816</t>
  </si>
  <si>
    <t>Oxi Fresh Carpet Cleaning</t>
  </si>
  <si>
    <t>4817</t>
  </si>
  <si>
    <t>rezora</t>
  </si>
  <si>
    <t>4818</t>
  </si>
  <si>
    <t>Barone Consulting</t>
  </si>
  <si>
    <t>4819</t>
  </si>
  <si>
    <t>SkyPlanner</t>
  </si>
  <si>
    <t>4820</t>
  </si>
  <si>
    <t>Rogers Healy and Associates Real Estate</t>
  </si>
  <si>
    <t>4821</t>
  </si>
  <si>
    <t>Arora Engineers</t>
  </si>
  <si>
    <t>4822</t>
  </si>
  <si>
    <t>Victor 12</t>
  </si>
  <si>
    <t>4823</t>
  </si>
  <si>
    <t>Cassaday &amp; Company</t>
  </si>
  <si>
    <t>4824</t>
  </si>
  <si>
    <t>Fresh Technology</t>
  </si>
  <si>
    <t>4825</t>
  </si>
  <si>
    <t>ej4</t>
  </si>
  <si>
    <t>4826</t>
  </si>
  <si>
    <t>Managed Solution</t>
  </si>
  <si>
    <t>4827</t>
  </si>
  <si>
    <t>ClubDrive Systems</t>
  </si>
  <si>
    <t>4828</t>
  </si>
  <si>
    <t>Gantom Lighting</t>
  </si>
  <si>
    <t>4829</t>
  </si>
  <si>
    <t>Partner Assessment</t>
  </si>
  <si>
    <t>4830</t>
  </si>
  <si>
    <t>Grapevine MSP Technology Services</t>
  </si>
  <si>
    <t>4831</t>
  </si>
  <si>
    <t>Traffic Planning and Design</t>
  </si>
  <si>
    <t>4832</t>
  </si>
  <si>
    <t>JPL</t>
  </si>
  <si>
    <t>4833</t>
  </si>
  <si>
    <t>Meridian Star POS</t>
  </si>
  <si>
    <t>4834</t>
  </si>
  <si>
    <t>Choura Events</t>
  </si>
  <si>
    <t>4835</t>
  </si>
  <si>
    <t>Money Matters with Ken Moraif</t>
  </si>
  <si>
    <t>4836</t>
  </si>
  <si>
    <t>Acquia</t>
  </si>
  <si>
    <t>4837</t>
  </si>
  <si>
    <t>Wood Expressions</t>
  </si>
  <si>
    <t>4838</t>
  </si>
  <si>
    <t>Softcrylic</t>
  </si>
  <si>
    <t>4839</t>
  </si>
  <si>
    <t>Thread</t>
  </si>
  <si>
    <t>4840</t>
  </si>
  <si>
    <t>Full Visibility</t>
  </si>
  <si>
    <t>4841</t>
  </si>
  <si>
    <t>BizStream</t>
  </si>
  <si>
    <t>4842</t>
  </si>
  <si>
    <t>American Technologies</t>
  </si>
  <si>
    <t>4843</t>
  </si>
  <si>
    <t>Cold Jet</t>
  </si>
  <si>
    <t>4844</t>
  </si>
  <si>
    <t>Mosaic Technologies Group</t>
  </si>
  <si>
    <t>4845</t>
  </si>
  <si>
    <t>Bast Amron LLP</t>
  </si>
  <si>
    <t>4846</t>
  </si>
  <si>
    <t>Kaplansky Insurance Agency</t>
  </si>
  <si>
    <t>4847</t>
  </si>
  <si>
    <t>LINK Strategic Partners</t>
  </si>
  <si>
    <t>4848</t>
  </si>
  <si>
    <t>Air Control Air Conditioning</t>
  </si>
  <si>
    <t>4849</t>
  </si>
  <si>
    <t>CommCreative</t>
  </si>
  <si>
    <t>4850</t>
  </si>
  <si>
    <t>Equus Software</t>
  </si>
  <si>
    <t>4851</t>
  </si>
  <si>
    <t>pMD</t>
  </si>
  <si>
    <t>4852</t>
  </si>
  <si>
    <t>Nina Hale</t>
  </si>
  <si>
    <t>4853</t>
  </si>
  <si>
    <t>Five Lakes Professional Services</t>
  </si>
  <si>
    <t>4854</t>
  </si>
  <si>
    <t>Vance Thompson Vision</t>
  </si>
  <si>
    <t>4855</t>
  </si>
  <si>
    <t>NetPlanner Systems</t>
  </si>
  <si>
    <t>4856</t>
  </si>
  <si>
    <t>OpenArc</t>
  </si>
  <si>
    <t>4857</t>
  </si>
  <si>
    <t>Stonebrooke Engineering</t>
  </si>
  <si>
    <t>4858</t>
  </si>
  <si>
    <t>Foreman Therapy Services</t>
  </si>
  <si>
    <t>4859</t>
  </si>
  <si>
    <t>Computer Solutions East</t>
  </si>
  <si>
    <t>4860</t>
  </si>
  <si>
    <t>Dobi &amp; Associates</t>
  </si>
  <si>
    <t>4861</t>
  </si>
  <si>
    <t>Redpepper</t>
  </si>
  <si>
    <t>4862</t>
  </si>
  <si>
    <t>W. L. French Excavating</t>
  </si>
  <si>
    <t>4863</t>
  </si>
  <si>
    <t>US Logistics</t>
  </si>
  <si>
    <t>4864</t>
  </si>
  <si>
    <t>KBTS Technologies</t>
  </si>
  <si>
    <t>4865</t>
  </si>
  <si>
    <t>SecureStrux</t>
  </si>
  <si>
    <t>4866</t>
  </si>
  <si>
    <t>McGill Restoration</t>
  </si>
  <si>
    <t>4867</t>
  </si>
  <si>
    <t>The Greer Group</t>
  </si>
  <si>
    <t>4868</t>
  </si>
  <si>
    <t>Zone Enterprises</t>
  </si>
  <si>
    <t>4869</t>
  </si>
  <si>
    <t>Kidder Mathews</t>
  </si>
  <si>
    <t>4870</t>
  </si>
  <si>
    <t>Creative Alignments</t>
  </si>
  <si>
    <t>4871</t>
  </si>
  <si>
    <t>Muscular Moving Men &amp; Storage</t>
  </si>
  <si>
    <t>4872</t>
  </si>
  <si>
    <t>Senior1Care</t>
  </si>
  <si>
    <t>4873</t>
  </si>
  <si>
    <t>Datatility</t>
  </si>
  <si>
    <t>4874</t>
  </si>
  <si>
    <t>Evok Advertising</t>
  </si>
  <si>
    <t>4875</t>
  </si>
  <si>
    <t>Extension</t>
  </si>
  <si>
    <t>4876</t>
  </si>
  <si>
    <t>Sovereign Lending Group</t>
  </si>
  <si>
    <t>4877</t>
  </si>
  <si>
    <t>Veracity Consulting</t>
  </si>
  <si>
    <t>4878</t>
  </si>
  <si>
    <t>Quest National Services</t>
  </si>
  <si>
    <t>4879</t>
  </si>
  <si>
    <t>High Level Marketing</t>
  </si>
  <si>
    <t>4880</t>
  </si>
  <si>
    <t>4CITE Marketing</t>
  </si>
  <si>
    <t>4881</t>
  </si>
  <si>
    <t>Liquid Technology</t>
  </si>
  <si>
    <t>4882</t>
  </si>
  <si>
    <t>The Event Studio</t>
  </si>
  <si>
    <t>4883</t>
  </si>
  <si>
    <t>Ion Exhibits</t>
  </si>
  <si>
    <t>4884</t>
  </si>
  <si>
    <t>Reliant Foodservice</t>
  </si>
  <si>
    <t>4885</t>
  </si>
  <si>
    <t>Argent Financial Group</t>
  </si>
  <si>
    <t>4886</t>
  </si>
  <si>
    <t>ThreePDS</t>
  </si>
  <si>
    <t>4887</t>
  </si>
  <si>
    <t>BODY DETAILS</t>
  </si>
  <si>
    <t>4888</t>
  </si>
  <si>
    <t>All-American Pest Control</t>
  </si>
  <si>
    <t>4889</t>
  </si>
  <si>
    <t>Timmons Group</t>
  </si>
  <si>
    <t>4890</t>
  </si>
  <si>
    <t>American Drapery Systems</t>
  </si>
  <si>
    <t>4891</t>
  </si>
  <si>
    <t>Noble Capital Group</t>
  </si>
  <si>
    <t>4892</t>
  </si>
  <si>
    <t>Environmental Lights</t>
  </si>
  <si>
    <t>4893</t>
  </si>
  <si>
    <t>ShipOffers</t>
  </si>
  <si>
    <t>4894</t>
  </si>
  <si>
    <t>Gen3 Marketing</t>
  </si>
  <si>
    <t>4895</t>
  </si>
  <si>
    <t>Harvest Software Solutions</t>
  </si>
  <si>
    <t>4896</t>
  </si>
  <si>
    <t>Snap36</t>
  </si>
  <si>
    <t>4897</t>
  </si>
  <si>
    <t>TekCommands</t>
  </si>
  <si>
    <t>4898</t>
  </si>
  <si>
    <t>Horizontal Integration</t>
  </si>
  <si>
    <t>4899</t>
  </si>
  <si>
    <t>Manifold</t>
  </si>
  <si>
    <t>4900</t>
  </si>
  <si>
    <t>Profit Builders</t>
  </si>
  <si>
    <t>4901</t>
  </si>
  <si>
    <t>MicroSystems Automation Group</t>
  </si>
  <si>
    <t>4902</t>
  </si>
  <si>
    <t>Hirewell</t>
  </si>
  <si>
    <t>4903</t>
  </si>
  <si>
    <t>Meathead Movers</t>
  </si>
  <si>
    <t>4904</t>
  </si>
  <si>
    <t>Freedom Information Systems</t>
  </si>
  <si>
    <t>4905</t>
  </si>
  <si>
    <t>In Store Experience</t>
  </si>
  <si>
    <t>4906</t>
  </si>
  <si>
    <t>CKD Technology Partners</t>
  </si>
  <si>
    <t>4907</t>
  </si>
  <si>
    <t>CivicMinds</t>
  </si>
  <si>
    <t>4908</t>
  </si>
  <si>
    <t>(Add)ventures</t>
  </si>
  <si>
    <t>4909</t>
  </si>
  <si>
    <t>Agent Elite</t>
  </si>
  <si>
    <t>4910</t>
  </si>
  <si>
    <t>Frontier Truck Gear</t>
  </si>
  <si>
    <t>4911</t>
  </si>
  <si>
    <t>Page Per Page</t>
  </si>
  <si>
    <t>4912</t>
  </si>
  <si>
    <t>360 Wraps</t>
  </si>
  <si>
    <t>4913</t>
  </si>
  <si>
    <t>Audio Visual Management Solutions</t>
  </si>
  <si>
    <t>4914</t>
  </si>
  <si>
    <t>WaterSports Central</t>
  </si>
  <si>
    <t>4915</t>
  </si>
  <si>
    <t>Red Caffeine</t>
  </si>
  <si>
    <t>4916</t>
  </si>
  <si>
    <t>Netria Corporation</t>
  </si>
  <si>
    <t>4917</t>
  </si>
  <si>
    <t>Tayse International Trading</t>
  </si>
  <si>
    <t>4918</t>
  </si>
  <si>
    <t>Open Sky Group</t>
  </si>
  <si>
    <t>4919</t>
  </si>
  <si>
    <t>Procentrix</t>
  </si>
  <si>
    <t>4920</t>
  </si>
  <si>
    <t>Avenue Link</t>
  </si>
  <si>
    <t>4921</t>
  </si>
  <si>
    <t>Vantage Outsourcing</t>
  </si>
  <si>
    <t>4922</t>
  </si>
  <si>
    <t>WTWH Media</t>
  </si>
  <si>
    <t>4923</t>
  </si>
  <si>
    <t>Across Borders Management Consulting Group</t>
  </si>
  <si>
    <t>4924</t>
  </si>
  <si>
    <t>Clayton Signs</t>
  </si>
  <si>
    <t>4925</t>
  </si>
  <si>
    <t>UpSellit</t>
  </si>
  <si>
    <t>4926</t>
  </si>
  <si>
    <t>Pavone Marketing Group</t>
  </si>
  <si>
    <t>4927</t>
  </si>
  <si>
    <t>84 Lumber Company</t>
  </si>
  <si>
    <t>4928</t>
  </si>
  <si>
    <t>Blount Fine Foods</t>
  </si>
  <si>
    <t>4929</t>
  </si>
  <si>
    <t>280 Group</t>
  </si>
  <si>
    <t>4930</t>
  </si>
  <si>
    <t>Virtual Supply</t>
  </si>
  <si>
    <t>4931</t>
  </si>
  <si>
    <t>Green Mountain Technology</t>
  </si>
  <si>
    <t>4932</t>
  </si>
  <si>
    <t>Paradigm Sample</t>
  </si>
  <si>
    <t>4933</t>
  </si>
  <si>
    <t>LaSalle Network</t>
  </si>
  <si>
    <t>4934</t>
  </si>
  <si>
    <t>Team Velocity</t>
  </si>
  <si>
    <t>4935</t>
  </si>
  <si>
    <t>SofterWare</t>
  </si>
  <si>
    <t>4936</t>
  </si>
  <si>
    <t>Trextel</t>
  </si>
  <si>
    <t>4937</t>
  </si>
  <si>
    <t>John Greene Realtor</t>
  </si>
  <si>
    <t>4938</t>
  </si>
  <si>
    <t>Johnston Architectural Systems</t>
  </si>
  <si>
    <t>4939</t>
  </si>
  <si>
    <t>Wine Cellar International</t>
  </si>
  <si>
    <t>4940</t>
  </si>
  <si>
    <t>Tekla Research</t>
  </si>
  <si>
    <t>4941</t>
  </si>
  <si>
    <t>Perfecta</t>
  </si>
  <si>
    <t>4942</t>
  </si>
  <si>
    <t>Green Lawn Fertilizing</t>
  </si>
  <si>
    <t>4943</t>
  </si>
  <si>
    <t>Icube Consultancy Services</t>
  </si>
  <si>
    <t>4944</t>
  </si>
  <si>
    <t>Access TCA</t>
  </si>
  <si>
    <t>4945</t>
  </si>
  <si>
    <t>Intercambio Express</t>
  </si>
  <si>
    <t>4946</t>
  </si>
  <si>
    <t>Precision Machinery Systems</t>
  </si>
  <si>
    <t>4947</t>
  </si>
  <si>
    <t>Audacious Inquiry</t>
  </si>
  <si>
    <t>4948</t>
  </si>
  <si>
    <t>USA Financial</t>
  </si>
  <si>
    <t>4949</t>
  </si>
  <si>
    <t>Bankers Healthcare Group</t>
  </si>
  <si>
    <t>4950</t>
  </si>
  <si>
    <t>MMI Engineered Solutions</t>
  </si>
  <si>
    <t>4951</t>
  </si>
  <si>
    <t>Miles Technologies</t>
  </si>
  <si>
    <t>4952</t>
  </si>
  <si>
    <t>Centurion Land Title</t>
  </si>
  <si>
    <t>4953</t>
  </si>
  <si>
    <t>Data Path</t>
  </si>
  <si>
    <t>4954</t>
  </si>
  <si>
    <t>Cogent Solutions</t>
  </si>
  <si>
    <t>4955</t>
  </si>
  <si>
    <t>Oceans Healthcare</t>
  </si>
  <si>
    <t>4956</t>
  </si>
  <si>
    <t>Adelante Consulting</t>
  </si>
  <si>
    <t>4957</t>
  </si>
  <si>
    <t>Proliant</t>
  </si>
  <si>
    <t>4958</t>
  </si>
  <si>
    <t>American Specialty Health</t>
  </si>
  <si>
    <t>4959</t>
  </si>
  <si>
    <t>Western Timber Frame</t>
  </si>
  <si>
    <t>4960</t>
  </si>
  <si>
    <t>Exact Data</t>
  </si>
  <si>
    <t>4961</t>
  </si>
  <si>
    <t>Corevist</t>
  </si>
  <si>
    <t>4962</t>
  </si>
  <si>
    <t>M9 Solutions</t>
  </si>
  <si>
    <t>4963</t>
  </si>
  <si>
    <t>Monogram Foods</t>
  </si>
  <si>
    <t>4964</t>
  </si>
  <si>
    <t>WorkForce Software</t>
  </si>
  <si>
    <t>4965</t>
  </si>
  <si>
    <t>Morris - Sockle, PLLC</t>
  </si>
  <si>
    <t>4966</t>
  </si>
  <si>
    <t>Drexel Building Supply</t>
  </si>
  <si>
    <t>4967</t>
  </si>
  <si>
    <t>Alliance 2020</t>
  </si>
  <si>
    <t>4968</t>
  </si>
  <si>
    <t>Atlas Oil Company</t>
  </si>
  <si>
    <t>4969</t>
  </si>
  <si>
    <t>ClearlyRated</t>
  </si>
  <si>
    <t>4970</t>
  </si>
  <si>
    <t>Americaneagle.com</t>
  </si>
  <si>
    <t>4971</t>
  </si>
  <si>
    <t>Freedom Boat Club</t>
  </si>
  <si>
    <t>4972</t>
  </si>
  <si>
    <t>The SMB Help Desk</t>
  </si>
  <si>
    <t>4973</t>
  </si>
  <si>
    <t>Malone Media Group</t>
  </si>
  <si>
    <t>4974</t>
  </si>
  <si>
    <t>Pacific Dental Services</t>
  </si>
  <si>
    <t>4975</t>
  </si>
  <si>
    <t>The Perfect Workout</t>
  </si>
  <si>
    <t>4976</t>
  </si>
  <si>
    <t>Spur</t>
  </si>
  <si>
    <t>4977</t>
  </si>
  <si>
    <t>Jetco Delivery</t>
  </si>
  <si>
    <t>4978</t>
  </si>
  <si>
    <t>Internet Marketing Expert Group</t>
  </si>
  <si>
    <t>4979</t>
  </si>
  <si>
    <t>Jackson Design and Remodeling</t>
  </si>
  <si>
    <t>4980</t>
  </si>
  <si>
    <t>MSNW Group</t>
  </si>
  <si>
    <t>4981</t>
  </si>
  <si>
    <t>Starfire Direct</t>
  </si>
  <si>
    <t>4982</t>
  </si>
  <si>
    <t>Advantage Gold</t>
  </si>
  <si>
    <t>4983</t>
  </si>
  <si>
    <t>Film Solutions</t>
  </si>
  <si>
    <t>4984</t>
  </si>
  <si>
    <t>Dymax</t>
  </si>
  <si>
    <t>4985</t>
  </si>
  <si>
    <t>Equip Studio</t>
  </si>
  <si>
    <t>4986</t>
  </si>
  <si>
    <t>SUNation Solar Systems</t>
  </si>
  <si>
    <t>4987</t>
  </si>
  <si>
    <t>iMarket Solutions</t>
  </si>
  <si>
    <t>4988</t>
  </si>
  <si>
    <t>Vector Choice Technology Solutions</t>
  </si>
  <si>
    <t>4989</t>
  </si>
  <si>
    <t>Taco Truck Creative</t>
  </si>
  <si>
    <t>4990</t>
  </si>
  <si>
    <t>Smart Energy Today</t>
  </si>
  <si>
    <t>4991</t>
  </si>
  <si>
    <t>Distillery</t>
  </si>
  <si>
    <t>4992</t>
  </si>
  <si>
    <t>American Thermal Systems</t>
  </si>
  <si>
    <t>4993</t>
  </si>
  <si>
    <t>Red Six Media</t>
  </si>
  <si>
    <t>4994</t>
  </si>
  <si>
    <t>Gemini Power Systems</t>
  </si>
  <si>
    <t>4995</t>
  </si>
  <si>
    <t>Golden Star Technology</t>
  </si>
  <si>
    <t>4996</t>
  </si>
  <si>
    <t>Village Plumbing &amp; Air</t>
  </si>
  <si>
    <t>4997</t>
  </si>
  <si>
    <t>Real Restoration Group</t>
  </si>
  <si>
    <t>4998</t>
  </si>
  <si>
    <t>Naval Systems</t>
  </si>
  <si>
    <t>4999</t>
  </si>
  <si>
    <t>HNM Systems</t>
  </si>
  <si>
    <t>5000</t>
  </si>
  <si>
    <t>Vivayic</t>
  </si>
  <si>
    <t>Revenue</t>
  </si>
  <si>
    <t>Industry</t>
  </si>
  <si>
    <t>Company Name</t>
  </si>
  <si>
    <t>Company Count</t>
  </si>
  <si>
    <t>Top 10 Industries by Company Count</t>
  </si>
  <si>
    <t>Top 5 Industries by Average Growth</t>
  </si>
  <si>
    <t>Average of growth %</t>
  </si>
  <si>
    <t>Average of Revenue</t>
  </si>
  <si>
    <t>Top 10 Industries by Average Revenue</t>
  </si>
  <si>
    <t>Grand Total</t>
  </si>
  <si>
    <t>Employees Growth %</t>
  </si>
  <si>
    <t>Employees Growth</t>
  </si>
  <si>
    <t>Employees Added</t>
  </si>
  <si>
    <t>Top 10 Companies by Employees Added</t>
  </si>
  <si>
    <t>Employee Growth (%)</t>
  </si>
  <si>
    <t>Employees Growth (yes/no)</t>
  </si>
  <si>
    <t>State</t>
  </si>
  <si>
    <t>Top 10 States By Company Count</t>
  </si>
  <si>
    <t>States</t>
  </si>
  <si>
    <t>Avg Revenue</t>
  </si>
  <si>
    <t>Avg growth %</t>
  </si>
  <si>
    <t>Avg Employee Number</t>
  </si>
  <si>
    <t>INC 5000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</si>
</sst>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,,&quot;M&quot;;\-[$$-409]#,##0.0,,&quot;M&quot;"/>
    <numFmt numFmtId="165" formatCode="0.0,&quot;k&quot;%"/>
    <numFmt numFmtId="166" formatCode="\$0.0,,&quot; M&quot;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pivotButton="1" applyFont="1" applyAlignment="1">
      <alignment horizontal="center"/>
    </xf>
    <xf numFmtId="0" fontId="2" fillId="0" borderId="0" xfId="0" applyNumberFormat="1" applyFont="1"/>
    <xf numFmtId="165" fontId="2" fillId="0" borderId="0" xfId="0" applyNumberFormat="1" applyFont="1"/>
    <xf numFmtId="0" fontId="2" fillId="0" borderId="0" xfId="0" pivotButton="1" applyFont="1"/>
    <xf numFmtId="10" fontId="0" fillId="0" borderId="0" xfId="0" applyNumberFormat="1"/>
    <xf numFmtId="10" fontId="2" fillId="0" borderId="0" xfId="0" applyNumberFormat="1" applyFont="1"/>
    <xf numFmtId="3" fontId="2" fillId="0" borderId="0" xfId="0" applyNumberFormat="1" applyFont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0" fillId="4" borderId="0" xfId="0" applyFill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33"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7" formatCode="[$$-409]#,##0_ ;\-[$$-409]#,##0\ "/>
    </dxf>
    <dxf>
      <numFmt numFmtId="2" formatCode="0.00"/>
    </dxf>
    <dxf>
      <border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b/>
        <charset val="238"/>
      </font>
    </dxf>
    <dxf>
      <alignment vertical="center"/>
    </dxf>
    <dxf>
      <alignment horizontal="center"/>
    </dxf>
    <dxf>
      <numFmt numFmtId="1" formatCode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5" formatCode="0.0,&quot;k&quot;%"/>
    </dxf>
    <dxf>
      <alignment horizontal="center"/>
    </dxf>
    <dxf>
      <alignment horizontal="center"/>
    </dxf>
    <dxf>
      <alignment vertical="center"/>
    </dxf>
    <dxf>
      <font>
        <b/>
        <charset val="238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numFmt numFmtId="166" formatCode="\$0.0,,&quot; M&quot;"/>
    </dxf>
    <dxf>
      <numFmt numFmtId="167" formatCode="[$$-409]#,##0_ ;\-[$$-409]#,##0\ 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[$$-409]#,##0.0,,&quot;M&quot;;\-[$$-409]#,##0.0,,&quot;M&quot;"/>
    </dxf>
    <dxf>
      <alignment horizontal="center"/>
    </dxf>
    <dxf>
      <alignment vertical="center"/>
    </dxf>
    <dxf>
      <font>
        <b/>
        <charset val="238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b/>
        <charset val="238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numFmt numFmtId="165" formatCode="0.0,&quot;k&quot;%"/>
    </dxf>
    <dxf>
      <numFmt numFmtId="167" formatCode="[$$-409]#,##0_ ;\-[$$-409]#,##0\ 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2.xlsx]Dashboard!PivotTable3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5</a:t>
            </a:r>
            <a:r>
              <a:rPr lang="en-US" b="1" baseline="0">
                <a:solidFill>
                  <a:sysClr val="windowText" lastClr="000000"/>
                </a:solidFill>
              </a:rPr>
              <a:t> </a:t>
            </a:r>
            <a:r>
              <a:rPr lang="en-US" b="1">
                <a:solidFill>
                  <a:sysClr val="windowText" lastClr="000000"/>
                </a:solidFill>
              </a:rPr>
              <a:t>Industries per Average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Dashboard!$A$29:$A$33</c:f>
              <c:strCache>
                <c:ptCount val="5"/>
                <c:pt idx="0">
                  <c:v>Logistics &amp; Transportation</c:v>
                </c:pt>
                <c:pt idx="1">
                  <c:v>Consumer Products &amp; Services</c:v>
                </c:pt>
                <c:pt idx="2">
                  <c:v>Food &amp; Beverage</c:v>
                </c:pt>
                <c:pt idx="3">
                  <c:v>Computer Hardware</c:v>
                </c:pt>
                <c:pt idx="4">
                  <c:v>Energy</c:v>
                </c:pt>
              </c:strCache>
            </c:strRef>
          </c:cat>
          <c:val>
            <c:numRef>
              <c:f>Dashboard!$B$29:$B$33</c:f>
              <c:numCache>
                <c:formatCode>0.0,"k"%</c:formatCode>
                <c:ptCount val="5"/>
                <c:pt idx="0">
                  <c:v>717.56334569892499</c:v>
                </c:pt>
                <c:pt idx="1">
                  <c:v>685.64030000000014</c:v>
                </c:pt>
                <c:pt idx="2">
                  <c:v>668.22553385826768</c:v>
                </c:pt>
                <c:pt idx="3">
                  <c:v>651.97524374999989</c:v>
                </c:pt>
                <c:pt idx="4">
                  <c:v>592.07559102564096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7-4B30-9497-BD5597CD1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9619471"/>
        <c:axId val="629611791"/>
      </c:barChart>
      <c:catAx>
        <c:axId val="62961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11791"/>
        <c:crosses val="autoZero"/>
        <c:auto val="1"/>
        <c:lblAlgn val="ctr"/>
        <c:lblOffset val="100"/>
        <c:noMultiLvlLbl val="0"/>
      </c:catAx>
      <c:valAx>
        <c:axId val="629611791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&quot;k&quot;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1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2.xlsx]Dashboard!Tb_Revenue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10 Industries</a:t>
            </a:r>
            <a:r>
              <a:rPr lang="en-US" b="1" baseline="0">
                <a:solidFill>
                  <a:schemeClr val="tx1"/>
                </a:solidFill>
              </a:rPr>
              <a:t> by Average Revenue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Dashboard!$A$3:$A$12</c:f>
              <c:strCache>
                <c:ptCount val="10"/>
                <c:pt idx="0">
                  <c:v>Security</c:v>
                </c:pt>
                <c:pt idx="1">
                  <c:v>Health</c:v>
                </c:pt>
                <c:pt idx="2">
                  <c:v>Logistics &amp; Transportation</c:v>
                </c:pt>
                <c:pt idx="3">
                  <c:v>Energy</c:v>
                </c:pt>
                <c:pt idx="4">
                  <c:v>Human Resources</c:v>
                </c:pt>
                <c:pt idx="5">
                  <c:v>Consumer Products &amp; Services</c:v>
                </c:pt>
                <c:pt idx="6">
                  <c:v>Retail</c:v>
                </c:pt>
                <c:pt idx="7">
                  <c:v>Government Services</c:v>
                </c:pt>
                <c:pt idx="8">
                  <c:v>Insurance</c:v>
                </c:pt>
                <c:pt idx="9">
                  <c:v>Construction</c:v>
                </c:pt>
              </c:strCache>
            </c:strRef>
          </c:cat>
          <c:val>
            <c:numRef>
              <c:f>Dashboard!$B$3:$B$12</c:f>
              <c:numCache>
                <c:formatCode>[$$-409]#,##0.0,,"M";\-[$$-409]#,##0.0,,"M"</c:formatCode>
                <c:ptCount val="10"/>
                <c:pt idx="0">
                  <c:v>123747761.19402985</c:v>
                </c:pt>
                <c:pt idx="1">
                  <c:v>109330056.17977528</c:v>
                </c:pt>
                <c:pt idx="2">
                  <c:v>101293010.75268817</c:v>
                </c:pt>
                <c:pt idx="3">
                  <c:v>80221794.871794865</c:v>
                </c:pt>
                <c:pt idx="4">
                  <c:v>73582165.605095536</c:v>
                </c:pt>
                <c:pt idx="5">
                  <c:v>72073650.793650791</c:v>
                </c:pt>
                <c:pt idx="6">
                  <c:v>66552760.736196317</c:v>
                </c:pt>
                <c:pt idx="7">
                  <c:v>59391949.152542375</c:v>
                </c:pt>
                <c:pt idx="8">
                  <c:v>58742857.142857142</c:v>
                </c:pt>
                <c:pt idx="9">
                  <c:v>58422571.428571425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B-4EDE-805F-003513C2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1890496"/>
        <c:axId val="2121897696"/>
      </c:barChart>
      <c:catAx>
        <c:axId val="212189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97696"/>
        <c:crosses val="autoZero"/>
        <c:auto val="1"/>
        <c:lblAlgn val="ctr"/>
        <c:lblOffset val="100"/>
        <c:noMultiLvlLbl val="0"/>
      </c:catAx>
      <c:valAx>
        <c:axId val="212189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,,&quot;M&quot;;\-[$$-409]#,##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Distribution by</a:t>
            </a:r>
            <a:r>
              <a:rPr lang="en-US" b="1" baseline="0">
                <a:solidFill>
                  <a:schemeClr val="tx1"/>
                </a:solidFill>
              </a:rPr>
              <a:t> State %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55592206379608"/>
          <c:y val="2.136752855761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1"/>
              <c:pt idx="0">
                <c:v>CA</c:v>
              </c:pt>
              <c:pt idx="1">
                <c:v>MN</c:v>
              </c:pt>
              <c:pt idx="2">
                <c:v>TX</c:v>
              </c:pt>
              <c:pt idx="3">
                <c:v>FL</c:v>
              </c:pt>
              <c:pt idx="4">
                <c:v>OH</c:v>
              </c:pt>
              <c:pt idx="5">
                <c:v>VA</c:v>
              </c:pt>
              <c:pt idx="6">
                <c:v>PA</c:v>
              </c:pt>
              <c:pt idx="7">
                <c:v>IL</c:v>
              </c:pt>
              <c:pt idx="8">
                <c:v>GA</c:v>
              </c:pt>
              <c:pt idx="9">
                <c:v>NY</c:v>
              </c:pt>
              <c:pt idx="10">
                <c:v>NC</c:v>
              </c:pt>
              <c:pt idx="11">
                <c:v>UT</c:v>
              </c:pt>
              <c:pt idx="12">
                <c:v>NJ</c:v>
              </c:pt>
              <c:pt idx="13">
                <c:v>MA</c:v>
              </c:pt>
              <c:pt idx="14">
                <c:v>CO</c:v>
              </c:pt>
              <c:pt idx="15">
                <c:v>MD</c:v>
              </c:pt>
              <c:pt idx="16">
                <c:v>OR</c:v>
              </c:pt>
              <c:pt idx="17">
                <c:v>TN</c:v>
              </c:pt>
              <c:pt idx="18">
                <c:v>MI</c:v>
              </c:pt>
              <c:pt idx="19">
                <c:v>WA</c:v>
              </c:pt>
              <c:pt idx="20">
                <c:v>KY</c:v>
              </c:pt>
              <c:pt idx="21">
                <c:v>MO</c:v>
              </c:pt>
              <c:pt idx="22">
                <c:v>AZ</c:v>
              </c:pt>
              <c:pt idx="23">
                <c:v>AL</c:v>
              </c:pt>
              <c:pt idx="24">
                <c:v>IN</c:v>
              </c:pt>
              <c:pt idx="25">
                <c:v>CT</c:v>
              </c:pt>
              <c:pt idx="26">
                <c:v>SC</c:v>
              </c:pt>
              <c:pt idx="27">
                <c:v>NE</c:v>
              </c:pt>
              <c:pt idx="28">
                <c:v>WI</c:v>
              </c:pt>
              <c:pt idx="29">
                <c:v>KS</c:v>
              </c:pt>
              <c:pt idx="30">
                <c:v>DC</c:v>
              </c:pt>
              <c:pt idx="31">
                <c:v>SD</c:v>
              </c:pt>
              <c:pt idx="32">
                <c:v>LA</c:v>
              </c:pt>
              <c:pt idx="33">
                <c:v>OK</c:v>
              </c:pt>
              <c:pt idx="34">
                <c:v>NV</c:v>
              </c:pt>
              <c:pt idx="35">
                <c:v>IA</c:v>
              </c:pt>
              <c:pt idx="36">
                <c:v>ID</c:v>
              </c:pt>
              <c:pt idx="37">
                <c:v>NH</c:v>
              </c:pt>
              <c:pt idx="38">
                <c:v>DE</c:v>
              </c:pt>
              <c:pt idx="39">
                <c:v>NM</c:v>
              </c:pt>
              <c:pt idx="40">
                <c:v>WV</c:v>
              </c:pt>
              <c:pt idx="41">
                <c:v>ME</c:v>
              </c:pt>
              <c:pt idx="42">
                <c:v>ND</c:v>
              </c:pt>
              <c:pt idx="43">
                <c:v>AR</c:v>
              </c:pt>
              <c:pt idx="44">
                <c:v>MT</c:v>
              </c:pt>
              <c:pt idx="45">
                <c:v>HI</c:v>
              </c:pt>
              <c:pt idx="46">
                <c:v>WY</c:v>
              </c:pt>
              <c:pt idx="47">
                <c:v>RI</c:v>
              </c:pt>
              <c:pt idx="48">
                <c:v>VT</c:v>
              </c:pt>
              <c:pt idx="49">
                <c:v>MS</c:v>
              </c:pt>
              <c:pt idx="50">
                <c:v>PR</c:v>
              </c:pt>
            </c:strLit>
          </c:cat>
          <c:val>
            <c:numLit>
              <c:formatCode>General</c:formatCode>
              <c:ptCount val="51"/>
              <c:pt idx="0">
                <c:v>0.15901435669739639</c:v>
              </c:pt>
              <c:pt idx="1">
                <c:v>9.7242478474200561E-2</c:v>
              </c:pt>
              <c:pt idx="2">
                <c:v>8.4181574100615414E-2</c:v>
              </c:pt>
              <c:pt idx="3">
                <c:v>8.3195544119587864E-2</c:v>
              </c:pt>
              <c:pt idx="4">
                <c:v>5.346964027978706E-2</c:v>
              </c:pt>
              <c:pt idx="5">
                <c:v>5.3295634989017494E-2</c:v>
              </c:pt>
              <c:pt idx="6">
                <c:v>4.6287088555243321E-2</c:v>
              </c:pt>
              <c:pt idx="7">
                <c:v>4.3531164179455774E-2</c:v>
              </c:pt>
              <c:pt idx="8">
                <c:v>3.8987692698250448E-2</c:v>
              </c:pt>
              <c:pt idx="9">
                <c:v>3.4918742891631688E-2</c:v>
              </c:pt>
              <c:pt idx="10">
                <c:v>3.2141383081473983E-2</c:v>
              </c:pt>
              <c:pt idx="11">
                <c:v>2.8538128594112904E-2</c:v>
              </c:pt>
              <c:pt idx="12">
                <c:v>2.7273858268907946E-2</c:v>
              </c:pt>
              <c:pt idx="13">
                <c:v>2.1780923135894768E-2</c:v>
              </c:pt>
              <c:pt idx="14">
                <c:v>1.9175887405967793E-2</c:v>
              </c:pt>
              <c:pt idx="15">
                <c:v>1.5139300902221636E-2</c:v>
              </c:pt>
              <c:pt idx="16">
                <c:v>1.4550877213628901E-2</c:v>
              </c:pt>
              <c:pt idx="17">
                <c:v>1.4454627910280519E-2</c:v>
              </c:pt>
              <c:pt idx="18">
                <c:v>1.2939016609519519E-2</c:v>
              </c:pt>
              <c:pt idx="19">
                <c:v>1.1824794324905704E-2</c:v>
              </c:pt>
              <c:pt idx="20">
                <c:v>1.0658874816222673E-2</c:v>
              </c:pt>
              <c:pt idx="21">
                <c:v>1.0643323618738437E-2</c:v>
              </c:pt>
              <c:pt idx="22">
                <c:v>1.0113321996370267E-2</c:v>
              </c:pt>
              <c:pt idx="23">
                <c:v>9.9821875743410279E-3</c:v>
              </c:pt>
              <c:pt idx="24">
                <c:v>9.1285529232468538E-3</c:v>
              </c:pt>
              <c:pt idx="25">
                <c:v>7.277540119987996E-3</c:v>
              </c:pt>
              <c:pt idx="26">
                <c:v>6.1204469666338553E-3</c:v>
              </c:pt>
              <c:pt idx="27">
                <c:v>5.7863063720401241E-3</c:v>
              </c:pt>
              <c:pt idx="28">
                <c:v>5.2966538026040268E-3</c:v>
              </c:pt>
              <c:pt idx="29">
                <c:v>5.018833761061315E-3</c:v>
              </c:pt>
              <c:pt idx="30">
                <c:v>3.4338725255733137E-3</c:v>
              </c:pt>
              <c:pt idx="31">
                <c:v>3.1779082210354743E-3</c:v>
              </c:pt>
              <c:pt idx="32">
                <c:v>3.1119207073861464E-3</c:v>
              </c:pt>
              <c:pt idx="33">
                <c:v>2.9379154166165808E-3</c:v>
              </c:pt>
              <c:pt idx="34">
                <c:v>2.7882876786601424E-3</c:v>
              </c:pt>
              <c:pt idx="35">
                <c:v>2.5873830192691947E-3</c:v>
              </c:pt>
              <c:pt idx="36">
                <c:v>2.195660963720317E-3</c:v>
              </c:pt>
              <c:pt idx="37">
                <c:v>1.9153191063693501E-3</c:v>
              </c:pt>
              <c:pt idx="38">
                <c:v>1.4315507738191808E-3</c:v>
              </c:pt>
              <c:pt idx="39">
                <c:v>8.4648950630411926E-4</c:v>
              </c:pt>
              <c:pt idx="40">
                <c:v>7.3300779493266335E-4</c:v>
              </c:pt>
              <c:pt idx="41">
                <c:v>6.5525180751148057E-4</c:v>
              </c:pt>
              <c:pt idx="42">
                <c:v>6.3255546523718941E-4</c:v>
              </c:pt>
              <c:pt idx="43">
                <c:v>4.783043982989512E-4</c:v>
              </c:pt>
              <c:pt idx="44">
                <c:v>2.9673366010462171E-4</c:v>
              </c:pt>
              <c:pt idx="45">
                <c:v>2.1855737004872989E-4</c:v>
              </c:pt>
              <c:pt idx="46">
                <c:v>1.6812105388363838E-4</c:v>
              </c:pt>
              <c:pt idx="47">
                <c:v>1.3912017208871075E-4</c:v>
              </c:pt>
              <c:pt idx="48">
                <c:v>1.3617805364574709E-4</c:v>
              </c:pt>
              <c:pt idx="49">
                <c:v>1.0213354023431031E-4</c:v>
              </c:pt>
              <c:pt idx="50">
                <c:v>4.4972381913873264E-5</c:v>
              </c:pt>
            </c:numLit>
          </c:val>
          <c:extLst>
            <c:ext xmlns:c16="http://schemas.microsoft.com/office/drawing/2014/chart" uri="{C3380CC4-5D6E-409C-BE32-E72D297353CC}">
              <c16:uniqueId val="{00000000-F369-4493-AF56-37ABE96A6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605968"/>
        <c:axId val="1279605488"/>
      </c:barChart>
      <c:catAx>
        <c:axId val="12796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05488"/>
        <c:crosses val="autoZero"/>
        <c:auto val="1"/>
        <c:lblAlgn val="ctr"/>
        <c:lblOffset val="100"/>
        <c:noMultiLvlLbl val="0"/>
      </c:catAx>
      <c:valAx>
        <c:axId val="127960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6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17</xdr:row>
      <xdr:rowOff>161925</xdr:rowOff>
    </xdr:from>
    <xdr:to>
      <xdr:col>9</xdr:col>
      <xdr:colOff>847725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F6E098-CD34-AF2E-2805-D0ACA503A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76202</xdr:colOff>
      <xdr:row>17</xdr:row>
      <xdr:rowOff>161925</xdr:rowOff>
    </xdr:from>
    <xdr:to>
      <xdr:col>6</xdr:col>
      <xdr:colOff>609599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3ECBA-515B-8C1A-4847-4B35B2FD1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3</xdr:row>
      <xdr:rowOff>85725</xdr:rowOff>
    </xdr:from>
    <xdr:to>
      <xdr:col>9</xdr:col>
      <xdr:colOff>838200</xdr:colOff>
      <xdr:row>17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9088519-4078-4DFE-B75F-445DAD07E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yk" refreshedDate="46229.570753125001" createdVersion="8" refreshedVersion="8" minRefreshableVersion="3" recordCount="5012" xr:uid="{A52ABEFB-9CC4-4E45-B75D-327ACDAF6731}">
  <cacheSource type="worksheet">
    <worksheetSource name="Tb_data"/>
  </cacheSource>
  <cacheFields count="13">
    <cacheField name="rank" numFmtId="0">
      <sharedItems/>
    </cacheField>
    <cacheField name="name" numFmtId="0">
      <sharedItems count="5012">
        <s v="Freestar"/>
        <s v="FreightWise"/>
        <s v="Cece's Veggie Co."/>
        <s v="LadyBoss"/>
        <s v="Perpay"/>
        <s v="Cano Health"/>
        <s v="Bear Mattress"/>
        <s v="Connected Solutions Group"/>
        <s v="Providence Healthcare Management"/>
        <s v="NOM"/>
        <s v="NuLeaf Naturals"/>
        <s v="Urgently"/>
        <s v="nutpods"/>
        <s v="YieldStreet"/>
        <s v="MuteSix"/>
        <s v="Anchor Worldwide"/>
        <s v="LendingPoint"/>
        <s v="With Clarity"/>
        <s v="Sonendo"/>
        <s v="Kindred Bravely"/>
        <s v="Tailor Made Compounding"/>
        <s v="SD3IT"/>
        <s v="ConvertKit"/>
        <s v="Printify"/>
        <s v="Awardco"/>
        <s v="Pegasus Optimization Managers"/>
        <s v="FITT Scientific"/>
        <s v="Amherst Madison"/>
        <s v="LumenAd"/>
        <s v="Bendcare"/>
        <s v="The Welfont Companies"/>
        <s v="Skinny Dipped"/>
        <s v="RDI Technologies"/>
        <s v="Limited Run Games"/>
        <s v="SwanLeap"/>
        <s v="Vesta Modular"/>
        <s v="H&amp;C Animal Health"/>
        <s v="Homesnap"/>
        <s v="Paradigm Construction"/>
        <s v="Allata"/>
        <s v="Fanchest"/>
        <s v="Fund That Flip"/>
        <s v="Villaway"/>
        <s v="IQM"/>
        <s v="Home Quality Remodeling"/>
        <s v="Beeswax"/>
        <s v="Netizen"/>
        <s v="phData"/>
        <s v="MDstaffers"/>
        <s v="TalEx"/>
        <s v="Nationwide Mortgage Bankers"/>
        <s v="Podium"/>
        <s v="SIA Solutions"/>
        <s v="QEO Group"/>
        <s v="Dropified"/>
        <s v="Sparx Hockey"/>
        <s v="TrueChoicePack"/>
        <s v="Ooze Wholesale"/>
        <s v="Progyny"/>
        <s v="Pax8"/>
        <s v="Terminus"/>
        <s v="Chomps"/>
        <s v="Rad Power Bikes"/>
        <s v="TradePending"/>
        <s v="West Creek Financial"/>
        <s v="CityLift Parking"/>
        <s v="Associated Veterans"/>
        <s v="Fetch Rewards"/>
        <s v="10X Genomics"/>
        <s v="4th &amp; Heart"/>
        <s v="GreenPrint"/>
        <s v="Sky Marketing Corporation"/>
        <s v="Pendo"/>
        <s v="Core Software Technologies"/>
        <s v="EcoSystems"/>
        <s v="Brickell Men's Products"/>
        <s v="Patton Warehousing"/>
        <s v="SydanTech"/>
        <s v="WT Stevens Construction"/>
        <s v="Wandrd"/>
        <s v="Confidio"/>
        <s v="Dynamic Logistix"/>
        <s v="Asset Panda"/>
        <s v="SeaBay Building Group"/>
        <s v="Blue Fire Leads"/>
        <s v="Loanatik"/>
        <s v="SupportNinja"/>
        <s v="Grove Collaborative"/>
        <s v="Cisoshare"/>
        <s v="DigitalOnUS"/>
        <s v="GForce Life Sciences"/>
        <s v="Capitol Bridge"/>
        <s v="Kentucky Counseling Center"/>
        <s v="Shefit"/>
        <s v="US Mobile"/>
        <s v="Feedonomics"/>
        <s v="Amenity Health"/>
        <s v="Payability"/>
        <s v="Eagle Transport and Logistics"/>
        <s v="ShipBob"/>
        <s v="Powerhome Solar"/>
        <s v="LendingOne"/>
        <s v="OwnBackup"/>
        <s v="Invictus International Consulting"/>
        <s v="Go Energistics"/>
        <s v="Total Expert"/>
        <s v="BuzzyBooth"/>
        <s v="Carolin Soldo Coaching &amp; Events"/>
        <s v="Cognira"/>
        <s v="B3 Group"/>
        <s v="Inspiranza Designs"/>
        <s v="OnesourcePCS"/>
        <s v="Cience Technologies"/>
        <s v="Austin Cryo Ventures"/>
        <s v="Sweet Loren's"/>
        <s v="Copper"/>
        <s v="5 Star Roofing and Restoration"/>
        <s v="DigitalCrafts"/>
        <s v="LoadUp Technologies"/>
        <s v="SkillSet Group"/>
        <s v="Ally Logistics"/>
        <s v="BAMFi"/>
        <s v="Potoo"/>
        <s v="Parsons Xtreme Golf"/>
        <s v="Onfleet"/>
        <s v="PatientPop"/>
        <s v="Gravity IT Resources"/>
        <s v="MedLab International"/>
        <s v="Equity &amp; Help"/>
        <s v="Ridgeline International"/>
        <s v="China Metal Solutions"/>
        <s v="BlueSky Resource Solutions"/>
        <s v="Centauri Health Solutions"/>
        <s v="CellTrade NY"/>
        <s v="Exabeam"/>
        <s v="Kinsmen Group"/>
        <s v="Owens Recovery Science"/>
        <s v="WinIt"/>
        <s v="Techolution"/>
        <s v="Solvix Solutions"/>
        <s v="LoveBug Probiotics"/>
        <s v="Nationwide Pharmaceutical"/>
        <s v="Freedom Forever"/>
        <s v="Alpha Omega Integration"/>
        <s v="Arsenal Strength"/>
        <s v="Capital Brand Group"/>
        <s v="FedWriters"/>
        <s v="Sethmar Transportation"/>
        <s v="Hyperion Partners"/>
        <s v="Arcalea"/>
        <s v="Haga Kommer"/>
        <s v="Waggl"/>
        <s v="Roman Roofing"/>
        <s v="Akumina"/>
        <s v="ShipMonk"/>
        <s v="BrillMedia.co"/>
        <s v="Rocket Insights"/>
        <s v="Tridant Solutions"/>
        <s v="ESC Choice"/>
        <s v="Nugget"/>
        <s v="Octopi Brewing"/>
        <s v="KnowBe4"/>
        <s v="Kinect Solar"/>
        <s v="ComplianceQuest"/>
        <s v="DecisionPoint"/>
        <s v="Bombas"/>
        <s v="Jonas Paul Eyewear"/>
        <s v="Tamimi Pharmacy"/>
        <s v="Ad Hoc"/>
        <s v="Valify"/>
        <s v="Sapper Consulting"/>
        <s v="Privy"/>
        <s v="Scooch"/>
        <s v="Monkedia"/>
        <s v="UPshow"/>
        <s v="CampusLogic"/>
        <s v="PCC Cleaning and Maintenance"/>
        <s v="Quirk Creative"/>
        <s v="Tricopian"/>
        <s v="Efficient Home Services of Florida"/>
        <s v="Fitness Cubed"/>
        <s v="Velox Media"/>
        <s v="1Link Technology"/>
        <s v="Quadrant Resource"/>
        <s v="MyHealth"/>
        <s v="Velocity Global"/>
        <s v="Oseth Group"/>
        <s v="Koia"/>
        <s v="Sifted"/>
        <s v="PRx Performance"/>
        <s v="Universal Yums"/>
        <s v="Bridge Brothers"/>
        <s v="Dynamic Systems Technology"/>
        <s v="Supinf Technologies"/>
        <s v="Davis Cargo"/>
        <s v="Polaris Energy Services"/>
        <s v="SetSchedule"/>
        <s v="L2 Defense"/>
        <s v="Motivosity"/>
        <s v="Advoc8"/>
        <s v="Real Plans"/>
        <s v="Axiom Strategies"/>
        <s v="Midway Staffing"/>
        <s v="Perfect Part"/>
        <s v="Silverline Home Remodeling"/>
        <s v="Maxim Zenwise Opco"/>
        <s v="World Housing Solution"/>
        <s v="City Ventures"/>
        <s v="Web Presence"/>
        <s v="Energy Earth"/>
        <s v="Empowered Electric"/>
        <s v="Bookkeeper Business Launch"/>
        <s v="Noom"/>
        <s v="Zenith Engineers"/>
        <s v="Let's Make A Lead"/>
        <s v="Momentum Solar"/>
        <s v="Radius Networks"/>
        <s v="Fattmerchant"/>
        <s v="Infinium Group"/>
        <s v="Memory.net"/>
        <s v="FactoryPure"/>
        <s v="Untappd"/>
        <s v="MikMak"/>
        <s v="Fusion Recruiting Labs"/>
        <s v="Office Libations"/>
        <s v="Broker Online Exchange"/>
        <s v="ODL Services"/>
        <s v="Platinum Health"/>
        <s v="Avelead"/>
        <s v="CMG-Midwest"/>
        <s v="Quince Orchard Psychotherapy"/>
        <s v="RedShelf"/>
        <s v="TransAmerica Express Logistics"/>
        <s v="Flipcause"/>
        <s v="Simply NUC"/>
        <s v="Virtual Machine Solutions"/>
        <s v="Gateway Genomics"/>
        <s v="Strativia"/>
        <s v="ClockShark"/>
        <s v="TriFold"/>
        <s v="Energy Ogre"/>
        <s v="D. Ott Construction"/>
        <s v="Medisuite"/>
        <s v="MYTA Technologies"/>
        <s v="Deal Partners"/>
        <s v="Tier4 Group"/>
        <s v="IES"/>
        <s v="ResiCap"/>
        <s v="Transcend Security Solutions"/>
        <s v="GlobalTex USA"/>
        <s v="Vespa Group"/>
        <s v="Bridgewater Homes"/>
        <s v="Park Financial Group"/>
        <s v="Chronovo"/>
        <s v="Maverick Media Ventures"/>
        <s v="Kortx"/>
        <s v="Bawla Consulting"/>
        <s v="Pawstruck"/>
        <s v="Blue Raven Solar"/>
        <s v="Woom Bikes USA"/>
        <s v="Mixt Solutions"/>
        <s v="ThrivePass"/>
        <s v="Premier Health Solutions"/>
        <s v="Impact Analytics"/>
        <s v="Hemper"/>
        <s v="Intermex"/>
        <s v="PatientBond"/>
        <s v="Ginn Group"/>
        <s v="PANTHERX Rare"/>
        <s v="Factorial Digital"/>
        <s v="T-Rex Solutions"/>
        <s v="Toops"/>
        <s v="InfuseMedia"/>
        <s v="Teachable"/>
        <s v="Squadhelp.com"/>
        <s v="Take2 Consulting"/>
        <s v="Epion Health"/>
        <s v="Gotcha Media Holdings"/>
        <s v="Kyzen Consulting Services"/>
        <s v="CheckedUp"/>
        <s v="Cultivate Advisors"/>
        <s v="Advisors Education"/>
        <s v="Recleim"/>
        <s v="Maddox Industrial Transformer"/>
        <s v="Mako Medical Laboratories"/>
        <s v="Alert Media"/>
        <s v="Southern Veterinary Partners"/>
        <s v="Flexicrew Technical Services"/>
        <s v="Texas Beauty Labs"/>
        <s v="Scientist.com"/>
        <s v="Hennessey Consulting"/>
        <s v="Meleeo"/>
        <s v="SNA International"/>
        <s v="Staymobile"/>
        <s v="Amani Enterprises"/>
        <s v="Privateer IT"/>
        <s v="Discuss.io"/>
        <s v="Dollar Fulfillment"/>
        <s v="Domino Data Lab"/>
        <s v="LYFE Marketing"/>
        <s v="Alivi"/>
        <s v="EETech Media"/>
        <s v="Gravis Law"/>
        <s v="Cousins Logistics"/>
        <s v="Position2"/>
        <s v="BentoBox CMS"/>
        <s v="Symbol Health Solutions"/>
        <s v="Crisp Video Group"/>
        <s v="Sand Cloud"/>
        <s v="Wrapify"/>
        <s v="Iuvo Logistics"/>
        <s v="Group 10 Capital"/>
        <s v="Basemakers"/>
        <s v="Tossware"/>
        <s v="360ia"/>
        <s v="NextGen Leads"/>
        <s v="ColtonCooper"/>
        <s v="HANDLE"/>
        <s v="BestSelf Ventures"/>
        <s v="TazKai"/>
        <s v="Cumulus Networks"/>
        <s v="OppLoans"/>
        <s v="Common Thread Collective"/>
        <s v="Cloudbeds"/>
        <s v="Vested Metals International"/>
        <s v="Platt Cheema Richmond"/>
        <s v="Revelry"/>
        <s v="QOS Networks"/>
        <s v="Koddi"/>
        <s v="Change Media Group"/>
        <s v="BLDG-25"/>
        <s v="Dropoff"/>
        <s v="Modavate"/>
        <s v="Arcus Financial Intelligence"/>
        <s v="Digital Resource"/>
        <s v="Girikon"/>
        <s v="Liberty Rent Guarantee"/>
        <s v="Inflowlogistics"/>
        <s v="Pymetrics"/>
        <s v="Madewell Construction"/>
        <s v="Power Target"/>
        <s v="Bidwise"/>
        <s v="Wavicle Data Solutions"/>
        <s v="Red Seat Ventures"/>
        <s v="reCommerce"/>
        <s v="Design Pickle"/>
        <s v="Hyperice"/>
        <s v="Synfiny Advisors"/>
        <s v="MNS1 Express"/>
        <s v="TomboyX"/>
        <s v="ShopPad"/>
        <s v="Carta"/>
        <s v="SnackNation"/>
        <s v="Staffing as a Mission"/>
        <s v="Azure Knowledge"/>
        <s v="Element78 Partners"/>
        <s v="inVibe Labs"/>
        <s v="SimpleNexus"/>
        <s v="The Language Group"/>
        <s v="Green Bits"/>
        <s v="M2M In Motion"/>
        <s v="AdFicient"/>
        <s v="Raddish Kids"/>
        <s v="Titan Mechanical"/>
        <s v="NanaMacs Clothing"/>
        <s v="Perimeter Security Partners"/>
        <s v="LYNC Logistics"/>
        <s v="Cox Residential"/>
        <s v="Stealth-ISS Group"/>
        <s v="Seeq Corporation"/>
        <s v="M7 Services"/>
        <s v="Healthy Human"/>
        <s v="Professional Hair Labs"/>
        <s v="Strategic Alliance Business Group"/>
        <s v="Synup"/>
        <s v="First Stop Health"/>
        <s v="BoxyCharm"/>
        <s v="WearMe Pro"/>
        <s v="Vidoori"/>
        <s v="Stackify"/>
        <s v="XY - The Persistent Company"/>
        <s v="Dental Intelligence"/>
        <s v="PowerInbox"/>
        <s v="SimpleTire"/>
        <s v="Creative State Marketing"/>
        <s v="UrbanStems"/>
        <s v="GCubed Enterprises"/>
        <s v="VideoAmp"/>
        <s v="SweetScience Marketing"/>
        <s v="Rented.com"/>
        <s v="Lakarya"/>
        <s v="Cosset"/>
        <s v="Tomahawk Strategic Solutions"/>
        <s v="Della Infotech"/>
        <s v="Realvolve"/>
        <s v="Edvenswa Tech"/>
        <s v="UpNest"/>
        <s v="Double Wood"/>
        <s v="Van Law Firm"/>
        <s v="Mobile Text Alerts"/>
        <s v="Apogee Stores"/>
        <s v="New Credit America"/>
        <s v="Bore Tech Utilities"/>
        <s v="Anna Marie Events"/>
        <s v="Pattern"/>
        <s v="Advanced Operations Partners"/>
        <s v="Newline Interactive"/>
        <s v="Groove.co"/>
        <s v="G2"/>
        <s v="Lean Staffing Solutions"/>
        <s v="Vigene Biosciences"/>
        <s v="Pitisci &amp; Associates"/>
        <s v="CouponCause.com"/>
        <s v="Arrive Logistics"/>
        <s v="Integrity Cargo Solutions"/>
        <s v="Wireless Everywhere"/>
        <s v="AudienceX"/>
        <s v="SOCi"/>
        <s v="Advanced Architectural Products"/>
        <s v="Proper Media"/>
        <s v="Dispatch Technologies"/>
        <s v="Kisi Security"/>
        <s v="BridgeTech"/>
        <s v="Boomerang Transportation"/>
        <s v="E&amp;M Technologies"/>
        <s v="Advertise Purple"/>
        <s v="Spike Brewing Equipment"/>
        <s v="Pathway Vet Alliance"/>
        <s v="Bailey's Blossoms"/>
        <s v="Simple Technology Solutions"/>
        <s v="SkyRun Breckenridge"/>
        <s v="Clean Juice"/>
        <s v="InGenius Prep"/>
        <s v="Aysco Technology Integration"/>
        <s v="Kenna Security"/>
        <s v="CarLotz"/>
        <s v="Assured Consulting Solutions"/>
        <s v="The Garrett Companies"/>
        <s v="Era Transport"/>
        <s v="M-Communications"/>
        <s v="ClickFunnels"/>
        <s v="BCM London"/>
        <s v="Uptime"/>
        <s v="Competitive Range Solutions"/>
        <s v="Real Broker"/>
        <s v="Buhler Commercial"/>
        <s v="Trailhead Marketing"/>
        <s v="Factor 75"/>
        <s v="Algolia"/>
        <s v="Midway Dental Supply"/>
        <s v="eAudit"/>
        <s v="Panagora Group"/>
        <s v="MCI"/>
        <s v="Abrams Realty"/>
        <s v="Pelican Waste &amp; Debris"/>
        <s v="Gametime"/>
        <s v="Morning Lavender"/>
        <s v="Keypath Education"/>
        <s v="Thigo International"/>
        <s v="Saved By The Dress"/>
        <s v="Starc Systems"/>
        <s v="Angel Heart Boutique"/>
        <s v="ARM Consulting"/>
        <s v="Chacka Marketing"/>
        <s v="MapleMark Bank"/>
        <s v="Vonlane"/>
        <s v="Prosper Group"/>
        <s v="Point3 Security"/>
        <s v="Directive"/>
        <s v="Alkami Technology"/>
        <s v="QuickBox Fulfillment"/>
        <s v="SandsRx"/>
        <s v="The Building People"/>
        <s v="The SnapBar"/>
        <s v="FitSmallBusiness.com"/>
        <s v="Powerful Professionals"/>
        <s v="Probo Medical"/>
        <s v="Spotio"/>
        <s v="Prime Meridian Capital Management"/>
        <s v="Fox Dealer"/>
        <s v="Kubikware"/>
        <s v="Rocket Referrals"/>
        <s v="Bonusly"/>
        <s v="Trident Transport"/>
        <s v="The Fila Group"/>
        <s v="Seaman's Beverage and Logistics"/>
        <s v="ServiceTitan"/>
        <s v="BlueWave Solar"/>
        <s v="Resource Financial"/>
        <s v="Saprex"/>
        <s v="Simple Energy"/>
        <s v="New Energy Equity"/>
        <s v="Vedder Holsters"/>
        <s v="FloWater"/>
        <s v="Vaughan Buckley Construction"/>
        <s v="Acacia Counseling &amp; Wellness"/>
        <s v="Every Door Real Estate"/>
        <s v="Thought Logic Consulting"/>
        <s v="PBG Consulting"/>
        <s v="Sarvicus"/>
        <s v="Universal Processing"/>
        <s v="The Apella Group"/>
        <s v="Lemonaid Health"/>
        <s v="Coulee Techlink"/>
        <s v="Transform Group"/>
        <s v="JP Ecommerce"/>
        <s v="Hardcore Fitness Boot Camp"/>
        <s v="cellhelmet"/>
        <s v="Conga"/>
        <s v="Blast Tech"/>
        <s v="LoanPaymentPro"/>
        <s v="Admera Health"/>
        <s v="Professional Realty Services International"/>
        <s v="Social Sparkling Wine"/>
        <s v="TicketSauce.com"/>
        <s v="ProSource360 Consulting Services"/>
        <s v="Spinnaker Consulting Group"/>
        <s v="Maxx Builders and Designers"/>
        <s v="Vape Guys"/>
        <s v="Y-Tech"/>
        <s v="Silver Trucking"/>
        <s v="Linux Academy"/>
        <s v="Spartan Armor Systems"/>
        <s v="Mainsail Group"/>
        <s v="Baybridge Pharmacy Corp"/>
        <s v="Quantico Tactical"/>
        <s v="Knewsales Group"/>
        <s v="Beauty Bakerie Cosmetics Brand"/>
        <s v="Two Bulls"/>
        <s v="Nickel &amp; Suede"/>
        <s v="Teknismart Solutions"/>
        <s v="Sprout School Supplies"/>
        <s v="Kuli Kuli Foods"/>
        <s v="LifeHealth"/>
        <s v="Peaxy"/>
        <s v="Private Label Extensions"/>
        <s v="Retail Service Systems"/>
        <s v="Icon Building Supplies"/>
        <s v="Prime Technical Services"/>
        <s v="Hyper Networks"/>
        <s v="Out of the Box Technology"/>
        <s v="Aldevra"/>
        <s v="Native Digital"/>
        <s v="Karya Property Management"/>
        <s v="Full Circle Brands"/>
        <s v="Harbor Compliance"/>
        <s v="LEDMyplace.com"/>
        <s v="NEXgistics"/>
        <s v="Concourse Federal Group"/>
        <s v="Elite Insurance Partners"/>
        <s v="SBGA"/>
        <s v="Pentwater Furnishing"/>
        <s v="BayInfotech"/>
        <s v="XY Planning Network"/>
        <s v="Gymguyz"/>
        <s v="Steward Construction Services"/>
        <s v="Fusion"/>
        <s v="PositivePsyche.Biz Corp"/>
        <s v="GridGain Systems"/>
        <s v="Levvel"/>
        <s v="Employdrive"/>
        <s v="BairesDev"/>
        <s v="TripleLift"/>
        <s v="Digital Hyve"/>
        <s v="Printful"/>
        <s v="Ashley Black Guru"/>
        <s v="Phoenix Operations Group"/>
        <s v="Talk IQ Media"/>
        <s v="GovernmentCIO"/>
        <s v="Draken International"/>
        <s v="Tierra Encantada"/>
        <s v="The Digital Ring"/>
        <s v="FNEX"/>
        <s v="Elite Transit Solutions"/>
        <s v="Nexus Pharmaceuticals"/>
        <s v="Dynamo Technologies"/>
        <s v="Dignari"/>
        <s v="All-Pro Electric"/>
        <s v="Alphacore"/>
        <s v="Breakthrough Physical Therapy Marketing"/>
        <s v="Kingsview Partners"/>
        <s v="GlobalPro Recovery"/>
        <s v="FreeAlliance.com"/>
        <s v="HealthCare.com"/>
        <s v="Ansley Operating Holding Company"/>
        <s v="Blue Marble Payroll"/>
        <s v="Green Powered Technology"/>
        <s v="Conversion Logix"/>
        <s v="Jay Morrison Academy"/>
        <s v="Anson Belt"/>
        <s v="Braeden Engineering"/>
        <s v="Social Fulcrum"/>
        <s v="Trinity Technology Partners"/>
        <s v="Vetnique Pet Products"/>
        <s v="JBK Wellness Labs"/>
        <s v="cloudIT"/>
        <s v="The Shredder + MedShred"/>
        <s v="Tranont"/>
        <s v="Nyla Technology Solutions"/>
        <s v="Azazie"/>
        <s v="Vuesol Technologies"/>
        <s v="Black Spectacles"/>
        <s v="Tractleads"/>
        <s v="HealthFlex Home Health Services"/>
        <s v="Fieldwork Brewing Company"/>
        <s v="Chewy"/>
        <s v="Chloeta"/>
        <s v="Enshored"/>
        <s v="Ingrain Construction"/>
        <s v="eduPresent"/>
        <s v="Sendlane"/>
        <s v="Simply Nutrition"/>
        <s v="MobiChord"/>
        <s v="Interim HealthCare"/>
        <s v="Fundera"/>
        <s v="AdvisoryCloud"/>
        <s v="Merchology"/>
        <s v="Cintel"/>
        <s v="Fletcher Construction"/>
        <s v="TechAnax"/>
        <s v="Green Street Power Partners"/>
        <s v="Evergreen Market"/>
        <s v="Mohawk Group Holdings"/>
        <s v="Nav"/>
        <s v="ERP Global"/>
        <s v="Saligram Systems"/>
        <s v="Smart Roofs Solar"/>
        <s v="BOS Security"/>
        <s v="Bustle Digital Group"/>
        <s v="Alchemy 365"/>
        <s v="WheelHouse Solutions"/>
        <s v="Pearson Smith Realty"/>
        <s v="Zennify"/>
        <s v="5Q Partners"/>
        <s v="Vcheck Global"/>
        <s v="Zolli Candy"/>
        <s v="Innowave Marketing Group"/>
        <s v="CMR Construction &amp; Roofing"/>
        <s v="Strategic Digital Services"/>
        <s v="Kettlebell Kings"/>
        <s v="Rebbl"/>
        <s v="Thinx"/>
        <s v="BottleKeeper"/>
        <s v="Standard Freight"/>
        <s v="BMNT Partners"/>
        <s v="Driftless Glen Distillery"/>
        <s v="CustomPictureFrames.com"/>
        <s v="Agillitics"/>
        <s v="Nivid Infotech"/>
        <s v="UrbanBCN Worldwide"/>
        <s v="Maggie Louise Confections"/>
        <s v="Willy's"/>
        <s v="Quicksilver Scientific"/>
        <s v="Directional Services"/>
        <s v="NexusTek"/>
        <s v="NativePath"/>
        <s v="Eagle Pipe"/>
        <s v="o9 Solutions"/>
        <s v="SH Mechanical"/>
        <s v="GeistM"/>
        <s v="Coherent Staffing Solutions"/>
        <s v="GrandView Aviation"/>
        <s v="CTW Group"/>
        <s v="ORC Utility &amp; Infrastructure Land Services"/>
        <s v="Satelles"/>
        <s v="Apex Dental Partners"/>
        <s v="OneStream Software"/>
        <s v="National Insurance Consulting Group"/>
        <s v="Solvegy"/>
        <s v="Spruce InfoTech"/>
        <s v="Smart City Locating"/>
        <s v="The Cabana Group"/>
        <s v="Ideal Concepts"/>
        <s v="VividCortex"/>
        <s v="Green Threads"/>
        <s v="C Evans Consulting"/>
        <s v="Village Realty"/>
        <s v="Be Social"/>
        <s v="Incorporate Massage"/>
        <s v="SHR Consulting Group"/>
        <s v="Insticator"/>
        <s v="Ardent Pest Control"/>
        <s v="Relief Factor"/>
        <s v="Aura Financial Corporation"/>
        <s v="Emerald Pools and Spas"/>
        <s v="Vydia"/>
        <s v="Emergent Method"/>
        <s v="MBCO Engineering."/>
        <s v="ConcealFab Corporation"/>
        <s v="CapStone Technologies"/>
        <s v="Evolution Event Solutions"/>
        <s v="Patient Care Coordination"/>
        <s v="Sun Mountain"/>
        <s v="ChromebookParts.com"/>
        <s v="Ad Victoriam Solutions"/>
        <s v="Acliviti"/>
        <s v="Talent Solvers"/>
        <s v="Retention Science (ReSci)"/>
        <s v="Hotel Rehabs"/>
        <s v="Ibotta"/>
        <s v="Foundation Software Group"/>
        <s v="CanSource"/>
        <s v="MedTrust Medical Transport"/>
        <s v="123 Home Care"/>
        <s v="Spark.Orange"/>
        <s v="LeaseAccelerator"/>
        <s v="Zoom Video Communications"/>
        <s v="Xcaliber Solutions"/>
        <s v="Piano"/>
        <s v="PresPro Homes"/>
        <s v="Kruze Consulting"/>
        <s v="The Auto Cave"/>
        <s v="Funworks"/>
        <s v="Sevan Multi-Site Solutions"/>
        <s v="Qubole"/>
        <s v="Gather Workspaces"/>
        <s v="Ohio Cashflow"/>
        <s v="VSA"/>
        <s v="Stadiumred Group"/>
        <s v="Acuity Surgical"/>
        <s v="Evans Industrial"/>
        <s v="Mi-One Brands"/>
        <s v="Gather"/>
        <s v="Option Alpha"/>
        <s v="FP Property Restoration"/>
        <s v="Y7 Studio"/>
        <s v="Empire Flippers"/>
        <s v="Crossflow Technologies"/>
        <s v="Transworld Business Advisors - Rocky Mountain"/>
        <s v="Steward Partners Global Advisory"/>
        <s v="AppsFlyer"/>
        <s v="Ruby Has Fulfillment"/>
        <s v="Freed Marcroft"/>
        <s v="Broadleaf"/>
        <s v="Reduce"/>
        <s v="My Home Group Real Estate"/>
        <s v="100% Chiropractic"/>
        <s v="Media Creek"/>
        <s v="Snap! Mobile"/>
        <s v="Avionos"/>
        <s v="STRATIS IoT"/>
        <s v="HookBang"/>
        <s v="ExcelHealth"/>
        <s v="Blue Air Training"/>
        <s v="Katydid"/>
        <s v="JLE Industries"/>
        <s v="Kipsu"/>
        <s v="Urban Capital Group"/>
        <s v="Garage Champs"/>
        <s v="Epic Personnel Partners"/>
        <s v="Wayne Contracting"/>
        <s v="K2 Dental Arts"/>
        <s v="V3Gate"/>
        <s v="Visiture"/>
        <s v="RevUnit"/>
        <s v="CME Lending Group"/>
        <s v="Cira Infotech"/>
        <s v="Tallgrass Freight"/>
        <s v="Anchor Loans"/>
        <s v="Springbot"/>
        <s v="Forward Financing"/>
        <s v="Weave Communications"/>
        <s v="Dr. Squatch"/>
        <s v="Dagger"/>
        <s v="Stukent"/>
        <s v="Revived Exteriors"/>
        <s v="Ienjoy"/>
        <s v="The Hiring Group"/>
        <s v="Sehlke Consulting"/>
        <s v="Intellectsoft"/>
        <s v="Axiologic Solutions"/>
        <s v="Skar Audio"/>
        <s v="Amerikas"/>
        <s v="Clutch"/>
        <s v="The Garage Group"/>
        <s v="NewsWatch"/>
        <s v="Warrior Media"/>
        <s v="Unified Building Group"/>
        <s v="Team Adhoc"/>
        <s v="Dynamo"/>
        <s v="Kaimetrix"/>
        <s v="DSD Merchandisers"/>
        <s v="Synergy Home"/>
        <s v="RPM"/>
        <s v="AdCellerant"/>
        <s v="Branded Group"/>
        <s v="US Business Funding"/>
        <s v="ShipEX"/>
        <s v="The Rx Advocates"/>
        <s v="Octane Energy"/>
        <s v="The Leads Network"/>
        <s v="TruSource Consulting Group"/>
        <s v="JP Services"/>
        <s v="Blake Willson Group"/>
        <s v="CloudQ"/>
        <s v="Natix"/>
        <s v="Indev"/>
        <s v="TorkLaw"/>
        <s v="The Linked Strategies Group"/>
        <s v="Health Recovery Solutions"/>
        <s v="Foresight Wealth Management"/>
        <s v="Ingram Fire Protection"/>
        <s v="Spatial Front"/>
        <s v="Bean Box"/>
        <s v="Fifth Wheel Freight"/>
        <s v="US Cargo Link"/>
        <s v="IBEX IT Business Experts"/>
        <s v="Yoga International"/>
        <s v="Health and Commerce"/>
        <s v="Beauty by Earth"/>
        <s v="SupplyKick"/>
        <s v="Grillaholics"/>
        <s v="Zamp HR"/>
        <s v="Shepherd Search Group"/>
        <s v="BeauTech Power Systems"/>
        <s v="Proximity Learning"/>
        <s v="Olly"/>
        <s v="CGC Consulting"/>
        <s v="FyberCom"/>
        <s v="Ametros"/>
        <s v="Greek House"/>
        <s v="The Ricciardi Group"/>
        <s v="Blackstone Fire Control"/>
        <s v="Levementum"/>
        <s v="Key Tower"/>
        <s v="Kids in the Game"/>
        <s v="Hubb"/>
        <s v="Body del Sol Medical Spa"/>
        <s v="Xero Shoes"/>
        <s v="Bluecore"/>
        <s v="Valiant Residential"/>
        <s v="Flavors15"/>
        <s v="Passport"/>
        <s v="Integrative Physiatry"/>
        <s v="IPfolio"/>
        <s v="Southern Designs"/>
        <s v="Sabio Mobile"/>
        <s v="Tellenger"/>
        <s v="Kodiak Cakes"/>
        <s v="US Aluminum Services"/>
        <s v="Trellis"/>
        <s v="Sgt. Clean's Car Wash"/>
        <s v="CoSchedule"/>
        <s v="Merit321, Launching Careers"/>
        <s v="Freight Right Global Logistics"/>
        <s v="HQSoftware"/>
        <s v="Bond Collective"/>
        <s v="Boll &amp; Branch"/>
        <s v="ApplePie Capital"/>
        <s v="Carroll Organization"/>
        <s v="TESCHGlobal"/>
        <s v="ZeroBounce"/>
        <s v="Hubstaff"/>
        <s v="SEI-Chicago"/>
        <s v="Greenix Holdings"/>
        <s v="Flywheel"/>
        <s v="Clear Touch"/>
        <s v="Critical Project Services"/>
        <s v="Kaizen Media Group"/>
        <s v="Lyon Stahl Investment Real Estate"/>
        <s v="Wellbots"/>
        <s v="HomeWorks Energy"/>
        <s v="The Agency Texas"/>
        <s v="Hireology"/>
        <s v="Omaze"/>
        <s v="Billy Gene Is Marketing"/>
        <s v="Baseballism"/>
        <s v="Changeis"/>
        <s v="F3 MFG"/>
        <s v="Gimbal"/>
        <s v="Universal Windows Direct"/>
        <s v="CFOL International"/>
        <s v="VRC Metal Systems"/>
        <s v="Marketplace Ops"/>
        <s v="Walk West"/>
        <s v="Marketopia"/>
        <s v="B&amp;B Beverage Management"/>
        <s v="Zip Moving and Storage"/>
        <s v="Website Closers"/>
        <s v="ConversionPoint Technologies"/>
        <s v="Parrish and Partners"/>
        <s v="OH Partners"/>
        <s v="Stratus Video"/>
        <s v="Etegra"/>
        <s v="Harper Scott"/>
        <s v="Crossfire Sound Productions"/>
        <s v="FireDisc Cookers"/>
        <s v="Softrams"/>
        <s v="MDsave"/>
        <s v="Skynet Healthcare Technologies"/>
        <s v="Peridot Solutions"/>
        <s v="Dock Street Trading"/>
        <s v="Anchour"/>
        <s v="Hawke Media"/>
        <s v="Blue Canyon Technologies"/>
        <s v="Sojourn Solutions"/>
        <s v="MzeroA.com"/>
        <s v="Fast Slow Motion"/>
        <s v="American Business Brokers"/>
        <s v="The Retail Outsource"/>
        <s v="ProcureIT Network"/>
        <s v="Orion Consulting Group"/>
        <s v="Proforma Springboard Promotions"/>
        <s v="CentralReach"/>
        <s v="LMK Clinical Research Consulting"/>
        <s v="MessageWrap"/>
        <s v="The Pet Loss Center"/>
        <s v="Health Union"/>
        <s v="Kartago America"/>
        <s v="CardFlight"/>
        <s v="Clientserver Technology Solutions"/>
        <s v="DLP Real Estate Capital"/>
        <s v="Friendly Home Services"/>
        <s v="Zoup! Specialty Products"/>
        <s v="Uber Technologies"/>
        <s v="EngagedIN"/>
        <s v="RagingBull.com"/>
        <s v="Holzer Resnick Contracting"/>
        <s v="Wishlist Rewards"/>
        <s v="Edge Logistics"/>
        <s v="Visible Supply Chain Management"/>
        <s v="Skynet Integrations"/>
        <s v="Luxe RV"/>
        <s v="Burgess Civil"/>
        <s v="Chad T. Wilson Law Firm"/>
        <s v="FlexPrint Managed Print Solutions"/>
        <s v="Norada Real Estate Investments"/>
        <s v="Excel Impact"/>
        <s v="Kord Technologies"/>
        <s v="Eva Garland Consulting"/>
        <s v="Brivity"/>
        <s v="Natural Force"/>
        <s v="Wright Energy Partners"/>
        <s v="Tech Talent South"/>
        <s v="FHE"/>
        <s v="Beer Home Team"/>
        <s v="Global Soft Systems"/>
        <s v="Ecomitize"/>
        <s v="Chenal Family Therapy"/>
        <s v="Grand Canyon Gas Logs"/>
        <s v="VOLO"/>
        <s v="Trupet"/>
        <s v="Wafts Solutions"/>
        <s v="Freedom Real Estate"/>
        <s v="Volt Athletics"/>
        <s v="Bluewater Media"/>
        <s v="RKB Handyman Services"/>
        <s v="E Contractors"/>
        <s v="RIVS"/>
        <s v="Motus"/>
        <s v="MJ Seats"/>
        <s v="Inter-Op"/>
        <s v="Elevate Staffing"/>
        <s v="Coffee Meets Bagel"/>
        <s v="Streamline Marketing"/>
        <s v="GEN-Y Hitch"/>
        <s v="Reverb.com"/>
        <s v="Tipping Point Solutions"/>
        <s v="Need/Want"/>
        <s v="Socialfly"/>
        <s v="Everyware"/>
        <s v="Trash Butler"/>
        <s v="Channel Partners Capital"/>
        <s v="Savan Group"/>
        <s v="Onit"/>
        <s v="Better.com"/>
        <s v="Skuid"/>
        <s v="Forcura"/>
        <s v="BarnAllen Technologies"/>
        <s v="DMB Financial"/>
        <s v="Audantic"/>
        <s v="Suite Management Franchising"/>
        <s v="The Hoth"/>
        <s v="360 Energy Solutions"/>
        <s v="Decode Digital Marketing"/>
        <s v="Apetan Consulting"/>
        <s v="Virtue Capital Management"/>
        <s v="Harts Servcies"/>
        <s v="Ridge Wallet"/>
        <s v="American Print Consultants"/>
        <s v="Alley"/>
        <s v="Votto Vines Importing"/>
        <s v="Scott, Vicknair, Hair &amp; Checki"/>
        <s v="3D Solar"/>
        <s v="Vessel FWP"/>
        <s v="Advanced Computer Solutions Group"/>
        <s v="Choozle"/>
        <s v="Ease Logistics"/>
        <s v="Crisp Marketing"/>
        <s v="Darn Good Yarn"/>
        <s v="Beemac"/>
        <s v="Preferred Home Services"/>
        <s v="Ciconix"/>
        <s v="Atlanta Office Technologies"/>
        <s v="Seek Business Capital"/>
        <s v="Your Business Solutions"/>
        <s v="Nomatic"/>
        <s v="Farmgirl Flowers"/>
        <s v="Bombora"/>
        <s v="Frugal Flippers"/>
        <s v="SUMO Communications"/>
        <s v="Home View Technologies"/>
        <s v="CloudHesive"/>
        <s v="Braviant Holdings"/>
        <s v="ProSomnus Sleep Technologies"/>
        <s v="JP and Associates Realtors"/>
        <s v="23rd Group"/>
        <s v="Penji"/>
        <s v="FE International"/>
        <s v="Tredence"/>
        <s v="APS Building Services"/>
        <s v="Courier Distribution Systems"/>
        <s v="Energy Toolbase"/>
        <s v="Pathfinder Consultants"/>
        <s v="Mission Critical Facilities International"/>
        <s v="Xavier Creative House"/>
        <s v="FastExpert"/>
        <s v="Beverly Hills Teddy Bear"/>
        <s v="MOD Pizza"/>
        <s v="Chandlee and Sons Construction"/>
        <s v="Cherry Blow Dry Bar"/>
        <s v="Applied Development"/>
        <s v="Definitive Healthcare"/>
        <s v="Reliance Partners"/>
        <s v="Lief Labs"/>
        <s v="Inseev Interactive"/>
        <s v="Leeward Business Advisors"/>
        <s v="E. Bouchard Company"/>
        <s v="Pensionmark Financial Group"/>
        <s v="ShalePro Energy Services"/>
        <s v="Senior Healthcare Direct"/>
        <s v="ZippyPaws"/>
        <s v="Stay Alfred"/>
        <s v="Dropps"/>
        <s v="Fresh Consulting"/>
        <s v="NimbeLink"/>
        <s v="Century Support Services"/>
        <s v="FrontRunnerHC"/>
        <s v="United Carports"/>
        <s v="Nexxt Gen"/>
        <s v="Terradyne Engineering"/>
        <s v="Utah Global Transportation Management Solutions"/>
        <s v="PM Consulting Group"/>
        <s v="Greenhouse Software"/>
        <s v="Amazing Lash Studio"/>
        <s v="RevolutionParts"/>
        <s v="Metropolitan interactive"/>
        <s v="A1 Garage Door Service and Repair"/>
        <s v="Triumph Construction"/>
        <s v="Verde Solutions"/>
        <s v="High Road Craft Ice Cream"/>
        <s v="World Services"/>
        <s v="Fire &amp; Brilliance"/>
        <s v="Shockoe.com"/>
        <s v="Zaniboni Lighting"/>
        <s v="Swenson He"/>
        <s v="GreyCastle Security"/>
        <s v="Drive Social Media"/>
        <s v="Phoenix Logistics"/>
        <s v="TrueIT"/>
        <s v="Embark"/>
        <s v="Mynt Systems"/>
        <s v="Breeze IT"/>
        <s v="Sustainable Comfort"/>
        <s v="TGW Company"/>
        <s v="Johnson Roofing &amp; Restoration"/>
        <s v="Street Smart Transmission"/>
        <s v="Bestica"/>
        <s v="Raymer Oil Company"/>
        <s v="TickPick"/>
        <s v="The Kool Source"/>
        <s v="Sunken Stone"/>
        <s v="Camrock Oil &amp; Supply"/>
        <s v="Spinutech"/>
        <s v="Blueprint Consulting Services"/>
        <s v="Sante Realty Investments"/>
        <s v="Prime Therapeutics"/>
        <s v="Engage3"/>
        <s v="Mark Sanders - Alrossa"/>
        <s v="Income Store"/>
        <s v="Autonomous Media"/>
        <s v="AIIR Consulting"/>
        <s v="CallRail"/>
        <s v="Pendant Automation"/>
        <s v="Channel Factory"/>
        <s v="Axiom Path"/>
        <s v="Agape Luxury Corp"/>
        <s v="TK Trailer Parts"/>
        <s v="SaaSOptics"/>
        <s v="Repsly"/>
        <s v="Newmedia"/>
        <s v="Towel Tracker"/>
        <s v="Fountainhead Commercial Capital"/>
        <s v="Keystone Perfusion Services, PC"/>
        <s v="Credit Suite"/>
        <s v="Avanti Industries"/>
        <s v="Beautique"/>
        <s v="Zquared"/>
        <s v="Vibe Kayaks"/>
        <s v="DataClover"/>
        <s v="Lone Cone"/>
        <s v="Fresh Prints"/>
        <s v="Tek Leaders"/>
        <s v="Swig"/>
        <s v="LensDirect.com"/>
        <s v="Apex Air"/>
        <s v="Ignite Visibility"/>
        <s v="Snapsheet"/>
        <s v="Freeus"/>
        <s v="DMA Holdings"/>
        <s v="Resident360"/>
        <s v="Core Living"/>
        <s v="Encore Search Partners"/>
        <s v="EnableIT"/>
        <s v="Liquid Bottles"/>
        <s v="PoliteMail Software"/>
        <s v="Grain &amp; Barrel Spirits"/>
        <s v="United Energy Services"/>
        <s v="TaskUs"/>
        <s v="Ceros"/>
        <s v="Axle Logistics"/>
        <s v="Barratt Asset Management"/>
        <s v="Zivelo"/>
        <s v="Trinity Air Medical"/>
        <s v="Nuvolo"/>
        <s v="Foundry Outdoors"/>
        <s v="Vpak"/>
        <s v="Buildout"/>
        <s v="MediaCrossing"/>
        <s v="Vinformatix"/>
        <s v="Splash"/>
        <s v="Connect Media"/>
        <s v="Construction Cost Management"/>
        <s v="Nextlink Internet"/>
        <s v="College Hunks Hauling Junk and Moving (West Chester, Penn.)"/>
        <s v="Verato"/>
        <s v="Spilt Ink SLC"/>
        <s v="Southwest Site Services"/>
        <s v="Lever1"/>
        <s v="Siege Media"/>
        <s v="Quiroga Law Office"/>
        <s v="Bluechip Retail"/>
        <s v="Avtec Homes"/>
        <s v="BloomNation"/>
        <s v="Western Peaks Logistics"/>
        <s v="360 Risk Partners Insurance Solutions"/>
        <s v="Beauty Barrage"/>
        <s v="Visual Computer Solutions"/>
        <s v="Lexitas"/>
        <s v="Purchasing Platform"/>
        <s v="Javelin Group"/>
        <s v="Big Idea Technology"/>
        <s v="Total Technology Results"/>
        <s v="Clearview Business Intelligence"/>
        <s v="Index Analytics"/>
        <s v="Expedition Technology"/>
        <s v="Zuhne"/>
        <s v="Ledge Lounger"/>
        <s v="G2 Ops"/>
        <s v="WealthForge"/>
        <s v="Logical Position"/>
        <s v="Digital Forensic Services"/>
        <s v="Farber &amp; Company Attorneys"/>
        <s v="Catalyst Outdoor"/>
        <s v="Payer Compass"/>
        <s v="Local Web Leads"/>
        <s v="Curate Partners"/>
        <s v="UCW Logistics"/>
        <s v="Behavioral Health Works"/>
        <s v="Scribe-X Northwest"/>
        <s v="ALIRM"/>
        <s v="Resolute Technologies"/>
        <s v="Legwork Software"/>
        <s v="Zeel"/>
        <s v="Colorado Health &amp; Rehab"/>
        <s v="Wellflex Energy Solutions"/>
        <s v="Lastline"/>
        <s v="Cloudbakers"/>
        <s v="PPT Solutions (Oklahoma)"/>
        <s v="Northwestern Improvement Company"/>
        <s v="Ryan Geldermann"/>
        <s v="Innovetive Petcare"/>
        <s v="Shearer"/>
        <s v="FireFly Computers"/>
        <s v="Thin Air Brands"/>
        <s v="SoHo Dragon"/>
        <s v="Southwest Geotechnical"/>
        <s v="The Aspire Software Company"/>
        <s v="EyeKor"/>
        <s v="Stretch Shapes"/>
        <s v="Premier Remodeling"/>
        <s v="Power Digital Marketing"/>
        <s v="Ueno"/>
        <s v="Industry Dive"/>
        <s v="HIDEit Mounts"/>
        <s v="AMMD"/>
        <s v="Pegasus Technology Solutions"/>
        <s v="Jacaruso Enterprises"/>
        <s v="Eventellect"/>
        <s v="Tipalti"/>
        <s v="Aevex Aerospace"/>
        <s v="Ncontracts"/>
        <s v="Stone Glacier"/>
        <s v="Thrive Internet Marketing Agency"/>
        <s v="Eff Creative Group"/>
        <s v="Strike Visuals"/>
        <s v="BKM Capital Partners"/>
        <s v="Federal Strategies"/>
        <s v="GenTech Associates"/>
        <s v="Lima One Capital"/>
        <s v="MatterHackers"/>
        <s v="iClick"/>
        <s v="JDA Worldwide"/>
        <s v="Battery Recyclers of America"/>
        <s v="Oklahoma LED"/>
        <s v="Creamistry"/>
        <s v="Corkcicle"/>
        <s v="Team Solutions Dental"/>
        <s v="Dome Headwear"/>
        <s v="Fix It People"/>
        <s v="MaxGen Energy Services"/>
        <s v="Ben Kinney Real Estate Team"/>
        <s v="Liberty Home Mortgage Corporation"/>
        <s v="KBMax"/>
        <s v="ObservePoint"/>
        <s v="Thrive"/>
        <s v="What If Holdings"/>
        <s v="GonLED"/>
        <s v="Digital Relativity"/>
        <s v="Mavrck"/>
        <s v="Home Perfect Carpet &amp; Tile Cleaning"/>
        <s v="Field Industries"/>
        <s v="Pure Incubation"/>
        <s v="TouchUpDirect"/>
        <s v="Right at School"/>
        <s v="Sorry Robots"/>
        <s v="Central Point Partners"/>
        <s v="Ventive"/>
        <s v="Carrot"/>
        <s v="Amplio Digital"/>
        <s v="Dirt Wurx Excavation"/>
        <s v="Sayva Solutions"/>
        <s v="C Squared Social"/>
        <s v="U.Group"/>
        <s v="RWD Consulting"/>
        <s v="AGB Investigative Services"/>
        <s v="Denken Solutions"/>
        <s v="Silotech Group"/>
        <s v="Moonglow Jewelry"/>
        <s v="Decision Sciences Research Associates"/>
        <s v="Twelve Consulting Group"/>
        <s v="iArch Solutions"/>
        <s v="Seawater Seafood Company"/>
        <s v="Vert Digital"/>
        <s v="CT Assist"/>
        <s v="Fit Body Boot Camp"/>
        <s v="Nekteck"/>
        <s v="Expression Networks"/>
        <s v="Modern Message"/>
        <s v="1-Call Staffing"/>
        <s v="Pediatric Therapy"/>
        <s v="Crimson Agility"/>
        <s v="Keystone Funding"/>
        <s v="SlideBelts"/>
        <s v="Credit Service Intl."/>
        <s v="The Roman Guy"/>
        <s v="Fyzical"/>
        <s v="Green Bay Remodeling"/>
        <s v="Nebulaworks"/>
        <s v="Trinity Logistics USA"/>
        <s v="PDQ.com Corporation"/>
        <s v="Bighorn Design Studio"/>
        <s v="Elevation Solar"/>
        <s v="Watterson"/>
        <s v="Arch Systems"/>
        <s v="The Social Lights"/>
        <s v="Doceo Office Solutions"/>
        <s v="Signs.com"/>
        <s v="Disability Planners"/>
        <s v="Blue Label Labs"/>
        <s v="Commercial Services"/>
        <s v="1st Choice Construction Management"/>
        <s v="Alderson Loop"/>
        <s v="Legacy Toys"/>
        <s v="Outsource Consultants"/>
        <s v="MRL Promotions"/>
        <s v="ARC Risk and Compliance"/>
        <s v="829 Studios"/>
        <s v="DoctorLogic"/>
        <s v="Curlkit"/>
        <s v="STRATEGIC SOLUTION PARTNERS"/>
        <s v="Tellus"/>
        <s v="International Ceramic Construction"/>
        <s v="Banyan Hills Technologies"/>
        <s v="Peddle"/>
        <s v="Dibsies Personalization Station"/>
        <s v="Massie R&amp;D Tax Credits"/>
        <s v="Verdia"/>
        <s v="Cetechs"/>
        <s v="Investor Grit"/>
        <s v="Triple E Equipment"/>
        <s v="Prairie Tickets"/>
        <s v="Crystal Clear Digital Marketing"/>
        <s v="BroadJump"/>
        <s v="HomeStar Remodeling"/>
        <s v="LMS (Logistics Made Simple)"/>
        <s v="jBloom"/>
        <s v="Reltio"/>
        <s v="G2S"/>
        <s v="The Revenue Optimization Companies"/>
        <s v="The Exterior Company"/>
        <s v="Jennaration Boutique"/>
        <s v="Tinuiti"/>
        <s v="DKP Express"/>
        <s v="FlexFunds ETP"/>
        <s v="RapidOps"/>
        <s v="Waiakea"/>
        <s v="Nolan Transportation Group"/>
        <s v="TapResearch"/>
        <s v="Custom Decks"/>
        <s v="Rent Ready"/>
        <s v="30 Lines"/>
        <s v="MagMod"/>
        <s v="The Idea Box - Powered by Proforma"/>
        <s v="SEI-Dallas"/>
        <s v="Under30Experiences"/>
        <s v="Calyx"/>
        <s v="Mobile Posse"/>
        <s v="Intelligent Waves"/>
        <s v="KPG Healthcare"/>
        <s v="Jeff Shipley Enterprises"/>
        <s v="Verified First"/>
        <s v="MacStadium"/>
        <s v="Yapta"/>
        <s v="The Jenny Maraghy Team"/>
        <s v="Proforma Think Ink"/>
        <s v="CircusTrix"/>
        <s v="Washington Capital Partners"/>
        <s v="Waste Away Systems"/>
        <s v="Audley Travel"/>
        <s v="Your Home Sold Guaranteed Realty"/>
        <s v="A-Lign"/>
        <s v="Taimen Transport"/>
        <s v="Calldrip"/>
        <s v="Triton Commerce"/>
        <s v="eAssist Dental Solutions"/>
        <s v="Big Leap"/>
        <s v="Housing Trust Group"/>
        <s v="Suite Experience Group"/>
        <s v="WheelHouse IT"/>
        <s v="CAP Venture Group"/>
        <s v="TokenEx"/>
        <s v="ASB Resources"/>
        <s v="Old Dominion Mechanical"/>
        <s v="Managed Energy Systems"/>
        <s v="Trinity3 Technology"/>
        <s v="Kureiji"/>
        <s v="Wellex"/>
        <s v="Connoils"/>
        <s v="Advantage Media Group"/>
        <s v="DMD Products"/>
        <s v="Triplemint"/>
        <s v="Matrix 4"/>
        <s v="Vantage Point Logistics"/>
        <s v="Telco Connection"/>
        <s v="Binary Defense"/>
        <s v="Pinnacle Dermatology"/>
        <s v="TISTA Science and Technology"/>
        <s v="Schweiger Dermatology Group"/>
        <s v="10th Magnitude"/>
        <s v="Rankings.io"/>
        <s v="Complete Recovery Corp"/>
        <s v="Aerospace Asset Trading"/>
        <s v="Select Communications"/>
        <s v="DJB Hospitality Holding Co/Sedona Taphouse Restaurants"/>
        <s v="Aya Healthcare"/>
        <s v="NovuHealth"/>
        <s v="Bookkeeper360"/>
        <s v="Guaba"/>
        <s v="Gasket Guy"/>
        <s v="Industrial Security Integrators"/>
        <s v="Advanced Care Partners"/>
        <s v="Greentek Energy Systems"/>
        <s v="Advanced Technological Solutions"/>
        <s v="Lentech"/>
        <s v="Triplepoint Environmental"/>
        <s v="Tango Card"/>
        <s v="Assure"/>
        <s v="Index Exchange"/>
        <s v="Beddy's"/>
        <s v="Capital Wealth Advisors"/>
        <s v="PureCars Automotive"/>
        <s v="SaviLinx"/>
        <s v="CloserIQ"/>
        <s v="Kamind IT"/>
        <s v="Ascent Innovations"/>
        <s v="ITProTV"/>
        <s v="Lynker Technologies"/>
        <s v="Motifworks"/>
        <s v="Symmetry Financial Group"/>
        <s v="Zilker Technology"/>
        <s v="StruXure Outdoor"/>
        <s v="Tiger Analytics"/>
        <s v="Brandywine Homes"/>
        <s v="Paragon Payroll"/>
        <s v="FluentStream Technologies"/>
        <s v="Youtech"/>
        <s v="Kentech"/>
        <s v="Pixability"/>
        <s v="Osprey Management"/>
        <s v="Medical Guardian"/>
        <s v="Fastmore Logistics"/>
        <s v="Matt Curtis Real Estate"/>
        <s v="PetWell Partners"/>
        <s v="Ventech Solutions"/>
        <s v="Unitas Global"/>
        <s v="PowerSchool"/>
        <s v="Vantage Payments"/>
        <s v="Staffing Specifix"/>
        <s v="Restoration 1"/>
        <s v="Acorio"/>
        <s v="Veterinary Practice Partners"/>
        <s v="Research America"/>
        <s v="Amicus Enterprises"/>
        <s v="Opex Analytics"/>
        <s v="Marijuana Business Daily"/>
        <s v="Xtreme Park Adventures"/>
        <s v="Adonis Auto Group"/>
        <s v="Prescient Company"/>
        <s v="Home Pride Construction"/>
        <s v="SIGMA SOFTWARE"/>
        <s v="No Limit Agency"/>
        <s v="P2Binvestor"/>
        <s v="Infinite Pool Finishes"/>
        <s v="COFC Logistics"/>
        <s v="Blackstone Medical Services"/>
        <s v="FormulaFolio Investments"/>
        <s v="Advance Your Reach"/>
        <s v="Fundrise"/>
        <s v="3-GIS"/>
        <s v="Digitalspec"/>
        <s v="LeafFilter Gutter Protection"/>
        <s v="United Wall Systems"/>
        <s v="Sleeping Giant Brewing Company"/>
        <s v="Anemoi"/>
        <s v="Center for Social Dynamics"/>
        <s v="Yamibuy"/>
        <s v="OrderMyGear"/>
        <s v="Criterion Systems"/>
        <s v="Optimum RV"/>
        <s v="Thompson Healthcare &amp; Sports Medicine"/>
        <s v="PropLogix"/>
        <s v="E Network Supply"/>
        <s v="Riva Solutions"/>
        <s v="The Hilb Group"/>
        <s v="Perceptive Recruiting"/>
        <s v="UI Global Brands"/>
        <s v="House Advantage"/>
        <s v="Primal Life Organics"/>
        <s v="Living Wellness Partners"/>
        <s v="Millhouse Logistics"/>
        <s v="AgAmerica Lending"/>
        <s v="MedBridge"/>
        <s v="AutoSource Motors"/>
        <s v="Fulcrum Construction Group"/>
        <s v="Red River"/>
        <s v="BlueDog"/>
        <s v="Kontrol"/>
        <s v="DockYard"/>
        <s v="MidPoint Technology Group"/>
        <s v="Porcaro Stolarek Mete Partners"/>
        <s v="National Energy &amp; Light"/>
        <s v="CisCom Solutions"/>
        <s v="Biotrans"/>
        <s v="JB Office"/>
        <s v="JCW Search"/>
        <s v="Star Lab Corp."/>
        <s v="Expero"/>
        <s v="Endurance"/>
        <s v="Spiceology"/>
        <s v="Chewse"/>
        <s v="Apex Appraisal Service"/>
        <s v="Boomset"/>
        <s v="ShipSound"/>
        <s v="Infinite Leap"/>
        <s v="Douglas Realty"/>
        <s v="B3 Medical"/>
        <s v="Self-Publishing School"/>
        <s v="Torrent Consulting"/>
        <s v="Atlas MedStaff"/>
        <s v="JB Software and Consulting"/>
        <s v="Atredis Partners"/>
        <s v="2A Consulting"/>
        <s v="Flux7"/>
        <s v="Famous Toastery"/>
        <s v="Vac2Go"/>
        <s v="ITA International"/>
        <s v="Raw Sugar Living"/>
        <s v="Devbridge"/>
        <s v="AML RightSource"/>
        <s v="Rozalado"/>
        <s v="Hayes Healthcare"/>
        <s v="Grant Enterprises"/>
        <s v="Disruptive Advertising"/>
        <s v="Proforma Angelini + Diamond Solutions"/>
        <s v="Softeq Development"/>
        <s v="Dream Finders Homes"/>
        <s v="ProEquity Asset Management"/>
        <s v="Rise Brands"/>
        <s v="iDealFurniture/KozyFurniture"/>
        <s v="GenerX Generators"/>
        <s v="Team SI"/>
        <s v="Picardie Timber Frame"/>
        <s v="Tarmac"/>
        <s v="WhirlWind Technologies"/>
        <s v="Geo Owl"/>
        <s v="Flexisales"/>
        <s v="Bleacher Restorators of Colorado"/>
        <s v="Black Tie Moving"/>
        <s v="Maven Wave"/>
        <s v="Mountain State Software Solutions"/>
        <s v="Gateway Multifamily"/>
        <s v="Venture REI"/>
        <s v="AutoPets"/>
        <s v="Flocknote"/>
        <s v="Lowers Risk Group"/>
        <s v="Escapology"/>
        <s v="Aero Accessories"/>
        <s v="Magnolia Innovation"/>
        <s v="National Design Build Services"/>
        <s v="TekCom Resources"/>
        <s v="Rx Savings Solutions"/>
        <s v="AG Consulting Partners"/>
        <s v="Eck Services"/>
        <s v="Legacy Service"/>
        <s v="Strong Together Fitness"/>
        <s v="Moxie Solar"/>
        <s v="Veyo"/>
        <s v="World Insurance Associates"/>
        <s v="Saviynt"/>
        <s v="Wana Brands"/>
        <s v="Cookie Cutters Haircuts for Kids"/>
        <s v="WaveFly Powered by JMF Solutions"/>
        <s v="n2grate"/>
        <s v="FullContact"/>
        <s v="Thycotic"/>
        <s v="Spring Dental"/>
        <s v="HealthCaps"/>
        <s v="B.O.S.S. Retirement Solutions"/>
        <s v="Teamson Design Corp."/>
        <s v="Total Server Solutions"/>
        <s v="The Mix Group"/>
        <s v="Mpact Strategic Consulting"/>
        <s v="ERP Maestro"/>
        <s v="Magnolia Boutique"/>
        <s v="LandSouth Construction"/>
        <s v="The Vested Group"/>
        <s v="Cortina Solutions"/>
        <s v="Lafayette Metal &amp; Glass Company"/>
        <s v="Ops Tech Alliance"/>
        <s v="TIME Systems"/>
        <s v="Lighter Capital"/>
        <s v="Intuitive Web Solutions"/>
        <s v="Ardent Eagle Solutions"/>
        <s v="Boutique Recruiting"/>
        <s v="PerkSpot"/>
        <s v="WamBam Fence"/>
        <s v="SMR Holdings"/>
        <s v="Brown Fox PLLC"/>
        <s v="Ruckus Marketing"/>
        <s v="Pacifica Consulting Services"/>
        <s v="Zerto"/>
        <s v="Garland Technology"/>
        <s v="CirrusLabs"/>
        <s v="Northwest Healthcare"/>
        <s v="VividFront"/>
        <s v="Auditmacs"/>
        <s v="Nationwide IT Services"/>
        <s v="Bespoke Sports &amp; Entertainment"/>
        <s v="Hero Digital"/>
        <s v="Diversified"/>
        <s v="Credence Management Solutions"/>
        <s v="ViewSport International"/>
        <s v="Stack Construction Technologies"/>
        <s v="meQuilibrium/New Life Solution"/>
        <s v="Myles Apparel"/>
        <s v="Malka"/>
        <s v="BigBinary"/>
        <s v="Epic Property Management"/>
        <s v="Goldfish Swim School Franchising"/>
        <s v="ProjectManager.com"/>
        <s v="Terra Exports"/>
        <s v="Purchasing Group"/>
        <s v="Cloudticity"/>
        <s v="A. Prentice Ray"/>
        <s v="MartinFederal"/>
        <s v="QFS"/>
        <s v="Heaton Dainard Real Estate"/>
        <s v="Five Doors Network"/>
        <s v="GreenWorks Service Company"/>
        <s v="Becker Logistics"/>
        <s v="GIS Surveyors"/>
        <s v="Taulia"/>
        <s v="KensieMae"/>
        <s v="Advanced Technology Logistics"/>
        <s v="Kingsmen Software"/>
        <s v="Hologenix"/>
        <s v="Franklin Media"/>
        <s v="Instinct Dog Behavior &amp; Training"/>
        <s v="Fulton Grace Realty"/>
        <s v="Innovatemap"/>
        <s v="Ramsey &amp; Walker"/>
        <s v="TruFusion"/>
        <s v="Precise Software Solutions"/>
        <s v="ZoCo Design"/>
        <s v="GeoLinks"/>
        <s v="FormAssembly"/>
        <s v="Uber Bazaar"/>
        <s v="Kiki LaRue"/>
        <s v="Proforma BrandCentric Solutions"/>
        <s v="PopShorts"/>
        <s v="Allied Universal"/>
        <s v="InfiniSource Consulting Solutions"/>
        <s v="540.co"/>
        <s v="Sauce Labs"/>
        <s v="Renaissance Windows &amp; Doors"/>
        <s v="Barbee Jackson Insurance"/>
        <s v="Whitestone Branding"/>
        <s v="Einstein PEO"/>
        <s v="Axe Prime"/>
        <s v="Optmyzr"/>
        <s v="Well Told"/>
        <s v="Camp Gladiator"/>
        <s v="Mfrg-Icon Construction"/>
        <s v="Metis Solutions"/>
        <s v="Rainmaker Ad Ventures"/>
        <s v="Tattersall Companies"/>
        <s v="The GFB: Gluten Free Bar"/>
        <s v="Accelerate Solar"/>
        <s v="Callibrity Solutions"/>
        <s v="Construction Plus"/>
        <s v="Big Hammer Wines"/>
        <s v="TFM Truckload"/>
        <s v="Mortgage Financial Services"/>
        <s v="The Participation Agency"/>
        <s v="SalesLoft"/>
        <s v="Kaizen Technology Partners"/>
        <s v="OppGenetix"/>
        <s v="Ecogistics"/>
        <s v="StaffRehab"/>
        <s v="Alkemy Partners Instruction and Design"/>
        <s v="Explotrain"/>
        <s v="Healthcare Solutions Direct"/>
        <s v="Eaglestone"/>
        <s v="FloodBreak"/>
        <s v="R2C"/>
        <s v="Triad"/>
        <s v="Kerberos International"/>
        <s v="Priority Ambulance"/>
        <s v="Corporate Tax Advisors"/>
        <s v="Stride Consulting"/>
        <s v="ESO"/>
        <s v="Origami Risk"/>
        <s v="Westview Productions"/>
        <s v="3Blue Media"/>
        <s v="Signature Analytics"/>
        <s v="Seriously"/>
        <s v="Chefman"/>
        <s v="twelve NYC"/>
        <s v="Scorpion"/>
        <s v="Overdrive Brands"/>
        <s v="IT Authorities"/>
        <s v="Mac's LTC Pharmacy Solutions"/>
        <s v="123ws.com"/>
        <s v="Greenlink Financial"/>
        <s v="Direct Components"/>
        <s v="Seller Labs"/>
        <s v="JD Precision Plumbing Services"/>
        <s v="Nearshore Technology"/>
        <s v="Weris"/>
        <s v="WillowTree"/>
        <s v="The DVI Group"/>
        <s v="Rational Interaction"/>
        <s v="Peak Dental Services"/>
        <s v="Obsidian Solutions Group"/>
        <s v="Fairbridge Partners"/>
        <s v="Livewell Clinic"/>
        <s v="Digital Brew"/>
        <s v="5by5"/>
        <s v="Punch Bowl Social"/>
        <s v="ConsumerAffairs"/>
        <s v="Mars Services"/>
        <s v="MAS Global Consulting"/>
        <s v="StatGear"/>
        <s v="Source 1 Solutions"/>
        <s v="Artemis Consulting"/>
        <s v="Rebellion Photonics"/>
        <s v="InnovateEd"/>
        <s v="intlx Solutions"/>
        <s v="Seal Software"/>
        <s v="Integrity Express Logistics"/>
        <s v="Mission Field"/>
        <s v="Cambay Consulting"/>
        <s v="Sourcetoad"/>
        <s v="CorLife"/>
        <s v="Passio Technologies"/>
        <s v="Silverback Strategies"/>
        <s v="NextGen Federal Systems"/>
        <s v="Tripleseat"/>
        <s v="Sonatype"/>
        <s v="iTechArt Group"/>
        <s v="Flexton"/>
        <s v="Xtenfer Consulting"/>
        <s v="Tenfold"/>
        <s v="Avant Healthcare Professionals"/>
        <s v="Need Supply Co."/>
        <s v="Grow Op Farms"/>
        <s v="Advent Health Partners"/>
        <s v="CopaSAT"/>
        <s v="Reservations.com"/>
        <s v="Global Lending Services"/>
        <s v="Broad Sky Networks"/>
        <s v="Sawtst"/>
        <s v="Open Lending"/>
        <s v="Wilson Shaw Information Technology"/>
        <s v="Brand Bureau"/>
        <s v="Travlu.com : DHD Hospetality Services"/>
        <s v="Ivy Lane"/>
        <s v="Klymit"/>
        <s v="American Hartford Gold Group"/>
        <s v="Poseidon Systems"/>
        <s v="Lemonlight"/>
        <s v="Zentra"/>
        <s v="Tresata"/>
        <s v="70E Solutions"/>
        <s v="National Coatings"/>
        <s v="One Source Companies"/>
        <s v="Reliable Relamping"/>
        <s v="K3 Solutions"/>
        <s v="Trendsformers"/>
        <s v="Accountfully"/>
        <s v="Worth Clark Realty"/>
        <s v="Piedmont Payment Services"/>
        <s v="Endeavor Schools"/>
        <s v="Science and Medicine Group"/>
        <s v="GigSalad"/>
        <s v="Turo"/>
        <s v="Golden Gate BPO Solutions"/>
        <s v="Beyond Codes"/>
        <s v="Greg Norman &amp; Associates"/>
        <s v="Freedom Healthcare Staffing"/>
        <s v="Priority Title &amp; Escrow"/>
        <s v="Spice Jungle"/>
        <s v="DiscoverOrg"/>
        <s v="Firebird Analytical Solutions and Technologies"/>
        <s v="Windy City Equipment (WCE)"/>
        <s v="Acertus"/>
        <s v="Electrostar Electronics Recovery Solutions"/>
        <s v="Technical Assurance"/>
        <s v="The Ceres Group"/>
        <s v="Neo Prism Solutions"/>
        <s v="Impact Branding &amp; Design"/>
        <s v="Alpha Structural"/>
        <s v="Gulf Coast Crating"/>
        <s v="Petra Coach"/>
        <s v="Studio III Marketing"/>
        <s v="Fusion Medical Staffing"/>
        <s v="Trinity Packaging Supply"/>
        <s v="Scotto"/>
        <s v="Equiscript"/>
        <s v="Argus Merchant Services"/>
        <s v="Creative Systems and Consulting"/>
        <s v="Picore International"/>
        <s v="Pierce Education Properties"/>
        <s v="PIRS Capital"/>
        <s v="FTK Constructions Services"/>
        <s v="Nelson"/>
        <s v="Tilson Technology Management"/>
        <s v="New Signature"/>
        <s v="SkyHop Global"/>
        <s v="Sage Millimeter"/>
        <s v="Vitality Bowls Enterprise"/>
        <s v="Keller Williams Legacy"/>
        <s v="I.T. Works Recruitment"/>
        <s v="Cardiva Medical"/>
        <s v="Three T's Properties"/>
        <s v="Tier4 Advisors"/>
        <s v="SoBe Promos"/>
        <s v="CoSolutions"/>
        <s v="Strait"/>
        <s v="Bolton Remote"/>
        <s v="Noble.com"/>
        <s v="Source Ortho"/>
        <s v="Halo Maritime Defense Systems"/>
        <s v="NetImpact Strategies"/>
        <s v="Dave Burgess Consulting"/>
        <s v="Red Oak Compliance Solutions Holdings"/>
        <s v="Polaris Logistics Group"/>
        <s v="ERP Advisors Group"/>
        <s v="Go Fish Digital"/>
        <s v="Whoice USA"/>
        <s v="3B Medical"/>
        <s v="Semihandmade"/>
        <s v="Venza"/>
        <s v="Affinity Dental Management"/>
        <s v="Nationwide Transport Services"/>
        <s v="Altaworx"/>
        <s v="Spear Physical Therapy"/>
        <s v="Bioluz LED"/>
        <s v="Saltwater Collective"/>
        <s v="Baldwin Risk Partners"/>
        <s v="Lightbeam Health"/>
        <s v="Files.com"/>
        <s v="SilverCloud"/>
        <s v="Utility Concierge"/>
        <s v="MPLT Healthcare"/>
        <s v="Fab Glass and Mirror"/>
        <s v="Sparkle In Pink"/>
        <s v="Katz Capital"/>
        <s v="Spears Consulting Group"/>
        <s v="BahFed"/>
        <s v="Assisted Living Locators"/>
        <s v="pNeo"/>
        <s v="Kopis Mobile"/>
        <s v="The Institute for Wealth Management"/>
        <s v="Phoenix Financial Services"/>
        <s v="Fortress Credit Professionals"/>
        <s v="Apex Infinite Solutions"/>
        <s v="Traditions Health"/>
        <s v="Navigate Power"/>
        <s v="Oscar Orduno"/>
        <s v="Senior Solutions Home Care"/>
        <s v="Mindgruve"/>
        <s v="Perfect Snacks"/>
        <s v="Orangetheory Fitness"/>
        <s v="DoubleMap"/>
        <s v="KLDiscovery"/>
        <s v="GrapeTree Medical Staffing"/>
        <s v="Innovative Collaboration"/>
        <s v="22nd Century Technologies"/>
        <s v="HealthMark Group"/>
        <s v="Countrywide Realty Partners"/>
        <s v="Longneck &amp; Thunderfoot"/>
        <s v="HJR Global"/>
        <s v="Fuse3 Solutions"/>
        <s v="JWB Real Estate Capital"/>
        <s v="Kobie Marketing"/>
        <s v="Plutora"/>
        <s v="Adeptus Solutions"/>
        <s v="BlueSnap"/>
        <s v="Zero Gravity Marketing"/>
        <s v="Base4"/>
        <s v="OneTrust Home Loans"/>
        <s v="Josh's Frogs"/>
        <s v="Applied Resource Group"/>
        <s v="Advance Financial"/>
        <s v="Executive Placements"/>
        <s v="Credit Repair Cloud"/>
        <s v="BDI"/>
        <s v="InfoTrust"/>
        <s v="Hyperquake"/>
        <s v="Tender Loving Empire"/>
        <s v="Avanti Systems USA"/>
        <s v="Vetsource"/>
        <s v="Intelliforce-IT Solutions Group"/>
        <s v="Geraci Law Firm"/>
        <s v="Whistle Sports"/>
        <s v="MyComputerCareer"/>
        <s v="Welltok"/>
        <s v="Vesta Preferred"/>
        <s v="Userful"/>
        <s v="Rootstrap"/>
        <s v="Green Cloud Technologies"/>
        <s v="BluePeak Technology Solutions"/>
        <s v="Tiesta Tea Company"/>
        <s v="Beneficial Blends dba Kelapo"/>
        <s v="Sunset Healthcare Solutions"/>
        <s v="Agilisium Consulting"/>
        <s v="Spot Freight"/>
        <s v="Big Block Realty"/>
        <s v="P2sample"/>
        <s v="Crunch Fitness West Florida and Atlanta (CR Fitness)"/>
        <s v="Signature Transportation Group"/>
        <s v="Black Button Distilling"/>
        <s v="Opex Technologies"/>
        <s v="Secunetics"/>
        <s v="Elevate"/>
        <s v="Telarus"/>
        <s v="G Fuel"/>
        <s v="National Land Realty"/>
        <s v="SKG"/>
        <s v="Health Products For You"/>
        <s v="Facilities Maintenance Management"/>
        <s v="Banquest Payment Systems"/>
        <s v="Lumber One Services"/>
        <s v="Align Technical Resources"/>
        <s v="Caliber Corporate Advisers"/>
        <s v="Adpearance"/>
        <s v="Boomerang DM"/>
        <s v="Steam Logistics"/>
        <s v="NextHome"/>
        <s v="ndVOR Solutions"/>
        <s v="ClearCompany"/>
        <s v="Premier Coil Solutions"/>
        <s v="Inside Ventures"/>
        <s v="Summus Group"/>
        <s v="Central Vapors"/>
        <s v="Nam Technologies"/>
        <s v="Done Right Merchandising"/>
        <s v="Restaurant Partners Procurement"/>
        <s v="Fieldstone Homes"/>
        <s v="Pointe Pest Control-ID"/>
        <s v="Unosquare"/>
        <s v="Modern Market Master"/>
        <s v="StrategyWise"/>
        <s v="Rhino Fleet Tracking"/>
        <s v="United Installs"/>
        <s v="Lightspeed Voice"/>
        <s v="Magneti"/>
        <s v="Pharmapacks"/>
        <s v="Higher Logic"/>
        <s v="Stewardship"/>
        <s v="InRhythm"/>
        <s v="RoundTower Technologies"/>
        <s v="Brandlive"/>
        <s v="Reliant Vision Group"/>
        <s v="Meredith Lodging"/>
        <s v="Energy Lighting Services"/>
        <s v="Felix Media Solutions"/>
        <s v="Pye-Barker Fire"/>
        <s v="ConnXus"/>
        <s v="VEA Foods"/>
        <s v="Cantor Property Services"/>
        <s v="Trade Ideas"/>
        <s v="Dovel Technologies"/>
        <s v="ProfitOptics"/>
        <s v="IronArch Technology"/>
        <s v="IT Veterans"/>
        <s v="Brother's Mechanical"/>
        <s v="Allturna"/>
        <s v="Ryan Insurance Services"/>
        <s v="CPR1"/>
        <s v="Noury Construction"/>
        <s v="Leading Edge Aviation"/>
        <s v="SOR Technology"/>
        <s v="Stake Center Locating"/>
        <s v="Conversica"/>
        <s v="SkyRun Vacation Rentals"/>
        <s v="G-Squared Partners"/>
        <s v="Benzer Pharmacy"/>
        <s v="Cultiva"/>
        <s v="SRP Environmental"/>
        <s v="EnTouch Controls"/>
        <s v="Little Sunshine's Playhouse"/>
        <s v="Mark Spain Real Estate"/>
        <s v="Coast Medical Service"/>
        <s v="The Salas Team"/>
        <s v="McClure"/>
        <s v="SinglePoint Global"/>
        <s v="Bubbies Homemade Ice Cream and Desserts"/>
        <s v="DayBlink Consulting"/>
        <s v="Scanco Software"/>
        <s v="beMatrix USA"/>
        <s v="Hindsight Software Solutions"/>
        <s v="Otter's Chicken"/>
        <s v="Reputation.com"/>
        <s v="TBX"/>
        <s v="Ivalua"/>
        <s v="Gold Medal Pools"/>
        <s v="Carnivore Meat Company"/>
        <s v="Denver Design Build"/>
        <s v="BioAgilytix"/>
        <s v="Eight Oh Two Marketing"/>
        <s v="Synapse Business Systems"/>
        <s v="Within Interior Design"/>
        <s v="Sigma Tax Pro"/>
        <s v="CC&amp;D"/>
        <s v="The HCI Group"/>
        <s v="Texan Allergy and Sinus Center"/>
        <s v="NEwhere"/>
        <s v="TeleVoIPs"/>
        <s v="Furniture Clinic"/>
        <s v="Kline Home Exteriors"/>
        <s v="GP Transco"/>
        <s v="Legalpeople/The Partners Group"/>
        <s v="FountainheadME"/>
        <s v="Blue Sky IT Partners"/>
        <s v="Wizard Labels"/>
        <s v="Trust Security Services"/>
        <s v="Baby Bling"/>
        <s v="DirectDefense"/>
        <s v="CrossCountry Mortgage"/>
        <s v="LGCY Power"/>
        <s v="Seneca Resources"/>
        <s v="ProLink Staffing"/>
        <s v="Pinnacle Furnished Suites"/>
        <s v="Sportsdigita"/>
        <s v="Nationwide Logistics"/>
        <s v="Teleradiology Specialists"/>
        <s v="Owenby Law"/>
        <s v="121 USA"/>
        <s v="Honest Abe Roofing"/>
        <s v="Moore Solar / Heating / Cooling"/>
        <s v="The K Company Realty"/>
        <s v="Perpetual:"/>
        <s v="Eglentowicz Demoliiton"/>
        <s v="Southern Striping Solutions"/>
        <s v="Provision Insurnace Group"/>
        <s v="Rethink Autism"/>
        <s v="WesternTechSystems"/>
        <s v="Alliance Family of Companies"/>
        <s v="RKC Products"/>
        <s v="Hilgers Graben"/>
        <s v="Paradise Exteriors"/>
        <s v="Big Elk Energy Systems"/>
        <s v="POTENZA"/>
        <s v="ProScribe"/>
        <s v="Superior Print and Exhibit"/>
        <s v="Sidebench"/>
        <s v="Skin by Lovely"/>
        <s v="Custom Pro Logistics"/>
        <s v="Orange Tree Staffing"/>
        <s v="Northwest Career College"/>
        <s v="Apto"/>
        <s v="Opus Agency"/>
        <s v="All In One Custom Renovations"/>
        <s v="CloudSmartz"/>
        <s v="Premier Logistics Partners"/>
        <s v="Infoverity"/>
        <s v="Centralized Service"/>
        <s v="Capstone Fire &amp; Safety"/>
        <s v="Retail Cloud Technologies"/>
        <s v="Maui Resort Rentals"/>
        <s v="SimplePart"/>
        <s v="MFI Medical Equipment"/>
        <s v="Back at You"/>
        <s v="Futuri Media"/>
        <s v="Scotlynn USA Division"/>
        <s v="Millennium Trust Company"/>
        <s v="CapGrow Partners"/>
        <s v="Marathon Strategies"/>
        <s v="Marketing Genome"/>
        <s v="RSB Environmental"/>
        <s v="Swiss American CDMO"/>
        <s v="J.W. Logistics"/>
        <s v="Peak Properties Group"/>
        <s v="The Ventus Network"/>
        <s v="BiggerPockets"/>
        <s v="Oasys"/>
        <s v="Williamsburg Enterprises"/>
        <s v="Elite Events &amp; Rentals"/>
        <s v="Estrella Franchising"/>
        <s v="Merit Financial Group"/>
        <s v="Luxury Living Chicago Realty"/>
        <s v="Benton Roofing"/>
        <s v="Graham Technologies"/>
        <s v="Cognitus Consulting"/>
        <s v="Data Canopy Colocation"/>
        <s v="Farwell"/>
        <s v="Sunpro Solar"/>
        <s v="Denny Cherry &amp; Associates Consulting"/>
        <s v="Challas Group"/>
        <s v="Vertex Global Solutions"/>
        <s v="rewardStyle"/>
        <s v="Austin Capital Bank"/>
        <s v="Culprit Creative"/>
        <s v="Doing Good Works"/>
        <s v="Universal Language Service"/>
        <s v="UNA"/>
        <s v="Isenberg Bath Corporation"/>
        <s v="Mightily"/>
        <s v="Quantum Dynamics"/>
        <s v="Greasecycle"/>
        <s v="Dizzion"/>
        <s v="Huss Brewing"/>
        <s v="GrayMatter"/>
        <s v="J2 Solutions"/>
        <s v="ProviderTrust"/>
        <s v="Diversified Conveyors International"/>
        <s v="Structure Ventures"/>
        <s v="Inbenta Holdings"/>
        <s v="Spartan Value Investors"/>
        <s v="Flexible Staffing of Georgia"/>
        <s v="Chicken Salad Chick"/>
        <s v="Double A Labs"/>
        <s v="QC Manufacturing"/>
        <s v="Heartcore Women"/>
        <s v="Nou Systems"/>
        <s v="The Bachrach Group"/>
        <s v="Madwire"/>
        <s v="MacGregor Partners"/>
        <s v="Taktik Logistics Group"/>
        <s v="Americord Registry"/>
        <s v="Z Transportation"/>
        <s v="Accelerated Growth Advisors"/>
        <s v="OrthoFi"/>
        <s v="Savewize Wholesale Distribution"/>
        <s v="Smarsh"/>
        <s v="The Flyway Companies"/>
        <s v="SmartBug Media"/>
        <s v="Open Influence"/>
        <s v="SEO Werkz"/>
        <s v="YellowTelescope/SEOversite/iScreamSocialMedia"/>
        <s v="Conserva Irrigation Franchising"/>
        <s v="2nd Family"/>
        <s v="BeatBox Beverages"/>
        <s v="Apex Energy Solutions Georgia"/>
        <s v="Cava Companies"/>
        <s v="Dribbble"/>
        <s v="Incredible Technologies"/>
        <s v="Hawkers Asian Street Fare"/>
        <s v="Noetic Strategies"/>
        <s v="Acmetek Global Solutions"/>
        <s v="Niha Technologies"/>
        <s v="F. H. Cann &amp; Associates"/>
        <s v="Ceterus"/>
        <s v="SRT Group"/>
        <s v="TrendHR"/>
        <s v="First Help Financial"/>
        <s v="Dynamic Pricing Partners"/>
        <s v="StraCon Services Group"/>
        <s v="Topstep"/>
        <s v="defi solutions"/>
        <s v="Praxent"/>
        <s v="ThinkLite"/>
        <s v="Pacific Packaging Products"/>
        <s v="Your Location Lubrication"/>
        <s v="SocialSEO"/>
        <s v="LRAP Association"/>
        <s v="Imaginuity"/>
        <s v="Level 3 Audio Visual"/>
        <s v="GuidePoint Security"/>
        <s v="Agency EA"/>
        <s v="Funding Merchant Source"/>
        <s v="Quid"/>
        <s v="Lodging Access Systems"/>
        <s v="Brillient Corporation"/>
        <s v="CTI (Taylorville, IL)"/>
        <s v="Nutronics"/>
        <s v="Digital Media Solutions"/>
        <s v="Rescue One Financial"/>
        <s v="Buffalo Computer Graphics"/>
        <s v="Bright Power"/>
        <s v="Stone Tower Winery"/>
        <s v="Retail Security Services"/>
        <s v="Everybodyfights"/>
        <s v="Blossom Ridge Home Health"/>
        <s v="Star Building Services"/>
        <s v="Aureus Techsystems"/>
        <s v="Bridge Marketing"/>
        <s v="Tx3 Services"/>
        <s v="Q4Launch"/>
        <s v="Goettl Air Conditioning"/>
        <s v="ISN"/>
        <s v="Inspirix Technologies"/>
        <s v="CNC Machines"/>
        <s v="Denair HVAC"/>
        <s v="ABT Plumbing Electric Heat"/>
        <s v="YCharts"/>
        <s v="Max Trans Logistics of Chattanooga"/>
        <s v="Storm Smart"/>
        <s v="Wpromote"/>
        <s v="PrismHR"/>
        <s v="Vivaldi Music Academy"/>
        <s v="Energy 1"/>
        <s v="Ripple Effect"/>
        <s v="Qwinix Technologies"/>
        <s v="Flix Brewhouse"/>
        <s v="High Five Events"/>
        <s v="Fund&amp;Grow"/>
        <s v="Parts Town"/>
        <s v="Circa Interactive"/>
        <s v="Holmberg Mechanical"/>
        <s v="Espee Biopharma &amp; Finechem"/>
        <s v="Automotive Avenues"/>
        <s v="Hill Technical Solutions"/>
        <s v="MJ Freeway"/>
        <s v="Yellowstone Health &amp; Rehab"/>
        <s v="Precision Staffing Services"/>
        <s v="SkuVault"/>
        <s v="Cloudnexa"/>
        <s v="Global Water Technology"/>
        <s v="Remarkable Liquids"/>
        <s v="Capstone Title"/>
        <s v="Innovecs"/>
        <s v="Landmark Properties"/>
        <s v="Cynergy Professional Systems"/>
        <s v="Optiline Enterprises"/>
        <s v="Spectra360"/>
        <s v="Threshold"/>
        <s v="SageRider"/>
        <s v="SS Equipment Holdings"/>
        <s v="Network Builders IT"/>
        <s v="Creative Homes"/>
        <s v="Eagle Point Solar"/>
        <s v="Berlin Motors - Efendos Global"/>
        <s v="Frictionless Solutions"/>
        <s v="TechAspect Solutions"/>
        <s v="Smilepoint PLLC"/>
        <s v="New Project"/>
        <s v="Dogtown Media"/>
        <s v="Cali Bamboo"/>
        <s v="Boardroom Salon for Men"/>
        <s v="Absolute Web Services"/>
        <s v="CoConstruct"/>
        <s v="Maryland Addiction Recovery Center"/>
        <s v="Arnold's Office Furniture"/>
        <s v="9Round"/>
        <s v="Onestaff Medical"/>
        <s v="Transportation One"/>
        <s v="DFPG Investments"/>
        <s v="VersaTech"/>
        <s v="Entire Productions"/>
        <s v="Book4Time"/>
        <s v="HMD Transport"/>
        <s v="Artlin Consulting"/>
        <s v="MST Solutions"/>
        <s v="Contigo Technology"/>
        <s v="Issquared"/>
        <s v="Branded Online"/>
        <s v="MediaAlpha"/>
        <s v="TRAVEL EXCLUSIVE"/>
        <s v="Strategus"/>
        <s v="Reorg"/>
        <s v="Grit Technologies"/>
        <s v="Nix Companies"/>
        <s v="MDScripts"/>
        <s v="Toro Taxes"/>
        <s v="Pinnacle Solutions"/>
        <s v="Webspec Design"/>
        <s v="Regal Pools"/>
        <s v="Logistic Dynamics"/>
        <s v="GroundWorks"/>
        <s v="beMarketing"/>
        <s v="Valintry"/>
        <s v="Revenue River"/>
        <s v="Liquid Audio"/>
        <s v="OPS Security Group"/>
        <s v="Artisan Media Group"/>
        <s v="Rastaclat"/>
        <s v="Jaguar Fueling Services"/>
        <s v="Resonance"/>
        <s v="J&amp;D Brush"/>
        <s v="Langford Allergy"/>
        <s v="Weby Corp"/>
        <s v="GatherUp"/>
        <s v="Akshaya"/>
        <s v="ProPharma Sales"/>
        <s v="AvidXchange"/>
        <s v="Becker Wright Consultants"/>
        <s v="GEM Manufacturing"/>
        <s v="Plum Creek Environmental Technologies"/>
        <s v="Skull Shaver"/>
        <s v="The Arbinger Institute"/>
        <s v="OmniPrint International"/>
        <s v="CEO Coaching International"/>
        <s v="Growth Institute"/>
        <s v="Intelligent Video Solutions"/>
        <s v="AdaptiBar"/>
        <s v="Praetorian"/>
        <s v="truDigital Signage"/>
        <s v="La Colombe Coffee Roaster"/>
        <s v="Magnolia River Services"/>
        <s v="Lenora Systems"/>
        <s v="Novasyte"/>
        <s v="SkyLine Scaffold"/>
        <s v="MillTown Plumbing, Heating, AC, and Drain Cleaning"/>
        <s v="EventSphere"/>
        <s v="Renters Warehouse Houston"/>
        <s v="Veritas Prime"/>
        <s v="ITI Communications"/>
        <s v="Casino Cash Trac"/>
        <s v="ClearPlan"/>
        <s v="Murphy Door"/>
        <s v="Raney's"/>
        <s v="Modernizing Medicine"/>
        <s v="OmegaQuant"/>
        <s v="Cloudnexion"/>
        <s v="The Nutrition Corners"/>
        <s v="Show Imaging"/>
        <s v="Pioneer Bank"/>
        <s v="Capacity"/>
        <s v="ecUtopia"/>
        <s v="LSP Technologies"/>
        <s v="ManhattanHomeDesign.com"/>
        <s v="Jahnel Group"/>
        <s v="Pipaya Partners"/>
        <s v="Teeming Vacation Rentals"/>
        <s v="JNS Media Specialists"/>
        <s v="Emergency Restoration Xperts"/>
        <s v="MedEvoke"/>
        <s v="OnPar Technologies"/>
        <s v="MediRevv"/>
        <s v="Oakman Aerospace"/>
        <s v="Azalea Health Innovations"/>
        <s v="eSquared Communication Consulting"/>
        <s v="Cubby's"/>
        <s v="Squaremouth"/>
        <s v="NRI USA"/>
        <s v="Rising Sun Farms"/>
        <s v="Adopt Technologies"/>
        <s v="BigSpeak Speakers Bureau"/>
        <s v="LSINC"/>
        <s v="Redeemers Group"/>
        <s v="Progressive Screens"/>
        <s v="Client Command"/>
        <s v="Health Catalyst"/>
        <s v="D&amp;B Elite Construction Group"/>
        <s v="Host Healthcare"/>
        <s v="Teriyaki Madness"/>
        <s v="AchieveIt"/>
        <s v="G&amp;G LED Lighting"/>
        <s v="Argotrak"/>
        <s v="The Ranger Group"/>
        <s v="Ad Results Media"/>
        <s v="Studio 11 Design"/>
        <s v="A+ Staffing"/>
        <s v="JCM Capital Investments"/>
        <s v="Real Social Dynamics"/>
        <s v="Talent Framework"/>
        <s v="MIS Solutions"/>
        <s v="Tripack"/>
        <s v="Amicon Management"/>
        <s v="Medisouth"/>
        <s v="GPS Trackit"/>
        <s v="Window Nation"/>
        <s v="SmartHouse Heating &amp; Cooling"/>
        <s v="Plus Group"/>
        <s v="Levelset"/>
        <s v="Captive Alternatives"/>
        <s v="Agilis Systems"/>
        <s v="SMP Pharmacy Solutions"/>
        <s v="USConnect"/>
        <s v="BrandNex.com"/>
        <s v="BodyHealth"/>
        <s v="Jeni's Splendid Ice Creams"/>
        <s v="Fortified Data"/>
        <s v="Grand River Aseptic Manufacturing"/>
        <s v="SADA Systems"/>
        <s v="Los Angeles Distributing Company"/>
        <s v="Boa Logistics"/>
        <s v="MediaSmack"/>
        <s v="Data Storage Science"/>
        <s v="PeerSource"/>
        <s v="Integrated Biometrics"/>
        <s v="Airosmith Development"/>
        <s v="Trio"/>
        <s v="Coldwell Banker Distinctive Properties"/>
        <s v="Collateral Management"/>
        <s v="Schadler Industrial"/>
        <s v="SSDM"/>
        <s v="Spangler Restoration"/>
        <s v="BPO USA"/>
        <s v="EGen Solutions"/>
        <s v="Golden Financial Services Debt Settlement Corp."/>
        <s v="Superior Restoration"/>
        <s v="Level 2 Legal Solutions"/>
        <s v="The Autumn Group"/>
        <s v="Hawksearch"/>
        <s v="Sales Xceleration"/>
        <s v="Athletx Sports Group"/>
        <s v="PC Age"/>
        <s v="Uncomn"/>
        <s v="Intelpath"/>
        <s v="Triad RF Systems"/>
        <s v="Katalyst Group"/>
        <s v="OnSite Oilfield Service"/>
        <s v="National Petroleum"/>
        <s v="Simply Dental Management"/>
        <s v="Poppin"/>
        <s v="Phaidon International"/>
        <s v="Tallwave"/>
        <s v="WellBiz Brands"/>
        <s v="Agency672"/>
        <s v="ISI Professional Services"/>
        <s v="OneDigital Health and Benefits"/>
        <s v="Method Architecture"/>
        <s v="Strolid"/>
        <s v="Edge Business Systems"/>
        <s v="Consumer Acquisition"/>
        <s v="Propeller"/>
        <s v="Millennium Alliance"/>
        <s v="P.R.O.S. Corporate Housing"/>
        <s v="Athena Technology Group"/>
        <s v="BattlBox"/>
        <s v="Converge Consulting"/>
        <s v="British Swim School"/>
        <s v="Abstrakt Marketing Group"/>
        <s v="Engineer.ai"/>
        <s v="Homespire Mortgage"/>
        <s v="Abode Luxury Rentals"/>
        <s v="Arixa Capital Advisors"/>
        <s v="Fathom Realty"/>
        <s v="Caldera Medical"/>
        <s v="Acuity Technologies"/>
        <s v="Symplr"/>
        <s v="Stokes &amp; Company, CPAs"/>
        <s v="Metric Theory"/>
        <s v="Enviro-Master International Franchise"/>
        <s v="Enseo"/>
        <s v="Equipment Management Group"/>
        <s v="Edlogical Group Corp"/>
        <s v="Dane Manufacturing"/>
        <s v="annLeo"/>
        <s v="Connexa"/>
        <s v="Sour Fish Events"/>
        <s v="Prime TSR"/>
        <s v="Practice Promotions"/>
        <s v="Net Conversion"/>
        <s v="Vee Technologies"/>
        <s v="Amijag"/>
        <s v="Priority Lighting"/>
        <s v="Sameday Insurance Services"/>
        <s v="Einstein Moving Company"/>
        <s v="Alight Analytics"/>
        <s v="Storebound"/>
        <s v="January Digital"/>
        <s v="Enterprise Knowledge"/>
        <s v="Proozy"/>
        <s v="Atlas Research"/>
        <s v="Nomad Financial"/>
        <s v="Aerodyne Industries"/>
        <s v="OMG Commerce"/>
        <s v="C&amp;S Communications"/>
        <s v="Heritage Group"/>
        <s v="Modern American Recycling Services"/>
        <s v="Union"/>
        <s v="Future State Consulting"/>
        <s v="On Target Health"/>
        <s v="Premier Pools and Spas - Dallas"/>
        <s v="ZoomInfo"/>
        <s v="commonFont"/>
        <s v="Progressive Freight"/>
        <s v="Rockerbox"/>
        <s v="The Hay Legal Group"/>
        <s v="Denton Floyd Real Estate Group"/>
        <s v="Reveneer"/>
        <s v="M2E"/>
        <s v="AOK RVs"/>
        <s v="JSK Transportation"/>
        <s v="A.M. Sun Solar"/>
        <s v="Sheds Direct"/>
        <s v="Sealink International"/>
        <s v="CFO Alliance"/>
        <s v="NXGN"/>
        <s v="MediSked"/>
        <s v="Full Circle Research"/>
        <s v="Updox"/>
        <s v="Tasteful Selections"/>
        <s v="REN Dermatology"/>
        <s v="NFI/Nameplates for Industry"/>
        <s v="Advantage Technology"/>
        <s v="MegaCorp Logistics"/>
        <s v="Pinnacus"/>
        <s v="S3 Builders"/>
        <s v="Hancock Claims Consultants"/>
        <s v="Repay"/>
        <s v="Pepine Realty"/>
        <s v="Fort Construction,"/>
        <s v="Elite Pacific Properties"/>
        <s v="IronMountain Solutions"/>
        <s v="Coffeebar"/>
        <s v="Doodlebuggers"/>
        <s v="Careerminds"/>
        <s v="PEG Compaines"/>
        <s v="Stand Up Guys Junk Removal"/>
        <s v="Paragon Private Health"/>
        <s v="AffiniPay"/>
        <s v="AMC Bridge"/>
        <s v="Convene (New York, NY)"/>
        <s v="MarketBeat"/>
        <s v="Great Dental Websites"/>
        <s v="Environmental Protection Industries"/>
        <s v="Independent Trust Company of America"/>
        <s v="Pacific Gold Marketing"/>
        <s v="SAJJ Mediterranean"/>
        <s v="Broadreach Medical Resources"/>
        <s v="Conversant Group"/>
        <s v="All American Entertainment"/>
        <s v="CORE Consultants"/>
        <s v="Shelter"/>
        <s v="Afters Ice Cream"/>
        <s v="Passage Technology"/>
        <s v="The Westport Group"/>
        <s v="Stirista"/>
        <s v="Silver Lining Design Group"/>
        <s v="BCS CallProcessing"/>
        <s v="vTech Solution"/>
        <s v="Orbit Logic"/>
        <s v="Creative Works"/>
        <s v="AXI International Corp."/>
        <s v="Architecture Design Collaborative"/>
        <s v="SellerCloud"/>
        <s v="Koya Leadership Partners"/>
        <s v="Mike's Metal Works"/>
        <s v="New Breed Marketing"/>
        <s v="Superior Fireworks"/>
        <s v="Sweet Peach Wax &amp; Sugaring Studio"/>
        <s v="Injured Gadgets"/>
        <s v="Lake Homes Realty"/>
        <s v="Good Life Companies"/>
        <s v="Mavice"/>
        <s v="Amstill Roofing"/>
        <s v="Chantel Ray Real Estate"/>
        <s v="Pinpoint Payments"/>
        <s v="On the Map Marketing"/>
        <s v="AcctTwo Shared Services"/>
        <s v="WNA Engineering"/>
        <s v="The Basement"/>
        <s v="Georgetown Home Care"/>
        <s v="Foster Crown"/>
        <s v="Green Star Exteriors"/>
        <s v="Soundhouse Rentals"/>
        <s v="HBR Consulting"/>
        <s v="WebPT"/>
        <s v="Blue Wheel Media"/>
        <s v="Bullseye Strategy"/>
        <s v="Canvs"/>
        <s v="Anders Group"/>
        <s v="Michael Hyatt &amp; Company"/>
        <s v="Exponential Property Group"/>
        <s v="GP Flooring Solutions"/>
        <s v="Belay"/>
        <s v="Myriad Mobile"/>
        <s v="ShayCore Enterprises"/>
        <s v="Orases"/>
        <s v="ZMAC Transportation"/>
        <s v="CVP (Customer Value Partners)"/>
        <s v="Quicklotz Liquidations"/>
        <s v="LinkedSelling"/>
        <s v="Kajabi"/>
        <s v="Karsun Solutions"/>
        <s v="STP Investment Services"/>
        <s v="Less Annoying Software"/>
        <s v="keono"/>
        <s v="BisonOffice"/>
        <s v="Sullivan Engineering"/>
        <s v="Aspirent"/>
        <s v="Material Handling Services"/>
        <s v="Clutch Holdings"/>
        <s v="SkyVerge"/>
        <s v="Bell Media"/>
        <s v="Eligo Energy"/>
        <s v="Nuventra Pharma Sciences"/>
        <s v="Atlantic Blue Water Services"/>
        <s v="Skyword"/>
        <s v="Executech"/>
        <s v="Ultimate Jet Vacations"/>
        <s v="Surdi Enterprise"/>
        <s v="Clearent"/>
        <s v="A Head For Profits"/>
        <s v="Health Carousel"/>
        <s v="RR Appliance Services"/>
        <s v="PCI Group"/>
        <s v="Eclipse Brand Builders"/>
        <s v="Northern Planet"/>
        <s v="AdTheorent"/>
        <s v="Career Start"/>
        <s v="Mid America Logistics"/>
        <s v="Roz Marketing Group"/>
        <s v="GRSi"/>
        <s v="Creative Marketing Resources"/>
        <s v="Escalon Services"/>
        <s v="Franpos"/>
        <s v="Tectonic Audio Labs"/>
        <s v="JAX Refrigeration"/>
        <s v="Tridiuum"/>
        <s v="Human Element"/>
        <s v="Integrhythm"/>
        <s v="Cinergy Entertainment"/>
        <s v="CompassMSP"/>
        <s v="Apps Solutions"/>
        <s v="Fatbeam"/>
        <s v="demandDrive"/>
        <s v="Woodridge Advisors"/>
        <s v="Open Systems Healthcare"/>
        <s v="Perfusion.com"/>
        <s v="Diligent Corporation"/>
        <s v="Surefire Local"/>
        <s v="Capital Square 1031"/>
        <s v="EBQuickstart"/>
        <s v="AgileThought"/>
        <s v="Paradyme Management"/>
        <s v="JEAR Logistics"/>
        <s v="Senture"/>
        <s v="Med Tech Solutions"/>
        <s v="Property Management"/>
        <s v="Rang Technologies"/>
        <s v="Barracuda Staffing"/>
        <s v="The Surface Masters"/>
        <s v="Advanced Medical Integration"/>
        <s v="Anytime Flooring"/>
        <s v="The Kotter Group"/>
        <s v="Electrosoft Services"/>
        <s v="Myrtle Group"/>
        <s v="ReviewPush"/>
        <s v="BuybackBoss.com"/>
        <s v="OceanTech"/>
        <s v="Fluidmesh Networks"/>
        <s v="Pegasus one"/>
        <s v="Proforma Printing Systems"/>
        <s v="Solutions by Text"/>
        <s v="Epiq"/>
        <s v="iQuanti"/>
        <s v="The Lockwood Group"/>
        <s v="Sentinel Sales &amp; Management"/>
        <s v="Caliber The Wealth Development Company"/>
        <s v="Chair 10 Marketing"/>
        <s v="Trinity Multifamily"/>
        <s v="Edgewater Federal Solutions"/>
        <s v="Lamb Insurance Services"/>
        <s v="YourMechanic"/>
        <s v="Criteria (Los Angeles, CA)"/>
        <s v="Patra"/>
        <s v="Project Repat"/>
        <s v="Capitol Home Health"/>
        <s v="Raare Solutions"/>
        <s v="Supplies Now"/>
        <s v="Nelson Construction and Renovations"/>
        <s v="MomentFeed"/>
        <s v="Cutting Edge Services"/>
        <s v="Chhabra Enterprises"/>
        <s v="Pless Security Incorporated"/>
        <s v="Park Place Technologies"/>
        <s v="Tin Roof Software"/>
        <s v="Netrush"/>
        <s v="OnPrem Solution Partners"/>
        <s v="ManhattanTechSupport.com"/>
        <s v="Bayless Integrated Healthcare"/>
        <s v="HydroFloTech"/>
        <s v="A Plus Garage Doors"/>
        <s v="Collision Works"/>
        <s v="Summit CPA Group"/>
        <s v="ThreatConnect"/>
        <s v="Fully Accountable"/>
        <s v="TargetPath"/>
        <s v="McCabe Construction Company"/>
        <s v="Material Handling Systems"/>
        <s v="Specialist ID"/>
        <s v="EnableComp"/>
        <s v="Incedo"/>
        <s v="One Stop Equine Shop"/>
        <s v="Key Credit Repair"/>
        <s v="Your Wealth Effect"/>
        <s v="Affordable Luxury Group"/>
        <s v="Brookstone Restoration"/>
        <s v="Avatria"/>
        <s v="Bevara Building Services"/>
        <s v="United Solutions"/>
        <s v="Ecosystem Planning and Restoration"/>
        <s v="Team Fitz Graphics"/>
        <s v="TalentBridge"/>
        <s v="Romulus Marketing"/>
        <s v="Restore Rehab Services"/>
        <s v="Murray Resources"/>
        <s v="VOX DJs"/>
        <s v="RGD"/>
        <s v="BOS Staffing"/>
        <s v="Becker's Healthcare"/>
        <s v="Elite Roofing"/>
        <s v="BlackTree Heathcare Consulting"/>
        <s v="The Neiders Company"/>
        <s v="SellYourMac.com"/>
        <s v="Tech Americas USA"/>
        <s v="Fortis Construction"/>
        <s v="NPD Logistics"/>
        <s v="Net2Source"/>
        <s v="ProTitleUSA"/>
        <s v="Grover Gaming"/>
        <s v="Adwerx"/>
        <s v="UserTesting"/>
        <s v="HumanN"/>
        <s v="O.P.E.N. America"/>
        <s v="Joorney Business Plans"/>
        <s v="Pyure Brands"/>
        <s v="TruQua Enterprises"/>
        <s v="Food52"/>
        <s v="Tallahassee Rock Real Estate"/>
        <s v="T. Parker Host"/>
        <s v="BBQ Guy's Manufacturing"/>
        <s v="Happy Trailer Sales"/>
        <s v="JMC Equipment"/>
        <s v="T3 Expo"/>
        <s v="Downeast Cider House"/>
        <s v="Syntelligent Analytic Solutions"/>
        <s v="Deep Blue Communications"/>
        <s v="Test Double"/>
        <s v="GeBBS Healthcare Solutions"/>
        <s v="Semcasting"/>
        <s v="Takeout Central"/>
        <s v="Mind Your Business"/>
        <s v="Bolt on Technology"/>
        <s v="Synapse Studios"/>
        <s v="College Hunks Hauling Junk and Moving (Tampa, FL)"/>
        <s v="Mansfield Crane Service"/>
        <s v="EmazingLights / iHeartRaves / Into the AM"/>
        <s v="Trintech"/>
        <s v="SomerTile"/>
        <s v="B&amp;B Heating and Air"/>
        <s v="BCV Social"/>
        <s v="Tricap Residential Group"/>
        <s v="NetX Information Systems"/>
        <s v="Experion Technologies"/>
        <s v="True Inspection Services"/>
        <s v="GotUwired"/>
        <s v="Master Medical Equipment"/>
        <s v="Greenway Insurance"/>
        <s v="Prolific Interactive"/>
        <s v="Berry Law Firm"/>
        <s v="Dealer World"/>
        <s v="Marketing Doctor"/>
        <s v="Petrelli Previtera Schimmel"/>
        <s v="Modus Create"/>
        <s v="Miracle Mile Advisors"/>
        <s v="Elev8 Hire Solutions"/>
        <s v="NCWC"/>
        <s v="Neal&amp;Neal Team"/>
        <s v="A1C Partners"/>
        <s v="Homeland Manufacturing Services"/>
        <s v="inTech Trailers"/>
        <s v="ALKU"/>
        <s v="Fit My Feet Orthotic Lab and Shoes"/>
        <s v="Instasize"/>
        <s v="Kahn Media"/>
        <s v="DoHardMoney.com"/>
        <s v="Appreciation Financial"/>
        <s v="Monogram Windows and Doors"/>
        <s v="New Vision"/>
        <s v="Biomedical Research Laboratories"/>
        <s v="Cambria Solutions"/>
        <s v="Kodiak Building Partners"/>
        <s v="STS International"/>
        <s v="Globo"/>
        <s v="South Bay Hot Yoga"/>
        <s v="Unity FI Solutions"/>
        <s v="Skaled Consulting"/>
        <s v="The Network Pro"/>
        <s v="Aspen Exteriors"/>
        <s v="Maxey Trailers Mfg."/>
        <s v="Clark Bros."/>
        <s v="Metro Stars Gymnastics"/>
        <s v="Aerospace Quality Research and Development"/>
        <s v="Blink Fitness"/>
        <s v="Digital Pi"/>
        <s v="Mobile Outfitters"/>
        <s v="Threat Tec"/>
        <s v="North American Payment Solutions"/>
        <s v="CS Recruiting"/>
        <s v="Feury Image Group"/>
        <s v="LIDO ADVISORS"/>
        <s v="RNN Group"/>
        <s v="TFS"/>
        <s v="Choice Merchant Solutions"/>
        <s v="All Pro Security"/>
        <s v="Streamline"/>
        <s v="Salas O'Brien"/>
        <s v="BNG Team"/>
        <s v="Vinyl Me, Please"/>
        <s v="Klein Hall CPAs"/>
        <s v="Touchstone Merchandise Group"/>
        <s v="DEG"/>
        <s v="Phobio"/>
        <s v="KitchenSearch.com"/>
        <s v="Transportation Impact"/>
        <s v="Great Waters Financial"/>
        <s v="Turbonomic"/>
        <s v="FCM"/>
        <s v="Momentum Solutionz"/>
        <s v="Perceptyx"/>
        <s v="Info Way Solutions"/>
        <s v="InterImage"/>
        <s v="VitalWare"/>
        <s v="Tundraland Home Improvements"/>
        <s v="RMG Media"/>
        <s v="Maui Leones"/>
        <s v="PayDay Payroll Resources"/>
        <s v="Broadline Components"/>
        <s v="Appogee"/>
        <s v="Prominent Construction"/>
        <s v="SEI-New York"/>
        <s v="Cipher Tech Solutions"/>
        <s v="Delta Solutions &amp; Strategies"/>
        <s v="Applied Technology Services"/>
        <s v="ZochNet"/>
        <s v="iTouchless.com"/>
        <s v="Rain City Capital"/>
        <s v="Greenland America"/>
        <s v="Derm Holdings"/>
        <s v="Computer Overhauls"/>
        <s v="Staylisted"/>
        <s v="Validation Associates"/>
        <s v="North Pacific Industries"/>
        <s v="Whois API"/>
        <s v="Strike"/>
        <s v="Corsis"/>
        <s v="Techfino"/>
        <s v="ProConstruction"/>
        <s v="Maximum Games"/>
        <s v="HSTpathways"/>
        <s v="Bar-All"/>
        <s v="Bounteous"/>
        <s v="Culture Studio"/>
        <s v="DiamondBack Truck Covers"/>
        <s v="Eight Bit Studios"/>
        <s v="ClickDimensions"/>
        <s v="Altura Engineering &amp; Design"/>
        <s v="Freedom Capital"/>
        <s v="Alarm Grid"/>
        <s v="Precision Precast Erectors"/>
        <s v="APS Marketing Group"/>
        <s v="Boxwell Southwest"/>
        <s v="TLC Associates"/>
        <s v="E-Volve Systems"/>
        <s v="Cogent Analytics"/>
        <s v="MKS2 Technologies"/>
        <s v="Hoss Industrial"/>
        <s v="Healthcare IT Leaders"/>
        <s v="Rekruiters"/>
        <s v="Stoneridge Software"/>
        <s v="Centex Technologies"/>
        <s v="Platinum Realty"/>
        <s v="Phoenix Marketing International"/>
        <s v="Best Deal Car Service"/>
        <s v="Survwest"/>
        <s v="Swarm"/>
        <s v="Nebo"/>
        <s v="i3"/>
        <s v="Marshall Scientific"/>
        <s v="JSL Technologies"/>
        <s v="LUX Catering &amp; Events"/>
        <s v="Above All Transportation/ Boston Car Service"/>
        <s v="Durante Rentals"/>
        <s v="Morgan Li"/>
        <s v="The Junkluggers"/>
        <s v="Framework Solutions"/>
        <s v="Chief Outsiders"/>
        <s v="Arcadia.io"/>
        <s v="Rockwell Partners"/>
        <s v="Cleanlife LED"/>
        <s v="Gorgo Group"/>
        <s v="Vigilant Global Trade Services"/>
        <s v="Xtelligent Healthcare Media"/>
        <s v="acquisitionsandrenewals.com"/>
        <s v="Visual Connections"/>
        <s v="WebIT Services"/>
        <s v="CaliChi Design Group"/>
        <s v="Rescue | The Behavior Change Agency"/>
        <s v="Budget Dumpster"/>
        <s v="Riverside Payments"/>
        <s v="Bellwether Asset Management"/>
        <s v="Mobilewalla"/>
        <s v="Cantey Technology"/>
        <s v="HHAeXchange"/>
        <s v="The Saywitz Company"/>
        <s v="Bayone Solutions"/>
        <s v="SmarterHQ"/>
        <s v="OpenWater Software"/>
        <s v="G Adventures"/>
        <s v="Plenus Group"/>
        <s v="Medical Weight Loss by Healthogenics"/>
        <s v="InsureYourCompany.com"/>
        <s v="Simon Transport"/>
        <s v="Beverly Hills Rejuvenation Center"/>
        <s v="SmartSites"/>
        <s v="Transportation and Logistical Services"/>
        <s v="Logistics Plus"/>
        <s v="Search Solution Group"/>
        <s v="Meriwether &amp; Tharp"/>
        <s v="CI&amp;T"/>
        <s v="Elements Massage"/>
        <s v="Renatus"/>
        <s v="Parkmobile"/>
        <s v="iKeyless"/>
        <s v="VLK Architects"/>
        <s v="Katom Restaurant Supply"/>
        <s v="Royal Vending"/>
        <s v="WLE"/>
        <s v="Quality Engineering &amp; Surveying"/>
        <s v="Keeping Current Matters"/>
        <s v="HomeCare Connect"/>
        <s v="Mission Driven Research"/>
        <s v="Brown Parker &amp; DeMarinis Advertising"/>
        <s v="Lendr"/>
        <s v="Flow Right Plumbing, Heating &amp; Cooling"/>
        <s v="Erben Associates"/>
        <s v="AmeriPharma"/>
        <s v="First National Title Insurance Company"/>
        <s v="Ripple"/>
        <s v="TWG Security"/>
        <s v="D&amp;B Precision Cutting and Manufacturing"/>
        <s v="Triumph Services"/>
        <s v="Gant Systems"/>
        <s v="Studio98"/>
        <s v="Boomsourcing"/>
        <s v="BirdDogHR"/>
        <s v="Texadia Systems"/>
        <s v="thomastech"/>
        <s v="ROI Healthcare Solutions"/>
        <s v="Output"/>
        <s v="CTE Logistics"/>
        <s v="Level Access"/>
        <s v="California CareGivers Home Healthcare"/>
        <s v="Excella Consulting"/>
        <s v="How to Manage a Small Law Firm"/>
        <s v="The Auxiliary Group"/>
        <s v="Weisser Distributing"/>
        <s v="Snap Agency"/>
        <s v="American Insurance Organization"/>
        <s v="Mayvin"/>
        <s v="Sustainable Restaurant Group"/>
        <s v="The Sheppard"/>
        <s v="Wheelhouse DMG"/>
        <s v="Alpha Paving Industries"/>
        <s v="GreenBanana SEO"/>
        <s v="Singleton Enterprises"/>
        <s v="Engage PEO"/>
        <s v="Delta Defense"/>
        <s v="Developintelligence"/>
        <s v="Roofcare"/>
        <s v="Select Security"/>
        <s v="Real People Realty"/>
        <s v="TruePoint Communications"/>
        <s v="SketchDeck"/>
        <s v="Tiempo Development"/>
        <s v="ConnectPay"/>
        <s v="Promoboxx"/>
        <s v="Pondurance"/>
        <s v="Four Foods Group"/>
        <s v="Advanced Flooring"/>
        <s v="Filterworks USA"/>
        <s v="Fonteva"/>
        <s v="Fors Marsh Group"/>
        <s v="The Nines"/>
        <s v="HMT Associates"/>
        <s v="US Patriot"/>
        <s v="nLogic"/>
        <s v="Docmation"/>
        <s v="Patriot Pool and Spa"/>
        <s v="Downtown Catering Company"/>
        <s v="PowerReviews"/>
        <s v="Local Marketing Solutions Group"/>
        <s v="Evans Incorporated"/>
        <s v="Design Extensions"/>
        <s v="Bold Construction"/>
        <s v="ReedTMS Logistics"/>
        <s v="Sales Empowerment Group"/>
        <s v="MarkSYS"/>
        <s v="IT Support RI"/>
        <s v="Excel Services"/>
        <s v="Keyser"/>
        <s v="Cutting Edge Countertops"/>
        <s v="Aventri"/>
        <s v="Erus Energy"/>
        <s v="Accucomp Appraisal Services"/>
        <s v="Envisage"/>
        <s v="Buzz Franchise Brands"/>
        <s v="Kyriba"/>
        <s v="Schaal Plumbing, Heating &amp; Cooling"/>
        <s v="Southeast Veterinary Neurology"/>
        <s v="Upper Edge Technologies"/>
        <s v="Spire Digital"/>
        <s v="EPIC Insurance Brokers &amp; Consultants"/>
        <s v="Axiom Eco Pest Control"/>
        <s v="FedBiz IT Solutions"/>
        <s v="Local Loyalty Marketing Solutions NC"/>
        <s v="Edge"/>
        <s v="Alpha Premier"/>
        <s v="Jack Browns Joint"/>
        <s v="Sandler Partners"/>
        <s v="EngeniusMicro"/>
        <s v="Enscicon"/>
        <s v="Janus International Group"/>
        <s v="Kumparison"/>
        <s v="RxNT"/>
        <s v="MileMark Media"/>
        <s v="SleepQuest"/>
        <s v="CardioSolution"/>
        <s v="Abenity"/>
        <s v="Echo Health"/>
        <s v="Rank Crankers"/>
        <s v="Mojo Media Labs"/>
        <s v="Engelke Construction Solutions"/>
        <s v="Silverline"/>
        <s v="Heartsmart.com"/>
        <s v="Xyngular"/>
        <s v="CollabraLink Technologies"/>
        <s v="Score a Score"/>
        <s v="APIC Solutions"/>
        <s v="Portable Oxygen Solutions"/>
        <s v="Agile Velocity"/>
        <s v="Reflex Sales Group"/>
        <s v="OAC Services"/>
        <s v="Culinary Eye Catering and Events"/>
        <s v="Payroll4Construction.com"/>
        <s v="Great Hire"/>
        <s v="Union Home Mortgage"/>
        <s v="TDK Technologies"/>
        <s v="Prosper Consulting"/>
        <s v="InfraWare"/>
        <s v="Owen Jones and Partners"/>
        <s v="Objectstream"/>
        <s v="Chemlock Nutrition"/>
        <s v="Nomadic Real Estate"/>
        <s v="Keller Williams Realty Capital District"/>
        <s v="Sunrise Erectors"/>
        <s v="Lindmark Outdoor Media"/>
        <s v="Doberman Technologies"/>
        <s v="LA Solar Group"/>
        <s v="AR Solutions"/>
        <s v="Kopis"/>
        <s v="Yes&amp;"/>
        <s v="Aligne Wealth Preservation &amp; Insurance Services"/>
        <s v="365 Retail Markets"/>
        <s v="Virtus Partners"/>
        <s v="Snap Install"/>
        <s v="FirstClose"/>
        <s v="Ecotone"/>
        <s v="Shaw + Scott"/>
        <s v="Busch Global"/>
        <s v="Protocol Networks"/>
        <s v="R &amp; Y A/C Compressors"/>
        <s v="The Cutting Board Company"/>
        <s v="SiteLock"/>
        <s v="The Indigo Road Hospitality Group"/>
        <s v="Siteline Interior Carpentry"/>
        <s v="FCP Euro"/>
        <s v="Sophus IT Solutions"/>
        <s v="Crimcheck Holdings"/>
        <s v="US"/>
        <s v="Miguel Lopez Jr."/>
        <s v="Stream Logistics"/>
        <s v="Allegheny Science &amp; Technology"/>
        <s v="Romaric Automation Design"/>
        <s v="Marathon TS"/>
        <s v="Cummings Creative Group"/>
        <s v="Claimify (formerly Lucens Group)"/>
        <s v="Ruby Receptionists"/>
        <s v="Bay State Search"/>
        <s v="TechLink Services"/>
        <s v="Decisiv"/>
        <s v="Bay to Bay Properties"/>
        <s v="MYCA Material Handling Solutions"/>
        <s v="Pillar Properties"/>
        <s v="Swift Straw II"/>
        <s v="Mid America Pet Food"/>
        <s v="Maantic"/>
        <s v="Paragon Healthcare"/>
        <s v="ten24"/>
        <s v="Grassburger"/>
        <s v="The Haro Group of Keller Williams Real Estate"/>
        <s v="Media Bridge Advertising"/>
        <s v="Golden Reserve"/>
        <s v="Distrivalto USA / Holstein Housewares"/>
        <s v="HispaniSpace"/>
        <s v="PrinterLogic"/>
        <s v="Rockway Exhibits + Events"/>
        <s v="HigherGround Managed Services"/>
        <s v="Tidewater Fleet Supply"/>
        <s v="Medical Solutions"/>
        <s v="Bean Group"/>
        <s v="RevLocal"/>
        <s v="Brink"/>
        <s v="Allixo"/>
        <s v="Rentec Direct"/>
        <s v="Professional Enrollment Concepts"/>
        <s v="Qiigo"/>
        <s v="Chrome River"/>
        <s v="Sender One Climbing"/>
        <s v="Jane.com"/>
        <s v="Lumiere Children's Therapy"/>
        <s v="Affiliated Communications dba Alert Communications"/>
        <s v="City Brew Tours"/>
        <s v="Mountain Showcase Group"/>
        <s v="Business IT Source"/>
        <s v="Advanced Powder Products"/>
        <s v="Fab-Tec"/>
        <s v="Conti"/>
        <s v="Facility Systems"/>
        <s v="Halco Testing Services"/>
        <s v="Search Discovery"/>
        <s v="Competitive Health"/>
        <s v="Unlimited Landscaping &amp; Turf Management"/>
        <s v="EvolveMKD"/>
        <s v="Premier Networx"/>
        <s v="AvAir"/>
        <s v="Aqua-Yield Operations"/>
        <s v="Circle Computer Resources"/>
        <s v="Vandelay Education"/>
        <s v="Open Source Integrators"/>
        <s v="Zulu Marketing"/>
        <s v="Laketown Electric"/>
        <s v="Tri Tower Telecom"/>
        <s v="SecureLink"/>
        <s v="Stamford Technology Solutions"/>
        <s v="Axispoint"/>
        <s v="Mattingly Concrete"/>
        <s v="IT Partners (Bethel Park, PA)"/>
        <s v="StateServ-Hospicelink"/>
        <s v="Activate Marketing Services"/>
        <s v="Chesapeake Plumbing &amp; Heating"/>
        <s v="IT Management Corporation"/>
        <s v="Dogtopia Enterprises"/>
        <s v="Modality Solutions"/>
        <s v="Light Dental Studios"/>
        <s v="Ovative Group"/>
        <s v="Southwest Antennas"/>
        <s v="McKay Advertising + Activation"/>
        <s v="LS Systems"/>
        <s v="Dream Local Digital"/>
        <s v="Lamacchia Realty"/>
        <s v="Rice Insurance"/>
        <s v="Relief-Mart"/>
        <s v="The Music Room"/>
        <s v="Redhorse"/>
        <s v="Cohen &amp; Company"/>
        <s v="MKD Electric"/>
        <s v="Accelogix"/>
        <s v="Deep Well Services"/>
        <s v="Wellworks For You"/>
        <s v="Cambria Investment Management, LP"/>
        <s v="eLearningBrothers"/>
        <s v="ImagineSoftware"/>
        <s v="Odyssey Systems Consulting Group"/>
        <s v="ActualTech Media"/>
        <s v="Vivax Pros"/>
        <s v="Day Translations"/>
        <s v="Pacific Energy Concepts"/>
        <s v="SHARP MEDICAL STAFFING"/>
        <s v="LMG"/>
        <s v="Norman Heating &amp; Air Conditioning"/>
        <s v="TR MILLER HEATING &amp; COOLING"/>
        <s v="FATHOM (Oakland, CA)"/>
        <s v="Bulu"/>
        <s v="Darkblade Systems"/>
        <s v="Energy Fitness"/>
        <s v="Medical B &amp; T services"/>
        <s v="Blue Chip Talent"/>
        <s v="ProMedia"/>
        <s v="Insight Sourcing Group"/>
        <s v="Mighty 8th Media"/>
        <s v="Knight Federal Solutions"/>
        <s v="Alegiant Services,LLC"/>
        <s v="Nuspire"/>
        <s v="Datavail"/>
        <s v="Intero Real Estate Services"/>
        <s v="Coastal Payroll"/>
        <s v="Pet Assure Corp"/>
        <s v="J&amp;B Pallet"/>
        <s v="Levitate Media"/>
        <s v="PaySphere Payroll &amp; HR"/>
        <s v="Nekter Juice Bar"/>
        <s v="Intellectual Capitol"/>
        <s v="All Industrial Tool Supply"/>
        <s v="Adaptive Nursing and Healthcare Services"/>
        <s v="DKBinnovative"/>
        <s v="Clason Point Partners"/>
        <s v="Classy Art"/>
        <s v="Mommy's Bliss"/>
        <s v="TorchLight Hire"/>
        <s v="Cinch IT"/>
        <s v="Division-D"/>
        <s v="GC Realty &amp; Development"/>
        <s v="Lee's Air Conditioning, Heating &amp; Building Performance"/>
        <s v="Power Design"/>
        <s v="Core Nutritionals"/>
        <s v="People's Television"/>
        <s v="Premier Pools and Spas"/>
        <s v="de Jong Duke"/>
        <s v="Cadence Communications and Research"/>
        <s v="Stratus Building Solutions"/>
        <s v="Secure One Capital"/>
        <s v="The Predictive Index"/>
        <s v="ScribeAmerica"/>
        <s v="Dynamics Resources"/>
        <s v="Succession Resource Group"/>
        <s v="Intrust Funding"/>
        <s v="Providence Care"/>
        <s v="Complete Network"/>
        <s v="A+ Derr Heating and Cooling"/>
        <s v="Bandwave Systems"/>
        <s v="Systems Integration"/>
        <s v="Renters Warehouse"/>
        <s v="The Agency"/>
        <s v="Open Systems Technologies"/>
        <s v="Tane"/>
        <s v="Aspen Systems"/>
        <s v="Thornhill"/>
        <s v="Obility"/>
        <s v="Precision Measurement Engineering"/>
        <s v="Laritech"/>
        <s v="FOR"/>
        <s v="Tom Ferry"/>
        <s v="EMD Strategies"/>
        <s v="Century Business Solutions: EBizCharge"/>
        <s v="Rabbit Air"/>
        <s v="The Dagit Group"/>
        <s v="King Memory"/>
        <s v="Scott Brown Media Group"/>
        <s v="Government Marketing"/>
        <s v="Sanmejio"/>
        <s v="Benchworks"/>
        <s v="Go-Forth Pest Control"/>
        <s v="WMK"/>
        <s v="Placers"/>
        <s v="USSC Group"/>
        <s v="Mailchimp"/>
        <s v="Atlantic Petroleum"/>
        <s v="Arch-Con Construction"/>
        <s v="LLamasoft"/>
        <s v="Zenetex"/>
        <s v="Targeted Pet Treats"/>
        <s v="Generation Iron Brands"/>
        <s v="Computer Enterprises"/>
        <s v="TeleSolv Consulting"/>
        <s v="PolicyPak"/>
        <s v="WebFX"/>
        <s v="All Points Broadband"/>
        <s v="Ruoff Home Mortgage"/>
        <s v="Premier Orthodontic Specialists"/>
        <s v="ADSG"/>
        <s v="EQ1 Real Estate"/>
        <s v="The ASK Method Company"/>
        <s v="PM Hotel Group"/>
        <s v="Tucker-Rose Associates"/>
        <s v="Intermountain Audiology Hearing and Brain Clinics"/>
        <s v="Lightfoot Mechanical"/>
        <s v="Closet America"/>
        <s v="AltSource"/>
        <s v="Skyline Builders"/>
        <s v="Keen Decision Systems"/>
        <s v="Asurint"/>
        <s v="Healthy Spot"/>
        <s v="ConveyIQ"/>
        <s v="Builder's Choice"/>
        <s v="The Spur Group"/>
        <s v="Buildium"/>
        <s v="ARGI Financial Group"/>
        <s v="Giltner Logistics"/>
        <s v="ABCO Systems"/>
        <s v="AVIO Consulting"/>
        <s v="Gateway Mortgage Group"/>
        <s v="Averhealth"/>
        <s v="Titus Talent Strategies"/>
        <s v="Backblaze"/>
        <s v="Reveleer"/>
        <s v="Seek Thermal"/>
        <s v="Johnson Consulting Group"/>
        <s v="Optomi"/>
        <s v="Optimum Employer Solutions"/>
        <s v="Avanath Capital Management"/>
        <s v="Simulation Technologies"/>
        <s v="B-Unlimited"/>
        <s v="Alliance Executive Search"/>
        <s v="Mid Valley IT"/>
        <s v="BridgePoint Construction"/>
        <s v="DECA Dental Group"/>
        <s v="Mediafly"/>
        <s v="Greenview Lawns"/>
        <s v="Binc"/>
        <s v="Verblio"/>
        <s v="Bedroc"/>
        <s v="Status Labs"/>
        <s v="Sterling Site Access Solutions"/>
        <s v="Assisting Hands Home Care"/>
        <s v="Interactive Entertainment Group"/>
        <s v="Hydra-Flex"/>
        <s v="Watters International Realty"/>
        <s v="MassPay"/>
        <s v="Convergint Technologies"/>
        <s v="Blue Door Consulting"/>
        <s v="Mail Shark"/>
        <s v="OptiFuse"/>
        <s v="Poulton Associates"/>
        <s v="Hire Dynamics"/>
        <s v="iCIMS"/>
        <s v="Dermacare Hampton Roads"/>
        <s v="Aladtec"/>
        <s v="Bodycentral Physical Therapy"/>
        <s v="Victra"/>
        <s v="Curriculum Associates"/>
        <s v="Fingerpaint"/>
        <s v="Prosek Partners"/>
        <s v="Walker Sands"/>
        <s v="Mabbett &amp; Associates"/>
        <s v="Dom &amp; Tom"/>
        <s v="Rock The House Entertainment"/>
        <s v="Incapsulate"/>
        <s v="Dominion Payroll"/>
        <s v="The Hennessey Group"/>
        <s v="Freeit Data Solutions"/>
        <s v="W Services Group"/>
        <s v="All Filters"/>
        <s v="Intercontinental Capital Group"/>
        <s v="Arctic Supplies"/>
        <s v="Dfuse Technologies"/>
        <s v="Culver Equipment"/>
        <s v="HomeVestors of America"/>
        <s v="Women Rocking Business"/>
        <s v="Building Engines"/>
        <s v="S2 IT Group"/>
        <s v="ePelican.com"/>
        <s v="Clean Energy Solutions"/>
        <s v="Vennli"/>
        <s v="Arcos"/>
        <s v="Home Health Companions"/>
        <s v="Catchpoint"/>
        <s v="Greenphire"/>
        <s v="Elite Core Enterprises"/>
        <s v="PM Pediatrics"/>
        <s v="Forever.com"/>
        <s v="Mercury Mosaics"/>
        <s v="Wellen Capital"/>
        <s v="Archgate TMS Solutions"/>
        <s v="INCATech"/>
        <s v="Broadleaf Commerce"/>
        <s v="Tevora"/>
        <s v="Distritech"/>
        <s v="Service Direct"/>
        <s v="Network Optix"/>
        <s v="Linden Construction of South Carolina"/>
        <s v="Propio Language Services"/>
        <s v="BioPoint"/>
        <s v="SynergyLabs"/>
        <s v="Aqueduct Technologies"/>
        <s v="Heavy Equipment Colleges of America"/>
        <s v="REI Automation"/>
        <s v="MRO"/>
        <s v="ASP-America's Swimming Pool Company"/>
        <s v="Convert IT Marketing"/>
        <s v="Asset Based Lending"/>
        <s v="Mindoula"/>
        <s v="AccuReg Software"/>
        <s v="Rockland Insurance Agency"/>
        <s v="CloudMyBiz"/>
        <s v="Geocent"/>
        <s v="Colarelli Construction"/>
        <s v="TeamLogic IT"/>
        <s v="RTM Engineering Consultants"/>
        <s v="Sioux Falls Tower Specialists"/>
        <s v="Resource Environmental Solutions"/>
        <s v="Interactions"/>
        <s v="Vizzia Technologies"/>
        <s v="StickerGiant"/>
        <s v="Printfection"/>
        <s v="Appraisal Nation"/>
        <s v="Fortis Riders"/>
        <s v="Ampcus"/>
        <s v="Shore Funding Solutions"/>
        <s v="Stevens Trucking"/>
        <s v="Business Promotion"/>
        <s v="Viralstyle.com"/>
        <s v="NEWPRO operating"/>
        <s v="Brandito"/>
        <s v="Mercer Advisors"/>
        <s v="Museum Hack"/>
        <s v="Protex Restaurant Services"/>
        <s v="ASP Global"/>
        <s v="Stewardship Investments"/>
        <s v="Man-Machine Systems Assessment"/>
        <s v="Coldwell Solar"/>
        <s v="Kalles Group"/>
        <s v="Workfront"/>
        <s v="Formulife"/>
        <s v="Chelsoft Solutions"/>
        <s v="Dallas Unique Indoor Comfort"/>
        <s v="Exterior Medics"/>
        <s v="Concierge Cleaning Services"/>
        <s v="Vital"/>
        <s v="Java Connections"/>
        <s v="Keller Logistics"/>
        <s v="Frank Surveying Co"/>
        <s v="Frontline Source Group"/>
        <s v="IGNW"/>
        <s v="Perfect Water Technologies"/>
        <s v="CMT Services"/>
        <s v="Cross Media Corporation"/>
        <s v="Pure Adapt"/>
        <s v="American Builders"/>
        <s v="Dash2 Group"/>
        <s v="PayNorthwest"/>
        <s v="Epic Freight Solutions"/>
        <s v="Limeade"/>
        <s v="eROI"/>
        <s v="Dreamstyle Remodeling"/>
        <s v="EideCom"/>
        <s v="Forshay"/>
        <s v="Online Rewards"/>
        <s v="Lexicon Solutions"/>
        <s v="Differential"/>
        <s v="The Abbi Agency"/>
        <s v="Cerdant"/>
        <s v="Sabre88"/>
        <s v="Sawyer Manufacturing Company"/>
        <s v="Maxton &amp; Company"/>
        <s v="Bali Construction"/>
        <s v="National Funding"/>
        <s v="Performance Plus Carts"/>
        <s v="RJR Partners"/>
        <s v="Apollo Interactive"/>
        <s v="AMG &amp; Associates"/>
        <s v="Intivix"/>
        <s v="SDB Steel &amp; Pipe"/>
        <s v="Pedego Electric Bikes"/>
        <s v="Infiniti HR"/>
        <s v="Fora Financial"/>
        <s v="Swift HR Solutions"/>
        <s v="Tenaglia &amp; Hunt"/>
        <s v="MBW Enterprises"/>
        <s v="Mosaic Consulting Group"/>
        <s v="Young Automotive Group"/>
        <s v="SimIS"/>
        <s v="iTexico"/>
        <s v="Hernon Manufacturing"/>
        <s v="Valiant Solutions"/>
        <s v="Jamaica Cottage Shop"/>
        <s v="Univista Insurance"/>
        <s v="Oxford Builders"/>
        <s v="Dry Pro Foundation and Crawlspace Specialists"/>
        <s v="CNF Technologies Corporation"/>
        <s v="Logenix International"/>
        <s v="AmeriChem Systems"/>
        <s v="Aesthetic Products"/>
        <s v="Longford &amp; Company"/>
        <s v="Impact Networking"/>
        <s v="Design Management Group"/>
        <s v="DreamGear"/>
        <s v="Branded Entertainment Network"/>
        <s v="SoftNice"/>
        <s v="Netwrix"/>
        <s v="Comfort Now"/>
        <s v="NetSearch Digital Marketing"/>
        <s v="ClinLab Staffing"/>
        <s v="Information Technology Professionals"/>
        <s v="Twisted X"/>
        <s v="Southeastern Equipment &amp; Supply"/>
        <s v="ISG"/>
        <s v="Neighborly"/>
        <s v="ANOVA Marine Insurance"/>
        <s v="Engineered Solutions of GA"/>
        <s v="Exscape Designs"/>
        <s v="Growth Academy"/>
        <s v="That Agency"/>
        <s v="HomeSmart International"/>
        <s v="Digital Edge"/>
        <s v="Hunter Business Law"/>
        <s v="Mosquito Squad"/>
        <s v="BizIQ"/>
        <s v="Environmental Heating and Air Solutions"/>
        <s v="Mobile Solutions"/>
        <s v="Alo House Recovery Centers"/>
        <s v="CadmiumCD"/>
        <s v="DataShield"/>
        <s v="Elite Biomedical Solutions"/>
        <s v="Weifield Group Contracting"/>
        <s v="Route Transportation &amp; Logistics"/>
        <s v="RedCloud Consulting"/>
        <s v="FieldEdge"/>
        <s v="Spark Orthodontics"/>
        <s v="Five Lakes Coffee"/>
        <s v="Carson Group"/>
        <s v="Millennium (Lake Geneva, WI)"/>
        <s v="Zambezi"/>
        <s v="innoVia Events"/>
        <s v="Ellevate Network"/>
        <s v="RapidVisa"/>
        <s v="Bilt Rite Scaffold"/>
        <s v="iluma Agency"/>
        <s v="Hungerford Technologies"/>
        <s v="BigTime Software"/>
        <s v="Home Health Solutions"/>
        <s v="Threadbird"/>
        <s v="Transparent BPO"/>
        <s v="ONeils"/>
        <s v="Nationwide Real Estate Executives"/>
        <s v="Goken America"/>
        <s v="LBA Ware"/>
        <s v="Lifestyle Publications"/>
        <s v="Early Growth Financial Services"/>
        <s v="R Panitch Enterprises"/>
        <s v="Three Day Rule"/>
        <s v="SureCall"/>
        <s v="Workhorse Marketing"/>
        <s v="Rev.io"/>
        <s v="Profit Advisory Group"/>
        <s v="Viva Railings"/>
        <s v="Vision33"/>
        <s v="Hargrove Engineers + Constructors"/>
        <s v="Very"/>
        <s v="Kevin.Murphy"/>
        <s v="WebMechanix"/>
        <s v="Risk International Services"/>
        <s v="ThinkShout"/>
        <s v="AArete"/>
        <s v="Aeroflow Healthcare"/>
        <s v="Softdocs"/>
        <s v="Liberty POST"/>
        <s v="ULTIMOVALUE.COM"/>
        <s v="Foundant Technologies"/>
        <s v="NorCal Ambulance"/>
        <s v="1Point21 Interactive"/>
        <s v="Sportique"/>
        <s v="Winslow Technology Group"/>
        <s v="Persons Services Corp"/>
        <s v="DB Services"/>
        <s v="Wonita International"/>
        <s v="PURE Group of Insurance Companies"/>
        <s v="Jakt"/>
        <s v="Relationship One"/>
        <s v="Plasticard Locktech International"/>
        <s v="Koch"/>
        <s v="LoadDelivered"/>
        <s v="PrepNow"/>
        <s v="Orange Aluminum"/>
        <s v="919 Marketing"/>
        <s v="Clean Fuels National"/>
        <s v="Supply Solutions"/>
        <s v="3Sixty Integrated"/>
        <s v="Moda Light"/>
        <s v="WheelsOnsite USA"/>
        <s v="G&amp;N Insurance"/>
        <s v="Walton Contractors"/>
        <s v="Sellmark"/>
        <s v="Fulcrum Digital"/>
        <s v="Eagle Business Credit"/>
        <s v="FirstLight HomeCare Franchising"/>
        <s v="Stryker Construction"/>
        <s v="The Quintin Group @ Keller Williams"/>
        <s v="Zensa"/>
        <s v="Contract Exteriors"/>
        <s v="Hayden Outdoors"/>
        <s v="Reliable Staffing Services"/>
        <s v="Elite Auctions"/>
        <s v="Rugo Machine Shop Services"/>
        <s v="Metronome"/>
        <s v="YapStone"/>
        <s v="Swampfox Technologies"/>
        <s v="Fire Equipment"/>
        <s v="Blink UX"/>
        <s v="CTC Events and Productions"/>
        <s v="Ice Now"/>
        <s v="New Law Business Model"/>
        <s v="49er Communications"/>
        <s v="Cache Private Capital"/>
        <s v="ODW Logistics &amp; Transportation Services"/>
        <s v="Web River Group"/>
        <s v="Steele &amp; Freeman Construction Managers"/>
        <s v="Momentum Factor"/>
        <s v="Hoyos Consulting"/>
        <s v="Charles IT"/>
        <s v="Start to End Networks"/>
        <s v="Health &amp; Rehab Solutions"/>
        <s v="The BOSS - The Builders Outlet Super Store"/>
        <s v="Camp Run-a-Mutt"/>
        <s v="Sequoia Financial Group"/>
        <s v="Boss Logistics"/>
        <s v="Karins and Associates"/>
        <s v="Nonprofit HR Solutions"/>
        <s v="Triple Crown Construction"/>
        <s v="Sea Bags"/>
        <s v="JCAL Holdings"/>
        <s v="We Insure"/>
        <s v="EcoMark Solar"/>
        <s v="Tellerex"/>
        <s v="Greenwich Medical Spa"/>
        <s v="Walsingham Group"/>
        <s v="Solution Source"/>
        <s v="FirstMile"/>
        <s v="Crescent Homes"/>
        <s v="The Branding Agency Powered by Proforma"/>
        <s v="Insight2Profit"/>
        <s v="Kyber Security"/>
        <s v="Bases Loaded"/>
        <s v="Occu-Tec"/>
        <s v="Enhanced Veterans Solutions"/>
        <s v="CheckAlt"/>
        <s v="Entara"/>
        <s v="Hernandez Construction"/>
        <s v="Optima Tax Relief"/>
        <s v="Allworld Project Management"/>
        <s v="Coranet"/>
        <s v="J.S. Goray"/>
        <s v="Axis Global Enterprises"/>
        <s v="Louisville Geek"/>
        <s v="Merrimak Capital Company"/>
        <s v="Occams Advisory"/>
        <s v="Dynamic Solutions Worldwide"/>
        <s v="Swag Promo"/>
        <s v="Ubiquity Global Services"/>
        <s v="Launch Leads"/>
        <s v="Skysis"/>
        <s v="Polymer Solutions International"/>
        <s v="Talroo"/>
        <s v="Homestar Financial"/>
        <s v="Fuel Medical Group"/>
        <s v="McKee Homes"/>
        <s v="Tamarack Consulting"/>
        <s v="ProcureAbility"/>
        <s v="Exegistics"/>
        <s v="Trabus Technologies"/>
        <s v="Thorburn Associates"/>
        <s v="503 Motoring"/>
        <s v="AMR Care Group"/>
        <s v="TopRight"/>
        <s v="CART MART"/>
        <s v="TekStream Solutions"/>
        <s v="Transportation Insight"/>
        <s v="GRAYBOX"/>
        <s v="Vector Media Group"/>
        <s v="Applied Design"/>
        <s v="Edge Financial"/>
        <s v="ABIP CPAs"/>
        <s v="5"/>
        <s v="Sweb Development"/>
        <s v="Fidelity PartnersMedical Staffing"/>
        <s v="Superior Logistics Solutions"/>
        <s v="Pacific Companies"/>
        <s v="Archimedia Solutions Group"/>
        <s v="CarData"/>
        <s v="Indagare Travel"/>
        <s v="Group Benefit Services"/>
        <s v="Ishir"/>
        <s v="Guardian Services"/>
        <s v="FNB Merchants"/>
        <s v="Amber Green"/>
        <s v="Worksighted"/>
        <s v="Jake's Heating and Air Conditioning"/>
        <s v="Expansion Capital Group"/>
        <s v="Zefr"/>
        <s v="United Fray"/>
        <s v="DeVine Consulting"/>
        <s v="Concierge Auctions"/>
        <s v="Operative IQ / EMS Technology Solutions"/>
        <s v="PT Solutions Physical Therapy"/>
        <s v="Town Square Mortgage"/>
        <s v="KwikBoost"/>
        <s v="Orion Entrance Control"/>
        <s v="A &amp; A Plumbing"/>
        <s v="Gorilla Logic"/>
        <s v="ARIIX"/>
        <s v="RevenueWell"/>
        <s v="AgileEngine"/>
        <s v="MedicOne Medical Response"/>
        <s v="CGS Business Solutions"/>
        <s v="FederalConference.com"/>
        <s v="Portables"/>
        <s v="Lady M Confections Co."/>
        <s v="Avionte"/>
        <s v="MachineLogic"/>
        <s v="Tropical Smoothie Cafe"/>
        <s v="Iuvo Technologies"/>
        <s v="Southwest Industrial Electric"/>
        <s v="Saxbys"/>
        <s v="FireSprint"/>
        <s v="OSM Worldwide"/>
        <s v="Trusted Nurse Staffing"/>
        <s v="Paragon Architecture"/>
        <s v="PMsquare"/>
        <s v="ARC Contracting"/>
        <s v="Client Savvy"/>
        <s v="Environmental Works"/>
        <s v="1 Source Business Solutions"/>
        <s v="Certent"/>
        <s v="Movoto"/>
        <s v="New Tech Solutions"/>
        <s v="Netgate"/>
        <s v="CMBA Architects"/>
        <s v="TSI"/>
        <s v="Apex Flooring"/>
        <s v="HR Collaborative"/>
        <s v="Advanced Business Solutions"/>
        <s v="TACG"/>
        <s v="General Materials"/>
        <s v="Kingsgate Logistics"/>
        <s v="Mosaic451"/>
        <s v="Procare Ambulance of Maryland"/>
        <s v="Vision Wireless"/>
        <s v="Side By Side Stuff"/>
        <s v="GDS Link"/>
        <s v="Alta Vista Technology"/>
        <s v="Coretelligent"/>
        <s v="Peepers by PeeperSpecs"/>
        <s v="Tempaper"/>
        <s v="EP Wealth Advisors"/>
        <s v="Corner Alliance"/>
        <s v="Coolhaus Ice Cream"/>
        <s v="Qnary"/>
        <s v="Divisions Maintenance Group"/>
        <s v="YouDecide"/>
        <s v="Utopian Luxury Vacation Homes"/>
        <s v="Mainstream Electric, Heating, Cooling &amp; Plumbing"/>
        <s v="Odyssey Logistics &amp; Technology"/>
        <s v="Effective Spend"/>
        <s v="Shepherd Insurance"/>
        <s v="&quot;I and Love and You&quot;"/>
        <s v="FastSpring"/>
        <s v="Clearinghouse Community Development Financial Institution"/>
        <s v="Sherlock Services"/>
        <s v="BCDVideo"/>
        <s v="Atria Consulting"/>
        <s v="OPTiMO Information Technology"/>
        <s v="Trademark Hardware"/>
        <s v="Confirmation.com"/>
        <s v="Kavayah Solutions"/>
        <s v="Group Management Services"/>
        <s v="Chef's Depot"/>
        <s v="TaiLopez.com"/>
        <s v="90octane"/>
        <s v="Krilogy"/>
        <s v="4Ever Young Anti Aging Solutions"/>
        <s v="Precise Systems"/>
        <s v="Gear"/>
        <s v="The DeWinter Group"/>
        <s v="Coast to Coast Pools"/>
        <s v="Capture Higher Ed"/>
        <s v="Blue Coast Savings Consultants"/>
        <s v="Stratix Systems"/>
        <s v="37th Parallel Properties"/>
        <s v="Enterprise Solutions"/>
        <s v="Fortress Building Products"/>
        <s v="Pivot International"/>
        <s v="Bhgre Homecity"/>
        <s v="Wodify Technologies"/>
        <s v="Supply Chain Wizard"/>
        <s v="W2O Group"/>
        <s v="Logic20/20"/>
        <s v="Tachyon Technologies"/>
        <s v="ITS"/>
        <s v="Serve First Solutions"/>
        <s v="Teguar Corporation"/>
        <s v="Progressive Dental"/>
        <s v="Resicon"/>
        <s v="EO Products"/>
        <s v="Vyne"/>
        <s v="Northwest Green Solutions"/>
        <s v="Greenville Avenue Pizza Company"/>
        <s v="AccuSource"/>
        <s v="Equian"/>
        <s v="Beyond20"/>
        <s v="Rhythmic Technologies"/>
        <s v="SEQUOIA HOLDINGS"/>
        <s v="Sendero"/>
        <s v="Mobomo"/>
        <s v="EveryAction"/>
        <s v="Vergent LMS"/>
        <s v="Service Express"/>
        <s v="Cerebra Consulting"/>
        <s v="Fathom 4"/>
        <s v="97th Floor"/>
        <s v="Tranquility Dental Wellness Center"/>
        <s v="Mullin"/>
        <s v="Solodev"/>
        <s v="Cooper's Hawk Winery &amp; Restaurants"/>
        <s v="Alorica"/>
        <s v="Chandra Technologies"/>
        <s v="Thrive Consulting"/>
        <s v="Mansari"/>
        <s v="Novus Architects"/>
        <s v="Seer Interactive"/>
        <s v="360 Payments"/>
        <s v="Inspira Marketing"/>
        <s v="The Braun Agency"/>
        <s v="The Siegfried Group"/>
        <s v="Opus Interactive"/>
        <s v="Primary Wave Media"/>
        <s v="Exbabylon IT Solutions"/>
        <s v="TGG Accounting"/>
        <s v="AltexSoft"/>
        <s v="Lincoln Security Services"/>
        <s v="Zogics"/>
        <s v="Logical Media Group"/>
        <s v="Tjfact"/>
        <s v="Netreo"/>
        <s v="Worcester Companies"/>
        <s v="Trowbridge &amp; Trowbridge"/>
        <s v="iPower Technologies"/>
        <s v="Atlas Insurance Brokers"/>
        <s v="Truland Homes"/>
        <s v="Municibid"/>
        <s v="Clear Resolution"/>
        <s v="Evoke Brand Strategies"/>
        <s v="Sun Solar"/>
        <s v="CoAdvantage"/>
        <s v="Monitors.com"/>
        <s v="SMS Lodging"/>
        <s v="Selling Simplified"/>
        <s v="Enlinx"/>
        <s v="Bigcommerce"/>
        <s v="Digital Boardwalk"/>
        <s v="Innovative Business Solutions"/>
        <s v="Banyan Technology"/>
        <s v="Lizzy Lift"/>
        <s v="Vital Edge Solutions"/>
        <s v="Tribal Tech"/>
        <s v="D'Aprile Properties"/>
        <s v="Infomatics"/>
        <s v="InfoReady"/>
        <s v="General Informatics"/>
        <s v="True Builders"/>
        <s v="Natran"/>
        <s v="Cuddle Clones"/>
        <s v="ON Partners"/>
        <s v="Roundstone"/>
        <s v="First Centennial Mortgage"/>
        <s v="Sunset Transportation"/>
        <s v="TrafficSafetyStore.com"/>
        <s v="P.J. Wallbank Springs"/>
        <s v="Inteletech Global"/>
        <s v="Synergy Comp Insurance Company"/>
        <s v="Proactive Technologies"/>
        <s v="CompuTech City"/>
        <s v="Proforma GPS Global Promotional Sourcing"/>
        <s v="Pediatric Home Healthcare"/>
        <s v="Rapid Web Services"/>
        <s v="Goodzer"/>
        <s v="Automated Systems Design"/>
        <s v="Spectrio"/>
        <s v="Buildingstars of Charlotte"/>
        <s v="OnQ Solutions"/>
        <s v="ReSource Pro"/>
        <s v="Ques Industries"/>
        <s v="Titan Growth"/>
        <s v="In Time Tec"/>
        <s v="Cast Aluminum Solutions"/>
        <s v="GadellNet Technology Solutions"/>
        <s v="iVenture Solutions"/>
        <s v="Russell Cellular"/>
        <s v="DP Electric"/>
        <s v="strategic HR"/>
        <s v="Coherent Solutions"/>
        <s v="Hightowers Petroleum Company"/>
        <s v="Percepture"/>
        <s v="AccelHRate"/>
        <s v="Dutch Country Living"/>
        <s v="Hanapin Marketing"/>
        <s v="Abadie-Williams"/>
        <s v="RealJoy Vacations"/>
        <s v="KW Property Management &amp; Consulting"/>
        <s v="UpClear"/>
        <s v="Patrick Accounting and Tax Services"/>
        <s v="AltaVista Strategic Partners"/>
        <s v="Ryan Gootee General Contractors"/>
        <s v="Schaumburg Specialties"/>
        <s v="Cross Country Home Services"/>
        <s v="Taoti Creative"/>
        <s v="Tenon Tours"/>
        <s v="Peoples Company"/>
        <s v="Point of Rental Software"/>
        <s v="Reliant Funding"/>
        <s v="Kung Fu Tea"/>
        <s v="OnSite Fleet"/>
        <s v="Schox Patent Group"/>
        <s v="Trapp Technology"/>
        <s v="inSeption Group"/>
        <s v="Firehook"/>
        <s v="Flywheel Brands"/>
        <s v="Badass Brand"/>
        <s v="Carahsoft Technology"/>
        <s v="Aurora Imaging Company"/>
        <s v="Gilmore Solutions"/>
        <s v="Capital Edge Consulting"/>
        <s v="Roadway Moving Company"/>
        <s v="Synchrogistics"/>
        <s v="TalTeam"/>
        <s v="memoryBlue"/>
        <s v="TiER1"/>
        <s v="vCORE Technology Partners"/>
        <s v="Lithko Contracting"/>
        <s v="CapTech Ventures"/>
        <s v="Best Practice Energy"/>
        <s v="Managed Care Advisors"/>
        <s v="Donaldson Plastic Surgery"/>
        <s v="Yepremyan Law Firm"/>
        <s v="MESH(r)"/>
        <s v="Pedigree Technologies"/>
        <s v="Aligned Technology Solutions"/>
        <s v="AOA"/>
        <s v="Enstoa"/>
        <s v="Aduro"/>
        <s v="Profuse Solutions"/>
        <s v="CWDL CPAs"/>
        <s v="Restoration Cleaners"/>
        <s v="MRG Construction Management"/>
        <s v="Zters"/>
        <s v="IdeaTek Telcom"/>
        <s v="DaySmart Software"/>
        <s v="Global Tee"/>
        <s v="Canal Capital Management"/>
        <s v="TalentLaunch"/>
        <s v="TechStar Group"/>
        <s v="Al's Complete Lawn Care"/>
        <s v="DeAngelis Diamond"/>
        <s v="g2 Revolution"/>
        <s v="CMMS Data Group"/>
        <s v="Soccer Shots Franchising"/>
        <s v="Multifamily Utility Company"/>
        <s v="VirTex Enterprises"/>
        <s v="RentWerx Property Management"/>
        <s v="360 Blue"/>
        <s v="inWhatLanguage"/>
        <s v="GrowthForce"/>
        <s v="Optizmo Technologies"/>
        <s v="LegalEASE"/>
        <s v="Beck Partners"/>
        <s v="McAllen Valley Roofing"/>
        <s v="Corp2000"/>
        <s v="APEX Recovery"/>
        <s v="SEJ Services"/>
        <s v="Unanet"/>
        <s v="Cheba Hut Toasted Subs"/>
        <s v="Fireking Baking Company"/>
        <s v="WatchGuard Video"/>
        <s v="Land design studio"/>
        <s v="TribalVision"/>
        <s v="Mammoth"/>
        <s v="Jade Global"/>
        <s v="Synergen Health"/>
        <s v="Black-Haak Heating"/>
        <s v="Code42"/>
        <s v="KCL Engineering"/>
        <s v="Amtel"/>
        <s v="Koncept Events"/>
        <s v="TechOp Solutions International"/>
        <s v="Infinite Resource Solutions"/>
        <s v="Tusk Enterprises"/>
        <s v="SRS Distribution"/>
        <s v="Strong Smiles Dental Care"/>
        <s v="M&amp;M Productions USA"/>
        <s v="Safe Hiring Solutions"/>
        <s v="KMS Technology"/>
        <s v="Worldwide Insurance Network"/>
        <s v="Oakworth Capital Bank"/>
        <s v="Gilleard Dental Marketing"/>
        <s v="Outer Banks Blue"/>
        <s v="Edward Marc Brands"/>
        <s v="Contract Solutions"/>
        <s v="Automotive Internet Media"/>
        <s v="Leading EDJE"/>
        <s v="Intact Technology"/>
        <s v="Vanguard Claims Administration"/>
        <s v="Nomadness"/>
        <s v="SmarterChaos.com"/>
        <s v="Converze Media Group"/>
        <s v="Submittable"/>
        <s v="Peck Brothers Roofing"/>
        <s v="Whim Hospitality"/>
        <s v="The Clearing"/>
        <s v="Lightbridge Academy"/>
        <s v="L37 Creative"/>
        <s v="Seaway Printing Company"/>
        <s v="1st Class Real Estate"/>
        <s v="IMS Technology Services"/>
        <s v="Envision"/>
        <s v="BuyBackWorld"/>
        <s v="C&amp;R"/>
        <s v="Modo Modo Agency"/>
        <s v="2020 Teknology"/>
        <s v="CQ fluency"/>
        <s v="International Voyager"/>
        <s v="Killer Visual Strategies"/>
        <s v="Burgos Group"/>
        <s v="Conservice"/>
        <s v="Think Company"/>
        <s v="Air Solutions &amp; Balancing"/>
        <s v="Sterling Staffing Solutions"/>
        <s v="ClinicalMind"/>
        <s v="Hollister Construction Services"/>
        <s v="Acacia"/>
        <s v="RTG Medical"/>
        <s v="True Hire"/>
        <s v="The Purple Guys"/>
        <s v="PowerDMS"/>
        <s v="ImageWorks"/>
        <s v="Blast Analytics &amp; Marketing"/>
        <s v="EMEX"/>
        <s v="Optimal Design"/>
        <s v="The Stem"/>
        <s v="Inova Payroll"/>
        <s v="Universal Painting Corporation"/>
        <s v="Congruity HR"/>
        <s v="Archer"/>
        <s v="Jacobson Strategic Communications"/>
        <s v="Thomsen Homes"/>
        <s v="Rectangle Health"/>
        <s v="Zelis Healthcare"/>
        <s v="Pax Financial Group"/>
        <s v="Culmen International"/>
        <s v="SA Photonics"/>
        <s v="Saxon Global"/>
        <s v="Amuza"/>
        <s v="City Winery"/>
        <s v="Twelve Points Wealth Management"/>
        <s v="Environmental Pest Management"/>
        <s v="Adapture"/>
        <s v="Credible Behavioral Health"/>
        <s v="Connecticut Sealcoating"/>
        <s v="US Freight"/>
        <s v="GSI Health"/>
        <s v="Jones Sign Company"/>
        <s v="North Terrace Property Management"/>
        <s v="Thorn Pest Solutions"/>
        <s v="Land Info Worldwide Mapping"/>
        <s v="Triage Medical Staffing"/>
        <s v="Global Data Vault"/>
        <s v="Boost Payment Solutions"/>
        <s v="Smart Chemical Services"/>
        <s v="Kanda Software"/>
        <s v="Tender Belly"/>
        <s v="RED Group"/>
        <s v="SyncShow"/>
        <s v="Access Information Management"/>
        <s v="NFI Industries"/>
        <s v="ReferralExchange"/>
        <s v="Mindgrub Technologies"/>
        <s v="NTE Energy"/>
        <s v="Starnes Media"/>
        <s v="Impekable"/>
        <s v="CCS Technology Group"/>
        <s v="Trillion Technology Solutions"/>
        <s v="Mark-it Express"/>
        <s v="GetWireless"/>
        <s v="Rentex Audio Visual &amp; Computer Rentals"/>
        <s v="Infogressive"/>
        <s v="Swanktek"/>
        <s v="Annkissam"/>
        <s v="Kaufman Development"/>
        <s v="Tempco Glass Fabrication"/>
        <s v="MedSpeed"/>
        <s v="Evolve IP"/>
        <s v="Davenport Theatrical Enterprises"/>
        <s v="Fractl"/>
        <s v="Simeio Solutions"/>
        <s v="HomeSpec BasementFix"/>
        <s v="Brilliant Ink"/>
        <s v="SMG"/>
        <s v="Clarity Partners"/>
        <s v="Lewis-Price &amp; Associates"/>
        <s v="Sceptre Hospitality Resources (SHR)"/>
        <s v="IntelliWare"/>
        <s v="Express Logistics"/>
        <s v="Hostek.com"/>
        <s v="ExIT Technologies"/>
        <s v="Jarrett Logistics Systems"/>
        <s v="Cadenza Innovation"/>
        <s v="Acuity Systems"/>
        <s v="Brothers International Desserts"/>
        <s v="Vitality Medical"/>
        <s v="LegitScript"/>
        <s v="Flores Financial Services"/>
        <s v="The Heyl Group at Keller Williams"/>
        <s v="ATIS Elevator Inspections"/>
        <s v="Innovative Commercial Environments"/>
        <s v="Sonwil Distribution and Logistics"/>
        <s v="Dots"/>
        <s v="Barrett Distribution Centers"/>
        <s v="Verity Commercial"/>
        <s v="Bevilacqua Research"/>
        <s v="Timo's Air Conditioning &amp; Heating"/>
        <s v="Symmetrix Solutions"/>
        <s v="WizeHive"/>
        <s v="AEC Group"/>
        <s v="Learn on Demand Systems"/>
        <s v="Cenero"/>
        <s v="Proven IT"/>
        <s v="Advanced RPO"/>
        <s v="eGuard Technology Services"/>
        <s v="Poo~Pourri"/>
        <s v="MindTouch"/>
        <s v="All About Events - Jacksonville"/>
        <s v="Makers Nutrition"/>
        <s v="Xtivia"/>
        <s v="Xtreme Xperience"/>
        <s v="Stream Companies"/>
        <s v="Kendall Capital Management"/>
        <s v="Cornerstone Wealth Management"/>
        <s v="Candid Partners"/>
        <s v="Maximum One Realty"/>
        <s v="Stainless Steel products"/>
        <s v="Triple J Armory"/>
        <s v="Clerestory Consulting"/>
        <s v="Cumberland Consulting Group"/>
        <s v="Servsys"/>
        <s v="PPT Consulting"/>
        <s v="Allied Instructional Services"/>
        <s v="Procida Construction"/>
        <s v="Manufacturers Distributor"/>
        <s v="Continental Mapping Consultants"/>
        <s v="CoNexus CPA Group"/>
        <s v="Isos Technology"/>
        <s v="MFS Supply"/>
        <s v="Elite Innovative Solutions"/>
        <s v="Compressor World"/>
        <s v="ION Solar"/>
        <s v="Industrial Motor Power Coporation"/>
        <s v="Sunshine Plumbing Heating Air"/>
        <s v="Sanity Solutions"/>
        <s v="Pipeline Equipment"/>
        <s v="IcePortal"/>
        <s v="Lifescape Colorado"/>
        <s v="Acertara Acoustic Laboratories"/>
        <s v="Graphics and More"/>
        <s v="City Wide Franchise Company"/>
        <s v="Dental Care New Jersey"/>
        <s v="Tom Drexler Plumbing Air"/>
        <s v="Pharmaceutical Strategies Group"/>
        <s v="Des Moines Truck Brokers"/>
        <s v="Component Surfaces"/>
        <s v="Cloud for Good"/>
        <s v="Corvette Mods"/>
        <s v="ThreeBridge Solutions"/>
        <s v="Insight Resource Group"/>
        <s v="Freddy's Frozen Custard"/>
        <s v="CHHJ Franchising"/>
        <s v="Endsight"/>
        <s v="Applied Educational Systems"/>
        <s v="New Vision Properties"/>
        <s v="Call Management Resources"/>
        <s v="Matthew A. Dickason"/>
        <s v="Tyler Petroleum"/>
        <s v="Expert Computer Solutions"/>
        <s v="Venn Strategies"/>
        <s v="Blue Corona"/>
        <s v="TerraCycle"/>
        <s v="HAP Investments"/>
        <s v="Big Outdoor"/>
        <s v="CHHJ North Jersey"/>
        <s v="North American Coating Laboratories"/>
        <s v="Lead id"/>
        <s v="InterDev"/>
        <s v="Architectural Fabrication"/>
        <s v="BrandYourself.com"/>
        <s v="Vaco"/>
        <s v="Cynet Systems"/>
        <s v="Inspired eLearning"/>
        <s v="Beacon Capital Management"/>
        <s v="Element Three"/>
        <s v="Malwarebytes"/>
        <s v="First American Payment Systems"/>
        <s v="Just Right Products"/>
        <s v="Tint World"/>
        <s v="Storage Media Group"/>
        <s v="Pacific Western Painting"/>
        <s v="Power Home Remodeling"/>
        <s v="INTERNATIONAL TEFL ACADEMY"/>
        <s v="M2 Strategy"/>
        <s v="Atlanta Communities Real Estate Brokerage"/>
        <s v="Saturn Tech"/>
        <s v="Creditsafe USA"/>
        <s v="Standard Black"/>
        <s v="TRIOSE"/>
        <s v="Long Story Short Media"/>
        <s v="Blueberry Builders"/>
        <s v="Kent Power"/>
        <s v="BWS Plumbing, Heating and Air Conditioning"/>
        <s v="Centrify"/>
        <s v="Accelerated Claims"/>
        <s v="MVS"/>
        <s v="OptConnect"/>
        <s v="Tarrytech Security"/>
        <s v="Signature Bank"/>
        <s v="Entisys360"/>
        <s v="MedCerts"/>
        <s v="The Cydio Group"/>
        <s v="Advanced Project Consulting"/>
        <s v="Interlink Cloud Advisors"/>
        <s v="495 Movers"/>
        <s v="Natalie's Orchid Island Juice Company"/>
        <s v="MIE Solutions"/>
        <s v="CommerceIQ"/>
        <s v="Uptime Legal Systems"/>
        <s v="Plushnyc Post"/>
        <s v="Reading Horizons"/>
        <s v="Inscio"/>
        <s v="Midwest Restoration"/>
        <s v="Solar Solution"/>
        <s v="Vericon Construction Company"/>
        <s v="United Medco"/>
        <s v="Forrest Performance Group"/>
        <s v="Winston's of Northern Virginia"/>
        <s v="AHS Consulting"/>
        <s v="Zenmonics"/>
        <s v="InterWorks"/>
        <s v="Gemini Tech Services"/>
        <s v="Evereve"/>
        <s v="PN Automation"/>
        <s v="Capstone Information Technologies"/>
        <s v="Todays Business"/>
        <s v="Creative Studio Promotions"/>
        <s v="TapClassifieds Auto"/>
        <s v="Hiatus Spa Retreat"/>
        <s v="DRT Transportation"/>
        <s v="Community Association Management Company"/>
        <s v="CRM Passport"/>
        <s v="Silk Worldwide"/>
        <s v="Balsam Hill"/>
        <s v="Pin-Point Logistics"/>
        <s v="Anchor Distributing"/>
        <s v="MY Shower Door / D3 Glass"/>
        <s v="Capital Title of Texas"/>
        <s v="CivicPlus"/>
        <s v="ROCS Grad Staffing"/>
        <s v="Nexcom"/>
        <s v="Saalex Solutions"/>
        <s v="Apex Energy Solutions"/>
        <s v="Berkley"/>
        <s v="Total Care Connections"/>
        <s v="Emergicon"/>
        <s v="Landerholm Family Law"/>
        <s v="Itransition"/>
        <s v="Black Mountain Systems"/>
        <s v="B2Gnow"/>
        <s v="Torch Technologies"/>
        <s v="HomElectrical"/>
        <s v="Image Business Interiors"/>
        <s v="Akuranvyka DBA"/>
        <s v="Listrak"/>
        <s v="IT Direct"/>
        <s v="TK Promotions"/>
        <s v="US Med-Equip"/>
        <s v="Atlantic Environmental Solutions"/>
        <s v="Grasp Technologies"/>
        <s v="OnceLogix"/>
        <s v="Star Staffing Alpena"/>
        <s v="Urban Betty"/>
        <s v="Boca Beauty Academy"/>
        <s v="Glen Eagle"/>
        <s v="2:20 Marketing Group /Xurli"/>
        <s v="Ob Hospitalist Group"/>
        <s v="TechCXO"/>
        <s v="Birds Barbershop"/>
        <s v="Arke Systems"/>
        <s v="Stomping Ground Photography"/>
        <s v="Jackrabbit Technologies"/>
        <s v="Freight Hub Group"/>
        <s v="Jonathan's Grille"/>
        <s v="Jones PR"/>
        <s v="ApplicantPro"/>
        <s v="Open Dealer Exchange"/>
        <s v="Oklahoma Forge"/>
        <s v="SupplyCore"/>
        <s v="DRT Strategies"/>
        <s v="Legend Medical"/>
        <s v="Altitude Marketing"/>
        <s v="Golftec"/>
        <s v="DBSync"/>
        <s v="MiCamp Solutions"/>
        <s v="Media Minefield"/>
        <s v="Homeside Financial"/>
        <s v="Accord Group"/>
        <s v="nexVortex"/>
        <s v="Westminster American Insurance Company"/>
        <s v="Cable Ties Unlimited"/>
        <s v="P.Q.D. International"/>
        <s v="Woolley Robertson Group"/>
        <s v="Robinson Air"/>
        <s v="Investigroup Limited Liability Company"/>
        <s v="Authentic Custom Homes"/>
        <s v="Saxum"/>
        <s v="BoardPaq"/>
        <s v="SBS CyberSecurity"/>
        <s v="New City Moving"/>
        <s v="30 Point Strategies"/>
        <s v="Towner Communications"/>
        <s v="KRG Technologies"/>
        <s v="Trademasters Service"/>
        <s v="The Icebox"/>
        <s v="GMF Steel Group"/>
        <s v="First Line Technology"/>
        <s v="Proforma Add-a-Line"/>
        <s v="The Complete Child"/>
        <s v="Web Shop Manager"/>
        <s v="Integrity Services"/>
        <s v="Pine Grove Financial Group"/>
        <s v="Stone Resource Group"/>
        <s v="Planet DDS"/>
        <s v="Discovery Health Partners"/>
        <s v="Resource Communications Group"/>
        <s v="Window World of Baton Rouge"/>
        <s v="Freedom Specialty Services"/>
        <s v="Midwest Prototyping"/>
        <s v="Devada"/>
        <s v="Sebpo"/>
        <s v="Consolidus"/>
        <s v="CrossCountry Consulting"/>
        <s v="Executive Speakers Bureau"/>
        <s v="Charlesgate Realty Group"/>
        <s v="iMobile"/>
        <s v="Eclat Health Solutions"/>
        <s v="The Payroll Company (TPC)"/>
        <s v="Applied Training Solutions"/>
        <s v="Brio Benefit Consulting"/>
        <s v="JazzHR"/>
        <s v="ReEmployAbility"/>
        <s v="CoDev"/>
        <s v="Milo's Tea Company"/>
        <s v="Cook Security Group"/>
        <s v="Alliance Resource Group"/>
        <s v="Beauty Solutions"/>
        <s v="Mathys+Potestio"/>
        <s v="The Northbridge Companies"/>
        <s v="Thriveon"/>
        <s v="Advanced Strategic Enterprise Concepts 3"/>
        <s v="1st Choice Roofing Company"/>
        <s v="LBA Haynes Strand"/>
        <s v="Ardent Learning"/>
        <s v="IronEdge Group"/>
        <s v="Jewel Branding &amp; Licensing"/>
        <s v="The Advocates"/>
        <s v="Barra &amp; Associates"/>
        <s v="InVision Security"/>
        <s v="FC Construction Services"/>
        <s v="Orion Technologies"/>
        <s v="ITility"/>
        <s v="Health Perspectives Group"/>
        <s v="The Dirt Connection"/>
        <s v="Nayamode"/>
        <s v="Excel Education Systems"/>
        <s v="Solvaria"/>
        <s v="Ascii Group"/>
        <s v="XeteX"/>
        <s v="Dynamit"/>
        <s v="Morales Group"/>
        <s v="Swisstrax Corporation"/>
        <s v="Econologics Financial Advisors"/>
        <s v="Monumetric"/>
        <s v="Mountain Construction and Management Denver Division"/>
        <s v="ExactCare Pharmacy"/>
        <s v="Corbett Technology Solutions"/>
        <s v="Crabtree, Rowe &amp; Berger"/>
        <s v="Bluetree Network"/>
        <s v="Powerblanket"/>
        <s v="The Firm Advisors"/>
        <s v="V Digital Services"/>
        <s v="Premier Graphics"/>
        <s v="Blair Technology Group"/>
        <s v="Southern RV"/>
        <s v="Crosslin Technologies"/>
        <s v="Precision Medical Products"/>
        <s v="StackCommerce"/>
        <s v="Oxagile"/>
        <s v="Etica"/>
        <s v="MyITpros"/>
        <s v="Eanes Heating and Air"/>
        <s v="Access Insurance Underwriter"/>
        <s v="Clarendon Partners"/>
        <s v="ProHome Metro DC"/>
        <s v="VOX Network Solutions"/>
        <s v="ITEGRIA"/>
        <s v="Timber Industries"/>
        <s v="G&amp;A Partners"/>
        <s v="Phipps Reporting"/>
        <s v="Insurance Services Group of the Southeast"/>
        <s v="Burnham Benefits Insurance Services"/>
        <s v="Lighthouse Lab Services"/>
        <s v="Covenant Eyes"/>
        <s v="Integrated Payroll Services"/>
        <s v="Caring Commercial Cleaning"/>
        <s v="Compunnel Software Group"/>
        <s v="Capstone Consulting"/>
        <s v="Litigation Services"/>
        <s v="United Franchise Group"/>
        <s v="Everlasting Capital"/>
        <s v="Stria"/>
        <s v="Taylor's Natural Green Lawn"/>
        <s v="The Rainmaker Group"/>
        <s v="Fidelus Technologies"/>
        <s v="Right Sized Solutions"/>
        <s v="N&amp;L Investment Corp"/>
        <s v="Republic Bank of Chicago"/>
        <s v="K &amp; P Enterprises"/>
        <s v="tap|QA"/>
        <s v="TPI Efficiency"/>
        <s v="SPOL"/>
        <s v="VS carriers"/>
        <s v="Hillmann Consulting"/>
        <s v="Top Class Actions"/>
        <s v="Brilliant Infotech"/>
        <s v="Medication Management Partners"/>
        <s v="Consumer Cellular"/>
        <s v="OneSource Virtual"/>
        <s v="The Wireless Experience"/>
        <s v="THS Constructors"/>
        <s v="Milk + Honey"/>
        <s v="Seattle Coffee Gear"/>
        <s v="Netrepid"/>
        <s v="Service Professor"/>
        <s v="UIS"/>
        <s v="Edwards Performance Solutions"/>
        <s v="Maverick Networks"/>
        <s v="Impiger Technologies"/>
        <s v="UPS Protection"/>
        <s v="Immersion Active"/>
        <s v="PharmaLogics Recruiting"/>
        <s v="Mortgage Capital Trading"/>
        <s v="Five Star Connect"/>
        <s v="Canale Communications"/>
        <s v="CleanChoice Energy"/>
        <s v="Innovative Enterprises"/>
        <s v="GNT Solutions"/>
        <s v="Professional Capital Services"/>
        <s v="24Hr HomeCare"/>
        <s v="NewMark Merrill Companies"/>
        <s v="Fluid-Aire Dynamics"/>
        <s v="Faye Business Systems Group"/>
        <s v="Custom Tree Care"/>
        <s v="Lumark Technologies"/>
        <s v="Primal Health"/>
        <s v="Coast Professional"/>
        <s v="ReminderMedia"/>
        <s v="College Hunks Hauling Junk &amp; Moving of Long Island"/>
        <s v="Akorbi"/>
        <s v="MotherG"/>
        <s v="JusbyJulie.com"/>
        <s v="Blue Microphones"/>
        <s v="NexDine"/>
        <s v="Comprehensive Finance"/>
        <s v="Trideum Corporation"/>
        <s v="V-Soft Consulting Group"/>
        <s v="EXB Solutions"/>
        <s v="ListEngage"/>
        <s v="MasteryPrep"/>
        <s v="Forthea Interactive"/>
        <s v="Morgan Properties"/>
        <s v="First Flight Solutions"/>
        <s v="Blend360"/>
        <s v="Illegal Pete's"/>
        <s v="Whereoware"/>
        <s v="Insurance Brokers West"/>
        <s v="KRD - Kutchins, Robbins &amp; Diamond, Ltd."/>
        <s v="Influence &amp; Co."/>
        <s v="Dane Street"/>
        <s v="Nightlight Pediatric Urgent Care"/>
        <s v="iVision"/>
        <s v="Groggy Dog Sportswear &amp; Graphic Design"/>
        <s v="Momentum Telecom"/>
        <s v="Parker's"/>
        <s v="Walker Elliott"/>
        <s v="InboundProspect"/>
        <s v="Big Data Supply"/>
        <s v="Comtec Cloud Management Company"/>
        <s v="VDart"/>
        <s v="Hasko Trading"/>
        <s v="Groover Seminars"/>
        <s v="Freight Management Team"/>
        <s v="Trelevate"/>
        <s v="Interglass Corp"/>
        <s v="Impact Advisors"/>
        <s v="TGRP Solutions"/>
        <s v="Karavan Trailers"/>
        <s v="Pyramid Dental Integration"/>
        <s v="Exclusive Concepts"/>
        <s v="Adler Windows"/>
        <s v="MyJobHelper.com"/>
        <s v="Aggressor Adventures"/>
        <s v="Ware Malcomb"/>
        <s v="Resonate"/>
        <s v="Classic Rock Fabrication"/>
        <s v="WGroup"/>
        <s v="Gaspar Insurance Services"/>
        <s v="PJP Marketing"/>
        <s v="Exact Solar"/>
        <s v="Revel Interactive"/>
        <s v="JMJS"/>
        <s v="Taradel"/>
        <s v="Zoom Technical Services"/>
        <s v="POP Yachts"/>
        <s v="Critical Link"/>
        <s v="HMS Global Maritime"/>
        <s v="Stored Technology Solutions"/>
        <s v="HNH Investment LP"/>
        <s v="Momentum Consulting"/>
        <s v="ConnectYourCare"/>
        <s v="Vault Communications"/>
        <s v="Maryland and Delaware Group of Long and Foster"/>
        <s v="MedRisk"/>
        <s v="Connective Talent"/>
        <s v="Lumitec Lighting"/>
        <s v="SyncHR"/>
        <s v="Intellect Solutions"/>
        <s v="TENS Rx"/>
        <s v="Advanced Clinical"/>
        <s v="Demco Automation"/>
        <s v="PRA Business Events New Orleans"/>
        <s v="blueStone Staffing"/>
        <s v="Juno Search Partners"/>
        <s v="eHealth Technologies"/>
        <s v="Illuminate"/>
        <s v="Bottlerocket Media"/>
        <s v="Corporate Essentials"/>
        <s v="Globotech USA Corporation"/>
        <s v="Tech-Keys"/>
        <s v="Staff Matters"/>
        <s v="Midtown Home Improvements"/>
        <s v="Envision Capital Group"/>
        <s v="The Eye Doctors"/>
        <s v="Dempsey Construction"/>
        <s v="9Gauge Partners"/>
        <s v="Parsonex Enterprises"/>
        <s v="Baskervill"/>
        <s v="Consolidated Analytics"/>
        <s v="EDG"/>
        <s v="Aterra Real Estate"/>
        <s v="Azpro"/>
        <s v="CoTa Global"/>
        <s v="Scalar"/>
        <s v="Pro Mach"/>
        <s v="Fakhoury Global Immigration"/>
        <s v="Kenway Consulting"/>
        <s v="Avian"/>
        <s v="Trinity Solar"/>
        <s v="Relevant Web Strategies"/>
        <s v="Ingo Money"/>
        <s v="Aegis Law"/>
        <s v="Azimuth"/>
        <s v="Sriven Technologies"/>
        <s v="Bernard Health"/>
        <s v="Summit Wealth Group"/>
        <s v="Vantage Point"/>
        <s v="Path Interactive"/>
        <s v="Ameex Technologies"/>
        <s v="Highlands Residential Mortgage"/>
        <s v="Q Ship USA"/>
        <s v="Premier Automation"/>
        <s v="Source Alliance Network"/>
        <s v="TicketManager"/>
        <s v="Guaranteed Rate"/>
        <s v="Poetic Systems"/>
        <s v="Equator Coffees"/>
        <s v="Supreme Resources"/>
        <s v="Fuel Talent"/>
        <s v="United Real Estate Group"/>
        <s v="JW Construction"/>
        <s v="Intercare Therapy"/>
        <s v="Bizzell Corporation"/>
        <s v="Right Height Manufacturing"/>
        <s v="Special Aerospace Services"/>
        <s v="BM2 Freight Services"/>
        <s v="PMA"/>
        <s v="Compass Self Storage"/>
        <s v="The Woodhouse Day Spas"/>
        <s v="A&amp;P Air Conditioning"/>
        <s v="Myriad360"/>
        <s v="ZZPerformance"/>
        <s v="TengoInternet"/>
        <s v="Spoke Marketing"/>
        <s v="The Signature Real Estate Companies"/>
        <s v="Dreamclinic"/>
        <s v="PeopleG2"/>
        <s v="Involta"/>
        <s v="All Safe Industries"/>
        <s v="Law Offices of Anidjar"/>
        <s v="3Pillar Global"/>
        <s v="Double Good"/>
        <s v="Ascend Staffing"/>
        <s v="PICS ITech"/>
        <s v="Thermal-Vac Technology"/>
        <s v="Convergence Consulting Group"/>
        <s v="Rendition Infosec"/>
        <s v="Organicix"/>
        <s v="Sunny Days In-Home Care"/>
        <s v="Flowing Wells Landscape"/>
        <s v="Kinetix"/>
        <s v="TradeTec Skyline"/>
        <s v="Financial Carrier Services"/>
        <s v="Abacus Group"/>
        <s v="Educere"/>
        <s v="Silicus Technologies"/>
        <s v="SS Industries"/>
        <s v="IDS International Government Services"/>
        <s v="Windsong Productions"/>
        <s v="Insight Technology Solutions"/>
        <s v="RxLogix Corporation"/>
        <s v="Netsertive"/>
        <s v="Hooten Construction"/>
        <s v="Angler Construction"/>
        <s v="A-Tech Consulting"/>
        <s v="Transport Express"/>
        <s v="Force Marketing"/>
        <s v="Avizion Technologies Group Company"/>
        <s v="Atlantic Blowers"/>
        <s v="Vanguard Fire Systems"/>
        <s v="Seeking Health"/>
        <s v="Customized Energy Solutions"/>
        <s v="TM5 Properties"/>
        <s v="Ctems"/>
        <s v="Palmer Signs"/>
        <s v="PrimeRevenue"/>
        <s v="Morton"/>
        <s v="OPAV"/>
        <s v="Triangle Insights Group"/>
        <s v="180 Engineering"/>
        <s v="Powertrain Products"/>
        <s v="Comfort Supply"/>
        <s v="Oasis Turf &amp; Tree"/>
        <s v="Apex HCM"/>
        <s v="eTek IT Services"/>
        <s v="10Pearls"/>
        <s v="Factory Expo Home Centers"/>
        <s v="Kidd Roofing"/>
        <s v="Advanced Electronic Designs"/>
        <s v="Brewer &amp; Stratton Property Management"/>
        <s v="Americorp-The Matt Laricy Group"/>
        <s v="SBC Contractors"/>
        <s v="Artful Living"/>
        <s v="Crepes a Latte"/>
        <s v="MCCi"/>
        <s v="International Van Lines ( Ocean Star International )"/>
        <s v="LuminFire"/>
        <s v="Liquid Web"/>
        <s v="Sustainable Supply"/>
        <s v="EmpireWorks"/>
        <s v="Fresh Concepts"/>
        <s v="Highwire Public Relations"/>
        <s v="C&amp;H Baseball"/>
        <s v="OVM Financial"/>
        <s v="Biotech X-ray"/>
        <s v="IntraLogic Solutions"/>
        <s v="Invariant"/>
        <s v="TargetX.com"/>
        <s v="ForceBrands"/>
        <s v="Safety Management Group"/>
        <s v="Total Quality Logistics"/>
        <s v="Pure Financial Advisors"/>
        <s v="LINX"/>
        <s v="AvroKO"/>
        <s v="Morrow Family Medicine"/>
        <s v="ExpoMarketing Group"/>
        <s v="The Denzel Group"/>
        <s v="Rock Solid Stabilization"/>
        <s v="Brewer Enterprises"/>
        <s v="SoftClouds"/>
        <s v="SwipeClock"/>
        <s v="Ntiva"/>
        <s v="Infinite Windows"/>
        <s v="Quantum Workplace"/>
        <s v="MuniciPAY"/>
        <s v="Primary Staffing"/>
        <s v="Pyramid Technologies"/>
        <s v="The Credit Pros"/>
        <s v="Americollect"/>
        <s v="Nexgrill Industries"/>
        <s v="Cumming"/>
        <s v="Pinnacle Lodging"/>
        <s v="HazTek"/>
        <s v="Sentinel Security Solutions"/>
        <s v="Streamline Publishing"/>
        <s v="J.C. Restoration"/>
        <s v="Julianna Rae"/>
        <s v="Landscape Workshop"/>
        <s v="Sacramento Rack and Shelving"/>
        <s v="TouchSource"/>
        <s v="MSC Development"/>
        <s v="Innovative Office Solutions"/>
        <s v="VHA Prepaid Wireless"/>
        <s v="ARG - AgentHR Recruiting Group"/>
        <s v="TruTech Tools"/>
        <s v="Peterman Heating, Cooling &amp; Plumbing"/>
        <s v="Secure Medical"/>
        <s v="Klemchuk"/>
        <s v="SunDance Marketing Solutions"/>
        <s v="Accellis Technology Group"/>
        <s v="Dana's Bakery"/>
        <s v="Northside Tool Rental"/>
        <s v="Precision Laser Services"/>
        <s v="Softworld"/>
        <s v="Neogov"/>
        <s v="Meeting Tomorrow"/>
        <s v="Trilliant Surgical"/>
        <s v="MedSource"/>
        <s v="TechMD"/>
        <s v="Dynamic Systems"/>
        <s v="OPYS"/>
        <s v="The Copley Consulting Group"/>
        <s v="Clickstop"/>
        <s v="Weatherly Asset Management"/>
        <s v="Internet Creations"/>
        <s v="RebelMouse"/>
        <s v="Goldenhelix"/>
        <s v="InfoWorks"/>
        <s v="Motivworks"/>
        <s v="American Painting &amp; Renovations"/>
        <s v="Common Angle"/>
        <s v="Carpet Source"/>
        <s v="Annex Wealth Management"/>
        <s v="Modern Technology Solutions"/>
        <s v="Carolinas IT"/>
        <s v="Consolidated Asset Recovery Systems"/>
        <s v="MDG Connected Solutions"/>
        <s v="Park Square Homes"/>
        <s v="Benchmark Realty"/>
        <s v="BravoTECH"/>
        <s v="Butters Construction &amp; Development"/>
        <s v="XpoSolutions"/>
        <s v="S. Bravo Systems"/>
        <s v="K. Parks Consulting"/>
        <s v="W.A. Smith Financial Group"/>
        <s v="Just Ryt Foods"/>
        <s v="Van Horn Law Group, PA"/>
        <s v="Five Star Restoration"/>
        <s v="Rapid Response Marketing"/>
        <s v="Grobstein Teeple"/>
        <s v="Scalefast"/>
        <s v="J&amp;L Dimensional Services"/>
        <s v="LSS Life Safety Services"/>
        <s v="Cardinal Staffing Services"/>
        <s v="Plumbing &amp; HVAC SEO"/>
        <s v="Underground Printing"/>
        <s v="Bridge Partners"/>
        <s v="Advent Advisory Group"/>
        <s v="Total Maintenance Services"/>
        <s v="Improving"/>
        <s v="Corefact"/>
        <s v="Express Corporate Housing"/>
        <s v="Any Lab Test Now"/>
        <s v="Monster Technology"/>
        <s v="Reliable Pharmaceutical Returns"/>
        <s v="Smoothie King"/>
        <s v="Access Physical Therapy"/>
        <s v="Exhibitus"/>
        <s v="Scrimmage"/>
        <s v="Athaco"/>
        <s v="The Garland Company"/>
        <s v="MD Connect"/>
        <s v="4 Walls"/>
        <s v="Radiant Plumbing &amp; Air Conditioning"/>
        <s v="Medicus Healthcare Solutions"/>
        <s v="Nassau National Cable"/>
        <s v="Duval's Fresh. Local. Seafood."/>
        <s v="Leigh Marcus | @properties"/>
        <s v="Dimensional Innovations"/>
        <s v="United Services Group"/>
        <s v="MGX Copy"/>
        <s v="Well Crafted Wine &amp; Beverage"/>
        <s v="Intelligent Logistics"/>
        <s v="Quaker Window Products"/>
        <s v="3nom"/>
        <s v="Netropole"/>
        <s v="NorthStar Restoration Services"/>
        <s v="SciSafe"/>
        <s v="Zipline Logistics"/>
        <s v="Intellifarms"/>
        <s v="Neostek"/>
        <s v="Dciny"/>
        <s v="ARServices"/>
        <s v="Black Clover Enterprises"/>
        <s v="Redtail Technology"/>
        <s v="Quality Mobile Home Services"/>
        <s v="List Partners"/>
        <s v="Ben Kinney Companies"/>
        <s v="Applied Imaging"/>
        <s v="Orthopedic Motion"/>
        <s v="Windhaven Insurance"/>
        <s v="Advice Media"/>
        <s v="SEAM Group"/>
        <s v="Studio Movie Grill"/>
        <s v="ACTenviro"/>
        <s v="Imperial Lighting Maintenance Company"/>
        <s v="Nexus Systems"/>
        <s v="Program Productions"/>
        <s v="ShoppersChoice.com dba BBQGuys"/>
        <s v="Plastic Molding Technology"/>
        <s v="L Squared Engineering"/>
        <s v="Monkee-Boy Web Design"/>
        <s v="Crown Coverings"/>
        <s v="Jones Therapy Services"/>
        <s v="Royal Interpack Group USA"/>
        <s v="Harmonics Consulting"/>
        <s v="SpaceBound"/>
        <s v="Schneller and Knochelmann Plumbing Heating and Air"/>
        <s v="Multilingual Connections"/>
        <s v="Image Systems"/>
        <s v="Universal Plant Services"/>
        <s v="Boston Government Services"/>
        <s v="MobileDemand"/>
        <s v="Buckfire &amp; Buckfire"/>
        <s v="Employment Screening Services"/>
        <s v="Certified Languages International"/>
        <s v="Empist"/>
        <s v="Secure Ideas"/>
        <s v="Sedona Soul Adventures"/>
        <s v="Debtmerica"/>
        <s v="Clarity Software Solutions"/>
        <s v="Mobile Advance"/>
        <s v="Eating Recovery Center"/>
        <s v="Career Support Systems"/>
        <s v="Coury &amp; Buehler Physical Therapy"/>
        <s v="Hughes Environmental"/>
        <s v="JKaiser Workspaces"/>
        <s v="Milosi"/>
        <s v="The Kingston Group"/>
        <s v="Rhythmlink International"/>
        <s v="Tech Guru"/>
        <s v="Priority Designs"/>
        <s v="Strategic Factory"/>
        <s v="Wet Sounds"/>
        <s v="SnapShot Interactive"/>
        <s v="GXA Network Solutions"/>
        <s v="Del Toro Loan Servicing"/>
        <s v="Xidax PCs"/>
        <s v="RF-Smart"/>
        <s v="Davenport Group"/>
        <s v="Century Solutions Group"/>
        <s v="Transport Services"/>
        <s v="Pariveda Solutions"/>
        <s v="Clarion Security"/>
        <s v="Big-D Construction Corp."/>
        <s v="hrQ"/>
        <s v="Neta Scientific"/>
        <s v="Angeion Group"/>
        <s v="FIG"/>
        <s v="Keen 360"/>
        <s v="World of Wheels"/>
        <s v="Saffron Road Foods"/>
        <s v="Readerlink"/>
        <s v="Cap City Dental Lab"/>
        <s v="Next Day Dumpsters"/>
        <s v="Tapestry Technologies"/>
        <s v="ipipeline"/>
        <s v="7Summits"/>
        <s v="RAW Artists"/>
        <s v="3 Blind Mice Window Coverings"/>
        <s v="Infutor Data Solutions"/>
        <s v="RE 360"/>
        <s v="Sterling Computers"/>
        <s v="Constellation Software Engineering"/>
        <s v="Abacus Wealth Partners"/>
        <s v="Ebs Associates"/>
        <s v="Reach Sports Marketing Group"/>
        <s v="Oxi Fresh Carpet Cleaning"/>
        <s v="rezora"/>
        <s v="Barone Consulting"/>
        <s v="SkyPlanner"/>
        <s v="Rogers Healy and Associates Real Estate"/>
        <s v="Arora Engineers"/>
        <s v="Victor 12"/>
        <s v="Cassaday &amp; Company"/>
        <s v="Fresh Technology"/>
        <s v="ej4"/>
        <s v="Managed Solution"/>
        <s v="ClubDrive Systems"/>
        <s v="Gantom Lighting"/>
        <s v="Partner Assessment"/>
        <s v="Grapevine MSP Technology Services"/>
        <s v="Traffic Planning and Design"/>
        <s v="JPL"/>
        <s v="Meridian Star POS"/>
        <s v="Choura Events"/>
        <s v="Money Matters with Ken Moraif"/>
        <s v="Acquia"/>
        <s v="Wood Expressions"/>
        <s v="Softcrylic"/>
        <s v="Thread"/>
        <s v="Full Visibility"/>
        <s v="BizStream"/>
        <s v="American Technologies"/>
        <s v="Cold Jet"/>
        <s v="Mosaic Technologies Group"/>
        <s v="Bast Amron LLP"/>
        <s v="Kaplansky Insurance Agency"/>
        <s v="LINK Strategic Partners"/>
        <s v="Air Control Air Conditioning"/>
        <s v="CommCreative"/>
        <s v="Equus Software"/>
        <s v="pMD"/>
        <s v="Nina Hale"/>
        <s v="Five Lakes Professional Services"/>
        <s v="Vance Thompson Vision"/>
        <s v="NetPlanner Systems"/>
        <s v="OpenArc"/>
        <s v="Stonebrooke Engineering"/>
        <s v="Foreman Therapy Services"/>
        <s v="Computer Solutions East"/>
        <s v="Dobi &amp; Associates"/>
        <s v="Redpepper"/>
        <s v="W. L. French Excavating"/>
        <s v="US Logistics"/>
        <s v="KBTS Technologies"/>
        <s v="SecureStrux"/>
        <s v="McGill Restoration"/>
        <s v="The Greer Group"/>
        <s v="Zone Enterprises"/>
        <s v="Kidder Mathews"/>
        <s v="Creative Alignments"/>
        <s v="Muscular Moving Men &amp; Storage"/>
        <s v="Senior1Care"/>
        <s v="Datatility"/>
        <s v="Evok Advertising"/>
        <s v="Extension"/>
        <s v="Sovereign Lending Group"/>
        <s v="Veracity Consulting"/>
        <s v="Quest National Services"/>
        <s v="High Level Marketing"/>
        <s v="4CITE Marketing"/>
        <s v="Liquid Technology"/>
        <s v="The Event Studio"/>
        <s v="Ion Exhibits"/>
        <s v="Reliant Foodservice"/>
        <s v="Argent Financial Group"/>
        <s v="ThreePDS"/>
        <s v="BODY DETAILS"/>
        <s v="All-American Pest Control"/>
        <s v="Timmons Group"/>
        <s v="American Drapery Systems"/>
        <s v="Noble Capital Group"/>
        <s v="Environmental Lights"/>
        <s v="ShipOffers"/>
        <s v="Gen3 Marketing"/>
        <s v="Harvest Software Solutions"/>
        <s v="Snap36"/>
        <s v="TekCommands"/>
        <s v="Horizontal Integration"/>
        <s v="Manifold"/>
        <s v="Profit Builders"/>
        <s v="MicroSystems Automation Group"/>
        <s v="Hirewell"/>
        <s v="Meathead Movers"/>
        <s v="Freedom Information Systems"/>
        <s v="In Store Experience"/>
        <s v="CKD Technology Partners"/>
        <s v="CivicMinds"/>
        <s v="(Add)ventures"/>
        <s v="Agent Elite"/>
        <s v="Frontier Truck Gear"/>
        <s v="Page Per Page"/>
        <s v="360 Wraps"/>
        <s v="Audio Visual Management Solutions"/>
        <s v="WaterSports Central"/>
        <s v="Red Caffeine"/>
        <s v="Netria Corporation"/>
        <s v="Tayse International Trading"/>
        <s v="Open Sky Group"/>
        <s v="Procentrix"/>
        <s v="Avenue Link"/>
        <s v="Vantage Outsourcing"/>
        <s v="WTWH Media"/>
        <s v="Across Borders Management Consulting Group"/>
        <s v="Clayton Signs"/>
        <s v="UpSellit"/>
        <s v="Pavone Marketing Group"/>
        <s v="84 Lumber Company"/>
        <s v="Blount Fine Foods"/>
        <s v="280 Group"/>
        <s v="Virtual Supply"/>
        <s v="Green Mountain Technology"/>
        <s v="Paradigm Sample"/>
        <s v="LaSalle Network"/>
        <s v="Team Velocity"/>
        <s v="SofterWare"/>
        <s v="Trextel"/>
        <s v="John Greene Realtor"/>
        <s v="Johnston Architectural Systems"/>
        <s v="Wine Cellar International"/>
        <s v="Tekla Research"/>
        <s v="Perfecta"/>
        <s v="Green Lawn Fertilizing"/>
        <s v="Icube Consultancy Services"/>
        <s v="Access TCA"/>
        <s v="Intercambio Express"/>
        <s v="Precision Machinery Systems"/>
        <s v="Audacious Inquiry"/>
        <s v="USA Financial"/>
        <s v="Bankers Healthcare Group"/>
        <s v="MMI Engineered Solutions"/>
        <s v="Miles Technologies"/>
        <s v="Centurion Land Title"/>
        <s v="Data Path"/>
        <s v="Cogent Solutions"/>
        <s v="Oceans Healthcare"/>
        <s v="Adelante Consulting"/>
        <s v="Proliant"/>
        <s v="American Specialty Health"/>
        <s v="Western Timber Frame"/>
        <s v="Exact Data"/>
        <s v="Corevist"/>
        <s v="M9 Solutions"/>
        <s v="Monogram Foods"/>
        <s v="WorkForce Software"/>
        <s v="Morris - Sockle, PLLC"/>
        <s v="Drexel Building Supply"/>
        <s v="Alliance 2020"/>
        <s v="Atlas Oil Company"/>
        <s v="ClearlyRated"/>
        <s v="Americaneagle.com"/>
        <s v="Freedom Boat Club"/>
        <s v="The SMB Help Desk"/>
        <s v="Malone Media Group"/>
        <s v="Pacific Dental Services"/>
        <s v="The Perfect Workout"/>
        <s v="Spur"/>
        <s v="Jetco Delivery"/>
        <s v="Internet Marketing Expert Group"/>
        <s v="Jackson Design and Remodeling"/>
        <s v="MSNW Group"/>
        <s v="Starfire Direct"/>
        <s v="Advantage Gold"/>
        <s v="Film Solutions"/>
        <s v="Dymax"/>
        <s v="Equip Studio"/>
        <s v="SUNation Solar Systems"/>
        <s v="iMarket Solutions"/>
        <s v="Vector Choice Technology Solutions"/>
        <s v="Taco Truck Creative"/>
        <s v="Smart Energy Today"/>
        <s v="Distillery"/>
        <s v="American Thermal Systems"/>
        <s v="Red Six Media"/>
        <s v="Gemini Power Systems"/>
        <s v="Golden Star Technology"/>
        <s v="Village Plumbing &amp; Air"/>
        <s v="Real Restoration Group"/>
        <s v="Naval Systems"/>
        <s v="HNM Systems"/>
        <s v="Vivayic"/>
      </sharedItems>
    </cacheField>
    <cacheField name="Revenue" numFmtId="0">
      <sharedItems containsSemiMixedTypes="0" containsString="0" containsNumber="1" containsInteger="1" minValue="2000000" maxValue="21400000000"/>
    </cacheField>
    <cacheField name="state" numFmtId="0">
      <sharedItems count="51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s v="WV"/>
        <s v="MS"/>
        <s v="VT"/>
        <s v="HI"/>
        <s v="RI"/>
      </sharedItems>
    </cacheField>
    <cacheField name="growth_%" numFmtId="0">
      <sharedItems containsSemiMixedTypes="0" containsString="0" containsNumber="1" minValue="52.1691" maxValue="36680.388200000001"/>
    </cacheField>
    <cacheField name="industry" numFmtId="0">
      <sharedItems count="27">
        <s v="Advertising &amp; Marketing"/>
        <s v="Logistics &amp; Transportation"/>
        <s v="Food &amp; Beverage"/>
        <s v="Consumer Products &amp; Services"/>
        <s v="Retail"/>
        <s v="Health"/>
        <s v="Telecommunications"/>
        <s v="Financial Services"/>
        <s v="Computer Hardware"/>
        <s v="Software"/>
        <s v="Energy"/>
        <s v="Government Services"/>
        <s v="Real Estate"/>
        <s v="Manufacturing"/>
        <s v="Media"/>
        <s v="Construction"/>
        <s v="IT System Development"/>
        <s v="Travel &amp; Hospitality"/>
        <s v="Security"/>
        <s v="IT Management"/>
        <s v="Human Resources"/>
        <s v="Environmental Services"/>
        <s v="Insurance"/>
        <s v="Business Products &amp; Services"/>
        <s v="Education"/>
        <s v="Engineering"/>
        <s v="IT Services"/>
      </sharedItems>
    </cacheField>
    <cacheField name="workers" numFmtId="0">
      <sharedItems containsString="0" containsBlank="1" containsNumber="1" containsInteger="1" minValue="0" maxValue="155000"/>
    </cacheField>
    <cacheField name="previous_workers" numFmtId="0">
      <sharedItems containsSemiMixedTypes="0" containsString="0" containsNumber="1" containsInteger="1" minValue="1" maxValue="53000"/>
    </cacheField>
    <cacheField name="founded" numFmtId="0">
      <sharedItems/>
    </cacheField>
    <cacheField name="yrs_on_list" numFmtId="0">
      <sharedItems containsSemiMixedTypes="0" containsString="0" containsNumber="1" containsInteger="1" minValue="1" maxValue="14"/>
    </cacheField>
    <cacheField name="Workers Growth (yes/no)" numFmtId="0">
      <sharedItems count="2">
        <s v="yes"/>
        <s v="no"/>
      </sharedItems>
    </cacheField>
    <cacheField name="Employees Growth" numFmtId="0">
      <sharedItems containsSemiMixedTypes="0" containsString="0" containsNumber="1" containsInteger="1" minValue="-682" maxValue="118531"/>
    </cacheField>
    <cacheField name="Employees Growth %" numFmtId="10">
      <sharedItems containsSemiMixedTypes="0" containsString="0" containsNumber="1" minValue="-1" maxValue="2399"/>
    </cacheField>
  </cacheFields>
  <extLst>
    <ext xmlns:x14="http://schemas.microsoft.com/office/spreadsheetml/2009/9/main" uri="{725AE2AE-9491-48be-B2B4-4EB974FC3084}">
      <x14:pivotCacheDefinition pivotCacheId="12522003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2">
  <r>
    <s v="1"/>
    <x v="0"/>
    <n v="36900000"/>
    <x v="0"/>
    <n v="36680.388200000001"/>
    <x v="0"/>
    <n v="40"/>
    <n v="5"/>
    <s v="2015"/>
    <n v="1"/>
    <x v="0"/>
    <n v="35"/>
    <n v="7"/>
  </r>
  <r>
    <s v="2"/>
    <x v="1"/>
    <n v="33600000"/>
    <x v="1"/>
    <n v="30547.931700000001"/>
    <x v="1"/>
    <n v="39"/>
    <n v="8"/>
    <s v="2015"/>
    <n v="1"/>
    <x v="0"/>
    <n v="31"/>
    <n v="3.875"/>
  </r>
  <r>
    <s v="3"/>
    <x v="2"/>
    <n v="24900000"/>
    <x v="2"/>
    <n v="23880.485199999999"/>
    <x v="2"/>
    <n v="190"/>
    <n v="10"/>
    <s v="2015"/>
    <n v="1"/>
    <x v="0"/>
    <n v="180"/>
    <n v="18"/>
  </r>
  <r>
    <s v="4"/>
    <x v="3"/>
    <n v="32400000"/>
    <x v="3"/>
    <n v="21849.892500000002"/>
    <x v="3"/>
    <n v="57"/>
    <n v="2"/>
    <s v="2014"/>
    <n v="1"/>
    <x v="0"/>
    <n v="55"/>
    <n v="27.5"/>
  </r>
  <r>
    <s v="5"/>
    <x v="4"/>
    <n v="22500000"/>
    <x v="4"/>
    <n v="18166.406999999999"/>
    <x v="4"/>
    <n v="25"/>
    <n v="6"/>
    <s v="2014"/>
    <n v="1"/>
    <x v="0"/>
    <n v="19"/>
    <n v="3.1666666666666665"/>
  </r>
  <r>
    <s v="6"/>
    <x v="5"/>
    <n v="271800000"/>
    <x v="5"/>
    <n v="14183.4118"/>
    <x v="5"/>
    <n v="742"/>
    <n v="18"/>
    <s v="2009"/>
    <n v="1"/>
    <x v="0"/>
    <n v="724"/>
    <n v="40.222222222222221"/>
  </r>
  <r>
    <s v="7"/>
    <x v="6"/>
    <n v="20500000"/>
    <x v="6"/>
    <n v="13480.731"/>
    <x v="3"/>
    <n v="12"/>
    <n v="1"/>
    <s v="2014"/>
    <n v="1"/>
    <x v="0"/>
    <n v="11"/>
    <n v="11"/>
  </r>
  <r>
    <s v="8"/>
    <x v="7"/>
    <n v="23300000"/>
    <x v="7"/>
    <n v="12700.658799999999"/>
    <x v="6"/>
    <n v="72"/>
    <n v="1"/>
    <s v="2015"/>
    <n v="1"/>
    <x v="0"/>
    <n v="71"/>
    <n v="71"/>
  </r>
  <r>
    <s v="9"/>
    <x v="8"/>
    <n v="225900000"/>
    <x v="8"/>
    <n v="12564.536400000001"/>
    <x v="5"/>
    <n v="60"/>
    <n v="10"/>
    <s v="2008"/>
    <n v="1"/>
    <x v="0"/>
    <n v="50"/>
    <n v="5"/>
  </r>
  <r>
    <s v="10"/>
    <x v="9"/>
    <n v="21400000"/>
    <x v="9"/>
    <n v="11996.296399999999"/>
    <x v="0"/>
    <n v="37"/>
    <n v="5"/>
    <s v="2014"/>
    <n v="1"/>
    <x v="0"/>
    <n v="32"/>
    <n v="6.4"/>
  </r>
  <r>
    <s v="11"/>
    <x v="10"/>
    <n v="13900000"/>
    <x v="10"/>
    <n v="11949.179"/>
    <x v="3"/>
    <n v="40"/>
    <n v="2"/>
    <s v="2014"/>
    <n v="1"/>
    <x v="0"/>
    <n v="38"/>
    <n v="19"/>
  </r>
  <r>
    <s v="12"/>
    <x v="11"/>
    <n v="30300000"/>
    <x v="7"/>
    <n v="11632.8771"/>
    <x v="1"/>
    <n v="226"/>
    <n v="18"/>
    <s v="2013"/>
    <n v="1"/>
    <x v="0"/>
    <n v="208"/>
    <n v="11.555555555555555"/>
  </r>
  <r>
    <s v="13"/>
    <x v="12"/>
    <n v="19100000"/>
    <x v="11"/>
    <n v="11622.5291"/>
    <x v="2"/>
    <n v="23"/>
    <n v="3"/>
    <s v="2013"/>
    <n v="1"/>
    <x v="0"/>
    <n v="20"/>
    <n v="6.666666666666667"/>
  </r>
  <r>
    <s v="14"/>
    <x v="13"/>
    <n v="19100000"/>
    <x v="12"/>
    <n v="10561.7147"/>
    <x v="7"/>
    <n v="66"/>
    <n v="10"/>
    <s v="2015"/>
    <n v="1"/>
    <x v="0"/>
    <n v="56"/>
    <n v="5.6"/>
  </r>
  <r>
    <s v="15"/>
    <x v="14"/>
    <n v="17300000"/>
    <x v="9"/>
    <n v="10175.755300000001"/>
    <x v="0"/>
    <n v="109"/>
    <n v="8"/>
    <s v="2014"/>
    <n v="3"/>
    <x v="0"/>
    <n v="101"/>
    <n v="12.625"/>
  </r>
  <r>
    <s v="16"/>
    <x v="15"/>
    <n v="10700000"/>
    <x v="12"/>
    <n v="9753.2009999999991"/>
    <x v="0"/>
    <n v="110"/>
    <n v="3"/>
    <s v="2015"/>
    <n v="1"/>
    <x v="0"/>
    <n v="107"/>
    <n v="35.666666666666664"/>
  </r>
  <r>
    <s v="17"/>
    <x v="16"/>
    <n v="105800000"/>
    <x v="13"/>
    <n v="9265.2405999999992"/>
    <x v="7"/>
    <n v="190"/>
    <n v="32"/>
    <s v="2014"/>
    <n v="1"/>
    <x v="0"/>
    <n v="158"/>
    <n v="4.9375"/>
  </r>
  <r>
    <s v="18"/>
    <x v="17"/>
    <n v="19000000"/>
    <x v="12"/>
    <n v="9179.3318999999992"/>
    <x v="3"/>
    <n v="14"/>
    <n v="2"/>
    <s v="2013"/>
    <n v="1"/>
    <x v="0"/>
    <n v="12"/>
    <n v="6"/>
  </r>
  <r>
    <s v="19"/>
    <x v="18"/>
    <n v="24400000"/>
    <x v="9"/>
    <n v="8656.9531999999999"/>
    <x v="5"/>
    <n v="191"/>
    <n v="66"/>
    <s v="2006"/>
    <n v="1"/>
    <x v="0"/>
    <n v="125"/>
    <n v="1.893939393939394"/>
  </r>
  <r>
    <s v="20"/>
    <x v="19"/>
    <n v="9600000"/>
    <x v="9"/>
    <n v="8543.9807999999994"/>
    <x v="3"/>
    <n v="35"/>
    <n v="2"/>
    <s v="2015"/>
    <n v="1"/>
    <x v="0"/>
    <n v="33"/>
    <n v="16.5"/>
  </r>
  <r>
    <s v="21"/>
    <x v="20"/>
    <n v="10200000"/>
    <x v="14"/>
    <n v="8327.0956000000006"/>
    <x v="5"/>
    <n v="45"/>
    <n v="1"/>
    <s v="2015"/>
    <n v="1"/>
    <x v="0"/>
    <n v="44"/>
    <n v="44"/>
  </r>
  <r>
    <s v="22"/>
    <x v="21"/>
    <n v="11900000"/>
    <x v="5"/>
    <n v="8282.8667999999998"/>
    <x v="8"/>
    <n v="12"/>
    <n v="2"/>
    <s v="2014"/>
    <n v="1"/>
    <x v="0"/>
    <n v="10"/>
    <n v="5"/>
  </r>
  <r>
    <s v="23"/>
    <x v="22"/>
    <n v="13800000"/>
    <x v="15"/>
    <n v="7965.9741000000004"/>
    <x v="9"/>
    <n v="37"/>
    <n v="10"/>
    <s v="2013"/>
    <n v="2"/>
    <x v="0"/>
    <n v="27"/>
    <n v="2.7"/>
  </r>
  <r>
    <s v="24"/>
    <x v="23"/>
    <n v="10500000"/>
    <x v="9"/>
    <n v="7926.4243999999999"/>
    <x v="9"/>
    <n v="70"/>
    <n v="5"/>
    <s v="2015"/>
    <n v="1"/>
    <x v="0"/>
    <n v="65"/>
    <n v="13"/>
  </r>
  <r>
    <s v="25"/>
    <x v="24"/>
    <n v="8900000"/>
    <x v="16"/>
    <n v="7478.1477999999997"/>
    <x v="9"/>
    <n v="42"/>
    <n v="2"/>
    <s v="2015"/>
    <n v="1"/>
    <x v="0"/>
    <n v="40"/>
    <n v="20"/>
  </r>
  <r>
    <s v="26"/>
    <x v="25"/>
    <n v="128200000"/>
    <x v="2"/>
    <n v="7426.8072000000002"/>
    <x v="10"/>
    <n v="191"/>
    <n v="14"/>
    <s v="2015"/>
    <n v="1"/>
    <x v="0"/>
    <n v="177"/>
    <n v="12.642857142857142"/>
  </r>
  <r>
    <s v="27"/>
    <x v="26"/>
    <n v="15800000"/>
    <x v="7"/>
    <n v="7329.3793999999998"/>
    <x v="11"/>
    <n v="191"/>
    <n v="7"/>
    <s v="2013"/>
    <n v="1"/>
    <x v="0"/>
    <n v="184"/>
    <n v="26.285714285714285"/>
  </r>
  <r>
    <s v="28"/>
    <x v="27"/>
    <n v="7800000"/>
    <x v="15"/>
    <n v="7301.3353999999999"/>
    <x v="12"/>
    <n v="8"/>
    <n v="1"/>
    <s v="2014"/>
    <n v="2"/>
    <x v="0"/>
    <n v="7"/>
    <n v="7"/>
  </r>
  <r>
    <s v="29"/>
    <x v="28"/>
    <n v="11800000"/>
    <x v="17"/>
    <n v="7045.3630999999996"/>
    <x v="9"/>
    <n v="60"/>
    <n v="3"/>
    <s v="2014"/>
    <n v="1"/>
    <x v="0"/>
    <n v="57"/>
    <n v="19"/>
  </r>
  <r>
    <s v="30"/>
    <x v="29"/>
    <n v="156000000"/>
    <x v="5"/>
    <n v="6900.2519000000002"/>
    <x v="5"/>
    <n v="37"/>
    <n v="6"/>
    <s v="2015"/>
    <n v="1"/>
    <x v="0"/>
    <n v="31"/>
    <n v="5.166666666666667"/>
  </r>
  <r>
    <s v="31"/>
    <x v="30"/>
    <n v="20400000"/>
    <x v="5"/>
    <n v="6870.9856"/>
    <x v="12"/>
    <n v="51"/>
    <n v="35"/>
    <s v="2014"/>
    <n v="2"/>
    <x v="0"/>
    <n v="16"/>
    <n v="0.45714285714285713"/>
  </r>
  <r>
    <s v="32"/>
    <x v="31"/>
    <n v="10200000"/>
    <x v="11"/>
    <n v="6641.6792999999998"/>
    <x v="3"/>
    <n v="21"/>
    <n v="4"/>
    <s v="2013"/>
    <n v="1"/>
    <x v="0"/>
    <n v="17"/>
    <n v="4.25"/>
  </r>
  <r>
    <s v="33"/>
    <x v="32"/>
    <n v="7200000"/>
    <x v="1"/>
    <n v="6492.7884000000004"/>
    <x v="13"/>
    <n v="21"/>
    <n v="3"/>
    <s v="2013"/>
    <n v="1"/>
    <x v="0"/>
    <n v="18"/>
    <n v="6"/>
  </r>
  <r>
    <s v="34"/>
    <x v="33"/>
    <n v="20800000"/>
    <x v="18"/>
    <n v="6388.3661000000002"/>
    <x v="14"/>
    <n v="21"/>
    <n v="6"/>
    <s v="2010"/>
    <n v="1"/>
    <x v="0"/>
    <n v="15"/>
    <n v="2.5"/>
  </r>
  <r>
    <s v="35"/>
    <x v="34"/>
    <n v="162600000"/>
    <x v="19"/>
    <n v="6382.9368000000004"/>
    <x v="1"/>
    <n v="38"/>
    <n v="13"/>
    <s v="2013"/>
    <n v="3"/>
    <x v="0"/>
    <n v="25"/>
    <n v="1.9230769230769231"/>
  </r>
  <r>
    <s v="36"/>
    <x v="35"/>
    <n v="48900000"/>
    <x v="20"/>
    <n v="6337.2973000000002"/>
    <x v="15"/>
    <n v="52"/>
    <n v="2"/>
    <s v="2014"/>
    <n v="1"/>
    <x v="0"/>
    <n v="50"/>
    <n v="25"/>
  </r>
  <r>
    <s v="37"/>
    <x v="36"/>
    <n v="24000000"/>
    <x v="10"/>
    <n v="6287.4646000000002"/>
    <x v="3"/>
    <n v="11"/>
    <n v="5"/>
    <s v="2013"/>
    <n v="1"/>
    <x v="0"/>
    <n v="6"/>
    <n v="1.2"/>
  </r>
  <r>
    <s v="38"/>
    <x v="37"/>
    <n v="17500000"/>
    <x v="21"/>
    <n v="6176.6895999999997"/>
    <x v="12"/>
    <n v="85"/>
    <n v="25"/>
    <s v="2012"/>
    <n v="2"/>
    <x v="0"/>
    <n v="60"/>
    <n v="2.4"/>
  </r>
  <r>
    <s v="39"/>
    <x v="38"/>
    <n v="45200000"/>
    <x v="2"/>
    <n v="6145.4571999999998"/>
    <x v="15"/>
    <n v="27"/>
    <n v="7"/>
    <s v="2013"/>
    <n v="2"/>
    <x v="0"/>
    <n v="20"/>
    <n v="2.8571428571428572"/>
  </r>
  <r>
    <s v="40"/>
    <x v="39"/>
    <n v="15200000"/>
    <x v="2"/>
    <n v="6134.3501999999999"/>
    <x v="16"/>
    <n v="71"/>
    <n v="1"/>
    <s v="2014"/>
    <n v="1"/>
    <x v="0"/>
    <n v="70"/>
    <n v="70"/>
  </r>
  <r>
    <s v="41"/>
    <x v="40"/>
    <n v="8300000"/>
    <x v="12"/>
    <n v="6055.9447"/>
    <x v="4"/>
    <n v="13"/>
    <n v="2"/>
    <s v="2014"/>
    <n v="1"/>
    <x v="0"/>
    <n v="11"/>
    <n v="5.5"/>
  </r>
  <r>
    <s v="42"/>
    <x v="41"/>
    <n v="6400000"/>
    <x v="12"/>
    <n v="6017.8863000000001"/>
    <x v="12"/>
    <n v="41"/>
    <n v="5"/>
    <s v="2014"/>
    <n v="1"/>
    <x v="0"/>
    <n v="36"/>
    <n v="7.2"/>
  </r>
  <r>
    <s v="43"/>
    <x v="42"/>
    <n v="7000000"/>
    <x v="9"/>
    <n v="5935.6786000000002"/>
    <x v="17"/>
    <n v="15"/>
    <n v="1"/>
    <s v="2014"/>
    <n v="2"/>
    <x v="0"/>
    <n v="14"/>
    <n v="14"/>
  </r>
  <r>
    <s v="44"/>
    <x v="43"/>
    <n v="8800000"/>
    <x v="12"/>
    <n v="5852.2148999999999"/>
    <x v="0"/>
    <n v="40"/>
    <n v="12"/>
    <s v="2014"/>
    <n v="1"/>
    <x v="0"/>
    <n v="28"/>
    <n v="2.3333333333333335"/>
  </r>
  <r>
    <s v="45"/>
    <x v="44"/>
    <n v="6200000"/>
    <x v="9"/>
    <n v="5835.3894"/>
    <x v="15"/>
    <n v="10"/>
    <n v="2"/>
    <s v="2004"/>
    <n v="1"/>
    <x v="0"/>
    <n v="8"/>
    <n v="4"/>
  </r>
  <r>
    <s v="46"/>
    <x v="45"/>
    <n v="16900000"/>
    <x v="12"/>
    <n v="5768.1832999999997"/>
    <x v="9"/>
    <n v="56"/>
    <n v="7"/>
    <s v="2014"/>
    <n v="1"/>
    <x v="0"/>
    <n v="49"/>
    <n v="7"/>
  </r>
  <r>
    <s v="47"/>
    <x v="46"/>
    <n v="6300000"/>
    <x v="4"/>
    <n v="5638.3886000000002"/>
    <x v="18"/>
    <n v="46"/>
    <n v="5"/>
    <s v="2013"/>
    <n v="1"/>
    <x v="0"/>
    <n v="41"/>
    <n v="8.1999999999999993"/>
  </r>
  <r>
    <s v="48"/>
    <x v="47"/>
    <n v="9800000"/>
    <x v="22"/>
    <n v="5638.0311000000002"/>
    <x v="19"/>
    <n v="86"/>
    <n v="3"/>
    <s v="2014"/>
    <n v="1"/>
    <x v="0"/>
    <n v="83"/>
    <n v="27.666666666666668"/>
  </r>
  <r>
    <s v="49"/>
    <x v="48"/>
    <n v="7100000"/>
    <x v="9"/>
    <n v="5634.3140999999996"/>
    <x v="5"/>
    <n v="22"/>
    <n v="6"/>
    <s v="2010"/>
    <n v="1"/>
    <x v="0"/>
    <n v="16"/>
    <n v="2.6666666666666665"/>
  </r>
  <r>
    <s v="50"/>
    <x v="49"/>
    <n v="48500000"/>
    <x v="21"/>
    <n v="5484.3681999999999"/>
    <x v="20"/>
    <n v="500"/>
    <n v="70"/>
    <s v="2012"/>
    <n v="3"/>
    <x v="0"/>
    <n v="430"/>
    <n v="6.1428571428571432"/>
  </r>
  <r>
    <s v="51"/>
    <x v="50"/>
    <n v="25000000"/>
    <x v="12"/>
    <n v="5449.6419999999998"/>
    <x v="7"/>
    <n v="400"/>
    <n v="4"/>
    <s v="2011"/>
    <n v="1"/>
    <x v="0"/>
    <n v="396"/>
    <n v="99"/>
  </r>
  <r>
    <s v="52"/>
    <x v="51"/>
    <n v="42500000"/>
    <x v="16"/>
    <n v="5416.8842000000004"/>
    <x v="9"/>
    <n v="430"/>
    <n v="17"/>
    <s v="2014"/>
    <n v="2"/>
    <x v="0"/>
    <n v="413"/>
    <n v="24.294117647058822"/>
  </r>
  <r>
    <s v="53"/>
    <x v="52"/>
    <n v="23900000"/>
    <x v="2"/>
    <n v="5059.5724"/>
    <x v="21"/>
    <n v="60"/>
    <n v="7"/>
    <s v="2012"/>
    <n v="3"/>
    <x v="0"/>
    <n v="53"/>
    <n v="7.5714285714285712"/>
  </r>
  <r>
    <s v="54"/>
    <x v="53"/>
    <n v="58800000"/>
    <x v="2"/>
    <n v="4978.2687999999998"/>
    <x v="22"/>
    <n v="87"/>
    <n v="20"/>
    <s v="2014"/>
    <n v="2"/>
    <x v="0"/>
    <n v="67"/>
    <n v="3.35"/>
  </r>
  <r>
    <s v="55"/>
    <x v="54"/>
    <n v="5100000"/>
    <x v="23"/>
    <n v="4971.4548999999997"/>
    <x v="23"/>
    <n v="30"/>
    <n v="2"/>
    <s v="2015"/>
    <n v="1"/>
    <x v="0"/>
    <n v="28"/>
    <n v="14"/>
  </r>
  <r>
    <s v="56"/>
    <x v="55"/>
    <n v="8000000"/>
    <x v="24"/>
    <n v="4916.2166999999999"/>
    <x v="3"/>
    <n v="25"/>
    <n v="8"/>
    <s v="2014"/>
    <n v="1"/>
    <x v="0"/>
    <n v="17"/>
    <n v="2.125"/>
  </r>
  <r>
    <s v="57"/>
    <x v="56"/>
    <n v="7800000"/>
    <x v="8"/>
    <n v="4908.4032999999999"/>
    <x v="3"/>
    <n v="7"/>
    <n v="4"/>
    <s v="2013"/>
    <n v="1"/>
    <x v="0"/>
    <n v="3"/>
    <n v="0.75"/>
  </r>
  <r>
    <s v="58"/>
    <x v="57"/>
    <n v="25900000"/>
    <x v="20"/>
    <n v="4899.0268999999998"/>
    <x v="3"/>
    <n v="30"/>
    <n v="6"/>
    <s v="2015"/>
    <n v="1"/>
    <x v="0"/>
    <n v="24"/>
    <n v="4"/>
  </r>
  <r>
    <s v="59"/>
    <x v="58"/>
    <n v="107600000"/>
    <x v="12"/>
    <n v="4838.0226000000002"/>
    <x v="5"/>
    <n v="116"/>
    <n v="70"/>
    <s v="2008"/>
    <n v="2"/>
    <x v="0"/>
    <n v="46"/>
    <n v="0.65714285714285714"/>
  </r>
  <r>
    <s v="60"/>
    <x v="59"/>
    <n v="42400000"/>
    <x v="10"/>
    <n v="4820.2664999999997"/>
    <x v="9"/>
    <n v="254"/>
    <n v="25"/>
    <s v="2012"/>
    <n v="2"/>
    <x v="0"/>
    <n v="229"/>
    <n v="9.16"/>
  </r>
  <r>
    <s v="61"/>
    <x v="60"/>
    <n v="21500000"/>
    <x v="13"/>
    <n v="4730.0523000000003"/>
    <x v="9"/>
    <n v="162"/>
    <n v="21"/>
    <s v="2014"/>
    <n v="1"/>
    <x v="0"/>
    <n v="141"/>
    <n v="6.7142857142857144"/>
  </r>
  <r>
    <s v="62"/>
    <x v="61"/>
    <n v="21000000"/>
    <x v="5"/>
    <n v="4469.2112999999999"/>
    <x v="2"/>
    <n v="8"/>
    <n v="1"/>
    <s v="2012"/>
    <n v="2"/>
    <x v="0"/>
    <n v="7"/>
    <n v="7"/>
  </r>
  <r>
    <s v="63"/>
    <x v="62"/>
    <n v="44600000"/>
    <x v="11"/>
    <n v="4442.2488000000003"/>
    <x v="13"/>
    <n v="100"/>
    <n v="3"/>
    <s v="2007"/>
    <n v="1"/>
    <x v="0"/>
    <n v="97"/>
    <n v="32.333333333333336"/>
  </r>
  <r>
    <s v="64"/>
    <x v="63"/>
    <n v="5800000"/>
    <x v="18"/>
    <n v="4430.1379999999999"/>
    <x v="9"/>
    <n v="28"/>
    <n v="3"/>
    <s v="2014"/>
    <n v="1"/>
    <x v="0"/>
    <n v="25"/>
    <n v="8.3333333333333339"/>
  </r>
  <r>
    <s v="65"/>
    <x v="64"/>
    <n v="89700000"/>
    <x v="7"/>
    <n v="4405.2286000000004"/>
    <x v="7"/>
    <n v="158"/>
    <n v="4"/>
    <s v="2014"/>
    <n v="1"/>
    <x v="0"/>
    <n v="154"/>
    <n v="38.5"/>
  </r>
  <r>
    <s v="66"/>
    <x v="65"/>
    <n v="10700000"/>
    <x v="9"/>
    <n v="4401.8690999999999"/>
    <x v="15"/>
    <n v="40"/>
    <n v="5"/>
    <s v="2015"/>
    <n v="1"/>
    <x v="0"/>
    <n v="35"/>
    <n v="7"/>
  </r>
  <r>
    <s v="67"/>
    <x v="66"/>
    <n v="12800000"/>
    <x v="7"/>
    <n v="4345.7790000000005"/>
    <x v="11"/>
    <n v="64"/>
    <n v="1"/>
    <s v="2007"/>
    <n v="2"/>
    <x v="0"/>
    <n v="63"/>
    <n v="63"/>
  </r>
  <r>
    <s v="68"/>
    <x v="67"/>
    <n v="9000000"/>
    <x v="19"/>
    <n v="4322.5573000000004"/>
    <x v="9"/>
    <n v="63"/>
    <n v="31"/>
    <s v="2013"/>
    <n v="1"/>
    <x v="0"/>
    <n v="32"/>
    <n v="1.032258064516129"/>
  </r>
  <r>
    <s v="69"/>
    <x v="68"/>
    <n v="146300000"/>
    <x v="9"/>
    <n v="4308.7443999999996"/>
    <x v="5"/>
    <n v="380"/>
    <n v="110"/>
    <s v="2012"/>
    <n v="1"/>
    <x v="0"/>
    <n v="270"/>
    <n v="2.4545454545454546"/>
  </r>
  <r>
    <s v="70"/>
    <x v="69"/>
    <n v="14300000"/>
    <x v="9"/>
    <n v="4283.2753000000002"/>
    <x v="2"/>
    <n v="7"/>
    <n v="5"/>
    <s v="2014"/>
    <n v="1"/>
    <x v="0"/>
    <n v="2"/>
    <n v="0.4"/>
  </r>
  <r>
    <s v="71"/>
    <x v="70"/>
    <n v="6200000"/>
    <x v="13"/>
    <n v="4281.4016000000001"/>
    <x v="10"/>
    <n v="13"/>
    <n v="7"/>
    <s v="2014"/>
    <n v="1"/>
    <x v="0"/>
    <n v="6"/>
    <n v="0.8571428571428571"/>
  </r>
  <r>
    <s v="72"/>
    <x v="71"/>
    <n v="4700000"/>
    <x v="2"/>
    <n v="4279.7745999999997"/>
    <x v="3"/>
    <n v="30"/>
    <n v="3"/>
    <s v="2015"/>
    <n v="1"/>
    <x v="0"/>
    <n v="27"/>
    <n v="9"/>
  </r>
  <r>
    <s v="73"/>
    <x v="72"/>
    <n v="20900000"/>
    <x v="18"/>
    <n v="4266.8158000000003"/>
    <x v="9"/>
    <n v="258"/>
    <n v="28"/>
    <s v="2013"/>
    <n v="1"/>
    <x v="0"/>
    <n v="230"/>
    <n v="8.2142857142857135"/>
  </r>
  <r>
    <s v="74"/>
    <x v="73"/>
    <n v="4600000"/>
    <x v="6"/>
    <n v="4246.7510000000002"/>
    <x v="9"/>
    <n v="39"/>
    <n v="1"/>
    <s v="2011"/>
    <n v="3"/>
    <x v="0"/>
    <n v="38"/>
    <n v="38"/>
  </r>
  <r>
    <s v="75"/>
    <x v="74"/>
    <n v="6700000"/>
    <x v="5"/>
    <n v="4233.6743999999999"/>
    <x v="21"/>
    <n v="36"/>
    <n v="2"/>
    <s v="2012"/>
    <n v="1"/>
    <x v="0"/>
    <n v="34"/>
    <n v="17"/>
  </r>
  <r>
    <s v="76"/>
    <x v="75"/>
    <n v="10000000"/>
    <x v="25"/>
    <n v="4207.8615"/>
    <x v="5"/>
    <n v="35"/>
    <n v="2"/>
    <s v="2014"/>
    <n v="1"/>
    <x v="0"/>
    <n v="33"/>
    <n v="16.5"/>
  </r>
  <r>
    <s v="77"/>
    <x v="76"/>
    <n v="8200000"/>
    <x v="4"/>
    <n v="4138.1126000000004"/>
    <x v="1"/>
    <n v="78"/>
    <n v="11"/>
    <s v="2015"/>
    <n v="1"/>
    <x v="0"/>
    <n v="67"/>
    <n v="6.0909090909090908"/>
  </r>
  <r>
    <s v="78"/>
    <x v="77"/>
    <n v="4300000"/>
    <x v="21"/>
    <n v="4090.7424000000001"/>
    <x v="11"/>
    <n v="14"/>
    <n v="1"/>
    <s v="2000"/>
    <n v="1"/>
    <x v="0"/>
    <n v="13"/>
    <n v="13"/>
  </r>
  <r>
    <s v="79"/>
    <x v="78"/>
    <n v="7200000"/>
    <x v="20"/>
    <n v="4089.6556999999998"/>
    <x v="15"/>
    <n v="40"/>
    <n v="6"/>
    <s v="2002"/>
    <n v="1"/>
    <x v="0"/>
    <n v="34"/>
    <n v="5.666666666666667"/>
  </r>
  <r>
    <s v="80"/>
    <x v="79"/>
    <n v="4700000"/>
    <x v="16"/>
    <n v="4088.0160000000001"/>
    <x v="3"/>
    <n v="12"/>
    <n v="2"/>
    <s v="2015"/>
    <n v="1"/>
    <x v="0"/>
    <n v="10"/>
    <n v="5"/>
  </r>
  <r>
    <s v="81"/>
    <x v="80"/>
    <n v="16300000"/>
    <x v="21"/>
    <n v="4035.1824999999999"/>
    <x v="5"/>
    <n v="38"/>
    <n v="8"/>
    <s v="2014"/>
    <n v="1"/>
    <x v="0"/>
    <n v="30"/>
    <n v="3.75"/>
  </r>
  <r>
    <s v="82"/>
    <x v="81"/>
    <n v="54400000"/>
    <x v="26"/>
    <n v="3839.8420000000001"/>
    <x v="1"/>
    <n v="50"/>
    <n v="4"/>
    <s v="2015"/>
    <n v="1"/>
    <x v="0"/>
    <n v="46"/>
    <n v="11.5"/>
  </r>
  <r>
    <s v="83"/>
    <x v="82"/>
    <n v="5100000"/>
    <x v="2"/>
    <n v="3778.5391"/>
    <x v="9"/>
    <n v="50"/>
    <n v="15"/>
    <s v="2012"/>
    <n v="2"/>
    <x v="0"/>
    <n v="35"/>
    <n v="2.3333333333333335"/>
  </r>
  <r>
    <s v="83"/>
    <x v="83"/>
    <n v="25800000"/>
    <x v="9"/>
    <n v="3775.1386000000002"/>
    <x v="15"/>
    <n v="25"/>
    <n v="3"/>
    <s v="2013"/>
    <n v="1"/>
    <x v="0"/>
    <n v="22"/>
    <n v="7.333333333333333"/>
  </r>
  <r>
    <s v="84"/>
    <x v="84"/>
    <n v="9000000"/>
    <x v="16"/>
    <n v="3727.5346"/>
    <x v="0"/>
    <n v="13"/>
    <n v="10"/>
    <s v="2014"/>
    <n v="2"/>
    <x v="0"/>
    <n v="3"/>
    <n v="0.3"/>
  </r>
  <r>
    <s v="85"/>
    <x v="85"/>
    <n v="9000000"/>
    <x v="0"/>
    <n v="3692.3510000000001"/>
    <x v="7"/>
    <n v="19"/>
    <n v="3"/>
    <s v="2015"/>
    <n v="1"/>
    <x v="0"/>
    <n v="16"/>
    <n v="5.333333333333333"/>
  </r>
  <r>
    <s v="86"/>
    <x v="86"/>
    <n v="4500000"/>
    <x v="2"/>
    <n v="3683.6824000000001"/>
    <x v="23"/>
    <n v="463"/>
    <n v="22"/>
    <s v="2015"/>
    <n v="1"/>
    <x v="0"/>
    <n v="441"/>
    <n v="20.045454545454547"/>
  </r>
  <r>
    <s v="87"/>
    <x v="87"/>
    <n v="104100000"/>
    <x v="9"/>
    <n v="3665.0612000000001"/>
    <x v="3"/>
    <n v="1200"/>
    <n v="30"/>
    <s v="2012"/>
    <n v="2"/>
    <x v="0"/>
    <n v="1170"/>
    <n v="39"/>
  </r>
  <r>
    <s v="88"/>
    <x v="88"/>
    <n v="3900000"/>
    <x v="9"/>
    <n v="3623.0563000000002"/>
    <x v="18"/>
    <n v="25"/>
    <n v="3"/>
    <s v="2015"/>
    <n v="1"/>
    <x v="0"/>
    <n v="22"/>
    <n v="7.333333333333333"/>
  </r>
  <r>
    <s v="89"/>
    <x v="89"/>
    <n v="10400000"/>
    <x v="9"/>
    <n v="3534.7662999999998"/>
    <x v="16"/>
    <n v="178"/>
    <n v="11"/>
    <s v="2015"/>
    <n v="2"/>
    <x v="0"/>
    <n v="167"/>
    <n v="15.181818181818182"/>
  </r>
  <r>
    <s v="90"/>
    <x v="90"/>
    <n v="14400000"/>
    <x v="27"/>
    <n v="3531.5913"/>
    <x v="20"/>
    <n v="49"/>
    <n v="4"/>
    <s v="2013"/>
    <n v="2"/>
    <x v="0"/>
    <n v="45"/>
    <n v="11.25"/>
  </r>
  <r>
    <s v="91"/>
    <x v="91"/>
    <n v="6400000"/>
    <x v="7"/>
    <n v="3469.3888999999999"/>
    <x v="11"/>
    <n v="35"/>
    <n v="5"/>
    <s v="2012"/>
    <n v="2"/>
    <x v="0"/>
    <n v="30"/>
    <n v="6"/>
  </r>
  <r>
    <s v="92"/>
    <x v="92"/>
    <n v="4900000"/>
    <x v="14"/>
    <n v="3417.6307999999999"/>
    <x v="5"/>
    <n v="19"/>
    <n v="1"/>
    <s v="2014"/>
    <n v="1"/>
    <x v="0"/>
    <n v="18"/>
    <n v="18"/>
  </r>
  <r>
    <s v="93"/>
    <x v="93"/>
    <n v="6600000"/>
    <x v="20"/>
    <n v="3399.5282000000002"/>
    <x v="4"/>
    <n v="25"/>
    <n v="3"/>
    <s v="2013"/>
    <n v="2"/>
    <x v="0"/>
    <n v="22"/>
    <n v="7.333333333333333"/>
  </r>
  <r>
    <s v="94"/>
    <x v="94"/>
    <n v="7300000"/>
    <x v="12"/>
    <n v="3387.6552000000001"/>
    <x v="6"/>
    <n v="65"/>
    <n v="7"/>
    <s v="2014"/>
    <n v="1"/>
    <x v="0"/>
    <n v="58"/>
    <n v="8.2857142857142865"/>
  </r>
  <r>
    <s v="95"/>
    <x v="95"/>
    <n v="7400000"/>
    <x v="9"/>
    <n v="3371.0279999999998"/>
    <x v="0"/>
    <n v="85"/>
    <n v="1"/>
    <s v="2014"/>
    <n v="1"/>
    <x v="0"/>
    <n v="84"/>
    <n v="84"/>
  </r>
  <r>
    <s v="96"/>
    <x v="96"/>
    <n v="15300000"/>
    <x v="9"/>
    <n v="3357.7037999999998"/>
    <x v="5"/>
    <n v="16"/>
    <n v="8"/>
    <s v="2011"/>
    <n v="1"/>
    <x v="0"/>
    <n v="8"/>
    <n v="1"/>
  </r>
  <r>
    <s v="97"/>
    <x v="97"/>
    <n v="13700000"/>
    <x v="12"/>
    <n v="3350.0091000000002"/>
    <x v="7"/>
    <n v="54"/>
    <n v="10"/>
    <s v="2014"/>
    <n v="1"/>
    <x v="0"/>
    <n v="44"/>
    <n v="4.4000000000000004"/>
  </r>
  <r>
    <s v="98"/>
    <x v="98"/>
    <n v="4800000"/>
    <x v="8"/>
    <n v="3339.6237000000001"/>
    <x v="1"/>
    <n v="35"/>
    <n v="1"/>
    <s v="2014"/>
    <n v="1"/>
    <x v="0"/>
    <n v="34"/>
    <n v="34"/>
  </r>
  <r>
    <s v="99"/>
    <x v="99"/>
    <n v="34200000"/>
    <x v="27"/>
    <n v="3325.7138"/>
    <x v="1"/>
    <n v="450"/>
    <n v="25"/>
    <s v="2014"/>
    <n v="1"/>
    <x v="0"/>
    <n v="425"/>
    <n v="17"/>
  </r>
  <r>
    <s v="100"/>
    <x v="100"/>
    <n v="102900000"/>
    <x v="18"/>
    <n v="3307.1657"/>
    <x v="15"/>
    <n v="585"/>
    <n v="15"/>
    <s v="2015"/>
    <n v="2"/>
    <x v="0"/>
    <n v="570"/>
    <n v="38"/>
  </r>
  <r>
    <s v="101"/>
    <x v="101"/>
    <n v="13900000"/>
    <x v="5"/>
    <n v="3279.2231000000002"/>
    <x v="7"/>
    <n v="50"/>
    <n v="18"/>
    <s v="2014"/>
    <n v="1"/>
    <x v="0"/>
    <n v="32"/>
    <n v="1.7777777777777777"/>
  </r>
  <r>
    <s v="102"/>
    <x v="102"/>
    <n v="9000000"/>
    <x v="6"/>
    <n v="3244.549"/>
    <x v="9"/>
    <n v="86"/>
    <n v="4"/>
    <s v="2015"/>
    <n v="1"/>
    <x v="0"/>
    <n v="82"/>
    <n v="20.5"/>
  </r>
  <r>
    <s v="103"/>
    <x v="103"/>
    <n v="33000000"/>
    <x v="7"/>
    <n v="3215.1140999999998"/>
    <x v="11"/>
    <n v="151"/>
    <n v="24"/>
    <s v="2014"/>
    <n v="1"/>
    <x v="0"/>
    <n v="127"/>
    <n v="5.291666666666667"/>
  </r>
  <r>
    <s v="104"/>
    <x v="104"/>
    <n v="14400000"/>
    <x v="2"/>
    <n v="3210.2557000000002"/>
    <x v="15"/>
    <n v="46"/>
    <n v="1"/>
    <s v="2011"/>
    <n v="1"/>
    <x v="0"/>
    <n v="45"/>
    <n v="45"/>
  </r>
  <r>
    <s v="105"/>
    <x v="105"/>
    <n v="11100000"/>
    <x v="22"/>
    <n v="3205.607"/>
    <x v="9"/>
    <n v="180"/>
    <n v="12"/>
    <s v="2014"/>
    <n v="2"/>
    <x v="0"/>
    <n v="168"/>
    <n v="14"/>
  </r>
  <r>
    <s v="106"/>
    <x v="106"/>
    <n v="3500000"/>
    <x v="9"/>
    <n v="3201.1487999999999"/>
    <x v="23"/>
    <n v="18"/>
    <n v="3"/>
    <s v="2015"/>
    <n v="1"/>
    <x v="0"/>
    <n v="15"/>
    <n v="5"/>
  </r>
  <r>
    <s v="107"/>
    <x v="107"/>
    <n v="3900000"/>
    <x v="12"/>
    <n v="3178.6799000000001"/>
    <x v="23"/>
    <n v="1"/>
    <n v="1"/>
    <s v="2015"/>
    <n v="1"/>
    <x v="1"/>
    <n v="0"/>
    <n v="0"/>
  </r>
  <r>
    <s v="108"/>
    <x v="108"/>
    <n v="7600000"/>
    <x v="13"/>
    <n v="3135.6529"/>
    <x v="9"/>
    <n v="50"/>
    <n v="8"/>
    <s v="2015"/>
    <n v="1"/>
    <x v="0"/>
    <n v="42"/>
    <n v="5.25"/>
  </r>
  <r>
    <s v="109"/>
    <x v="109"/>
    <n v="59300000"/>
    <x v="7"/>
    <n v="3134.4692"/>
    <x v="11"/>
    <n v="145"/>
    <n v="17"/>
    <s v="2008"/>
    <n v="3"/>
    <x v="0"/>
    <n v="128"/>
    <n v="7.5294117647058822"/>
  </r>
  <r>
    <s v="110"/>
    <x v="110"/>
    <n v="4700000"/>
    <x v="27"/>
    <n v="3099.3348000000001"/>
    <x v="4"/>
    <n v="10"/>
    <n v="2"/>
    <s v="2005"/>
    <n v="2"/>
    <x v="0"/>
    <n v="8"/>
    <n v="4"/>
  </r>
  <r>
    <s v="111"/>
    <x v="111"/>
    <n v="7800000"/>
    <x v="5"/>
    <n v="3051.3321999999998"/>
    <x v="11"/>
    <n v="52"/>
    <n v="12"/>
    <s v="2002"/>
    <n v="1"/>
    <x v="0"/>
    <n v="40"/>
    <n v="3.3333333333333335"/>
  </r>
  <r>
    <s v="112"/>
    <x v="112"/>
    <n v="3800000"/>
    <x v="9"/>
    <n v="3050.0025000000001"/>
    <x v="0"/>
    <n v="310"/>
    <n v="30"/>
    <s v="2015"/>
    <n v="1"/>
    <x v="0"/>
    <n v="280"/>
    <n v="9.3333333333333339"/>
  </r>
  <r>
    <s v="113"/>
    <x v="113"/>
    <n v="5100000"/>
    <x v="2"/>
    <n v="3031.4203000000002"/>
    <x v="5"/>
    <n v="15"/>
    <n v="2"/>
    <s v="2015"/>
    <n v="1"/>
    <x v="0"/>
    <n v="13"/>
    <n v="6.5"/>
  </r>
  <r>
    <s v="114"/>
    <x v="114"/>
    <n v="6400000"/>
    <x v="12"/>
    <n v="3026.3532"/>
    <x v="2"/>
    <n v="5"/>
    <n v="3"/>
    <s v="2010"/>
    <n v="1"/>
    <x v="0"/>
    <n v="2"/>
    <n v="0.66666666666666663"/>
  </r>
  <r>
    <s v="115"/>
    <x v="115"/>
    <n v="19000000"/>
    <x v="9"/>
    <n v="3023.1327999999999"/>
    <x v="9"/>
    <n v="191"/>
    <n v="46"/>
    <s v="2013"/>
    <n v="1"/>
    <x v="0"/>
    <n v="145"/>
    <n v="3.152173913043478"/>
  </r>
  <r>
    <s v="116"/>
    <x v="116"/>
    <n v="3300000"/>
    <x v="23"/>
    <n v="2994.2887999999998"/>
    <x v="15"/>
    <n v="40"/>
    <n v="1"/>
    <s v="2015"/>
    <n v="1"/>
    <x v="0"/>
    <n v="39"/>
    <n v="39"/>
  </r>
  <r>
    <s v="117"/>
    <x v="117"/>
    <n v="3100000"/>
    <x v="13"/>
    <n v="2957.3530000000001"/>
    <x v="24"/>
    <n v="30"/>
    <n v="3"/>
    <s v="2015"/>
    <n v="1"/>
    <x v="0"/>
    <n v="27"/>
    <n v="9"/>
  </r>
  <r>
    <s v="118"/>
    <x v="118"/>
    <n v="3700000"/>
    <x v="13"/>
    <n v="2938.5448999999999"/>
    <x v="1"/>
    <n v="15"/>
    <n v="1"/>
    <s v="2014"/>
    <n v="1"/>
    <x v="0"/>
    <n v="14"/>
    <n v="14"/>
  </r>
  <r>
    <s v="119"/>
    <x v="119"/>
    <n v="23600000"/>
    <x v="9"/>
    <n v="2911.1745999999998"/>
    <x v="20"/>
    <n v="740"/>
    <n v="5"/>
    <s v="2013"/>
    <n v="2"/>
    <x v="0"/>
    <n v="735"/>
    <n v="147"/>
  </r>
  <r>
    <s v="120"/>
    <x v="120"/>
    <n v="25800000"/>
    <x v="20"/>
    <n v="2872.1059"/>
    <x v="1"/>
    <n v="37"/>
    <n v="12"/>
    <s v="2012"/>
    <n v="1"/>
    <x v="0"/>
    <n v="25"/>
    <n v="2.0833333333333335"/>
  </r>
  <r>
    <s v="121"/>
    <x v="121"/>
    <n v="12300000"/>
    <x v="13"/>
    <n v="2861.2368999999999"/>
    <x v="7"/>
    <n v="66"/>
    <n v="12"/>
    <s v="2012"/>
    <n v="1"/>
    <x v="0"/>
    <n v="54"/>
    <n v="4.5"/>
  </r>
  <r>
    <s v="122"/>
    <x v="122"/>
    <n v="6600000"/>
    <x v="28"/>
    <n v="2812.6795999999999"/>
    <x v="23"/>
    <n v="60"/>
    <n v="15"/>
    <s v="2014"/>
    <n v="1"/>
    <x v="0"/>
    <n v="45"/>
    <n v="3"/>
  </r>
  <r>
    <s v="123"/>
    <x v="123"/>
    <n v="79000000"/>
    <x v="0"/>
    <n v="2804.9504000000002"/>
    <x v="3"/>
    <n v="196"/>
    <n v="32"/>
    <s v="2014"/>
    <n v="1"/>
    <x v="0"/>
    <n v="164"/>
    <n v="5.125"/>
  </r>
  <r>
    <s v="124"/>
    <x v="124"/>
    <n v="3500000"/>
    <x v="9"/>
    <n v="2795.4056999999998"/>
    <x v="1"/>
    <n v="19"/>
    <n v="7"/>
    <s v="2012"/>
    <n v="1"/>
    <x v="0"/>
    <n v="12"/>
    <n v="1.7142857142857142"/>
  </r>
  <r>
    <s v="125"/>
    <x v="125"/>
    <n v="38800000"/>
    <x v="9"/>
    <n v="2781.5682000000002"/>
    <x v="5"/>
    <n v="375"/>
    <n v="75"/>
    <s v="2014"/>
    <n v="1"/>
    <x v="0"/>
    <n v="300"/>
    <n v="4"/>
  </r>
  <r>
    <s v="126"/>
    <x v="126"/>
    <n v="4700000"/>
    <x v="5"/>
    <n v="2773.5884000000001"/>
    <x v="23"/>
    <n v="25"/>
    <n v="5"/>
    <s v="2015"/>
    <n v="1"/>
    <x v="0"/>
    <n v="20"/>
    <n v="4"/>
  </r>
  <r>
    <s v="127"/>
    <x v="127"/>
    <n v="3200000"/>
    <x v="8"/>
    <n v="2742.6432"/>
    <x v="5"/>
    <n v="8"/>
    <n v="1"/>
    <s v="2015"/>
    <n v="1"/>
    <x v="0"/>
    <n v="7"/>
    <n v="7"/>
  </r>
  <r>
    <s v="128"/>
    <x v="128"/>
    <n v="3200000"/>
    <x v="5"/>
    <n v="2729.3507"/>
    <x v="23"/>
    <n v="20"/>
    <n v="4"/>
    <s v="2014"/>
    <n v="1"/>
    <x v="0"/>
    <n v="16"/>
    <n v="4"/>
  </r>
  <r>
    <s v="129"/>
    <x v="129"/>
    <n v="30000000"/>
    <x v="7"/>
    <n v="2728.9886000000001"/>
    <x v="6"/>
    <n v="125"/>
    <n v="8"/>
    <s v="2015"/>
    <n v="1"/>
    <x v="0"/>
    <n v="117"/>
    <n v="14.625"/>
  </r>
  <r>
    <s v="130"/>
    <x v="130"/>
    <n v="3100000"/>
    <x v="27"/>
    <n v="2704.9665"/>
    <x v="13"/>
    <n v="5"/>
    <n v="1"/>
    <s v="2015"/>
    <n v="1"/>
    <x v="0"/>
    <n v="4"/>
    <n v="4"/>
  </r>
  <r>
    <s v="131"/>
    <x v="131"/>
    <n v="6700000"/>
    <x v="13"/>
    <n v="2696.6318999999999"/>
    <x v="23"/>
    <n v="98"/>
    <n v="12"/>
    <s v="2013"/>
    <n v="1"/>
    <x v="0"/>
    <n v="86"/>
    <n v="7.166666666666667"/>
  </r>
  <r>
    <s v="132"/>
    <x v="132"/>
    <n v="84800000"/>
    <x v="0"/>
    <n v="2694.3301999999999"/>
    <x v="5"/>
    <n v="941"/>
    <n v="51"/>
    <s v="2014"/>
    <n v="1"/>
    <x v="0"/>
    <n v="890"/>
    <n v="17.450980392156861"/>
  </r>
  <r>
    <s v="133"/>
    <x v="133"/>
    <n v="12400000"/>
    <x v="12"/>
    <n v="2689.6147999999998"/>
    <x v="3"/>
    <n v="11"/>
    <n v="2"/>
    <s v="2015"/>
    <n v="1"/>
    <x v="0"/>
    <n v="9"/>
    <n v="4.5"/>
  </r>
  <r>
    <s v="134"/>
    <x v="134"/>
    <n v="38800000"/>
    <x v="9"/>
    <n v="2678.5391"/>
    <x v="18"/>
    <n v="274"/>
    <n v="54"/>
    <s v="2013"/>
    <n v="2"/>
    <x v="0"/>
    <n v="220"/>
    <n v="4.0740740740740744"/>
  </r>
  <r>
    <s v="135"/>
    <x v="135"/>
    <n v="4000000"/>
    <x v="4"/>
    <n v="2668.0059000000001"/>
    <x v="9"/>
    <n v="21"/>
    <n v="5"/>
    <s v="2015"/>
    <n v="1"/>
    <x v="0"/>
    <n v="16"/>
    <n v="3.2"/>
  </r>
  <r>
    <s v="136"/>
    <x v="136"/>
    <n v="5400000"/>
    <x v="2"/>
    <n v="2657.4126999999999"/>
    <x v="5"/>
    <n v="6"/>
    <n v="2"/>
    <s v="2015"/>
    <n v="1"/>
    <x v="0"/>
    <n v="4"/>
    <n v="2"/>
  </r>
  <r>
    <s v="137"/>
    <x v="137"/>
    <n v="6500000"/>
    <x v="12"/>
    <n v="2635.922"/>
    <x v="3"/>
    <n v="6"/>
    <n v="2"/>
    <s v="2014"/>
    <n v="1"/>
    <x v="0"/>
    <n v="4"/>
    <n v="2"/>
  </r>
  <r>
    <s v="138"/>
    <x v="138"/>
    <n v="9800000"/>
    <x v="12"/>
    <n v="2633.9524999999999"/>
    <x v="16"/>
    <n v="176"/>
    <n v="10"/>
    <s v="2014"/>
    <n v="1"/>
    <x v="0"/>
    <n v="166"/>
    <n v="16.600000000000001"/>
  </r>
  <r>
    <s v="139"/>
    <x v="139"/>
    <n v="20400000"/>
    <x v="6"/>
    <n v="2623.9495000000002"/>
    <x v="8"/>
    <n v="10"/>
    <n v="2"/>
    <s v="2013"/>
    <n v="2"/>
    <x v="0"/>
    <n v="8"/>
    <n v="4"/>
  </r>
  <r>
    <s v="140"/>
    <x v="140"/>
    <n v="3100000"/>
    <x v="12"/>
    <n v="2620.7597999999998"/>
    <x v="3"/>
    <n v="4"/>
    <n v="2"/>
    <s v="2015"/>
    <n v="1"/>
    <x v="0"/>
    <n v="2"/>
    <n v="1"/>
  </r>
  <r>
    <s v="141"/>
    <x v="141"/>
    <n v="7100000"/>
    <x v="2"/>
    <n v="2618.0194999999999"/>
    <x v="11"/>
    <n v="12"/>
    <n v="3"/>
    <s v="2014"/>
    <n v="1"/>
    <x v="0"/>
    <n v="9"/>
    <n v="3"/>
  </r>
  <r>
    <s v="142"/>
    <x v="142"/>
    <n v="101100000"/>
    <x v="9"/>
    <n v="2603.3870999999999"/>
    <x v="10"/>
    <n v="358"/>
    <n v="84"/>
    <s v="2013"/>
    <n v="2"/>
    <x v="0"/>
    <n v="274"/>
    <n v="3.2619047619047619"/>
  </r>
  <r>
    <s v="143"/>
    <x v="143"/>
    <n v="25100000"/>
    <x v="7"/>
    <n v="2596.3186000000001"/>
    <x v="11"/>
    <n v="145"/>
    <n v="1"/>
    <s v="2010"/>
    <n v="2"/>
    <x v="0"/>
    <n v="144"/>
    <n v="144"/>
  </r>
  <r>
    <s v="144"/>
    <x v="144"/>
    <n v="4700000"/>
    <x v="1"/>
    <n v="2578.6271999999999"/>
    <x v="23"/>
    <n v="4"/>
    <n v="2"/>
    <s v="2014"/>
    <n v="1"/>
    <x v="0"/>
    <n v="2"/>
    <n v="1"/>
  </r>
  <r>
    <s v="145"/>
    <x v="145"/>
    <n v="3500000"/>
    <x v="21"/>
    <n v="2564.3741"/>
    <x v="15"/>
    <n v="16"/>
    <n v="2"/>
    <s v="2013"/>
    <n v="1"/>
    <x v="0"/>
    <n v="14"/>
    <n v="7"/>
  </r>
  <r>
    <s v="146"/>
    <x v="146"/>
    <n v="5400000"/>
    <x v="7"/>
    <n v="2555.6570000000002"/>
    <x v="11"/>
    <n v="57"/>
    <n v="1"/>
    <s v="2010"/>
    <n v="2"/>
    <x v="0"/>
    <n v="56"/>
    <n v="56"/>
  </r>
  <r>
    <s v="147"/>
    <x v="147"/>
    <n v="9200000"/>
    <x v="26"/>
    <n v="2540.4144999999999"/>
    <x v="1"/>
    <n v="18"/>
    <n v="1"/>
    <s v="1999"/>
    <n v="1"/>
    <x v="0"/>
    <n v="17"/>
    <n v="17"/>
  </r>
  <r>
    <s v="148"/>
    <x v="148"/>
    <n v="18500000"/>
    <x v="29"/>
    <n v="2525.5636"/>
    <x v="6"/>
    <n v="36"/>
    <n v="3"/>
    <s v="2012"/>
    <n v="2"/>
    <x v="0"/>
    <n v="33"/>
    <n v="11"/>
  </r>
  <r>
    <s v="149"/>
    <x v="149"/>
    <n v="2800000"/>
    <x v="27"/>
    <n v="2514.3020999999999"/>
    <x v="0"/>
    <n v="12"/>
    <n v="2"/>
    <s v="2015"/>
    <n v="1"/>
    <x v="0"/>
    <n v="10"/>
    <n v="5"/>
  </r>
  <r>
    <s v="150"/>
    <x v="150"/>
    <n v="5500000"/>
    <x v="30"/>
    <n v="2506.9261999999999"/>
    <x v="7"/>
    <n v="55"/>
    <n v="1"/>
    <s v="2006"/>
    <n v="2"/>
    <x v="0"/>
    <n v="54"/>
    <n v="54"/>
  </r>
  <r>
    <s v="151"/>
    <x v="151"/>
    <n v="4400000"/>
    <x v="9"/>
    <n v="2482.3452000000002"/>
    <x v="9"/>
    <n v="55"/>
    <n v="6"/>
    <s v="2014"/>
    <n v="1"/>
    <x v="0"/>
    <n v="49"/>
    <n v="8.1666666666666661"/>
  </r>
  <r>
    <s v="152"/>
    <x v="152"/>
    <n v="21800000"/>
    <x v="5"/>
    <n v="2482.1293000000001"/>
    <x v="15"/>
    <n v="71"/>
    <n v="21"/>
    <s v="2015"/>
    <n v="1"/>
    <x v="0"/>
    <n v="50"/>
    <n v="2.3809523809523809"/>
  </r>
  <r>
    <s v="153"/>
    <x v="153"/>
    <n v="4400000"/>
    <x v="31"/>
    <n v="2474.5437000000002"/>
    <x v="9"/>
    <n v="48"/>
    <n v="20"/>
    <s v="2011"/>
    <n v="1"/>
    <x v="0"/>
    <n v="28"/>
    <n v="1.4"/>
  </r>
  <r>
    <s v="154"/>
    <x v="154"/>
    <n v="28400000"/>
    <x v="5"/>
    <n v="2470.116"/>
    <x v="1"/>
    <n v="350"/>
    <n v="30"/>
    <s v="2014"/>
    <n v="2"/>
    <x v="0"/>
    <n v="320"/>
    <n v="10.666666666666666"/>
  </r>
  <r>
    <s v="155"/>
    <x v="155"/>
    <n v="4000000"/>
    <x v="9"/>
    <n v="2465.5724"/>
    <x v="0"/>
    <n v="5"/>
    <n v="1"/>
    <s v="2013"/>
    <n v="1"/>
    <x v="0"/>
    <n v="4"/>
    <n v="4"/>
  </r>
  <r>
    <s v="156"/>
    <x v="156"/>
    <n v="13600000"/>
    <x v="24"/>
    <n v="2417.9715000000001"/>
    <x v="9"/>
    <n v="58"/>
    <n v="5"/>
    <s v="2015"/>
    <n v="1"/>
    <x v="0"/>
    <n v="53"/>
    <n v="10.6"/>
  </r>
  <r>
    <s v="157"/>
    <x v="157"/>
    <n v="3000000"/>
    <x v="9"/>
    <n v="2415.7359000000001"/>
    <x v="11"/>
    <n v="42"/>
    <n v="5"/>
    <s v="2005"/>
    <n v="2"/>
    <x v="0"/>
    <n v="37"/>
    <n v="7.4"/>
  </r>
  <r>
    <s v="158"/>
    <x v="158"/>
    <n v="20600000"/>
    <x v="12"/>
    <n v="2412.1028999999999"/>
    <x v="20"/>
    <n v="545"/>
    <n v="166"/>
    <s v="2009"/>
    <n v="8"/>
    <x v="0"/>
    <n v="379"/>
    <n v="2.2831325301204819"/>
  </r>
  <r>
    <s v="159"/>
    <x v="159"/>
    <n v="3000000"/>
    <x v="18"/>
    <n v="2391.8562999999999"/>
    <x v="3"/>
    <n v="15"/>
    <n v="3"/>
    <s v="2014"/>
    <n v="1"/>
    <x v="0"/>
    <n v="12"/>
    <n v="4"/>
  </r>
  <r>
    <s v="160"/>
    <x v="160"/>
    <n v="4900000"/>
    <x v="19"/>
    <n v="2383.9486000000002"/>
    <x v="13"/>
    <n v="36"/>
    <n v="5"/>
    <s v="2014"/>
    <n v="1"/>
    <x v="0"/>
    <n v="31"/>
    <n v="6.2"/>
  </r>
  <r>
    <s v="161"/>
    <x v="161"/>
    <n v="72300000"/>
    <x v="5"/>
    <n v="2370.3591000000001"/>
    <x v="18"/>
    <n v="650"/>
    <n v="200"/>
    <s v="2010"/>
    <n v="4"/>
    <x v="0"/>
    <n v="450"/>
    <n v="2.25"/>
  </r>
  <r>
    <s v="162"/>
    <x v="162"/>
    <n v="13300000"/>
    <x v="2"/>
    <n v="2358.2483000000002"/>
    <x v="10"/>
    <n v="8"/>
    <n v="2"/>
    <s v="2015"/>
    <n v="1"/>
    <x v="0"/>
    <n v="6"/>
    <n v="3"/>
  </r>
  <r>
    <s v="163"/>
    <x v="163"/>
    <n v="2500000"/>
    <x v="5"/>
    <n v="2356.7775999999999"/>
    <x v="9"/>
    <n v="60"/>
    <n v="25"/>
    <s v="2013"/>
    <n v="1"/>
    <x v="0"/>
    <n v="35"/>
    <n v="1.4"/>
  </r>
  <r>
    <s v="164"/>
    <x v="164"/>
    <n v="15900000"/>
    <x v="21"/>
    <n v="2354.4234999999999"/>
    <x v="19"/>
    <n v="100"/>
    <n v="6"/>
    <s v="2011"/>
    <n v="1"/>
    <x v="0"/>
    <n v="94"/>
    <n v="15.666666666666666"/>
  </r>
  <r>
    <s v="165"/>
    <x v="165"/>
    <n v="100800000"/>
    <x v="12"/>
    <n v="2345.0086000000001"/>
    <x v="3"/>
    <n v="63"/>
    <n v="11"/>
    <s v="2013"/>
    <n v="2"/>
    <x v="0"/>
    <n v="52"/>
    <n v="4.7272727272727275"/>
  </r>
  <r>
    <s v="166"/>
    <x v="166"/>
    <n v="3000000"/>
    <x v="20"/>
    <n v="2339.9301999999998"/>
    <x v="3"/>
    <n v="12"/>
    <n v="3"/>
    <s v="2013"/>
    <n v="1"/>
    <x v="0"/>
    <n v="9"/>
    <n v="3"/>
  </r>
  <r>
    <s v="167"/>
    <x v="167"/>
    <n v="15500000"/>
    <x v="5"/>
    <n v="2313.8368999999998"/>
    <x v="5"/>
    <n v="40"/>
    <n v="8"/>
    <s v="2013"/>
    <n v="1"/>
    <x v="0"/>
    <n v="32"/>
    <n v="4"/>
  </r>
  <r>
    <s v="168"/>
    <x v="168"/>
    <n v="53100000"/>
    <x v="21"/>
    <n v="2305.0499"/>
    <x v="11"/>
    <n v="199"/>
    <n v="2"/>
    <s v="2014"/>
    <n v="1"/>
    <x v="0"/>
    <n v="197"/>
    <n v="98.5"/>
  </r>
  <r>
    <s v="169"/>
    <x v="169"/>
    <n v="3100000"/>
    <x v="2"/>
    <n v="2276.0888"/>
    <x v="9"/>
    <n v="36"/>
    <n v="7"/>
    <s v="2014"/>
    <n v="1"/>
    <x v="0"/>
    <n v="29"/>
    <n v="4.1428571428571432"/>
  </r>
  <r>
    <s v="170"/>
    <x v="170"/>
    <n v="6400000"/>
    <x v="32"/>
    <n v="2274.4095000000002"/>
    <x v="0"/>
    <n v="90"/>
    <n v="6"/>
    <s v="2014"/>
    <n v="2"/>
    <x v="0"/>
    <n v="84"/>
    <n v="14"/>
  </r>
  <r>
    <s v="171"/>
    <x v="171"/>
    <n v="3000000"/>
    <x v="24"/>
    <n v="2262.8640999999998"/>
    <x v="0"/>
    <n v="30"/>
    <n v="3"/>
    <s v="2012"/>
    <n v="1"/>
    <x v="0"/>
    <n v="27"/>
    <n v="9"/>
  </r>
  <r>
    <s v="172"/>
    <x v="172"/>
    <n v="5700000"/>
    <x v="33"/>
    <n v="2248.4713000000002"/>
    <x v="3"/>
    <n v="8"/>
    <n v="3"/>
    <s v="2015"/>
    <n v="1"/>
    <x v="0"/>
    <n v="5"/>
    <n v="1.6666666666666667"/>
  </r>
  <r>
    <s v="173"/>
    <x v="173"/>
    <n v="17400000"/>
    <x v="2"/>
    <n v="2240.0028000000002"/>
    <x v="0"/>
    <n v="48"/>
    <n v="2"/>
    <s v="2014"/>
    <n v="2"/>
    <x v="0"/>
    <n v="46"/>
    <n v="23"/>
  </r>
  <r>
    <s v="174"/>
    <x v="174"/>
    <n v="2600000"/>
    <x v="27"/>
    <n v="2235.9439000000002"/>
    <x v="23"/>
    <n v="30"/>
    <n v="8"/>
    <s v="2015"/>
    <n v="1"/>
    <x v="0"/>
    <n v="22"/>
    <n v="2.75"/>
  </r>
  <r>
    <s v="175"/>
    <x v="175"/>
    <n v="14200000"/>
    <x v="0"/>
    <n v="2233.8330999999998"/>
    <x v="9"/>
    <n v="105"/>
    <n v="25"/>
    <s v="2011"/>
    <n v="3"/>
    <x v="0"/>
    <n v="80"/>
    <n v="3.2"/>
  </r>
  <r>
    <s v="176"/>
    <x v="176"/>
    <n v="12000000"/>
    <x v="12"/>
    <n v="2230.9276"/>
    <x v="21"/>
    <n v="80"/>
    <n v="40"/>
    <s v="2015"/>
    <n v="1"/>
    <x v="0"/>
    <n v="40"/>
    <n v="1"/>
  </r>
  <r>
    <s v="177"/>
    <x v="177"/>
    <n v="3300000"/>
    <x v="12"/>
    <n v="2205.1824000000001"/>
    <x v="0"/>
    <n v="9"/>
    <n v="2"/>
    <s v="2015"/>
    <n v="1"/>
    <x v="0"/>
    <n v="7"/>
    <n v="3.5"/>
  </r>
  <r>
    <s v="178"/>
    <x v="178"/>
    <n v="7000000"/>
    <x v="9"/>
    <n v="2171.9647"/>
    <x v="3"/>
    <n v="18"/>
    <n v="5"/>
    <s v="2011"/>
    <n v="1"/>
    <x v="0"/>
    <n v="13"/>
    <n v="2.6"/>
  </r>
  <r>
    <s v="179"/>
    <x v="179"/>
    <n v="9900000"/>
    <x v="5"/>
    <n v="2155.4069"/>
    <x v="10"/>
    <n v="50"/>
    <n v="10"/>
    <s v="2011"/>
    <n v="1"/>
    <x v="0"/>
    <n v="40"/>
    <n v="4"/>
  </r>
  <r>
    <s v="180"/>
    <x v="180"/>
    <n v="10300000"/>
    <x v="27"/>
    <n v="2142.2694999999999"/>
    <x v="13"/>
    <n v="13"/>
    <n v="3"/>
    <s v="2014"/>
    <n v="1"/>
    <x v="0"/>
    <n v="10"/>
    <n v="3.3333333333333335"/>
  </r>
  <r>
    <s v="181"/>
    <x v="181"/>
    <n v="3100000"/>
    <x v="15"/>
    <n v="2142.0754000000002"/>
    <x v="0"/>
    <n v="41"/>
    <n v="1"/>
    <s v="2007"/>
    <n v="1"/>
    <x v="0"/>
    <n v="40"/>
    <n v="40"/>
  </r>
  <r>
    <s v="182"/>
    <x v="182"/>
    <n v="4600000"/>
    <x v="1"/>
    <n v="2138.2033999999999"/>
    <x v="19"/>
    <n v="55"/>
    <n v="20"/>
    <s v="2014"/>
    <n v="1"/>
    <x v="0"/>
    <n v="35"/>
    <n v="1.75"/>
  </r>
  <r>
    <s v="183"/>
    <x v="183"/>
    <n v="12800000"/>
    <x v="11"/>
    <n v="2122.6612"/>
    <x v="9"/>
    <n v="100"/>
    <n v="15"/>
    <s v="2004"/>
    <n v="2"/>
    <x v="0"/>
    <n v="85"/>
    <n v="5.666666666666667"/>
  </r>
  <r>
    <s v="184"/>
    <x v="184"/>
    <n v="2700000"/>
    <x v="13"/>
    <n v="2116.4110000000001"/>
    <x v="5"/>
    <n v="64"/>
    <n v="12"/>
    <s v="2015"/>
    <n v="1"/>
    <x v="0"/>
    <n v="52"/>
    <n v="4.333333333333333"/>
  </r>
  <r>
    <s v="185"/>
    <x v="185"/>
    <n v="85800000"/>
    <x v="10"/>
    <n v="2112.1974"/>
    <x v="23"/>
    <n v="103"/>
    <n v="3"/>
    <s v="2014"/>
    <n v="2"/>
    <x v="0"/>
    <n v="100"/>
    <n v="33.333333333333336"/>
  </r>
  <r>
    <s v="186"/>
    <x v="186"/>
    <n v="5400000"/>
    <x v="7"/>
    <n v="2107.0365000000002"/>
    <x v="15"/>
    <n v="23"/>
    <n v="1"/>
    <s v="2015"/>
    <n v="1"/>
    <x v="0"/>
    <n v="22"/>
    <n v="22"/>
  </r>
  <r>
    <s v="187"/>
    <x v="187"/>
    <n v="8200000"/>
    <x v="9"/>
    <n v="2100.9602"/>
    <x v="2"/>
    <n v="15"/>
    <n v="1"/>
    <s v="2013"/>
    <n v="1"/>
    <x v="0"/>
    <n v="14"/>
    <n v="14"/>
  </r>
  <r>
    <s v="188"/>
    <x v="188"/>
    <n v="6900000"/>
    <x v="13"/>
    <n v="2099.2096999999999"/>
    <x v="2"/>
    <n v="142"/>
    <n v="6"/>
    <s v="2015"/>
    <n v="1"/>
    <x v="0"/>
    <n v="136"/>
    <n v="22.666666666666668"/>
  </r>
  <r>
    <s v="189"/>
    <x v="189"/>
    <n v="7200000"/>
    <x v="30"/>
    <n v="2097.5284999999999"/>
    <x v="4"/>
    <n v="18"/>
    <n v="3"/>
    <s v="2013"/>
    <n v="2"/>
    <x v="0"/>
    <n v="15"/>
    <n v="5"/>
  </r>
  <r>
    <s v="190"/>
    <x v="190"/>
    <n v="12700000"/>
    <x v="6"/>
    <n v="2095.6151"/>
    <x v="2"/>
    <n v="28"/>
    <n v="2"/>
    <s v="2014"/>
    <n v="1"/>
    <x v="0"/>
    <n v="26"/>
    <n v="13"/>
  </r>
  <r>
    <s v="191"/>
    <x v="191"/>
    <n v="4100000"/>
    <x v="13"/>
    <n v="2081.8944999999999"/>
    <x v="13"/>
    <n v="14"/>
    <n v="1"/>
    <s v="2015"/>
    <n v="1"/>
    <x v="0"/>
    <n v="13"/>
    <n v="13"/>
  </r>
  <r>
    <s v="192"/>
    <x v="192"/>
    <n v="24700000"/>
    <x v="7"/>
    <n v="2077.0156000000002"/>
    <x v="11"/>
    <n v="350"/>
    <n v="35"/>
    <s v="1995"/>
    <n v="4"/>
    <x v="0"/>
    <n v="315"/>
    <n v="9"/>
  </r>
  <r>
    <s v="193"/>
    <x v="193"/>
    <n v="4500000"/>
    <x v="21"/>
    <n v="2076.8838999999998"/>
    <x v="11"/>
    <n v="10"/>
    <n v="2"/>
    <s v="2009"/>
    <n v="1"/>
    <x v="0"/>
    <n v="8"/>
    <n v="4"/>
  </r>
  <r>
    <s v="194"/>
    <x v="194"/>
    <n v="32900000"/>
    <x v="5"/>
    <n v="2068.4929000000002"/>
    <x v="1"/>
    <n v="45"/>
    <n v="4"/>
    <s v="2014"/>
    <n v="1"/>
    <x v="0"/>
    <n v="41"/>
    <n v="10.25"/>
  </r>
  <r>
    <s v="195"/>
    <x v="195"/>
    <n v="2200000"/>
    <x v="9"/>
    <n v="2047.1978999999999"/>
    <x v="10"/>
    <n v="10"/>
    <n v="2"/>
    <s v="2014"/>
    <n v="1"/>
    <x v="0"/>
    <n v="8"/>
    <n v="4"/>
  </r>
  <r>
    <s v="196"/>
    <x v="196"/>
    <n v="3600000"/>
    <x v="9"/>
    <n v="2037.4483"/>
    <x v="12"/>
    <n v="62"/>
    <n v="5"/>
    <s v="2014"/>
    <n v="1"/>
    <x v="0"/>
    <n v="57"/>
    <n v="11.4"/>
  </r>
  <r>
    <s v="197"/>
    <x v="197"/>
    <n v="20800000"/>
    <x v="21"/>
    <n v="2037.0893000000001"/>
    <x v="11"/>
    <n v="60"/>
    <n v="10"/>
    <s v="2012"/>
    <n v="3"/>
    <x v="0"/>
    <n v="50"/>
    <n v="5"/>
  </r>
  <r>
    <s v="198"/>
    <x v="198"/>
    <n v="3600000"/>
    <x v="16"/>
    <n v="2029.6605999999999"/>
    <x v="9"/>
    <n v="18"/>
    <n v="4"/>
    <s v="2013"/>
    <n v="1"/>
    <x v="0"/>
    <n v="14"/>
    <n v="3.5"/>
  </r>
  <r>
    <s v="199"/>
    <x v="199"/>
    <n v="14300000"/>
    <x v="34"/>
    <n v="2026.9981"/>
    <x v="0"/>
    <n v="30"/>
    <n v="1"/>
    <s v="2015"/>
    <n v="1"/>
    <x v="0"/>
    <n v="29"/>
    <n v="29"/>
  </r>
  <r>
    <s v="200"/>
    <x v="200"/>
    <n v="4000000"/>
    <x v="9"/>
    <n v="2018.2299"/>
    <x v="9"/>
    <n v="23"/>
    <n v="8"/>
    <s v="2014"/>
    <n v="2"/>
    <x v="0"/>
    <n v="15"/>
    <n v="1.875"/>
  </r>
  <r>
    <s v="201"/>
    <x v="201"/>
    <n v="138400000"/>
    <x v="32"/>
    <n v="2013.4739999999999"/>
    <x v="0"/>
    <n v="102"/>
    <n v="27"/>
    <s v="2005"/>
    <n v="1"/>
    <x v="0"/>
    <n v="75"/>
    <n v="2.7777777777777777"/>
  </r>
  <r>
    <s v="202"/>
    <x v="202"/>
    <n v="40500000"/>
    <x v="27"/>
    <n v="2007.0455999999999"/>
    <x v="23"/>
    <n v="2330"/>
    <n v="220"/>
    <s v="2015"/>
    <n v="1"/>
    <x v="0"/>
    <n v="2110"/>
    <n v="9.5909090909090917"/>
  </r>
  <r>
    <s v="203"/>
    <x v="203"/>
    <n v="2300000"/>
    <x v="9"/>
    <n v="2004.3858"/>
    <x v="6"/>
    <n v="5"/>
    <n v="2"/>
    <s v="2013"/>
    <n v="1"/>
    <x v="0"/>
    <n v="3"/>
    <n v="1.5"/>
  </r>
  <r>
    <s v="204"/>
    <x v="204"/>
    <n v="2200000"/>
    <x v="9"/>
    <n v="1996.5182"/>
    <x v="15"/>
    <n v="5"/>
    <n v="1"/>
    <s v="2014"/>
    <n v="1"/>
    <x v="0"/>
    <n v="4"/>
    <n v="4"/>
  </r>
  <r>
    <s v="205"/>
    <x v="205"/>
    <n v="37500000"/>
    <x v="5"/>
    <n v="1987.4327000000001"/>
    <x v="3"/>
    <n v="25"/>
    <n v="3"/>
    <s v="2014"/>
    <n v="1"/>
    <x v="0"/>
    <n v="22"/>
    <n v="7.333333333333333"/>
  </r>
  <r>
    <s v="206"/>
    <x v="206"/>
    <n v="5100000"/>
    <x v="5"/>
    <n v="1972.0256999999999"/>
    <x v="13"/>
    <n v="29"/>
    <n v="3"/>
    <s v="2011"/>
    <n v="2"/>
    <x v="0"/>
    <n v="26"/>
    <n v="8.6666666666666661"/>
  </r>
  <r>
    <s v="207"/>
    <x v="207"/>
    <n v="113500000"/>
    <x v="35"/>
    <n v="1967.9181000000001"/>
    <x v="12"/>
    <n v="250"/>
    <n v="50"/>
    <s v="2013"/>
    <n v="2"/>
    <x v="0"/>
    <n v="200"/>
    <n v="4"/>
  </r>
  <r>
    <s v="208"/>
    <x v="208"/>
    <n v="3900000"/>
    <x v="5"/>
    <n v="1963.2293"/>
    <x v="0"/>
    <n v="23"/>
    <n v="5"/>
    <s v="2014"/>
    <n v="1"/>
    <x v="0"/>
    <n v="18"/>
    <n v="3.6"/>
  </r>
  <r>
    <s v="209"/>
    <x v="209"/>
    <n v="22300000"/>
    <x v="1"/>
    <n v="1952.8258000000001"/>
    <x v="0"/>
    <n v="42"/>
    <n v="14"/>
    <s v="2011"/>
    <n v="1"/>
    <x v="0"/>
    <n v="28"/>
    <n v="2"/>
  </r>
  <r>
    <s v="210"/>
    <x v="210"/>
    <n v="3600000"/>
    <x v="32"/>
    <n v="1944.0214000000001"/>
    <x v="15"/>
    <n v="28"/>
    <n v="4"/>
    <s v="2015"/>
    <n v="1"/>
    <x v="0"/>
    <n v="24"/>
    <n v="6"/>
  </r>
  <r>
    <s v="211"/>
    <x v="211"/>
    <n v="4400000"/>
    <x v="36"/>
    <n v="1939.8376000000001"/>
    <x v="24"/>
    <n v="8"/>
    <n v="1"/>
    <s v="2015"/>
    <n v="1"/>
    <x v="0"/>
    <n v="7"/>
    <n v="7"/>
  </r>
  <r>
    <s v="212"/>
    <x v="212"/>
    <n v="61100000"/>
    <x v="12"/>
    <n v="1938.0352"/>
    <x v="5"/>
    <n v="1246"/>
    <n v="105"/>
    <s v="2008"/>
    <n v="1"/>
    <x v="0"/>
    <n v="1141"/>
    <n v="10.866666666666667"/>
  </r>
  <r>
    <s v="213"/>
    <x v="213"/>
    <n v="2700000"/>
    <x v="9"/>
    <n v="1924.2817"/>
    <x v="25"/>
    <n v="30"/>
    <n v="6"/>
    <s v="2009"/>
    <n v="2"/>
    <x v="0"/>
    <n v="24"/>
    <n v="4"/>
  </r>
  <r>
    <s v="214"/>
    <x v="214"/>
    <n v="4100000"/>
    <x v="5"/>
    <n v="1918.6756"/>
    <x v="23"/>
    <n v="14"/>
    <n v="2"/>
    <s v="2014"/>
    <n v="1"/>
    <x v="0"/>
    <n v="12"/>
    <n v="6"/>
  </r>
  <r>
    <s v="215"/>
    <x v="215"/>
    <n v="161800000"/>
    <x v="6"/>
    <n v="1917.0019"/>
    <x v="10"/>
    <n v="1160"/>
    <n v="40"/>
    <s v="2009"/>
    <n v="4"/>
    <x v="0"/>
    <n v="1120"/>
    <n v="28"/>
  </r>
  <r>
    <s v="216"/>
    <x v="216"/>
    <n v="31500000"/>
    <x v="34"/>
    <n v="1915.1007"/>
    <x v="9"/>
    <n v="54"/>
    <n v="21"/>
    <s v="2011"/>
    <n v="2"/>
    <x v="0"/>
    <n v="33"/>
    <n v="1.5714285714285714"/>
  </r>
  <r>
    <s v="217"/>
    <x v="217"/>
    <n v="4500000"/>
    <x v="5"/>
    <n v="1914.7356"/>
    <x v="7"/>
    <n v="75"/>
    <n v="5"/>
    <s v="2014"/>
    <n v="1"/>
    <x v="0"/>
    <n v="70"/>
    <n v="14"/>
  </r>
  <r>
    <s v="218"/>
    <x v="218"/>
    <n v="3500000"/>
    <x v="9"/>
    <n v="1905.462"/>
    <x v="20"/>
    <n v="8"/>
    <n v="3"/>
    <s v="2014"/>
    <n v="1"/>
    <x v="0"/>
    <n v="5"/>
    <n v="1.6666666666666667"/>
  </r>
  <r>
    <s v="219"/>
    <x v="219"/>
    <n v="18700000"/>
    <x v="9"/>
    <n v="1901.165"/>
    <x v="8"/>
    <n v="11"/>
    <n v="4"/>
    <s v="2000"/>
    <n v="1"/>
    <x v="0"/>
    <n v="7"/>
    <n v="1.75"/>
  </r>
  <r>
    <s v="220"/>
    <x v="220"/>
    <n v="6100000"/>
    <x v="2"/>
    <n v="1882.7744"/>
    <x v="4"/>
    <n v="5"/>
    <n v="2"/>
    <s v="2013"/>
    <n v="1"/>
    <x v="0"/>
    <n v="3"/>
    <n v="1.5"/>
  </r>
  <r>
    <s v="221"/>
    <x v="221"/>
    <n v="10000000"/>
    <x v="18"/>
    <n v="1882.0256999999999"/>
    <x v="9"/>
    <n v="90"/>
    <n v="2"/>
    <s v="2010"/>
    <n v="3"/>
    <x v="0"/>
    <n v="88"/>
    <n v="44"/>
  </r>
  <r>
    <s v="222"/>
    <x v="222"/>
    <n v="2700000"/>
    <x v="12"/>
    <n v="1877.5153"/>
    <x v="0"/>
    <n v="11"/>
    <n v="5"/>
    <s v="2015"/>
    <n v="1"/>
    <x v="0"/>
    <n v="6"/>
    <n v="1.2"/>
  </r>
  <r>
    <s v="223"/>
    <x v="223"/>
    <n v="7700000"/>
    <x v="6"/>
    <n v="1851.6306"/>
    <x v="9"/>
    <n v="45"/>
    <n v="7"/>
    <s v="2015"/>
    <n v="1"/>
    <x v="0"/>
    <n v="38"/>
    <n v="5.4285714285714288"/>
  </r>
  <r>
    <s v="224"/>
    <x v="224"/>
    <n v="4500000"/>
    <x v="9"/>
    <n v="1843.5572"/>
    <x v="2"/>
    <n v="15"/>
    <n v="3"/>
    <s v="2014"/>
    <n v="1"/>
    <x v="0"/>
    <n v="12"/>
    <n v="4"/>
  </r>
  <r>
    <s v="225"/>
    <x v="225"/>
    <n v="8200000"/>
    <x v="12"/>
    <n v="1838.3239000000001"/>
    <x v="10"/>
    <n v="25"/>
    <n v="7"/>
    <s v="2013"/>
    <n v="1"/>
    <x v="0"/>
    <n v="18"/>
    <n v="2.5714285714285716"/>
  </r>
  <r>
    <s v="226"/>
    <x v="226"/>
    <n v="6600000"/>
    <x v="7"/>
    <n v="1820.7809999999999"/>
    <x v="11"/>
    <n v="15"/>
    <n v="3"/>
    <s v="2012"/>
    <n v="2"/>
    <x v="0"/>
    <n v="12"/>
    <n v="4"/>
  </r>
  <r>
    <s v="227"/>
    <x v="227"/>
    <n v="10700000"/>
    <x v="5"/>
    <n v="1813.5417"/>
    <x v="5"/>
    <n v="4"/>
    <n v="2"/>
    <s v="2014"/>
    <n v="1"/>
    <x v="0"/>
    <n v="2"/>
    <n v="1"/>
  </r>
  <r>
    <s v="228"/>
    <x v="228"/>
    <n v="7200000"/>
    <x v="13"/>
    <n v="1808.729"/>
    <x v="16"/>
    <n v="40"/>
    <n v="8"/>
    <s v="2014"/>
    <n v="2"/>
    <x v="0"/>
    <n v="32"/>
    <n v="4"/>
  </r>
  <r>
    <s v="229"/>
    <x v="229"/>
    <n v="2600000"/>
    <x v="32"/>
    <n v="1802.2541000000001"/>
    <x v="15"/>
    <n v="5"/>
    <n v="1"/>
    <s v="2012"/>
    <n v="1"/>
    <x v="0"/>
    <n v="4"/>
    <n v="4"/>
  </r>
  <r>
    <s v="230"/>
    <x v="230"/>
    <n v="2900000"/>
    <x v="21"/>
    <n v="1797.1431"/>
    <x v="5"/>
    <n v="33"/>
    <n v="3"/>
    <s v="2015"/>
    <n v="1"/>
    <x v="0"/>
    <n v="30"/>
    <n v="10"/>
  </r>
  <r>
    <s v="231"/>
    <x v="231"/>
    <n v="46200000"/>
    <x v="27"/>
    <n v="1797.0416"/>
    <x v="24"/>
    <n v="79"/>
    <n v="22"/>
    <s v="2012"/>
    <n v="2"/>
    <x v="0"/>
    <n v="57"/>
    <n v="2.5909090909090908"/>
  </r>
  <r>
    <s v="232"/>
    <x v="232"/>
    <n v="120500000"/>
    <x v="9"/>
    <n v="1795.6922"/>
    <x v="1"/>
    <n v="22"/>
    <n v="2"/>
    <s v="2015"/>
    <n v="1"/>
    <x v="0"/>
    <n v="20"/>
    <n v="10"/>
  </r>
  <r>
    <s v="233"/>
    <x v="233"/>
    <n v="4700000"/>
    <x v="9"/>
    <n v="1792.335"/>
    <x v="9"/>
    <n v="30"/>
    <n v="11"/>
    <s v="2012"/>
    <n v="1"/>
    <x v="0"/>
    <n v="19"/>
    <n v="1.7272727272727273"/>
  </r>
  <r>
    <s v="234"/>
    <x v="234"/>
    <n v="12000000"/>
    <x v="2"/>
    <n v="1790.0996"/>
    <x v="8"/>
    <n v="44"/>
    <n v="5"/>
    <s v="2015"/>
    <n v="1"/>
    <x v="0"/>
    <n v="39"/>
    <n v="7.8"/>
  </r>
  <r>
    <s v="235"/>
    <x v="235"/>
    <n v="2300000"/>
    <x v="9"/>
    <n v="1789.8022000000001"/>
    <x v="19"/>
    <n v="3"/>
    <n v="1"/>
    <s v="2014"/>
    <n v="1"/>
    <x v="0"/>
    <n v="2"/>
    <n v="2"/>
  </r>
  <r>
    <s v="236"/>
    <x v="236"/>
    <n v="4300000"/>
    <x v="9"/>
    <n v="1786.4145000000001"/>
    <x v="5"/>
    <n v="19"/>
    <n v="10"/>
    <s v="2014"/>
    <n v="1"/>
    <x v="0"/>
    <n v="9"/>
    <n v="0.9"/>
  </r>
  <r>
    <s v="237"/>
    <x v="237"/>
    <n v="11100000"/>
    <x v="21"/>
    <n v="1781.0661"/>
    <x v="11"/>
    <n v="152"/>
    <n v="11"/>
    <s v="2007"/>
    <n v="1"/>
    <x v="0"/>
    <n v="141"/>
    <n v="12.818181818181818"/>
  </r>
  <r>
    <s v="238"/>
    <x v="238"/>
    <n v="3600000"/>
    <x v="9"/>
    <n v="1775.3905"/>
    <x v="9"/>
    <n v="25"/>
    <n v="3"/>
    <s v="2014"/>
    <n v="1"/>
    <x v="0"/>
    <n v="22"/>
    <n v="7.333333333333333"/>
  </r>
  <r>
    <s v="239"/>
    <x v="239"/>
    <n v="7300000"/>
    <x v="8"/>
    <n v="1765.6791000000001"/>
    <x v="13"/>
    <n v="6"/>
    <n v="2"/>
    <s v="2013"/>
    <n v="1"/>
    <x v="0"/>
    <n v="4"/>
    <n v="2"/>
  </r>
  <r>
    <s v="240"/>
    <x v="240"/>
    <n v="6300000"/>
    <x v="2"/>
    <n v="1763.0807"/>
    <x v="3"/>
    <n v="60"/>
    <n v="10"/>
    <s v="2013"/>
    <n v="1"/>
    <x v="0"/>
    <n v="50"/>
    <n v="5"/>
  </r>
  <r>
    <s v="241"/>
    <x v="241"/>
    <n v="3300000"/>
    <x v="4"/>
    <n v="1759.1475"/>
    <x v="15"/>
    <n v="5"/>
    <n v="2"/>
    <s v="2015"/>
    <n v="1"/>
    <x v="0"/>
    <n v="3"/>
    <n v="1.5"/>
  </r>
  <r>
    <s v="242"/>
    <x v="242"/>
    <n v="2100000"/>
    <x v="18"/>
    <n v="1738.1728000000001"/>
    <x v="5"/>
    <n v="12"/>
    <n v="2"/>
    <s v="2013"/>
    <n v="1"/>
    <x v="0"/>
    <n v="10"/>
    <n v="5"/>
  </r>
  <r>
    <s v="243"/>
    <x v="243"/>
    <n v="5300000"/>
    <x v="21"/>
    <n v="1733.9362000000001"/>
    <x v="20"/>
    <n v="40"/>
    <n v="10"/>
    <s v="2014"/>
    <n v="1"/>
    <x v="0"/>
    <n v="30"/>
    <n v="3"/>
  </r>
  <r>
    <s v="244"/>
    <x v="244"/>
    <n v="26300000"/>
    <x v="5"/>
    <n v="1732.6297"/>
    <x v="3"/>
    <n v="21"/>
    <n v="5"/>
    <s v="2012"/>
    <n v="3"/>
    <x v="0"/>
    <n v="16"/>
    <n v="3.2"/>
  </r>
  <r>
    <s v="245"/>
    <x v="245"/>
    <n v="4600000"/>
    <x v="13"/>
    <n v="1729.3981000000001"/>
    <x v="23"/>
    <n v="0"/>
    <n v="3"/>
    <s v="2010"/>
    <n v="1"/>
    <x v="1"/>
    <n v="-3"/>
    <n v="-1"/>
  </r>
  <r>
    <s v="246"/>
    <x v="246"/>
    <n v="13400000"/>
    <x v="10"/>
    <n v="1726.7615000000001"/>
    <x v="13"/>
    <n v="25"/>
    <n v="4"/>
    <s v="2014"/>
    <n v="1"/>
    <x v="0"/>
    <n v="21"/>
    <n v="5.25"/>
  </r>
  <r>
    <s v="247"/>
    <x v="247"/>
    <n v="467400000"/>
    <x v="13"/>
    <n v="1723.8604"/>
    <x v="12"/>
    <n v="900"/>
    <n v="75"/>
    <s v="2010"/>
    <n v="2"/>
    <x v="0"/>
    <n v="825"/>
    <n v="11"/>
  </r>
  <r>
    <s v="248"/>
    <x v="248"/>
    <n v="8300000"/>
    <x v="0"/>
    <n v="1713.4616000000001"/>
    <x v="18"/>
    <n v="275"/>
    <n v="35"/>
    <s v="2014"/>
    <n v="1"/>
    <x v="0"/>
    <n v="240"/>
    <n v="6.8571428571428568"/>
  </r>
  <r>
    <s v="249"/>
    <x v="249"/>
    <n v="2300000"/>
    <x v="5"/>
    <n v="1710.2375"/>
    <x v="23"/>
    <n v="10"/>
    <n v="2"/>
    <s v="2015"/>
    <n v="1"/>
    <x v="0"/>
    <n v="8"/>
    <n v="4"/>
  </r>
  <r>
    <s v="250"/>
    <x v="250"/>
    <n v="4400000"/>
    <x v="33"/>
    <n v="1702.6456000000001"/>
    <x v="16"/>
    <n v="59"/>
    <n v="6"/>
    <s v="2014"/>
    <n v="1"/>
    <x v="0"/>
    <n v="53"/>
    <n v="8.8333333333333339"/>
  </r>
  <r>
    <s v="251"/>
    <x v="251"/>
    <n v="46200000"/>
    <x v="10"/>
    <n v="1700.1602"/>
    <x v="15"/>
    <n v="18"/>
    <n v="4"/>
    <s v="2015"/>
    <n v="2"/>
    <x v="0"/>
    <n v="14"/>
    <n v="3.5"/>
  </r>
  <r>
    <s v="252"/>
    <x v="252"/>
    <n v="7400000"/>
    <x v="22"/>
    <n v="1699.3732"/>
    <x v="7"/>
    <n v="35"/>
    <n v="10"/>
    <s v="2015"/>
    <n v="1"/>
    <x v="0"/>
    <n v="25"/>
    <n v="2.5"/>
  </r>
  <r>
    <s v="253"/>
    <x v="253"/>
    <n v="3700000"/>
    <x v="24"/>
    <n v="1692.6066000000001"/>
    <x v="22"/>
    <n v="25"/>
    <n v="12"/>
    <s v="2014"/>
    <n v="1"/>
    <x v="0"/>
    <n v="13"/>
    <n v="1.0833333333333333"/>
  </r>
  <r>
    <s v="254"/>
    <x v="254"/>
    <n v="3100000"/>
    <x v="15"/>
    <n v="1692.6045999999999"/>
    <x v="3"/>
    <n v="9"/>
    <n v="2"/>
    <s v="2014"/>
    <n v="1"/>
    <x v="0"/>
    <n v="7"/>
    <n v="3.5"/>
  </r>
  <r>
    <s v="255"/>
    <x v="255"/>
    <n v="10500000"/>
    <x v="20"/>
    <n v="1685.8634"/>
    <x v="0"/>
    <n v="20"/>
    <n v="4"/>
    <s v="2014"/>
    <n v="1"/>
    <x v="0"/>
    <n v="16"/>
    <n v="4"/>
  </r>
  <r>
    <s v="256"/>
    <x v="256"/>
    <n v="10100000"/>
    <x v="12"/>
    <n v="1681.6204"/>
    <x v="20"/>
    <n v="2"/>
    <n v="1"/>
    <s v="2014"/>
    <n v="1"/>
    <x v="0"/>
    <n v="1"/>
    <n v="1"/>
  </r>
  <r>
    <s v="257"/>
    <x v="257"/>
    <n v="8800000"/>
    <x v="9"/>
    <n v="1677.2330999999999"/>
    <x v="4"/>
    <n v="15"/>
    <n v="3"/>
    <s v="2014"/>
    <n v="2"/>
    <x v="0"/>
    <n v="12"/>
    <n v="4"/>
  </r>
  <r>
    <s v="258"/>
    <x v="258"/>
    <n v="58800000"/>
    <x v="16"/>
    <n v="1672.8297"/>
    <x v="10"/>
    <n v="250"/>
    <n v="30"/>
    <s v="2014"/>
    <n v="1"/>
    <x v="0"/>
    <n v="220"/>
    <n v="7.333333333333333"/>
  </r>
  <r>
    <s v="259"/>
    <x v="259"/>
    <n v="7200000"/>
    <x v="2"/>
    <n v="1666.4879000000001"/>
    <x v="3"/>
    <n v="25"/>
    <n v="2"/>
    <s v="2014"/>
    <n v="1"/>
    <x v="0"/>
    <n v="23"/>
    <n v="11.5"/>
  </r>
  <r>
    <s v="260"/>
    <x v="260"/>
    <n v="3700000"/>
    <x v="8"/>
    <n v="1661.7406000000001"/>
    <x v="3"/>
    <n v="5"/>
    <n v="3"/>
    <s v="2014"/>
    <n v="1"/>
    <x v="0"/>
    <n v="2"/>
    <n v="0.66666666666666663"/>
  </r>
  <r>
    <s v="261"/>
    <x v="261"/>
    <n v="4200000"/>
    <x v="10"/>
    <n v="1653.9969000000001"/>
    <x v="5"/>
    <n v="31"/>
    <n v="12"/>
    <s v="2015"/>
    <n v="1"/>
    <x v="0"/>
    <n v="19"/>
    <n v="1.5833333333333333"/>
  </r>
  <r>
    <s v="262"/>
    <x v="262"/>
    <n v="8500000"/>
    <x v="2"/>
    <n v="1653.441"/>
    <x v="22"/>
    <n v="29"/>
    <n v="16"/>
    <s v="2012"/>
    <n v="1"/>
    <x v="0"/>
    <n v="13"/>
    <n v="0.8125"/>
  </r>
  <r>
    <s v="263"/>
    <x v="263"/>
    <n v="4700000"/>
    <x v="21"/>
    <n v="1651.5508"/>
    <x v="23"/>
    <n v="175"/>
    <n v="20"/>
    <s v="2014"/>
    <n v="2"/>
    <x v="0"/>
    <n v="155"/>
    <n v="7.75"/>
  </r>
  <r>
    <s v="264"/>
    <x v="264"/>
    <n v="4500000"/>
    <x v="12"/>
    <n v="1650.6419000000001"/>
    <x v="3"/>
    <n v="18"/>
    <n v="3"/>
    <s v="2015"/>
    <n v="1"/>
    <x v="0"/>
    <n v="15"/>
    <n v="5"/>
  </r>
  <r>
    <s v="265"/>
    <x v="265"/>
    <n v="2600000"/>
    <x v="9"/>
    <n v="1650.1407999999999"/>
    <x v="17"/>
    <n v="18"/>
    <n v="3"/>
    <s v="2015"/>
    <n v="1"/>
    <x v="0"/>
    <n v="15"/>
    <n v="5"/>
  </r>
  <r>
    <s v="266"/>
    <x v="266"/>
    <n v="2200000"/>
    <x v="27"/>
    <n v="1648.4583"/>
    <x v="16"/>
    <n v="16"/>
    <n v="1"/>
    <s v="2011"/>
    <n v="1"/>
    <x v="0"/>
    <n v="15"/>
    <n v="15"/>
  </r>
  <r>
    <s v="267"/>
    <x v="267"/>
    <n v="71600000"/>
    <x v="11"/>
    <n v="1636.3737000000001"/>
    <x v="12"/>
    <n v="49"/>
    <n v="13"/>
    <s v="2009"/>
    <n v="1"/>
    <x v="0"/>
    <n v="36"/>
    <n v="2.7692307692307692"/>
  </r>
  <r>
    <s v="268"/>
    <x v="268"/>
    <n v="726100000"/>
    <x v="4"/>
    <n v="1634.6901"/>
    <x v="5"/>
    <n v="164"/>
    <n v="26"/>
    <s v="2011"/>
    <n v="4"/>
    <x v="0"/>
    <n v="138"/>
    <n v="5.3076923076923075"/>
  </r>
  <r>
    <s v="269"/>
    <x v="269"/>
    <n v="2700000"/>
    <x v="37"/>
    <n v="1627.4742000000001"/>
    <x v="0"/>
    <n v="6"/>
    <n v="1"/>
    <s v="2015"/>
    <n v="1"/>
    <x v="0"/>
    <n v="5"/>
    <n v="5"/>
  </r>
  <r>
    <s v="270"/>
    <x v="270"/>
    <n v="259400000"/>
    <x v="21"/>
    <n v="1621.7206000000001"/>
    <x v="11"/>
    <n v="231"/>
    <n v="175"/>
    <s v="1999"/>
    <n v="4"/>
    <x v="0"/>
    <n v="56"/>
    <n v="0.32"/>
  </r>
  <r>
    <s v="271"/>
    <x v="271"/>
    <n v="7700000"/>
    <x v="27"/>
    <n v="1621.3485000000001"/>
    <x v="4"/>
    <n v="12"/>
    <n v="2"/>
    <s v="2015"/>
    <n v="1"/>
    <x v="0"/>
    <n v="10"/>
    <n v="5"/>
  </r>
  <r>
    <s v="272"/>
    <x v="272"/>
    <n v="8600000"/>
    <x v="24"/>
    <n v="1609.4897000000001"/>
    <x v="0"/>
    <n v="375"/>
    <n v="65"/>
    <s v="2012"/>
    <n v="2"/>
    <x v="0"/>
    <n v="310"/>
    <n v="4.7692307692307692"/>
  </r>
  <r>
    <s v="273"/>
    <x v="273"/>
    <n v="14000000"/>
    <x v="12"/>
    <n v="1606.1159"/>
    <x v="9"/>
    <n v="81"/>
    <n v="16"/>
    <s v="2014"/>
    <n v="1"/>
    <x v="0"/>
    <n v="65"/>
    <n v="4.0625"/>
  </r>
  <r>
    <s v="274"/>
    <x v="274"/>
    <n v="3000000"/>
    <x v="27"/>
    <n v="1600.7610999999999"/>
    <x v="23"/>
    <n v="10"/>
    <n v="1"/>
    <s v="2011"/>
    <n v="2"/>
    <x v="0"/>
    <n v="9"/>
    <n v="9"/>
  </r>
  <r>
    <s v="275"/>
    <x v="275"/>
    <n v="18400000"/>
    <x v="7"/>
    <n v="1600.2494999999999"/>
    <x v="19"/>
    <n v="106"/>
    <n v="16"/>
    <s v="2014"/>
    <n v="1"/>
    <x v="0"/>
    <n v="90"/>
    <n v="5.625"/>
  </r>
  <r>
    <s v="276"/>
    <x v="276"/>
    <n v="4100000"/>
    <x v="6"/>
    <n v="1599.4677999999999"/>
    <x v="9"/>
    <n v="20"/>
    <n v="15"/>
    <s v="2011"/>
    <n v="1"/>
    <x v="0"/>
    <n v="5"/>
    <n v="0.33333333333333331"/>
  </r>
  <r>
    <s v="277"/>
    <x v="277"/>
    <n v="8400000"/>
    <x v="37"/>
    <n v="1572.0504000000001"/>
    <x v="1"/>
    <n v="81"/>
    <n v="15"/>
    <s v="2009"/>
    <n v="2"/>
    <x v="0"/>
    <n v="66"/>
    <n v="4.4000000000000004"/>
  </r>
  <r>
    <s v="278"/>
    <x v="278"/>
    <n v="5500000"/>
    <x v="21"/>
    <n v="1569.6044999999999"/>
    <x v="11"/>
    <n v="22"/>
    <n v="3"/>
    <s v="1999"/>
    <n v="4"/>
    <x v="0"/>
    <n v="19"/>
    <n v="6.333333333333333"/>
  </r>
  <r>
    <s v="279"/>
    <x v="279"/>
    <n v="5200000"/>
    <x v="12"/>
    <n v="1567.7859000000001"/>
    <x v="5"/>
    <n v="45"/>
    <n v="5"/>
    <s v="2012"/>
    <n v="2"/>
    <x v="0"/>
    <n v="40"/>
    <n v="8"/>
  </r>
  <r>
    <s v="280"/>
    <x v="280"/>
    <n v="3400000"/>
    <x v="27"/>
    <n v="1558.2846"/>
    <x v="23"/>
    <n v="32"/>
    <n v="1"/>
    <s v="2013"/>
    <n v="1"/>
    <x v="0"/>
    <n v="31"/>
    <n v="31"/>
  </r>
  <r>
    <s v="281"/>
    <x v="281"/>
    <n v="2300000"/>
    <x v="5"/>
    <n v="1554.4394"/>
    <x v="24"/>
    <n v="9"/>
    <n v="2"/>
    <s v="2011"/>
    <n v="1"/>
    <x v="0"/>
    <n v="7"/>
    <n v="3.5"/>
  </r>
  <r>
    <s v="282"/>
    <x v="282"/>
    <n v="40900000"/>
    <x v="13"/>
    <n v="1553.7538999999999"/>
    <x v="21"/>
    <n v="323"/>
    <n v="47"/>
    <s v="2012"/>
    <n v="3"/>
    <x v="0"/>
    <n v="276"/>
    <n v="5.8723404255319149"/>
  </r>
  <r>
    <s v="283"/>
    <x v="283"/>
    <n v="13700000"/>
    <x v="37"/>
    <n v="1553.3569"/>
    <x v="13"/>
    <n v="23"/>
    <n v="5"/>
    <s v="2015"/>
    <n v="1"/>
    <x v="0"/>
    <n v="18"/>
    <n v="3.6"/>
  </r>
  <r>
    <s v="284"/>
    <x v="284"/>
    <n v="93900000"/>
    <x v="18"/>
    <n v="1549.3842999999999"/>
    <x v="5"/>
    <n v="502"/>
    <n v="65"/>
    <s v="2014"/>
    <n v="1"/>
    <x v="0"/>
    <n v="437"/>
    <n v="6.7230769230769232"/>
  </r>
  <r>
    <s v="285"/>
    <x v="285"/>
    <n v="4900000"/>
    <x v="2"/>
    <n v="1549.2845"/>
    <x v="9"/>
    <n v="73"/>
    <n v="21"/>
    <s v="2013"/>
    <n v="1"/>
    <x v="0"/>
    <n v="52"/>
    <n v="2.4761904761904763"/>
  </r>
  <r>
    <s v="286"/>
    <x v="286"/>
    <n v="113500000"/>
    <x v="23"/>
    <n v="1545.2612999999999"/>
    <x v="5"/>
    <n v="1500"/>
    <n v="500"/>
    <s v="2014"/>
    <n v="2"/>
    <x v="0"/>
    <n v="1000"/>
    <n v="2"/>
  </r>
  <r>
    <s v="287"/>
    <x v="287"/>
    <n v="2700000"/>
    <x v="38"/>
    <n v="1541.2816"/>
    <x v="20"/>
    <n v="11"/>
    <n v="2"/>
    <s v="2015"/>
    <n v="1"/>
    <x v="0"/>
    <n v="9"/>
    <n v="4.5"/>
  </r>
  <r>
    <s v="288"/>
    <x v="288"/>
    <n v="9100000"/>
    <x v="2"/>
    <n v="1539.2442000000001"/>
    <x v="13"/>
    <n v="88"/>
    <n v="15"/>
    <s v="2007"/>
    <n v="2"/>
    <x v="0"/>
    <n v="73"/>
    <n v="4.8666666666666663"/>
  </r>
  <r>
    <s v="289"/>
    <x v="289"/>
    <n v="97400000"/>
    <x v="9"/>
    <n v="1522.1528000000001"/>
    <x v="5"/>
    <n v="60"/>
    <n v="12"/>
    <s v="2007"/>
    <n v="3"/>
    <x v="0"/>
    <n v="48"/>
    <n v="4"/>
  </r>
  <r>
    <s v="290"/>
    <x v="290"/>
    <n v="2600000"/>
    <x v="9"/>
    <n v="1521.8605"/>
    <x v="0"/>
    <n v="15"/>
    <n v="2"/>
    <s v="2015"/>
    <n v="1"/>
    <x v="0"/>
    <n v="13"/>
    <n v="6.5"/>
  </r>
  <r>
    <s v="291"/>
    <x v="291"/>
    <n v="6100000"/>
    <x v="5"/>
    <n v="1519.3447000000001"/>
    <x v="23"/>
    <n v="60"/>
    <n v="5"/>
    <s v="2015"/>
    <n v="1"/>
    <x v="0"/>
    <n v="55"/>
    <n v="11"/>
  </r>
  <r>
    <s v="292"/>
    <x v="292"/>
    <n v="9800000"/>
    <x v="7"/>
    <n v="1517.8234"/>
    <x v="11"/>
    <n v="175"/>
    <n v="4"/>
    <s v="2002"/>
    <n v="1"/>
    <x v="0"/>
    <n v="171"/>
    <n v="42.75"/>
  </r>
  <r>
    <s v="293"/>
    <x v="293"/>
    <n v="20800000"/>
    <x v="13"/>
    <n v="1515.7374"/>
    <x v="4"/>
    <n v="90"/>
    <n v="35"/>
    <s v="2014"/>
    <n v="1"/>
    <x v="0"/>
    <n v="55"/>
    <n v="1.5714285714285714"/>
  </r>
  <r>
    <s v="294"/>
    <x v="294"/>
    <n v="3600000"/>
    <x v="5"/>
    <n v="1515.61"/>
    <x v="4"/>
    <n v="63"/>
    <n v="6"/>
    <s v="2015"/>
    <n v="1"/>
    <x v="0"/>
    <n v="57"/>
    <n v="9.5"/>
  </r>
  <r>
    <s v="295"/>
    <x v="295"/>
    <n v="2200000"/>
    <x v="5"/>
    <n v="1514.6812"/>
    <x v="19"/>
    <n v="22"/>
    <n v="3"/>
    <s v="2014"/>
    <n v="1"/>
    <x v="0"/>
    <n v="19"/>
    <n v="6.333333333333333"/>
  </r>
  <r>
    <s v="296"/>
    <x v="296"/>
    <n v="6300000"/>
    <x v="11"/>
    <n v="1508.6474000000001"/>
    <x v="9"/>
    <n v="44"/>
    <n v="15"/>
    <s v="2012"/>
    <n v="2"/>
    <x v="0"/>
    <n v="29"/>
    <n v="1.9333333333333333"/>
  </r>
  <r>
    <s v="297"/>
    <x v="297"/>
    <n v="9100000"/>
    <x v="15"/>
    <n v="1507.9686999999999"/>
    <x v="1"/>
    <n v="15"/>
    <n v="5"/>
    <s v="2008"/>
    <n v="3"/>
    <x v="0"/>
    <n v="10"/>
    <n v="2"/>
  </r>
  <r>
    <s v="298"/>
    <x v="298"/>
    <n v="11800000"/>
    <x v="9"/>
    <n v="1505.6425999999999"/>
    <x v="9"/>
    <n v="102"/>
    <n v="12"/>
    <s v="2013"/>
    <n v="1"/>
    <x v="0"/>
    <n v="90"/>
    <n v="7.5"/>
  </r>
  <r>
    <s v="299"/>
    <x v="299"/>
    <n v="3200000"/>
    <x v="13"/>
    <n v="1501.0992000000001"/>
    <x v="0"/>
    <n v="35"/>
    <n v="3"/>
    <s v="2011"/>
    <n v="1"/>
    <x v="0"/>
    <n v="32"/>
    <n v="10.666666666666666"/>
  </r>
  <r>
    <s v="300"/>
    <x v="300"/>
    <n v="14100000"/>
    <x v="5"/>
    <n v="1496.3723"/>
    <x v="5"/>
    <n v="100"/>
    <n v="10"/>
    <s v="2012"/>
    <n v="1"/>
    <x v="0"/>
    <n v="90"/>
    <n v="9"/>
  </r>
  <r>
    <s v="301"/>
    <x v="301"/>
    <n v="6600000"/>
    <x v="15"/>
    <n v="1493.1967"/>
    <x v="14"/>
    <n v="20"/>
    <n v="4"/>
    <s v="2015"/>
    <n v="1"/>
    <x v="0"/>
    <n v="16"/>
    <n v="4"/>
  </r>
  <r>
    <s v="302"/>
    <x v="302"/>
    <n v="2700000"/>
    <x v="11"/>
    <n v="1488.4058"/>
    <x v="3"/>
    <n v="46"/>
    <n v="2"/>
    <s v="2014"/>
    <n v="1"/>
    <x v="0"/>
    <n v="44"/>
    <n v="22"/>
  </r>
  <r>
    <s v="303"/>
    <x v="303"/>
    <n v="47100000"/>
    <x v="5"/>
    <n v="1487.4149"/>
    <x v="1"/>
    <n v="55"/>
    <n v="6"/>
    <s v="2014"/>
    <n v="1"/>
    <x v="0"/>
    <n v="49"/>
    <n v="8.1666666666666661"/>
  </r>
  <r>
    <s v="304"/>
    <x v="304"/>
    <n v="65200000"/>
    <x v="9"/>
    <n v="1482.0707"/>
    <x v="0"/>
    <n v="203"/>
    <n v="140"/>
    <s v="2005"/>
    <n v="2"/>
    <x v="0"/>
    <n v="63"/>
    <n v="0.45"/>
  </r>
  <r>
    <s v="305"/>
    <x v="305"/>
    <n v="4400000"/>
    <x v="12"/>
    <n v="1480.2849000000001"/>
    <x v="9"/>
    <n v="80"/>
    <n v="9"/>
    <s v="2013"/>
    <n v="1"/>
    <x v="0"/>
    <n v="71"/>
    <n v="7.8888888888888893"/>
  </r>
  <r>
    <s v="306"/>
    <x v="306"/>
    <n v="76900000"/>
    <x v="23"/>
    <n v="1472.3901000000001"/>
    <x v="5"/>
    <n v="60"/>
    <n v="30"/>
    <s v="2012"/>
    <n v="1"/>
    <x v="0"/>
    <n v="30"/>
    <n v="1"/>
  </r>
  <r>
    <s v="307"/>
    <x v="307"/>
    <n v="16100000"/>
    <x v="13"/>
    <n v="1469.7828"/>
    <x v="0"/>
    <n v="36"/>
    <n v="6"/>
    <s v="2012"/>
    <n v="3"/>
    <x v="0"/>
    <n v="30"/>
    <n v="5"/>
  </r>
  <r>
    <s v="308"/>
    <x v="308"/>
    <n v="6800000"/>
    <x v="9"/>
    <n v="1469.3516999999999"/>
    <x v="4"/>
    <n v="19"/>
    <n v="3"/>
    <s v="2014"/>
    <n v="1"/>
    <x v="0"/>
    <n v="16"/>
    <n v="5.333333333333333"/>
  </r>
  <r>
    <s v="309"/>
    <x v="309"/>
    <n v="2900000"/>
    <x v="9"/>
    <n v="1468.3844999999999"/>
    <x v="0"/>
    <n v="18"/>
    <n v="8"/>
    <s v="2015"/>
    <n v="1"/>
    <x v="0"/>
    <n v="10"/>
    <n v="1.25"/>
  </r>
  <r>
    <s v="310"/>
    <x v="310"/>
    <n v="3400000"/>
    <x v="8"/>
    <n v="1467.1741"/>
    <x v="1"/>
    <n v="23"/>
    <n v="2"/>
    <s v="2012"/>
    <n v="1"/>
    <x v="0"/>
    <n v="21"/>
    <n v="10.5"/>
  </r>
  <r>
    <s v="311"/>
    <x v="311"/>
    <n v="5800000"/>
    <x v="5"/>
    <n v="1464.4640999999999"/>
    <x v="12"/>
    <n v="6"/>
    <n v="2"/>
    <s v="2014"/>
    <n v="1"/>
    <x v="0"/>
    <n v="4"/>
    <n v="2"/>
  </r>
  <r>
    <s v="312"/>
    <x v="312"/>
    <n v="3200000"/>
    <x v="9"/>
    <n v="1460.6844000000001"/>
    <x v="23"/>
    <n v="55"/>
    <n v="4"/>
    <s v="2015"/>
    <n v="1"/>
    <x v="0"/>
    <n v="51"/>
    <n v="12.75"/>
  </r>
  <r>
    <s v="313"/>
    <x v="313"/>
    <n v="5300000"/>
    <x v="9"/>
    <n v="1458.0881999999999"/>
    <x v="3"/>
    <n v="15"/>
    <n v="4"/>
    <s v="2014"/>
    <n v="1"/>
    <x v="0"/>
    <n v="11"/>
    <n v="2.75"/>
  </r>
  <r>
    <s v="314"/>
    <x v="314"/>
    <n v="2000000"/>
    <x v="38"/>
    <n v="1455.2822000000001"/>
    <x v="9"/>
    <n v="41"/>
    <n v="15"/>
    <s v="2015"/>
    <n v="1"/>
    <x v="0"/>
    <n v="26"/>
    <n v="1.7333333333333334"/>
  </r>
  <r>
    <s v="315"/>
    <x v="315"/>
    <n v="35700000"/>
    <x v="9"/>
    <n v="1454.4016999999999"/>
    <x v="0"/>
    <n v="70"/>
    <n v="5"/>
    <s v="2014"/>
    <n v="1"/>
    <x v="0"/>
    <n v="65"/>
    <n v="13"/>
  </r>
  <r>
    <s v="316"/>
    <x v="316"/>
    <n v="9900000"/>
    <x v="10"/>
    <n v="1449.1161"/>
    <x v="1"/>
    <n v="11"/>
    <n v="1"/>
    <s v="2015"/>
    <n v="1"/>
    <x v="0"/>
    <n v="10"/>
    <n v="10"/>
  </r>
  <r>
    <s v="317"/>
    <x v="317"/>
    <n v="2300000"/>
    <x v="14"/>
    <n v="1447.5148999999999"/>
    <x v="5"/>
    <n v="20"/>
    <n v="5"/>
    <s v="2015"/>
    <n v="1"/>
    <x v="0"/>
    <n v="15"/>
    <n v="3"/>
  </r>
  <r>
    <s v="318"/>
    <x v="318"/>
    <n v="5800000"/>
    <x v="2"/>
    <n v="1444.5616"/>
    <x v="3"/>
    <n v="10"/>
    <n v="2"/>
    <s v="2015"/>
    <n v="1"/>
    <x v="0"/>
    <n v="8"/>
    <n v="4"/>
  </r>
  <r>
    <s v="319"/>
    <x v="319"/>
    <n v="2800000"/>
    <x v="2"/>
    <n v="1444.146"/>
    <x v="24"/>
    <n v="15"/>
    <n v="2"/>
    <s v="2014"/>
    <n v="1"/>
    <x v="0"/>
    <n v="13"/>
    <n v="6.5"/>
  </r>
  <r>
    <s v="320"/>
    <x v="320"/>
    <n v="25100000"/>
    <x v="9"/>
    <n v="1437.6078"/>
    <x v="9"/>
    <n v="179"/>
    <n v="131"/>
    <s v="2010"/>
    <n v="1"/>
    <x v="0"/>
    <n v="48"/>
    <n v="0.36641221374045801"/>
  </r>
  <r>
    <s v="321"/>
    <x v="321"/>
    <n v="134200000"/>
    <x v="27"/>
    <n v="1434.9543000000001"/>
    <x v="7"/>
    <n v="308"/>
    <n v="27"/>
    <s v="2012"/>
    <n v="4"/>
    <x v="0"/>
    <n v="281"/>
    <n v="10.407407407407407"/>
  </r>
  <r>
    <s v="322"/>
    <x v="322"/>
    <n v="5000000"/>
    <x v="9"/>
    <n v="1433.9761000000001"/>
    <x v="0"/>
    <n v="47"/>
    <n v="8"/>
    <s v="2014"/>
    <n v="2"/>
    <x v="0"/>
    <n v="39"/>
    <n v="4.875"/>
  </r>
  <r>
    <s v="323"/>
    <x v="323"/>
    <n v="8200000"/>
    <x v="9"/>
    <n v="1426.4898000000001"/>
    <x v="9"/>
    <n v="203"/>
    <n v="52"/>
    <s v="2012"/>
    <n v="2"/>
    <x v="0"/>
    <n v="151"/>
    <n v="2.9038461538461537"/>
  </r>
  <r>
    <s v="324"/>
    <x v="324"/>
    <n v="2600000"/>
    <x v="5"/>
    <n v="1423.6886"/>
    <x v="13"/>
    <n v="6"/>
    <n v="1"/>
    <s v="2014"/>
    <n v="1"/>
    <x v="0"/>
    <n v="5"/>
    <n v="5"/>
  </r>
  <r>
    <s v="325"/>
    <x v="325"/>
    <n v="2300000"/>
    <x v="2"/>
    <n v="1423.4909"/>
    <x v="12"/>
    <n v="14"/>
    <n v="3"/>
    <s v="2015"/>
    <n v="1"/>
    <x v="0"/>
    <n v="11"/>
    <n v="3.6666666666666665"/>
  </r>
  <r>
    <s v="326"/>
    <x v="326"/>
    <n v="3800000"/>
    <x v="2"/>
    <n v="1423.4061999999999"/>
    <x v="4"/>
    <n v="10"/>
    <n v="2"/>
    <s v="2009"/>
    <n v="1"/>
    <x v="0"/>
    <n v="8"/>
    <n v="4"/>
  </r>
  <r>
    <s v="327"/>
    <x v="327"/>
    <n v="6800000"/>
    <x v="9"/>
    <n v="1417.8894"/>
    <x v="19"/>
    <n v="24"/>
    <n v="8"/>
    <s v="2012"/>
    <n v="1"/>
    <x v="0"/>
    <n v="16"/>
    <n v="2"/>
  </r>
  <r>
    <s v="328"/>
    <x v="328"/>
    <n v="27300000"/>
    <x v="2"/>
    <n v="1408.6405"/>
    <x v="9"/>
    <n v="101"/>
    <n v="13"/>
    <s v="2013"/>
    <n v="2"/>
    <x v="0"/>
    <n v="88"/>
    <n v="6.7692307692307692"/>
  </r>
  <r>
    <s v="329"/>
    <x v="329"/>
    <n v="9700000"/>
    <x v="20"/>
    <n v="1408.0842"/>
    <x v="0"/>
    <n v="18"/>
    <n v="5"/>
    <s v="2012"/>
    <n v="1"/>
    <x v="0"/>
    <n v="13"/>
    <n v="2.6"/>
  </r>
  <r>
    <s v="330"/>
    <x v="330"/>
    <n v="2900000"/>
    <x v="18"/>
    <n v="1407.5845999999999"/>
    <x v="9"/>
    <n v="25"/>
    <n v="1"/>
    <s v="2015"/>
    <n v="1"/>
    <x v="0"/>
    <n v="24"/>
    <n v="24"/>
  </r>
  <r>
    <s v="331"/>
    <x v="331"/>
    <n v="16200000"/>
    <x v="2"/>
    <n v="1405.9213"/>
    <x v="1"/>
    <n v="84"/>
    <n v="22"/>
    <s v="2014"/>
    <n v="1"/>
    <x v="0"/>
    <n v="62"/>
    <n v="2.8181818181818183"/>
  </r>
  <r>
    <s v="332"/>
    <x v="332"/>
    <n v="2000000"/>
    <x v="13"/>
    <n v="1405.0606"/>
    <x v="0"/>
    <n v="12"/>
    <n v="2"/>
    <s v="2007"/>
    <n v="1"/>
    <x v="0"/>
    <n v="10"/>
    <n v="5"/>
  </r>
  <r>
    <s v="333"/>
    <x v="333"/>
    <n v="3400000"/>
    <x v="12"/>
    <n v="1404.0037"/>
    <x v="7"/>
    <n v="54"/>
    <n v="20"/>
    <s v="2013"/>
    <n v="1"/>
    <x v="0"/>
    <n v="34"/>
    <n v="1.7"/>
  </r>
  <r>
    <s v="334"/>
    <x v="334"/>
    <n v="4000000"/>
    <x v="5"/>
    <n v="1399.7156"/>
    <x v="0"/>
    <n v="38"/>
    <n v="1"/>
    <s v="2014"/>
    <n v="2"/>
    <x v="0"/>
    <n v="37"/>
    <n v="37"/>
  </r>
  <r>
    <s v="335"/>
    <x v="335"/>
    <n v="2800000"/>
    <x v="0"/>
    <n v="1398.2575999999999"/>
    <x v="19"/>
    <n v="140"/>
    <n v="35"/>
    <s v="2015"/>
    <n v="1"/>
    <x v="0"/>
    <n v="105"/>
    <n v="3"/>
  </r>
  <r>
    <s v="336"/>
    <x v="336"/>
    <n v="2200000"/>
    <x v="23"/>
    <n v="1386.454"/>
    <x v="12"/>
    <n v="12"/>
    <n v="4"/>
    <s v="2014"/>
    <n v="1"/>
    <x v="0"/>
    <n v="8"/>
    <n v="2"/>
  </r>
  <r>
    <s v="337"/>
    <x v="337"/>
    <n v="3700000"/>
    <x v="2"/>
    <n v="1385.4507000000001"/>
    <x v="11"/>
    <n v="41"/>
    <n v="7"/>
    <s v="2014"/>
    <n v="1"/>
    <x v="0"/>
    <n v="34"/>
    <n v="4.8571428571428568"/>
  </r>
  <r>
    <s v="338"/>
    <x v="338"/>
    <n v="5700000"/>
    <x v="12"/>
    <n v="1379.7109"/>
    <x v="9"/>
    <n v="80"/>
    <n v="31"/>
    <s v="2013"/>
    <n v="1"/>
    <x v="0"/>
    <n v="49"/>
    <n v="1.5806451612903225"/>
  </r>
  <r>
    <s v="339"/>
    <x v="339"/>
    <n v="6000000"/>
    <x v="2"/>
    <n v="1373.0107"/>
    <x v="15"/>
    <n v="9"/>
    <n v="1"/>
    <s v="2014"/>
    <n v="1"/>
    <x v="0"/>
    <n v="8"/>
    <n v="8"/>
  </r>
  <r>
    <s v="340"/>
    <x v="340"/>
    <n v="2000000"/>
    <x v="21"/>
    <n v="1358.9992999999999"/>
    <x v="10"/>
    <n v="5"/>
    <n v="2"/>
    <s v="2011"/>
    <n v="1"/>
    <x v="0"/>
    <n v="3"/>
    <n v="1.5"/>
  </r>
  <r>
    <s v="341"/>
    <x v="341"/>
    <n v="2200000"/>
    <x v="39"/>
    <n v="1354.3140000000001"/>
    <x v="0"/>
    <n v="7"/>
    <n v="4"/>
    <s v="2015"/>
    <n v="1"/>
    <x v="0"/>
    <n v="3"/>
    <n v="0.75"/>
  </r>
  <r>
    <s v="342"/>
    <x v="342"/>
    <n v="12400000"/>
    <x v="27"/>
    <n v="1347.2415000000001"/>
    <x v="16"/>
    <n v="171"/>
    <n v="7"/>
    <s v="2013"/>
    <n v="1"/>
    <x v="0"/>
    <n v="164"/>
    <n v="23.428571428571427"/>
  </r>
  <r>
    <s v="343"/>
    <x v="343"/>
    <n v="4300000"/>
    <x v="12"/>
    <n v="1344.2615000000001"/>
    <x v="14"/>
    <n v="25"/>
    <n v="3"/>
    <s v="2015"/>
    <n v="1"/>
    <x v="0"/>
    <n v="22"/>
    <n v="7.333333333333333"/>
  </r>
  <r>
    <s v="344"/>
    <x v="344"/>
    <n v="33800000"/>
    <x v="5"/>
    <n v="1332.9945"/>
    <x v="0"/>
    <n v="60"/>
    <n v="5"/>
    <s v="2013"/>
    <n v="2"/>
    <x v="0"/>
    <n v="55"/>
    <n v="11"/>
  </r>
  <r>
    <s v="345"/>
    <x v="345"/>
    <n v="7200000"/>
    <x v="0"/>
    <n v="1329.1786999999999"/>
    <x v="23"/>
    <n v="230"/>
    <n v="16"/>
    <s v="2015"/>
    <n v="1"/>
    <x v="0"/>
    <n v="214"/>
    <n v="13.375"/>
  </r>
  <r>
    <s v="346"/>
    <x v="346"/>
    <n v="64300000"/>
    <x v="9"/>
    <n v="1327.8114"/>
    <x v="3"/>
    <n v="21"/>
    <n v="8"/>
    <s v="2010"/>
    <n v="4"/>
    <x v="0"/>
    <n v="13"/>
    <n v="1.625"/>
  </r>
  <r>
    <s v="347"/>
    <x v="347"/>
    <n v="2700000"/>
    <x v="8"/>
    <n v="1326.3001999999999"/>
    <x v="23"/>
    <n v="2"/>
    <n v="2"/>
    <s v="2014"/>
    <n v="1"/>
    <x v="1"/>
    <n v="0"/>
    <n v="0"/>
  </r>
  <r>
    <s v="348"/>
    <x v="348"/>
    <n v="29100000"/>
    <x v="27"/>
    <n v="1323.2632000000001"/>
    <x v="1"/>
    <n v="15"/>
    <n v="3"/>
    <s v="2011"/>
    <n v="1"/>
    <x v="0"/>
    <n v="12"/>
    <n v="4"/>
  </r>
  <r>
    <s v="349"/>
    <x v="349"/>
    <n v="10400000"/>
    <x v="11"/>
    <n v="1316.5717999999999"/>
    <x v="3"/>
    <n v="18"/>
    <n v="4"/>
    <s v="2013"/>
    <n v="2"/>
    <x v="0"/>
    <n v="14"/>
    <n v="3.5"/>
  </r>
  <r>
    <s v="350"/>
    <x v="350"/>
    <n v="2300000"/>
    <x v="9"/>
    <n v="1313.9536000000001"/>
    <x v="9"/>
    <n v="19"/>
    <n v="4"/>
    <s v="2012"/>
    <n v="1"/>
    <x v="0"/>
    <n v="15"/>
    <n v="3.75"/>
  </r>
  <r>
    <s v="351"/>
    <x v="351"/>
    <n v="35300000"/>
    <x v="9"/>
    <n v="1301.7556999999999"/>
    <x v="7"/>
    <n v="400"/>
    <n v="55"/>
    <s v="2012"/>
    <n v="2"/>
    <x v="0"/>
    <n v="345"/>
    <n v="6.2727272727272725"/>
  </r>
  <r>
    <s v="352"/>
    <x v="352"/>
    <n v="24200000"/>
    <x v="9"/>
    <n v="1293.0074999999999"/>
    <x v="2"/>
    <n v="166"/>
    <n v="37"/>
    <s v="2014"/>
    <n v="2"/>
    <x v="0"/>
    <n v="129"/>
    <n v="3.4864864864864864"/>
  </r>
  <r>
    <s v="353"/>
    <x v="353"/>
    <n v="5700000"/>
    <x v="1"/>
    <n v="1291.1366"/>
    <x v="23"/>
    <n v="15"/>
    <n v="7"/>
    <s v="2014"/>
    <n v="1"/>
    <x v="0"/>
    <n v="8"/>
    <n v="1.1428571428571428"/>
  </r>
  <r>
    <s v="354"/>
    <x v="354"/>
    <n v="19700000"/>
    <x v="6"/>
    <n v="1287.5316"/>
    <x v="23"/>
    <n v="185"/>
    <n v="32"/>
    <s v="2010"/>
    <n v="2"/>
    <x v="0"/>
    <n v="153"/>
    <n v="4.78125"/>
  </r>
  <r>
    <s v="355"/>
    <x v="355"/>
    <n v="2900000"/>
    <x v="27"/>
    <n v="1282.6274000000001"/>
    <x v="7"/>
    <n v="16"/>
    <n v="2"/>
    <s v="2015"/>
    <n v="1"/>
    <x v="0"/>
    <n v="14"/>
    <n v="7"/>
  </r>
  <r>
    <s v="356"/>
    <x v="356"/>
    <n v="2300000"/>
    <x v="9"/>
    <n v="1281.6939"/>
    <x v="23"/>
    <n v="8"/>
    <n v="3"/>
    <s v="2013"/>
    <n v="1"/>
    <x v="0"/>
    <n v="5"/>
    <n v="1.6666666666666667"/>
  </r>
  <r>
    <s v="357"/>
    <x v="357"/>
    <n v="8000000"/>
    <x v="16"/>
    <n v="1279.3186000000001"/>
    <x v="9"/>
    <n v="100"/>
    <n v="7"/>
    <s v="2014"/>
    <n v="2"/>
    <x v="0"/>
    <n v="93"/>
    <n v="13.285714285714286"/>
  </r>
  <r>
    <s v="358"/>
    <x v="358"/>
    <n v="8100000"/>
    <x v="7"/>
    <n v="1278.5516"/>
    <x v="23"/>
    <n v="27"/>
    <n v="3"/>
    <s v="1999"/>
    <n v="3"/>
    <x v="0"/>
    <n v="24"/>
    <n v="8"/>
  </r>
  <r>
    <s v="359"/>
    <x v="359"/>
    <n v="5900000"/>
    <x v="9"/>
    <n v="1275.5934"/>
    <x v="9"/>
    <n v="80"/>
    <n v="5"/>
    <s v="2014"/>
    <n v="1"/>
    <x v="0"/>
    <n v="75"/>
    <n v="15"/>
  </r>
  <r>
    <s v="360"/>
    <x v="360"/>
    <n v="2100000"/>
    <x v="27"/>
    <n v="1270.6676"/>
    <x v="9"/>
    <n v="17"/>
    <n v="2"/>
    <s v="2013"/>
    <n v="1"/>
    <x v="0"/>
    <n v="15"/>
    <n v="7.5"/>
  </r>
  <r>
    <s v="361"/>
    <x v="361"/>
    <n v="5900000"/>
    <x v="32"/>
    <n v="1264.9067"/>
    <x v="0"/>
    <n v="3"/>
    <n v="4"/>
    <s v="2009"/>
    <n v="1"/>
    <x v="1"/>
    <n v="-1"/>
    <n v="-0.25"/>
  </r>
  <r>
    <s v="362"/>
    <x v="362"/>
    <n v="8800000"/>
    <x v="9"/>
    <n v="1255.0319"/>
    <x v="3"/>
    <n v="17"/>
    <n v="3"/>
    <s v="2014"/>
    <n v="1"/>
    <x v="0"/>
    <n v="14"/>
    <n v="4.666666666666667"/>
  </r>
  <r>
    <s v="363"/>
    <x v="363"/>
    <n v="16000000"/>
    <x v="7"/>
    <n v="1254.748"/>
    <x v="15"/>
    <n v="32"/>
    <n v="3"/>
    <s v="2014"/>
    <n v="1"/>
    <x v="0"/>
    <n v="29"/>
    <n v="9.6666666666666661"/>
  </r>
  <r>
    <s v="364"/>
    <x v="364"/>
    <n v="12000000"/>
    <x v="15"/>
    <n v="1252.8198"/>
    <x v="4"/>
    <n v="29"/>
    <n v="19"/>
    <s v="2012"/>
    <n v="3"/>
    <x v="0"/>
    <n v="10"/>
    <n v="0.52631578947368418"/>
  </r>
  <r>
    <s v="365"/>
    <x v="365"/>
    <n v="15300000"/>
    <x v="1"/>
    <n v="1248.1117999999999"/>
    <x v="18"/>
    <n v="22"/>
    <n v="7"/>
    <s v="2014"/>
    <n v="1"/>
    <x v="0"/>
    <n v="15"/>
    <n v="2.1428571428571428"/>
  </r>
  <r>
    <s v="366"/>
    <x v="366"/>
    <n v="28000000"/>
    <x v="1"/>
    <n v="1247.5148999999999"/>
    <x v="1"/>
    <n v="36"/>
    <n v="4"/>
    <s v="2014"/>
    <n v="1"/>
    <x v="0"/>
    <n v="32"/>
    <n v="8"/>
  </r>
  <r>
    <s v="367"/>
    <x v="367"/>
    <n v="2600000"/>
    <x v="33"/>
    <n v="1240.6025"/>
    <x v="15"/>
    <n v="11"/>
    <n v="2"/>
    <s v="2013"/>
    <n v="1"/>
    <x v="0"/>
    <n v="9"/>
    <n v="4.5"/>
  </r>
  <r>
    <s v="368"/>
    <x v="368"/>
    <n v="2600000"/>
    <x v="7"/>
    <n v="1240.5595000000001"/>
    <x v="19"/>
    <n v="19"/>
    <n v="3"/>
    <s v="2002"/>
    <n v="2"/>
    <x v="0"/>
    <n v="16"/>
    <n v="5.333333333333333"/>
  </r>
  <r>
    <s v="369"/>
    <x v="369"/>
    <n v="3100000"/>
    <x v="11"/>
    <n v="1240.3105"/>
    <x v="9"/>
    <n v="85"/>
    <n v="20"/>
    <s v="2013"/>
    <n v="1"/>
    <x v="0"/>
    <n v="65"/>
    <n v="3.25"/>
  </r>
  <r>
    <s v="370"/>
    <x v="370"/>
    <n v="4700000"/>
    <x v="2"/>
    <n v="1237.9323999999999"/>
    <x v="19"/>
    <n v="30"/>
    <n v="3"/>
    <s v="2014"/>
    <n v="1"/>
    <x v="0"/>
    <n v="27"/>
    <n v="9"/>
  </r>
  <r>
    <s v="371"/>
    <x v="371"/>
    <n v="2700000"/>
    <x v="37"/>
    <n v="1232.4509"/>
    <x v="4"/>
    <n v="6"/>
    <n v="3"/>
    <s v="2015"/>
    <n v="1"/>
    <x v="0"/>
    <n v="3"/>
    <n v="1"/>
  </r>
  <r>
    <s v="372"/>
    <x v="372"/>
    <n v="6400000"/>
    <x v="5"/>
    <n v="1231.4356"/>
    <x v="5"/>
    <n v="10"/>
    <n v="3"/>
    <s v="1994"/>
    <n v="1"/>
    <x v="0"/>
    <n v="7"/>
    <n v="2.3333333333333335"/>
  </r>
  <r>
    <s v="373"/>
    <x v="373"/>
    <n v="21700000"/>
    <x v="7"/>
    <n v="1228.9271000000001"/>
    <x v="11"/>
    <n v="134"/>
    <n v="13"/>
    <s v="2005"/>
    <n v="2"/>
    <x v="0"/>
    <n v="121"/>
    <n v="9.3076923076923084"/>
  </r>
  <r>
    <s v="374"/>
    <x v="374"/>
    <n v="3400000"/>
    <x v="12"/>
    <n v="1226.6247000000001"/>
    <x v="19"/>
    <n v="121"/>
    <n v="16"/>
    <s v="2014"/>
    <n v="1"/>
    <x v="0"/>
    <n v="105"/>
    <n v="6.5625"/>
  </r>
  <r>
    <s v="375"/>
    <x v="375"/>
    <n v="4000000"/>
    <x v="27"/>
    <n v="1226.2361000000001"/>
    <x v="5"/>
    <n v="24"/>
    <n v="12"/>
    <s v="2011"/>
    <n v="2"/>
    <x v="0"/>
    <n v="12"/>
    <n v="1"/>
  </r>
  <r>
    <s v="376"/>
    <x v="376"/>
    <n v="137200000"/>
    <x v="5"/>
    <n v="1225.5509"/>
    <x v="3"/>
    <n v="90"/>
    <n v="8"/>
    <s v="2013"/>
    <n v="2"/>
    <x v="0"/>
    <n v="82"/>
    <n v="10.25"/>
  </r>
  <r>
    <s v="377"/>
    <x v="377"/>
    <n v="3800000"/>
    <x v="0"/>
    <n v="1220.8083999999999"/>
    <x v="4"/>
    <n v="6"/>
    <n v="1"/>
    <s v="2014"/>
    <n v="1"/>
    <x v="0"/>
    <n v="5"/>
    <n v="5"/>
  </r>
  <r>
    <s v="378"/>
    <x v="378"/>
    <n v="31400000"/>
    <x v="21"/>
    <n v="1220.194"/>
    <x v="19"/>
    <n v="131"/>
    <n v="12"/>
    <s v="2008"/>
    <n v="1"/>
    <x v="0"/>
    <n v="119"/>
    <n v="9.9166666666666661"/>
  </r>
  <r>
    <s v="379"/>
    <x v="379"/>
    <n v="2000000"/>
    <x v="26"/>
    <n v="1216.3501000000001"/>
    <x v="9"/>
    <n v="45"/>
    <n v="12"/>
    <s v="2012"/>
    <n v="1"/>
    <x v="0"/>
    <n v="33"/>
    <n v="2.75"/>
  </r>
  <r>
    <s v="380"/>
    <x v="380"/>
    <n v="21600000"/>
    <x v="9"/>
    <n v="1210.2204999999999"/>
    <x v="9"/>
    <n v="75"/>
    <n v="12"/>
    <s v="2012"/>
    <n v="1"/>
    <x v="0"/>
    <n v="63"/>
    <n v="5.25"/>
  </r>
  <r>
    <s v="381"/>
    <x v="381"/>
    <n v="7000000"/>
    <x v="16"/>
    <n v="1203.7642000000001"/>
    <x v="5"/>
    <n v="84"/>
    <n v="14"/>
    <s v="2015"/>
    <n v="1"/>
    <x v="0"/>
    <n v="70"/>
    <n v="5"/>
  </r>
  <r>
    <s v="382"/>
    <x v="382"/>
    <n v="30800000"/>
    <x v="12"/>
    <n v="1202.6660999999999"/>
    <x v="9"/>
    <n v="41"/>
    <n v="28"/>
    <s v="2011"/>
    <n v="2"/>
    <x v="0"/>
    <n v="13"/>
    <n v="0.4642857142857143"/>
  </r>
  <r>
    <s v="383"/>
    <x v="383"/>
    <n v="255900000"/>
    <x v="4"/>
    <n v="1200.9092000000001"/>
    <x v="4"/>
    <n v="56"/>
    <n v="10"/>
    <s v="2012"/>
    <n v="2"/>
    <x v="0"/>
    <n v="46"/>
    <n v="4.5999999999999996"/>
  </r>
  <r>
    <s v="384"/>
    <x v="384"/>
    <n v="6200000"/>
    <x v="5"/>
    <n v="1197.5854999999999"/>
    <x v="0"/>
    <n v="21"/>
    <n v="2"/>
    <s v="2014"/>
    <n v="1"/>
    <x v="0"/>
    <n v="19"/>
    <n v="9.5"/>
  </r>
  <r>
    <s v="385"/>
    <x v="385"/>
    <n v="12800000"/>
    <x v="34"/>
    <n v="1192.4063000000001"/>
    <x v="3"/>
    <n v="90"/>
    <n v="19"/>
    <s v="2014"/>
    <n v="1"/>
    <x v="0"/>
    <n v="71"/>
    <n v="3.736842105263158"/>
  </r>
  <r>
    <s v="386"/>
    <x v="386"/>
    <n v="5100000"/>
    <x v="7"/>
    <n v="1191.9137000000001"/>
    <x v="19"/>
    <n v="47"/>
    <n v="6"/>
    <s v="2014"/>
    <n v="1"/>
    <x v="0"/>
    <n v="41"/>
    <n v="6.833333333333333"/>
  </r>
  <r>
    <s v="387"/>
    <x v="387"/>
    <n v="19500000"/>
    <x v="9"/>
    <n v="1190.6532999999999"/>
    <x v="0"/>
    <n v="122"/>
    <n v="16"/>
    <s v="2014"/>
    <n v="1"/>
    <x v="0"/>
    <n v="106"/>
    <n v="6.625"/>
  </r>
  <r>
    <s v="388"/>
    <x v="388"/>
    <n v="2500000"/>
    <x v="4"/>
    <n v="1186.6111000000001"/>
    <x v="0"/>
    <n v="12"/>
    <n v="2"/>
    <s v="2014"/>
    <n v="1"/>
    <x v="0"/>
    <n v="10"/>
    <n v="5"/>
  </r>
  <r>
    <s v="389"/>
    <x v="389"/>
    <n v="4800000"/>
    <x v="13"/>
    <n v="1183.9145000000001"/>
    <x v="17"/>
    <n v="28"/>
    <n v="16"/>
    <s v="2013"/>
    <n v="1"/>
    <x v="0"/>
    <n v="12"/>
    <n v="0.75"/>
  </r>
  <r>
    <s v="390"/>
    <x v="390"/>
    <n v="2900000"/>
    <x v="7"/>
    <n v="1180.3137999999999"/>
    <x v="16"/>
    <n v="11"/>
    <n v="2"/>
    <s v="2013"/>
    <n v="1"/>
    <x v="0"/>
    <n v="9"/>
    <n v="4.5"/>
  </r>
  <r>
    <s v="391"/>
    <x v="391"/>
    <n v="4600000"/>
    <x v="16"/>
    <n v="1168.8844999999999"/>
    <x v="4"/>
    <n v="70"/>
    <n v="5"/>
    <s v="2014"/>
    <n v="1"/>
    <x v="0"/>
    <n v="65"/>
    <n v="13"/>
  </r>
  <r>
    <s v="392"/>
    <x v="392"/>
    <n v="2800000"/>
    <x v="1"/>
    <n v="1168.2828"/>
    <x v="18"/>
    <n v="12"/>
    <n v="2"/>
    <s v="2014"/>
    <n v="1"/>
    <x v="0"/>
    <n v="10"/>
    <n v="5"/>
  </r>
  <r>
    <s v="393"/>
    <x v="393"/>
    <n v="4700000"/>
    <x v="6"/>
    <n v="1165.5447999999999"/>
    <x v="19"/>
    <n v="115"/>
    <n v="15"/>
    <s v="2012"/>
    <n v="2"/>
    <x v="0"/>
    <n v="100"/>
    <n v="6.666666666666667"/>
  </r>
  <r>
    <s v="394"/>
    <x v="394"/>
    <n v="2000000"/>
    <x v="10"/>
    <n v="1163.9585"/>
    <x v="9"/>
    <n v="24"/>
    <n v="2"/>
    <s v="2014"/>
    <n v="1"/>
    <x v="0"/>
    <n v="22"/>
    <n v="11"/>
  </r>
  <r>
    <s v="395"/>
    <x v="395"/>
    <n v="2900000"/>
    <x v="9"/>
    <n v="1156.826"/>
    <x v="9"/>
    <n v="52"/>
    <n v="10"/>
    <s v="2012"/>
    <n v="1"/>
    <x v="0"/>
    <n v="42"/>
    <n v="4.2"/>
  </r>
  <r>
    <s v="396"/>
    <x v="396"/>
    <n v="10100000"/>
    <x v="9"/>
    <n v="1152.1347000000001"/>
    <x v="12"/>
    <n v="30"/>
    <n v="12"/>
    <s v="2013"/>
    <n v="2"/>
    <x v="0"/>
    <n v="18"/>
    <n v="1.5"/>
  </r>
  <r>
    <s v="397"/>
    <x v="397"/>
    <n v="6900000"/>
    <x v="4"/>
    <n v="1147.2141999999999"/>
    <x v="5"/>
    <n v="3"/>
    <n v="2"/>
    <s v="2013"/>
    <n v="1"/>
    <x v="0"/>
    <n v="1"/>
    <n v="0.5"/>
  </r>
  <r>
    <s v="398"/>
    <x v="398"/>
    <n v="3000000"/>
    <x v="29"/>
    <n v="1146.9909"/>
    <x v="3"/>
    <n v="25"/>
    <n v="4"/>
    <s v="2012"/>
    <n v="1"/>
    <x v="0"/>
    <n v="21"/>
    <n v="5.25"/>
  </r>
  <r>
    <s v="399"/>
    <x v="399"/>
    <n v="2800000"/>
    <x v="35"/>
    <n v="1144.3394000000001"/>
    <x v="9"/>
    <n v="7"/>
    <n v="2"/>
    <s v="2012"/>
    <n v="1"/>
    <x v="0"/>
    <n v="5"/>
    <n v="2.5"/>
  </r>
  <r>
    <s v="400"/>
    <x v="400"/>
    <n v="5400000"/>
    <x v="27"/>
    <n v="1141.9407000000001"/>
    <x v="4"/>
    <n v="5"/>
    <n v="1"/>
    <s v="2014"/>
    <n v="1"/>
    <x v="0"/>
    <n v="4"/>
    <n v="4"/>
  </r>
  <r>
    <s v="401"/>
    <x v="401"/>
    <n v="15400000"/>
    <x v="40"/>
    <n v="1141.8701000000001"/>
    <x v="7"/>
    <n v="42"/>
    <n v="6"/>
    <s v="2014"/>
    <n v="1"/>
    <x v="0"/>
    <n v="36"/>
    <n v="6"/>
  </r>
  <r>
    <s v="402"/>
    <x v="402"/>
    <n v="9500000"/>
    <x v="5"/>
    <n v="1137.2337"/>
    <x v="11"/>
    <n v="52"/>
    <n v="8"/>
    <s v="2011"/>
    <n v="2"/>
    <x v="0"/>
    <n v="44"/>
    <n v="5.5"/>
  </r>
  <r>
    <s v="403"/>
    <x v="403"/>
    <n v="4100000"/>
    <x v="9"/>
    <n v="1135.5552"/>
    <x v="23"/>
    <n v="4"/>
    <n v="1"/>
    <s v="2012"/>
    <n v="1"/>
    <x v="0"/>
    <n v="3"/>
    <n v="3"/>
  </r>
  <r>
    <s v="404"/>
    <x v="404"/>
    <n v="211200000"/>
    <x v="16"/>
    <n v="1133.4248"/>
    <x v="0"/>
    <n v="118"/>
    <n v="19"/>
    <s v="2013"/>
    <n v="1"/>
    <x v="0"/>
    <n v="99"/>
    <n v="5.2105263157894735"/>
  </r>
  <r>
    <s v="405"/>
    <x v="405"/>
    <n v="24000000"/>
    <x v="2"/>
    <n v="1130.9366"/>
    <x v="23"/>
    <n v="50"/>
    <n v="12"/>
    <s v="2005"/>
    <n v="1"/>
    <x v="0"/>
    <n v="38"/>
    <n v="3.1666666666666665"/>
  </r>
  <r>
    <s v="406"/>
    <x v="406"/>
    <n v="32700000"/>
    <x v="2"/>
    <n v="1127.9387999999999"/>
    <x v="8"/>
    <n v="37"/>
    <n v="10"/>
    <s v="2012"/>
    <n v="3"/>
    <x v="0"/>
    <n v="27"/>
    <n v="2.7"/>
  </r>
  <r>
    <s v="407"/>
    <x v="407"/>
    <n v="3600000"/>
    <x v="9"/>
    <n v="1120.9253000000001"/>
    <x v="9"/>
    <n v="32"/>
    <n v="6"/>
    <s v="2014"/>
    <n v="1"/>
    <x v="0"/>
    <n v="26"/>
    <n v="4.333333333333333"/>
  </r>
  <r>
    <s v="408"/>
    <x v="408"/>
    <n v="21500000"/>
    <x v="27"/>
    <n v="1115.2385999999999"/>
    <x v="9"/>
    <n v="255"/>
    <n v="55"/>
    <s v="2012"/>
    <n v="1"/>
    <x v="0"/>
    <n v="200"/>
    <n v="3.6363636363636362"/>
  </r>
  <r>
    <s v="409"/>
    <x v="409"/>
    <n v="5600000"/>
    <x v="5"/>
    <n v="1113.4907000000001"/>
    <x v="20"/>
    <n v="10"/>
    <n v="2"/>
    <s v="2008"/>
    <n v="1"/>
    <x v="0"/>
    <n v="8"/>
    <n v="4"/>
  </r>
  <r>
    <s v="410"/>
    <x v="410"/>
    <n v="11600000"/>
    <x v="21"/>
    <n v="1111.7853"/>
    <x v="5"/>
    <n v="55"/>
    <n v="5"/>
    <s v="2012"/>
    <n v="2"/>
    <x v="0"/>
    <n v="50"/>
    <n v="10"/>
  </r>
  <r>
    <s v="411"/>
    <x v="411"/>
    <n v="8800000"/>
    <x v="5"/>
    <n v="1110.7164"/>
    <x v="19"/>
    <n v="7"/>
    <n v="6"/>
    <s v="2014"/>
    <n v="1"/>
    <x v="0"/>
    <n v="1"/>
    <n v="0.16666666666666666"/>
  </r>
  <r>
    <s v="412"/>
    <x v="412"/>
    <n v="7100000"/>
    <x v="9"/>
    <n v="1107.6733999999999"/>
    <x v="0"/>
    <n v="7"/>
    <n v="1"/>
    <s v="2013"/>
    <n v="1"/>
    <x v="0"/>
    <n v="6"/>
    <n v="6"/>
  </r>
  <r>
    <s v="413"/>
    <x v="413"/>
    <n v="368600000"/>
    <x v="2"/>
    <n v="1107.0863999999999"/>
    <x v="1"/>
    <n v="614"/>
    <n v="51"/>
    <s v="2014"/>
    <n v="1"/>
    <x v="0"/>
    <n v="563"/>
    <n v="11.03921568627451"/>
  </r>
  <r>
    <s v="414"/>
    <x v="414"/>
    <n v="5500000"/>
    <x v="9"/>
    <n v="1106.5666000000001"/>
    <x v="1"/>
    <n v="5"/>
    <n v="4"/>
    <s v="2012"/>
    <n v="1"/>
    <x v="0"/>
    <n v="1"/>
    <n v="0.25"/>
  </r>
  <r>
    <s v="415"/>
    <x v="415"/>
    <n v="2800000"/>
    <x v="34"/>
    <n v="1103.3244"/>
    <x v="6"/>
    <n v="23"/>
    <n v="4"/>
    <s v="2015"/>
    <n v="1"/>
    <x v="0"/>
    <n v="19"/>
    <n v="4.75"/>
  </r>
  <r>
    <s v="416"/>
    <x v="416"/>
    <n v="14000000"/>
    <x v="9"/>
    <n v="1103.0117"/>
    <x v="0"/>
    <n v="80"/>
    <n v="12"/>
    <s v="2008"/>
    <n v="1"/>
    <x v="0"/>
    <n v="68"/>
    <n v="5.666666666666667"/>
  </r>
  <r>
    <s v="417"/>
    <x v="417"/>
    <n v="8800000"/>
    <x v="9"/>
    <n v="1097.3859"/>
    <x v="0"/>
    <n v="113"/>
    <n v="23"/>
    <s v="2010"/>
    <n v="2"/>
    <x v="0"/>
    <n v="90"/>
    <n v="3.9130434782608696"/>
  </r>
  <r>
    <s v="418"/>
    <x v="418"/>
    <n v="15800000"/>
    <x v="20"/>
    <n v="1095.0864999999999"/>
    <x v="15"/>
    <n v="51"/>
    <n v="5"/>
    <s v="2014"/>
    <n v="1"/>
    <x v="0"/>
    <n v="46"/>
    <n v="9.1999999999999993"/>
  </r>
  <r>
    <s v="419"/>
    <x v="419"/>
    <n v="35900000"/>
    <x v="9"/>
    <n v="1093.3815"/>
    <x v="0"/>
    <n v="25"/>
    <n v="8"/>
    <s v="2014"/>
    <n v="2"/>
    <x v="0"/>
    <n v="17"/>
    <n v="2.125"/>
  </r>
  <r>
    <s v="420"/>
    <x v="420"/>
    <n v="7000000"/>
    <x v="24"/>
    <n v="1093.3466000000001"/>
    <x v="23"/>
    <n v="65"/>
    <n v="10"/>
    <s v="2012"/>
    <n v="1"/>
    <x v="0"/>
    <n v="55"/>
    <n v="5.5"/>
  </r>
  <r>
    <s v="421"/>
    <x v="421"/>
    <n v="2800000"/>
    <x v="12"/>
    <n v="1093.325"/>
    <x v="18"/>
    <n v="35"/>
    <n v="3"/>
    <s v="2012"/>
    <n v="2"/>
    <x v="0"/>
    <n v="32"/>
    <n v="10.666666666666666"/>
  </r>
  <r>
    <s v="422"/>
    <x v="422"/>
    <n v="2000000"/>
    <x v="40"/>
    <n v="1091.1066000000001"/>
    <x v="19"/>
    <n v="25"/>
    <n v="2"/>
    <s v="2014"/>
    <n v="1"/>
    <x v="0"/>
    <n v="23"/>
    <n v="11.5"/>
  </r>
  <r>
    <s v="423"/>
    <x v="423"/>
    <n v="6900000"/>
    <x v="5"/>
    <n v="1086.4820999999999"/>
    <x v="1"/>
    <n v="8"/>
    <n v="3"/>
    <s v="2014"/>
    <n v="1"/>
    <x v="0"/>
    <n v="5"/>
    <n v="1.6666666666666667"/>
  </r>
  <r>
    <s v="424"/>
    <x v="424"/>
    <n v="9800000"/>
    <x v="7"/>
    <n v="1083.1819"/>
    <x v="11"/>
    <n v="103"/>
    <n v="35"/>
    <s v="2005"/>
    <n v="1"/>
    <x v="0"/>
    <n v="68"/>
    <n v="1.9428571428571428"/>
  </r>
  <r>
    <s v="425"/>
    <x v="425"/>
    <n v="6500000"/>
    <x v="9"/>
    <n v="1074.5554"/>
    <x v="0"/>
    <n v="38"/>
    <n v="3"/>
    <s v="2012"/>
    <n v="2"/>
    <x v="0"/>
    <n v="35"/>
    <n v="11.666666666666666"/>
  </r>
  <r>
    <s v="426"/>
    <x v="426"/>
    <n v="5400000"/>
    <x v="19"/>
    <n v="1073.5922"/>
    <x v="13"/>
    <n v="24"/>
    <n v="4"/>
    <s v="2011"/>
    <n v="1"/>
    <x v="0"/>
    <n v="20"/>
    <n v="5"/>
  </r>
  <r>
    <s v="427"/>
    <x v="427"/>
    <n v="374200000"/>
    <x v="2"/>
    <n v="1064.5360000000001"/>
    <x v="5"/>
    <n v="4572"/>
    <n v="398"/>
    <s v="2003"/>
    <n v="2"/>
    <x v="0"/>
    <n v="4174"/>
    <n v="10.487437185929648"/>
  </r>
  <r>
    <s v="428"/>
    <x v="428"/>
    <n v="5900000"/>
    <x v="2"/>
    <n v="1056.2826"/>
    <x v="4"/>
    <n v="24"/>
    <n v="5"/>
    <s v="2013"/>
    <n v="2"/>
    <x v="0"/>
    <n v="19"/>
    <n v="3.8"/>
  </r>
  <r>
    <s v="429"/>
    <x v="429"/>
    <n v="5200000"/>
    <x v="34"/>
    <n v="1052.2936999999999"/>
    <x v="16"/>
    <n v="30"/>
    <n v="15"/>
    <s v="2013"/>
    <n v="1"/>
    <x v="0"/>
    <n v="15"/>
    <n v="1"/>
  </r>
  <r>
    <s v="430"/>
    <x v="430"/>
    <n v="4300000"/>
    <x v="10"/>
    <n v="1047.1781000000001"/>
    <x v="17"/>
    <n v="13"/>
    <n v="1"/>
    <s v="2009"/>
    <n v="1"/>
    <x v="0"/>
    <n v="12"/>
    <n v="12"/>
  </r>
  <r>
    <s v="431"/>
    <x v="431"/>
    <n v="4900000"/>
    <x v="18"/>
    <n v="1046.9938999999999"/>
    <x v="4"/>
    <n v="210"/>
    <n v="20"/>
    <s v="2015"/>
    <n v="1"/>
    <x v="0"/>
    <n v="190"/>
    <n v="9.5"/>
  </r>
  <r>
    <s v="432"/>
    <x v="432"/>
    <n v="8600000"/>
    <x v="28"/>
    <n v="1046.8096"/>
    <x v="24"/>
    <n v="120"/>
    <n v="15"/>
    <s v="2013"/>
    <n v="2"/>
    <x v="0"/>
    <n v="105"/>
    <n v="7"/>
  </r>
  <r>
    <s v="433"/>
    <x v="433"/>
    <n v="20400000"/>
    <x v="8"/>
    <n v="1045.6964"/>
    <x v="18"/>
    <n v="34"/>
    <n v="12"/>
    <s v="1988"/>
    <n v="1"/>
    <x v="0"/>
    <n v="22"/>
    <n v="1.8333333333333333"/>
  </r>
  <r>
    <s v="434"/>
    <x v="434"/>
    <n v="13200000"/>
    <x v="9"/>
    <n v="1044.9640999999999"/>
    <x v="18"/>
    <n v="130"/>
    <n v="20"/>
    <s v="2011"/>
    <n v="1"/>
    <x v="0"/>
    <n v="110"/>
    <n v="5.5"/>
  </r>
  <r>
    <s v="435"/>
    <x v="435"/>
    <n v="38500000"/>
    <x v="7"/>
    <n v="1043.8893"/>
    <x v="4"/>
    <n v="125"/>
    <n v="50"/>
    <s v="2011"/>
    <n v="2"/>
    <x v="0"/>
    <n v="75"/>
    <n v="1.5"/>
  </r>
  <r>
    <s v="436"/>
    <x v="436"/>
    <n v="21300000"/>
    <x v="7"/>
    <n v="1043.6166000000001"/>
    <x v="19"/>
    <n v="50"/>
    <n v="17"/>
    <s v="2011"/>
    <n v="2"/>
    <x v="0"/>
    <n v="33"/>
    <n v="1.9411764705882353"/>
  </r>
  <r>
    <s v="437"/>
    <x v="437"/>
    <n v="67800000"/>
    <x v="33"/>
    <n v="1043.2461000000001"/>
    <x v="12"/>
    <n v="53"/>
    <n v="12"/>
    <s v="2009"/>
    <n v="4"/>
    <x v="0"/>
    <n v="41"/>
    <n v="3.4166666666666665"/>
  </r>
  <r>
    <s v="438"/>
    <x v="438"/>
    <n v="10100000"/>
    <x v="27"/>
    <n v="1041.7625"/>
    <x v="1"/>
    <n v="80"/>
    <n v="3"/>
    <s v="2013"/>
    <n v="2"/>
    <x v="0"/>
    <n v="77"/>
    <n v="25.666666666666668"/>
  </r>
  <r>
    <s v="439"/>
    <x v="439"/>
    <n v="20800000"/>
    <x v="13"/>
    <n v="1040.1937"/>
    <x v="6"/>
    <n v="19"/>
    <n v="8"/>
    <s v="2011"/>
    <n v="1"/>
    <x v="0"/>
    <n v="11"/>
    <n v="1.375"/>
  </r>
  <r>
    <s v="440"/>
    <x v="440"/>
    <n v="94600000"/>
    <x v="15"/>
    <n v="1034.8425"/>
    <x v="9"/>
    <n v="96"/>
    <n v="13"/>
    <s v="2014"/>
    <n v="2"/>
    <x v="0"/>
    <n v="83"/>
    <n v="6.384615384615385"/>
  </r>
  <r>
    <s v="441"/>
    <x v="441"/>
    <n v="2400000"/>
    <x v="13"/>
    <n v="1033.3862999999999"/>
    <x v="15"/>
    <n v="5"/>
    <n v="1"/>
    <s v="2007"/>
    <n v="1"/>
    <x v="0"/>
    <n v="4"/>
    <n v="4"/>
  </r>
  <r>
    <s v="442"/>
    <x v="442"/>
    <n v="15900000"/>
    <x v="9"/>
    <n v="1031.4816000000001"/>
    <x v="2"/>
    <n v="49"/>
    <n v="9"/>
    <s v="1985"/>
    <n v="2"/>
    <x v="0"/>
    <n v="40"/>
    <n v="4.4444444444444446"/>
  </r>
  <r>
    <s v="443"/>
    <x v="443"/>
    <n v="12700000"/>
    <x v="27"/>
    <n v="1031.0775000000001"/>
    <x v="19"/>
    <n v="94"/>
    <n v="2"/>
    <s v="2011"/>
    <n v="1"/>
    <x v="0"/>
    <n v="92"/>
    <n v="46"/>
  </r>
  <r>
    <s v="444"/>
    <x v="444"/>
    <n v="8900000"/>
    <x v="12"/>
    <n v="1030.5074"/>
    <x v="12"/>
    <n v="9"/>
    <n v="6"/>
    <s v="2014"/>
    <n v="1"/>
    <x v="0"/>
    <n v="3"/>
    <n v="0.5"/>
  </r>
  <r>
    <s v="445"/>
    <x v="445"/>
    <n v="4100000"/>
    <x v="9"/>
    <n v="1022.9622000000001"/>
    <x v="15"/>
    <n v="8"/>
    <n v="1"/>
    <s v="2015"/>
    <n v="1"/>
    <x v="0"/>
    <n v="7"/>
    <n v="7"/>
  </r>
  <r>
    <s v="446"/>
    <x v="446"/>
    <n v="3000000"/>
    <x v="40"/>
    <n v="1021.1287"/>
    <x v="0"/>
    <n v="45"/>
    <n v="4"/>
    <s v="2013"/>
    <n v="1"/>
    <x v="0"/>
    <n v="41"/>
    <n v="10.25"/>
  </r>
  <r>
    <s v="447"/>
    <x v="447"/>
    <n v="22300000"/>
    <x v="27"/>
    <n v="1018.1919"/>
    <x v="2"/>
    <n v="18"/>
    <n v="8"/>
    <s v="2013"/>
    <n v="3"/>
    <x v="0"/>
    <n v="10"/>
    <n v="1.25"/>
  </r>
  <r>
    <s v="448"/>
    <x v="448"/>
    <n v="31400000"/>
    <x v="9"/>
    <n v="1014.7548"/>
    <x v="9"/>
    <n v="238"/>
    <n v="43"/>
    <s v="2012"/>
    <n v="2"/>
    <x v="0"/>
    <n v="195"/>
    <n v="4.5348837209302326"/>
  </r>
  <r>
    <s v="449"/>
    <x v="449"/>
    <n v="74300000"/>
    <x v="20"/>
    <n v="1013.1064"/>
    <x v="5"/>
    <n v="163"/>
    <n v="53"/>
    <s v="1984"/>
    <n v="4"/>
    <x v="0"/>
    <n v="110"/>
    <n v="2.0754716981132075"/>
  </r>
  <r>
    <s v="450"/>
    <x v="450"/>
    <n v="3900000"/>
    <x v="18"/>
    <n v="1006.828"/>
    <x v="1"/>
    <n v="5"/>
    <n v="5"/>
    <s v="2013"/>
    <n v="1"/>
    <x v="1"/>
    <n v="0"/>
    <n v="0"/>
  </r>
  <r>
    <s v="451"/>
    <x v="451"/>
    <n v="5900000"/>
    <x v="21"/>
    <n v="1002.4813"/>
    <x v="11"/>
    <n v="70"/>
    <n v="6"/>
    <s v="2010"/>
    <n v="1"/>
    <x v="0"/>
    <n v="64"/>
    <n v="10.666666666666666"/>
  </r>
  <r>
    <s v="452"/>
    <x v="452"/>
    <n v="45100000"/>
    <x v="41"/>
    <n v="1002.0531999999999"/>
    <x v="23"/>
    <n v="2000"/>
    <n v="400"/>
    <s v="2015"/>
    <n v="1"/>
    <x v="0"/>
    <n v="1600"/>
    <n v="4"/>
  </r>
  <r>
    <s v="453"/>
    <x v="453"/>
    <n v="2700000"/>
    <x v="7"/>
    <n v="1001.6224"/>
    <x v="12"/>
    <n v="45"/>
    <n v="8"/>
    <s v="2014"/>
    <n v="2"/>
    <x v="0"/>
    <n v="37"/>
    <n v="4.625"/>
  </r>
  <r>
    <s v="454"/>
    <x v="454"/>
    <n v="18600000"/>
    <x v="38"/>
    <n v="998.02930000000003"/>
    <x v="21"/>
    <n v="180"/>
    <n v="30"/>
    <s v="2013"/>
    <n v="2"/>
    <x v="0"/>
    <n v="150"/>
    <n v="5"/>
  </r>
  <r>
    <s v="455"/>
    <x v="455"/>
    <n v="159700000"/>
    <x v="9"/>
    <n v="996.02279999999996"/>
    <x v="3"/>
    <n v="77"/>
    <n v="47"/>
    <s v="2013"/>
    <n v="3"/>
    <x v="0"/>
    <n v="30"/>
    <n v="0.63829787234042556"/>
  </r>
  <r>
    <s v="456"/>
    <x v="456"/>
    <n v="4400000"/>
    <x v="9"/>
    <n v="992.66470000000004"/>
    <x v="4"/>
    <n v="45"/>
    <n v="3"/>
    <s v="2014"/>
    <n v="2"/>
    <x v="0"/>
    <n v="42"/>
    <n v="14"/>
  </r>
  <r>
    <s v="457"/>
    <x v="457"/>
    <n v="29800000"/>
    <x v="27"/>
    <n v="987.19370000000004"/>
    <x v="24"/>
    <n v="295"/>
    <n v="52"/>
    <s v="2014"/>
    <n v="1"/>
    <x v="0"/>
    <n v="243"/>
    <n v="4.6730769230769234"/>
  </r>
  <r>
    <s v="458"/>
    <x v="458"/>
    <n v="3600000"/>
    <x v="9"/>
    <n v="987.04240000000004"/>
    <x v="4"/>
    <n v="8"/>
    <n v="4"/>
    <s v="2011"/>
    <n v="1"/>
    <x v="0"/>
    <n v="4"/>
    <n v="1"/>
  </r>
  <r>
    <s v="459"/>
    <x v="459"/>
    <n v="11300000"/>
    <x v="5"/>
    <n v="986.3578"/>
    <x v="4"/>
    <n v="20"/>
    <n v="2"/>
    <s v="2013"/>
    <n v="2"/>
    <x v="0"/>
    <n v="18"/>
    <n v="9"/>
  </r>
  <r>
    <s v="460"/>
    <x v="460"/>
    <n v="7800000"/>
    <x v="25"/>
    <n v="983.45209999999997"/>
    <x v="13"/>
    <n v="39"/>
    <n v="2"/>
    <s v="2015"/>
    <n v="1"/>
    <x v="0"/>
    <n v="37"/>
    <n v="18.5"/>
  </r>
  <r>
    <s v="461"/>
    <x v="461"/>
    <n v="2800000"/>
    <x v="42"/>
    <n v="980.62800000000004"/>
    <x v="4"/>
    <n v="6"/>
    <n v="2"/>
    <s v="2015"/>
    <n v="1"/>
    <x v="0"/>
    <n v="4"/>
    <n v="2"/>
  </r>
  <r>
    <s v="462"/>
    <x v="462"/>
    <n v="3200000"/>
    <x v="7"/>
    <n v="976.76110000000006"/>
    <x v="11"/>
    <n v="15"/>
    <n v="11"/>
    <s v="2005"/>
    <n v="2"/>
    <x v="0"/>
    <n v="4"/>
    <n v="0.36363636363636365"/>
  </r>
  <r>
    <s v="463"/>
    <x v="463"/>
    <n v="18800000"/>
    <x v="5"/>
    <n v="971.01400000000001"/>
    <x v="0"/>
    <n v="26"/>
    <n v="15"/>
    <s v="2009"/>
    <n v="3"/>
    <x v="0"/>
    <n v="11"/>
    <n v="0.73333333333333328"/>
  </r>
  <r>
    <s v="464"/>
    <x v="464"/>
    <n v="7500000"/>
    <x v="2"/>
    <n v="967.57129999999995"/>
    <x v="7"/>
    <n v="48"/>
    <n v="6"/>
    <s v="1909"/>
    <n v="1"/>
    <x v="0"/>
    <n v="42"/>
    <n v="7"/>
  </r>
  <r>
    <s v="465"/>
    <x v="465"/>
    <n v="14200000"/>
    <x v="2"/>
    <n v="967.26829999999995"/>
    <x v="1"/>
    <n v="103"/>
    <n v="27"/>
    <s v="2013"/>
    <n v="1"/>
    <x v="0"/>
    <n v="76"/>
    <n v="2.8148148148148149"/>
  </r>
  <r>
    <s v="466"/>
    <x v="466"/>
    <n v="17400000"/>
    <x v="33"/>
    <n v="966.44240000000002"/>
    <x v="0"/>
    <n v="36"/>
    <n v="13"/>
    <s v="2006"/>
    <n v="1"/>
    <x v="0"/>
    <n v="23"/>
    <n v="1.7692307692307692"/>
  </r>
  <r>
    <s v="467"/>
    <x v="467"/>
    <n v="5800000"/>
    <x v="21"/>
    <n v="966.17039999999997"/>
    <x v="18"/>
    <n v="20"/>
    <n v="4"/>
    <s v="2014"/>
    <n v="1"/>
    <x v="0"/>
    <n v="16"/>
    <n v="4"/>
  </r>
  <r>
    <s v="468"/>
    <x v="468"/>
    <n v="4500000"/>
    <x v="9"/>
    <n v="965.33910000000003"/>
    <x v="0"/>
    <n v="46"/>
    <n v="8"/>
    <s v="2014"/>
    <n v="1"/>
    <x v="0"/>
    <n v="38"/>
    <n v="4.75"/>
  </r>
  <r>
    <s v="469"/>
    <x v="469"/>
    <n v="52300000"/>
    <x v="2"/>
    <n v="957.65920000000006"/>
    <x v="9"/>
    <n v="397"/>
    <n v="155"/>
    <s v="2009"/>
    <n v="3"/>
    <x v="0"/>
    <n v="242"/>
    <n v="1.5612903225806452"/>
  </r>
  <r>
    <s v="470"/>
    <x v="470"/>
    <n v="40000000"/>
    <x v="10"/>
    <n v="957.06209999999999"/>
    <x v="1"/>
    <n v="170"/>
    <n v="35"/>
    <s v="2009"/>
    <n v="1"/>
    <x v="0"/>
    <n v="135"/>
    <n v="3.8571428571428572"/>
  </r>
  <r>
    <s v="471"/>
    <x v="471"/>
    <n v="42900000"/>
    <x v="2"/>
    <n v="956.40930000000003"/>
    <x v="5"/>
    <n v="50"/>
    <n v="16"/>
    <s v="2013"/>
    <n v="1"/>
    <x v="0"/>
    <n v="34"/>
    <n v="2.125"/>
  </r>
  <r>
    <s v="472"/>
    <x v="472"/>
    <n v="11600000"/>
    <x v="7"/>
    <n v="955.40260000000001"/>
    <x v="12"/>
    <n v="87"/>
    <n v="14"/>
    <s v="2012"/>
    <n v="2"/>
    <x v="0"/>
    <n v="73"/>
    <n v="5.2142857142857144"/>
  </r>
  <r>
    <s v="473"/>
    <x v="473"/>
    <n v="2000000"/>
    <x v="11"/>
    <n v="947.21199999999999"/>
    <x v="23"/>
    <n v="34"/>
    <n v="4"/>
    <s v="2012"/>
    <n v="1"/>
    <x v="0"/>
    <n v="30"/>
    <n v="7.5"/>
  </r>
  <r>
    <s v="474"/>
    <x v="474"/>
    <n v="7100000"/>
    <x v="12"/>
    <n v="946.60699999999997"/>
    <x v="0"/>
    <n v="77"/>
    <n v="8"/>
    <s v="2011"/>
    <n v="2"/>
    <x v="0"/>
    <n v="69"/>
    <n v="8.625"/>
  </r>
  <r>
    <s v="475"/>
    <x v="475"/>
    <n v="2000000"/>
    <x v="13"/>
    <n v="935.03480000000002"/>
    <x v="23"/>
    <n v="5"/>
    <n v="13"/>
    <s v="2001"/>
    <n v="1"/>
    <x v="1"/>
    <n v="-8"/>
    <n v="-0.61538461538461542"/>
  </r>
  <r>
    <s v="476"/>
    <x v="476"/>
    <n v="30100000"/>
    <x v="33"/>
    <n v="926.89530000000002"/>
    <x v="23"/>
    <n v="80"/>
    <n v="14"/>
    <s v="2014"/>
    <n v="1"/>
    <x v="0"/>
    <n v="66"/>
    <n v="4.7142857142857144"/>
  </r>
  <r>
    <s v="477"/>
    <x v="477"/>
    <n v="3000000"/>
    <x v="2"/>
    <n v="924.44410000000005"/>
    <x v="9"/>
    <n v="21"/>
    <n v="3"/>
    <s v="2014"/>
    <n v="1"/>
    <x v="0"/>
    <n v="18"/>
    <n v="6"/>
  </r>
  <r>
    <s v="478"/>
    <x v="478"/>
    <n v="7700000"/>
    <x v="9"/>
    <n v="922.49779999999998"/>
    <x v="7"/>
    <n v="13"/>
    <n v="6"/>
    <s v="2012"/>
    <n v="2"/>
    <x v="0"/>
    <n v="7"/>
    <n v="1.1666666666666667"/>
  </r>
  <r>
    <s v="479"/>
    <x v="479"/>
    <n v="22100000"/>
    <x v="9"/>
    <n v="916.09939999999995"/>
    <x v="0"/>
    <n v="65"/>
    <n v="5"/>
    <s v="2013"/>
    <n v="2"/>
    <x v="0"/>
    <n v="60"/>
    <n v="12"/>
  </r>
  <r>
    <s v="480"/>
    <x v="480"/>
    <n v="2500000"/>
    <x v="5"/>
    <n v="916.06700000000001"/>
    <x v="9"/>
    <n v="75"/>
    <n v="20"/>
    <s v="2003"/>
    <n v="1"/>
    <x v="0"/>
    <n v="55"/>
    <n v="2.75"/>
  </r>
  <r>
    <s v="481"/>
    <x v="481"/>
    <n v="2300000"/>
    <x v="41"/>
    <n v="913.73509999999999"/>
    <x v="9"/>
    <n v="20"/>
    <n v="3"/>
    <s v="2013"/>
    <n v="1"/>
    <x v="0"/>
    <n v="17"/>
    <n v="5.666666666666667"/>
  </r>
  <r>
    <s v="482"/>
    <x v="482"/>
    <n v="2500000"/>
    <x v="10"/>
    <n v="912.01350000000002"/>
    <x v="9"/>
    <n v="21"/>
    <n v="10"/>
    <s v="2013"/>
    <n v="1"/>
    <x v="0"/>
    <n v="11"/>
    <n v="1.1000000000000001"/>
  </r>
  <r>
    <s v="483"/>
    <x v="483"/>
    <n v="31300000"/>
    <x v="1"/>
    <n v="910.9692"/>
    <x v="1"/>
    <n v="51"/>
    <n v="6"/>
    <s v="2013"/>
    <n v="2"/>
    <x v="0"/>
    <n v="45"/>
    <n v="7.5"/>
  </r>
  <r>
    <s v="484"/>
    <x v="484"/>
    <n v="3500000"/>
    <x v="7"/>
    <n v="904.62059999999997"/>
    <x v="11"/>
    <n v="20"/>
    <n v="2"/>
    <s v="2004"/>
    <n v="2"/>
    <x v="0"/>
    <n v="18"/>
    <n v="9"/>
  </r>
  <r>
    <s v="485"/>
    <x v="485"/>
    <n v="7200000"/>
    <x v="6"/>
    <n v="904.37109999999996"/>
    <x v="2"/>
    <n v="8"/>
    <n v="5"/>
    <s v="2013"/>
    <n v="2"/>
    <x v="0"/>
    <n v="3"/>
    <n v="0.6"/>
  </r>
  <r>
    <s v="486"/>
    <x v="486"/>
    <n v="59400000"/>
    <x v="9"/>
    <n v="903.18910000000005"/>
    <x v="9"/>
    <n v="574"/>
    <n v="85"/>
    <s v="2012"/>
    <n v="1"/>
    <x v="0"/>
    <n v="489"/>
    <n v="5.7529411764705882"/>
  </r>
  <r>
    <s v="487"/>
    <x v="487"/>
    <n v="78600000"/>
    <x v="24"/>
    <n v="902.20129999999995"/>
    <x v="10"/>
    <n v="90"/>
    <n v="34"/>
    <s v="2010"/>
    <n v="3"/>
    <x v="0"/>
    <n v="56"/>
    <n v="1.6470588235294117"/>
  </r>
  <r>
    <s v="488"/>
    <x v="488"/>
    <n v="11400000"/>
    <x v="37"/>
    <n v="900.69560000000001"/>
    <x v="7"/>
    <n v="61"/>
    <n v="19"/>
    <s v="2015"/>
    <n v="2"/>
    <x v="0"/>
    <n v="42"/>
    <n v="2.2105263157894739"/>
  </r>
  <r>
    <s v="489"/>
    <x v="489"/>
    <n v="5400000"/>
    <x v="18"/>
    <n v="900.46130000000005"/>
    <x v="13"/>
    <n v="7"/>
    <n v="2"/>
    <s v="2009"/>
    <n v="2"/>
    <x v="0"/>
    <n v="5"/>
    <n v="2.5"/>
  </r>
  <r>
    <s v="490"/>
    <x v="490"/>
    <n v="45400000"/>
    <x v="10"/>
    <n v="896.67610000000002"/>
    <x v="10"/>
    <n v="78"/>
    <n v="25"/>
    <s v="2011"/>
    <n v="2"/>
    <x v="0"/>
    <n v="53"/>
    <n v="2.12"/>
  </r>
  <r>
    <s v="491"/>
    <x v="491"/>
    <n v="52400000"/>
    <x v="21"/>
    <n v="895.32730000000004"/>
    <x v="10"/>
    <n v="17"/>
    <n v="5"/>
    <s v="2013"/>
    <n v="1"/>
    <x v="0"/>
    <n v="12"/>
    <n v="2.4"/>
  </r>
  <r>
    <s v="492"/>
    <x v="492"/>
    <n v="5400000"/>
    <x v="5"/>
    <n v="894.68119999999999"/>
    <x v="4"/>
    <n v="30"/>
    <n v="6"/>
    <s v="2012"/>
    <n v="2"/>
    <x v="0"/>
    <n v="24"/>
    <n v="4"/>
  </r>
  <r>
    <s v="493"/>
    <x v="493"/>
    <n v="5300000"/>
    <x v="10"/>
    <n v="893.62699999999995"/>
    <x v="2"/>
    <n v="36"/>
    <n v="12"/>
    <s v="2013"/>
    <n v="1"/>
    <x v="0"/>
    <n v="24"/>
    <n v="2"/>
  </r>
  <r>
    <s v="494"/>
    <x v="494"/>
    <n v="18400000"/>
    <x v="4"/>
    <n v="890.89459999999997"/>
    <x v="15"/>
    <n v="28"/>
    <n v="5"/>
    <s v="2009"/>
    <n v="3"/>
    <x v="0"/>
    <n v="23"/>
    <n v="4.5999999999999996"/>
  </r>
  <r>
    <s v="495"/>
    <x v="495"/>
    <n v="2200000"/>
    <x v="9"/>
    <n v="889.64340000000004"/>
    <x v="5"/>
    <n v="37"/>
    <n v="2"/>
    <s v="2014"/>
    <n v="1"/>
    <x v="0"/>
    <n v="35"/>
    <n v="17.5"/>
  </r>
  <r>
    <s v="496"/>
    <x v="496"/>
    <n v="2900000"/>
    <x v="11"/>
    <n v="886.84109999999998"/>
    <x v="12"/>
    <n v="6"/>
    <n v="2"/>
    <s v="2015"/>
    <n v="1"/>
    <x v="0"/>
    <n v="4"/>
    <n v="2"/>
  </r>
  <r>
    <s v="497"/>
    <x v="497"/>
    <n v="21300000"/>
    <x v="13"/>
    <n v="871.3972"/>
    <x v="23"/>
    <n v="97"/>
    <n v="10"/>
    <s v="2013"/>
    <n v="3"/>
    <x v="0"/>
    <n v="87"/>
    <n v="8.6999999999999993"/>
  </r>
  <r>
    <s v="498"/>
    <x v="498"/>
    <n v="5100000"/>
    <x v="7"/>
    <n v="870.54570000000001"/>
    <x v="19"/>
    <n v="28"/>
    <n v="2"/>
    <s v="2010"/>
    <n v="1"/>
    <x v="0"/>
    <n v="26"/>
    <n v="13"/>
  </r>
  <r>
    <s v="499"/>
    <x v="499"/>
    <n v="4900000"/>
    <x v="2"/>
    <n v="870.47739999999999"/>
    <x v="6"/>
    <n v="15"/>
    <n v="2"/>
    <s v="2010"/>
    <n v="1"/>
    <x v="0"/>
    <n v="13"/>
    <n v="6.5"/>
  </r>
  <r>
    <s v="500"/>
    <x v="500"/>
    <n v="8000000"/>
    <x v="12"/>
    <n v="869.74900000000002"/>
    <x v="7"/>
    <n v="70"/>
    <n v="45"/>
    <s v="2003"/>
    <n v="1"/>
    <x v="0"/>
    <n v="25"/>
    <n v="0.55555555555555558"/>
  </r>
  <r>
    <s v="501"/>
    <x v="501"/>
    <n v="12300000"/>
    <x v="4"/>
    <n v="868.61"/>
    <x v="6"/>
    <n v="45"/>
    <n v="6"/>
    <s v="2005"/>
    <n v="1"/>
    <x v="0"/>
    <n v="39"/>
    <n v="6.5"/>
  </r>
  <r>
    <s v="502"/>
    <x v="502"/>
    <n v="4700000"/>
    <x v="9"/>
    <n v="868.2749"/>
    <x v="5"/>
    <n v="40"/>
    <n v="3"/>
    <s v="2014"/>
    <n v="1"/>
    <x v="0"/>
    <n v="37"/>
    <n v="12.333333333333334"/>
  </r>
  <r>
    <s v="503"/>
    <x v="503"/>
    <n v="3500000"/>
    <x v="19"/>
    <n v="865.79769999999996"/>
    <x v="9"/>
    <n v="11"/>
    <n v="3"/>
    <s v="2008"/>
    <n v="1"/>
    <x v="0"/>
    <n v="8"/>
    <n v="2.6666666666666665"/>
  </r>
  <r>
    <s v="504"/>
    <x v="504"/>
    <n v="8500000"/>
    <x v="39"/>
    <n v="864.79470000000003"/>
    <x v="0"/>
    <n v="30"/>
    <n v="10"/>
    <s v="2015"/>
    <n v="1"/>
    <x v="0"/>
    <n v="20"/>
    <n v="2"/>
  </r>
  <r>
    <s v="505"/>
    <x v="505"/>
    <n v="18100000"/>
    <x v="22"/>
    <n v="864.29809999999998"/>
    <x v="4"/>
    <n v="30"/>
    <n v="2"/>
    <s v="2008"/>
    <n v="3"/>
    <x v="0"/>
    <n v="28"/>
    <n v="14"/>
  </r>
  <r>
    <s v="506"/>
    <x v="506"/>
    <n v="9000000"/>
    <x v="9"/>
    <n v="863.23569999999995"/>
    <x v="5"/>
    <n v="150"/>
    <n v="25"/>
    <s v="2007"/>
    <n v="3"/>
    <x v="0"/>
    <n v="125"/>
    <n v="5"/>
  </r>
  <r>
    <s v="507"/>
    <x v="507"/>
    <n v="10700000"/>
    <x v="4"/>
    <n v="861.24959999999999"/>
    <x v="13"/>
    <n v="54"/>
    <n v="1"/>
    <s v="2011"/>
    <n v="3"/>
    <x v="0"/>
    <n v="53"/>
    <n v="53"/>
  </r>
  <r>
    <s v="508"/>
    <x v="508"/>
    <n v="84300000"/>
    <x v="10"/>
    <n v="857.53120000000001"/>
    <x v="16"/>
    <n v="440"/>
    <n v="190"/>
    <s v="2006"/>
    <n v="2"/>
    <x v="0"/>
    <n v="250"/>
    <n v="1.3157894736842106"/>
  </r>
  <r>
    <s v="509"/>
    <x v="509"/>
    <n v="10300000"/>
    <x v="38"/>
    <n v="856.82780000000002"/>
    <x v="13"/>
    <n v="75"/>
    <n v="6"/>
    <s v="2015"/>
    <n v="1"/>
    <x v="0"/>
    <n v="69"/>
    <n v="11.5"/>
  </r>
  <r>
    <s v="510"/>
    <x v="510"/>
    <n v="2100000"/>
    <x v="27"/>
    <n v="855.36649999999997"/>
    <x v="23"/>
    <n v="12"/>
    <n v="4"/>
    <s v="2011"/>
    <n v="1"/>
    <x v="0"/>
    <n v="8"/>
    <n v="2"/>
  </r>
  <r>
    <s v="511"/>
    <x v="511"/>
    <n v="16200000"/>
    <x v="6"/>
    <n v="854.55550000000005"/>
    <x v="5"/>
    <n v="80"/>
    <n v="25"/>
    <s v="2014"/>
    <n v="1"/>
    <x v="0"/>
    <n v="55"/>
    <n v="2.2000000000000002"/>
  </r>
  <r>
    <s v="512"/>
    <x v="512"/>
    <n v="27200000"/>
    <x v="11"/>
    <n v="854.08439999999996"/>
    <x v="12"/>
    <n v="738"/>
    <n v="125"/>
    <s v="2005"/>
    <n v="4"/>
    <x v="0"/>
    <n v="613"/>
    <n v="4.9039999999999999"/>
  </r>
  <r>
    <s v="513"/>
    <x v="513"/>
    <n v="2200000"/>
    <x v="27"/>
    <n v="852.85599999999999"/>
    <x v="3"/>
    <n v="9"/>
    <n v="1"/>
    <s v="2013"/>
    <n v="1"/>
    <x v="0"/>
    <n v="8"/>
    <n v="8"/>
  </r>
  <r>
    <s v="514"/>
    <x v="514"/>
    <n v="2400000"/>
    <x v="9"/>
    <n v="852.23490000000004"/>
    <x v="9"/>
    <n v="16"/>
    <n v="2"/>
    <s v="2014"/>
    <n v="1"/>
    <x v="0"/>
    <n v="14"/>
    <n v="7"/>
  </r>
  <r>
    <s v="515"/>
    <x v="515"/>
    <n v="8700000"/>
    <x v="34"/>
    <n v="850.24220000000003"/>
    <x v="11"/>
    <n v="68"/>
    <n v="15"/>
    <s v="2011"/>
    <n v="1"/>
    <x v="0"/>
    <n v="53"/>
    <n v="3.5333333333333332"/>
  </r>
  <r>
    <s v="516"/>
    <x v="516"/>
    <n v="6100000"/>
    <x v="7"/>
    <n v="850.19889999999998"/>
    <x v="23"/>
    <n v="30"/>
    <n v="3"/>
    <s v="2012"/>
    <n v="1"/>
    <x v="0"/>
    <n v="27"/>
    <n v="9"/>
  </r>
  <r>
    <s v="517"/>
    <x v="517"/>
    <n v="16300000"/>
    <x v="2"/>
    <n v="847.94529999999997"/>
    <x v="15"/>
    <n v="23"/>
    <n v="6"/>
    <s v="2009"/>
    <n v="3"/>
    <x v="0"/>
    <n v="17"/>
    <n v="2.8333333333333335"/>
  </r>
  <r>
    <s v="518"/>
    <x v="518"/>
    <n v="3800000"/>
    <x v="7"/>
    <n v="845.46169999999995"/>
    <x v="3"/>
    <n v="15"/>
    <n v="4"/>
    <s v="2015"/>
    <n v="1"/>
    <x v="0"/>
    <n v="11"/>
    <n v="2.75"/>
  </r>
  <r>
    <s v="519"/>
    <x v="519"/>
    <n v="12600000"/>
    <x v="21"/>
    <n v="844.43320000000006"/>
    <x v="11"/>
    <n v="91"/>
    <n v="5"/>
    <s v="2005"/>
    <n v="2"/>
    <x v="0"/>
    <n v="86"/>
    <n v="17.2"/>
  </r>
  <r>
    <s v="520"/>
    <x v="520"/>
    <n v="9700000"/>
    <x v="32"/>
    <n v="843.09760000000006"/>
    <x v="1"/>
    <n v="60"/>
    <n v="5"/>
    <s v="2014"/>
    <n v="1"/>
    <x v="0"/>
    <n v="55"/>
    <n v="11"/>
  </r>
  <r>
    <s v="521"/>
    <x v="521"/>
    <n v="21300000"/>
    <x v="2"/>
    <n v="842.39049999999997"/>
    <x v="24"/>
    <n v="107"/>
    <n v="9"/>
    <s v="2012"/>
    <n v="3"/>
    <x v="0"/>
    <n v="98"/>
    <n v="10.888888888888889"/>
  </r>
  <r>
    <s v="522"/>
    <x v="522"/>
    <n v="6600000"/>
    <x v="0"/>
    <n v="837.09010000000001"/>
    <x v="13"/>
    <n v="12"/>
    <n v="3"/>
    <s v="2012"/>
    <n v="2"/>
    <x v="0"/>
    <n v="9"/>
    <n v="3"/>
  </r>
  <r>
    <s v="523"/>
    <x v="523"/>
    <n v="2500000"/>
    <x v="24"/>
    <n v="836.24120000000005"/>
    <x v="11"/>
    <n v="51"/>
    <n v="8"/>
    <s v="2013"/>
    <n v="1"/>
    <x v="0"/>
    <n v="43"/>
    <n v="5.375"/>
  </r>
  <r>
    <s v="524"/>
    <x v="524"/>
    <n v="17500000"/>
    <x v="12"/>
    <n v="833.85770000000002"/>
    <x v="5"/>
    <n v="27"/>
    <n v="6"/>
    <s v="2015"/>
    <n v="1"/>
    <x v="0"/>
    <n v="21"/>
    <n v="3.5"/>
  </r>
  <r>
    <s v="525"/>
    <x v="525"/>
    <n v="492500000"/>
    <x v="18"/>
    <n v="831.31809999999996"/>
    <x v="11"/>
    <n v="37"/>
    <n v="80"/>
    <s v="2001"/>
    <n v="2"/>
    <x v="1"/>
    <n v="-43"/>
    <n v="-0.53749999999999998"/>
  </r>
  <r>
    <s v="526"/>
    <x v="526"/>
    <n v="6000000"/>
    <x v="12"/>
    <n v="829.62040000000002"/>
    <x v="0"/>
    <n v="149"/>
    <n v="28"/>
    <s v="2013"/>
    <n v="1"/>
    <x v="0"/>
    <n v="121"/>
    <n v="4.3214285714285712"/>
  </r>
  <r>
    <s v="527"/>
    <x v="527"/>
    <n v="4500000"/>
    <x v="9"/>
    <n v="828.26499999999999"/>
    <x v="3"/>
    <n v="30"/>
    <n v="4"/>
    <s v="2011"/>
    <n v="1"/>
    <x v="0"/>
    <n v="26"/>
    <n v="6.5"/>
  </r>
  <r>
    <s v="528"/>
    <x v="528"/>
    <n v="9500000"/>
    <x v="12"/>
    <n v="828.03150000000005"/>
    <x v="9"/>
    <n v="29"/>
    <n v="3"/>
    <s v="2009"/>
    <n v="2"/>
    <x v="0"/>
    <n v="26"/>
    <n v="8.6666666666666661"/>
  </r>
  <r>
    <s v="529"/>
    <x v="529"/>
    <n v="4800000"/>
    <x v="32"/>
    <n v="827.66499999999996"/>
    <x v="3"/>
    <n v="36"/>
    <n v="5"/>
    <s v="2014"/>
    <n v="2"/>
    <x v="0"/>
    <n v="31"/>
    <n v="6.2"/>
  </r>
  <r>
    <s v="530"/>
    <x v="530"/>
    <n v="3000000"/>
    <x v="2"/>
    <n v="825.99469999999997"/>
    <x v="16"/>
    <n v="27"/>
    <n v="3"/>
    <s v="2012"/>
    <n v="1"/>
    <x v="0"/>
    <n v="24"/>
    <n v="8"/>
  </r>
  <r>
    <s v="531"/>
    <x v="531"/>
    <n v="2200000"/>
    <x v="7"/>
    <n v="823.92949999999996"/>
    <x v="4"/>
    <n v="12"/>
    <n v="2"/>
    <s v="2014"/>
    <n v="1"/>
    <x v="0"/>
    <n v="10"/>
    <n v="5"/>
  </r>
  <r>
    <s v="532"/>
    <x v="532"/>
    <n v="4500000"/>
    <x v="9"/>
    <n v="819.83360000000005"/>
    <x v="2"/>
    <n v="10"/>
    <n v="2"/>
    <s v="2014"/>
    <n v="2"/>
    <x v="0"/>
    <n v="8"/>
    <n v="4"/>
  </r>
  <r>
    <s v="533"/>
    <x v="533"/>
    <n v="15300000"/>
    <x v="10"/>
    <n v="818.43129999999996"/>
    <x v="5"/>
    <n v="250"/>
    <n v="35"/>
    <s v="2004"/>
    <n v="3"/>
    <x v="0"/>
    <n v="215"/>
    <n v="6.1428571428571432"/>
  </r>
  <r>
    <s v="534"/>
    <x v="534"/>
    <n v="2900000"/>
    <x v="9"/>
    <n v="817.2645"/>
    <x v="9"/>
    <n v="20"/>
    <n v="46"/>
    <s v="2012"/>
    <n v="2"/>
    <x v="1"/>
    <n v="-26"/>
    <n v="-0.56521739130434778"/>
  </r>
  <r>
    <s v="535"/>
    <x v="535"/>
    <n v="7900000"/>
    <x v="13"/>
    <n v="816.74850000000004"/>
    <x v="3"/>
    <n v="25"/>
    <n v="5"/>
    <s v="2013"/>
    <n v="2"/>
    <x v="0"/>
    <n v="20"/>
    <n v="4"/>
  </r>
  <r>
    <s v="536"/>
    <x v="536"/>
    <n v="53500000"/>
    <x v="8"/>
    <n v="816.45439999999996"/>
    <x v="23"/>
    <n v="33"/>
    <n v="9"/>
    <s v="2013"/>
    <n v="2"/>
    <x v="0"/>
    <n v="24"/>
    <n v="2.6666666666666665"/>
  </r>
  <r>
    <s v="537"/>
    <x v="537"/>
    <n v="13600000"/>
    <x v="9"/>
    <n v="816.39229999999998"/>
    <x v="1"/>
    <n v="39"/>
    <n v="11"/>
    <s v="2013"/>
    <n v="1"/>
    <x v="0"/>
    <n v="28"/>
    <n v="2.5454545454545454"/>
  </r>
  <r>
    <s v="538"/>
    <x v="538"/>
    <n v="19000000"/>
    <x v="13"/>
    <n v="815.70219999999995"/>
    <x v="11"/>
    <n v="210"/>
    <n v="20"/>
    <s v="2014"/>
    <n v="1"/>
    <x v="0"/>
    <n v="190"/>
    <n v="9.5"/>
  </r>
  <r>
    <s v="539"/>
    <x v="539"/>
    <n v="4700000"/>
    <x v="29"/>
    <n v="815.15150000000006"/>
    <x v="19"/>
    <n v="13"/>
    <n v="3"/>
    <s v="2014"/>
    <n v="1"/>
    <x v="0"/>
    <n v="10"/>
    <n v="3.3333333333333335"/>
  </r>
  <r>
    <s v="540"/>
    <x v="540"/>
    <n v="2400000"/>
    <x v="40"/>
    <n v="814.31399999999996"/>
    <x v="23"/>
    <n v="18"/>
    <n v="7"/>
    <s v="2010"/>
    <n v="1"/>
    <x v="0"/>
    <n v="11"/>
    <n v="1.5714285714285714"/>
  </r>
  <r>
    <s v="541"/>
    <x v="541"/>
    <n v="8100000"/>
    <x v="20"/>
    <n v="813.06470000000002"/>
    <x v="11"/>
    <n v="13"/>
    <n v="5"/>
    <s v="2009"/>
    <n v="2"/>
    <x v="0"/>
    <n v="8"/>
    <n v="1.6"/>
  </r>
  <r>
    <s v="542"/>
    <x v="542"/>
    <n v="2000000"/>
    <x v="32"/>
    <n v="812.00609999999995"/>
    <x v="0"/>
    <n v="15"/>
    <n v="1"/>
    <s v="2015"/>
    <n v="1"/>
    <x v="0"/>
    <n v="14"/>
    <n v="14"/>
  </r>
  <r>
    <s v="543"/>
    <x v="543"/>
    <n v="171800000"/>
    <x v="2"/>
    <n v="810.92930000000001"/>
    <x v="12"/>
    <n v="500"/>
    <n v="35"/>
    <s v="2014"/>
    <n v="2"/>
    <x v="0"/>
    <n v="465"/>
    <n v="13.285714285714286"/>
  </r>
  <r>
    <s v="544"/>
    <x v="544"/>
    <n v="31600000"/>
    <x v="12"/>
    <n v="810.5992"/>
    <x v="3"/>
    <n v="23"/>
    <n v="8"/>
    <s v="2009"/>
    <n v="6"/>
    <x v="0"/>
    <n v="15"/>
    <n v="1.875"/>
  </r>
  <r>
    <s v="545"/>
    <x v="545"/>
    <n v="8200000"/>
    <x v="4"/>
    <n v="810.34349999999995"/>
    <x v="9"/>
    <n v="46"/>
    <n v="8"/>
    <s v="2012"/>
    <n v="2"/>
    <x v="0"/>
    <n v="38"/>
    <n v="4.75"/>
  </r>
  <r>
    <s v="546"/>
    <x v="546"/>
    <n v="7300000"/>
    <x v="14"/>
    <n v="809.88969999999995"/>
    <x v="10"/>
    <n v="10"/>
    <n v="3"/>
    <s v="2014"/>
    <n v="1"/>
    <x v="0"/>
    <n v="7"/>
    <n v="2.3333333333333335"/>
  </r>
  <r>
    <s v="547"/>
    <x v="547"/>
    <n v="6200000"/>
    <x v="12"/>
    <n v="809.77949999999998"/>
    <x v="1"/>
    <n v="35"/>
    <n v="5"/>
    <s v="2014"/>
    <n v="1"/>
    <x v="0"/>
    <n v="30"/>
    <n v="6"/>
  </r>
  <r>
    <s v="548"/>
    <x v="548"/>
    <n v="10700000"/>
    <x v="34"/>
    <n v="809.24149999999997"/>
    <x v="11"/>
    <n v="43"/>
    <n v="8"/>
    <s v="2009"/>
    <n v="2"/>
    <x v="0"/>
    <n v="35"/>
    <n v="4.375"/>
  </r>
  <r>
    <s v="549"/>
    <x v="549"/>
    <n v="5500000"/>
    <x v="5"/>
    <n v="808.52480000000003"/>
    <x v="22"/>
    <n v="28"/>
    <n v="6"/>
    <s v="2014"/>
    <n v="2"/>
    <x v="0"/>
    <n v="22"/>
    <n v="3.6666666666666665"/>
  </r>
  <r>
    <s v="550"/>
    <x v="550"/>
    <n v="37600000"/>
    <x v="29"/>
    <n v="808.48090000000002"/>
    <x v="23"/>
    <n v="316"/>
    <n v="233"/>
    <s v="2013"/>
    <n v="2"/>
    <x v="0"/>
    <n v="83"/>
    <n v="0.35622317596566522"/>
  </r>
  <r>
    <s v="551"/>
    <x v="551"/>
    <n v="7500000"/>
    <x v="27"/>
    <n v="807.77409999999998"/>
    <x v="15"/>
    <n v="18"/>
    <n v="6"/>
    <s v="2014"/>
    <n v="1"/>
    <x v="0"/>
    <n v="12"/>
    <n v="2"/>
  </r>
  <r>
    <s v="552"/>
    <x v="552"/>
    <n v="11000000"/>
    <x v="9"/>
    <n v="805.07410000000004"/>
    <x v="9"/>
    <n v="66"/>
    <n v="12"/>
    <s v="2011"/>
    <n v="2"/>
    <x v="0"/>
    <n v="54"/>
    <n v="4.5"/>
  </r>
  <r>
    <s v="553"/>
    <x v="553"/>
    <n v="5300000"/>
    <x v="17"/>
    <n v="803.9375"/>
    <x v="7"/>
    <n v="33"/>
    <n v="4"/>
    <s v="2014"/>
    <n v="2"/>
    <x v="0"/>
    <n v="29"/>
    <n v="7.25"/>
  </r>
  <r>
    <s v="554"/>
    <x v="554"/>
    <n v="6000000"/>
    <x v="12"/>
    <n v="801.44830000000002"/>
    <x v="3"/>
    <n v="9"/>
    <n v="2"/>
    <s v="2008"/>
    <n v="2"/>
    <x v="0"/>
    <n v="7"/>
    <n v="3.5"/>
  </r>
  <r>
    <s v="555"/>
    <x v="555"/>
    <n v="10700000"/>
    <x v="8"/>
    <n v="800.5729"/>
    <x v="15"/>
    <n v="9"/>
    <n v="2"/>
    <s v="2014"/>
    <n v="1"/>
    <x v="0"/>
    <n v="7"/>
    <n v="3.5"/>
  </r>
  <r>
    <s v="556"/>
    <x v="556"/>
    <n v="9200000"/>
    <x v="6"/>
    <n v="800.38570000000004"/>
    <x v="11"/>
    <n v="18"/>
    <n v="5"/>
    <s v="2006"/>
    <n v="3"/>
    <x v="0"/>
    <n v="13"/>
    <n v="2.6"/>
  </r>
  <r>
    <s v="557"/>
    <x v="557"/>
    <n v="2200000"/>
    <x v="21"/>
    <n v="797.33510000000001"/>
    <x v="19"/>
    <n v="72"/>
    <n v="2"/>
    <s v="2008"/>
    <n v="1"/>
    <x v="0"/>
    <n v="70"/>
    <n v="35"/>
  </r>
  <r>
    <s v="558"/>
    <x v="558"/>
    <n v="12600000"/>
    <x v="9"/>
    <n v="797.08590000000004"/>
    <x v="9"/>
    <n v="134"/>
    <n v="95"/>
    <s v="2007"/>
    <n v="3"/>
    <x v="0"/>
    <n v="39"/>
    <n v="0.41052631578947368"/>
  </r>
  <r>
    <s v="559"/>
    <x v="559"/>
    <n v="27400000"/>
    <x v="18"/>
    <n v="794.18340000000001"/>
    <x v="16"/>
    <n v="160"/>
    <n v="32"/>
    <s v="2014"/>
    <n v="2"/>
    <x v="0"/>
    <n v="128"/>
    <n v="4"/>
  </r>
  <r>
    <s v="560"/>
    <x v="560"/>
    <n v="2000000"/>
    <x v="7"/>
    <n v="794.00450000000001"/>
    <x v="23"/>
    <n v="10"/>
    <n v="5"/>
    <s v="2009"/>
    <n v="1"/>
    <x v="0"/>
    <n v="5"/>
    <n v="1"/>
  </r>
  <r>
    <s v="561"/>
    <x v="561"/>
    <n v="17200000"/>
    <x v="9"/>
    <n v="791.56119999999999"/>
    <x v="16"/>
    <n v="700"/>
    <n v="250"/>
    <s v="2009"/>
    <n v="1"/>
    <x v="0"/>
    <n v="450"/>
    <n v="1.8"/>
  </r>
  <r>
    <s v="562"/>
    <x v="562"/>
    <n v="138500000"/>
    <x v="12"/>
    <n v="790.14980000000003"/>
    <x v="0"/>
    <n v="205"/>
    <n v="60"/>
    <s v="2012"/>
    <n v="3"/>
    <x v="0"/>
    <n v="145"/>
    <n v="2.4166666666666665"/>
  </r>
  <r>
    <s v="563"/>
    <x v="563"/>
    <n v="6900000"/>
    <x v="12"/>
    <n v="786.74959999999999"/>
    <x v="0"/>
    <n v="32"/>
    <n v="4"/>
    <s v="2014"/>
    <n v="2"/>
    <x v="0"/>
    <n v="28"/>
    <n v="7"/>
  </r>
  <r>
    <s v="564"/>
    <x v="564"/>
    <n v="77400000"/>
    <x v="18"/>
    <n v="785.5059"/>
    <x v="3"/>
    <n v="500"/>
    <n v="56"/>
    <s v="2013"/>
    <n v="1"/>
    <x v="0"/>
    <n v="444"/>
    <n v="7.9285714285714288"/>
  </r>
  <r>
    <s v="565"/>
    <x v="565"/>
    <n v="16700000"/>
    <x v="2"/>
    <n v="784.26469999999995"/>
    <x v="3"/>
    <n v="11"/>
    <n v="4"/>
    <s v="2014"/>
    <n v="1"/>
    <x v="0"/>
    <n v="7"/>
    <n v="1.75"/>
  </r>
  <r>
    <s v="566"/>
    <x v="566"/>
    <n v="8900000"/>
    <x v="21"/>
    <n v="783.74760000000003"/>
    <x v="11"/>
    <n v="38"/>
    <n v="9"/>
    <s v="2011"/>
    <n v="2"/>
    <x v="0"/>
    <n v="29"/>
    <n v="3.2222222222222223"/>
  </r>
  <r>
    <s v="567"/>
    <x v="567"/>
    <n v="2800000"/>
    <x v="12"/>
    <n v="777.71510000000001"/>
    <x v="0"/>
    <n v="11"/>
    <n v="2"/>
    <s v="2014"/>
    <n v="1"/>
    <x v="0"/>
    <n v="9"/>
    <n v="4.5"/>
  </r>
  <r>
    <s v="568"/>
    <x v="568"/>
    <n v="70700000"/>
    <x v="34"/>
    <n v="775.73500000000001"/>
    <x v="11"/>
    <n v="280"/>
    <n v="25"/>
    <s v="2010"/>
    <n v="2"/>
    <x v="0"/>
    <n v="255"/>
    <n v="10.199999999999999"/>
  </r>
  <r>
    <s v="569"/>
    <x v="569"/>
    <n v="46400000"/>
    <x v="5"/>
    <n v="775.29880000000003"/>
    <x v="11"/>
    <n v="190"/>
    <n v="50"/>
    <s v="2011"/>
    <n v="3"/>
    <x v="0"/>
    <n v="140"/>
    <n v="2.8"/>
  </r>
  <r>
    <s v="570"/>
    <x v="570"/>
    <n v="5000000"/>
    <x v="22"/>
    <n v="773.74599999999998"/>
    <x v="24"/>
    <n v="90"/>
    <n v="15"/>
    <s v="2013"/>
    <n v="1"/>
    <x v="0"/>
    <n v="75"/>
    <n v="5"/>
  </r>
  <r>
    <s v="571"/>
    <x v="571"/>
    <n v="3700000"/>
    <x v="19"/>
    <n v="773.52059999999994"/>
    <x v="0"/>
    <n v="22"/>
    <n v="5"/>
    <s v="2015"/>
    <n v="1"/>
    <x v="0"/>
    <n v="17"/>
    <n v="3.4"/>
  </r>
  <r>
    <s v="572"/>
    <x v="572"/>
    <n v="17500000"/>
    <x v="33"/>
    <n v="771.86400000000003"/>
    <x v="23"/>
    <n v="55"/>
    <n v="3"/>
    <s v="2012"/>
    <n v="1"/>
    <x v="0"/>
    <n v="52"/>
    <n v="17.333333333333332"/>
  </r>
  <r>
    <s v="573"/>
    <x v="573"/>
    <n v="41900000"/>
    <x v="4"/>
    <n v="771.00279999999998"/>
    <x v="1"/>
    <n v="83"/>
    <n v="7"/>
    <s v="2013"/>
    <n v="1"/>
    <x v="0"/>
    <n v="76"/>
    <n v="10.857142857142858"/>
  </r>
  <r>
    <s v="574"/>
    <x v="574"/>
    <n v="79600000"/>
    <x v="27"/>
    <n v="769.61739999999998"/>
    <x v="5"/>
    <n v="41"/>
    <n v="10"/>
    <s v="2003"/>
    <n v="1"/>
    <x v="0"/>
    <n v="31"/>
    <n v="3.1"/>
  </r>
  <r>
    <s v="575"/>
    <x v="575"/>
    <n v="16400000"/>
    <x v="7"/>
    <n v="768.67740000000003"/>
    <x v="11"/>
    <n v="67"/>
    <n v="23"/>
    <s v="2012"/>
    <n v="3"/>
    <x v="0"/>
    <n v="44"/>
    <n v="1.9130434782608696"/>
  </r>
  <r>
    <s v="576"/>
    <x v="576"/>
    <n v="12500000"/>
    <x v="7"/>
    <n v="767.88710000000003"/>
    <x v="11"/>
    <n v="65"/>
    <n v="10"/>
    <s v="2013"/>
    <n v="2"/>
    <x v="0"/>
    <n v="55"/>
    <n v="5.5"/>
  </r>
  <r>
    <s v="577"/>
    <x v="577"/>
    <n v="37300000"/>
    <x v="24"/>
    <n v="767.43389999999999"/>
    <x v="15"/>
    <n v="225"/>
    <n v="30"/>
    <s v="2012"/>
    <n v="1"/>
    <x v="0"/>
    <n v="195"/>
    <n v="6.5"/>
  </r>
  <r>
    <s v="578"/>
    <x v="578"/>
    <n v="4600000"/>
    <x v="0"/>
    <n v="766.89869999999996"/>
    <x v="8"/>
    <n v="23"/>
    <n v="3"/>
    <s v="2012"/>
    <n v="2"/>
    <x v="0"/>
    <n v="20"/>
    <n v="6.666666666666667"/>
  </r>
  <r>
    <s v="579"/>
    <x v="579"/>
    <n v="7000000"/>
    <x v="36"/>
    <n v="764.94230000000005"/>
    <x v="0"/>
    <n v="8"/>
    <n v="2"/>
    <s v="2014"/>
    <n v="1"/>
    <x v="0"/>
    <n v="6"/>
    <n v="3"/>
  </r>
  <r>
    <s v="580"/>
    <x v="580"/>
    <n v="10000000"/>
    <x v="40"/>
    <n v="763.69050000000004"/>
    <x v="7"/>
    <n v="23"/>
    <n v="5"/>
    <s v="2008"/>
    <n v="2"/>
    <x v="0"/>
    <n v="18"/>
    <n v="3.6"/>
  </r>
  <r>
    <s v="581"/>
    <x v="581"/>
    <n v="6100000"/>
    <x v="5"/>
    <n v="762.61329999999998"/>
    <x v="22"/>
    <n v="10"/>
    <n v="3"/>
    <s v="2012"/>
    <n v="1"/>
    <x v="0"/>
    <n v="7"/>
    <n v="2.3333333333333335"/>
  </r>
  <r>
    <s v="582"/>
    <x v="582"/>
    <n v="17100000"/>
    <x v="7"/>
    <n v="758.82360000000006"/>
    <x v="11"/>
    <n v="183"/>
    <n v="15"/>
    <s v="2001"/>
    <n v="3"/>
    <x v="0"/>
    <n v="168"/>
    <n v="11.2"/>
  </r>
  <r>
    <s v="583"/>
    <x v="583"/>
    <n v="45500000"/>
    <x v="5"/>
    <n v="758.55470000000003"/>
    <x v="22"/>
    <n v="70"/>
    <n v="27"/>
    <s v="2011"/>
    <n v="4"/>
    <x v="0"/>
    <n v="43"/>
    <n v="1.5925925925925926"/>
  </r>
  <r>
    <s v="584"/>
    <x v="584"/>
    <n v="21800000"/>
    <x v="13"/>
    <n v="758.47979999999995"/>
    <x v="12"/>
    <n v="22"/>
    <n v="5"/>
    <s v="2015"/>
    <n v="2"/>
    <x v="0"/>
    <n v="17"/>
    <n v="3.4"/>
  </r>
  <r>
    <s v="585"/>
    <x v="585"/>
    <n v="3600000"/>
    <x v="27"/>
    <n v="758.1191"/>
    <x v="20"/>
    <n v="41"/>
    <n v="20"/>
    <s v="2013"/>
    <n v="1"/>
    <x v="0"/>
    <n v="21"/>
    <n v="1.05"/>
  </r>
  <r>
    <s v="586"/>
    <x v="586"/>
    <n v="2500000"/>
    <x v="7"/>
    <n v="756.4864"/>
    <x v="25"/>
    <n v="14"/>
    <n v="2"/>
    <s v="2010"/>
    <n v="2"/>
    <x v="0"/>
    <n v="12"/>
    <n v="6"/>
  </r>
  <r>
    <s v="587"/>
    <x v="587"/>
    <n v="18800000"/>
    <x v="11"/>
    <n v="754.75789999999995"/>
    <x v="0"/>
    <n v="33"/>
    <n v="8"/>
    <s v="2010"/>
    <n v="4"/>
    <x v="0"/>
    <n v="25"/>
    <n v="3.125"/>
  </r>
  <r>
    <s v="588"/>
    <x v="588"/>
    <n v="3700000"/>
    <x v="13"/>
    <n v="754.65539999999999"/>
    <x v="24"/>
    <n v="25"/>
    <n v="3"/>
    <s v="2014"/>
    <n v="2"/>
    <x v="0"/>
    <n v="22"/>
    <n v="7.333333333333333"/>
  </r>
  <r>
    <s v="589"/>
    <x v="589"/>
    <n v="4100000"/>
    <x v="37"/>
    <n v="754.35900000000004"/>
    <x v="3"/>
    <n v="4"/>
    <n v="2"/>
    <s v="2009"/>
    <n v="2"/>
    <x v="0"/>
    <n v="2"/>
    <n v="1"/>
  </r>
  <r>
    <s v="590"/>
    <x v="590"/>
    <n v="3400000"/>
    <x v="2"/>
    <n v="754.02660000000003"/>
    <x v="25"/>
    <n v="34"/>
    <n v="7"/>
    <s v="2008"/>
    <n v="1"/>
    <x v="0"/>
    <n v="27"/>
    <n v="3.8571428571428572"/>
  </r>
  <r>
    <s v="591"/>
    <x v="591"/>
    <n v="13000000"/>
    <x v="24"/>
    <n v="751.24440000000004"/>
    <x v="0"/>
    <n v="21"/>
    <n v="15"/>
    <s v="2010"/>
    <n v="3"/>
    <x v="0"/>
    <n v="6"/>
    <n v="0.4"/>
  </r>
  <r>
    <s v="592"/>
    <x v="592"/>
    <n v="16900000"/>
    <x v="21"/>
    <n v="750.88130000000001"/>
    <x v="11"/>
    <n v="35"/>
    <n v="16"/>
    <s v="2008"/>
    <n v="3"/>
    <x v="0"/>
    <n v="19"/>
    <n v="1.1875"/>
  </r>
  <r>
    <s v="593"/>
    <x v="593"/>
    <n v="6000000"/>
    <x v="27"/>
    <n v="750.33699999999999"/>
    <x v="4"/>
    <n v="10"/>
    <n v="3"/>
    <s v="2011"/>
    <n v="2"/>
    <x v="0"/>
    <n v="7"/>
    <n v="2.3333333333333335"/>
  </r>
  <r>
    <s v="594"/>
    <x v="594"/>
    <n v="5000000"/>
    <x v="9"/>
    <n v="749.8904"/>
    <x v="13"/>
    <n v="14"/>
    <n v="2"/>
    <s v="2012"/>
    <n v="1"/>
    <x v="0"/>
    <n v="12"/>
    <n v="6"/>
  </r>
  <r>
    <s v="595"/>
    <x v="595"/>
    <n v="5300000"/>
    <x v="0"/>
    <n v="746.88660000000004"/>
    <x v="19"/>
    <n v="45"/>
    <n v="5"/>
    <s v="2015"/>
    <n v="1"/>
    <x v="0"/>
    <n v="40"/>
    <n v="8"/>
  </r>
  <r>
    <s v="596"/>
    <x v="596"/>
    <n v="2000000"/>
    <x v="41"/>
    <n v="746.03989999999999"/>
    <x v="23"/>
    <n v="18"/>
    <n v="4"/>
    <s v="2011"/>
    <n v="1"/>
    <x v="0"/>
    <n v="14"/>
    <n v="3.5"/>
  </r>
  <r>
    <s v="597"/>
    <x v="597"/>
    <n v="14900000"/>
    <x v="16"/>
    <n v="743.58489999999995"/>
    <x v="3"/>
    <n v="39"/>
    <n v="9"/>
    <s v="2013"/>
    <n v="2"/>
    <x v="0"/>
    <n v="30"/>
    <n v="3.3333333333333335"/>
  </r>
  <r>
    <s v="598"/>
    <x v="598"/>
    <n v="4000000"/>
    <x v="21"/>
    <n v="742.78430000000003"/>
    <x v="11"/>
    <n v="30"/>
    <n v="5"/>
    <s v="2013"/>
    <n v="1"/>
    <x v="0"/>
    <n v="25"/>
    <n v="5"/>
  </r>
  <r>
    <s v="599"/>
    <x v="599"/>
    <n v="44000000"/>
    <x v="9"/>
    <n v="741.23900000000003"/>
    <x v="4"/>
    <n v="55"/>
    <n v="15"/>
    <s v="2014"/>
    <n v="1"/>
    <x v="0"/>
    <n v="40"/>
    <n v="2.6666666666666665"/>
  </r>
  <r>
    <s v="600"/>
    <x v="600"/>
    <n v="6000000"/>
    <x v="13"/>
    <n v="740.05039999999997"/>
    <x v="19"/>
    <n v="113"/>
    <n v="42"/>
    <s v="2015"/>
    <n v="1"/>
    <x v="0"/>
    <n v="71"/>
    <n v="1.6904761904761905"/>
  </r>
  <r>
    <s v="601"/>
    <x v="601"/>
    <n v="3400000"/>
    <x v="27"/>
    <n v="738.51020000000005"/>
    <x v="24"/>
    <n v="12"/>
    <n v="3"/>
    <s v="2012"/>
    <n v="1"/>
    <x v="0"/>
    <n v="9"/>
    <n v="3"/>
  </r>
  <r>
    <s v="602"/>
    <x v="602"/>
    <n v="2400000"/>
    <x v="12"/>
    <n v="736.8569"/>
    <x v="0"/>
    <n v="2"/>
    <n v="1"/>
    <s v="2010"/>
    <n v="1"/>
    <x v="0"/>
    <n v="1"/>
    <n v="1"/>
  </r>
  <r>
    <s v="603"/>
    <x v="603"/>
    <n v="10900000"/>
    <x v="9"/>
    <n v="736.06029999999998"/>
    <x v="5"/>
    <n v="202"/>
    <n v="43"/>
    <s v="2012"/>
    <n v="2"/>
    <x v="0"/>
    <n v="159"/>
    <n v="3.6976744186046511"/>
  </r>
  <r>
    <s v="604"/>
    <x v="604"/>
    <n v="14800000"/>
    <x v="9"/>
    <n v="735.79380000000003"/>
    <x v="2"/>
    <n v="102"/>
    <n v="20"/>
    <s v="2014"/>
    <n v="1"/>
    <x v="0"/>
    <n v="82"/>
    <n v="4.0999999999999996"/>
  </r>
  <r>
    <s v="605"/>
    <x v="605"/>
    <n v="3500000000"/>
    <x v="5"/>
    <n v="735.54359999999997"/>
    <x v="4"/>
    <n v="9833"/>
    <n v="9833"/>
    <s v="2011"/>
    <n v="1"/>
    <x v="1"/>
    <n v="0"/>
    <n v="0"/>
  </r>
  <r>
    <s v="606"/>
    <x v="606"/>
    <n v="6000000"/>
    <x v="42"/>
    <n v="733.91499999999996"/>
    <x v="11"/>
    <n v="100"/>
    <n v="30"/>
    <s v="2009"/>
    <n v="2"/>
    <x v="0"/>
    <n v="70"/>
    <n v="2.3333333333333335"/>
  </r>
  <r>
    <s v="607"/>
    <x v="607"/>
    <n v="3500000"/>
    <x v="9"/>
    <n v="733.37040000000002"/>
    <x v="23"/>
    <n v="350"/>
    <n v="40"/>
    <s v="2014"/>
    <n v="1"/>
    <x v="0"/>
    <n v="310"/>
    <n v="7.75"/>
  </r>
  <r>
    <s v="608"/>
    <x v="608"/>
    <n v="2900000"/>
    <x v="4"/>
    <n v="732.84460000000001"/>
    <x v="15"/>
    <n v="9"/>
    <n v="5"/>
    <s v="2012"/>
    <n v="2"/>
    <x v="0"/>
    <n v="4"/>
    <n v="0.8"/>
  </r>
  <r>
    <s v="609"/>
    <x v="609"/>
    <n v="6300000"/>
    <x v="10"/>
    <n v="732.62300000000005"/>
    <x v="9"/>
    <n v="60"/>
    <n v="13"/>
    <s v="2009"/>
    <n v="3"/>
    <x v="0"/>
    <n v="47"/>
    <n v="3.6153846153846154"/>
  </r>
  <r>
    <s v="610"/>
    <x v="610"/>
    <n v="2900000"/>
    <x v="9"/>
    <n v="732.34400000000005"/>
    <x v="9"/>
    <n v="32"/>
    <n v="3"/>
    <s v="2013"/>
    <n v="1"/>
    <x v="0"/>
    <n v="29"/>
    <n v="9.6666666666666661"/>
  </r>
  <r>
    <s v="611"/>
    <x v="611"/>
    <n v="9200000"/>
    <x v="21"/>
    <n v="729.28599999999994"/>
    <x v="4"/>
    <n v="14"/>
    <n v="2"/>
    <s v="2012"/>
    <n v="1"/>
    <x v="0"/>
    <n v="12"/>
    <n v="6"/>
  </r>
  <r>
    <s v="612"/>
    <x v="612"/>
    <n v="5800000"/>
    <x v="16"/>
    <n v="729.11779999999999"/>
    <x v="9"/>
    <n v="100"/>
    <n v="15"/>
    <s v="2014"/>
    <n v="1"/>
    <x v="0"/>
    <n v="85"/>
    <n v="5.666666666666667"/>
  </r>
  <r>
    <s v="613"/>
    <x v="613"/>
    <n v="2200000"/>
    <x v="16"/>
    <n v="722.20240000000001"/>
    <x v="5"/>
    <n v="69"/>
    <n v="18"/>
    <s v="2014"/>
    <n v="1"/>
    <x v="0"/>
    <n v="51"/>
    <n v="2.8333333333333335"/>
  </r>
  <r>
    <s v="614"/>
    <x v="614"/>
    <n v="15600000"/>
    <x v="12"/>
    <n v="720.47080000000005"/>
    <x v="7"/>
    <n v="96"/>
    <n v="38"/>
    <s v="2013"/>
    <n v="2"/>
    <x v="0"/>
    <n v="58"/>
    <n v="1.5263157894736843"/>
  </r>
  <r>
    <s v="615"/>
    <x v="615"/>
    <n v="27600000"/>
    <x v="9"/>
    <n v="712.98050000000001"/>
    <x v="23"/>
    <n v="156"/>
    <n v="55"/>
    <s v="2012"/>
    <n v="1"/>
    <x v="0"/>
    <n v="101"/>
    <n v="1.8363636363636364"/>
  </r>
  <r>
    <s v="616"/>
    <x v="616"/>
    <n v="36500000"/>
    <x v="22"/>
    <n v="711.99789999999996"/>
    <x v="23"/>
    <n v="96"/>
    <n v="11"/>
    <s v="2013"/>
    <n v="2"/>
    <x v="0"/>
    <n v="85"/>
    <n v="7.7272727272727275"/>
  </r>
  <r>
    <s v="617"/>
    <x v="617"/>
    <n v="2900000"/>
    <x v="23"/>
    <n v="710.85450000000003"/>
    <x v="11"/>
    <n v="32"/>
    <n v="7"/>
    <s v="2013"/>
    <n v="2"/>
    <x v="0"/>
    <n v="25"/>
    <n v="3.5714285714285716"/>
  </r>
  <r>
    <s v="618"/>
    <x v="618"/>
    <n v="5900000"/>
    <x v="7"/>
    <n v="710.84370000000001"/>
    <x v="15"/>
    <n v="10"/>
    <n v="2"/>
    <s v="2013"/>
    <n v="2"/>
    <x v="0"/>
    <n v="8"/>
    <n v="4"/>
  </r>
  <r>
    <s v="619"/>
    <x v="619"/>
    <n v="29700000"/>
    <x v="7"/>
    <n v="709.89369999999997"/>
    <x v="11"/>
    <n v="22"/>
    <n v="8"/>
    <s v="2012"/>
    <n v="3"/>
    <x v="0"/>
    <n v="14"/>
    <n v="1.75"/>
  </r>
  <r>
    <s v="620"/>
    <x v="620"/>
    <n v="29600000"/>
    <x v="28"/>
    <n v="708.79520000000002"/>
    <x v="10"/>
    <n v="23"/>
    <n v="20"/>
    <s v="2014"/>
    <n v="1"/>
    <x v="0"/>
    <n v="3"/>
    <n v="0.15"/>
  </r>
  <r>
    <s v="621"/>
    <x v="621"/>
    <n v="22900000"/>
    <x v="11"/>
    <n v="708.66869999999994"/>
    <x v="4"/>
    <n v="100"/>
    <n v="20"/>
    <s v="1995"/>
    <n v="1"/>
    <x v="0"/>
    <n v="80"/>
    <n v="4"/>
  </r>
  <r>
    <s v="622"/>
    <x v="622"/>
    <n v="73300000"/>
    <x v="12"/>
    <n v="707.0403"/>
    <x v="3"/>
    <n v="156"/>
    <n v="30"/>
    <s v="2014"/>
    <n v="1"/>
    <x v="0"/>
    <n v="126"/>
    <n v="4.2"/>
  </r>
  <r>
    <s v="623"/>
    <x v="623"/>
    <n v="10300000"/>
    <x v="16"/>
    <n v="706.2002"/>
    <x v="7"/>
    <n v="125"/>
    <n v="50"/>
    <s v="2012"/>
    <n v="3"/>
    <x v="0"/>
    <n v="75"/>
    <n v="1.5"/>
  </r>
  <r>
    <s v="624"/>
    <x v="624"/>
    <n v="7200000"/>
    <x v="20"/>
    <n v="704.68190000000004"/>
    <x v="16"/>
    <n v="58"/>
    <n v="16"/>
    <s v="2011"/>
    <n v="3"/>
    <x v="0"/>
    <n v="42"/>
    <n v="2.625"/>
  </r>
  <r>
    <s v="625"/>
    <x v="625"/>
    <n v="5500000"/>
    <x v="6"/>
    <n v="704.35239999999999"/>
    <x v="19"/>
    <n v="60"/>
    <n v="10"/>
    <s v="2007"/>
    <n v="2"/>
    <x v="0"/>
    <n v="50"/>
    <n v="5"/>
  </r>
  <r>
    <s v="626"/>
    <x v="626"/>
    <n v="5700000"/>
    <x v="28"/>
    <n v="703.52639999999997"/>
    <x v="10"/>
    <n v="14"/>
    <n v="1"/>
    <s v="2013"/>
    <n v="1"/>
    <x v="0"/>
    <n v="13"/>
    <n v="13"/>
  </r>
  <r>
    <s v="627"/>
    <x v="627"/>
    <n v="7300000"/>
    <x v="13"/>
    <n v="702.18859999999995"/>
    <x v="18"/>
    <n v="100"/>
    <n v="25"/>
    <s v="1993"/>
    <n v="5"/>
    <x v="0"/>
    <n v="75"/>
    <n v="3"/>
  </r>
  <r>
    <s v="628"/>
    <x v="628"/>
    <n v="75300000"/>
    <x v="12"/>
    <n v="700.39530000000002"/>
    <x v="14"/>
    <n v="296"/>
    <n v="112"/>
    <s v="2013"/>
    <n v="2"/>
    <x v="0"/>
    <n v="184"/>
    <n v="1.6428571428571428"/>
  </r>
  <r>
    <s v="629"/>
    <x v="629"/>
    <n v="3100000"/>
    <x v="22"/>
    <n v="700.02"/>
    <x v="3"/>
    <n v="95"/>
    <n v="8"/>
    <s v="2014"/>
    <n v="1"/>
    <x v="0"/>
    <n v="87"/>
    <n v="10.875"/>
  </r>
  <r>
    <s v="630"/>
    <x v="630"/>
    <n v="2700000"/>
    <x v="32"/>
    <n v="699.51930000000004"/>
    <x v="19"/>
    <n v="19"/>
    <n v="4"/>
    <s v="2000"/>
    <n v="1"/>
    <x v="0"/>
    <n v="15"/>
    <n v="3.75"/>
  </r>
  <r>
    <s v="631"/>
    <x v="631"/>
    <n v="49100000"/>
    <x v="7"/>
    <n v="698.50289999999995"/>
    <x v="12"/>
    <n v="12"/>
    <n v="5"/>
    <s v="2014"/>
    <n v="1"/>
    <x v="0"/>
    <n v="7"/>
    <n v="1.4"/>
  </r>
  <r>
    <s v="632"/>
    <x v="632"/>
    <n v="9000000"/>
    <x v="15"/>
    <n v="698.26009999999997"/>
    <x v="23"/>
    <n v="81"/>
    <n v="7"/>
    <s v="2013"/>
    <n v="1"/>
    <x v="0"/>
    <n v="74"/>
    <n v="10.571428571428571"/>
  </r>
  <r>
    <s v="633"/>
    <x v="633"/>
    <n v="6400000"/>
    <x v="13"/>
    <n v="697.95249999999999"/>
    <x v="19"/>
    <n v="36"/>
    <n v="7"/>
    <s v="2014"/>
    <n v="2"/>
    <x v="0"/>
    <n v="29"/>
    <n v="4.1428571428571432"/>
  </r>
  <r>
    <s v="634"/>
    <x v="634"/>
    <n v="6400000"/>
    <x v="9"/>
    <n v="696.87620000000004"/>
    <x v="23"/>
    <n v="35"/>
    <n v="18"/>
    <s v="2013"/>
    <n v="2"/>
    <x v="0"/>
    <n v="17"/>
    <n v="0.94444444444444442"/>
  </r>
  <r>
    <s v="635"/>
    <x v="635"/>
    <n v="2200000"/>
    <x v="20"/>
    <n v="696.49879999999996"/>
    <x v="2"/>
    <n v="10"/>
    <n v="1"/>
    <s v="2013"/>
    <n v="1"/>
    <x v="0"/>
    <n v="9"/>
    <n v="9"/>
  </r>
  <r>
    <s v="636"/>
    <x v="636"/>
    <n v="9500000"/>
    <x v="9"/>
    <n v="695.05349999999999"/>
    <x v="23"/>
    <n v="21"/>
    <n v="4"/>
    <s v="2012"/>
    <n v="2"/>
    <x v="0"/>
    <n v="17"/>
    <n v="4.25"/>
  </r>
  <r>
    <s v="637"/>
    <x v="637"/>
    <n v="78500000"/>
    <x v="2"/>
    <n v="693.59479999999996"/>
    <x v="15"/>
    <n v="450"/>
    <n v="75"/>
    <s v="2002"/>
    <n v="4"/>
    <x v="0"/>
    <n v="375"/>
    <n v="5"/>
  </r>
  <r>
    <s v="638"/>
    <x v="638"/>
    <n v="2300000"/>
    <x v="5"/>
    <n v="692.29330000000004"/>
    <x v="0"/>
    <n v="7"/>
    <n v="3"/>
    <s v="2014"/>
    <n v="1"/>
    <x v="0"/>
    <n v="4"/>
    <n v="1.3333333333333333"/>
  </r>
  <r>
    <s v="639"/>
    <x v="639"/>
    <n v="2000000"/>
    <x v="2"/>
    <n v="692.03909999999996"/>
    <x v="4"/>
    <n v="10"/>
    <n v="1"/>
    <s v="2013"/>
    <n v="1"/>
    <x v="0"/>
    <n v="9"/>
    <n v="9"/>
  </r>
  <r>
    <s v="640"/>
    <x v="640"/>
    <n v="22800000"/>
    <x v="9"/>
    <n v="692.02030000000002"/>
    <x v="2"/>
    <n v="40"/>
    <n v="5"/>
    <s v="2011"/>
    <n v="2"/>
    <x v="0"/>
    <n v="35"/>
    <n v="7"/>
  </r>
  <r>
    <s v="641"/>
    <x v="641"/>
    <n v="39400000"/>
    <x v="12"/>
    <n v="690.79909999999995"/>
    <x v="4"/>
    <n v="60"/>
    <n v="14"/>
    <s v="2014"/>
    <n v="2"/>
    <x v="0"/>
    <n v="46"/>
    <n v="3.2857142857142856"/>
  </r>
  <r>
    <s v="642"/>
    <x v="642"/>
    <n v="13600000"/>
    <x v="9"/>
    <n v="690.18709999999999"/>
    <x v="4"/>
    <n v="8"/>
    <n v="2"/>
    <s v="2013"/>
    <n v="1"/>
    <x v="0"/>
    <n v="6"/>
    <n v="3"/>
  </r>
  <r>
    <s v="643"/>
    <x v="643"/>
    <n v="13400000"/>
    <x v="2"/>
    <n v="689.54570000000001"/>
    <x v="1"/>
    <n v="13"/>
    <n v="3"/>
    <s v="2014"/>
    <n v="1"/>
    <x v="0"/>
    <n v="10"/>
    <n v="3.3333333333333335"/>
  </r>
  <r>
    <s v="644"/>
    <x v="644"/>
    <n v="8000000"/>
    <x v="9"/>
    <n v="688.36099999999999"/>
    <x v="23"/>
    <n v="34"/>
    <n v="4"/>
    <s v="2011"/>
    <n v="2"/>
    <x v="0"/>
    <n v="30"/>
    <n v="7.5"/>
  </r>
  <r>
    <s v="645"/>
    <x v="645"/>
    <n v="2600000"/>
    <x v="19"/>
    <n v="685.19159999999999"/>
    <x v="2"/>
    <n v="50"/>
    <n v="60"/>
    <s v="2014"/>
    <n v="2"/>
    <x v="1"/>
    <n v="-10"/>
    <n v="-0.16666666666666666"/>
  </r>
  <r>
    <s v="646"/>
    <x v="646"/>
    <n v="5500000"/>
    <x v="6"/>
    <n v="684.8596"/>
    <x v="3"/>
    <n v="18"/>
    <n v="2"/>
    <s v="2015"/>
    <n v="1"/>
    <x v="0"/>
    <n v="16"/>
    <n v="8"/>
  </r>
  <r>
    <s v="647"/>
    <x v="647"/>
    <n v="2400000"/>
    <x v="13"/>
    <n v="684.78039999999999"/>
    <x v="1"/>
    <n v="22"/>
    <n v="6"/>
    <s v="2014"/>
    <n v="1"/>
    <x v="0"/>
    <n v="16"/>
    <n v="2.6666666666666665"/>
  </r>
  <r>
    <s v="648"/>
    <x v="648"/>
    <n v="4100000"/>
    <x v="7"/>
    <n v="682.87829999999997"/>
    <x v="6"/>
    <n v="54"/>
    <n v="12"/>
    <s v="2012"/>
    <n v="2"/>
    <x v="0"/>
    <n v="42"/>
    <n v="3.5"/>
  </r>
  <r>
    <s v="649"/>
    <x v="649"/>
    <n v="5500000"/>
    <x v="9"/>
    <n v="681.57460000000003"/>
    <x v="17"/>
    <n v="20"/>
    <n v="3"/>
    <s v="2013"/>
    <n v="1"/>
    <x v="0"/>
    <n v="17"/>
    <n v="5.666666666666667"/>
  </r>
  <r>
    <s v="650"/>
    <x v="650"/>
    <n v="4000000"/>
    <x v="2"/>
    <n v="681.55079999999998"/>
    <x v="2"/>
    <n v="54"/>
    <n v="17"/>
    <s v="2014"/>
    <n v="2"/>
    <x v="0"/>
    <n v="37"/>
    <n v="2.1764705882352939"/>
  </r>
  <r>
    <s v="651"/>
    <x v="651"/>
    <n v="2900000"/>
    <x v="8"/>
    <n v="679.39880000000005"/>
    <x v="2"/>
    <n v="31"/>
    <n v="4"/>
    <s v="2006"/>
    <n v="1"/>
    <x v="0"/>
    <n v="27"/>
    <n v="6.75"/>
  </r>
  <r>
    <s v="652"/>
    <x v="652"/>
    <n v="22300000"/>
    <x v="10"/>
    <n v="674.93600000000004"/>
    <x v="5"/>
    <n v="65"/>
    <n v="10"/>
    <s v="2005"/>
    <n v="1"/>
    <x v="0"/>
    <n v="55"/>
    <n v="5.5"/>
  </r>
  <r>
    <s v="653"/>
    <x v="653"/>
    <n v="70000000"/>
    <x v="18"/>
    <n v="674.37800000000004"/>
    <x v="10"/>
    <n v="181"/>
    <n v="55"/>
    <s v="2005"/>
    <n v="1"/>
    <x v="0"/>
    <n v="126"/>
    <n v="2.290909090909091"/>
  </r>
  <r>
    <s v="654"/>
    <x v="654"/>
    <n v="93200000"/>
    <x v="10"/>
    <n v="670.60850000000005"/>
    <x v="19"/>
    <n v="307"/>
    <n v="42"/>
    <s v="1996"/>
    <n v="3"/>
    <x v="0"/>
    <n v="265"/>
    <n v="6.3095238095238093"/>
  </r>
  <r>
    <s v="655"/>
    <x v="655"/>
    <n v="27200000"/>
    <x v="9"/>
    <n v="670.43140000000005"/>
    <x v="5"/>
    <n v="14"/>
    <n v="5"/>
    <s v="2013"/>
    <n v="4"/>
    <x v="0"/>
    <n v="9"/>
    <n v="1.8"/>
  </r>
  <r>
    <s v="656"/>
    <x v="656"/>
    <n v="273700000"/>
    <x v="2"/>
    <n v="670.05380000000002"/>
    <x v="10"/>
    <n v="22"/>
    <n v="4"/>
    <s v="2013"/>
    <n v="2"/>
    <x v="0"/>
    <n v="18"/>
    <n v="4.5"/>
  </r>
  <r>
    <s v="657"/>
    <x v="657"/>
    <n v="31500000"/>
    <x v="2"/>
    <n v="668.87909999999999"/>
    <x v="9"/>
    <n v="250"/>
    <n v="60"/>
    <s v="2009"/>
    <n v="2"/>
    <x v="0"/>
    <n v="190"/>
    <n v="3.1666666666666665"/>
  </r>
  <r>
    <s v="658"/>
    <x v="658"/>
    <n v="2200000"/>
    <x v="9"/>
    <n v="667.80899999999997"/>
    <x v="15"/>
    <n v="7"/>
    <n v="2"/>
    <s v="2009"/>
    <n v="1"/>
    <x v="0"/>
    <n v="5"/>
    <n v="2.5"/>
  </r>
  <r>
    <s v="659"/>
    <x v="659"/>
    <n v="62000000"/>
    <x v="12"/>
    <n v="666.05139999999994"/>
    <x v="0"/>
    <n v="55"/>
    <n v="8"/>
    <s v="2013"/>
    <n v="2"/>
    <x v="0"/>
    <n v="47"/>
    <n v="5.875"/>
  </r>
  <r>
    <s v="660"/>
    <x v="660"/>
    <n v="2500000"/>
    <x v="5"/>
    <n v="664.33950000000004"/>
    <x v="20"/>
    <n v="85"/>
    <n v="45"/>
    <s v="2014"/>
    <n v="1"/>
    <x v="0"/>
    <n v="40"/>
    <n v="0.88888888888888884"/>
  </r>
  <r>
    <s v="661"/>
    <x v="661"/>
    <n v="12100000"/>
    <x v="21"/>
    <n v="662.32460000000003"/>
    <x v="1"/>
    <n v="47"/>
    <n v="8"/>
    <s v="2014"/>
    <n v="2"/>
    <x v="0"/>
    <n v="39"/>
    <n v="4.875"/>
  </r>
  <r>
    <s v="662"/>
    <x v="662"/>
    <n v="33600000"/>
    <x v="22"/>
    <n v="660.91920000000005"/>
    <x v="12"/>
    <n v="23"/>
    <n v="6"/>
    <s v="2012"/>
    <n v="2"/>
    <x v="0"/>
    <n v="17"/>
    <n v="2.8333333333333335"/>
  </r>
  <r>
    <s v="663"/>
    <x v="663"/>
    <n v="37100000"/>
    <x v="18"/>
    <n v="659.98429999999996"/>
    <x v="12"/>
    <n v="120"/>
    <n v="25"/>
    <s v="2010"/>
    <n v="1"/>
    <x v="0"/>
    <n v="95"/>
    <n v="3.8"/>
  </r>
  <r>
    <s v="664"/>
    <x v="664"/>
    <n v="5000000"/>
    <x v="7"/>
    <n v="658.24009999999998"/>
    <x v="18"/>
    <n v="19"/>
    <n v="7"/>
    <s v="2007"/>
    <n v="1"/>
    <x v="0"/>
    <n v="12"/>
    <n v="1.7142857142857142"/>
  </r>
  <r>
    <s v="665"/>
    <x v="665"/>
    <n v="17600000"/>
    <x v="2"/>
    <n v="656.01900000000001"/>
    <x v="5"/>
    <n v="150"/>
    <n v="30"/>
    <s v="2014"/>
    <n v="1"/>
    <x v="0"/>
    <n v="120"/>
    <n v="4"/>
  </r>
  <r>
    <s v="666"/>
    <x v="666"/>
    <n v="88300000"/>
    <x v="20"/>
    <n v="656.00509999999997"/>
    <x v="9"/>
    <n v="257"/>
    <n v="50"/>
    <s v="2009"/>
    <n v="4"/>
    <x v="0"/>
    <n v="207"/>
    <n v="4.1399999999999997"/>
  </r>
  <r>
    <s v="667"/>
    <x v="667"/>
    <n v="2100000"/>
    <x v="5"/>
    <n v="655.29790000000003"/>
    <x v="22"/>
    <n v="13"/>
    <n v="3"/>
    <s v="2014"/>
    <n v="1"/>
    <x v="0"/>
    <n v="10"/>
    <n v="3.3333333333333335"/>
  </r>
  <r>
    <s v="668"/>
    <x v="668"/>
    <n v="2700000"/>
    <x v="2"/>
    <n v="654.98910000000001"/>
    <x v="19"/>
    <n v="6"/>
    <n v="2"/>
    <s v="2014"/>
    <n v="1"/>
    <x v="0"/>
    <n v="4"/>
    <n v="2"/>
  </r>
  <r>
    <s v="669"/>
    <x v="669"/>
    <n v="6600000"/>
    <x v="4"/>
    <n v="654.81740000000002"/>
    <x v="19"/>
    <n v="48"/>
    <n v="5"/>
    <s v="2011"/>
    <n v="3"/>
    <x v="0"/>
    <n v="43"/>
    <n v="8.6"/>
  </r>
  <r>
    <s v="670"/>
    <x v="670"/>
    <n v="13200000"/>
    <x v="2"/>
    <n v="652.88160000000005"/>
    <x v="12"/>
    <n v="105"/>
    <n v="17"/>
    <s v="2013"/>
    <n v="1"/>
    <x v="0"/>
    <n v="88"/>
    <n v="5.1764705882352944"/>
  </r>
  <r>
    <s v="671"/>
    <x v="671"/>
    <n v="2600000"/>
    <x v="43"/>
    <n v="651.50599999999997"/>
    <x v="7"/>
    <n v="21"/>
    <n v="5"/>
    <s v="2008"/>
    <n v="1"/>
    <x v="0"/>
    <n v="16"/>
    <n v="3.2"/>
  </r>
  <r>
    <s v="672"/>
    <x v="672"/>
    <n v="14100000"/>
    <x v="4"/>
    <n v="650.61779999999999"/>
    <x v="22"/>
    <n v="60"/>
    <n v="23"/>
    <s v="2005"/>
    <n v="3"/>
    <x v="0"/>
    <n v="37"/>
    <n v="1.6086956521739131"/>
  </r>
  <r>
    <s v="673"/>
    <x v="673"/>
    <n v="5200000"/>
    <x v="7"/>
    <n v="650.29660000000001"/>
    <x v="9"/>
    <n v="41"/>
    <n v="17"/>
    <s v="2012"/>
    <n v="2"/>
    <x v="0"/>
    <n v="24"/>
    <n v="1.411764705882353"/>
  </r>
  <r>
    <s v="674"/>
    <x v="674"/>
    <n v="2300000"/>
    <x v="21"/>
    <n v="648.04269999999997"/>
    <x v="16"/>
    <n v="11"/>
    <n v="6"/>
    <s v="2014"/>
    <n v="1"/>
    <x v="0"/>
    <n v="5"/>
    <n v="0.83333333333333337"/>
  </r>
  <r>
    <s v="675"/>
    <x v="675"/>
    <n v="2100000"/>
    <x v="7"/>
    <n v="646.94629999999995"/>
    <x v="20"/>
    <n v="17"/>
    <n v="1"/>
    <s v="2015"/>
    <n v="1"/>
    <x v="0"/>
    <n v="16"/>
    <n v="16"/>
  </r>
  <r>
    <s v="676"/>
    <x v="676"/>
    <n v="5200000"/>
    <x v="13"/>
    <n v="643.66740000000004"/>
    <x v="12"/>
    <n v="10"/>
    <n v="5"/>
    <s v="2014"/>
    <n v="1"/>
    <x v="0"/>
    <n v="5"/>
    <n v="1"/>
  </r>
  <r>
    <s v="677"/>
    <x v="677"/>
    <n v="6300000"/>
    <x v="9"/>
    <n v="643.6019"/>
    <x v="0"/>
    <n v="35"/>
    <n v="14"/>
    <s v="2011"/>
    <n v="2"/>
    <x v="0"/>
    <n v="21"/>
    <n v="1.5"/>
  </r>
  <r>
    <s v="678"/>
    <x v="678"/>
    <n v="2500000"/>
    <x v="16"/>
    <n v="643.5607"/>
    <x v="23"/>
    <n v="1024"/>
    <n v="36"/>
    <s v="2014"/>
    <n v="1"/>
    <x v="0"/>
    <n v="988"/>
    <n v="27.444444444444443"/>
  </r>
  <r>
    <s v="679"/>
    <x v="679"/>
    <n v="14900000"/>
    <x v="7"/>
    <n v="642.69000000000005"/>
    <x v="16"/>
    <n v="61"/>
    <n v="14"/>
    <s v="2012"/>
    <n v="2"/>
    <x v="0"/>
    <n v="47"/>
    <n v="3.3571428571428572"/>
  </r>
  <r>
    <s v="680"/>
    <x v="680"/>
    <n v="8900000"/>
    <x v="12"/>
    <n v="642.60339999999997"/>
    <x v="0"/>
    <n v="31"/>
    <n v="5"/>
    <s v="2012"/>
    <n v="2"/>
    <x v="0"/>
    <n v="26"/>
    <n v="5.2"/>
  </r>
  <r>
    <s v="681"/>
    <x v="681"/>
    <n v="4200000"/>
    <x v="16"/>
    <n v="641.67600000000004"/>
    <x v="3"/>
    <n v="60"/>
    <n v="9"/>
    <s v="2013"/>
    <n v="2"/>
    <x v="0"/>
    <n v="51"/>
    <n v="5.666666666666667"/>
  </r>
  <r>
    <s v="682"/>
    <x v="682"/>
    <n v="17300000"/>
    <x v="11"/>
    <n v="640.46929999999998"/>
    <x v="4"/>
    <n v="18"/>
    <n v="6"/>
    <s v="2015"/>
    <n v="1"/>
    <x v="0"/>
    <n v="12"/>
    <n v="2"/>
  </r>
  <r>
    <s v="683"/>
    <x v="683"/>
    <n v="49400000"/>
    <x v="9"/>
    <n v="640.11"/>
    <x v="7"/>
    <n v="161"/>
    <n v="72"/>
    <s v="2012"/>
    <n v="1"/>
    <x v="0"/>
    <n v="89"/>
    <n v="1.2361111111111112"/>
  </r>
  <r>
    <s v="684"/>
    <x v="684"/>
    <n v="5600000"/>
    <x v="0"/>
    <n v="640.00109999999995"/>
    <x v="3"/>
    <n v="9"/>
    <n v="4"/>
    <s v="2000"/>
    <n v="1"/>
    <x v="0"/>
    <n v="5"/>
    <n v="1.25"/>
  </r>
  <r>
    <s v="685"/>
    <x v="685"/>
    <n v="14200000"/>
    <x v="6"/>
    <n v="635.92420000000004"/>
    <x v="14"/>
    <n v="49"/>
    <n v="9"/>
    <s v="2013"/>
    <n v="3"/>
    <x v="0"/>
    <n v="40"/>
    <n v="4.4444444444444446"/>
  </r>
  <r>
    <s v="686"/>
    <x v="686"/>
    <n v="8300000"/>
    <x v="38"/>
    <n v="634.92729999999995"/>
    <x v="23"/>
    <n v="29"/>
    <n v="5"/>
    <s v="2012"/>
    <n v="2"/>
    <x v="0"/>
    <n v="24"/>
    <n v="4.8"/>
  </r>
  <r>
    <s v="687"/>
    <x v="687"/>
    <n v="3000000"/>
    <x v="2"/>
    <n v="634.19449999999995"/>
    <x v="25"/>
    <n v="31"/>
    <n v="7"/>
    <s v="2015"/>
    <n v="1"/>
    <x v="0"/>
    <n v="24"/>
    <n v="3.4285714285714284"/>
  </r>
  <r>
    <s v="688"/>
    <x v="688"/>
    <n v="13700000"/>
    <x v="10"/>
    <n v="633.9547"/>
    <x v="6"/>
    <n v="96"/>
    <n v="22"/>
    <s v="2007"/>
    <n v="1"/>
    <x v="0"/>
    <n v="74"/>
    <n v="3.3636363636363638"/>
  </r>
  <r>
    <s v="689"/>
    <x v="689"/>
    <n v="12400000"/>
    <x v="35"/>
    <n v="633.13930000000005"/>
    <x v="23"/>
    <n v="29"/>
    <n v="18"/>
    <s v="1999"/>
    <n v="2"/>
    <x v="0"/>
    <n v="11"/>
    <n v="0.61111111111111116"/>
  </r>
  <r>
    <s v="690"/>
    <x v="690"/>
    <n v="4900000"/>
    <x v="1"/>
    <n v="631.90120000000002"/>
    <x v="17"/>
    <n v="8"/>
    <n v="2"/>
    <s v="2012"/>
    <n v="2"/>
    <x v="0"/>
    <n v="6"/>
    <n v="3"/>
  </r>
  <r>
    <s v="691"/>
    <x v="691"/>
    <n v="4200000"/>
    <x v="4"/>
    <n v="630.81579999999997"/>
    <x v="5"/>
    <n v="47"/>
    <n v="12"/>
    <s v="2014"/>
    <n v="1"/>
    <x v="0"/>
    <n v="35"/>
    <n v="2.9166666666666665"/>
  </r>
  <r>
    <s v="692"/>
    <x v="692"/>
    <n v="6600000"/>
    <x v="9"/>
    <n v="630.42169999999999"/>
    <x v="25"/>
    <n v="45"/>
    <n v="13"/>
    <s v="2014"/>
    <n v="1"/>
    <x v="0"/>
    <n v="32"/>
    <n v="2.4615384615384617"/>
  </r>
  <r>
    <s v="693"/>
    <x v="693"/>
    <n v="9200000"/>
    <x v="22"/>
    <n v="627.05859999999996"/>
    <x v="8"/>
    <n v="27"/>
    <n v="4"/>
    <s v="2014"/>
    <n v="2"/>
    <x v="0"/>
    <n v="23"/>
    <n v="5.75"/>
  </r>
  <r>
    <s v="694"/>
    <x v="694"/>
    <n v="7700000"/>
    <x v="13"/>
    <n v="626.10640000000001"/>
    <x v="23"/>
    <n v="55"/>
    <n v="10"/>
    <s v="2014"/>
    <n v="1"/>
    <x v="0"/>
    <n v="45"/>
    <n v="4.5"/>
  </r>
  <r>
    <s v="695"/>
    <x v="695"/>
    <n v="4800000"/>
    <x v="27"/>
    <n v="625.85059999999999"/>
    <x v="6"/>
    <n v="10"/>
    <n v="2"/>
    <s v="2015"/>
    <n v="1"/>
    <x v="0"/>
    <n v="8"/>
    <n v="4"/>
  </r>
  <r>
    <s v="696"/>
    <x v="696"/>
    <n v="2200000"/>
    <x v="10"/>
    <n v="625.78390000000002"/>
    <x v="20"/>
    <n v="15"/>
    <n v="3"/>
    <s v="2014"/>
    <n v="1"/>
    <x v="0"/>
    <n v="12"/>
    <n v="4"/>
  </r>
  <r>
    <s v="697"/>
    <x v="697"/>
    <n v="9900000"/>
    <x v="9"/>
    <n v="625.21770000000004"/>
    <x v="9"/>
    <n v="48"/>
    <n v="21"/>
    <s v="2013"/>
    <n v="2"/>
    <x v="0"/>
    <n v="27"/>
    <n v="1.2857142857142858"/>
  </r>
  <r>
    <s v="698"/>
    <x v="698"/>
    <n v="13900000"/>
    <x v="27"/>
    <n v="623.84789999999998"/>
    <x v="15"/>
    <n v="24"/>
    <n v="7"/>
    <s v="2010"/>
    <n v="2"/>
    <x v="0"/>
    <n v="17"/>
    <n v="2.4285714285714284"/>
  </r>
  <r>
    <s v="699"/>
    <x v="699"/>
    <n v="157100000"/>
    <x v="10"/>
    <n v="623.298"/>
    <x v="3"/>
    <n v="516"/>
    <n v="171"/>
    <s v="2012"/>
    <n v="2"/>
    <x v="0"/>
    <n v="345"/>
    <n v="2.0175438596491229"/>
  </r>
  <r>
    <s v="700"/>
    <x v="700"/>
    <n v="2900000"/>
    <x v="10"/>
    <n v="623.1472"/>
    <x v="9"/>
    <n v="19"/>
    <n v="5"/>
    <s v="2011"/>
    <n v="1"/>
    <x v="0"/>
    <n v="14"/>
    <n v="2.8"/>
  </r>
  <r>
    <s v="701"/>
    <x v="701"/>
    <n v="18500000"/>
    <x v="10"/>
    <n v="622.01390000000004"/>
    <x v="2"/>
    <n v="58"/>
    <n v="18"/>
    <s v="2012"/>
    <n v="3"/>
    <x v="0"/>
    <n v="40"/>
    <n v="2.2222222222222223"/>
  </r>
  <r>
    <s v="702"/>
    <x v="702"/>
    <n v="12100000"/>
    <x v="37"/>
    <n v="621.66250000000002"/>
    <x v="5"/>
    <n v="218"/>
    <n v="35"/>
    <s v="2012"/>
    <n v="2"/>
    <x v="0"/>
    <n v="183"/>
    <n v="5.2285714285714286"/>
  </r>
  <r>
    <s v="703"/>
    <x v="703"/>
    <n v="16700000"/>
    <x v="9"/>
    <n v="620.92259999999999"/>
    <x v="5"/>
    <n v="75"/>
    <n v="9"/>
    <s v="2013"/>
    <n v="2"/>
    <x v="0"/>
    <n v="66"/>
    <n v="7.333333333333333"/>
  </r>
  <r>
    <s v="704"/>
    <x v="704"/>
    <n v="2000000"/>
    <x v="12"/>
    <n v="620.91030000000001"/>
    <x v="23"/>
    <n v="21"/>
    <n v="5"/>
    <s v="2013"/>
    <n v="1"/>
    <x v="0"/>
    <n v="16"/>
    <n v="3.2"/>
  </r>
  <r>
    <s v="705"/>
    <x v="705"/>
    <n v="23600000"/>
    <x v="7"/>
    <n v="619.71249999999998"/>
    <x v="7"/>
    <n v="180"/>
    <n v="25"/>
    <s v="2003"/>
    <n v="1"/>
    <x v="0"/>
    <n v="155"/>
    <n v="6.2"/>
  </r>
  <r>
    <s v="706"/>
    <x v="706"/>
    <n v="151500000"/>
    <x v="9"/>
    <n v="619.2346"/>
    <x v="9"/>
    <n v="1700"/>
    <n v="300"/>
    <s v="2011"/>
    <n v="1"/>
    <x v="0"/>
    <n v="1400"/>
    <n v="4.666666666666667"/>
  </r>
  <r>
    <s v="707"/>
    <x v="707"/>
    <n v="9600000"/>
    <x v="9"/>
    <n v="617.45619999999997"/>
    <x v="23"/>
    <n v="15"/>
    <n v="9"/>
    <s v="2009"/>
    <n v="5"/>
    <x v="0"/>
    <n v="6"/>
    <n v="0.66666666666666663"/>
  </r>
  <r>
    <s v="708"/>
    <x v="708"/>
    <n v="11300000"/>
    <x v="12"/>
    <n v="617.1164"/>
    <x v="9"/>
    <n v="48"/>
    <n v="20"/>
    <s v="2010"/>
    <n v="2"/>
    <x v="0"/>
    <n v="28"/>
    <n v="1.4"/>
  </r>
  <r>
    <s v="709"/>
    <x v="709"/>
    <n v="9000000"/>
    <x v="18"/>
    <n v="616.91099999999994"/>
    <x v="15"/>
    <n v="15"/>
    <n v="5"/>
    <s v="2009"/>
    <n v="3"/>
    <x v="0"/>
    <n v="10"/>
    <n v="2"/>
  </r>
  <r>
    <s v="710"/>
    <x v="710"/>
    <n v="5500000"/>
    <x v="9"/>
    <n v="616.88310000000001"/>
    <x v="7"/>
    <n v="34"/>
    <n v="8"/>
    <s v="2012"/>
    <n v="2"/>
    <x v="0"/>
    <n v="26"/>
    <n v="3.25"/>
  </r>
  <r>
    <s v="711"/>
    <x v="711"/>
    <n v="18600000"/>
    <x v="2"/>
    <n v="616.16300000000001"/>
    <x v="4"/>
    <n v="30"/>
    <n v="5"/>
    <s v="2014"/>
    <n v="2"/>
    <x v="0"/>
    <n v="25"/>
    <n v="5"/>
  </r>
  <r>
    <s v="712"/>
    <x v="712"/>
    <n v="6000000"/>
    <x v="9"/>
    <n v="614.26549999999997"/>
    <x v="0"/>
    <n v="20"/>
    <n v="3"/>
    <s v="2015"/>
    <n v="1"/>
    <x v="0"/>
    <n v="17"/>
    <n v="5.666666666666667"/>
  </r>
  <r>
    <s v="713"/>
    <x v="713"/>
    <n v="101300000"/>
    <x v="27"/>
    <n v="613.43719999999996"/>
    <x v="15"/>
    <n v="437"/>
    <n v="115"/>
    <s v="2011"/>
    <n v="2"/>
    <x v="0"/>
    <n v="322"/>
    <n v="2.8"/>
  </r>
  <r>
    <s v="714"/>
    <x v="714"/>
    <n v="30800000"/>
    <x v="9"/>
    <n v="613.11260000000004"/>
    <x v="16"/>
    <n v="353"/>
    <n v="83"/>
    <s v="2011"/>
    <n v="3"/>
    <x v="0"/>
    <n v="270"/>
    <n v="3.2530120481927711"/>
  </r>
  <r>
    <s v="715"/>
    <x v="715"/>
    <n v="2200000"/>
    <x v="7"/>
    <n v="613.10760000000005"/>
    <x v="23"/>
    <n v="9"/>
    <n v="1"/>
    <s v="2014"/>
    <n v="1"/>
    <x v="0"/>
    <n v="8"/>
    <n v="8"/>
  </r>
  <r>
    <s v="716"/>
    <x v="716"/>
    <n v="3600000"/>
    <x v="8"/>
    <n v="612.23779999999999"/>
    <x v="12"/>
    <n v="10"/>
    <n v="3"/>
    <s v="2014"/>
    <n v="2"/>
    <x v="0"/>
    <n v="7"/>
    <n v="2.3333333333333335"/>
  </r>
  <r>
    <s v="717"/>
    <x v="717"/>
    <n v="4600000"/>
    <x v="6"/>
    <n v="611.80380000000002"/>
    <x v="23"/>
    <n v="104"/>
    <n v="28"/>
    <s v="2001"/>
    <n v="2"/>
    <x v="0"/>
    <n v="76"/>
    <n v="2.7142857142857144"/>
  </r>
  <r>
    <s v="718"/>
    <x v="718"/>
    <n v="4100000"/>
    <x v="12"/>
    <n v="611.16380000000004"/>
    <x v="0"/>
    <n v="40"/>
    <n v="4"/>
    <s v="2007"/>
    <n v="1"/>
    <x v="0"/>
    <n v="36"/>
    <n v="9"/>
  </r>
  <r>
    <s v="719"/>
    <x v="719"/>
    <n v="8800000"/>
    <x v="2"/>
    <n v="607.57159999999999"/>
    <x v="5"/>
    <n v="13"/>
    <n v="6"/>
    <s v="2014"/>
    <n v="2"/>
    <x v="0"/>
    <n v="7"/>
    <n v="1.1666666666666667"/>
  </r>
  <r>
    <s v="720"/>
    <x v="720"/>
    <n v="5500000"/>
    <x v="9"/>
    <n v="607.32190000000003"/>
    <x v="15"/>
    <n v="86"/>
    <n v="26"/>
    <s v="2008"/>
    <n v="1"/>
    <x v="0"/>
    <n v="60"/>
    <n v="2.3076923076923075"/>
  </r>
  <r>
    <s v="721"/>
    <x v="721"/>
    <n v="18300000"/>
    <x v="0"/>
    <n v="607.31949999999995"/>
    <x v="3"/>
    <n v="40"/>
    <n v="15"/>
    <s v="2009"/>
    <n v="4"/>
    <x v="0"/>
    <n v="25"/>
    <n v="1.6666666666666667"/>
  </r>
  <r>
    <s v="722"/>
    <x v="722"/>
    <n v="8600000"/>
    <x v="13"/>
    <n v="605.6463"/>
    <x v="9"/>
    <n v="115"/>
    <n v="20"/>
    <s v="2013"/>
    <n v="2"/>
    <x v="0"/>
    <n v="95"/>
    <n v="4.75"/>
  </r>
  <r>
    <s v="723"/>
    <x v="723"/>
    <n v="3800000"/>
    <x v="5"/>
    <n v="604.65920000000006"/>
    <x v="9"/>
    <n v="7"/>
    <n v="1"/>
    <s v="2014"/>
    <n v="2"/>
    <x v="0"/>
    <n v="6"/>
    <n v="6"/>
  </r>
  <r>
    <s v="724"/>
    <x v="724"/>
    <n v="12400000"/>
    <x v="5"/>
    <n v="604.3646"/>
    <x v="15"/>
    <n v="59"/>
    <n v="8"/>
    <s v="2011"/>
    <n v="1"/>
    <x v="0"/>
    <n v="51"/>
    <n v="6.375"/>
  </r>
  <r>
    <s v="725"/>
    <x v="725"/>
    <n v="9800000"/>
    <x v="12"/>
    <n v="604.27380000000005"/>
    <x v="3"/>
    <n v="241"/>
    <n v="35"/>
    <s v="2013"/>
    <n v="2"/>
    <x v="0"/>
    <n v="206"/>
    <n v="5.8857142857142861"/>
  </r>
  <r>
    <s v="726"/>
    <x v="726"/>
    <n v="33100000"/>
    <x v="44"/>
    <n v="603.84429999999998"/>
    <x v="23"/>
    <n v="58"/>
    <n v="15"/>
    <s v="2012"/>
    <n v="4"/>
    <x v="0"/>
    <n v="43"/>
    <n v="2.8666666666666667"/>
  </r>
  <r>
    <s v="727"/>
    <x v="727"/>
    <n v="2900000"/>
    <x v="23"/>
    <n v="603.32090000000005"/>
    <x v="25"/>
    <n v="17"/>
    <n v="2"/>
    <s v="2012"/>
    <n v="1"/>
    <x v="0"/>
    <n v="15"/>
    <n v="7.5"/>
  </r>
  <r>
    <s v="728"/>
    <x v="728"/>
    <n v="3500000"/>
    <x v="10"/>
    <n v="601.67399999999998"/>
    <x v="7"/>
    <n v="17"/>
    <n v="4"/>
    <s v="2013"/>
    <n v="2"/>
    <x v="0"/>
    <n v="13"/>
    <n v="3.25"/>
  </r>
  <r>
    <s v="729"/>
    <x v="729"/>
    <n v="66600000"/>
    <x v="34"/>
    <n v="600.99659999999994"/>
    <x v="7"/>
    <n v="192"/>
    <n v="37"/>
    <s v="2013"/>
    <n v="2"/>
    <x v="0"/>
    <n v="155"/>
    <n v="4.1891891891891895"/>
  </r>
  <r>
    <s v="730"/>
    <x v="730"/>
    <n v="92700000"/>
    <x v="9"/>
    <n v="599.39670000000001"/>
    <x v="9"/>
    <n v="493"/>
    <n v="161"/>
    <s v="2011"/>
    <n v="1"/>
    <x v="0"/>
    <n v="332"/>
    <n v="2.0621118012422359"/>
  </r>
  <r>
    <s v="731"/>
    <x v="731"/>
    <n v="23700000"/>
    <x v="12"/>
    <n v="599.20219999999995"/>
    <x v="1"/>
    <n v="140"/>
    <n v="80"/>
    <s v="2011"/>
    <n v="4"/>
    <x v="0"/>
    <n v="60"/>
    <n v="0.75"/>
  </r>
  <r>
    <s v="732"/>
    <x v="732"/>
    <n v="2000000"/>
    <x v="28"/>
    <n v="597.79399999999998"/>
    <x v="7"/>
    <n v="16"/>
    <n v="3"/>
    <s v="2012"/>
    <n v="1"/>
    <x v="0"/>
    <n v="13"/>
    <n v="4.333333333333333"/>
  </r>
  <r>
    <s v="733"/>
    <x v="733"/>
    <n v="14400000"/>
    <x v="7"/>
    <n v="597.68370000000004"/>
    <x v="11"/>
    <n v="156"/>
    <n v="21"/>
    <s v="2009"/>
    <n v="2"/>
    <x v="0"/>
    <n v="135"/>
    <n v="6.4285714285714288"/>
  </r>
  <r>
    <s v="734"/>
    <x v="734"/>
    <n v="32600000"/>
    <x v="13"/>
    <n v="595.7518"/>
    <x v="3"/>
    <n v="16"/>
    <n v="6"/>
    <s v="2006"/>
    <n v="3"/>
    <x v="0"/>
    <n v="10"/>
    <n v="1.6666666666666667"/>
  </r>
  <r>
    <s v="735"/>
    <x v="735"/>
    <n v="73200000"/>
    <x v="0"/>
    <n v="592.51890000000003"/>
    <x v="12"/>
    <n v="1995"/>
    <n v="478"/>
    <s v="2005"/>
    <n v="5"/>
    <x v="0"/>
    <n v="1517"/>
    <n v="3.1736401673640167"/>
  </r>
  <r>
    <s v="736"/>
    <x v="736"/>
    <n v="2200000"/>
    <x v="9"/>
    <n v="592.28719999999998"/>
    <x v="5"/>
    <n v="10"/>
    <n v="6"/>
    <s v="2004"/>
    <n v="1"/>
    <x v="0"/>
    <n v="4"/>
    <n v="0.66666666666666663"/>
  </r>
  <r>
    <s v="737"/>
    <x v="737"/>
    <n v="2300000"/>
    <x v="4"/>
    <n v="592.06449999999995"/>
    <x v="14"/>
    <n v="21"/>
    <n v="3"/>
    <s v="2009"/>
    <n v="1"/>
    <x v="0"/>
    <n v="18"/>
    <n v="6"/>
  </r>
  <r>
    <s v="738"/>
    <x v="738"/>
    <n v="30200000"/>
    <x v="11"/>
    <n v="591.65329999999994"/>
    <x v="24"/>
    <n v="375"/>
    <n v="57"/>
    <s v="2014"/>
    <n v="1"/>
    <x v="0"/>
    <n v="318"/>
    <n v="5.5789473684210522"/>
  </r>
  <r>
    <s v="739"/>
    <x v="739"/>
    <n v="12900000"/>
    <x v="27"/>
    <n v="591.62549999999999"/>
    <x v="23"/>
    <n v="47"/>
    <n v="15"/>
    <s v="2014"/>
    <n v="1"/>
    <x v="0"/>
    <n v="32"/>
    <n v="2.1333333333333333"/>
  </r>
  <r>
    <s v="740"/>
    <x v="740"/>
    <n v="3900000"/>
    <x v="4"/>
    <n v="591.5385"/>
    <x v="9"/>
    <n v="52"/>
    <n v="2"/>
    <s v="2013"/>
    <n v="2"/>
    <x v="0"/>
    <n v="50"/>
    <n v="25"/>
  </r>
  <r>
    <s v="741"/>
    <x v="741"/>
    <n v="2500000"/>
    <x v="2"/>
    <n v="590.38160000000005"/>
    <x v="9"/>
    <n v="14"/>
    <n v="3"/>
    <s v="2012"/>
    <n v="2"/>
    <x v="0"/>
    <n v="11"/>
    <n v="3.6666666666666665"/>
  </r>
  <r>
    <s v="742"/>
    <x v="742"/>
    <n v="6900000"/>
    <x v="2"/>
    <n v="587.49149999999997"/>
    <x v="5"/>
    <n v="9"/>
    <n v="3"/>
    <s v="2009"/>
    <n v="2"/>
    <x v="0"/>
    <n v="6"/>
    <n v="2"/>
  </r>
  <r>
    <s v="743"/>
    <x v="743"/>
    <n v="11100000"/>
    <x v="29"/>
    <n v="587.36379999999997"/>
    <x v="11"/>
    <n v="74"/>
    <n v="28"/>
    <s v="2011"/>
    <n v="3"/>
    <x v="0"/>
    <n v="46"/>
    <n v="1.6428571428571428"/>
  </r>
  <r>
    <s v="744"/>
    <x v="744"/>
    <n v="4500000"/>
    <x v="2"/>
    <n v="587.10820000000001"/>
    <x v="3"/>
    <n v="8"/>
    <n v="6"/>
    <s v="2004"/>
    <n v="3"/>
    <x v="0"/>
    <n v="2"/>
    <n v="0.33333333333333331"/>
  </r>
  <r>
    <s v="745"/>
    <x v="745"/>
    <n v="48700000"/>
    <x v="4"/>
    <n v="586.85680000000002"/>
    <x v="1"/>
    <n v="325"/>
    <n v="6"/>
    <s v="2012"/>
    <n v="1"/>
    <x v="0"/>
    <n v="319"/>
    <n v="53.166666666666664"/>
  </r>
  <r>
    <s v="746"/>
    <x v="746"/>
    <n v="6100000"/>
    <x v="22"/>
    <n v="586.68629999999996"/>
    <x v="9"/>
    <n v="58"/>
    <n v="11"/>
    <s v="2011"/>
    <n v="2"/>
    <x v="0"/>
    <n v="47"/>
    <n v="4.2727272727272725"/>
  </r>
  <r>
    <s v="747"/>
    <x v="747"/>
    <n v="4200000"/>
    <x v="4"/>
    <n v="586.14930000000004"/>
    <x v="12"/>
    <n v="17"/>
    <n v="2"/>
    <s v="2015"/>
    <n v="1"/>
    <x v="0"/>
    <n v="15"/>
    <n v="7.5"/>
  </r>
  <r>
    <s v="748"/>
    <x v="748"/>
    <n v="2200000"/>
    <x v="9"/>
    <n v="583.93460000000005"/>
    <x v="0"/>
    <n v="25"/>
    <n v="6"/>
    <s v="2012"/>
    <n v="1"/>
    <x v="0"/>
    <n v="19"/>
    <n v="3.1666666666666665"/>
  </r>
  <r>
    <s v="749"/>
    <x v="749"/>
    <n v="17800000"/>
    <x v="9"/>
    <n v="583.4692"/>
    <x v="20"/>
    <n v="1211"/>
    <n v="167"/>
    <s v="2013"/>
    <n v="1"/>
    <x v="0"/>
    <n v="1044"/>
    <n v="6.2514970059880239"/>
  </r>
  <r>
    <s v="750"/>
    <x v="750"/>
    <n v="2800000"/>
    <x v="32"/>
    <n v="582.82659999999998"/>
    <x v="15"/>
    <n v="4"/>
    <n v="1"/>
    <s v="2014"/>
    <n v="1"/>
    <x v="0"/>
    <n v="3"/>
    <n v="3"/>
  </r>
  <r>
    <s v="751"/>
    <x v="751"/>
    <n v="4100000"/>
    <x v="7"/>
    <n v="581.36059999999998"/>
    <x v="5"/>
    <n v="9"/>
    <n v="2"/>
    <s v="2013"/>
    <n v="2"/>
    <x v="0"/>
    <n v="7"/>
    <n v="3.5"/>
  </r>
  <r>
    <s v="752"/>
    <x v="752"/>
    <n v="225800000"/>
    <x v="10"/>
    <n v="581.29939999999999"/>
    <x v="11"/>
    <n v="40"/>
    <n v="12"/>
    <s v="2007"/>
    <n v="4"/>
    <x v="0"/>
    <n v="28"/>
    <n v="2.3333333333333335"/>
  </r>
  <r>
    <s v="753"/>
    <x v="753"/>
    <n v="5700000"/>
    <x v="37"/>
    <n v="579.35440000000006"/>
    <x v="0"/>
    <n v="75"/>
    <n v="8"/>
    <s v="2008"/>
    <n v="3"/>
    <x v="0"/>
    <n v="67"/>
    <n v="8.375"/>
  </r>
  <r>
    <s v="754"/>
    <x v="754"/>
    <n v="15200000"/>
    <x v="29"/>
    <n v="579.23699999999997"/>
    <x v="23"/>
    <n v="100"/>
    <n v="20"/>
    <s v="2012"/>
    <n v="3"/>
    <x v="0"/>
    <n v="80"/>
    <n v="4"/>
  </r>
  <r>
    <s v="755"/>
    <x v="755"/>
    <n v="2300000"/>
    <x v="33"/>
    <n v="578.4348"/>
    <x v="7"/>
    <n v="35"/>
    <n v="4"/>
    <s v="2014"/>
    <n v="1"/>
    <x v="0"/>
    <n v="31"/>
    <n v="7.75"/>
  </r>
  <r>
    <s v="756"/>
    <x v="756"/>
    <n v="11400000"/>
    <x v="13"/>
    <n v="576.96540000000005"/>
    <x v="19"/>
    <n v="92"/>
    <n v="12"/>
    <s v="2005"/>
    <n v="3"/>
    <x v="0"/>
    <n v="80"/>
    <n v="6.666666666666667"/>
  </r>
  <r>
    <s v="757"/>
    <x v="757"/>
    <n v="28600000"/>
    <x v="26"/>
    <n v="576.25059999999996"/>
    <x v="1"/>
    <n v="15"/>
    <n v="5"/>
    <s v="2012"/>
    <n v="3"/>
    <x v="0"/>
    <n v="10"/>
    <n v="2"/>
  </r>
  <r>
    <s v="758"/>
    <x v="758"/>
    <n v="129600000"/>
    <x v="9"/>
    <n v="575.70500000000004"/>
    <x v="7"/>
    <n v="145"/>
    <n v="108"/>
    <s v="1998"/>
    <n v="2"/>
    <x v="0"/>
    <n v="37"/>
    <n v="0.34259259259259262"/>
  </r>
  <r>
    <s v="759"/>
    <x v="759"/>
    <n v="9300000"/>
    <x v="13"/>
    <n v="573.11300000000006"/>
    <x v="9"/>
    <n v="112"/>
    <n v="53"/>
    <s v="2012"/>
    <n v="2"/>
    <x v="0"/>
    <n v="59"/>
    <n v="1.1132075471698113"/>
  </r>
  <r>
    <s v="760"/>
    <x v="760"/>
    <n v="75500000"/>
    <x v="24"/>
    <n v="572.80430000000001"/>
    <x v="7"/>
    <n v="163"/>
    <n v="60"/>
    <s v="2012"/>
    <n v="3"/>
    <x v="0"/>
    <n v="103"/>
    <n v="1.7166666666666666"/>
  </r>
  <r>
    <s v="761"/>
    <x v="761"/>
    <n v="23700000"/>
    <x v="16"/>
    <n v="572.19110000000001"/>
    <x v="9"/>
    <n v="296"/>
    <n v="123"/>
    <s v="2008"/>
    <n v="1"/>
    <x v="0"/>
    <n v="173"/>
    <n v="1.4065040650406504"/>
  </r>
  <r>
    <s v="762"/>
    <x v="762"/>
    <n v="5000000"/>
    <x v="9"/>
    <n v="571.48590000000002"/>
    <x v="3"/>
    <n v="5"/>
    <n v="3"/>
    <s v="2013"/>
    <n v="2"/>
    <x v="0"/>
    <n v="2"/>
    <n v="0.66666666666666663"/>
  </r>
  <r>
    <s v="763"/>
    <x v="763"/>
    <n v="5700000"/>
    <x v="13"/>
    <n v="571.21789999999999"/>
    <x v="0"/>
    <n v="45"/>
    <n v="5"/>
    <s v="2014"/>
    <n v="2"/>
    <x v="0"/>
    <n v="40"/>
    <n v="8"/>
  </r>
  <r>
    <s v="764"/>
    <x v="764"/>
    <n v="3400000"/>
    <x v="15"/>
    <n v="569.58699999999999"/>
    <x v="24"/>
    <n v="43"/>
    <n v="10"/>
    <s v="2013"/>
    <n v="2"/>
    <x v="0"/>
    <n v="33"/>
    <n v="3.3"/>
  </r>
  <r>
    <s v="765"/>
    <x v="765"/>
    <n v="2200000"/>
    <x v="27"/>
    <n v="567.2527"/>
    <x v="15"/>
    <n v="10"/>
    <n v="1"/>
    <s v="2011"/>
    <n v="1"/>
    <x v="0"/>
    <n v="9"/>
    <n v="9"/>
  </r>
  <r>
    <s v="766"/>
    <x v="766"/>
    <n v="40900000"/>
    <x v="5"/>
    <n v="566.64009999999996"/>
    <x v="3"/>
    <n v="88"/>
    <n v="9"/>
    <s v="2011"/>
    <n v="1"/>
    <x v="0"/>
    <n v="79"/>
    <n v="8.7777777777777786"/>
  </r>
  <r>
    <s v="767"/>
    <x v="767"/>
    <n v="4800000"/>
    <x v="37"/>
    <n v="565.72"/>
    <x v="20"/>
    <n v="11"/>
    <n v="2"/>
    <s v="2014"/>
    <n v="2"/>
    <x v="0"/>
    <n v="9"/>
    <n v="4.5"/>
  </r>
  <r>
    <s v="768"/>
    <x v="768"/>
    <n v="19400000"/>
    <x v="7"/>
    <n v="563.64430000000004"/>
    <x v="11"/>
    <n v="155"/>
    <n v="38"/>
    <s v="2011"/>
    <n v="3"/>
    <x v="0"/>
    <n v="117"/>
    <n v="3.0789473684210527"/>
  </r>
  <r>
    <s v="769"/>
    <x v="769"/>
    <n v="13800000"/>
    <x v="9"/>
    <n v="563.08190000000002"/>
    <x v="16"/>
    <n v="255"/>
    <n v="110"/>
    <s v="2007"/>
    <n v="3"/>
    <x v="0"/>
    <n v="145"/>
    <n v="1.3181818181818181"/>
  </r>
  <r>
    <s v="770"/>
    <x v="770"/>
    <n v="39300000"/>
    <x v="7"/>
    <n v="561.84699999999998"/>
    <x v="11"/>
    <n v="105"/>
    <n v="25"/>
    <s v="2009"/>
    <n v="4"/>
    <x v="0"/>
    <n v="80"/>
    <n v="3.2"/>
  </r>
  <r>
    <s v="771"/>
    <x v="771"/>
    <n v="10900000"/>
    <x v="5"/>
    <n v="560.54449999999997"/>
    <x v="3"/>
    <n v="11"/>
    <n v="8"/>
    <s v="2012"/>
    <n v="1"/>
    <x v="0"/>
    <n v="3"/>
    <n v="0.375"/>
  </r>
  <r>
    <s v="772"/>
    <x v="772"/>
    <n v="3500000"/>
    <x v="12"/>
    <n v="560.48760000000004"/>
    <x v="23"/>
    <n v="6"/>
    <n v="2"/>
    <s v="2013"/>
    <n v="2"/>
    <x v="0"/>
    <n v="4"/>
    <n v="2"/>
  </r>
  <r>
    <s v="773"/>
    <x v="773"/>
    <n v="8100000"/>
    <x v="34"/>
    <n v="559.31219999999996"/>
    <x v="0"/>
    <n v="49"/>
    <n v="5"/>
    <s v="2013"/>
    <n v="2"/>
    <x v="0"/>
    <n v="44"/>
    <n v="8.8000000000000007"/>
  </r>
  <r>
    <s v="774"/>
    <x v="774"/>
    <n v="4600000"/>
    <x v="8"/>
    <n v="558.39940000000001"/>
    <x v="23"/>
    <n v="25"/>
    <n v="5"/>
    <s v="2010"/>
    <n v="3"/>
    <x v="0"/>
    <n v="20"/>
    <n v="4"/>
  </r>
  <r>
    <s v="775"/>
    <x v="775"/>
    <n v="2600000"/>
    <x v="7"/>
    <n v="557.80539999999996"/>
    <x v="14"/>
    <n v="28"/>
    <n v="5"/>
    <s v="1989"/>
    <n v="1"/>
    <x v="0"/>
    <n v="23"/>
    <n v="4.5999999999999996"/>
  </r>
  <r>
    <s v="776"/>
    <x v="776"/>
    <n v="14600000"/>
    <x v="9"/>
    <n v="557.17830000000004"/>
    <x v="5"/>
    <n v="33"/>
    <n v="4"/>
    <s v="2012"/>
    <n v="4"/>
    <x v="0"/>
    <n v="29"/>
    <n v="7.25"/>
  </r>
  <r>
    <s v="777"/>
    <x v="777"/>
    <n v="7200000"/>
    <x v="10"/>
    <n v="556.53110000000004"/>
    <x v="15"/>
    <n v="10"/>
    <n v="4"/>
    <s v="2012"/>
    <n v="1"/>
    <x v="0"/>
    <n v="6"/>
    <n v="1.5"/>
  </r>
  <r>
    <s v="778"/>
    <x v="778"/>
    <n v="5100000"/>
    <x v="9"/>
    <n v="555.72919999999999"/>
    <x v="23"/>
    <n v="75"/>
    <n v="5"/>
    <s v="2014"/>
    <n v="1"/>
    <x v="0"/>
    <n v="70"/>
    <n v="14"/>
  </r>
  <r>
    <s v="779"/>
    <x v="779"/>
    <n v="5600000"/>
    <x v="35"/>
    <n v="555.35829999999999"/>
    <x v="23"/>
    <n v="25"/>
    <n v="9"/>
    <s v="2014"/>
    <n v="1"/>
    <x v="0"/>
    <n v="16"/>
    <n v="1.7777777777777777"/>
  </r>
  <r>
    <s v="780"/>
    <x v="780"/>
    <n v="5000000"/>
    <x v="18"/>
    <n v="554.61879999999996"/>
    <x v="11"/>
    <n v="29"/>
    <n v="5"/>
    <s v="2013"/>
    <n v="2"/>
    <x v="0"/>
    <n v="24"/>
    <n v="4.8"/>
  </r>
  <r>
    <s v="781"/>
    <x v="781"/>
    <n v="25400000"/>
    <x v="9"/>
    <n v="553.11289999999997"/>
    <x v="2"/>
    <n v="120"/>
    <n v="18"/>
    <s v="1996"/>
    <n v="1"/>
    <x v="0"/>
    <n v="102"/>
    <n v="5.666666666666667"/>
  </r>
  <r>
    <s v="782"/>
    <x v="782"/>
    <n v="4000000"/>
    <x v="14"/>
    <n v="552.60109999999997"/>
    <x v="3"/>
    <n v="29"/>
    <n v="16"/>
    <s v="2014"/>
    <n v="1"/>
    <x v="0"/>
    <n v="13"/>
    <n v="0.8125"/>
  </r>
  <r>
    <s v="783"/>
    <x v="783"/>
    <n v="172500000"/>
    <x v="20"/>
    <n v="552.48"/>
    <x v="1"/>
    <n v="155"/>
    <n v="41"/>
    <s v="2012"/>
    <n v="6"/>
    <x v="0"/>
    <n v="114"/>
    <n v="2.7804878048780486"/>
  </r>
  <r>
    <s v="784"/>
    <x v="784"/>
    <n v="14300000"/>
    <x v="10"/>
    <n v="551.5154"/>
    <x v="0"/>
    <n v="43"/>
    <n v="17"/>
    <s v="2013"/>
    <n v="2"/>
    <x v="0"/>
    <n v="26"/>
    <n v="1.5294117647058822"/>
  </r>
  <r>
    <s v="785"/>
    <x v="785"/>
    <n v="22500000"/>
    <x v="9"/>
    <n v="549.92520000000002"/>
    <x v="15"/>
    <n v="76"/>
    <n v="15"/>
    <s v="2014"/>
    <n v="2"/>
    <x v="0"/>
    <n v="61"/>
    <n v="4.0666666666666664"/>
  </r>
  <r>
    <s v="786"/>
    <x v="786"/>
    <n v="14800000"/>
    <x v="9"/>
    <n v="548.98009999999999"/>
    <x v="7"/>
    <n v="50"/>
    <n v="20"/>
    <s v="2008"/>
    <n v="3"/>
    <x v="0"/>
    <n v="30"/>
    <n v="1.5"/>
  </r>
  <r>
    <s v="787"/>
    <x v="787"/>
    <n v="114500000"/>
    <x v="16"/>
    <n v="548.44849999999997"/>
    <x v="1"/>
    <n v="465"/>
    <n v="122"/>
    <s v="2007"/>
    <n v="3"/>
    <x v="0"/>
    <n v="343"/>
    <n v="2.8114754098360657"/>
  </r>
  <r>
    <s v="788"/>
    <x v="788"/>
    <n v="2300000"/>
    <x v="5"/>
    <n v="548.04290000000003"/>
    <x v="5"/>
    <n v="18"/>
    <n v="6"/>
    <s v="2013"/>
    <n v="1"/>
    <x v="0"/>
    <n v="12"/>
    <n v="2"/>
  </r>
  <r>
    <s v="789"/>
    <x v="789"/>
    <n v="16200000"/>
    <x v="2"/>
    <n v="546.95590000000004"/>
    <x v="10"/>
    <n v="75"/>
    <n v="15"/>
    <s v="2013"/>
    <n v="2"/>
    <x v="0"/>
    <n v="60"/>
    <n v="4"/>
  </r>
  <r>
    <s v="790"/>
    <x v="790"/>
    <n v="6300000"/>
    <x v="38"/>
    <n v="546.24109999999996"/>
    <x v="5"/>
    <n v="12"/>
    <n v="6"/>
    <s v="2003"/>
    <n v="4"/>
    <x v="0"/>
    <n v="6"/>
    <n v="1"/>
  </r>
  <r>
    <s v="791"/>
    <x v="791"/>
    <n v="5700000"/>
    <x v="9"/>
    <n v="545.65840000000003"/>
    <x v="23"/>
    <n v="30"/>
    <n v="5"/>
    <s v="2014"/>
    <n v="1"/>
    <x v="0"/>
    <n v="25"/>
    <n v="5"/>
  </r>
  <r>
    <s v="792"/>
    <x v="792"/>
    <n v="44200000"/>
    <x v="2"/>
    <n v="545.33640000000003"/>
    <x v="15"/>
    <n v="105"/>
    <n v="41"/>
    <s v="2011"/>
    <n v="4"/>
    <x v="0"/>
    <n v="64"/>
    <n v="1.5609756097560976"/>
  </r>
  <r>
    <s v="793"/>
    <x v="793"/>
    <n v="2300000"/>
    <x v="7"/>
    <n v="542.22460000000001"/>
    <x v="11"/>
    <n v="17"/>
    <n v="2"/>
    <s v="2013"/>
    <n v="1"/>
    <x v="0"/>
    <n v="15"/>
    <n v="7.5"/>
  </r>
  <r>
    <s v="794"/>
    <x v="794"/>
    <n v="11000000"/>
    <x v="13"/>
    <n v="540.57860000000005"/>
    <x v="16"/>
    <n v="110"/>
    <n v="40"/>
    <s v="2013"/>
    <n v="2"/>
    <x v="0"/>
    <n v="70"/>
    <n v="1.75"/>
  </r>
  <r>
    <s v="795"/>
    <x v="795"/>
    <n v="7300000"/>
    <x v="9"/>
    <n v="540.01199999999994"/>
    <x v="23"/>
    <n v="7"/>
    <n v="3"/>
    <s v="2012"/>
    <n v="3"/>
    <x v="0"/>
    <n v="4"/>
    <n v="1.3333333333333333"/>
  </r>
  <r>
    <s v="796"/>
    <x v="796"/>
    <n v="11300000"/>
    <x v="7"/>
    <n v="538.82320000000004"/>
    <x v="11"/>
    <n v="150"/>
    <n v="8"/>
    <s v="2013"/>
    <n v="2"/>
    <x v="0"/>
    <n v="142"/>
    <n v="17.75"/>
  </r>
  <r>
    <s v="797"/>
    <x v="797"/>
    <n v="8400000"/>
    <x v="9"/>
    <n v="538.46"/>
    <x v="3"/>
    <n v="31"/>
    <n v="4"/>
    <s v="2012"/>
    <n v="1"/>
    <x v="0"/>
    <n v="27"/>
    <n v="6.75"/>
  </r>
  <r>
    <s v="798"/>
    <x v="798"/>
    <n v="2200000"/>
    <x v="8"/>
    <n v="537.92049999999995"/>
    <x v="0"/>
    <n v="20"/>
    <n v="2"/>
    <s v="2011"/>
    <n v="1"/>
    <x v="0"/>
    <n v="18"/>
    <n v="9"/>
  </r>
  <r>
    <s v="799"/>
    <x v="799"/>
    <n v="6300000"/>
    <x v="6"/>
    <n v="537.79510000000005"/>
    <x v="5"/>
    <n v="46"/>
    <n v="6"/>
    <s v="2012"/>
    <n v="2"/>
    <x v="0"/>
    <n v="40"/>
    <n v="6.666666666666667"/>
  </r>
  <r>
    <s v="800"/>
    <x v="800"/>
    <n v="3500000"/>
    <x v="16"/>
    <n v="536.19759999999997"/>
    <x v="7"/>
    <n v="30"/>
    <n v="10"/>
    <s v="2010"/>
    <n v="2"/>
    <x v="0"/>
    <n v="20"/>
    <n v="2"/>
  </r>
  <r>
    <s v="801"/>
    <x v="801"/>
    <n v="3200000"/>
    <x v="9"/>
    <n v="535.48469999999998"/>
    <x v="15"/>
    <n v="13"/>
    <n v="3"/>
    <s v="2013"/>
    <n v="1"/>
    <x v="0"/>
    <n v="10"/>
    <n v="3.3333333333333335"/>
  </r>
  <r>
    <s v="802"/>
    <x v="802"/>
    <n v="18400000"/>
    <x v="7"/>
    <n v="533.70640000000003"/>
    <x v="11"/>
    <n v="80"/>
    <n v="20"/>
    <s v="2008"/>
    <n v="2"/>
    <x v="0"/>
    <n v="60"/>
    <n v="3"/>
  </r>
  <r>
    <s v="803"/>
    <x v="803"/>
    <n v="3000000"/>
    <x v="11"/>
    <n v="533.63580000000002"/>
    <x v="4"/>
    <n v="7"/>
    <n v="3"/>
    <s v="2014"/>
    <n v="1"/>
    <x v="0"/>
    <n v="4"/>
    <n v="1.3333333333333333"/>
  </r>
  <r>
    <s v="804"/>
    <x v="804"/>
    <n v="35600000"/>
    <x v="20"/>
    <n v="532.72630000000004"/>
    <x v="1"/>
    <n v="68"/>
    <n v="7"/>
    <s v="2012"/>
    <n v="3"/>
    <x v="0"/>
    <n v="61"/>
    <n v="8.7142857142857135"/>
  </r>
  <r>
    <s v="805"/>
    <x v="805"/>
    <n v="5700000"/>
    <x v="2"/>
    <n v="532.50559999999996"/>
    <x v="1"/>
    <n v="20"/>
    <n v="4"/>
    <s v="2011"/>
    <n v="1"/>
    <x v="0"/>
    <n v="16"/>
    <n v="4"/>
  </r>
  <r>
    <s v="806"/>
    <x v="806"/>
    <n v="5800000"/>
    <x v="13"/>
    <n v="531.15859999999998"/>
    <x v="11"/>
    <n v="80"/>
    <n v="20"/>
    <s v="2012"/>
    <n v="2"/>
    <x v="0"/>
    <n v="60"/>
    <n v="3"/>
  </r>
  <r>
    <s v="807"/>
    <x v="807"/>
    <n v="6500000"/>
    <x v="4"/>
    <n v="531.00459999999998"/>
    <x v="14"/>
    <n v="39"/>
    <n v="13"/>
    <s v="2014"/>
    <n v="2"/>
    <x v="0"/>
    <n v="26"/>
    <n v="2"/>
  </r>
  <r>
    <s v="808"/>
    <x v="808"/>
    <n v="4300000"/>
    <x v="9"/>
    <n v="531.00450000000001"/>
    <x v="0"/>
    <n v="16"/>
    <n v="2"/>
    <s v="2015"/>
    <n v="1"/>
    <x v="0"/>
    <n v="14"/>
    <n v="7"/>
  </r>
  <r>
    <s v="809"/>
    <x v="809"/>
    <n v="6400000"/>
    <x v="2"/>
    <n v="528.05899999999997"/>
    <x v="3"/>
    <n v="7"/>
    <n v="2"/>
    <s v="2014"/>
    <n v="1"/>
    <x v="0"/>
    <n v="5"/>
    <n v="2.5"/>
  </r>
  <r>
    <s v="810"/>
    <x v="810"/>
    <n v="23600000"/>
    <x v="33"/>
    <n v="527.40809999999999"/>
    <x v="4"/>
    <n v="28"/>
    <n v="10"/>
    <s v="2013"/>
    <n v="3"/>
    <x v="0"/>
    <n v="18"/>
    <n v="1.8"/>
  </r>
  <r>
    <s v="811"/>
    <x v="811"/>
    <n v="2700000"/>
    <x v="32"/>
    <n v="527.20259999999996"/>
    <x v="4"/>
    <n v="3"/>
    <n v="2"/>
    <s v="2014"/>
    <n v="1"/>
    <x v="0"/>
    <n v="1"/>
    <n v="0.5"/>
  </r>
  <r>
    <s v="812"/>
    <x v="812"/>
    <n v="146800000"/>
    <x v="16"/>
    <n v="526.76779999999997"/>
    <x v="20"/>
    <n v="30"/>
    <n v="7"/>
    <s v="2014"/>
    <n v="1"/>
    <x v="0"/>
    <n v="23"/>
    <n v="3.2857142857142856"/>
  </r>
  <r>
    <s v="813"/>
    <x v="813"/>
    <n v="7200000"/>
    <x v="9"/>
    <n v="525.95240000000001"/>
    <x v="20"/>
    <n v="56"/>
    <n v="12"/>
    <s v="2001"/>
    <n v="2"/>
    <x v="0"/>
    <n v="44"/>
    <n v="3.6666666666666665"/>
  </r>
  <r>
    <s v="814"/>
    <x v="814"/>
    <n v="84700000"/>
    <x v="2"/>
    <n v="525.69230000000005"/>
    <x v="23"/>
    <n v="14"/>
    <n v="5"/>
    <s v="2011"/>
    <n v="1"/>
    <x v="0"/>
    <n v="9"/>
    <n v="1.8"/>
  </r>
  <r>
    <s v="815"/>
    <x v="815"/>
    <n v="7000000"/>
    <x v="2"/>
    <n v="525.59910000000002"/>
    <x v="24"/>
    <n v="200"/>
    <n v="21"/>
    <s v="2009"/>
    <n v="2"/>
    <x v="0"/>
    <n v="179"/>
    <n v="8.5238095238095237"/>
  </r>
  <r>
    <s v="816"/>
    <x v="816"/>
    <n v="75000000"/>
    <x v="9"/>
    <n v="525.5163"/>
    <x v="5"/>
    <n v="60"/>
    <n v="10"/>
    <s v="2015"/>
    <n v="1"/>
    <x v="0"/>
    <n v="50"/>
    <n v="5"/>
  </r>
  <r>
    <s v="817"/>
    <x v="817"/>
    <n v="18100000"/>
    <x v="44"/>
    <n v="523.53710000000001"/>
    <x v="25"/>
    <n v="124"/>
    <n v="15"/>
    <s v="2009"/>
    <n v="1"/>
    <x v="0"/>
    <n v="109"/>
    <n v="7.2666666666666666"/>
  </r>
  <r>
    <s v="818"/>
    <x v="818"/>
    <n v="3100000"/>
    <x v="15"/>
    <n v="522.5213"/>
    <x v="6"/>
    <n v="36"/>
    <n v="12"/>
    <s v="2012"/>
    <n v="2"/>
    <x v="0"/>
    <n v="24"/>
    <n v="2"/>
  </r>
  <r>
    <s v="819"/>
    <x v="819"/>
    <n v="9200000"/>
    <x v="24"/>
    <n v="521.81870000000004"/>
    <x v="5"/>
    <n v="89"/>
    <n v="17"/>
    <s v="2010"/>
    <n v="2"/>
    <x v="0"/>
    <n v="72"/>
    <n v="4.2352941176470589"/>
  </r>
  <r>
    <s v="820"/>
    <x v="820"/>
    <n v="2400000"/>
    <x v="9"/>
    <n v="521.67849999999999"/>
    <x v="3"/>
    <n v="24"/>
    <n v="3"/>
    <s v="2013"/>
    <n v="1"/>
    <x v="0"/>
    <n v="21"/>
    <n v="7"/>
  </r>
  <r>
    <s v="821"/>
    <x v="821"/>
    <n v="2700000"/>
    <x v="12"/>
    <n v="521.58479999999997"/>
    <x v="0"/>
    <n v="10"/>
    <n v="1"/>
    <s v="2014"/>
    <n v="1"/>
    <x v="0"/>
    <n v="9"/>
    <n v="9"/>
  </r>
  <r>
    <s v="822"/>
    <x v="822"/>
    <n v="8200000"/>
    <x v="18"/>
    <n v="519.39710000000002"/>
    <x v="15"/>
    <n v="43"/>
    <n v="6"/>
    <s v="2014"/>
    <n v="1"/>
    <x v="0"/>
    <n v="37"/>
    <n v="6.166666666666667"/>
  </r>
  <r>
    <s v="823"/>
    <x v="823"/>
    <n v="19500000"/>
    <x v="33"/>
    <n v="518.39260000000002"/>
    <x v="23"/>
    <n v="103"/>
    <n v="25"/>
    <s v="2006"/>
    <n v="1"/>
    <x v="0"/>
    <n v="78"/>
    <n v="3.12"/>
  </r>
  <r>
    <s v="824"/>
    <x v="824"/>
    <n v="4500000"/>
    <x v="27"/>
    <n v="518.02850000000001"/>
    <x v="6"/>
    <n v="50"/>
    <n v="15"/>
    <s v="2014"/>
    <n v="1"/>
    <x v="0"/>
    <n v="35"/>
    <n v="2.3333333333333335"/>
  </r>
  <r>
    <s v="825"/>
    <x v="825"/>
    <n v="3700000"/>
    <x v="12"/>
    <n v="517.30349999999999"/>
    <x v="24"/>
    <n v="150"/>
    <n v="30"/>
    <s v="2013"/>
    <n v="2"/>
    <x v="0"/>
    <n v="120"/>
    <n v="4"/>
  </r>
  <r>
    <s v="826"/>
    <x v="826"/>
    <n v="4000000"/>
    <x v="11"/>
    <n v="516.48059999999998"/>
    <x v="23"/>
    <n v="50"/>
    <n v="13"/>
    <s v="2015"/>
    <n v="1"/>
    <x v="0"/>
    <n v="37"/>
    <n v="2.8461538461538463"/>
  </r>
  <r>
    <s v="827"/>
    <x v="827"/>
    <n v="3400000"/>
    <x v="9"/>
    <n v="515.57249999999999"/>
    <x v="4"/>
    <n v="10"/>
    <n v="5"/>
    <s v="2010"/>
    <n v="2"/>
    <x v="0"/>
    <n v="5"/>
    <n v="1"/>
  </r>
  <r>
    <s v="828"/>
    <x v="828"/>
    <n v="8800000"/>
    <x v="10"/>
    <n v="515.4058"/>
    <x v="3"/>
    <n v="33"/>
    <n v="6"/>
    <s v="2010"/>
    <n v="3"/>
    <x v="0"/>
    <n v="27"/>
    <n v="4.5"/>
  </r>
  <r>
    <s v="829"/>
    <x v="829"/>
    <n v="24300000"/>
    <x v="12"/>
    <n v="512.6748"/>
    <x v="0"/>
    <n v="179"/>
    <n v="64"/>
    <s v="2013"/>
    <n v="2"/>
    <x v="0"/>
    <n v="115"/>
    <n v="1.796875"/>
  </r>
  <r>
    <s v="830"/>
    <x v="830"/>
    <n v="4200000"/>
    <x v="2"/>
    <n v="512.60559999999998"/>
    <x v="12"/>
    <n v="211"/>
    <n v="28"/>
    <s v="1974"/>
    <n v="1"/>
    <x v="0"/>
    <n v="183"/>
    <n v="6.5357142857142856"/>
  </r>
  <r>
    <s v="831"/>
    <x v="831"/>
    <n v="4500000"/>
    <x v="8"/>
    <n v="511.96249999999998"/>
    <x v="13"/>
    <n v="13"/>
    <n v="4"/>
    <s v="2015"/>
    <n v="1"/>
    <x v="0"/>
    <n v="9"/>
    <n v="2.25"/>
  </r>
  <r>
    <s v="832"/>
    <x v="832"/>
    <n v="21700000"/>
    <x v="18"/>
    <n v="510.65469999999999"/>
    <x v="9"/>
    <n v="218"/>
    <n v="58"/>
    <s v="2010"/>
    <n v="2"/>
    <x v="0"/>
    <n v="160"/>
    <n v="2.7586206896551726"/>
  </r>
  <r>
    <s v="833"/>
    <x v="833"/>
    <n v="5100000"/>
    <x v="9"/>
    <n v="510.36430000000001"/>
    <x v="5"/>
    <n v="46"/>
    <n v="2"/>
    <s v="2014"/>
    <n v="1"/>
    <x v="0"/>
    <n v="44"/>
    <n v="22"/>
  </r>
  <r>
    <s v="834"/>
    <x v="834"/>
    <n v="4800000"/>
    <x v="9"/>
    <n v="509.71449999999999"/>
    <x v="9"/>
    <n v="30"/>
    <n v="7"/>
    <s v="2012"/>
    <n v="2"/>
    <x v="0"/>
    <n v="23"/>
    <n v="3.2857142857142856"/>
  </r>
  <r>
    <s v="835"/>
    <x v="835"/>
    <n v="5100000"/>
    <x v="38"/>
    <n v="508.64879999999999"/>
    <x v="13"/>
    <n v="40"/>
    <n v="15"/>
    <s v="2008"/>
    <n v="3"/>
    <x v="0"/>
    <n v="25"/>
    <n v="1.6666666666666667"/>
  </r>
  <r>
    <s v="836"/>
    <x v="836"/>
    <n v="12200000"/>
    <x v="9"/>
    <n v="508.0951"/>
    <x v="0"/>
    <n v="50"/>
    <n v="10"/>
    <s v="2014"/>
    <n v="1"/>
    <x v="0"/>
    <n v="40"/>
    <n v="4"/>
  </r>
  <r>
    <s v="837"/>
    <x v="837"/>
    <n v="9300000"/>
    <x v="21"/>
    <n v="507.1986"/>
    <x v="16"/>
    <n v="15"/>
    <n v="10"/>
    <s v="2007"/>
    <n v="1"/>
    <x v="0"/>
    <n v="5"/>
    <n v="0.5"/>
  </r>
  <r>
    <s v="838"/>
    <x v="838"/>
    <n v="102200000"/>
    <x v="16"/>
    <n v="505.94499999999999"/>
    <x v="2"/>
    <n v="63"/>
    <n v="8"/>
    <s v="1995"/>
    <n v="2"/>
    <x v="0"/>
    <n v="55"/>
    <n v="6.875"/>
  </r>
  <r>
    <s v="839"/>
    <x v="839"/>
    <n v="9500000"/>
    <x v="5"/>
    <n v="503.97390000000001"/>
    <x v="15"/>
    <n v="15"/>
    <n v="5"/>
    <s v="2010"/>
    <n v="6"/>
    <x v="0"/>
    <n v="10"/>
    <n v="2"/>
  </r>
  <r>
    <s v="840"/>
    <x v="840"/>
    <n v="3100000"/>
    <x v="24"/>
    <n v="503.86970000000002"/>
    <x v="16"/>
    <n v="51"/>
    <n v="8"/>
    <s v="2012"/>
    <n v="1"/>
    <x v="0"/>
    <n v="43"/>
    <n v="5.375"/>
  </r>
  <r>
    <s v="841"/>
    <x v="841"/>
    <n v="5500000"/>
    <x v="8"/>
    <n v="503.41300000000001"/>
    <x v="4"/>
    <n v="65"/>
    <n v="20"/>
    <s v="2013"/>
    <n v="2"/>
    <x v="0"/>
    <n v="45"/>
    <n v="2.25"/>
  </r>
  <r>
    <s v="842"/>
    <x v="842"/>
    <n v="5800000"/>
    <x v="30"/>
    <n v="502.49"/>
    <x v="9"/>
    <n v="55"/>
    <n v="20"/>
    <s v="2013"/>
    <n v="2"/>
    <x v="0"/>
    <n v="35"/>
    <n v="1.75"/>
  </r>
  <r>
    <s v="843"/>
    <x v="843"/>
    <n v="2900000"/>
    <x v="21"/>
    <n v="502.1592"/>
    <x v="23"/>
    <n v="26"/>
    <n v="14"/>
    <s v="2014"/>
    <n v="1"/>
    <x v="0"/>
    <n v="12"/>
    <n v="0.8571428571428571"/>
  </r>
  <r>
    <s v="844"/>
    <x v="844"/>
    <n v="11100000"/>
    <x v="9"/>
    <n v="501.61399999999998"/>
    <x v="1"/>
    <n v="16"/>
    <n v="4"/>
    <s v="2007"/>
    <n v="3"/>
    <x v="0"/>
    <n v="12"/>
    <n v="3"/>
  </r>
  <r>
    <s v="845"/>
    <x v="845"/>
    <n v="3000000"/>
    <x v="12"/>
    <n v="501.399"/>
    <x v="9"/>
    <n v="90"/>
    <n v="30"/>
    <s v="2001"/>
    <n v="2"/>
    <x v="0"/>
    <n v="60"/>
    <n v="2"/>
  </r>
  <r>
    <s v="846"/>
    <x v="846"/>
    <n v="11600000"/>
    <x v="12"/>
    <n v="501.04360000000003"/>
    <x v="12"/>
    <n v="32"/>
    <n v="5"/>
    <s v="2013"/>
    <n v="2"/>
    <x v="0"/>
    <n v="27"/>
    <n v="5.4"/>
  </r>
  <r>
    <s v="847"/>
    <x v="847"/>
    <n v="72800000"/>
    <x v="6"/>
    <n v="500.94200000000001"/>
    <x v="3"/>
    <n v="45"/>
    <n v="6"/>
    <s v="2014"/>
    <n v="1"/>
    <x v="0"/>
    <n v="39"/>
    <n v="6.5"/>
  </r>
  <r>
    <s v="848"/>
    <x v="848"/>
    <n v="4900000"/>
    <x v="9"/>
    <n v="500.60829999999999"/>
    <x v="7"/>
    <n v="42"/>
    <n v="10"/>
    <s v="2014"/>
    <n v="1"/>
    <x v="0"/>
    <n v="32"/>
    <n v="3.2"/>
  </r>
  <r>
    <s v="849"/>
    <x v="849"/>
    <n v="69700000"/>
    <x v="13"/>
    <n v="499.68700000000001"/>
    <x v="12"/>
    <n v="850"/>
    <n v="350"/>
    <s v="2004"/>
    <n v="1"/>
    <x v="0"/>
    <n v="500"/>
    <n v="1.4285714285714286"/>
  </r>
  <r>
    <s v="850"/>
    <x v="850"/>
    <n v="7000000"/>
    <x v="19"/>
    <n v="499.04590000000002"/>
    <x v="19"/>
    <n v="49"/>
    <n v="15"/>
    <s v="2005"/>
    <n v="2"/>
    <x v="0"/>
    <n v="34"/>
    <n v="2.2666666666666666"/>
  </r>
  <r>
    <s v="851"/>
    <x v="851"/>
    <n v="3500000"/>
    <x v="5"/>
    <n v="498.88729999999998"/>
    <x v="23"/>
    <n v="27"/>
    <n v="4"/>
    <s v="2013"/>
    <n v="1"/>
    <x v="0"/>
    <n v="23"/>
    <n v="5.75"/>
  </r>
  <r>
    <s v="852"/>
    <x v="852"/>
    <n v="4100000"/>
    <x v="33"/>
    <n v="498.2928"/>
    <x v="9"/>
    <n v="45"/>
    <n v="15"/>
    <s v="2012"/>
    <n v="2"/>
    <x v="0"/>
    <n v="30"/>
    <n v="2"/>
  </r>
  <r>
    <s v="853"/>
    <x v="853"/>
    <n v="5400000"/>
    <x v="27"/>
    <n v="497.51850000000002"/>
    <x v="23"/>
    <n v="20"/>
    <n v="5"/>
    <s v="2014"/>
    <n v="2"/>
    <x v="0"/>
    <n v="15"/>
    <n v="3"/>
  </r>
  <r>
    <s v="854"/>
    <x v="854"/>
    <n v="14600000"/>
    <x v="16"/>
    <n v="497.30079999999998"/>
    <x v="21"/>
    <n v="617"/>
    <n v="37"/>
    <s v="2011"/>
    <n v="1"/>
    <x v="0"/>
    <n v="580"/>
    <n v="15.675675675675675"/>
  </r>
  <r>
    <s v="855"/>
    <x v="855"/>
    <n v="14400000"/>
    <x v="35"/>
    <n v="496.93610000000001"/>
    <x v="19"/>
    <n v="174"/>
    <n v="26"/>
    <s v="2012"/>
    <n v="2"/>
    <x v="0"/>
    <n v="148"/>
    <n v="5.6923076923076925"/>
  </r>
  <r>
    <s v="856"/>
    <x v="856"/>
    <n v="44800000"/>
    <x v="37"/>
    <n v="495.94470000000001"/>
    <x v="23"/>
    <n v="34"/>
    <n v="5"/>
    <s v="2012"/>
    <n v="2"/>
    <x v="0"/>
    <n v="29"/>
    <n v="5.8"/>
  </r>
  <r>
    <s v="857"/>
    <x v="857"/>
    <n v="20000000"/>
    <x v="2"/>
    <n v="495.24939999999998"/>
    <x v="15"/>
    <n v="50"/>
    <n v="12"/>
    <s v="2009"/>
    <n v="1"/>
    <x v="0"/>
    <n v="38"/>
    <n v="3.1666666666666665"/>
  </r>
  <r>
    <s v="858"/>
    <x v="858"/>
    <n v="14500000"/>
    <x v="12"/>
    <n v="495.17910000000001"/>
    <x v="0"/>
    <n v="15"/>
    <n v="3"/>
    <s v="2015"/>
    <n v="1"/>
    <x v="0"/>
    <n v="12"/>
    <n v="4"/>
  </r>
  <r>
    <s v="859"/>
    <x v="859"/>
    <n v="6500000"/>
    <x v="9"/>
    <n v="494.6105"/>
    <x v="12"/>
    <n v="53"/>
    <n v="5"/>
    <s v="2014"/>
    <n v="1"/>
    <x v="0"/>
    <n v="48"/>
    <n v="9.6"/>
  </r>
  <r>
    <s v="860"/>
    <x v="860"/>
    <n v="2900000"/>
    <x v="12"/>
    <n v="494.54090000000002"/>
    <x v="3"/>
    <n v="15"/>
    <n v="2"/>
    <s v="2014"/>
    <n v="1"/>
    <x v="0"/>
    <n v="13"/>
    <n v="6.5"/>
  </r>
  <r>
    <s v="861"/>
    <x v="861"/>
    <n v="59900000"/>
    <x v="24"/>
    <n v="494.31319999999999"/>
    <x v="10"/>
    <n v="366"/>
    <n v="149"/>
    <s v="2012"/>
    <n v="4"/>
    <x v="0"/>
    <n v="217"/>
    <n v="1.4563758389261745"/>
  </r>
  <r>
    <s v="862"/>
    <x v="862"/>
    <n v="5600000"/>
    <x v="2"/>
    <n v="493.81279999999998"/>
    <x v="12"/>
    <n v="75"/>
    <n v="5"/>
    <s v="2013"/>
    <n v="1"/>
    <x v="0"/>
    <n v="70"/>
    <n v="14"/>
  </r>
  <r>
    <s v="863"/>
    <x v="863"/>
    <n v="21400000"/>
    <x v="27"/>
    <n v="493.11799999999999"/>
    <x v="23"/>
    <n v="182"/>
    <n v="92"/>
    <s v="2011"/>
    <n v="4"/>
    <x v="0"/>
    <n v="90"/>
    <n v="0.97826086956521741"/>
  </r>
  <r>
    <s v="864"/>
    <x v="864"/>
    <n v="27000000"/>
    <x v="9"/>
    <n v="493.11489999999998"/>
    <x v="0"/>
    <n v="94"/>
    <n v="71"/>
    <s v="2012"/>
    <n v="3"/>
    <x v="0"/>
    <n v="23"/>
    <n v="0.323943661971831"/>
  </r>
  <r>
    <s v="865"/>
    <x v="865"/>
    <n v="7500000"/>
    <x v="9"/>
    <n v="491.13799999999998"/>
    <x v="0"/>
    <n v="24"/>
    <n v="9"/>
    <s v="2015"/>
    <n v="1"/>
    <x v="0"/>
    <n v="15"/>
    <n v="1.6666666666666667"/>
  </r>
  <r>
    <s v="866"/>
    <x v="866"/>
    <n v="13000000"/>
    <x v="40"/>
    <n v="490.55279999999999"/>
    <x v="4"/>
    <n v="115"/>
    <n v="30"/>
    <s v="2012"/>
    <n v="1"/>
    <x v="0"/>
    <n v="85"/>
    <n v="2.8333333333333335"/>
  </r>
  <r>
    <s v="867"/>
    <x v="867"/>
    <n v="14000000"/>
    <x v="7"/>
    <n v="490.18650000000002"/>
    <x v="11"/>
    <n v="86"/>
    <n v="24"/>
    <s v="2009"/>
    <n v="4"/>
    <x v="0"/>
    <n v="62"/>
    <n v="2.5833333333333335"/>
  </r>
  <r>
    <s v="868"/>
    <x v="868"/>
    <n v="17200000"/>
    <x v="25"/>
    <n v="489.99009999999998"/>
    <x v="13"/>
    <n v="156"/>
    <n v="14"/>
    <s v="2010"/>
    <n v="2"/>
    <x v="0"/>
    <n v="142"/>
    <n v="10.142857142857142"/>
  </r>
  <r>
    <s v="869"/>
    <x v="869"/>
    <n v="32600000"/>
    <x v="9"/>
    <n v="489.08"/>
    <x v="0"/>
    <n v="72"/>
    <n v="36"/>
    <s v="2012"/>
    <n v="3"/>
    <x v="0"/>
    <n v="36"/>
    <n v="1"/>
  </r>
  <r>
    <s v="870"/>
    <x v="870"/>
    <n v="105600000"/>
    <x v="8"/>
    <n v="489.00839999999999"/>
    <x v="15"/>
    <n v="300"/>
    <n v="51"/>
    <s v="2002"/>
    <n v="2"/>
    <x v="0"/>
    <n v="249"/>
    <n v="4.882352941176471"/>
  </r>
  <r>
    <s v="871"/>
    <x v="871"/>
    <n v="3200000"/>
    <x v="13"/>
    <n v="488.84050000000002"/>
    <x v="11"/>
    <n v="8"/>
    <n v="5"/>
    <s v="2009"/>
    <n v="2"/>
    <x v="0"/>
    <n v="3"/>
    <n v="0.6"/>
  </r>
  <r>
    <s v="872"/>
    <x v="872"/>
    <n v="11200000"/>
    <x v="45"/>
    <n v="487.67970000000003"/>
    <x v="13"/>
    <n v="55"/>
    <n v="22"/>
    <s v="2013"/>
    <n v="3"/>
    <x v="0"/>
    <n v="33"/>
    <n v="1.5"/>
  </r>
  <r>
    <s v="873"/>
    <x v="873"/>
    <n v="13100000"/>
    <x v="9"/>
    <n v="487.11900000000003"/>
    <x v="0"/>
    <n v="68"/>
    <n v="10"/>
    <s v="2014"/>
    <n v="1"/>
    <x v="0"/>
    <n v="58"/>
    <n v="5.8"/>
  </r>
  <r>
    <s v="874"/>
    <x v="874"/>
    <n v="5200000"/>
    <x v="18"/>
    <n v="486.82670000000002"/>
    <x v="0"/>
    <n v="38"/>
    <n v="7"/>
    <s v="2007"/>
    <n v="2"/>
    <x v="0"/>
    <n v="31"/>
    <n v="4.4285714285714288"/>
  </r>
  <r>
    <s v="875"/>
    <x v="875"/>
    <n v="5400000"/>
    <x v="5"/>
    <n v="486.3766"/>
    <x v="0"/>
    <n v="81"/>
    <n v="23"/>
    <s v="2014"/>
    <n v="2"/>
    <x v="0"/>
    <n v="58"/>
    <n v="2.5217391304347827"/>
  </r>
  <r>
    <s v="876"/>
    <x v="876"/>
    <n v="2700000"/>
    <x v="23"/>
    <n v="485.6782"/>
    <x v="2"/>
    <n v="11"/>
    <n v="3"/>
    <s v="2008"/>
    <n v="1"/>
    <x v="0"/>
    <n v="8"/>
    <n v="2.6666666666666665"/>
  </r>
  <r>
    <s v="877"/>
    <x v="877"/>
    <n v="2700000"/>
    <x v="21"/>
    <n v="485.44990000000001"/>
    <x v="1"/>
    <n v="3"/>
    <n v="3"/>
    <s v="2015"/>
    <n v="1"/>
    <x v="1"/>
    <n v="0"/>
    <n v="0"/>
  </r>
  <r>
    <s v="878"/>
    <x v="878"/>
    <n v="7600000"/>
    <x v="5"/>
    <n v="485.16629999999998"/>
    <x v="23"/>
    <n v="25"/>
    <n v="5"/>
    <s v="2013"/>
    <n v="2"/>
    <x v="0"/>
    <n v="20"/>
    <n v="4"/>
  </r>
  <r>
    <s v="879"/>
    <x v="879"/>
    <n v="39800000"/>
    <x v="9"/>
    <n v="484.63889999999998"/>
    <x v="9"/>
    <n v="86"/>
    <n v="10"/>
    <s v="2015"/>
    <n v="2"/>
    <x v="0"/>
    <n v="76"/>
    <n v="7.6"/>
  </r>
  <r>
    <s v="880"/>
    <x v="880"/>
    <n v="12100000"/>
    <x v="37"/>
    <n v="484.589"/>
    <x v="25"/>
    <n v="63"/>
    <n v="28"/>
    <s v="2013"/>
    <n v="2"/>
    <x v="0"/>
    <n v="35"/>
    <n v="1.25"/>
  </r>
  <r>
    <s v="881"/>
    <x v="881"/>
    <n v="46300000"/>
    <x v="0"/>
    <n v="483.9554"/>
    <x v="0"/>
    <n v="110"/>
    <n v="22"/>
    <s v="2008"/>
    <n v="7"/>
    <x v="0"/>
    <n v="88"/>
    <n v="4"/>
  </r>
  <r>
    <s v="882"/>
    <x v="882"/>
    <n v="56400000"/>
    <x v="5"/>
    <n v="482.59550000000002"/>
    <x v="6"/>
    <n v="990"/>
    <n v="100"/>
    <s v="2011"/>
    <n v="7"/>
    <x v="0"/>
    <n v="890"/>
    <n v="8.9"/>
  </r>
  <r>
    <s v="883"/>
    <x v="883"/>
    <n v="10200000"/>
    <x v="32"/>
    <n v="480.65390000000002"/>
    <x v="25"/>
    <n v="44"/>
    <n v="17"/>
    <s v="2010"/>
    <n v="3"/>
    <x v="0"/>
    <n v="27"/>
    <n v="1.588235294117647"/>
  </r>
  <r>
    <s v="884"/>
    <x v="884"/>
    <n v="24200000"/>
    <x v="12"/>
    <n v="480.63909999999998"/>
    <x v="13"/>
    <n v="32"/>
    <n v="4"/>
    <s v="2014"/>
    <n v="2"/>
    <x v="0"/>
    <n v="28"/>
    <n v="7"/>
  </r>
  <r>
    <s v="885"/>
    <x v="885"/>
    <n v="4100000"/>
    <x v="12"/>
    <n v="478.85629999999998"/>
    <x v="3"/>
    <n v="60"/>
    <n v="23"/>
    <s v="2013"/>
    <n v="1"/>
    <x v="0"/>
    <n v="37"/>
    <n v="1.6086956521739131"/>
  </r>
  <r>
    <s v="886"/>
    <x v="886"/>
    <n v="2700000"/>
    <x v="2"/>
    <n v="478.23399999999998"/>
    <x v="3"/>
    <n v="6"/>
    <n v="5"/>
    <s v="2010"/>
    <n v="2"/>
    <x v="0"/>
    <n v="1"/>
    <n v="0.2"/>
  </r>
  <r>
    <s v="887"/>
    <x v="887"/>
    <n v="16000000"/>
    <x v="7"/>
    <n v="478.19690000000003"/>
    <x v="16"/>
    <n v="100"/>
    <n v="10"/>
    <s v="2007"/>
    <n v="1"/>
    <x v="0"/>
    <n v="90"/>
    <n v="9"/>
  </r>
  <r>
    <s v="888"/>
    <x v="888"/>
    <n v="21300000"/>
    <x v="1"/>
    <n v="477.45760000000001"/>
    <x v="5"/>
    <n v="44"/>
    <n v="23"/>
    <s v="2012"/>
    <n v="2"/>
    <x v="0"/>
    <n v="21"/>
    <n v="0.91304347826086951"/>
  </r>
  <r>
    <s v="889"/>
    <x v="889"/>
    <n v="4700000"/>
    <x v="5"/>
    <n v="477.33699999999999"/>
    <x v="5"/>
    <n v="34"/>
    <n v="12"/>
    <s v="2013"/>
    <n v="2"/>
    <x v="0"/>
    <n v="22"/>
    <n v="1.8333333333333333"/>
  </r>
  <r>
    <s v="890"/>
    <x v="890"/>
    <n v="26600000"/>
    <x v="7"/>
    <n v="476.87759999999997"/>
    <x v="23"/>
    <n v="160"/>
    <n v="25"/>
    <s v="2007"/>
    <n v="3"/>
    <x v="0"/>
    <n v="135"/>
    <n v="5.4"/>
  </r>
  <r>
    <s v="891"/>
    <x v="891"/>
    <n v="2100000"/>
    <x v="33"/>
    <n v="476.23200000000003"/>
    <x v="3"/>
    <n v="9"/>
    <n v="3"/>
    <s v="2015"/>
    <n v="1"/>
    <x v="0"/>
    <n v="6"/>
    <n v="2"/>
  </r>
  <r>
    <s v="892"/>
    <x v="892"/>
    <n v="2500000"/>
    <x v="25"/>
    <n v="476.03640000000001"/>
    <x v="0"/>
    <n v="19"/>
    <n v="6"/>
    <s v="2013"/>
    <n v="1"/>
    <x v="0"/>
    <n v="13"/>
    <n v="2.1666666666666665"/>
  </r>
  <r>
    <s v="893"/>
    <x v="893"/>
    <n v="14000000"/>
    <x v="9"/>
    <n v="475.45080000000002"/>
    <x v="0"/>
    <n v="130"/>
    <n v="35"/>
    <s v="2014"/>
    <n v="2"/>
    <x v="0"/>
    <n v="95"/>
    <n v="2.7142857142857144"/>
  </r>
  <r>
    <s v="894"/>
    <x v="894"/>
    <n v="31100000"/>
    <x v="10"/>
    <n v="473.9452"/>
    <x v="25"/>
    <n v="121"/>
    <n v="17"/>
    <s v="2008"/>
    <n v="3"/>
    <x v="0"/>
    <n v="104"/>
    <n v="6.117647058823529"/>
  </r>
  <r>
    <s v="895"/>
    <x v="895"/>
    <n v="4200000"/>
    <x v="2"/>
    <n v="473.59210000000002"/>
    <x v="0"/>
    <n v="50"/>
    <n v="10"/>
    <s v="2015"/>
    <n v="1"/>
    <x v="0"/>
    <n v="40"/>
    <n v="4"/>
  </r>
  <r>
    <s v="896"/>
    <x v="896"/>
    <n v="3700000"/>
    <x v="5"/>
    <n v="473.50279999999998"/>
    <x v="24"/>
    <n v="19"/>
    <n v="3"/>
    <s v="2010"/>
    <n v="3"/>
    <x v="0"/>
    <n v="16"/>
    <n v="5.333333333333333"/>
  </r>
  <r>
    <s v="897"/>
    <x v="897"/>
    <n v="3500000"/>
    <x v="23"/>
    <n v="473.49220000000003"/>
    <x v="16"/>
    <n v="25"/>
    <n v="5"/>
    <s v="2014"/>
    <n v="1"/>
    <x v="0"/>
    <n v="20"/>
    <n v="4"/>
  </r>
  <r>
    <s v="898"/>
    <x v="898"/>
    <n v="15700000"/>
    <x v="16"/>
    <n v="473.29239999999999"/>
    <x v="23"/>
    <n v="4"/>
    <n v="1"/>
    <s v="2013"/>
    <n v="3"/>
    <x v="0"/>
    <n v="3"/>
    <n v="3"/>
  </r>
  <r>
    <s v="899"/>
    <x v="899"/>
    <n v="99600000"/>
    <x v="5"/>
    <n v="473.00720000000001"/>
    <x v="4"/>
    <n v="3287"/>
    <n v="734"/>
    <s v="2000"/>
    <n v="5"/>
    <x v="0"/>
    <n v="2553"/>
    <n v="3.4782016348773843"/>
  </r>
  <r>
    <s v="900"/>
    <x v="900"/>
    <n v="4700000"/>
    <x v="32"/>
    <n v="472.86430000000001"/>
    <x v="9"/>
    <n v="2"/>
    <n v="2"/>
    <s v="2013"/>
    <n v="2"/>
    <x v="1"/>
    <n v="0"/>
    <n v="0"/>
  </r>
  <r>
    <s v="901"/>
    <x v="901"/>
    <n v="5100000"/>
    <x v="21"/>
    <n v="472.08269999999999"/>
    <x v="11"/>
    <n v="57"/>
    <n v="9"/>
    <s v="2013"/>
    <n v="1"/>
    <x v="0"/>
    <n v="48"/>
    <n v="5.333333333333333"/>
  </r>
  <r>
    <s v="902"/>
    <x v="902"/>
    <n v="2400000"/>
    <x v="18"/>
    <n v="470.94150000000002"/>
    <x v="23"/>
    <n v="7"/>
    <n v="2"/>
    <s v="2013"/>
    <n v="2"/>
    <x v="0"/>
    <n v="5"/>
    <n v="2.5"/>
  </r>
  <r>
    <s v="903"/>
    <x v="903"/>
    <n v="16400000"/>
    <x v="5"/>
    <n v="470.7448"/>
    <x v="9"/>
    <n v="142"/>
    <n v="46"/>
    <s v="2012"/>
    <n v="1"/>
    <x v="0"/>
    <n v="96"/>
    <n v="2.0869565217391304"/>
  </r>
  <r>
    <s v="903"/>
    <x v="904"/>
    <n v="2800000"/>
    <x v="18"/>
    <n v="470.2944"/>
    <x v="5"/>
    <n v="38"/>
    <n v="12"/>
    <s v="2014"/>
    <n v="1"/>
    <x v="0"/>
    <n v="26"/>
    <n v="2.1666666666666665"/>
  </r>
  <r>
    <s v="904"/>
    <x v="905"/>
    <n v="2800000"/>
    <x v="20"/>
    <n v="470.06450000000001"/>
    <x v="0"/>
    <n v="14"/>
    <n v="7"/>
    <s v="2011"/>
    <n v="1"/>
    <x v="0"/>
    <n v="7"/>
    <n v="1"/>
  </r>
  <r>
    <s v="905"/>
    <x v="906"/>
    <n v="8600000"/>
    <x v="2"/>
    <n v="469.79610000000002"/>
    <x v="3"/>
    <n v="96"/>
    <n v="15"/>
    <s v="2014"/>
    <n v="1"/>
    <x v="0"/>
    <n v="81"/>
    <n v="5.4"/>
  </r>
  <r>
    <s v="906"/>
    <x v="907"/>
    <n v="29600000"/>
    <x v="4"/>
    <n v="468.96769999999998"/>
    <x v="5"/>
    <n v="126"/>
    <n v="20"/>
    <s v="2010"/>
    <n v="2"/>
    <x v="0"/>
    <n v="106"/>
    <n v="5.3"/>
  </r>
  <r>
    <s v="907"/>
    <x v="908"/>
    <n v="4600000"/>
    <x v="6"/>
    <n v="468.87029999999999"/>
    <x v="2"/>
    <n v="3"/>
    <n v="2"/>
    <s v="2014"/>
    <n v="1"/>
    <x v="0"/>
    <n v="1"/>
    <n v="0.5"/>
  </r>
  <r>
    <s v="908"/>
    <x v="909"/>
    <n v="7100000"/>
    <x v="12"/>
    <n v="468.60640000000001"/>
    <x v="7"/>
    <n v="45"/>
    <n v="14"/>
    <s v="2013"/>
    <n v="2"/>
    <x v="0"/>
    <n v="31"/>
    <n v="2.2142857142857144"/>
  </r>
  <r>
    <s v="909"/>
    <x v="910"/>
    <n v="3000000"/>
    <x v="6"/>
    <n v="466.74369999999999"/>
    <x v="16"/>
    <n v="36"/>
    <n v="15"/>
    <s v="2012"/>
    <n v="2"/>
    <x v="0"/>
    <n v="21"/>
    <n v="1.4"/>
  </r>
  <r>
    <s v="910"/>
    <x v="911"/>
    <n v="80900000"/>
    <x v="4"/>
    <n v="466.19830000000002"/>
    <x v="12"/>
    <n v="296"/>
    <n v="55"/>
    <s v="2010"/>
    <n v="1"/>
    <x v="0"/>
    <n v="241"/>
    <n v="4.3818181818181818"/>
  </r>
  <r>
    <s v="911"/>
    <x v="912"/>
    <n v="9000000"/>
    <x v="16"/>
    <n v="465.9923"/>
    <x v="15"/>
    <n v="52"/>
    <n v="15"/>
    <s v="2015"/>
    <n v="1"/>
    <x v="0"/>
    <n v="37"/>
    <n v="2.4666666666666668"/>
  </r>
  <r>
    <s v="912"/>
    <x v="913"/>
    <n v="2600000"/>
    <x v="20"/>
    <n v="465.51749999999998"/>
    <x v="3"/>
    <n v="3"/>
    <n v="2"/>
    <s v="2012"/>
    <n v="1"/>
    <x v="0"/>
    <n v="1"/>
    <n v="0.5"/>
  </r>
  <r>
    <s v="913"/>
    <x v="914"/>
    <n v="11300000000"/>
    <x v="9"/>
    <n v="464.91230000000002"/>
    <x v="3"/>
    <n v="22263"/>
    <n v="22263"/>
    <s v="2009"/>
    <n v="1"/>
    <x v="1"/>
    <n v="0"/>
    <n v="0"/>
  </r>
  <r>
    <s v="914"/>
    <x v="915"/>
    <n v="2200000"/>
    <x v="9"/>
    <n v="464.87180000000001"/>
    <x v="5"/>
    <n v="8"/>
    <n v="3"/>
    <s v="2013"/>
    <n v="2"/>
    <x v="0"/>
    <n v="5"/>
    <n v="1.6666666666666667"/>
  </r>
  <r>
    <s v="915"/>
    <x v="916"/>
    <n v="33600000"/>
    <x v="31"/>
    <n v="464.84649999999999"/>
    <x v="24"/>
    <n v="40"/>
    <n v="10"/>
    <s v="2010"/>
    <n v="1"/>
    <x v="0"/>
    <n v="30"/>
    <n v="3"/>
  </r>
  <r>
    <s v="916"/>
    <x v="917"/>
    <n v="4400000"/>
    <x v="4"/>
    <n v="464.38459999999998"/>
    <x v="15"/>
    <n v="25"/>
    <n v="4"/>
    <s v="2006"/>
    <n v="1"/>
    <x v="0"/>
    <n v="21"/>
    <n v="5.25"/>
  </r>
  <r>
    <s v="917"/>
    <x v="918"/>
    <n v="2700000"/>
    <x v="10"/>
    <n v="463.08879999999999"/>
    <x v="20"/>
    <n v="25"/>
    <n v="9"/>
    <s v="2013"/>
    <n v="1"/>
    <x v="0"/>
    <n v="16"/>
    <n v="1.7777777777777777"/>
  </r>
  <r>
    <s v="918"/>
    <x v="919"/>
    <n v="46600000"/>
    <x v="27"/>
    <n v="462.97230000000002"/>
    <x v="1"/>
    <n v="43"/>
    <n v="14"/>
    <s v="2014"/>
    <n v="2"/>
    <x v="0"/>
    <n v="29"/>
    <n v="2.0714285714285716"/>
  </r>
  <r>
    <s v="919"/>
    <x v="920"/>
    <n v="357800000"/>
    <x v="16"/>
    <n v="461.01249999999999"/>
    <x v="1"/>
    <n v="802"/>
    <n v="100"/>
    <s v="1992"/>
    <n v="2"/>
    <x v="0"/>
    <n v="702"/>
    <n v="7.02"/>
  </r>
  <r>
    <s v="920"/>
    <x v="921"/>
    <n v="2000000"/>
    <x v="5"/>
    <n v="460.55180000000001"/>
    <x v="18"/>
    <n v="8"/>
    <n v="5"/>
    <s v="2013"/>
    <n v="1"/>
    <x v="0"/>
    <n v="3"/>
    <n v="0.6"/>
  </r>
  <r>
    <s v="921"/>
    <x v="922"/>
    <n v="2100000"/>
    <x v="9"/>
    <n v="459.93099999999998"/>
    <x v="17"/>
    <n v="27"/>
    <n v="12"/>
    <s v="2014"/>
    <n v="1"/>
    <x v="0"/>
    <n v="15"/>
    <n v="1.25"/>
  </r>
  <r>
    <s v="922"/>
    <x v="923"/>
    <n v="14200000"/>
    <x v="5"/>
    <n v="459.29169999999999"/>
    <x v="15"/>
    <n v="55"/>
    <n v="15"/>
    <s v="2014"/>
    <n v="1"/>
    <x v="0"/>
    <n v="40"/>
    <n v="2.6666666666666665"/>
  </r>
  <r>
    <s v="923"/>
    <x v="924"/>
    <n v="5200000"/>
    <x v="2"/>
    <n v="459.18099999999998"/>
    <x v="3"/>
    <n v="22"/>
    <n v="3"/>
    <s v="2011"/>
    <n v="2"/>
    <x v="0"/>
    <n v="19"/>
    <n v="6.333333333333333"/>
  </r>
  <r>
    <s v="924"/>
    <x v="925"/>
    <n v="257000000"/>
    <x v="0"/>
    <n v="458.46269999999998"/>
    <x v="23"/>
    <n v="1000"/>
    <n v="195"/>
    <s v="2005"/>
    <n v="10"/>
    <x v="0"/>
    <n v="805"/>
    <n v="4.1282051282051286"/>
  </r>
  <r>
    <s v="925"/>
    <x v="926"/>
    <n v="2000000"/>
    <x v="9"/>
    <n v="458.31009999999998"/>
    <x v="12"/>
    <n v="10"/>
    <n v="5"/>
    <s v="2004"/>
    <n v="1"/>
    <x v="0"/>
    <n v="5"/>
    <n v="1"/>
  </r>
  <r>
    <s v="926"/>
    <x v="927"/>
    <n v="31600000"/>
    <x v="8"/>
    <n v="458.30959999999999"/>
    <x v="22"/>
    <n v="12"/>
    <n v="3"/>
    <s v="2013"/>
    <n v="3"/>
    <x v="0"/>
    <n v="9"/>
    <n v="3"/>
  </r>
  <r>
    <s v="927"/>
    <x v="928"/>
    <n v="70100000"/>
    <x v="23"/>
    <n v="458.02809999999999"/>
    <x v="11"/>
    <n v="243"/>
    <n v="50"/>
    <s v="2008"/>
    <n v="3"/>
    <x v="0"/>
    <n v="193"/>
    <n v="3.86"/>
  </r>
  <r>
    <s v="928"/>
    <x v="929"/>
    <n v="2600000"/>
    <x v="18"/>
    <n v="457.9597"/>
    <x v="23"/>
    <n v="21"/>
    <n v="1"/>
    <s v="2013"/>
    <n v="2"/>
    <x v="0"/>
    <n v="20"/>
    <n v="20"/>
  </r>
  <r>
    <s v="929"/>
    <x v="930"/>
    <n v="10300000"/>
    <x v="11"/>
    <n v="457.86660000000001"/>
    <x v="9"/>
    <n v="90"/>
    <n v="40"/>
    <s v="2012"/>
    <n v="4"/>
    <x v="0"/>
    <n v="50"/>
    <n v="1.25"/>
  </r>
  <r>
    <s v="930"/>
    <x v="931"/>
    <n v="4000000"/>
    <x v="5"/>
    <n v="457.54079999999999"/>
    <x v="2"/>
    <n v="5"/>
    <n v="2"/>
    <s v="2009"/>
    <n v="2"/>
    <x v="0"/>
    <n v="3"/>
    <n v="1.5"/>
  </r>
  <r>
    <s v="931"/>
    <x v="932"/>
    <n v="2100000"/>
    <x v="20"/>
    <n v="457.48840000000001"/>
    <x v="10"/>
    <n v="15"/>
    <n v="2"/>
    <s v="2015"/>
    <n v="1"/>
    <x v="0"/>
    <n v="13"/>
    <n v="6.5"/>
  </r>
  <r>
    <s v="932"/>
    <x v="933"/>
    <n v="2800000"/>
    <x v="18"/>
    <n v="456.83"/>
    <x v="24"/>
    <n v="15"/>
    <n v="10"/>
    <s v="2014"/>
    <n v="2"/>
    <x v="0"/>
    <n v="5"/>
    <n v="0.5"/>
  </r>
  <r>
    <s v="933"/>
    <x v="934"/>
    <n v="125500000"/>
    <x v="10"/>
    <n v="456.36989999999997"/>
    <x v="13"/>
    <n v="140"/>
    <n v="34"/>
    <s v="2007"/>
    <n v="3"/>
    <x v="0"/>
    <n v="106"/>
    <n v="3.1176470588235294"/>
  </r>
  <r>
    <s v="934"/>
    <x v="935"/>
    <n v="5100000"/>
    <x v="9"/>
    <n v="456.30290000000002"/>
    <x v="12"/>
    <n v="31"/>
    <n v="8"/>
    <s v="2008"/>
    <n v="3"/>
    <x v="0"/>
    <n v="23"/>
    <n v="2.875"/>
  </r>
  <r>
    <s v="935"/>
    <x v="936"/>
    <n v="2100000"/>
    <x v="26"/>
    <n v="455.31909999999999"/>
    <x v="16"/>
    <n v="32"/>
    <n v="5"/>
    <s v="2004"/>
    <n v="2"/>
    <x v="0"/>
    <n v="27"/>
    <n v="5.4"/>
  </r>
  <r>
    <s v="936"/>
    <x v="937"/>
    <n v="3000000"/>
    <x v="35"/>
    <n v="455.29259999999999"/>
    <x v="16"/>
    <n v="39"/>
    <n v="33"/>
    <s v="2013"/>
    <n v="2"/>
    <x v="0"/>
    <n v="6"/>
    <n v="0.18181818181818182"/>
  </r>
  <r>
    <s v="937"/>
    <x v="938"/>
    <n v="4200000"/>
    <x v="43"/>
    <n v="454.81889999999999"/>
    <x v="5"/>
    <n v="92"/>
    <n v="22"/>
    <s v="2010"/>
    <n v="2"/>
    <x v="0"/>
    <n v="70"/>
    <n v="3.1818181818181817"/>
  </r>
  <r>
    <s v="938"/>
    <x v="939"/>
    <n v="2700000"/>
    <x v="0"/>
    <n v="453.05779999999999"/>
    <x v="13"/>
    <n v="10"/>
    <n v="3"/>
    <s v="2014"/>
    <n v="1"/>
    <x v="0"/>
    <n v="7"/>
    <n v="2.3333333333333335"/>
  </r>
  <r>
    <s v="939"/>
    <x v="940"/>
    <n v="8500000"/>
    <x v="21"/>
    <n v="452.5668"/>
    <x v="3"/>
    <n v="65"/>
    <n v="3"/>
    <s v="2013"/>
    <n v="2"/>
    <x v="0"/>
    <n v="62"/>
    <n v="20.666666666666668"/>
  </r>
  <r>
    <s v="940"/>
    <x v="941"/>
    <n v="15800000"/>
    <x v="8"/>
    <n v="452.54160000000002"/>
    <x v="4"/>
    <n v="54"/>
    <n v="15"/>
    <s v="2013"/>
    <n v="2"/>
    <x v="0"/>
    <n v="39"/>
    <n v="2.6"/>
  </r>
  <r>
    <s v="941"/>
    <x v="942"/>
    <n v="3600000"/>
    <x v="12"/>
    <n v="451.10120000000001"/>
    <x v="16"/>
    <n v="40"/>
    <n v="7"/>
    <s v="2014"/>
    <n v="1"/>
    <x v="0"/>
    <n v="33"/>
    <n v="4.7142857142857144"/>
  </r>
  <r>
    <s v="942"/>
    <x v="943"/>
    <n v="3700000"/>
    <x v="23"/>
    <n v="450.56049999999999"/>
    <x v="12"/>
    <n v="4"/>
    <n v="1"/>
    <s v="2014"/>
    <n v="1"/>
    <x v="0"/>
    <n v="3"/>
    <n v="3"/>
  </r>
  <r>
    <s v="943"/>
    <x v="944"/>
    <n v="2900000"/>
    <x v="11"/>
    <n v="450.26049999999998"/>
    <x v="3"/>
    <n v="25"/>
    <n v="9"/>
    <s v="2011"/>
    <n v="2"/>
    <x v="0"/>
    <n v="16"/>
    <n v="1.7777777777777777"/>
  </r>
  <r>
    <s v="944"/>
    <x v="945"/>
    <n v="66500000"/>
    <x v="5"/>
    <n v="449.31760000000003"/>
    <x v="0"/>
    <n v="65"/>
    <n v="33"/>
    <s v="2005"/>
    <n v="3"/>
    <x v="0"/>
    <n v="32"/>
    <n v="0.96969696969696972"/>
  </r>
  <r>
    <s v="945"/>
    <x v="946"/>
    <n v="5000000"/>
    <x v="12"/>
    <n v="449.06689999999998"/>
    <x v="4"/>
    <n v="12"/>
    <n v="5"/>
    <s v="2014"/>
    <n v="1"/>
    <x v="0"/>
    <n v="7"/>
    <n v="1.4"/>
  </r>
  <r>
    <s v="946"/>
    <x v="947"/>
    <n v="32200000"/>
    <x v="2"/>
    <n v="448.82350000000002"/>
    <x v="15"/>
    <n v="33"/>
    <n v="10"/>
    <s v="2011"/>
    <n v="1"/>
    <x v="0"/>
    <n v="23"/>
    <n v="2.2999999999999998"/>
  </r>
  <r>
    <s v="947"/>
    <x v="948"/>
    <n v="5200000"/>
    <x v="27"/>
    <n v="448.39440000000002"/>
    <x v="9"/>
    <n v="34"/>
    <n v="28"/>
    <s v="2011"/>
    <n v="2"/>
    <x v="0"/>
    <n v="6"/>
    <n v="0.21428571428571427"/>
  </r>
  <r>
    <s v="948"/>
    <x v="949"/>
    <n v="84100000"/>
    <x v="24"/>
    <n v="448.22449999999998"/>
    <x v="9"/>
    <n v="206"/>
    <n v="90"/>
    <s v="2004"/>
    <n v="1"/>
    <x v="0"/>
    <n v="116"/>
    <n v="1.288888888888889"/>
  </r>
  <r>
    <s v="949"/>
    <x v="950"/>
    <n v="2900000"/>
    <x v="7"/>
    <n v="448.11799999999999"/>
    <x v="3"/>
    <n v="1"/>
    <n v="1"/>
    <s v="2014"/>
    <n v="2"/>
    <x v="1"/>
    <n v="0"/>
    <n v="0"/>
  </r>
  <r>
    <s v="950"/>
    <x v="951"/>
    <n v="5100000"/>
    <x v="7"/>
    <n v="447.84589999999997"/>
    <x v="19"/>
    <n v="52"/>
    <n v="15"/>
    <s v="2004"/>
    <n v="2"/>
    <x v="0"/>
    <n v="37"/>
    <n v="2.4666666666666668"/>
  </r>
  <r>
    <s v="951"/>
    <x v="952"/>
    <n v="8000000"/>
    <x v="9"/>
    <n v="445.9853"/>
    <x v="0"/>
    <n v="32"/>
    <n v="7"/>
    <s v="2014"/>
    <n v="1"/>
    <x v="0"/>
    <n v="25"/>
    <n v="3.5714285714285716"/>
  </r>
  <r>
    <s v="952"/>
    <x v="953"/>
    <n v="15800000"/>
    <x v="9"/>
    <n v="445.5394"/>
    <x v="3"/>
    <n v="51"/>
    <n v="28"/>
    <s v="2012"/>
    <n v="2"/>
    <x v="0"/>
    <n v="23"/>
    <n v="0.8214285714285714"/>
  </r>
  <r>
    <s v="953"/>
    <x v="954"/>
    <n v="2400000"/>
    <x v="11"/>
    <n v="445.29059999999998"/>
    <x v="0"/>
    <n v="24"/>
    <n v="2"/>
    <s v="2014"/>
    <n v="2"/>
    <x v="0"/>
    <n v="22"/>
    <n v="11"/>
  </r>
  <r>
    <s v="954"/>
    <x v="955"/>
    <n v="5200000"/>
    <x v="33"/>
    <n v="444.32330000000002"/>
    <x v="13"/>
    <n v="10"/>
    <n v="2"/>
    <s v="2012"/>
    <n v="2"/>
    <x v="0"/>
    <n v="8"/>
    <n v="4"/>
  </r>
  <r>
    <s v="955"/>
    <x v="956"/>
    <n v="36100000"/>
    <x v="27"/>
    <n v="443.68599999999998"/>
    <x v="4"/>
    <n v="180"/>
    <n v="70"/>
    <s v="2012"/>
    <n v="3"/>
    <x v="0"/>
    <n v="110"/>
    <n v="1.5714285714285714"/>
  </r>
  <r>
    <s v="956"/>
    <x v="957"/>
    <n v="5000000"/>
    <x v="10"/>
    <n v="443.58659999999998"/>
    <x v="24"/>
    <n v="36"/>
    <n v="9"/>
    <s v="2011"/>
    <n v="2"/>
    <x v="0"/>
    <n v="27"/>
    <n v="3"/>
  </r>
  <r>
    <s v="957"/>
    <x v="958"/>
    <n v="3800000"/>
    <x v="5"/>
    <n v="443.18599999999998"/>
    <x v="4"/>
    <n v="6"/>
    <n v="5"/>
    <s v="2014"/>
    <n v="2"/>
    <x v="0"/>
    <n v="1"/>
    <n v="0.2"/>
  </r>
  <r>
    <s v="958"/>
    <x v="959"/>
    <n v="5400000"/>
    <x v="12"/>
    <n v="442.74560000000002"/>
    <x v="0"/>
    <n v="27"/>
    <n v="10"/>
    <s v="2012"/>
    <n v="2"/>
    <x v="0"/>
    <n v="17"/>
    <n v="1.7"/>
  </r>
  <r>
    <s v="959"/>
    <x v="960"/>
    <n v="4100000"/>
    <x v="2"/>
    <n v="442.4667"/>
    <x v="9"/>
    <n v="12"/>
    <n v="4"/>
    <s v="2015"/>
    <n v="1"/>
    <x v="0"/>
    <n v="8"/>
    <n v="2"/>
  </r>
  <r>
    <s v="960"/>
    <x v="961"/>
    <n v="3800000"/>
    <x v="5"/>
    <n v="442.0521"/>
    <x v="21"/>
    <n v="195"/>
    <n v="31"/>
    <s v="2013"/>
    <n v="2"/>
    <x v="0"/>
    <n v="164"/>
    <n v="5.290322580645161"/>
  </r>
  <r>
    <s v="961"/>
    <x v="962"/>
    <n v="23000000"/>
    <x v="22"/>
    <n v="441.4271"/>
    <x v="7"/>
    <n v="41"/>
    <n v="21"/>
    <s v="2009"/>
    <n v="7"/>
    <x v="0"/>
    <n v="20"/>
    <n v="0.95238095238095233"/>
  </r>
  <r>
    <s v="962"/>
    <x v="963"/>
    <n v="13800000"/>
    <x v="7"/>
    <n v="441.13440000000003"/>
    <x v="11"/>
    <n v="67"/>
    <n v="25"/>
    <s v="2006"/>
    <n v="4"/>
    <x v="0"/>
    <n v="42"/>
    <n v="1.68"/>
  </r>
  <r>
    <s v="963"/>
    <x v="964"/>
    <n v="16700000"/>
    <x v="2"/>
    <n v="440.87889999999999"/>
    <x v="9"/>
    <n v="162"/>
    <n v="25"/>
    <s v="2011"/>
    <n v="4"/>
    <x v="0"/>
    <n v="137"/>
    <n v="5.48"/>
  </r>
  <r>
    <s v="964"/>
    <x v="965"/>
    <n v="20700000"/>
    <x v="12"/>
    <n v="440.86399999999998"/>
    <x v="7"/>
    <n v="591"/>
    <n v="55"/>
    <s v="2015"/>
    <n v="1"/>
    <x v="0"/>
    <n v="536"/>
    <n v="9.745454545454546"/>
  </r>
  <r>
    <s v="965"/>
    <x v="966"/>
    <n v="20900000"/>
    <x v="1"/>
    <n v="439.99059999999997"/>
    <x v="9"/>
    <n v="142"/>
    <n v="45"/>
    <s v="2013"/>
    <n v="2"/>
    <x v="0"/>
    <n v="97"/>
    <n v="2.1555555555555554"/>
  </r>
  <r>
    <s v="966"/>
    <x v="967"/>
    <n v="7100000"/>
    <x v="5"/>
    <n v="438.64150000000001"/>
    <x v="9"/>
    <n v="41"/>
    <n v="9"/>
    <s v="2012"/>
    <n v="3"/>
    <x v="0"/>
    <n v="32"/>
    <n v="3.5555555555555554"/>
  </r>
  <r>
    <s v="967"/>
    <x v="968"/>
    <n v="63200000"/>
    <x v="21"/>
    <n v="438.57549999999998"/>
    <x v="19"/>
    <n v="483"/>
    <n v="132"/>
    <s v="2009"/>
    <n v="4"/>
    <x v="0"/>
    <n v="351"/>
    <n v="2.6590909090909092"/>
  </r>
  <r>
    <s v="968"/>
    <x v="969"/>
    <n v="26400000"/>
    <x v="24"/>
    <n v="438.36259999999999"/>
    <x v="7"/>
    <n v="147"/>
    <n v="41"/>
    <s v="2003"/>
    <n v="3"/>
    <x v="0"/>
    <n v="106"/>
    <n v="2.5853658536585367"/>
  </r>
  <r>
    <s v="969"/>
    <x v="970"/>
    <n v="2500000"/>
    <x v="11"/>
    <n v="438.34820000000002"/>
    <x v="23"/>
    <n v="7"/>
    <n v="3"/>
    <s v="2014"/>
    <n v="1"/>
    <x v="0"/>
    <n v="4"/>
    <n v="1.3333333333333333"/>
  </r>
  <r>
    <s v="970"/>
    <x v="971"/>
    <n v="3100000"/>
    <x v="38"/>
    <n v="437.9545"/>
    <x v="12"/>
    <n v="10"/>
    <n v="5"/>
    <s v="2012"/>
    <n v="1"/>
    <x v="0"/>
    <n v="5"/>
    <n v="1"/>
  </r>
  <r>
    <s v="971"/>
    <x v="972"/>
    <n v="18700000"/>
    <x v="5"/>
    <n v="437.34730000000002"/>
    <x v="0"/>
    <n v="45"/>
    <n v="8"/>
    <s v="2011"/>
    <n v="3"/>
    <x v="0"/>
    <n v="37"/>
    <n v="4.625"/>
  </r>
  <r>
    <s v="972"/>
    <x v="973"/>
    <n v="4800000"/>
    <x v="5"/>
    <n v="437.25889999999998"/>
    <x v="10"/>
    <n v="24"/>
    <n v="14"/>
    <s v="2013"/>
    <n v="2"/>
    <x v="0"/>
    <n v="10"/>
    <n v="0.7142857142857143"/>
  </r>
  <r>
    <s v="973"/>
    <x v="974"/>
    <n v="7300000"/>
    <x v="2"/>
    <n v="436.84320000000002"/>
    <x v="0"/>
    <n v="30"/>
    <n v="4"/>
    <s v="2013"/>
    <n v="1"/>
    <x v="0"/>
    <n v="26"/>
    <n v="6.5"/>
  </r>
  <r>
    <s v="974"/>
    <x v="975"/>
    <n v="10000000"/>
    <x v="12"/>
    <n v="436.58240000000001"/>
    <x v="19"/>
    <n v="10"/>
    <n v="5"/>
    <s v="2012"/>
    <n v="2"/>
    <x v="0"/>
    <n v="5"/>
    <n v="1"/>
  </r>
  <r>
    <s v="975"/>
    <x v="976"/>
    <n v="6800000"/>
    <x v="1"/>
    <n v="436.18779999999998"/>
    <x v="7"/>
    <n v="23"/>
    <n v="6"/>
    <s v="2013"/>
    <n v="1"/>
    <x v="0"/>
    <n v="17"/>
    <n v="2.8333333333333335"/>
  </r>
  <r>
    <s v="976"/>
    <x v="977"/>
    <n v="4000000"/>
    <x v="11"/>
    <n v="434.37610000000001"/>
    <x v="15"/>
    <n v="34"/>
    <n v="6"/>
    <s v="2013"/>
    <n v="1"/>
    <x v="0"/>
    <n v="28"/>
    <n v="4.666666666666667"/>
  </r>
  <r>
    <s v="977"/>
    <x v="978"/>
    <n v="19600000"/>
    <x v="9"/>
    <n v="432.9008"/>
    <x v="4"/>
    <n v="14"/>
    <n v="4"/>
    <s v="2013"/>
    <n v="1"/>
    <x v="0"/>
    <n v="10"/>
    <n v="2.5"/>
  </r>
  <r>
    <s v="978"/>
    <x v="979"/>
    <n v="6600000"/>
    <x v="4"/>
    <n v="432.88470000000001"/>
    <x v="23"/>
    <n v="17"/>
    <n v="4"/>
    <s v="2015"/>
    <n v="1"/>
    <x v="0"/>
    <n v="13"/>
    <n v="3.25"/>
  </r>
  <r>
    <s v="979"/>
    <x v="980"/>
    <n v="6800000"/>
    <x v="12"/>
    <n v="432.84010000000001"/>
    <x v="23"/>
    <n v="50"/>
    <n v="2"/>
    <s v="2012"/>
    <n v="2"/>
    <x v="0"/>
    <n v="48"/>
    <n v="24"/>
  </r>
  <r>
    <s v="980"/>
    <x v="981"/>
    <n v="39600000"/>
    <x v="28"/>
    <n v="432.29840000000002"/>
    <x v="2"/>
    <n v="20"/>
    <n v="12"/>
    <s v="2009"/>
    <n v="6"/>
    <x v="0"/>
    <n v="8"/>
    <n v="0.66666666666666663"/>
  </r>
  <r>
    <s v="981"/>
    <x v="982"/>
    <n v="4600000"/>
    <x v="38"/>
    <n v="431.16699999999997"/>
    <x v="3"/>
    <n v="21"/>
    <n v="7"/>
    <s v="2011"/>
    <n v="2"/>
    <x v="0"/>
    <n v="14"/>
    <n v="2"/>
  </r>
  <r>
    <s v="982"/>
    <x v="983"/>
    <n v="6800000"/>
    <x v="5"/>
    <n v="429.7944"/>
    <x v="10"/>
    <n v="43"/>
    <n v="15"/>
    <s v="2013"/>
    <n v="2"/>
    <x v="0"/>
    <n v="28"/>
    <n v="1.8666666666666667"/>
  </r>
  <r>
    <s v="983"/>
    <x v="984"/>
    <n v="4600000"/>
    <x v="9"/>
    <n v="428.72329999999999"/>
    <x v="4"/>
    <n v="9"/>
    <n v="4"/>
    <s v="2012"/>
    <n v="2"/>
    <x v="0"/>
    <n v="5"/>
    <n v="1.25"/>
  </r>
  <r>
    <s v="984"/>
    <x v="985"/>
    <n v="3500000"/>
    <x v="6"/>
    <n v="428.42070000000001"/>
    <x v="19"/>
    <n v="24"/>
    <n v="7"/>
    <s v="2009"/>
    <n v="2"/>
    <x v="0"/>
    <n v="17"/>
    <n v="2.4285714285714284"/>
  </r>
  <r>
    <s v="985"/>
    <x v="986"/>
    <n v="17400000"/>
    <x v="10"/>
    <n v="428.28149999999999"/>
    <x v="0"/>
    <n v="55"/>
    <n v="17"/>
    <s v="2012"/>
    <n v="3"/>
    <x v="0"/>
    <n v="38"/>
    <n v="2.2352941176470589"/>
  </r>
  <r>
    <s v="986"/>
    <x v="987"/>
    <n v="53500000"/>
    <x v="8"/>
    <n v="427.4948"/>
    <x v="1"/>
    <n v="45"/>
    <n v="11"/>
    <s v="2014"/>
    <n v="2"/>
    <x v="0"/>
    <n v="34"/>
    <n v="3.0909090909090908"/>
  </r>
  <r>
    <s v="987"/>
    <x v="988"/>
    <n v="10000000"/>
    <x v="1"/>
    <n v="427.47730000000001"/>
    <x v="0"/>
    <n v="50"/>
    <n v="15"/>
    <s v="2007"/>
    <n v="5"/>
    <x v="0"/>
    <n v="35"/>
    <n v="2.3333333333333335"/>
  </r>
  <r>
    <s v="988"/>
    <x v="989"/>
    <n v="7100000"/>
    <x v="12"/>
    <n v="427.43869999999998"/>
    <x v="4"/>
    <n v="17"/>
    <n v="3"/>
    <s v="2008"/>
    <n v="3"/>
    <x v="0"/>
    <n v="14"/>
    <n v="4.666666666666667"/>
  </r>
  <r>
    <s v="989"/>
    <x v="990"/>
    <n v="125900000"/>
    <x v="4"/>
    <n v="427.24790000000002"/>
    <x v="1"/>
    <n v="188"/>
    <n v="58"/>
    <s v="1984"/>
    <n v="1"/>
    <x v="0"/>
    <n v="130"/>
    <n v="2.2413793103448274"/>
  </r>
  <r>
    <s v="990"/>
    <x v="991"/>
    <n v="8000000"/>
    <x v="37"/>
    <n v="426.97730000000001"/>
    <x v="15"/>
    <n v="45"/>
    <n v="10"/>
    <s v="2014"/>
    <n v="1"/>
    <x v="0"/>
    <n v="35"/>
    <n v="3.5"/>
  </r>
  <r>
    <s v="991"/>
    <x v="992"/>
    <n v="4600000"/>
    <x v="21"/>
    <n v="426.93799999999999"/>
    <x v="11"/>
    <n v="38"/>
    <n v="7"/>
    <s v="2012"/>
    <n v="2"/>
    <x v="0"/>
    <n v="31"/>
    <n v="4.4285714285714288"/>
  </r>
  <r>
    <s v="992"/>
    <x v="993"/>
    <n v="6300000"/>
    <x v="13"/>
    <n v="426.63119999999998"/>
    <x v="23"/>
    <n v="27"/>
    <n v="11"/>
    <s v="2014"/>
    <n v="1"/>
    <x v="0"/>
    <n v="16"/>
    <n v="1.4545454545454546"/>
  </r>
  <r>
    <s v="993"/>
    <x v="994"/>
    <n v="8800000"/>
    <x v="9"/>
    <n v="426.18349999999998"/>
    <x v="7"/>
    <n v="57"/>
    <n v="15"/>
    <s v="2014"/>
    <n v="1"/>
    <x v="0"/>
    <n v="42"/>
    <n v="2.8"/>
  </r>
  <r>
    <s v="994"/>
    <x v="995"/>
    <n v="2000000"/>
    <x v="2"/>
    <n v="425.30790000000002"/>
    <x v="19"/>
    <n v="18"/>
    <n v="5"/>
    <s v="2004"/>
    <n v="1"/>
    <x v="0"/>
    <n v="13"/>
    <n v="2.6"/>
  </r>
  <r>
    <s v="995"/>
    <x v="996"/>
    <n v="11000000"/>
    <x v="16"/>
    <n v="425.06650000000002"/>
    <x v="3"/>
    <n v="20"/>
    <n v="5"/>
    <s v="2014"/>
    <n v="1"/>
    <x v="0"/>
    <n v="15"/>
    <n v="3"/>
  </r>
  <r>
    <s v="996"/>
    <x v="997"/>
    <n v="23400000"/>
    <x v="9"/>
    <n v="424.86739999999998"/>
    <x v="4"/>
    <n v="106"/>
    <n v="41"/>
    <s v="2010"/>
    <n v="2"/>
    <x v="0"/>
    <n v="65"/>
    <n v="1.5853658536585367"/>
  </r>
  <r>
    <s v="997"/>
    <x v="998"/>
    <n v="26400000"/>
    <x v="12"/>
    <n v="424.71690000000001"/>
    <x v="0"/>
    <n v="95"/>
    <n v="19"/>
    <s v="2014"/>
    <n v="1"/>
    <x v="0"/>
    <n v="76"/>
    <n v="4"/>
  </r>
  <r>
    <s v="998"/>
    <x v="999"/>
    <n v="5600000"/>
    <x v="12"/>
    <n v="424.60890000000001"/>
    <x v="4"/>
    <n v="5"/>
    <n v="1"/>
    <s v="2015"/>
    <n v="1"/>
    <x v="0"/>
    <n v="4"/>
    <n v="4"/>
  </r>
  <r>
    <s v="999"/>
    <x v="1000"/>
    <n v="5100000"/>
    <x v="16"/>
    <n v="424.44209999999998"/>
    <x v="6"/>
    <n v="12"/>
    <n v="2"/>
    <s v="2002"/>
    <n v="2"/>
    <x v="0"/>
    <n v="10"/>
    <n v="5"/>
  </r>
  <r>
    <s v="1000"/>
    <x v="1001"/>
    <n v="16500000"/>
    <x v="16"/>
    <n v="424.01650000000001"/>
    <x v="18"/>
    <n v="110"/>
    <n v="30"/>
    <s v="2005"/>
    <n v="1"/>
    <x v="0"/>
    <n v="80"/>
    <n v="2.6666666666666665"/>
  </r>
  <r>
    <s v="1001"/>
    <x v="1002"/>
    <n v="4100000"/>
    <x v="5"/>
    <n v="423.58150000000001"/>
    <x v="19"/>
    <n v="42"/>
    <n v="6"/>
    <s v="2014"/>
    <n v="1"/>
    <x v="0"/>
    <n v="36"/>
    <n v="6"/>
  </r>
  <r>
    <s v="1002"/>
    <x v="1003"/>
    <n v="67300000"/>
    <x v="27"/>
    <n v="423.5419"/>
    <x v="7"/>
    <n v="56"/>
    <n v="22"/>
    <s v="2014"/>
    <n v="1"/>
    <x v="0"/>
    <n v="34"/>
    <n v="1.5454545454545454"/>
  </r>
  <r>
    <s v="1003"/>
    <x v="1004"/>
    <n v="6700000"/>
    <x v="9"/>
    <n v="422.23509999999999"/>
    <x v="5"/>
    <n v="70"/>
    <n v="15"/>
    <s v="2014"/>
    <n v="1"/>
    <x v="0"/>
    <n v="55"/>
    <n v="3.6666666666666665"/>
  </r>
  <r>
    <s v="1004"/>
    <x v="1005"/>
    <n v="8900000"/>
    <x v="2"/>
    <n v="421.98309999999998"/>
    <x v="12"/>
    <n v="1478"/>
    <n v="345"/>
    <s v="2011"/>
    <n v="3"/>
    <x v="0"/>
    <n v="1133"/>
    <n v="3.2840579710144926"/>
  </r>
  <r>
    <s v="1005"/>
    <x v="1006"/>
    <n v="21900000"/>
    <x v="18"/>
    <n v="420.40940000000001"/>
    <x v="15"/>
    <n v="80"/>
    <n v="34"/>
    <s v="2014"/>
    <n v="2"/>
    <x v="0"/>
    <n v="46"/>
    <n v="1.3529411764705883"/>
  </r>
  <r>
    <s v="1006"/>
    <x v="1007"/>
    <n v="2600000"/>
    <x v="6"/>
    <n v="419.59750000000003"/>
    <x v="23"/>
    <n v="43"/>
    <n v="4"/>
    <s v="2015"/>
    <n v="1"/>
    <x v="0"/>
    <n v="39"/>
    <n v="9.75"/>
  </r>
  <r>
    <s v="1007"/>
    <x v="1008"/>
    <n v="3200000"/>
    <x v="12"/>
    <n v="419.27670000000001"/>
    <x v="23"/>
    <n v="40"/>
    <n v="4"/>
    <s v="2010"/>
    <n v="1"/>
    <x v="0"/>
    <n v="36"/>
    <n v="9"/>
  </r>
  <r>
    <s v="1008"/>
    <x v="1009"/>
    <n v="18800000"/>
    <x v="9"/>
    <n v="419.16379999999998"/>
    <x v="23"/>
    <n v="381"/>
    <n v="76"/>
    <s v="2012"/>
    <n v="4"/>
    <x v="0"/>
    <n v="305"/>
    <n v="4.0131578947368425"/>
  </r>
  <r>
    <s v="1009"/>
    <x v="1010"/>
    <n v="21500000"/>
    <x v="2"/>
    <n v="418.7937"/>
    <x v="23"/>
    <n v="81"/>
    <n v="19"/>
    <s v="2014"/>
    <n v="1"/>
    <x v="0"/>
    <n v="62"/>
    <n v="3.263157894736842"/>
  </r>
  <r>
    <s v="1010"/>
    <x v="1011"/>
    <n v="69900000"/>
    <x v="13"/>
    <n v="418.65190000000001"/>
    <x v="1"/>
    <n v="2048"/>
    <n v="225"/>
    <s v="2004"/>
    <n v="3"/>
    <x v="0"/>
    <n v="1823"/>
    <n v="8.1022222222222222"/>
  </r>
  <r>
    <s v="1011"/>
    <x v="1012"/>
    <n v="2000000"/>
    <x v="5"/>
    <n v="417.75409999999999"/>
    <x v="10"/>
    <n v="22"/>
    <n v="3"/>
    <s v="2014"/>
    <n v="1"/>
    <x v="0"/>
    <n v="19"/>
    <n v="6.333333333333333"/>
  </r>
  <r>
    <s v="1012"/>
    <x v="1013"/>
    <n v="2900000"/>
    <x v="7"/>
    <n v="416.7878"/>
    <x v="11"/>
    <n v="42"/>
    <n v="18"/>
    <s v="2010"/>
    <n v="1"/>
    <x v="0"/>
    <n v="24"/>
    <n v="1.3333333333333333"/>
  </r>
  <r>
    <s v="1013"/>
    <x v="1014"/>
    <n v="28900000"/>
    <x v="2"/>
    <n v="416.6343"/>
    <x v="19"/>
    <n v="27"/>
    <n v="10"/>
    <s v="2010"/>
    <n v="4"/>
    <x v="0"/>
    <n v="17"/>
    <n v="1.7"/>
  </r>
  <r>
    <s v="1014"/>
    <x v="1015"/>
    <n v="3100000"/>
    <x v="4"/>
    <n v="416.27499999999998"/>
    <x v="0"/>
    <n v="6"/>
    <n v="4"/>
    <s v="2013"/>
    <n v="1"/>
    <x v="0"/>
    <n v="2"/>
    <n v="0.5"/>
  </r>
  <r>
    <s v="1015"/>
    <x v="1016"/>
    <n v="4400000"/>
    <x v="9"/>
    <n v="416.08839999999998"/>
    <x v="12"/>
    <n v="18"/>
    <n v="8"/>
    <s v="2014"/>
    <n v="2"/>
    <x v="0"/>
    <n v="10"/>
    <n v="1.25"/>
  </r>
  <r>
    <s v="1016"/>
    <x v="1017"/>
    <n v="50400000"/>
    <x v="9"/>
    <n v="415.46019999999999"/>
    <x v="3"/>
    <n v="23"/>
    <n v="9"/>
    <s v="1992"/>
    <n v="2"/>
    <x v="0"/>
    <n v="14"/>
    <n v="1.5555555555555556"/>
  </r>
  <r>
    <s v="1017"/>
    <x v="1018"/>
    <n v="311800000"/>
    <x v="11"/>
    <n v="414.63720000000001"/>
    <x v="2"/>
    <n v="6000"/>
    <n v="3000"/>
    <s v="2008"/>
    <n v="6"/>
    <x v="0"/>
    <n v="3000"/>
    <n v="1"/>
  </r>
  <r>
    <s v="1018"/>
    <x v="1019"/>
    <n v="12300000"/>
    <x v="13"/>
    <n v="414.30560000000003"/>
    <x v="15"/>
    <n v="25"/>
    <n v="5"/>
    <s v="2006"/>
    <n v="2"/>
    <x v="0"/>
    <n v="20"/>
    <n v="4"/>
  </r>
  <r>
    <s v="1019"/>
    <x v="1020"/>
    <n v="5600000"/>
    <x v="6"/>
    <n v="413.37209999999999"/>
    <x v="3"/>
    <n v="50"/>
    <n v="5"/>
    <s v="2013"/>
    <n v="1"/>
    <x v="0"/>
    <n v="45"/>
    <n v="9"/>
  </r>
  <r>
    <s v="1019"/>
    <x v="1021"/>
    <n v="2300000"/>
    <x v="21"/>
    <n v="413.33839999999998"/>
    <x v="11"/>
    <n v="25"/>
    <n v="5"/>
    <s v="2011"/>
    <n v="1"/>
    <x v="0"/>
    <n v="20"/>
    <n v="4"/>
  </r>
  <r>
    <s v="1020"/>
    <x v="1022"/>
    <n v="58900000"/>
    <x v="24"/>
    <n v="413.26929999999999"/>
    <x v="9"/>
    <n v="299"/>
    <n v="89"/>
    <s v="2011"/>
    <n v="3"/>
    <x v="0"/>
    <n v="210"/>
    <n v="2.3595505617977528"/>
  </r>
  <r>
    <s v="1021"/>
    <x v="1023"/>
    <n v="10100000"/>
    <x v="1"/>
    <n v="412.63209999999998"/>
    <x v="22"/>
    <n v="118"/>
    <n v="21"/>
    <s v="2009"/>
    <n v="4"/>
    <x v="0"/>
    <n v="97"/>
    <n v="4.6190476190476186"/>
  </r>
  <r>
    <s v="1022"/>
    <x v="1024"/>
    <n v="50100000"/>
    <x v="9"/>
    <n v="412.59440000000001"/>
    <x v="5"/>
    <n v="200"/>
    <n v="75"/>
    <s v="2008"/>
    <n v="4"/>
    <x v="0"/>
    <n v="125"/>
    <n v="1.6666666666666667"/>
  </r>
  <r>
    <s v="1023"/>
    <x v="1025"/>
    <n v="3800000"/>
    <x v="9"/>
    <n v="410.80360000000002"/>
    <x v="0"/>
    <n v="37"/>
    <n v="4"/>
    <s v="2013"/>
    <n v="2"/>
    <x v="0"/>
    <n v="33"/>
    <n v="8.25"/>
  </r>
  <r>
    <s v="1024"/>
    <x v="1026"/>
    <n v="3600000"/>
    <x v="19"/>
    <n v="410.48489999999998"/>
    <x v="19"/>
    <n v="27"/>
    <n v="8"/>
    <s v="2014"/>
    <n v="1"/>
    <x v="0"/>
    <n v="19"/>
    <n v="2.375"/>
  </r>
  <r>
    <s v="1025"/>
    <x v="1027"/>
    <n v="3700000"/>
    <x v="25"/>
    <n v="410.11509999999998"/>
    <x v="4"/>
    <n v="3"/>
    <n v="1"/>
    <s v="2014"/>
    <n v="1"/>
    <x v="0"/>
    <n v="2"/>
    <n v="2"/>
  </r>
  <r>
    <s v="1026"/>
    <x v="1028"/>
    <n v="28400000"/>
    <x v="9"/>
    <n v="409.89780000000002"/>
    <x v="7"/>
    <n v="273"/>
    <n v="120"/>
    <s v="1988"/>
    <n v="6"/>
    <x v="0"/>
    <n v="153"/>
    <n v="1.2749999999999999"/>
  </r>
  <r>
    <s v="1027"/>
    <x v="1029"/>
    <n v="44300000"/>
    <x v="4"/>
    <n v="409.77589999999998"/>
    <x v="10"/>
    <n v="342"/>
    <n v="94"/>
    <s v="2014"/>
    <n v="2"/>
    <x v="0"/>
    <n v="248"/>
    <n v="2.6382978723404253"/>
  </r>
  <r>
    <s v="1028"/>
    <x v="1030"/>
    <n v="5900000"/>
    <x v="5"/>
    <n v="409.59089999999998"/>
    <x v="22"/>
    <n v="28"/>
    <n v="8"/>
    <s v="2012"/>
    <n v="1"/>
    <x v="0"/>
    <n v="20"/>
    <n v="2.5"/>
  </r>
  <r>
    <s v="1029"/>
    <x v="1031"/>
    <n v="15600000"/>
    <x v="9"/>
    <n v="409.22590000000002"/>
    <x v="3"/>
    <n v="18"/>
    <n v="8"/>
    <s v="2011"/>
    <n v="3"/>
    <x v="0"/>
    <n v="10"/>
    <n v="1.25"/>
  </r>
  <r>
    <s v="1030"/>
    <x v="1032"/>
    <n v="66500000"/>
    <x v="11"/>
    <n v="408.96660000000003"/>
    <x v="17"/>
    <n v="229"/>
    <n v="56"/>
    <s v="2011"/>
    <n v="4"/>
    <x v="0"/>
    <n v="173"/>
    <n v="3.0892857142857144"/>
  </r>
  <r>
    <s v="1031"/>
    <x v="1033"/>
    <n v="4200000"/>
    <x v="4"/>
    <n v="408.5899"/>
    <x v="3"/>
    <n v="7"/>
    <n v="4"/>
    <s v="2006"/>
    <n v="1"/>
    <x v="0"/>
    <n v="3"/>
    <n v="0.75"/>
  </r>
  <r>
    <s v="1032"/>
    <x v="1034"/>
    <n v="32500000"/>
    <x v="11"/>
    <n v="407.77269999999999"/>
    <x v="23"/>
    <n v="194"/>
    <n v="54"/>
    <s v="2007"/>
    <n v="7"/>
    <x v="0"/>
    <n v="140"/>
    <n v="2.5925925925925926"/>
  </r>
  <r>
    <s v="1033"/>
    <x v="1035"/>
    <n v="11700000"/>
    <x v="22"/>
    <n v="406.77100000000002"/>
    <x v="6"/>
    <n v="18"/>
    <n v="12"/>
    <s v="2013"/>
    <n v="2"/>
    <x v="0"/>
    <n v="6"/>
    <n v="0.5"/>
  </r>
  <r>
    <s v="1034"/>
    <x v="1036"/>
    <n v="49500000"/>
    <x v="4"/>
    <n v="406.13929999999999"/>
    <x v="7"/>
    <n v="278"/>
    <n v="136"/>
    <s v="2012"/>
    <n v="3"/>
    <x v="0"/>
    <n v="142"/>
    <n v="1.0441176470588236"/>
  </r>
  <r>
    <s v="1035"/>
    <x v="1037"/>
    <n v="4200000"/>
    <x v="24"/>
    <n v="405.69499999999999"/>
    <x v="9"/>
    <n v="16"/>
    <n v="9"/>
    <s v="2010"/>
    <n v="1"/>
    <x v="0"/>
    <n v="7"/>
    <n v="0.77777777777777779"/>
  </r>
  <r>
    <s v="1036"/>
    <x v="1038"/>
    <n v="7100000"/>
    <x v="9"/>
    <n v="405.54160000000002"/>
    <x v="13"/>
    <n v="34"/>
    <n v="21"/>
    <s v="2011"/>
    <n v="3"/>
    <x v="0"/>
    <n v="13"/>
    <n v="0.61904761904761907"/>
  </r>
  <r>
    <s v="1037"/>
    <x v="1039"/>
    <n v="5800000"/>
    <x v="2"/>
    <n v="405.28739999999999"/>
    <x v="6"/>
    <n v="60"/>
    <n v="15"/>
    <s v="2012"/>
    <n v="1"/>
    <x v="0"/>
    <n v="45"/>
    <n v="3"/>
  </r>
  <r>
    <s v="1038"/>
    <x v="1040"/>
    <n v="6500000"/>
    <x v="2"/>
    <n v="405.08339999999998"/>
    <x v="25"/>
    <n v="61"/>
    <n v="14"/>
    <s v="1995"/>
    <n v="1"/>
    <x v="0"/>
    <n v="47"/>
    <n v="3.3571428571428572"/>
  </r>
  <r>
    <s v="1039"/>
    <x v="1041"/>
    <n v="4300000"/>
    <x v="16"/>
    <n v="404.95400000000001"/>
    <x v="1"/>
    <n v="13"/>
    <n v="4"/>
    <s v="2009"/>
    <n v="1"/>
    <x v="0"/>
    <n v="9"/>
    <n v="2.25"/>
  </r>
  <r>
    <s v="1040"/>
    <x v="1042"/>
    <n v="4200000"/>
    <x v="21"/>
    <n v="403.69549999999998"/>
    <x v="23"/>
    <n v="60"/>
    <n v="5"/>
    <s v="2008"/>
    <n v="1"/>
    <x v="0"/>
    <n v="55"/>
    <n v="11"/>
  </r>
  <r>
    <s v="1041"/>
    <x v="1043"/>
    <n v="38000000"/>
    <x v="12"/>
    <n v="403.44659999999999"/>
    <x v="9"/>
    <n v="267"/>
    <n v="180"/>
    <s v="2012"/>
    <n v="2"/>
    <x v="0"/>
    <n v="87"/>
    <n v="0.48333333333333334"/>
  </r>
  <r>
    <s v="1042"/>
    <x v="1044"/>
    <n v="11600000"/>
    <x v="0"/>
    <n v="402.96890000000002"/>
    <x v="3"/>
    <n v="181"/>
    <n v="12"/>
    <s v="2010"/>
    <n v="2"/>
    <x v="0"/>
    <n v="169"/>
    <n v="14.083333333333334"/>
  </r>
  <r>
    <s v="1043"/>
    <x v="1045"/>
    <n v="8100000"/>
    <x v="0"/>
    <n v="400.74889999999999"/>
    <x v="9"/>
    <n v="65"/>
    <n v="16"/>
    <s v="2013"/>
    <n v="3"/>
    <x v="0"/>
    <n v="49"/>
    <n v="3.0625"/>
  </r>
  <r>
    <s v="1044"/>
    <x v="1046"/>
    <n v="15000000"/>
    <x v="28"/>
    <n v="400.46879999999999"/>
    <x v="15"/>
    <n v="24"/>
    <n v="12"/>
    <s v="2013"/>
    <n v="2"/>
    <x v="0"/>
    <n v="12"/>
    <n v="1"/>
  </r>
  <r>
    <s v="1045"/>
    <x v="1047"/>
    <n v="28200000"/>
    <x v="0"/>
    <n v="399.70310000000001"/>
    <x v="3"/>
    <n v="180"/>
    <n v="54"/>
    <s v="2007"/>
    <n v="2"/>
    <x v="0"/>
    <n v="126"/>
    <n v="2.3333333333333335"/>
  </r>
  <r>
    <s v="1046"/>
    <x v="1048"/>
    <n v="4600000"/>
    <x v="38"/>
    <n v="399.55489999999998"/>
    <x v="15"/>
    <n v="25"/>
    <n v="5"/>
    <s v="2009"/>
    <n v="1"/>
    <x v="0"/>
    <n v="20"/>
    <n v="4"/>
  </r>
  <r>
    <s v="1047"/>
    <x v="1049"/>
    <n v="6600000"/>
    <x v="27"/>
    <n v="399.21960000000001"/>
    <x v="10"/>
    <n v="14"/>
    <n v="4"/>
    <s v="2012"/>
    <n v="3"/>
    <x v="0"/>
    <n v="10"/>
    <n v="2.5"/>
  </r>
  <r>
    <s v="1048"/>
    <x v="1050"/>
    <n v="15300000"/>
    <x v="13"/>
    <n v="399.17590000000001"/>
    <x v="2"/>
    <n v="45"/>
    <n v="30"/>
    <s v="2010"/>
    <n v="4"/>
    <x v="0"/>
    <n v="15"/>
    <n v="0.5"/>
  </r>
  <r>
    <s v="1049"/>
    <x v="1051"/>
    <n v="3900000"/>
    <x v="7"/>
    <n v="399.01639999999998"/>
    <x v="11"/>
    <n v="25"/>
    <n v="5"/>
    <s v="2010"/>
    <n v="3"/>
    <x v="0"/>
    <n v="20"/>
    <n v="4"/>
  </r>
  <r>
    <s v="1050"/>
    <x v="1052"/>
    <n v="3200000"/>
    <x v="9"/>
    <n v="398.89960000000002"/>
    <x v="4"/>
    <n v="15"/>
    <n v="2"/>
    <s v="2010"/>
    <n v="1"/>
    <x v="0"/>
    <n v="13"/>
    <n v="6.5"/>
  </r>
  <r>
    <s v="1051"/>
    <x v="1053"/>
    <n v="4100000"/>
    <x v="7"/>
    <n v="398.88139999999999"/>
    <x v="9"/>
    <n v="38"/>
    <n v="12"/>
    <s v="2010"/>
    <n v="3"/>
    <x v="0"/>
    <n v="26"/>
    <n v="2.1666666666666665"/>
  </r>
  <r>
    <s v="1052"/>
    <x v="1054"/>
    <n v="6700000"/>
    <x v="5"/>
    <n v="398.4948"/>
    <x v="13"/>
    <n v="51"/>
    <n v="17"/>
    <s v="2014"/>
    <n v="2"/>
    <x v="0"/>
    <n v="34"/>
    <n v="2"/>
  </r>
  <r>
    <s v="1053"/>
    <x v="1055"/>
    <n v="4700000"/>
    <x v="9"/>
    <n v="398.33629999999999"/>
    <x v="9"/>
    <n v="19"/>
    <n v="6"/>
    <s v="2014"/>
    <n v="1"/>
    <x v="0"/>
    <n v="13"/>
    <n v="2.1666666666666665"/>
  </r>
  <r>
    <s v="1054"/>
    <x v="1056"/>
    <n v="9200000"/>
    <x v="12"/>
    <n v="398.24650000000003"/>
    <x v="18"/>
    <n v="62"/>
    <n v="10"/>
    <s v="2011"/>
    <n v="3"/>
    <x v="0"/>
    <n v="52"/>
    <n v="5.2"/>
  </r>
  <r>
    <s v="1055"/>
    <x v="1057"/>
    <n v="7800000"/>
    <x v="32"/>
    <n v="397.5"/>
    <x v="0"/>
    <n v="83"/>
    <n v="30"/>
    <s v="2012"/>
    <n v="3"/>
    <x v="0"/>
    <n v="53"/>
    <n v="1.7666666666666666"/>
  </r>
  <r>
    <s v="1056"/>
    <x v="1058"/>
    <n v="33500000"/>
    <x v="0"/>
    <n v="397.3707"/>
    <x v="13"/>
    <n v="257"/>
    <n v="55"/>
    <s v="1991"/>
    <n v="2"/>
    <x v="0"/>
    <n v="202"/>
    <n v="3.6727272727272728"/>
  </r>
  <r>
    <s v="1057"/>
    <x v="1059"/>
    <n v="12100000"/>
    <x v="30"/>
    <n v="396.79410000000001"/>
    <x v="19"/>
    <n v="58"/>
    <n v="23"/>
    <s v="2012"/>
    <n v="3"/>
    <x v="0"/>
    <n v="35"/>
    <n v="1.5217391304347827"/>
  </r>
  <r>
    <s v="1058"/>
    <x v="1060"/>
    <n v="7400000"/>
    <x v="2"/>
    <n v="395.97039999999998"/>
    <x v="7"/>
    <n v="62"/>
    <n v="10"/>
    <s v="2010"/>
    <n v="2"/>
    <x v="0"/>
    <n v="52"/>
    <n v="5.2"/>
  </r>
  <r>
    <s v="1059"/>
    <x v="1061"/>
    <n v="7900000"/>
    <x v="9"/>
    <n v="395.80070000000001"/>
    <x v="25"/>
    <n v="17"/>
    <n v="7"/>
    <s v="2014"/>
    <n v="1"/>
    <x v="0"/>
    <n v="10"/>
    <n v="1.4285714285714286"/>
  </r>
  <r>
    <s v="1060"/>
    <x v="1062"/>
    <n v="13600000"/>
    <x v="9"/>
    <n v="395.08370000000002"/>
    <x v="19"/>
    <n v="18"/>
    <n v="8"/>
    <s v="2010"/>
    <n v="3"/>
    <x v="0"/>
    <n v="10"/>
    <n v="1.25"/>
  </r>
  <r>
    <s v="1061"/>
    <x v="1063"/>
    <n v="3700000"/>
    <x v="24"/>
    <n v="394.56439999999998"/>
    <x v="15"/>
    <n v="31"/>
    <n v="5"/>
    <s v="2014"/>
    <n v="1"/>
    <x v="0"/>
    <n v="26"/>
    <n v="5.2"/>
  </r>
  <r>
    <s v="1062"/>
    <x v="1064"/>
    <n v="3600000"/>
    <x v="20"/>
    <n v="393.96129999999999"/>
    <x v="3"/>
    <n v="8"/>
    <n v="2"/>
    <s v="2014"/>
    <n v="2"/>
    <x v="0"/>
    <n v="6"/>
    <n v="3"/>
  </r>
  <r>
    <s v="1063"/>
    <x v="1065"/>
    <n v="5400000"/>
    <x v="8"/>
    <n v="393.86110000000002"/>
    <x v="15"/>
    <n v="17"/>
    <n v="5"/>
    <s v="2006"/>
    <n v="2"/>
    <x v="0"/>
    <n v="12"/>
    <n v="2.4"/>
  </r>
  <r>
    <s v="1063"/>
    <x v="1066"/>
    <n v="7500000"/>
    <x v="5"/>
    <n v="393.77640000000002"/>
    <x v="4"/>
    <n v="17"/>
    <n v="10"/>
    <s v="2011"/>
    <n v="3"/>
    <x v="0"/>
    <n v="7"/>
    <n v="0.7"/>
  </r>
  <r>
    <s v="1064"/>
    <x v="1067"/>
    <n v="15700000"/>
    <x v="2"/>
    <n v="393.71019999999999"/>
    <x v="19"/>
    <n v="200"/>
    <n v="70"/>
    <s v="2005"/>
    <n v="2"/>
    <x v="0"/>
    <n v="130"/>
    <n v="1.8571428571428572"/>
  </r>
  <r>
    <s v="1065"/>
    <x v="1068"/>
    <n v="153200000"/>
    <x v="18"/>
    <n v="393.61529999999999"/>
    <x v="4"/>
    <n v="350"/>
    <n v="75"/>
    <s v="1945"/>
    <n v="3"/>
    <x v="0"/>
    <n v="275"/>
    <n v="3.6666666666666665"/>
  </r>
  <r>
    <s v="1066"/>
    <x v="1069"/>
    <n v="117600000"/>
    <x v="6"/>
    <n v="393.47359999999998"/>
    <x v="3"/>
    <n v="26"/>
    <n v="7"/>
    <s v="2011"/>
    <n v="4"/>
    <x v="0"/>
    <n v="19"/>
    <n v="2.7142857142857144"/>
  </r>
  <r>
    <s v="1067"/>
    <x v="1070"/>
    <n v="5000000"/>
    <x v="13"/>
    <n v="393.37209999999999"/>
    <x v="0"/>
    <n v="2"/>
    <n v="1"/>
    <s v="2013"/>
    <n v="1"/>
    <x v="0"/>
    <n v="1"/>
    <n v="1"/>
  </r>
  <r>
    <s v="1068"/>
    <x v="1071"/>
    <n v="21500000"/>
    <x v="9"/>
    <n v="393.25150000000002"/>
    <x v="0"/>
    <n v="22"/>
    <n v="2"/>
    <s v="2009"/>
    <n v="2"/>
    <x v="0"/>
    <n v="20"/>
    <n v="10"/>
  </r>
  <r>
    <s v="1069"/>
    <x v="1072"/>
    <n v="2500000"/>
    <x v="42"/>
    <n v="392.46449999999999"/>
    <x v="10"/>
    <n v="9"/>
    <n v="3"/>
    <s v="2014"/>
    <n v="1"/>
    <x v="0"/>
    <n v="6"/>
    <n v="2"/>
  </r>
  <r>
    <s v="1070"/>
    <x v="1073"/>
    <n v="15400000"/>
    <x v="41"/>
    <n v="392.13560000000001"/>
    <x v="0"/>
    <n v="59"/>
    <n v="26"/>
    <s v="2000"/>
    <n v="2"/>
    <x v="0"/>
    <n v="33"/>
    <n v="1.2692307692307692"/>
  </r>
  <r>
    <s v="1071"/>
    <x v="1074"/>
    <n v="12200000"/>
    <x v="34"/>
    <n v="391.50400000000002"/>
    <x v="11"/>
    <n v="70"/>
    <n v="8"/>
    <s v="2011"/>
    <n v="1"/>
    <x v="0"/>
    <n v="62"/>
    <n v="7.75"/>
  </r>
  <r>
    <s v="1072"/>
    <x v="1075"/>
    <n v="14500000"/>
    <x v="0"/>
    <n v="390.71069999999997"/>
    <x v="12"/>
    <n v="70"/>
    <n v="10"/>
    <s v="2009"/>
    <n v="4"/>
    <x v="0"/>
    <n v="60"/>
    <n v="6"/>
  </r>
  <r>
    <s v="1073"/>
    <x v="1076"/>
    <n v="21400000000"/>
    <x v="22"/>
    <n v="390.56540000000001"/>
    <x v="5"/>
    <n v="3300"/>
    <n v="3900"/>
    <s v="1998"/>
    <n v="8"/>
    <x v="1"/>
    <n v="-600"/>
    <n v="-0.15384615384615385"/>
  </r>
  <r>
    <s v="1074"/>
    <x v="1077"/>
    <n v="5600000"/>
    <x v="9"/>
    <n v="390.40050000000002"/>
    <x v="9"/>
    <n v="37"/>
    <n v="12"/>
    <s v="2008"/>
    <n v="3"/>
    <x v="0"/>
    <n v="25"/>
    <n v="2.0833333333333335"/>
  </r>
  <r>
    <s v="1075"/>
    <x v="1078"/>
    <n v="9000000"/>
    <x v="12"/>
    <n v="390.01429999999999"/>
    <x v="4"/>
    <n v="10"/>
    <n v="1"/>
    <s v="2015"/>
    <n v="1"/>
    <x v="0"/>
    <n v="9"/>
    <n v="9"/>
  </r>
  <r>
    <s v="1076"/>
    <x v="1079"/>
    <n v="50700000"/>
    <x v="4"/>
    <n v="389.38529999999997"/>
    <x v="0"/>
    <n v="120"/>
    <n v="35"/>
    <s v="2009"/>
    <n v="6"/>
    <x v="0"/>
    <n v="85"/>
    <n v="2.4285714285714284"/>
  </r>
  <r>
    <s v="1077"/>
    <x v="1080"/>
    <n v="2200000"/>
    <x v="6"/>
    <n v="388.22660000000002"/>
    <x v="14"/>
    <n v="15"/>
    <n v="2"/>
    <s v="2014"/>
    <n v="1"/>
    <x v="0"/>
    <n v="13"/>
    <n v="6.5"/>
  </r>
  <r>
    <s v="1078"/>
    <x v="1081"/>
    <n v="3900000"/>
    <x v="4"/>
    <n v="387.68549999999999"/>
    <x v="23"/>
    <n v="12"/>
    <n v="4"/>
    <s v="2009"/>
    <n v="1"/>
    <x v="0"/>
    <n v="8"/>
    <n v="2"/>
  </r>
  <r>
    <s v="1079"/>
    <x v="1082"/>
    <n v="30400000"/>
    <x v="13"/>
    <n v="387.4513"/>
    <x v="9"/>
    <n v="167"/>
    <n v="33"/>
    <s v="2011"/>
    <n v="4"/>
    <x v="0"/>
    <n v="134"/>
    <n v="4.0606060606060606"/>
  </r>
  <r>
    <s v="1080"/>
    <x v="1083"/>
    <n v="3400000"/>
    <x v="21"/>
    <n v="387.35140000000001"/>
    <x v="25"/>
    <n v="11"/>
    <n v="6"/>
    <s v="2006"/>
    <n v="2"/>
    <x v="0"/>
    <n v="5"/>
    <n v="0.83333333333333337"/>
  </r>
  <r>
    <s v="1081"/>
    <x v="1084"/>
    <n v="63600000"/>
    <x v="9"/>
    <n v="387.14299999999997"/>
    <x v="0"/>
    <n v="43"/>
    <n v="35"/>
    <s v="2010"/>
    <n v="5"/>
    <x v="0"/>
    <n v="8"/>
    <n v="0.22857142857142856"/>
  </r>
  <r>
    <s v="1082"/>
    <x v="1085"/>
    <n v="2100000"/>
    <x v="18"/>
    <n v="386.9726"/>
    <x v="19"/>
    <n v="27"/>
    <n v="3"/>
    <s v="2014"/>
    <n v="1"/>
    <x v="0"/>
    <n v="24"/>
    <n v="8"/>
  </r>
  <r>
    <s v="1083"/>
    <x v="1086"/>
    <n v="43700000"/>
    <x v="12"/>
    <n v="386.87220000000002"/>
    <x v="1"/>
    <n v="60"/>
    <n v="25"/>
    <s v="2012"/>
    <n v="1"/>
    <x v="0"/>
    <n v="35"/>
    <n v="1.4"/>
  </r>
  <r>
    <s v="1084"/>
    <x v="1087"/>
    <n v="4700000"/>
    <x v="2"/>
    <n v="386.87099999999998"/>
    <x v="4"/>
    <n v="12"/>
    <n v="3"/>
    <s v="2014"/>
    <n v="2"/>
    <x v="0"/>
    <n v="9"/>
    <n v="3"/>
  </r>
  <r>
    <s v="1085"/>
    <x v="1088"/>
    <n v="4300000"/>
    <x v="13"/>
    <n v="386.67660000000001"/>
    <x v="9"/>
    <n v="58"/>
    <n v="7"/>
    <s v="2009"/>
    <n v="2"/>
    <x v="0"/>
    <n v="51"/>
    <n v="7.2857142857142856"/>
  </r>
  <r>
    <s v="1086"/>
    <x v="1089"/>
    <n v="4500000"/>
    <x v="24"/>
    <n v="386.56549999999999"/>
    <x v="9"/>
    <n v="50"/>
    <n v="15"/>
    <s v="2008"/>
    <n v="1"/>
    <x v="0"/>
    <n v="35"/>
    <n v="2.3333333333333335"/>
  </r>
  <r>
    <s v="1087"/>
    <x v="1090"/>
    <n v="9900000"/>
    <x v="10"/>
    <n v="386.11500000000001"/>
    <x v="0"/>
    <n v="80"/>
    <n v="30"/>
    <s v="2001"/>
    <n v="4"/>
    <x v="0"/>
    <n v="50"/>
    <n v="1.6666666666666667"/>
  </r>
  <r>
    <s v="1088"/>
    <x v="1091"/>
    <n v="2500000"/>
    <x v="20"/>
    <n v="385.75299999999999"/>
    <x v="23"/>
    <n v="13"/>
    <n v="10"/>
    <s v="2009"/>
    <n v="1"/>
    <x v="0"/>
    <n v="3"/>
    <n v="0.3"/>
  </r>
  <r>
    <s v="1089"/>
    <x v="1092"/>
    <n v="4500000"/>
    <x v="5"/>
    <n v="385.2364"/>
    <x v="7"/>
    <n v="12"/>
    <n v="4"/>
    <s v="2015"/>
    <n v="1"/>
    <x v="0"/>
    <n v="8"/>
    <n v="2"/>
  </r>
  <r>
    <s v="1090"/>
    <x v="1093"/>
    <n v="3200000"/>
    <x v="4"/>
    <n v="385.0933"/>
    <x v="5"/>
    <n v="35"/>
    <n v="8"/>
    <s v="2012"/>
    <n v="1"/>
    <x v="0"/>
    <n v="27"/>
    <n v="3.375"/>
  </r>
  <r>
    <s v="1091"/>
    <x v="1094"/>
    <n v="5400000"/>
    <x v="5"/>
    <n v="384.76749999999998"/>
    <x v="23"/>
    <n v="34"/>
    <n v="6"/>
    <s v="2014"/>
    <n v="1"/>
    <x v="0"/>
    <n v="28"/>
    <n v="4.666666666666667"/>
  </r>
  <r>
    <s v="1092"/>
    <x v="1095"/>
    <n v="43800000"/>
    <x v="0"/>
    <n v="384.70690000000002"/>
    <x v="13"/>
    <n v="280"/>
    <n v="88"/>
    <s v="2014"/>
    <n v="2"/>
    <x v="0"/>
    <n v="192"/>
    <n v="2.1818181818181817"/>
  </r>
  <r>
    <s v="1093"/>
    <x v="1096"/>
    <n v="2700000"/>
    <x v="45"/>
    <n v="384.49130000000002"/>
    <x v="4"/>
    <n v="20"/>
    <n v="4"/>
    <s v="2014"/>
    <n v="1"/>
    <x v="0"/>
    <n v="16"/>
    <n v="4"/>
  </r>
  <r>
    <s v="1094"/>
    <x v="1097"/>
    <n v="31400000"/>
    <x v="32"/>
    <n v="384.45260000000002"/>
    <x v="4"/>
    <n v="15"/>
    <n v="7"/>
    <s v="2010"/>
    <n v="1"/>
    <x v="0"/>
    <n v="8"/>
    <n v="1.1428571428571428"/>
  </r>
  <r>
    <s v="1095"/>
    <x v="1098"/>
    <n v="10300000"/>
    <x v="13"/>
    <n v="382.76400000000001"/>
    <x v="3"/>
    <n v="14"/>
    <n v="7"/>
    <s v="2013"/>
    <n v="2"/>
    <x v="0"/>
    <n v="7"/>
    <n v="1"/>
  </r>
  <r>
    <s v="1096"/>
    <x v="1099"/>
    <n v="3300000"/>
    <x v="13"/>
    <n v="382.40980000000002"/>
    <x v="9"/>
    <n v="22"/>
    <n v="8"/>
    <s v="2014"/>
    <n v="1"/>
    <x v="0"/>
    <n v="14"/>
    <n v="1.75"/>
  </r>
  <r>
    <s v="1097"/>
    <x v="1100"/>
    <n v="14400000"/>
    <x v="15"/>
    <n v="382.01089999999999"/>
    <x v="4"/>
    <n v="18"/>
    <n v="2"/>
    <s v="2013"/>
    <n v="4"/>
    <x v="0"/>
    <n v="16"/>
    <n v="8"/>
  </r>
  <r>
    <s v="1098"/>
    <x v="1101"/>
    <n v="6300000"/>
    <x v="12"/>
    <n v="381.93310000000002"/>
    <x v="3"/>
    <n v="45"/>
    <n v="4"/>
    <s v="2009"/>
    <n v="3"/>
    <x v="0"/>
    <n v="41"/>
    <n v="10.25"/>
  </r>
  <r>
    <s v="1099"/>
    <x v="1102"/>
    <n v="24000000"/>
    <x v="2"/>
    <n v="381.37630000000001"/>
    <x v="19"/>
    <n v="226"/>
    <n v="73"/>
    <s v="2008"/>
    <n v="2"/>
    <x v="0"/>
    <n v="153"/>
    <n v="2.095890410958904"/>
  </r>
  <r>
    <s v="1100"/>
    <x v="1103"/>
    <n v="17700000"/>
    <x v="7"/>
    <n v="381.18450000000001"/>
    <x v="3"/>
    <n v="24"/>
    <n v="6"/>
    <s v="2008"/>
    <n v="2"/>
    <x v="0"/>
    <n v="18"/>
    <n v="3"/>
  </r>
  <r>
    <s v="1101"/>
    <x v="1104"/>
    <n v="6900000"/>
    <x v="12"/>
    <n v="381.1284"/>
    <x v="5"/>
    <n v="20"/>
    <n v="5"/>
    <s v="1992"/>
    <n v="3"/>
    <x v="0"/>
    <n v="15"/>
    <n v="3"/>
  </r>
  <r>
    <s v="1102"/>
    <x v="1105"/>
    <n v="10300000"/>
    <x v="11"/>
    <n v="381.10180000000003"/>
    <x v="15"/>
    <n v="50"/>
    <n v="19"/>
    <s v="2014"/>
    <n v="2"/>
    <x v="0"/>
    <n v="31"/>
    <n v="1.631578947368421"/>
  </r>
  <r>
    <s v="1103"/>
    <x v="1106"/>
    <n v="9400000"/>
    <x v="9"/>
    <n v="379.84070000000003"/>
    <x v="0"/>
    <n v="55"/>
    <n v="20"/>
    <s v="2012"/>
    <n v="3"/>
    <x v="0"/>
    <n v="35"/>
    <n v="1.75"/>
  </r>
  <r>
    <s v="1104"/>
    <x v="1107"/>
    <n v="37300000"/>
    <x v="27"/>
    <n v="379.45269999999999"/>
    <x v="22"/>
    <n v="497"/>
    <n v="120"/>
    <s v="2010"/>
    <n v="1"/>
    <x v="0"/>
    <n v="377"/>
    <n v="3.1416666666666666"/>
  </r>
  <r>
    <s v="1105"/>
    <x v="1108"/>
    <n v="31200000"/>
    <x v="16"/>
    <n v="379.03870000000001"/>
    <x v="18"/>
    <n v="30"/>
    <n v="11"/>
    <s v="2008"/>
    <n v="1"/>
    <x v="0"/>
    <n v="19"/>
    <n v="1.7272727272727273"/>
  </r>
  <r>
    <s v="1106"/>
    <x v="1109"/>
    <n v="60200000"/>
    <x v="18"/>
    <n v="378.60849999999999"/>
    <x v="13"/>
    <n v="84"/>
    <n v="32"/>
    <s v="2008"/>
    <n v="3"/>
    <x v="0"/>
    <n v="52"/>
    <n v="1.625"/>
  </r>
  <r>
    <s v="1107"/>
    <x v="1110"/>
    <n v="2800000"/>
    <x v="9"/>
    <n v="378.37520000000001"/>
    <x v="12"/>
    <n v="14"/>
    <n v="4"/>
    <s v="2011"/>
    <n v="1"/>
    <x v="0"/>
    <n v="10"/>
    <n v="2.5"/>
  </r>
  <r>
    <s v="1108"/>
    <x v="1111"/>
    <n v="3300000"/>
    <x v="22"/>
    <n v="377.63409999999999"/>
    <x v="12"/>
    <n v="70"/>
    <n v="5"/>
    <s v="2013"/>
    <n v="1"/>
    <x v="0"/>
    <n v="65"/>
    <n v="13"/>
  </r>
  <r>
    <s v="1109"/>
    <x v="1112"/>
    <n v="4200000"/>
    <x v="2"/>
    <n v="377.46069999999997"/>
    <x v="20"/>
    <n v="16"/>
    <n v="6"/>
    <s v="2010"/>
    <n v="2"/>
    <x v="0"/>
    <n v="10"/>
    <n v="1.6666666666666667"/>
  </r>
  <r>
    <s v="1110"/>
    <x v="1113"/>
    <n v="21900000"/>
    <x v="12"/>
    <n v="376.57940000000002"/>
    <x v="18"/>
    <n v="150"/>
    <n v="70"/>
    <s v="2010"/>
    <n v="2"/>
    <x v="0"/>
    <n v="80"/>
    <n v="1.1428571428571428"/>
  </r>
  <r>
    <s v="1111"/>
    <x v="1114"/>
    <n v="7300000"/>
    <x v="5"/>
    <n v="376.38979999999998"/>
    <x v="23"/>
    <n v="16"/>
    <n v="8"/>
    <s v="2014"/>
    <n v="1"/>
    <x v="0"/>
    <n v="8"/>
    <n v="1"/>
  </r>
  <r>
    <s v="1112"/>
    <x v="1115"/>
    <n v="5900000"/>
    <x v="31"/>
    <n v="376.34289999999999"/>
    <x v="9"/>
    <n v="28"/>
    <n v="10"/>
    <s v="2006"/>
    <n v="2"/>
    <x v="0"/>
    <n v="18"/>
    <n v="1.8"/>
  </r>
  <r>
    <s v="1113"/>
    <x v="1116"/>
    <n v="3000000"/>
    <x v="5"/>
    <n v="375.51409999999998"/>
    <x v="2"/>
    <n v="11"/>
    <n v="4"/>
    <s v="2012"/>
    <n v="1"/>
    <x v="0"/>
    <n v="7"/>
    <n v="1.75"/>
  </r>
  <r>
    <s v="1114"/>
    <x v="1117"/>
    <n v="16600000"/>
    <x v="5"/>
    <n v="374.47539999999998"/>
    <x v="10"/>
    <n v="15"/>
    <n v="7"/>
    <s v="2011"/>
    <n v="2"/>
    <x v="0"/>
    <n v="8"/>
    <n v="1.1428571428571428"/>
  </r>
  <r>
    <s v="1115"/>
    <x v="1118"/>
    <n v="254200000"/>
    <x v="9"/>
    <n v="373.5557"/>
    <x v="23"/>
    <n v="14098"/>
    <n v="4900"/>
    <s v="2008"/>
    <n v="7"/>
    <x v="0"/>
    <n v="9198"/>
    <n v="1.8771428571428572"/>
  </r>
  <r>
    <s v="1116"/>
    <x v="1119"/>
    <n v="14600000"/>
    <x v="12"/>
    <n v="372.75330000000002"/>
    <x v="9"/>
    <n v="156"/>
    <n v="37"/>
    <s v="2012"/>
    <n v="2"/>
    <x v="0"/>
    <n v="119"/>
    <n v="3.2162162162162162"/>
  </r>
  <r>
    <s v="1117"/>
    <x v="1120"/>
    <n v="81600000"/>
    <x v="1"/>
    <n v="372.37709999999998"/>
    <x v="1"/>
    <n v="66"/>
    <n v="19"/>
    <s v="2012"/>
    <n v="4"/>
    <x v="0"/>
    <n v="47"/>
    <n v="2.4736842105263159"/>
  </r>
  <r>
    <s v="1118"/>
    <x v="1121"/>
    <n v="4000000"/>
    <x v="33"/>
    <n v="372.08429999999998"/>
    <x v="12"/>
    <n v="70"/>
    <n v="12"/>
    <s v="2010"/>
    <n v="2"/>
    <x v="0"/>
    <n v="58"/>
    <n v="4.833333333333333"/>
  </r>
  <r>
    <s v="1119"/>
    <x v="1122"/>
    <n v="46700000"/>
    <x v="0"/>
    <n v="371.51620000000003"/>
    <x v="8"/>
    <n v="58"/>
    <n v="25"/>
    <s v="2008"/>
    <n v="5"/>
    <x v="0"/>
    <n v="33"/>
    <n v="1.32"/>
  </r>
  <r>
    <s v="1120"/>
    <x v="1123"/>
    <n v="8500000"/>
    <x v="0"/>
    <n v="371.31709999999998"/>
    <x v="1"/>
    <n v="40"/>
    <n v="12"/>
    <s v="2013"/>
    <n v="3"/>
    <x v="0"/>
    <n v="28"/>
    <n v="2.3333333333333335"/>
  </r>
  <r>
    <s v="1121"/>
    <x v="1124"/>
    <n v="12200000"/>
    <x v="6"/>
    <n v="371.26839999999999"/>
    <x v="9"/>
    <n v="131"/>
    <n v="44"/>
    <s v="2014"/>
    <n v="2"/>
    <x v="0"/>
    <n v="87"/>
    <n v="1.9772727272727273"/>
  </r>
  <r>
    <s v="1122"/>
    <x v="1125"/>
    <n v="2200000"/>
    <x v="12"/>
    <n v="371.03100000000001"/>
    <x v="4"/>
    <n v="6"/>
    <n v="1"/>
    <s v="2015"/>
    <n v="1"/>
    <x v="0"/>
    <n v="5"/>
    <n v="5"/>
  </r>
  <r>
    <s v="1123"/>
    <x v="1126"/>
    <n v="4100000"/>
    <x v="12"/>
    <n v="370.70260000000002"/>
    <x v="0"/>
    <n v="20"/>
    <n v="7"/>
    <s v="2010"/>
    <n v="2"/>
    <x v="0"/>
    <n v="13"/>
    <n v="1.8571428571428572"/>
  </r>
  <r>
    <s v="1124"/>
    <x v="1127"/>
    <n v="7600000"/>
    <x v="27"/>
    <n v="370.60669999999999"/>
    <x v="9"/>
    <n v="74"/>
    <n v="16"/>
    <s v="2010"/>
    <n v="3"/>
    <x v="0"/>
    <n v="58"/>
    <n v="3.625"/>
  </r>
  <r>
    <s v="1125"/>
    <x v="1128"/>
    <n v="17300000"/>
    <x v="28"/>
    <n v="370.50569999999999"/>
    <x v="0"/>
    <n v="21"/>
    <n v="11"/>
    <s v="2012"/>
    <n v="2"/>
    <x v="0"/>
    <n v="10"/>
    <n v="0.90909090909090906"/>
  </r>
  <r>
    <s v="1126"/>
    <x v="1129"/>
    <n v="3200000"/>
    <x v="38"/>
    <n v="370.18259999999998"/>
    <x v="9"/>
    <n v="25"/>
    <n v="10"/>
    <s v="2008"/>
    <n v="1"/>
    <x v="0"/>
    <n v="15"/>
    <n v="1.5"/>
  </r>
  <r>
    <s v="1127"/>
    <x v="1130"/>
    <n v="14200000"/>
    <x v="12"/>
    <n v="369.96850000000001"/>
    <x v="0"/>
    <n v="147"/>
    <n v="41"/>
    <s v="2011"/>
    <n v="1"/>
    <x v="0"/>
    <n v="106"/>
    <n v="2.5853658536585367"/>
  </r>
  <r>
    <s v="1128"/>
    <x v="1131"/>
    <n v="2300000"/>
    <x v="9"/>
    <n v="369.72519999999997"/>
    <x v="14"/>
    <n v="19"/>
    <n v="4"/>
    <s v="2014"/>
    <n v="1"/>
    <x v="0"/>
    <n v="15"/>
    <n v="3.75"/>
  </r>
  <r>
    <s v="1129"/>
    <x v="1132"/>
    <n v="2100000"/>
    <x v="2"/>
    <n v="369.54610000000002"/>
    <x v="25"/>
    <n v="15"/>
    <n v="6"/>
    <s v="1979"/>
    <n v="1"/>
    <x v="0"/>
    <n v="9"/>
    <n v="1.5"/>
  </r>
  <r>
    <s v="1130"/>
    <x v="1133"/>
    <n v="25600000"/>
    <x v="2"/>
    <n v="369.25290000000001"/>
    <x v="6"/>
    <n v="221"/>
    <n v="38"/>
    <s v="2012"/>
    <n v="2"/>
    <x v="0"/>
    <n v="183"/>
    <n v="4.8157894736842106"/>
  </r>
  <r>
    <s v="1131"/>
    <x v="1134"/>
    <n v="2700000"/>
    <x v="4"/>
    <n v="369.22730000000001"/>
    <x v="3"/>
    <n v="50"/>
    <n v="15"/>
    <s v="2011"/>
    <n v="2"/>
    <x v="0"/>
    <n v="35"/>
    <n v="2.3333333333333335"/>
  </r>
  <r>
    <s v="1132"/>
    <x v="1135"/>
    <n v="12800000"/>
    <x v="7"/>
    <n v="368.89420000000001"/>
    <x v="9"/>
    <n v="53"/>
    <n v="35"/>
    <s v="2012"/>
    <n v="1"/>
    <x v="0"/>
    <n v="18"/>
    <n v="0.51428571428571423"/>
  </r>
  <r>
    <s v="1133"/>
    <x v="1136"/>
    <n v="3800000"/>
    <x v="16"/>
    <n v="368.13720000000001"/>
    <x v="13"/>
    <n v="42"/>
    <n v="9"/>
    <s v="2010"/>
    <n v="1"/>
    <x v="0"/>
    <n v="33"/>
    <n v="3.6666666666666665"/>
  </r>
  <r>
    <s v="1134"/>
    <x v="1137"/>
    <n v="5200000"/>
    <x v="9"/>
    <n v="367.98669999999998"/>
    <x v="15"/>
    <n v="40"/>
    <n v="11"/>
    <s v="2012"/>
    <n v="1"/>
    <x v="0"/>
    <n v="29"/>
    <n v="2.6363636363636362"/>
  </r>
  <r>
    <s v="1135"/>
    <x v="1138"/>
    <n v="116600000"/>
    <x v="32"/>
    <n v="367.60739999999998"/>
    <x v="20"/>
    <n v="25"/>
    <n v="16"/>
    <s v="2012"/>
    <n v="3"/>
    <x v="0"/>
    <n v="9"/>
    <n v="0.5625"/>
  </r>
  <r>
    <s v="1136"/>
    <x v="1139"/>
    <n v="5000000"/>
    <x v="9"/>
    <n v="367.14589999999998"/>
    <x v="0"/>
    <n v="62"/>
    <n v="9"/>
    <s v="2012"/>
    <n v="3"/>
    <x v="0"/>
    <n v="53"/>
    <n v="5.8888888888888893"/>
  </r>
  <r>
    <s v="1137"/>
    <x v="1140"/>
    <n v="2200000"/>
    <x v="11"/>
    <n v="367.1438"/>
    <x v="11"/>
    <n v="42"/>
    <n v="7"/>
    <s v="2009"/>
    <n v="1"/>
    <x v="0"/>
    <n v="35"/>
    <n v="5"/>
  </r>
  <r>
    <s v="1138"/>
    <x v="1141"/>
    <n v="3700000"/>
    <x v="18"/>
    <n v="366.81259999999997"/>
    <x v="3"/>
    <n v="5"/>
    <n v="1"/>
    <s v="2015"/>
    <n v="1"/>
    <x v="0"/>
    <n v="4"/>
    <n v="4"/>
  </r>
  <r>
    <s v="1139"/>
    <x v="1142"/>
    <n v="19900000"/>
    <x v="5"/>
    <n v="366.72199999999998"/>
    <x v="15"/>
    <n v="19"/>
    <n v="8"/>
    <s v="2005"/>
    <n v="3"/>
    <x v="0"/>
    <n v="11"/>
    <n v="1.375"/>
  </r>
  <r>
    <s v="1140"/>
    <x v="1143"/>
    <n v="61300000"/>
    <x v="9"/>
    <n v="366.05070000000001"/>
    <x v="9"/>
    <n v="48"/>
    <n v="30"/>
    <s v="2010"/>
    <n v="1"/>
    <x v="0"/>
    <n v="18"/>
    <n v="0.6"/>
  </r>
  <r>
    <s v="1141"/>
    <x v="1144"/>
    <n v="50600000"/>
    <x v="16"/>
    <n v="365.6395"/>
    <x v="1"/>
    <n v="185"/>
    <n v="65"/>
    <s v="2007"/>
    <n v="4"/>
    <x v="0"/>
    <n v="120"/>
    <n v="1.8461538461538463"/>
  </r>
  <r>
    <s v="1142"/>
    <x v="1145"/>
    <n v="2200000"/>
    <x v="9"/>
    <n v="365.39789999999999"/>
    <x v="22"/>
    <n v="5"/>
    <n v="9"/>
    <s v="2012"/>
    <n v="1"/>
    <x v="1"/>
    <n v="-4"/>
    <n v="-0.44444444444444442"/>
  </r>
  <r>
    <s v="1143"/>
    <x v="1146"/>
    <n v="6000000"/>
    <x v="9"/>
    <n v="364.54230000000001"/>
    <x v="3"/>
    <n v="24"/>
    <n v="3"/>
    <s v="2015"/>
    <n v="1"/>
    <x v="0"/>
    <n v="21"/>
    <n v="7"/>
  </r>
  <r>
    <s v="1144"/>
    <x v="1147"/>
    <n v="11100000"/>
    <x v="6"/>
    <n v="363.67649999999998"/>
    <x v="9"/>
    <n v="25"/>
    <n v="14"/>
    <s v="1998"/>
    <n v="2"/>
    <x v="0"/>
    <n v="11"/>
    <n v="0.7857142857142857"/>
  </r>
  <r>
    <s v="1145"/>
    <x v="1148"/>
    <n v="101200000"/>
    <x v="2"/>
    <n v="363.16849999999999"/>
    <x v="23"/>
    <n v="429"/>
    <n v="78"/>
    <s v="1987"/>
    <n v="5"/>
    <x v="0"/>
    <n v="351"/>
    <n v="4.5"/>
  </r>
  <r>
    <s v="1146"/>
    <x v="1149"/>
    <n v="4200000"/>
    <x v="27"/>
    <n v="363.01600000000002"/>
    <x v="12"/>
    <n v="18"/>
    <n v="3"/>
    <s v="2012"/>
    <n v="1"/>
    <x v="0"/>
    <n v="15"/>
    <n v="5"/>
  </r>
  <r>
    <s v="1147"/>
    <x v="1150"/>
    <n v="10400000"/>
    <x v="7"/>
    <n v="361.67930000000001"/>
    <x v="14"/>
    <n v="12"/>
    <n v="5"/>
    <s v="2012"/>
    <n v="1"/>
    <x v="0"/>
    <n v="7"/>
    <n v="1.4"/>
  </r>
  <r>
    <s v="1148"/>
    <x v="1151"/>
    <n v="4700000"/>
    <x v="12"/>
    <n v="361.47359999999998"/>
    <x v="19"/>
    <n v="20"/>
    <n v="4"/>
    <s v="2015"/>
    <n v="1"/>
    <x v="0"/>
    <n v="16"/>
    <n v="4"/>
  </r>
  <r>
    <s v="1149"/>
    <x v="1152"/>
    <n v="33700000"/>
    <x v="9"/>
    <n v="360.50310000000002"/>
    <x v="8"/>
    <n v="78"/>
    <n v="6"/>
    <s v="2011"/>
    <n v="2"/>
    <x v="0"/>
    <n v="72"/>
    <n v="12"/>
  </r>
  <r>
    <s v="1150"/>
    <x v="1153"/>
    <n v="4500000"/>
    <x v="16"/>
    <n v="360.32979999999998"/>
    <x v="9"/>
    <n v="50"/>
    <n v="20"/>
    <s v="2012"/>
    <n v="2"/>
    <x v="0"/>
    <n v="30"/>
    <n v="1.5"/>
  </r>
  <r>
    <s v="1151"/>
    <x v="1154"/>
    <n v="9800000"/>
    <x v="21"/>
    <n v="360.00220000000002"/>
    <x v="11"/>
    <n v="52"/>
    <n v="10"/>
    <s v="2012"/>
    <n v="2"/>
    <x v="0"/>
    <n v="42"/>
    <n v="4.2"/>
  </r>
  <r>
    <s v="1152"/>
    <x v="1155"/>
    <n v="8600000"/>
    <x v="7"/>
    <n v="359.8569"/>
    <x v="25"/>
    <n v="30"/>
    <n v="10"/>
    <s v="2013"/>
    <n v="2"/>
    <x v="0"/>
    <n v="20"/>
    <n v="2"/>
  </r>
  <r>
    <s v="1153"/>
    <x v="1156"/>
    <n v="5400000"/>
    <x v="2"/>
    <n v="359.30950000000001"/>
    <x v="3"/>
    <n v="8"/>
    <n v="2"/>
    <s v="2015"/>
    <n v="1"/>
    <x v="0"/>
    <n v="6"/>
    <n v="3"/>
  </r>
  <r>
    <s v="1154"/>
    <x v="1157"/>
    <n v="10100000"/>
    <x v="2"/>
    <n v="359.2978"/>
    <x v="3"/>
    <n v="35"/>
    <n v="7"/>
    <s v="2011"/>
    <n v="3"/>
    <x v="0"/>
    <n v="28"/>
    <n v="4"/>
  </r>
  <r>
    <s v="1155"/>
    <x v="1158"/>
    <n v="10200000"/>
    <x v="7"/>
    <n v="359.16629999999998"/>
    <x v="25"/>
    <n v="70"/>
    <n v="20"/>
    <s v="2013"/>
    <n v="2"/>
    <x v="0"/>
    <n v="50"/>
    <n v="2.5"/>
  </r>
  <r>
    <s v="1156"/>
    <x v="1159"/>
    <n v="23500000"/>
    <x v="7"/>
    <n v="359.1601"/>
    <x v="7"/>
    <n v="29"/>
    <n v="44"/>
    <s v="2009"/>
    <n v="2"/>
    <x v="1"/>
    <n v="-15"/>
    <n v="-0.34090909090909088"/>
  </r>
  <r>
    <s v="1157"/>
    <x v="1160"/>
    <n v="47300000"/>
    <x v="40"/>
    <n v="358.7645"/>
    <x v="0"/>
    <n v="501"/>
    <n v="109"/>
    <s v="2010"/>
    <n v="6"/>
    <x v="0"/>
    <n v="392"/>
    <n v="3.596330275229358"/>
  </r>
  <r>
    <s v="1158"/>
    <x v="1161"/>
    <n v="2100000"/>
    <x v="21"/>
    <n v="358.50700000000001"/>
    <x v="11"/>
    <n v="18"/>
    <n v="4"/>
    <s v="2014"/>
    <n v="1"/>
    <x v="0"/>
    <n v="14"/>
    <n v="3.5"/>
  </r>
  <r>
    <s v="1159"/>
    <x v="1162"/>
    <n v="3700000"/>
    <x v="9"/>
    <n v="357.83449999999999"/>
    <x v="3"/>
    <n v="32"/>
    <n v="20"/>
    <s v="2013"/>
    <n v="2"/>
    <x v="0"/>
    <n v="12"/>
    <n v="0.6"/>
  </r>
  <r>
    <s v="1160"/>
    <x v="1163"/>
    <n v="17300000"/>
    <x v="4"/>
    <n v="357.7971"/>
    <x v="0"/>
    <n v="15"/>
    <n v="20"/>
    <s v="2009"/>
    <n v="1"/>
    <x v="1"/>
    <n v="-5"/>
    <n v="-0.25"/>
  </r>
  <r>
    <s v="1161"/>
    <x v="1164"/>
    <n v="17300000"/>
    <x v="2"/>
    <n v="356.86829999999998"/>
    <x v="5"/>
    <n v="69"/>
    <n v="11"/>
    <s v="2013"/>
    <n v="2"/>
    <x v="0"/>
    <n v="58"/>
    <n v="5.2727272727272725"/>
  </r>
  <r>
    <s v="1162"/>
    <x v="1165"/>
    <n v="11600000"/>
    <x v="2"/>
    <n v="356.46510000000001"/>
    <x v="0"/>
    <n v="16"/>
    <n v="8"/>
    <s v="2013"/>
    <n v="3"/>
    <x v="0"/>
    <n v="8"/>
    <n v="1"/>
  </r>
  <r>
    <s v="1163"/>
    <x v="1166"/>
    <n v="18100000"/>
    <x v="24"/>
    <n v="356.21339999999998"/>
    <x v="20"/>
    <n v="19"/>
    <n v="5"/>
    <s v="2014"/>
    <n v="2"/>
    <x v="0"/>
    <n v="14"/>
    <n v="2.8"/>
  </r>
  <r>
    <s v="1164"/>
    <x v="1167"/>
    <n v="17100000"/>
    <x v="37"/>
    <n v="356.09870000000001"/>
    <x v="1"/>
    <n v="25"/>
    <n v="13"/>
    <s v="2014"/>
    <n v="2"/>
    <x v="0"/>
    <n v="12"/>
    <n v="0.92307692307692313"/>
  </r>
  <r>
    <s v="1165"/>
    <x v="1168"/>
    <n v="35300000"/>
    <x v="9"/>
    <n v="355.77260000000001"/>
    <x v="5"/>
    <n v="2000"/>
    <n v="1200"/>
    <s v="2009"/>
    <n v="6"/>
    <x v="0"/>
    <n v="800"/>
    <n v="0.66666666666666663"/>
  </r>
  <r>
    <s v="1166"/>
    <x v="1169"/>
    <n v="7000000"/>
    <x v="40"/>
    <n v="355.44540000000001"/>
    <x v="5"/>
    <n v="257"/>
    <n v="75"/>
    <s v="2013"/>
    <n v="1"/>
    <x v="0"/>
    <n v="182"/>
    <n v="2.4266666666666667"/>
  </r>
  <r>
    <s v="1167"/>
    <x v="1170"/>
    <n v="39800000"/>
    <x v="6"/>
    <n v="355.24040000000002"/>
    <x v="3"/>
    <n v="30"/>
    <n v="18"/>
    <s v="2014"/>
    <n v="1"/>
    <x v="0"/>
    <n v="12"/>
    <n v="0.66666666666666663"/>
  </r>
  <r>
    <s v="1168"/>
    <x v="1171"/>
    <n v="15600000"/>
    <x v="21"/>
    <n v="354.97199999999998"/>
    <x v="16"/>
    <n v="68"/>
    <n v="23"/>
    <s v="2013"/>
    <n v="2"/>
    <x v="0"/>
    <n v="45"/>
    <n v="1.9565217391304348"/>
  </r>
  <r>
    <s v="1169"/>
    <x v="1172"/>
    <n v="388900000"/>
    <x v="11"/>
    <n v="354.63740000000001"/>
    <x v="9"/>
    <n v="43"/>
    <n v="7"/>
    <s v="2007"/>
    <n v="1"/>
    <x v="0"/>
    <n v="36"/>
    <n v="5.1428571428571432"/>
  </r>
  <r>
    <s v="1170"/>
    <x v="1173"/>
    <n v="31000000"/>
    <x v="12"/>
    <n v="354.24369999999999"/>
    <x v="3"/>
    <n v="110"/>
    <n v="35"/>
    <s v="2010"/>
    <n v="3"/>
    <x v="0"/>
    <n v="75"/>
    <n v="2.1428571428571428"/>
  </r>
  <r>
    <s v="1171"/>
    <x v="1174"/>
    <n v="2900000"/>
    <x v="10"/>
    <n v="353.21929999999998"/>
    <x v="5"/>
    <n v="37"/>
    <n v="16"/>
    <s v="2014"/>
    <n v="1"/>
    <x v="0"/>
    <n v="21"/>
    <n v="1.3125"/>
  </r>
  <r>
    <s v="1172"/>
    <x v="1175"/>
    <n v="60700000"/>
    <x v="2"/>
    <n v="353.15069999999997"/>
    <x v="10"/>
    <n v="190"/>
    <n v="40"/>
    <s v="2013"/>
    <n v="2"/>
    <x v="0"/>
    <n v="150"/>
    <n v="3.75"/>
  </r>
  <r>
    <s v="1173"/>
    <x v="1176"/>
    <n v="20100000"/>
    <x v="9"/>
    <n v="352.95440000000002"/>
    <x v="18"/>
    <n v="99"/>
    <n v="47"/>
    <s v="2011"/>
    <n v="2"/>
    <x v="0"/>
    <n v="52"/>
    <n v="1.1063829787234043"/>
  </r>
  <r>
    <s v="1174"/>
    <x v="1177"/>
    <n v="13100000"/>
    <x v="27"/>
    <n v="352.89109999999999"/>
    <x v="16"/>
    <n v="48"/>
    <n v="16"/>
    <s v="2010"/>
    <n v="5"/>
    <x v="0"/>
    <n v="32"/>
    <n v="2"/>
  </r>
  <r>
    <s v="1175"/>
    <x v="1178"/>
    <n v="7300000"/>
    <x v="42"/>
    <n v="352.86489999999998"/>
    <x v="23"/>
    <n v="16"/>
    <n v="5"/>
    <s v="2013"/>
    <n v="2"/>
    <x v="0"/>
    <n v="11"/>
    <n v="2.2000000000000002"/>
  </r>
  <r>
    <s v="1176"/>
    <x v="1179"/>
    <n v="2900000"/>
    <x v="11"/>
    <n v="352.64409999999998"/>
    <x v="12"/>
    <n v="24"/>
    <n v="8"/>
    <s v="2014"/>
    <n v="1"/>
    <x v="0"/>
    <n v="16"/>
    <n v="2"/>
  </r>
  <r>
    <s v="1177"/>
    <x v="1180"/>
    <n v="2300000"/>
    <x v="21"/>
    <n v="352.6062"/>
    <x v="14"/>
    <n v="7"/>
    <n v="1"/>
    <s v="2011"/>
    <n v="1"/>
    <x v="0"/>
    <n v="6"/>
    <n v="6"/>
  </r>
  <r>
    <s v="1178"/>
    <x v="1181"/>
    <n v="29200000"/>
    <x v="2"/>
    <n v="352.47289999999998"/>
    <x v="5"/>
    <n v="302"/>
    <n v="87"/>
    <s v="2015"/>
    <n v="1"/>
    <x v="0"/>
    <n v="215"/>
    <n v="2.4712643678160919"/>
  </r>
  <r>
    <s v="1179"/>
    <x v="1182"/>
    <n v="6400000"/>
    <x v="23"/>
    <n v="352.15339999999998"/>
    <x v="25"/>
    <n v="31"/>
    <n v="13"/>
    <s v="2000"/>
    <n v="7"/>
    <x v="0"/>
    <n v="18"/>
    <n v="1.3846153846153846"/>
  </r>
  <r>
    <s v="1180"/>
    <x v="1183"/>
    <n v="75600000"/>
    <x v="22"/>
    <n v="351.87090000000001"/>
    <x v="8"/>
    <n v="64"/>
    <n v="22"/>
    <s v="2011"/>
    <n v="4"/>
    <x v="0"/>
    <n v="42"/>
    <n v="1.9090909090909092"/>
  </r>
  <r>
    <s v="1181"/>
    <x v="1184"/>
    <n v="2300000"/>
    <x v="10"/>
    <n v="351.49509999999998"/>
    <x v="3"/>
    <n v="1"/>
    <n v="1"/>
    <s v="2014"/>
    <n v="1"/>
    <x v="1"/>
    <n v="0"/>
    <n v="0"/>
  </r>
  <r>
    <s v="1182"/>
    <x v="1185"/>
    <n v="6800000"/>
    <x v="12"/>
    <n v="351.20269999999999"/>
    <x v="16"/>
    <n v="60"/>
    <n v="30"/>
    <s v="2010"/>
    <n v="3"/>
    <x v="0"/>
    <n v="30"/>
    <n v="1"/>
  </r>
  <r>
    <s v="1183"/>
    <x v="1186"/>
    <n v="3900000"/>
    <x v="29"/>
    <n v="351.05889999999999"/>
    <x v="25"/>
    <n v="33"/>
    <n v="10"/>
    <s v="2014"/>
    <n v="2"/>
    <x v="0"/>
    <n v="23"/>
    <n v="2.2999999999999998"/>
  </r>
  <r>
    <s v="1184"/>
    <x v="1187"/>
    <n v="5800000"/>
    <x v="32"/>
    <n v="349.9443"/>
    <x v="9"/>
    <n v="40"/>
    <n v="8"/>
    <s v="2013"/>
    <n v="1"/>
    <x v="0"/>
    <n v="32"/>
    <n v="4"/>
  </r>
  <r>
    <s v="1185"/>
    <x v="1188"/>
    <n v="5600000"/>
    <x v="19"/>
    <n v="349.85700000000003"/>
    <x v="5"/>
    <n v="31"/>
    <n v="7"/>
    <s v="2012"/>
    <n v="2"/>
    <x v="0"/>
    <n v="24"/>
    <n v="3.4285714285714284"/>
  </r>
  <r>
    <s v="1186"/>
    <x v="1189"/>
    <n v="4300000"/>
    <x v="40"/>
    <n v="349.27190000000002"/>
    <x v="23"/>
    <n v="27"/>
    <n v="11"/>
    <s v="2009"/>
    <n v="1"/>
    <x v="0"/>
    <n v="16"/>
    <n v="1.4545454545454546"/>
  </r>
  <r>
    <s v="1187"/>
    <x v="1190"/>
    <n v="3000000"/>
    <x v="16"/>
    <n v="349.25549999999998"/>
    <x v="15"/>
    <n v="10"/>
    <n v="3"/>
    <s v="2014"/>
    <n v="1"/>
    <x v="0"/>
    <n v="7"/>
    <n v="2.3333333333333335"/>
  </r>
  <r>
    <s v="1188"/>
    <x v="1191"/>
    <n v="14200000"/>
    <x v="9"/>
    <n v="349.11559999999997"/>
    <x v="0"/>
    <n v="64"/>
    <n v="23"/>
    <s v="2012"/>
    <n v="3"/>
    <x v="0"/>
    <n v="41"/>
    <n v="1.7826086956521738"/>
  </r>
  <r>
    <s v="1189"/>
    <x v="1192"/>
    <n v="14200000"/>
    <x v="9"/>
    <n v="348.60879999999997"/>
    <x v="0"/>
    <n v="60"/>
    <n v="5"/>
    <s v="2014"/>
    <n v="1"/>
    <x v="0"/>
    <n v="55"/>
    <n v="11"/>
  </r>
  <r>
    <s v="1190"/>
    <x v="1193"/>
    <n v="22300000"/>
    <x v="34"/>
    <n v="348.45659999999998"/>
    <x v="14"/>
    <n v="119"/>
    <n v="45"/>
    <s v="2012"/>
    <n v="2"/>
    <x v="0"/>
    <n v="74"/>
    <n v="1.6444444444444444"/>
  </r>
  <r>
    <s v="1191"/>
    <x v="1194"/>
    <n v="2900000"/>
    <x v="29"/>
    <n v="348.40010000000001"/>
    <x v="3"/>
    <n v="14"/>
    <n v="4"/>
    <s v="2012"/>
    <n v="2"/>
    <x v="0"/>
    <n v="10"/>
    <n v="2.5"/>
  </r>
  <r>
    <s v="1192"/>
    <x v="1195"/>
    <n v="12100000"/>
    <x v="2"/>
    <n v="348.29610000000002"/>
    <x v="5"/>
    <n v="18"/>
    <n v="3"/>
    <s v="2015"/>
    <n v="2"/>
    <x v="0"/>
    <n v="15"/>
    <n v="5"/>
  </r>
  <r>
    <s v="1193"/>
    <x v="1196"/>
    <n v="26600000"/>
    <x v="2"/>
    <n v="347.05079999999998"/>
    <x v="19"/>
    <n v="28"/>
    <n v="8"/>
    <s v="2015"/>
    <n v="1"/>
    <x v="0"/>
    <n v="20"/>
    <n v="2.5"/>
  </r>
  <r>
    <s v="1194"/>
    <x v="1197"/>
    <n v="12300000"/>
    <x v="2"/>
    <n v="346.72210000000001"/>
    <x v="17"/>
    <n v="128"/>
    <n v="5"/>
    <s v="2008"/>
    <n v="3"/>
    <x v="0"/>
    <n v="123"/>
    <n v="24.6"/>
  </r>
  <r>
    <s v="1195"/>
    <x v="1198"/>
    <n v="243800000"/>
    <x v="2"/>
    <n v="345.82119999999998"/>
    <x v="23"/>
    <n v="30"/>
    <n v="10"/>
    <s v="2009"/>
    <n v="9"/>
    <x v="0"/>
    <n v="20"/>
    <n v="2"/>
  </r>
  <r>
    <s v="1196"/>
    <x v="1199"/>
    <n v="13300000"/>
    <x v="9"/>
    <n v="345.53199999999998"/>
    <x v="9"/>
    <n v="135"/>
    <n v="31"/>
    <s v="2010"/>
    <n v="2"/>
    <x v="0"/>
    <n v="104"/>
    <n v="3.3548387096774195"/>
  </r>
  <r>
    <s v="1197"/>
    <x v="1200"/>
    <n v="93900000"/>
    <x v="9"/>
    <n v="345.47390000000001"/>
    <x v="11"/>
    <n v="470"/>
    <n v="101"/>
    <s v="2006"/>
    <n v="1"/>
    <x v="0"/>
    <n v="369"/>
    <n v="3.6534653465346536"/>
  </r>
  <r>
    <s v="1198"/>
    <x v="1201"/>
    <n v="12400000"/>
    <x v="1"/>
    <n v="345.23070000000001"/>
    <x v="9"/>
    <n v="114"/>
    <n v="76"/>
    <s v="2009"/>
    <n v="1"/>
    <x v="0"/>
    <n v="38"/>
    <n v="0.5"/>
  </r>
  <r>
    <s v="1199"/>
    <x v="1202"/>
    <n v="2600000"/>
    <x v="17"/>
    <n v="344.94159999999999"/>
    <x v="3"/>
    <n v="7"/>
    <n v="2"/>
    <s v="2012"/>
    <n v="1"/>
    <x v="0"/>
    <n v="5"/>
    <n v="2.5"/>
  </r>
  <r>
    <s v="1200"/>
    <x v="1203"/>
    <n v="6300000"/>
    <x v="2"/>
    <n v="344.65159999999997"/>
    <x v="0"/>
    <n v="78"/>
    <n v="21"/>
    <s v="2005"/>
    <n v="3"/>
    <x v="0"/>
    <n v="57"/>
    <n v="2.7142857142857144"/>
  </r>
  <r>
    <s v="1201"/>
    <x v="1204"/>
    <n v="2700000"/>
    <x v="12"/>
    <n v="343.9375"/>
    <x v="0"/>
    <n v="12"/>
    <n v="7"/>
    <s v="2013"/>
    <n v="3"/>
    <x v="0"/>
    <n v="5"/>
    <n v="0.7142857142857143"/>
  </r>
  <r>
    <s v="1202"/>
    <x v="1205"/>
    <n v="2400000"/>
    <x v="16"/>
    <n v="343.089"/>
    <x v="23"/>
    <n v="22"/>
    <n v="2"/>
    <s v="2015"/>
    <n v="1"/>
    <x v="0"/>
    <n v="20"/>
    <n v="10"/>
  </r>
  <r>
    <s v="1203"/>
    <x v="1206"/>
    <n v="13700000"/>
    <x v="9"/>
    <n v="342.49090000000001"/>
    <x v="12"/>
    <n v="66"/>
    <n v="16"/>
    <s v="2013"/>
    <n v="1"/>
    <x v="0"/>
    <n v="50"/>
    <n v="3.125"/>
  </r>
  <r>
    <s v="1204"/>
    <x v="1207"/>
    <n v="4100000"/>
    <x v="7"/>
    <n v="340.36439999999999"/>
    <x v="11"/>
    <n v="28"/>
    <n v="15"/>
    <s v="2014"/>
    <n v="2"/>
    <x v="0"/>
    <n v="13"/>
    <n v="0.8666666666666667"/>
  </r>
  <r>
    <s v="1205"/>
    <x v="1208"/>
    <n v="4200000"/>
    <x v="33"/>
    <n v="339.95729999999998"/>
    <x v="11"/>
    <n v="42"/>
    <n v="11"/>
    <s v="2005"/>
    <n v="2"/>
    <x v="0"/>
    <n v="31"/>
    <n v="2.8181818181818183"/>
  </r>
  <r>
    <s v="1206"/>
    <x v="1209"/>
    <n v="31800000"/>
    <x v="45"/>
    <n v="339.226"/>
    <x v="7"/>
    <n v="130"/>
    <n v="20"/>
    <s v="2012"/>
    <n v="1"/>
    <x v="0"/>
    <n v="110"/>
    <n v="5.5"/>
  </r>
  <r>
    <s v="1207"/>
    <x v="1210"/>
    <n v="16700000"/>
    <x v="9"/>
    <n v="339.09649999999999"/>
    <x v="4"/>
    <n v="49"/>
    <n v="20"/>
    <s v="2012"/>
    <n v="3"/>
    <x v="0"/>
    <n v="29"/>
    <n v="1.45"/>
  </r>
  <r>
    <s v="1208"/>
    <x v="1211"/>
    <n v="68000000"/>
    <x v="11"/>
    <n v="339.00630000000001"/>
    <x v="23"/>
    <n v="139"/>
    <n v="51"/>
    <s v="2001"/>
    <n v="4"/>
    <x v="0"/>
    <n v="88"/>
    <n v="1.7254901960784315"/>
  </r>
  <r>
    <s v="1209"/>
    <x v="1212"/>
    <n v="24600000"/>
    <x v="33"/>
    <n v="338.93509999999998"/>
    <x v="0"/>
    <n v="37"/>
    <n v="43"/>
    <s v="2003"/>
    <n v="4"/>
    <x v="1"/>
    <n v="-6"/>
    <n v="-0.13953488372093023"/>
  </r>
  <r>
    <s v="1210"/>
    <x v="1213"/>
    <n v="10700000"/>
    <x v="2"/>
    <n v="338.79880000000003"/>
    <x v="21"/>
    <n v="7"/>
    <n v="4"/>
    <s v="2009"/>
    <n v="1"/>
    <x v="0"/>
    <n v="3"/>
    <n v="0.75"/>
  </r>
  <r>
    <s v="1211"/>
    <x v="1214"/>
    <n v="5100000"/>
    <x v="42"/>
    <n v="338.65780000000001"/>
    <x v="15"/>
    <n v="22"/>
    <n v="2"/>
    <s v="2012"/>
    <n v="3"/>
    <x v="0"/>
    <n v="20"/>
    <n v="10"/>
  </r>
  <r>
    <s v="1212"/>
    <x v="1215"/>
    <n v="20400000"/>
    <x v="9"/>
    <n v="338.41629999999998"/>
    <x v="2"/>
    <n v="1100"/>
    <n v="200"/>
    <s v="2013"/>
    <n v="2"/>
    <x v="0"/>
    <n v="900"/>
    <n v="4.5"/>
  </r>
  <r>
    <s v="1213"/>
    <x v="1216"/>
    <n v="59800000"/>
    <x v="5"/>
    <n v="337.99209999999999"/>
    <x v="3"/>
    <n v="40"/>
    <n v="4"/>
    <s v="2011"/>
    <n v="3"/>
    <x v="0"/>
    <n v="36"/>
    <n v="9"/>
  </r>
  <r>
    <s v="1214"/>
    <x v="1217"/>
    <n v="7000000"/>
    <x v="5"/>
    <n v="337.95409999999998"/>
    <x v="13"/>
    <n v="51"/>
    <n v="18"/>
    <s v="2013"/>
    <n v="1"/>
    <x v="0"/>
    <n v="33"/>
    <n v="1.8333333333333333"/>
  </r>
  <r>
    <s v="1215"/>
    <x v="1218"/>
    <n v="2700000"/>
    <x v="5"/>
    <n v="337.43770000000001"/>
    <x v="3"/>
    <n v="8"/>
    <n v="3"/>
    <s v="2010"/>
    <n v="1"/>
    <x v="0"/>
    <n v="5"/>
    <n v="1.6666666666666667"/>
  </r>
  <r>
    <s v="1216"/>
    <x v="1219"/>
    <n v="2100000"/>
    <x v="27"/>
    <n v="337.20979999999997"/>
    <x v="12"/>
    <n v="12"/>
    <n v="5"/>
    <s v="2012"/>
    <n v="1"/>
    <x v="0"/>
    <n v="7"/>
    <n v="1.4"/>
  </r>
  <r>
    <s v="1217"/>
    <x v="1220"/>
    <n v="69400000"/>
    <x v="9"/>
    <n v="337.20800000000003"/>
    <x v="10"/>
    <n v="497"/>
    <n v="63"/>
    <s v="2009"/>
    <n v="4"/>
    <x v="0"/>
    <n v="434"/>
    <n v="6.8888888888888893"/>
  </r>
  <r>
    <s v="1218"/>
    <x v="1221"/>
    <n v="19900000"/>
    <x v="11"/>
    <n v="337.03289999999998"/>
    <x v="9"/>
    <n v="40"/>
    <n v="14"/>
    <s v="2008"/>
    <n v="3"/>
    <x v="0"/>
    <n v="26"/>
    <n v="1.8571428571428572"/>
  </r>
  <r>
    <s v="1219"/>
    <x v="1222"/>
    <n v="13500000"/>
    <x v="8"/>
    <n v="336.83730000000003"/>
    <x v="7"/>
    <n v="86"/>
    <n v="22"/>
    <s v="2014"/>
    <n v="1"/>
    <x v="0"/>
    <n v="64"/>
    <n v="2.9090909090909092"/>
  </r>
  <r>
    <s v="1220"/>
    <x v="1223"/>
    <n v="5100000"/>
    <x v="2"/>
    <n v="336.75479999999999"/>
    <x v="9"/>
    <n v="22"/>
    <n v="9"/>
    <s v="2009"/>
    <n v="2"/>
    <x v="0"/>
    <n v="13"/>
    <n v="1.4444444444444444"/>
  </r>
  <r>
    <s v="1221"/>
    <x v="1224"/>
    <n v="11800000"/>
    <x v="16"/>
    <n v="336.71679999999998"/>
    <x v="9"/>
    <n v="100"/>
    <n v="80"/>
    <s v="2007"/>
    <n v="1"/>
    <x v="0"/>
    <n v="20"/>
    <n v="0.25"/>
  </r>
  <r>
    <s v="1222"/>
    <x v="1225"/>
    <n v="56000000"/>
    <x v="24"/>
    <n v="336.67039999999997"/>
    <x v="25"/>
    <n v="247"/>
    <n v="126"/>
    <s v="2000"/>
    <n v="3"/>
    <x v="0"/>
    <n v="121"/>
    <n v="0.96031746031746035"/>
  </r>
  <r>
    <s v="1223"/>
    <x v="1226"/>
    <n v="36200000"/>
    <x v="6"/>
    <n v="336.38290000000001"/>
    <x v="0"/>
    <n v="25"/>
    <n v="16"/>
    <s v="2012"/>
    <n v="3"/>
    <x v="0"/>
    <n v="9"/>
    <n v="0.5625"/>
  </r>
  <r>
    <s v="1224"/>
    <x v="1227"/>
    <n v="9500000"/>
    <x v="9"/>
    <n v="336.19229999999999"/>
    <x v="10"/>
    <n v="4"/>
    <n v="3"/>
    <s v="2007"/>
    <n v="5"/>
    <x v="0"/>
    <n v="1"/>
    <n v="0.33333333333333331"/>
  </r>
  <r>
    <s v="1225"/>
    <x v="1228"/>
    <n v="6300000"/>
    <x v="46"/>
    <n v="335.94510000000002"/>
    <x v="0"/>
    <n v="19"/>
    <n v="5"/>
    <s v="2010"/>
    <n v="2"/>
    <x v="0"/>
    <n v="14"/>
    <n v="2.8"/>
  </r>
  <r>
    <s v="1226"/>
    <x v="1229"/>
    <n v="3400000"/>
    <x v="24"/>
    <n v="335.30059999999997"/>
    <x v="0"/>
    <n v="54"/>
    <n v="19"/>
    <s v="2014"/>
    <n v="1"/>
    <x v="0"/>
    <n v="35"/>
    <n v="1.8421052631578947"/>
  </r>
  <r>
    <s v="1227"/>
    <x v="1230"/>
    <n v="3000000"/>
    <x v="9"/>
    <n v="334.99759999999998"/>
    <x v="15"/>
    <n v="24"/>
    <n v="6"/>
    <s v="2012"/>
    <n v="1"/>
    <x v="0"/>
    <n v="18"/>
    <n v="3"/>
  </r>
  <r>
    <s v="1228"/>
    <x v="1231"/>
    <n v="2400000"/>
    <x v="2"/>
    <n v="334.33620000000002"/>
    <x v="10"/>
    <n v="6"/>
    <n v="2"/>
    <s v="2011"/>
    <n v="1"/>
    <x v="0"/>
    <n v="4"/>
    <n v="2"/>
  </r>
  <r>
    <s v="1229"/>
    <x v="1232"/>
    <n v="41300000"/>
    <x v="24"/>
    <n v="334.2713"/>
    <x v="0"/>
    <n v="1382"/>
    <n v="125"/>
    <s v="2007"/>
    <n v="6"/>
    <x v="0"/>
    <n v="1257"/>
    <n v="10.055999999999999"/>
  </r>
  <r>
    <s v="1230"/>
    <x v="1233"/>
    <n v="5300000"/>
    <x v="9"/>
    <n v="333.97789999999998"/>
    <x v="3"/>
    <n v="16"/>
    <n v="3"/>
    <s v="2012"/>
    <n v="1"/>
    <x v="0"/>
    <n v="13"/>
    <n v="4.333333333333333"/>
  </r>
  <r>
    <s v="1231"/>
    <x v="1234"/>
    <n v="25200000"/>
    <x v="27"/>
    <n v="333.95249999999999"/>
    <x v="24"/>
    <n v="1400"/>
    <n v="280"/>
    <s v="2011"/>
    <n v="4"/>
    <x v="0"/>
    <n v="1120"/>
    <n v="4"/>
  </r>
  <r>
    <s v="1232"/>
    <x v="1235"/>
    <n v="2700000"/>
    <x v="9"/>
    <n v="333.93650000000002"/>
    <x v="3"/>
    <n v="13"/>
    <n v="4"/>
    <s v="2012"/>
    <n v="1"/>
    <x v="0"/>
    <n v="9"/>
    <n v="2.25"/>
  </r>
  <r>
    <s v="1233"/>
    <x v="1236"/>
    <n v="4300000"/>
    <x v="8"/>
    <n v="333.93639999999999"/>
    <x v="19"/>
    <n v="15"/>
    <n v="10"/>
    <s v="2012"/>
    <n v="1"/>
    <x v="0"/>
    <n v="5"/>
    <n v="0.5"/>
  </r>
  <r>
    <s v="1234"/>
    <x v="1237"/>
    <n v="3900000"/>
    <x v="15"/>
    <n v="333.89449999999999"/>
    <x v="9"/>
    <n v="15"/>
    <n v="4"/>
    <s v="2014"/>
    <n v="2"/>
    <x v="0"/>
    <n v="11"/>
    <n v="2.75"/>
  </r>
  <r>
    <s v="1235"/>
    <x v="1238"/>
    <n v="5300000"/>
    <x v="40"/>
    <n v="333.31270000000001"/>
    <x v="9"/>
    <n v="19"/>
    <n v="5"/>
    <s v="2013"/>
    <n v="2"/>
    <x v="0"/>
    <n v="14"/>
    <n v="2.8"/>
  </r>
  <r>
    <s v="1236"/>
    <x v="1239"/>
    <n v="2500000"/>
    <x v="10"/>
    <n v="333.16969999999998"/>
    <x v="0"/>
    <n v="20"/>
    <n v="9"/>
    <s v="2014"/>
    <n v="2"/>
    <x v="0"/>
    <n v="11"/>
    <n v="1.2222222222222223"/>
  </r>
  <r>
    <s v="1237"/>
    <x v="1240"/>
    <n v="3300000"/>
    <x v="42"/>
    <n v="333.02539999999999"/>
    <x v="15"/>
    <n v="15"/>
    <n v="3"/>
    <s v="2008"/>
    <n v="2"/>
    <x v="0"/>
    <n v="12"/>
    <n v="4"/>
  </r>
  <r>
    <s v="1238"/>
    <x v="1241"/>
    <n v="10200000"/>
    <x v="9"/>
    <n v="332.88240000000002"/>
    <x v="23"/>
    <n v="30"/>
    <n v="7"/>
    <s v="2014"/>
    <n v="2"/>
    <x v="0"/>
    <n v="23"/>
    <n v="3.2857142857142856"/>
  </r>
  <r>
    <s v="1239"/>
    <x v="1242"/>
    <n v="2300000"/>
    <x v="9"/>
    <n v="332.6995"/>
    <x v="0"/>
    <n v="29"/>
    <n v="7"/>
    <s v="2012"/>
    <n v="1"/>
    <x v="0"/>
    <n v="22"/>
    <n v="3.1428571428571428"/>
  </r>
  <r>
    <s v="1240"/>
    <x v="1243"/>
    <n v="50300000"/>
    <x v="7"/>
    <n v="332.64850000000001"/>
    <x v="16"/>
    <n v="250"/>
    <n v="84"/>
    <s v="2010"/>
    <n v="4"/>
    <x v="0"/>
    <n v="166"/>
    <n v="1.9761904761904763"/>
  </r>
  <r>
    <s v="1241"/>
    <x v="1244"/>
    <n v="23600000"/>
    <x v="34"/>
    <n v="332.55419999999998"/>
    <x v="11"/>
    <n v="200"/>
    <n v="45"/>
    <s v="2004"/>
    <n v="2"/>
    <x v="0"/>
    <n v="155"/>
    <n v="3.4444444444444446"/>
  </r>
  <r>
    <s v="1242"/>
    <x v="1245"/>
    <n v="24200000"/>
    <x v="27"/>
    <n v="332.36680000000001"/>
    <x v="23"/>
    <n v="680"/>
    <n v="120"/>
    <s v="2001"/>
    <n v="2"/>
    <x v="0"/>
    <n v="560"/>
    <n v="4.666666666666667"/>
  </r>
  <r>
    <s v="1243"/>
    <x v="1246"/>
    <n v="24800000"/>
    <x v="9"/>
    <n v="331.94830000000002"/>
    <x v="19"/>
    <n v="250"/>
    <n v="57"/>
    <s v="2010"/>
    <n v="4"/>
    <x v="0"/>
    <n v="193"/>
    <n v="3.3859649122807016"/>
  </r>
  <r>
    <s v="1244"/>
    <x v="1247"/>
    <n v="18300000"/>
    <x v="2"/>
    <n v="331.77010000000001"/>
    <x v="11"/>
    <n v="170"/>
    <n v="35"/>
    <s v="2008"/>
    <n v="5"/>
    <x v="0"/>
    <n v="135"/>
    <n v="3.8571428571428572"/>
  </r>
  <r>
    <s v="1245"/>
    <x v="1248"/>
    <n v="7500000"/>
    <x v="5"/>
    <n v="331.46339999999998"/>
    <x v="4"/>
    <n v="17"/>
    <n v="3"/>
    <s v="2012"/>
    <n v="2"/>
    <x v="0"/>
    <n v="14"/>
    <n v="4.666666666666667"/>
  </r>
  <r>
    <s v="1246"/>
    <x v="1249"/>
    <n v="12400000"/>
    <x v="9"/>
    <n v="331.29520000000002"/>
    <x v="0"/>
    <n v="123"/>
    <n v="100"/>
    <s v="1982"/>
    <n v="3"/>
    <x v="0"/>
    <n v="23"/>
    <n v="0.23"/>
  </r>
  <r>
    <s v="1247"/>
    <x v="1250"/>
    <n v="7700000"/>
    <x v="22"/>
    <n v="331.20350000000002"/>
    <x v="19"/>
    <n v="44"/>
    <n v="8"/>
    <s v="2013"/>
    <n v="1"/>
    <x v="0"/>
    <n v="36"/>
    <n v="4.5"/>
  </r>
  <r>
    <s v="1248"/>
    <x v="1251"/>
    <n v="2100000"/>
    <x v="28"/>
    <n v="331.1737"/>
    <x v="19"/>
    <n v="7"/>
    <n v="2"/>
    <s v="2013"/>
    <n v="1"/>
    <x v="0"/>
    <n v="5"/>
    <n v="2.5"/>
  </r>
  <r>
    <s v="1249"/>
    <x v="1252"/>
    <n v="6800000"/>
    <x v="40"/>
    <n v="330.79160000000002"/>
    <x v="2"/>
    <n v="6"/>
    <n v="4"/>
    <s v="2012"/>
    <n v="1"/>
    <x v="0"/>
    <n v="2"/>
    <n v="0.5"/>
  </r>
  <r>
    <s v="1250"/>
    <x v="1253"/>
    <n v="8500000"/>
    <x v="13"/>
    <n v="330.30579999999998"/>
    <x v="0"/>
    <n v="30"/>
    <n v="15"/>
    <s v="2009"/>
    <n v="5"/>
    <x v="0"/>
    <n v="15"/>
    <n v="1"/>
  </r>
  <r>
    <s v="1251"/>
    <x v="1254"/>
    <n v="10400000"/>
    <x v="7"/>
    <n v="330.06810000000002"/>
    <x v="5"/>
    <n v="70"/>
    <n v="15"/>
    <s v="2013"/>
    <n v="2"/>
    <x v="0"/>
    <n v="55"/>
    <n v="3.6666666666666665"/>
  </r>
  <r>
    <s v="1252"/>
    <x v="1255"/>
    <n v="8200000"/>
    <x v="9"/>
    <n v="329.9085"/>
    <x v="5"/>
    <n v="43"/>
    <n v="15"/>
    <s v="2011"/>
    <n v="4"/>
    <x v="0"/>
    <n v="28"/>
    <n v="1.8666666666666667"/>
  </r>
  <r>
    <s v="1253"/>
    <x v="1256"/>
    <n v="10500000"/>
    <x v="9"/>
    <n v="329.17259999999999"/>
    <x v="3"/>
    <n v="16"/>
    <n v="1"/>
    <s v="2014"/>
    <n v="1"/>
    <x v="0"/>
    <n v="15"/>
    <n v="15"/>
  </r>
  <r>
    <s v="1254"/>
    <x v="1257"/>
    <n v="9300000"/>
    <x v="34"/>
    <n v="329.16590000000002"/>
    <x v="11"/>
    <n v="82"/>
    <n v="16"/>
    <s v="1997"/>
    <n v="2"/>
    <x v="0"/>
    <n v="66"/>
    <n v="4.125"/>
  </r>
  <r>
    <s v="1255"/>
    <x v="1258"/>
    <n v="5800000"/>
    <x v="2"/>
    <n v="328.779"/>
    <x v="9"/>
    <n v="55"/>
    <n v="11"/>
    <s v="2012"/>
    <n v="3"/>
    <x v="0"/>
    <n v="44"/>
    <n v="4"/>
  </r>
  <r>
    <s v="1256"/>
    <x v="1259"/>
    <n v="9700000"/>
    <x v="0"/>
    <n v="328.65039999999999"/>
    <x v="20"/>
    <n v="1716"/>
    <n v="695"/>
    <s v="2013"/>
    <n v="2"/>
    <x v="0"/>
    <n v="1021"/>
    <n v="1.469064748201439"/>
  </r>
  <r>
    <s v="1257"/>
    <x v="1260"/>
    <n v="101600000"/>
    <x v="10"/>
    <n v="328.55810000000002"/>
    <x v="24"/>
    <n v="1420"/>
    <n v="620"/>
    <s v="2008"/>
    <n v="4"/>
    <x v="0"/>
    <n v="800"/>
    <n v="1.2903225806451613"/>
  </r>
  <r>
    <s v="1258"/>
    <x v="1261"/>
    <n v="3500000"/>
    <x v="0"/>
    <n v="328.33429999999998"/>
    <x v="16"/>
    <n v="25"/>
    <n v="6"/>
    <s v="2014"/>
    <n v="1"/>
    <x v="0"/>
    <n v="19"/>
    <n v="3.1666666666666665"/>
  </r>
  <r>
    <s v="1259"/>
    <x v="1262"/>
    <n v="5300000"/>
    <x v="44"/>
    <n v="328.31310000000002"/>
    <x v="12"/>
    <n v="36"/>
    <n v="12"/>
    <s v="1996"/>
    <n v="1"/>
    <x v="0"/>
    <n v="24"/>
    <n v="2"/>
  </r>
  <r>
    <s v="1260"/>
    <x v="1263"/>
    <n v="12300000"/>
    <x v="9"/>
    <n v="327.68439999999998"/>
    <x v="4"/>
    <n v="48"/>
    <n v="15"/>
    <s v="2007"/>
    <n v="4"/>
    <x v="0"/>
    <n v="33"/>
    <n v="2.2000000000000002"/>
  </r>
  <r>
    <s v="1261"/>
    <x v="1264"/>
    <n v="2100000"/>
    <x v="19"/>
    <n v="327.4785"/>
    <x v="5"/>
    <n v="25"/>
    <n v="3"/>
    <s v="1962"/>
    <n v="1"/>
    <x v="0"/>
    <n v="22"/>
    <n v="7.333333333333333"/>
  </r>
  <r>
    <s v="1262"/>
    <x v="1265"/>
    <n v="6000000"/>
    <x v="4"/>
    <n v="327.4049"/>
    <x v="17"/>
    <n v="75"/>
    <n v="10"/>
    <s v="2008"/>
    <n v="2"/>
    <x v="0"/>
    <n v="65"/>
    <n v="6.5"/>
  </r>
  <r>
    <s v="1263"/>
    <x v="1266"/>
    <n v="20200000"/>
    <x v="5"/>
    <n v="326.8245"/>
    <x v="5"/>
    <n v="105"/>
    <n v="7"/>
    <s v="2014"/>
    <n v="2"/>
    <x v="0"/>
    <n v="98"/>
    <n v="14"/>
  </r>
  <r>
    <s v="1264"/>
    <x v="1267"/>
    <n v="7600000"/>
    <x v="9"/>
    <n v="326.81119999999999"/>
    <x v="15"/>
    <n v="20"/>
    <n v="2"/>
    <s v="2012"/>
    <n v="2"/>
    <x v="0"/>
    <n v="18"/>
    <n v="9"/>
  </r>
  <r>
    <s v="1265"/>
    <x v="1268"/>
    <n v="2400000"/>
    <x v="9"/>
    <n v="326.74770000000001"/>
    <x v="9"/>
    <n v="14"/>
    <n v="5"/>
    <s v="2014"/>
    <n v="1"/>
    <x v="0"/>
    <n v="9"/>
    <n v="1.8"/>
  </r>
  <r>
    <s v="1266"/>
    <x v="1269"/>
    <n v="130400000"/>
    <x v="12"/>
    <n v="325.05529999999999"/>
    <x v="1"/>
    <n v="211"/>
    <n v="49"/>
    <s v="2007"/>
    <n v="4"/>
    <x v="0"/>
    <n v="162"/>
    <n v="3.306122448979592"/>
  </r>
  <r>
    <s v="1267"/>
    <x v="1270"/>
    <n v="19400000"/>
    <x v="16"/>
    <n v="325.00920000000002"/>
    <x v="9"/>
    <n v="45"/>
    <n v="15"/>
    <s v="2001"/>
    <n v="1"/>
    <x v="0"/>
    <n v="30"/>
    <n v="2"/>
  </r>
  <r>
    <s v="1268"/>
    <x v="1271"/>
    <n v="3100000"/>
    <x v="36"/>
    <n v="324.93040000000002"/>
    <x v="3"/>
    <n v="46"/>
    <n v="7"/>
    <s v="2015"/>
    <n v="1"/>
    <x v="0"/>
    <n v="39"/>
    <n v="5.5714285714285712"/>
  </r>
  <r>
    <s v="1269"/>
    <x v="1272"/>
    <n v="40500000"/>
    <x v="0"/>
    <n v="324.9178"/>
    <x v="10"/>
    <n v="136"/>
    <n v="19"/>
    <s v="2014"/>
    <n v="1"/>
    <x v="0"/>
    <n v="117"/>
    <n v="6.1578947368421053"/>
  </r>
  <r>
    <s v="1270"/>
    <x v="1273"/>
    <n v="52200000"/>
    <x v="27"/>
    <n v="324.88310000000001"/>
    <x v="23"/>
    <n v="30"/>
    <n v="20"/>
    <s v="2001"/>
    <n v="3"/>
    <x v="0"/>
    <n v="10"/>
    <n v="0.5"/>
  </r>
  <r>
    <s v="1271"/>
    <x v="1274"/>
    <n v="21300000"/>
    <x v="21"/>
    <n v="324.50259999999997"/>
    <x v="11"/>
    <n v="75"/>
    <n v="25"/>
    <s v="2006"/>
    <n v="5"/>
    <x v="0"/>
    <n v="50"/>
    <n v="2"/>
  </r>
  <r>
    <s v="1272"/>
    <x v="1275"/>
    <n v="2200000"/>
    <x v="22"/>
    <n v="324.36160000000001"/>
    <x v="0"/>
    <n v="25"/>
    <n v="6"/>
    <s v="2011"/>
    <n v="1"/>
    <x v="0"/>
    <n v="19"/>
    <n v="3.1666666666666665"/>
  </r>
  <r>
    <s v="1273"/>
    <x v="1276"/>
    <n v="8500000"/>
    <x v="4"/>
    <n v="324.3494"/>
    <x v="23"/>
    <n v="42"/>
    <n v="19"/>
    <s v="2004"/>
    <n v="2"/>
    <x v="0"/>
    <n v="23"/>
    <n v="1.2105263157894737"/>
  </r>
  <r>
    <s v="1274"/>
    <x v="1277"/>
    <n v="20300000"/>
    <x v="16"/>
    <n v="323.84559999999999"/>
    <x v="23"/>
    <n v="45"/>
    <n v="15"/>
    <s v="2012"/>
    <n v="3"/>
    <x v="0"/>
    <n v="30"/>
    <n v="2"/>
  </r>
  <r>
    <s v="1275"/>
    <x v="1278"/>
    <n v="8800000"/>
    <x v="16"/>
    <n v="323.7072"/>
    <x v="22"/>
    <n v="60"/>
    <n v="25"/>
    <s v="2013"/>
    <n v="3"/>
    <x v="0"/>
    <n v="35"/>
    <n v="1.4"/>
  </r>
  <r>
    <s v="1276"/>
    <x v="1279"/>
    <n v="4800000"/>
    <x v="11"/>
    <n v="323.09210000000002"/>
    <x v="9"/>
    <n v="15"/>
    <n v="3"/>
    <s v="2011"/>
    <n v="3"/>
    <x v="0"/>
    <n v="12"/>
    <n v="4"/>
  </r>
  <r>
    <s v="1277"/>
    <x v="1280"/>
    <n v="16000000"/>
    <x v="18"/>
    <n v="322.8211"/>
    <x v="15"/>
    <n v="123"/>
    <n v="33"/>
    <s v="1978"/>
    <n v="1"/>
    <x v="0"/>
    <n v="90"/>
    <n v="2.7272727272727271"/>
  </r>
  <r>
    <s v="1278"/>
    <x v="1281"/>
    <n v="14200000"/>
    <x v="18"/>
    <n v="321.45370000000003"/>
    <x v="15"/>
    <n v="29"/>
    <n v="14"/>
    <s v="2010"/>
    <n v="3"/>
    <x v="0"/>
    <n v="15"/>
    <n v="1.0714285714285714"/>
  </r>
  <r>
    <s v="1279"/>
    <x v="1282"/>
    <n v="5700000"/>
    <x v="21"/>
    <n v="321.17340000000002"/>
    <x v="23"/>
    <n v="57"/>
    <n v="14"/>
    <s v="2013"/>
    <n v="2"/>
    <x v="0"/>
    <n v="43"/>
    <n v="3.0714285714285716"/>
  </r>
  <r>
    <s v="1280"/>
    <x v="1283"/>
    <n v="2000000"/>
    <x v="22"/>
    <n v="321.1474"/>
    <x v="4"/>
    <n v="35"/>
    <n v="2"/>
    <s v="2012"/>
    <n v="1"/>
    <x v="0"/>
    <n v="33"/>
    <n v="16.5"/>
  </r>
  <r>
    <s v="1281"/>
    <x v="1284"/>
    <n v="3200000"/>
    <x v="22"/>
    <n v="320.88850000000002"/>
    <x v="23"/>
    <n v="12"/>
    <n v="5"/>
    <s v="2013"/>
    <n v="1"/>
    <x v="0"/>
    <n v="7"/>
    <n v="1.4"/>
  </r>
  <r>
    <s v="1282"/>
    <x v="1285"/>
    <n v="8700000"/>
    <x v="5"/>
    <n v="320.72460000000001"/>
    <x v="0"/>
    <n v="16"/>
    <n v="10"/>
    <s v="2003"/>
    <n v="4"/>
    <x v="0"/>
    <n v="6"/>
    <n v="0.6"/>
  </r>
  <r>
    <s v="1283"/>
    <x v="1286"/>
    <n v="4500000"/>
    <x v="6"/>
    <n v="320.64359999999999"/>
    <x v="7"/>
    <n v="22"/>
    <n v="15"/>
    <s v="2009"/>
    <n v="2"/>
    <x v="0"/>
    <n v="7"/>
    <n v="0.46666666666666667"/>
  </r>
  <r>
    <s v="1284"/>
    <x v="1287"/>
    <n v="6700000"/>
    <x v="24"/>
    <n v="320.14210000000003"/>
    <x v="0"/>
    <n v="44"/>
    <n v="5"/>
    <s v="2007"/>
    <n v="2"/>
    <x v="0"/>
    <n v="39"/>
    <n v="7.8"/>
  </r>
  <r>
    <s v="1285"/>
    <x v="1288"/>
    <n v="5900000"/>
    <x v="2"/>
    <n v="319.85669999999999"/>
    <x v="0"/>
    <n v="44"/>
    <n v="31"/>
    <s v="2014"/>
    <n v="2"/>
    <x v="0"/>
    <n v="13"/>
    <n v="0.41935483870967744"/>
  </r>
  <r>
    <s v="1286"/>
    <x v="1289"/>
    <n v="5000000"/>
    <x v="6"/>
    <n v="319.83609999999999"/>
    <x v="0"/>
    <n v="5"/>
    <n v="4"/>
    <s v="2011"/>
    <n v="1"/>
    <x v="0"/>
    <n v="1"/>
    <n v="0.25"/>
  </r>
  <r>
    <s v="1287"/>
    <x v="1290"/>
    <n v="6700000"/>
    <x v="4"/>
    <n v="319.13619999999997"/>
    <x v="17"/>
    <n v="2"/>
    <n v="2"/>
    <s v="2007"/>
    <n v="3"/>
    <x v="1"/>
    <n v="0"/>
    <n v="0"/>
  </r>
  <r>
    <s v="1288"/>
    <x v="1291"/>
    <n v="2100000"/>
    <x v="5"/>
    <n v="319.10570000000001"/>
    <x v="5"/>
    <n v="45"/>
    <n v="3"/>
    <s v="2014"/>
    <n v="3"/>
    <x v="0"/>
    <n v="42"/>
    <n v="14"/>
  </r>
  <r>
    <s v="1289"/>
    <x v="1292"/>
    <n v="26600000"/>
    <x v="18"/>
    <n v="318.97230000000002"/>
    <x v="15"/>
    <n v="75"/>
    <n v="23"/>
    <s v="2005"/>
    <n v="1"/>
    <x v="0"/>
    <n v="52"/>
    <n v="2.2608695652173911"/>
  </r>
  <r>
    <s v="1290"/>
    <x v="1293"/>
    <n v="8900000"/>
    <x v="13"/>
    <n v="318.79899999999998"/>
    <x v="9"/>
    <n v="29"/>
    <n v="11"/>
    <s v="2013"/>
    <n v="2"/>
    <x v="0"/>
    <n v="18"/>
    <n v="1.6363636363636365"/>
  </r>
  <r>
    <s v="1291"/>
    <x v="1294"/>
    <n v="130700000"/>
    <x v="2"/>
    <n v="318.50790000000001"/>
    <x v="3"/>
    <n v="71"/>
    <n v="39"/>
    <s v="2011"/>
    <n v="2"/>
    <x v="0"/>
    <n v="32"/>
    <n v="0.82051282051282048"/>
  </r>
  <r>
    <s v="1292"/>
    <x v="1295"/>
    <n v="4300000"/>
    <x v="8"/>
    <n v="318.4024"/>
    <x v="4"/>
    <n v="15"/>
    <n v="4"/>
    <s v="2013"/>
    <n v="2"/>
    <x v="0"/>
    <n v="11"/>
    <n v="2.75"/>
  </r>
  <r>
    <s v="1293"/>
    <x v="1296"/>
    <n v="2000000"/>
    <x v="13"/>
    <n v="317.80610000000001"/>
    <x v="23"/>
    <n v="12"/>
    <n v="6"/>
    <s v="2014"/>
    <n v="1"/>
    <x v="0"/>
    <n v="6"/>
    <n v="1"/>
  </r>
  <r>
    <s v="1294"/>
    <x v="1297"/>
    <n v="7600000"/>
    <x v="2"/>
    <n v="317.7998"/>
    <x v="13"/>
    <n v="16"/>
    <n v="10"/>
    <s v="2014"/>
    <n v="1"/>
    <x v="0"/>
    <n v="6"/>
    <n v="0.6"/>
  </r>
  <r>
    <s v="1295"/>
    <x v="1298"/>
    <n v="7000000"/>
    <x v="0"/>
    <n v="317.58370000000002"/>
    <x v="11"/>
    <n v="36"/>
    <n v="7"/>
    <s v="2009"/>
    <n v="2"/>
    <x v="0"/>
    <n v="29"/>
    <n v="4.1428571428571432"/>
  </r>
  <r>
    <s v="1296"/>
    <x v="1299"/>
    <n v="4000000"/>
    <x v="16"/>
    <n v="317.54309999999998"/>
    <x v="24"/>
    <n v="13"/>
    <n v="5"/>
    <s v="2014"/>
    <n v="2"/>
    <x v="0"/>
    <n v="8"/>
    <n v="1.6"/>
  </r>
  <r>
    <s v="1297"/>
    <x v="1300"/>
    <n v="5000000"/>
    <x v="5"/>
    <n v="317.4932"/>
    <x v="4"/>
    <n v="15"/>
    <n v="1"/>
    <s v="2013"/>
    <n v="2"/>
    <x v="0"/>
    <n v="14"/>
    <n v="14"/>
  </r>
  <r>
    <s v="1298"/>
    <x v="1301"/>
    <n v="6300000"/>
    <x v="45"/>
    <n v="317.08539999999999"/>
    <x v="4"/>
    <n v="3"/>
    <n v="2"/>
    <s v="2010"/>
    <n v="1"/>
    <x v="0"/>
    <n v="1"/>
    <n v="0.5"/>
  </r>
  <r>
    <s v="1299"/>
    <x v="1302"/>
    <n v="7500000"/>
    <x v="5"/>
    <n v="317.0849"/>
    <x v="5"/>
    <n v="61"/>
    <n v="23"/>
    <s v="2013"/>
    <n v="2"/>
    <x v="0"/>
    <n v="38"/>
    <n v="1.6521739130434783"/>
  </r>
  <r>
    <s v="1300"/>
    <x v="1303"/>
    <n v="8500000"/>
    <x v="2"/>
    <n v="316.67430000000002"/>
    <x v="5"/>
    <n v="36"/>
    <n v="25"/>
    <s v="2012"/>
    <n v="1"/>
    <x v="0"/>
    <n v="11"/>
    <n v="0.44"/>
  </r>
  <r>
    <s v="1301"/>
    <x v="1304"/>
    <n v="6900000"/>
    <x v="44"/>
    <n v="316.65699999999998"/>
    <x v="15"/>
    <n v="50"/>
    <n v="20"/>
    <s v="2013"/>
    <n v="3"/>
    <x v="0"/>
    <n v="30"/>
    <n v="1.5"/>
  </r>
  <r>
    <s v="1302"/>
    <x v="1305"/>
    <n v="45600000"/>
    <x v="1"/>
    <n v="316.28789999999998"/>
    <x v="1"/>
    <n v="75"/>
    <n v="26"/>
    <s v="2008"/>
    <n v="2"/>
    <x v="0"/>
    <n v="49"/>
    <n v="1.8846153846153846"/>
  </r>
  <r>
    <s v="1303"/>
    <x v="1306"/>
    <n v="9400000"/>
    <x v="32"/>
    <n v="315.83780000000002"/>
    <x v="4"/>
    <n v="34"/>
    <n v="8"/>
    <s v="2013"/>
    <n v="3"/>
    <x v="0"/>
    <n v="26"/>
    <n v="3.25"/>
  </r>
  <r>
    <s v="1304"/>
    <x v="1307"/>
    <n v="37800000"/>
    <x v="9"/>
    <n v="315.70819999999998"/>
    <x v="9"/>
    <n v="338"/>
    <n v="94"/>
    <s v="2011"/>
    <n v="3"/>
    <x v="0"/>
    <n v="244"/>
    <n v="2.5957446808510638"/>
  </r>
  <r>
    <s v="1305"/>
    <x v="1308"/>
    <n v="13900000"/>
    <x v="2"/>
    <n v="315.41239999999999"/>
    <x v="11"/>
    <n v="84"/>
    <n v="28"/>
    <s v="2009"/>
    <n v="2"/>
    <x v="0"/>
    <n v="56"/>
    <n v="2"/>
  </r>
  <r>
    <s v="1306"/>
    <x v="1309"/>
    <n v="145800000"/>
    <x v="5"/>
    <n v="315.06630000000001"/>
    <x v="23"/>
    <n v="4011"/>
    <n v="772"/>
    <s v="2000"/>
    <n v="4"/>
    <x v="0"/>
    <n v="3239"/>
    <n v="4.1955958549222796"/>
  </r>
  <r>
    <s v="1307"/>
    <x v="1310"/>
    <n v="35900000"/>
    <x v="4"/>
    <n v="314.98419999999999"/>
    <x v="15"/>
    <n v="57"/>
    <n v="15"/>
    <s v="2012"/>
    <n v="4"/>
    <x v="0"/>
    <n v="42"/>
    <n v="2.8"/>
  </r>
  <r>
    <s v="1308"/>
    <x v="1311"/>
    <n v="3100000"/>
    <x v="23"/>
    <n v="314.7663"/>
    <x v="4"/>
    <n v="25"/>
    <n v="15"/>
    <s v="2013"/>
    <n v="2"/>
    <x v="0"/>
    <n v="10"/>
    <n v="0.66666666666666663"/>
  </r>
  <r>
    <s v="1309"/>
    <x v="1312"/>
    <n v="90100000"/>
    <x v="12"/>
    <n v="314.5068"/>
    <x v="0"/>
    <n v="508"/>
    <n v="128"/>
    <s v="2004"/>
    <n v="7"/>
    <x v="0"/>
    <n v="380"/>
    <n v="2.96875"/>
  </r>
  <r>
    <s v="1310"/>
    <x v="1313"/>
    <n v="2000000"/>
    <x v="22"/>
    <n v="314.4348"/>
    <x v="1"/>
    <n v="10"/>
    <n v="1"/>
    <s v="2012"/>
    <n v="1"/>
    <x v="0"/>
    <n v="9"/>
    <n v="9"/>
  </r>
  <r>
    <s v="1311"/>
    <x v="1314"/>
    <n v="5900000"/>
    <x v="5"/>
    <n v="314.22390000000001"/>
    <x v="7"/>
    <n v="50"/>
    <n v="7"/>
    <s v="2011"/>
    <n v="1"/>
    <x v="0"/>
    <n v="43"/>
    <n v="6.1428571428571432"/>
  </r>
  <r>
    <s v="1312"/>
    <x v="1315"/>
    <n v="3400000"/>
    <x v="18"/>
    <n v="314.15179999999998"/>
    <x v="9"/>
    <n v="125"/>
    <n v="95"/>
    <s v="2014"/>
    <n v="1"/>
    <x v="0"/>
    <n v="30"/>
    <n v="0.31578947368421051"/>
  </r>
  <r>
    <s v="1313"/>
    <x v="1316"/>
    <n v="6700000"/>
    <x v="9"/>
    <n v="313.84969999999998"/>
    <x v="2"/>
    <n v="26"/>
    <n v="6"/>
    <s v="2012"/>
    <n v="3"/>
    <x v="0"/>
    <n v="20"/>
    <n v="3.3333333333333335"/>
  </r>
  <r>
    <s v="1314"/>
    <x v="1317"/>
    <n v="811900000"/>
    <x v="13"/>
    <n v="313.5566"/>
    <x v="1"/>
    <n v="858"/>
    <n v="454"/>
    <s v="2005"/>
    <n v="5"/>
    <x v="0"/>
    <n v="404"/>
    <n v="0.88986784140969166"/>
  </r>
  <r>
    <s v="1315"/>
    <x v="1318"/>
    <n v="12700000"/>
    <x v="9"/>
    <n v="312.93849999999998"/>
    <x v="23"/>
    <n v="13"/>
    <n v="5"/>
    <s v="2013"/>
    <n v="2"/>
    <x v="0"/>
    <n v="8"/>
    <n v="1.6"/>
  </r>
  <r>
    <s v="1316"/>
    <x v="1319"/>
    <n v="3000000"/>
    <x v="10"/>
    <n v="312.40089999999998"/>
    <x v="15"/>
    <n v="25"/>
    <n v="7"/>
    <s v="1997"/>
    <n v="2"/>
    <x v="0"/>
    <n v="18"/>
    <n v="2.5714285714285716"/>
  </r>
  <r>
    <s v="1317"/>
    <x v="1320"/>
    <n v="5000000"/>
    <x v="18"/>
    <n v="312.26319999999998"/>
    <x v="12"/>
    <n v="26"/>
    <n v="5"/>
    <s v="2013"/>
    <n v="1"/>
    <x v="0"/>
    <n v="21"/>
    <n v="4.2"/>
  </r>
  <r>
    <s v="1318"/>
    <x v="1321"/>
    <n v="2500000"/>
    <x v="8"/>
    <n v="312.18779999999998"/>
    <x v="0"/>
    <n v="19"/>
    <n v="11"/>
    <s v="2008"/>
    <n v="1"/>
    <x v="0"/>
    <n v="8"/>
    <n v="0.72727272727272729"/>
  </r>
  <r>
    <s v="1319"/>
    <x v="1322"/>
    <n v="5600000"/>
    <x v="0"/>
    <n v="311.43200000000002"/>
    <x v="3"/>
    <n v="22"/>
    <n v="8"/>
    <s v="2013"/>
    <n v="2"/>
    <x v="0"/>
    <n v="14"/>
    <n v="1.75"/>
  </r>
  <r>
    <s v="1320"/>
    <x v="1323"/>
    <n v="3100000"/>
    <x v="5"/>
    <n v="311.34949999999998"/>
    <x v="23"/>
    <n v="8"/>
    <n v="2"/>
    <s v="2013"/>
    <n v="2"/>
    <x v="0"/>
    <n v="6"/>
    <n v="3"/>
  </r>
  <r>
    <s v="1321"/>
    <x v="1324"/>
    <n v="3100000"/>
    <x v="2"/>
    <n v="311.34859999999998"/>
    <x v="23"/>
    <n v="12"/>
    <n v="4"/>
    <s v="2008"/>
    <n v="2"/>
    <x v="0"/>
    <n v="8"/>
    <n v="2"/>
  </r>
  <r>
    <s v="1322"/>
    <x v="1325"/>
    <n v="2900000"/>
    <x v="2"/>
    <n v="311.2953"/>
    <x v="17"/>
    <n v="12"/>
    <n v="2"/>
    <s v="2012"/>
    <n v="2"/>
    <x v="0"/>
    <n v="10"/>
    <n v="5"/>
  </r>
  <r>
    <s v="1323"/>
    <x v="1326"/>
    <n v="3300000"/>
    <x v="8"/>
    <n v="311.09379999999999"/>
    <x v="19"/>
    <n v="22"/>
    <n v="6"/>
    <s v="2004"/>
    <n v="1"/>
    <x v="0"/>
    <n v="16"/>
    <n v="2.6666666666666665"/>
  </r>
  <r>
    <s v="1324"/>
    <x v="1327"/>
    <n v="58300000"/>
    <x v="7"/>
    <n v="310.86669999999998"/>
    <x v="0"/>
    <n v="57"/>
    <n v="24"/>
    <s v="2005"/>
    <n v="2"/>
    <x v="0"/>
    <n v="33"/>
    <n v="1.375"/>
  </r>
  <r>
    <s v="1325"/>
    <x v="1328"/>
    <n v="38900000"/>
    <x v="7"/>
    <n v="310.63920000000002"/>
    <x v="16"/>
    <n v="191"/>
    <n v="48"/>
    <s v="2006"/>
    <n v="1"/>
    <x v="0"/>
    <n v="143"/>
    <n v="2.9791666666666665"/>
  </r>
  <r>
    <s v="1326"/>
    <x v="1329"/>
    <n v="28800000"/>
    <x v="9"/>
    <n v="310.54590000000002"/>
    <x v="5"/>
    <n v="380"/>
    <n v="150"/>
    <s v="2012"/>
    <n v="4"/>
    <x v="0"/>
    <n v="230"/>
    <n v="1.5333333333333334"/>
  </r>
  <r>
    <s v="1327"/>
    <x v="1330"/>
    <n v="22300000"/>
    <x v="30"/>
    <n v="310.54480000000001"/>
    <x v="12"/>
    <n v="33"/>
    <n v="10"/>
    <s v="2006"/>
    <n v="1"/>
    <x v="0"/>
    <n v="23"/>
    <n v="2.2999999999999998"/>
  </r>
  <r>
    <s v="1328"/>
    <x v="1331"/>
    <n v="13100000"/>
    <x v="15"/>
    <n v="310.50549999999998"/>
    <x v="20"/>
    <n v="108"/>
    <n v="44"/>
    <s v="2013"/>
    <n v="4"/>
    <x v="0"/>
    <n v="64"/>
    <n v="1.4545454545454546"/>
  </r>
  <r>
    <s v="1329"/>
    <x v="1332"/>
    <n v="24200000"/>
    <x v="13"/>
    <n v="310.40170000000001"/>
    <x v="16"/>
    <n v="66"/>
    <n v="12"/>
    <s v="2012"/>
    <n v="4"/>
    <x v="0"/>
    <n v="54"/>
    <n v="4.5"/>
  </r>
  <r>
    <s v="1330"/>
    <x v="1333"/>
    <n v="13000000"/>
    <x v="11"/>
    <n v="310.11779999999999"/>
    <x v="17"/>
    <n v="60"/>
    <n v="30"/>
    <s v="2007"/>
    <n v="2"/>
    <x v="0"/>
    <n v="30"/>
    <n v="1"/>
  </r>
  <r>
    <s v="1331"/>
    <x v="1334"/>
    <n v="2500000"/>
    <x v="7"/>
    <n v="309.97219999999999"/>
    <x v="12"/>
    <n v="25"/>
    <n v="5"/>
    <s v="2011"/>
    <n v="1"/>
    <x v="0"/>
    <n v="20"/>
    <n v="4"/>
  </r>
  <r>
    <s v="1332"/>
    <x v="1335"/>
    <n v="2500000"/>
    <x v="5"/>
    <n v="309.69310000000002"/>
    <x v="23"/>
    <n v="6"/>
    <n v="4"/>
    <s v="1993"/>
    <n v="1"/>
    <x v="0"/>
    <n v="2"/>
    <n v="0.5"/>
  </r>
  <r>
    <s v="1333"/>
    <x v="1336"/>
    <n v="194100000"/>
    <x v="16"/>
    <n v="309.4015"/>
    <x v="0"/>
    <n v="14730"/>
    <n v="991"/>
    <s v="2011"/>
    <n v="3"/>
    <x v="0"/>
    <n v="13739"/>
    <n v="13.863773965691221"/>
  </r>
  <r>
    <s v="1334"/>
    <x v="1337"/>
    <n v="15600000"/>
    <x v="7"/>
    <n v="309.30919999999998"/>
    <x v="7"/>
    <n v="28"/>
    <n v="6"/>
    <s v="2012"/>
    <n v="2"/>
    <x v="0"/>
    <n v="22"/>
    <n v="3.6666666666666665"/>
  </r>
  <r>
    <s v="1335"/>
    <x v="1338"/>
    <n v="5200000"/>
    <x v="8"/>
    <n v="309.01440000000002"/>
    <x v="1"/>
    <n v="19"/>
    <n v="9"/>
    <s v="2012"/>
    <n v="2"/>
    <x v="0"/>
    <n v="10"/>
    <n v="1.1111111111111112"/>
  </r>
  <r>
    <s v="1336"/>
    <x v="1339"/>
    <n v="99700000"/>
    <x v="24"/>
    <n v="308.92610000000002"/>
    <x v="17"/>
    <n v="216"/>
    <n v="65"/>
    <s v="2013"/>
    <n v="2"/>
    <x v="0"/>
    <n v="151"/>
    <n v="2.3230769230769233"/>
  </r>
  <r>
    <s v="1337"/>
    <x v="1340"/>
    <n v="8400000"/>
    <x v="9"/>
    <n v="308.66699999999997"/>
    <x v="12"/>
    <n v="12"/>
    <n v="5"/>
    <s v="2007"/>
    <n v="1"/>
    <x v="0"/>
    <n v="7"/>
    <n v="1.4"/>
  </r>
  <r>
    <s v="1338"/>
    <x v="1341"/>
    <n v="31500000"/>
    <x v="5"/>
    <n v="308.63990000000001"/>
    <x v="23"/>
    <n v="200"/>
    <n v="40"/>
    <s v="2009"/>
    <n v="3"/>
    <x v="0"/>
    <n v="160"/>
    <n v="4"/>
  </r>
  <r>
    <s v="1339"/>
    <x v="1342"/>
    <n v="35600000"/>
    <x v="1"/>
    <n v="308.46839999999997"/>
    <x v="1"/>
    <n v="17"/>
    <n v="8"/>
    <s v="2012"/>
    <n v="1"/>
    <x v="0"/>
    <n v="9"/>
    <n v="1.125"/>
  </r>
  <r>
    <s v="1340"/>
    <x v="1343"/>
    <n v="4100000"/>
    <x v="16"/>
    <n v="308.33870000000002"/>
    <x v="9"/>
    <n v="50"/>
    <n v="7"/>
    <s v="2005"/>
    <n v="1"/>
    <x v="0"/>
    <n v="43"/>
    <n v="6.1428571428571432"/>
  </r>
  <r>
    <s v="1341"/>
    <x v="1344"/>
    <n v="2700000"/>
    <x v="22"/>
    <n v="308.0838"/>
    <x v="0"/>
    <n v="22"/>
    <n v="8"/>
    <s v="2012"/>
    <n v="2"/>
    <x v="0"/>
    <n v="14"/>
    <n v="1.75"/>
  </r>
  <r>
    <s v="1341"/>
    <x v="1345"/>
    <n v="16800000"/>
    <x v="16"/>
    <n v="308.07330000000002"/>
    <x v="5"/>
    <n v="53"/>
    <n v="1"/>
    <s v="2012"/>
    <n v="4"/>
    <x v="0"/>
    <n v="52"/>
    <n v="52"/>
  </r>
  <r>
    <s v="1342"/>
    <x v="1346"/>
    <n v="8200000"/>
    <x v="16"/>
    <n v="307.55410000000001"/>
    <x v="0"/>
    <n v="63"/>
    <n v="30"/>
    <s v="2008"/>
    <n v="4"/>
    <x v="0"/>
    <n v="33"/>
    <n v="1.1000000000000001"/>
  </r>
  <r>
    <s v="1343"/>
    <x v="1347"/>
    <n v="24000000"/>
    <x v="5"/>
    <n v="307.505"/>
    <x v="12"/>
    <n v="101"/>
    <n v="36"/>
    <s v="1997"/>
    <n v="2"/>
    <x v="0"/>
    <n v="65"/>
    <n v="1.8055555555555556"/>
  </r>
  <r>
    <s v="1344"/>
    <x v="1348"/>
    <n v="10600000"/>
    <x v="9"/>
    <n v="307.4624"/>
    <x v="17"/>
    <n v="4"/>
    <n v="3"/>
    <s v="2010"/>
    <n v="2"/>
    <x v="0"/>
    <n v="1"/>
    <n v="0.33333333333333331"/>
  </r>
  <r>
    <s v="1345"/>
    <x v="1349"/>
    <n v="8800000"/>
    <x v="5"/>
    <n v="307.19260000000003"/>
    <x v="19"/>
    <n v="61"/>
    <n v="10"/>
    <s v="2002"/>
    <n v="3"/>
    <x v="0"/>
    <n v="51"/>
    <n v="5.0999999999999996"/>
  </r>
  <r>
    <s v="1346"/>
    <x v="1350"/>
    <n v="3800000"/>
    <x v="14"/>
    <n v="306.90989999999999"/>
    <x v="12"/>
    <n v="7"/>
    <n v="1"/>
    <s v="2013"/>
    <n v="1"/>
    <x v="0"/>
    <n v="6"/>
    <n v="6"/>
  </r>
  <r>
    <s v="1347"/>
    <x v="1351"/>
    <n v="4700000"/>
    <x v="42"/>
    <n v="306.41059999999999"/>
    <x v="9"/>
    <n v="24"/>
    <n v="4"/>
    <s v="2010"/>
    <n v="2"/>
    <x v="0"/>
    <n v="20"/>
    <n v="5"/>
  </r>
  <r>
    <s v="1348"/>
    <x v="1352"/>
    <n v="9700000"/>
    <x v="6"/>
    <n v="306.2176"/>
    <x v="19"/>
    <n v="80"/>
    <n v="20"/>
    <s v="2004"/>
    <n v="4"/>
    <x v="0"/>
    <n v="60"/>
    <n v="3"/>
  </r>
  <r>
    <s v="1349"/>
    <x v="1353"/>
    <n v="4400000"/>
    <x v="7"/>
    <n v="306.13440000000003"/>
    <x v="15"/>
    <n v="31"/>
    <n v="6"/>
    <s v="2013"/>
    <n v="2"/>
    <x v="0"/>
    <n v="25"/>
    <n v="4.166666666666667"/>
  </r>
  <r>
    <s v="1350"/>
    <x v="1354"/>
    <n v="2300000"/>
    <x v="26"/>
    <n v="306.03359999999998"/>
    <x v="10"/>
    <n v="8"/>
    <n v="3"/>
    <s v="2013"/>
    <n v="1"/>
    <x v="0"/>
    <n v="5"/>
    <n v="1.6666666666666667"/>
  </r>
  <r>
    <s v="1351"/>
    <x v="1355"/>
    <n v="69800000"/>
    <x v="22"/>
    <n v="305.96859999999998"/>
    <x v="8"/>
    <n v="86"/>
    <n v="34"/>
    <s v="2014"/>
    <n v="1"/>
    <x v="0"/>
    <n v="52"/>
    <n v="1.5294117647058822"/>
  </r>
  <r>
    <s v="1352"/>
    <x v="1356"/>
    <n v="2800000"/>
    <x v="9"/>
    <n v="305.9316"/>
    <x v="4"/>
    <n v="16"/>
    <n v="5"/>
    <s v="2014"/>
    <n v="1"/>
    <x v="0"/>
    <n v="11"/>
    <n v="2.2000000000000002"/>
  </r>
  <r>
    <s v="1353"/>
    <x v="1357"/>
    <n v="3200000"/>
    <x v="32"/>
    <n v="305.50259999999997"/>
    <x v="5"/>
    <n v="8"/>
    <n v="4"/>
    <s v="2015"/>
    <n v="1"/>
    <x v="0"/>
    <n v="4"/>
    <n v="1"/>
  </r>
  <r>
    <s v="1354"/>
    <x v="1358"/>
    <n v="21300000"/>
    <x v="19"/>
    <n v="305.4273"/>
    <x v="2"/>
    <n v="25"/>
    <n v="10"/>
    <s v="2007"/>
    <n v="1"/>
    <x v="0"/>
    <n v="15"/>
    <n v="1.5"/>
  </r>
  <r>
    <s v="1355"/>
    <x v="1359"/>
    <n v="23600000"/>
    <x v="37"/>
    <n v="305.32670000000002"/>
    <x v="14"/>
    <n v="117"/>
    <n v="23"/>
    <s v="2005"/>
    <n v="7"/>
    <x v="0"/>
    <n v="94"/>
    <n v="4.0869565217391308"/>
  </r>
  <r>
    <s v="1356"/>
    <x v="1360"/>
    <n v="3800000"/>
    <x v="2"/>
    <n v="305.25330000000002"/>
    <x v="3"/>
    <n v="32"/>
    <n v="3"/>
    <s v="2014"/>
    <n v="1"/>
    <x v="0"/>
    <n v="29"/>
    <n v="9.6666666666666661"/>
  </r>
  <r>
    <s v="1357"/>
    <x v="1361"/>
    <n v="10300000"/>
    <x v="12"/>
    <n v="305.2056"/>
    <x v="12"/>
    <n v="112"/>
    <n v="57"/>
    <s v="2011"/>
    <n v="2"/>
    <x v="0"/>
    <n v="55"/>
    <n v="0.96491228070175439"/>
  </r>
  <r>
    <s v="1358"/>
    <x v="1362"/>
    <n v="9900000"/>
    <x v="27"/>
    <n v="305.125"/>
    <x v="13"/>
    <n v="28"/>
    <n v="27"/>
    <s v="1976"/>
    <n v="3"/>
    <x v="0"/>
    <n v="1"/>
    <n v="3.7037037037037035E-2"/>
  </r>
  <r>
    <s v="1359"/>
    <x v="1363"/>
    <n v="20000000"/>
    <x v="8"/>
    <n v="305.11860000000001"/>
    <x v="1"/>
    <n v="46"/>
    <n v="11"/>
    <s v="2011"/>
    <n v="3"/>
    <x v="0"/>
    <n v="35"/>
    <n v="3.1818181818181817"/>
  </r>
  <r>
    <s v="1360"/>
    <x v="1364"/>
    <n v="3500000"/>
    <x v="9"/>
    <n v="304.61399999999998"/>
    <x v="6"/>
    <n v="2"/>
    <n v="1"/>
    <s v="2013"/>
    <n v="1"/>
    <x v="0"/>
    <n v="1"/>
    <n v="1"/>
  </r>
  <r>
    <s v="1361"/>
    <x v="1365"/>
    <n v="8100000"/>
    <x v="8"/>
    <n v="303.8537"/>
    <x v="18"/>
    <n v="64"/>
    <n v="21"/>
    <s v="2014"/>
    <n v="1"/>
    <x v="0"/>
    <n v="43"/>
    <n v="2.0476190476190474"/>
  </r>
  <r>
    <s v="1362"/>
    <x v="1366"/>
    <n v="35900000"/>
    <x v="27"/>
    <n v="303.39240000000001"/>
    <x v="5"/>
    <n v="330"/>
    <n v="60"/>
    <s v="2004"/>
    <n v="2"/>
    <x v="0"/>
    <n v="270"/>
    <n v="4.5"/>
  </r>
  <r>
    <s v="1363"/>
    <x v="1367"/>
    <n v="130700000"/>
    <x v="21"/>
    <n v="303.35789999999997"/>
    <x v="11"/>
    <n v="485"/>
    <n v="112"/>
    <s v="2005"/>
    <n v="9"/>
    <x v="0"/>
    <n v="373"/>
    <n v="3.3303571428571428"/>
  </r>
  <r>
    <s v="1364"/>
    <x v="1368"/>
    <n v="94400000"/>
    <x v="12"/>
    <n v="302.68450000000001"/>
    <x v="5"/>
    <n v="750"/>
    <n v="210"/>
    <s v="2010"/>
    <n v="3"/>
    <x v="0"/>
    <n v="540"/>
    <n v="2.5714285714285716"/>
  </r>
  <r>
    <s v="1365"/>
    <x v="1369"/>
    <n v="18100000"/>
    <x v="27"/>
    <n v="302.35899999999998"/>
    <x v="19"/>
    <n v="80"/>
    <n v="25"/>
    <s v="2010"/>
    <n v="4"/>
    <x v="0"/>
    <n v="55"/>
    <n v="2.2000000000000002"/>
  </r>
  <r>
    <s v="1366"/>
    <x v="1370"/>
    <n v="3100000"/>
    <x v="27"/>
    <n v="301.98110000000003"/>
    <x v="0"/>
    <n v="16"/>
    <n v="5"/>
    <s v="2013"/>
    <n v="2"/>
    <x v="0"/>
    <n v="11"/>
    <n v="2.2000000000000002"/>
  </r>
  <r>
    <s v="1367"/>
    <x v="1371"/>
    <n v="7500000"/>
    <x v="16"/>
    <n v="301.79689999999999"/>
    <x v="3"/>
    <n v="103"/>
    <n v="38"/>
    <s v="2003"/>
    <n v="3"/>
    <x v="0"/>
    <n v="65"/>
    <n v="1.7105263157894737"/>
  </r>
  <r>
    <s v="1368"/>
    <x v="1372"/>
    <n v="36200000"/>
    <x v="5"/>
    <n v="301.75490000000002"/>
    <x v="23"/>
    <n v="32"/>
    <n v="8"/>
    <s v="2013"/>
    <n v="2"/>
    <x v="0"/>
    <n v="24"/>
    <n v="3"/>
  </r>
  <r>
    <s v="1369"/>
    <x v="1373"/>
    <n v="2200000"/>
    <x v="2"/>
    <n v="301.41500000000002"/>
    <x v="6"/>
    <n v="10"/>
    <n v="3"/>
    <s v="2014"/>
    <n v="1"/>
    <x v="0"/>
    <n v="7"/>
    <n v="2.3333333333333335"/>
  </r>
  <r>
    <s v="1370"/>
    <x v="1374"/>
    <n v="30100000"/>
    <x v="7"/>
    <n v="301.27170000000001"/>
    <x v="2"/>
    <n v="825"/>
    <n v="300"/>
    <s v="2011"/>
    <n v="1"/>
    <x v="0"/>
    <n v="525"/>
    <n v="1.75"/>
  </r>
  <r>
    <s v="1371"/>
    <x v="1375"/>
    <n v="566000000"/>
    <x v="9"/>
    <n v="301.2226"/>
    <x v="5"/>
    <n v="779"/>
    <n v="243"/>
    <s v="2001"/>
    <n v="1"/>
    <x v="0"/>
    <n v="536"/>
    <n v="2.2057613168724282"/>
  </r>
  <r>
    <s v="1372"/>
    <x v="1376"/>
    <n v="44400000"/>
    <x v="22"/>
    <n v="301.17840000000001"/>
    <x v="5"/>
    <n v="161"/>
    <n v="87"/>
    <s v="2011"/>
    <n v="2"/>
    <x v="0"/>
    <n v="74"/>
    <n v="0.85057471264367812"/>
  </r>
  <r>
    <s v="1373"/>
    <x v="1377"/>
    <n v="3000000"/>
    <x v="12"/>
    <n v="300.8732"/>
    <x v="7"/>
    <n v="35"/>
    <n v="15"/>
    <s v="2012"/>
    <n v="2"/>
    <x v="0"/>
    <n v="20"/>
    <n v="1.3333333333333333"/>
  </r>
  <r>
    <s v="1374"/>
    <x v="1378"/>
    <n v="2200000"/>
    <x v="9"/>
    <n v="300.83580000000001"/>
    <x v="0"/>
    <n v="18"/>
    <n v="6"/>
    <s v="2014"/>
    <n v="1"/>
    <x v="0"/>
    <n v="12"/>
    <n v="2"/>
  </r>
  <r>
    <s v="1375"/>
    <x v="1379"/>
    <n v="6100000"/>
    <x v="13"/>
    <n v="300.529"/>
    <x v="15"/>
    <n v="6"/>
    <n v="3"/>
    <s v="1994"/>
    <n v="2"/>
    <x v="0"/>
    <n v="3"/>
    <n v="1"/>
  </r>
  <r>
    <s v="1376"/>
    <x v="1380"/>
    <n v="5700000"/>
    <x v="7"/>
    <n v="300.50839999999999"/>
    <x v="11"/>
    <n v="41"/>
    <n v="8"/>
    <s v="2010"/>
    <n v="2"/>
    <x v="0"/>
    <n v="33"/>
    <n v="4.125"/>
  </r>
  <r>
    <s v="1377"/>
    <x v="1381"/>
    <n v="14800000"/>
    <x v="13"/>
    <n v="300.2955"/>
    <x v="5"/>
    <n v="804"/>
    <n v="75"/>
    <s v="2010"/>
    <n v="1"/>
    <x v="0"/>
    <n v="729"/>
    <n v="9.7200000000000006"/>
  </r>
  <r>
    <s v="1378"/>
    <x v="1382"/>
    <n v="17000000"/>
    <x v="13"/>
    <n v="300.18599999999998"/>
    <x v="10"/>
    <n v="27"/>
    <n v="18"/>
    <s v="2011"/>
    <n v="3"/>
    <x v="0"/>
    <n v="9"/>
    <n v="0.5"/>
  </r>
  <r>
    <s v="1379"/>
    <x v="1383"/>
    <n v="3600000"/>
    <x v="23"/>
    <n v="300.03590000000003"/>
    <x v="16"/>
    <n v="31"/>
    <n v="6"/>
    <s v="2013"/>
    <n v="1"/>
    <x v="0"/>
    <n v="25"/>
    <n v="4.166666666666667"/>
  </r>
  <r>
    <s v="1380"/>
    <x v="1384"/>
    <n v="13900000"/>
    <x v="3"/>
    <n v="299.85250000000002"/>
    <x v="11"/>
    <n v="90"/>
    <n v="13"/>
    <s v="2008"/>
    <n v="1"/>
    <x v="0"/>
    <n v="77"/>
    <n v="5.9230769230769234"/>
  </r>
  <r>
    <s v="1381"/>
    <x v="1385"/>
    <n v="3300000"/>
    <x v="27"/>
    <n v="299.78930000000003"/>
    <x v="21"/>
    <n v="8"/>
    <n v="4"/>
    <s v="2014"/>
    <n v="1"/>
    <x v="0"/>
    <n v="4"/>
    <n v="1"/>
  </r>
  <r>
    <s v="1382"/>
    <x v="1386"/>
    <n v="24500000"/>
    <x v="11"/>
    <n v="299.5471"/>
    <x v="9"/>
    <n v="94"/>
    <n v="42"/>
    <s v="2009"/>
    <n v="4"/>
    <x v="0"/>
    <n v="52"/>
    <n v="1.2380952380952381"/>
  </r>
  <r>
    <s v="1383"/>
    <x v="1387"/>
    <n v="11200000"/>
    <x v="16"/>
    <n v="299.3963"/>
    <x v="7"/>
    <n v="53"/>
    <n v="15"/>
    <s v="2014"/>
    <n v="1"/>
    <x v="0"/>
    <n v="38"/>
    <n v="2.5333333333333332"/>
  </r>
  <r>
    <s v="1384"/>
    <x v="1388"/>
    <n v="127400000"/>
    <x v="12"/>
    <n v="299.16359999999997"/>
    <x v="0"/>
    <n v="433"/>
    <n v="172"/>
    <s v="2011"/>
    <n v="1"/>
    <x v="0"/>
    <n v="261"/>
    <n v="1.5174418604651163"/>
  </r>
  <r>
    <s v="1385"/>
    <x v="1389"/>
    <n v="6800000"/>
    <x v="16"/>
    <n v="299.12430000000001"/>
    <x v="3"/>
    <n v="10"/>
    <n v="3"/>
    <s v="2014"/>
    <n v="2"/>
    <x v="0"/>
    <n v="7"/>
    <n v="2.3333333333333335"/>
  </r>
  <r>
    <s v="1386"/>
    <x v="1390"/>
    <n v="7800000"/>
    <x v="5"/>
    <n v="298.87920000000003"/>
    <x v="7"/>
    <n v="45"/>
    <n v="19"/>
    <s v="2004"/>
    <n v="3"/>
    <x v="0"/>
    <n v="26"/>
    <n v="1.368421052631579"/>
  </r>
  <r>
    <s v="1387"/>
    <x v="1391"/>
    <n v="156300000"/>
    <x v="13"/>
    <n v="298.45850000000002"/>
    <x v="0"/>
    <n v="221"/>
    <n v="154"/>
    <s v="2007"/>
    <n v="6"/>
    <x v="0"/>
    <n v="67"/>
    <n v="0.43506493506493504"/>
  </r>
  <r>
    <s v="1388"/>
    <x v="1392"/>
    <n v="17000000"/>
    <x v="25"/>
    <n v="298.15100000000001"/>
    <x v="23"/>
    <n v="450"/>
    <n v="182"/>
    <s v="2013"/>
    <n v="3"/>
    <x v="0"/>
    <n v="268"/>
    <n v="1.4725274725274726"/>
  </r>
  <r>
    <s v="1389"/>
    <x v="1393"/>
    <n v="2300000"/>
    <x v="12"/>
    <n v="298.0068"/>
    <x v="23"/>
    <n v="28"/>
    <n v="8"/>
    <s v="2014"/>
    <n v="1"/>
    <x v="0"/>
    <n v="20"/>
    <n v="2.5"/>
  </r>
  <r>
    <s v="1390"/>
    <x v="1394"/>
    <n v="2400000"/>
    <x v="40"/>
    <n v="297.24310000000003"/>
    <x v="19"/>
    <n v="9"/>
    <n v="4"/>
    <s v="2009"/>
    <n v="1"/>
    <x v="0"/>
    <n v="5"/>
    <n v="1.25"/>
  </r>
  <r>
    <s v="1391"/>
    <x v="1395"/>
    <n v="3400000"/>
    <x v="27"/>
    <n v="296.86369999999999"/>
    <x v="16"/>
    <n v="38"/>
    <n v="6"/>
    <s v="2009"/>
    <n v="1"/>
    <x v="0"/>
    <n v="32"/>
    <n v="5.333333333333333"/>
  </r>
  <r>
    <s v="1392"/>
    <x v="1396"/>
    <n v="9000000"/>
    <x v="5"/>
    <n v="296.86340000000001"/>
    <x v="24"/>
    <n v="68"/>
    <n v="20"/>
    <s v="2013"/>
    <n v="2"/>
    <x v="0"/>
    <n v="48"/>
    <n v="2.4"/>
  </r>
  <r>
    <s v="1393"/>
    <x v="1397"/>
    <n v="24700000"/>
    <x v="7"/>
    <n v="296.70519999999999"/>
    <x v="11"/>
    <n v="235"/>
    <n v="63"/>
    <s v="2007"/>
    <n v="4"/>
    <x v="0"/>
    <n v="172"/>
    <n v="2.7301587301587302"/>
  </r>
  <r>
    <s v="1394"/>
    <x v="1398"/>
    <n v="4200000"/>
    <x v="21"/>
    <n v="296.46620000000001"/>
    <x v="9"/>
    <n v="105"/>
    <n v="40"/>
    <s v="2010"/>
    <n v="2"/>
    <x v="0"/>
    <n v="65"/>
    <n v="1.625"/>
  </r>
  <r>
    <s v="1395"/>
    <x v="1399"/>
    <n v="44000000"/>
    <x v="18"/>
    <n v="296.4375"/>
    <x v="22"/>
    <n v="50"/>
    <n v="28"/>
    <s v="2009"/>
    <n v="4"/>
    <x v="0"/>
    <n v="22"/>
    <n v="0.7857142857142857"/>
  </r>
  <r>
    <s v="1396"/>
    <x v="1400"/>
    <n v="24700000"/>
    <x v="2"/>
    <n v="296.29270000000002"/>
    <x v="16"/>
    <n v="211"/>
    <n v="37"/>
    <s v="2014"/>
    <n v="1"/>
    <x v="0"/>
    <n v="174"/>
    <n v="4.7027027027027026"/>
  </r>
  <r>
    <s v="1397"/>
    <x v="1401"/>
    <n v="14600000"/>
    <x v="13"/>
    <n v="296.20139999999998"/>
    <x v="13"/>
    <n v="51"/>
    <n v="14"/>
    <s v="2011"/>
    <n v="1"/>
    <x v="0"/>
    <n v="37"/>
    <n v="2.6428571428571428"/>
  </r>
  <r>
    <s v="1398"/>
    <x v="1402"/>
    <n v="13100000"/>
    <x v="9"/>
    <n v="296.01679999999999"/>
    <x v="9"/>
    <n v="250"/>
    <n v="80"/>
    <s v="2011"/>
    <n v="2"/>
    <x v="0"/>
    <n v="170"/>
    <n v="2.125"/>
  </r>
  <r>
    <s v="1399"/>
    <x v="1403"/>
    <n v="129600000"/>
    <x v="9"/>
    <n v="295.6601"/>
    <x v="12"/>
    <n v="33"/>
    <n v="22"/>
    <s v="1994"/>
    <n v="1"/>
    <x v="0"/>
    <n v="11"/>
    <n v="0.5"/>
  </r>
  <r>
    <s v="1400"/>
    <x v="1404"/>
    <n v="3800000"/>
    <x v="2"/>
    <n v="295.43459999999999"/>
    <x v="23"/>
    <n v="17"/>
    <n v="10"/>
    <s v="2007"/>
    <n v="1"/>
    <x v="0"/>
    <n v="7"/>
    <n v="0.7"/>
  </r>
  <r>
    <s v="1401"/>
    <x v="1405"/>
    <n v="6900000"/>
    <x v="10"/>
    <n v="294.53480000000002"/>
    <x v="6"/>
    <n v="41"/>
    <n v="19"/>
    <s v="2010"/>
    <n v="2"/>
    <x v="0"/>
    <n v="22"/>
    <n v="1.1578947368421053"/>
  </r>
  <r>
    <s v="1402"/>
    <x v="1406"/>
    <n v="5000000"/>
    <x v="27"/>
    <n v="294.0566"/>
    <x v="0"/>
    <n v="40"/>
    <n v="15"/>
    <s v="2012"/>
    <n v="1"/>
    <x v="0"/>
    <n v="25"/>
    <n v="1.6666666666666667"/>
  </r>
  <r>
    <s v="1403"/>
    <x v="1407"/>
    <n v="5500000"/>
    <x v="27"/>
    <n v="293.87810000000002"/>
    <x v="18"/>
    <n v="45"/>
    <n v="33"/>
    <s v="2006"/>
    <n v="3"/>
    <x v="0"/>
    <n v="12"/>
    <n v="0.36363636363636365"/>
  </r>
  <r>
    <s v="1404"/>
    <x v="1408"/>
    <n v="38400000"/>
    <x v="24"/>
    <n v="293.34960000000001"/>
    <x v="0"/>
    <n v="83"/>
    <n v="58"/>
    <s v="2008"/>
    <n v="5"/>
    <x v="0"/>
    <n v="25"/>
    <n v="0.43103448275862066"/>
  </r>
  <r>
    <s v="1405"/>
    <x v="1409"/>
    <n v="9100000"/>
    <x v="13"/>
    <n v="293.29000000000002"/>
    <x v="15"/>
    <n v="9"/>
    <n v="2"/>
    <s v="2001"/>
    <n v="1"/>
    <x v="0"/>
    <n v="7"/>
    <n v="3.5"/>
  </r>
  <r>
    <s v="1406"/>
    <x v="1410"/>
    <n v="46400000"/>
    <x v="4"/>
    <n v="292.67349999999999"/>
    <x v="5"/>
    <n v="237"/>
    <n v="97"/>
    <s v="2005"/>
    <n v="7"/>
    <x v="0"/>
    <n v="140"/>
    <n v="1.4432989690721649"/>
  </r>
  <r>
    <s v="1407"/>
    <x v="1411"/>
    <n v="60300000"/>
    <x v="27"/>
    <n v="292.5455"/>
    <x v="1"/>
    <n v="85"/>
    <n v="33"/>
    <s v="2005"/>
    <n v="3"/>
    <x v="0"/>
    <n v="52"/>
    <n v="1.5757575757575757"/>
  </r>
  <r>
    <s v="1408"/>
    <x v="1412"/>
    <n v="5200000"/>
    <x v="23"/>
    <n v="292.52109999999999"/>
    <x v="12"/>
    <n v="65"/>
    <n v="20"/>
    <s v="2009"/>
    <n v="3"/>
    <x v="0"/>
    <n v="45"/>
    <n v="2.25"/>
  </r>
  <r>
    <s v="1409"/>
    <x v="1413"/>
    <n v="34200000"/>
    <x v="2"/>
    <n v="292.32060000000001"/>
    <x v="5"/>
    <n v="442"/>
    <n v="143"/>
    <s v="2013"/>
    <n v="1"/>
    <x v="0"/>
    <n v="299"/>
    <n v="2.0909090909090908"/>
  </r>
  <r>
    <s v="1410"/>
    <x v="1414"/>
    <n v="143700000"/>
    <x v="8"/>
    <n v="292.2955"/>
    <x v="19"/>
    <n v="425"/>
    <n v="150"/>
    <s v="2002"/>
    <n v="9"/>
    <x v="0"/>
    <n v="275"/>
    <n v="1.8333333333333333"/>
  </r>
  <r>
    <s v="1411"/>
    <x v="1415"/>
    <n v="41300000"/>
    <x v="9"/>
    <n v="292.23090000000002"/>
    <x v="19"/>
    <n v="117"/>
    <n v="47"/>
    <s v="2011"/>
    <n v="3"/>
    <x v="0"/>
    <n v="70"/>
    <n v="1.4893617021276595"/>
  </r>
  <r>
    <s v="1412"/>
    <x v="1416"/>
    <n v="361100000"/>
    <x v="9"/>
    <n v="291.97269999999997"/>
    <x v="24"/>
    <n v="2000"/>
    <n v="400"/>
    <s v="1997"/>
    <n v="1"/>
    <x v="0"/>
    <n v="1600"/>
    <n v="4"/>
  </r>
  <r>
    <s v="1413"/>
    <x v="1417"/>
    <n v="13900000"/>
    <x v="0"/>
    <n v="291.55369999999999"/>
    <x v="7"/>
    <n v="9"/>
    <n v="5"/>
    <s v="2009"/>
    <n v="6"/>
    <x v="0"/>
    <n v="4"/>
    <n v="0.8"/>
  </r>
  <r>
    <s v="1414"/>
    <x v="1418"/>
    <n v="7800000"/>
    <x v="5"/>
    <n v="291.30119999999999"/>
    <x v="20"/>
    <n v="367"/>
    <n v="271"/>
    <s v="2011"/>
    <n v="3"/>
    <x v="0"/>
    <n v="96"/>
    <n v="0.35424354243542433"/>
  </r>
  <r>
    <s v="1415"/>
    <x v="1419"/>
    <n v="7400000"/>
    <x v="2"/>
    <n v="291.2758"/>
    <x v="15"/>
    <n v="18"/>
    <n v="4"/>
    <s v="2008"/>
    <n v="1"/>
    <x v="0"/>
    <n v="14"/>
    <n v="3.5"/>
  </r>
  <r>
    <s v="1416"/>
    <x v="1420"/>
    <n v="25100000"/>
    <x v="24"/>
    <n v="291.14780000000002"/>
    <x v="23"/>
    <n v="178"/>
    <n v="40"/>
    <s v="2013"/>
    <n v="2"/>
    <x v="0"/>
    <n v="138"/>
    <n v="3.45"/>
  </r>
  <r>
    <s v="1417"/>
    <x v="1421"/>
    <n v="104000000"/>
    <x v="4"/>
    <n v="290.9538"/>
    <x v="23"/>
    <n v="1070"/>
    <n v="487"/>
    <s v="2011"/>
    <n v="4"/>
    <x v="0"/>
    <n v="583"/>
    <n v="1.1971252566735113"/>
  </r>
  <r>
    <s v="1418"/>
    <x v="1422"/>
    <n v="14400000"/>
    <x v="4"/>
    <n v="290.64659999999998"/>
    <x v="0"/>
    <n v="300"/>
    <n v="120"/>
    <s v="2009"/>
    <n v="5"/>
    <x v="0"/>
    <n v="180"/>
    <n v="1.5"/>
  </r>
  <r>
    <s v="1419"/>
    <x v="1423"/>
    <n v="5900000"/>
    <x v="9"/>
    <n v="290.53930000000003"/>
    <x v="14"/>
    <n v="5"/>
    <n v="2"/>
    <s v="2014"/>
    <n v="1"/>
    <x v="0"/>
    <n v="3"/>
    <n v="1.5"/>
  </r>
  <r>
    <s v="1420"/>
    <x v="1424"/>
    <n v="14300000"/>
    <x v="27"/>
    <n v="290.39210000000003"/>
    <x v="23"/>
    <n v="80"/>
    <n v="17"/>
    <s v="2013"/>
    <n v="2"/>
    <x v="0"/>
    <n v="63"/>
    <n v="3.7058823529411766"/>
  </r>
  <r>
    <s v="1421"/>
    <x v="1425"/>
    <n v="27500000"/>
    <x v="10"/>
    <n v="290.3784"/>
    <x v="14"/>
    <n v="58"/>
    <n v="18"/>
    <s v="2011"/>
    <n v="4"/>
    <x v="0"/>
    <n v="40"/>
    <n v="2.2222222222222223"/>
  </r>
  <r>
    <s v="1422"/>
    <x v="1426"/>
    <n v="2300000"/>
    <x v="18"/>
    <n v="290.3408"/>
    <x v="3"/>
    <n v="40"/>
    <n v="15"/>
    <s v="2009"/>
    <n v="2"/>
    <x v="0"/>
    <n v="25"/>
    <n v="1.6666666666666667"/>
  </r>
  <r>
    <s v="1423"/>
    <x v="1427"/>
    <n v="30100000"/>
    <x v="2"/>
    <n v="290.1139"/>
    <x v="1"/>
    <n v="70"/>
    <n v="15"/>
    <s v="2010"/>
    <n v="1"/>
    <x v="0"/>
    <n v="55"/>
    <n v="3.6666666666666665"/>
  </r>
  <r>
    <s v="1424"/>
    <x v="1428"/>
    <n v="54000000"/>
    <x v="18"/>
    <n v="290.00510000000003"/>
    <x v="15"/>
    <n v="350"/>
    <n v="100"/>
    <s v="2012"/>
    <n v="1"/>
    <x v="0"/>
    <n v="250"/>
    <n v="2.5"/>
  </r>
  <r>
    <s v="1425"/>
    <x v="1429"/>
    <n v="2500000"/>
    <x v="9"/>
    <n v="289.99130000000002"/>
    <x v="15"/>
    <n v="21"/>
    <n v="3"/>
    <s v="2001"/>
    <n v="1"/>
    <x v="0"/>
    <n v="18"/>
    <n v="6"/>
  </r>
  <r>
    <s v="1426"/>
    <x v="1430"/>
    <n v="5000000"/>
    <x v="2"/>
    <n v="289.95100000000002"/>
    <x v="16"/>
    <n v="45"/>
    <n v="15"/>
    <s v="2011"/>
    <n v="1"/>
    <x v="0"/>
    <n v="30"/>
    <n v="2"/>
  </r>
  <r>
    <s v="1427"/>
    <x v="1431"/>
    <n v="2000000"/>
    <x v="27"/>
    <n v="289.40929999999997"/>
    <x v="9"/>
    <n v="9"/>
    <n v="4"/>
    <s v="2013"/>
    <n v="6"/>
    <x v="0"/>
    <n v="5"/>
    <n v="1.25"/>
  </r>
  <r>
    <s v="1428"/>
    <x v="1432"/>
    <n v="10000000"/>
    <x v="10"/>
    <n v="289.2561"/>
    <x v="7"/>
    <n v="31"/>
    <n v="23"/>
    <s v="2012"/>
    <n v="1"/>
    <x v="0"/>
    <n v="8"/>
    <n v="0.34782608695652173"/>
  </r>
  <r>
    <s v="1429"/>
    <x v="1433"/>
    <n v="10500000"/>
    <x v="5"/>
    <n v="288.84840000000003"/>
    <x v="15"/>
    <n v="96"/>
    <n v="26"/>
    <s v="2014"/>
    <n v="1"/>
    <x v="0"/>
    <n v="70"/>
    <n v="2.6923076923076925"/>
  </r>
  <r>
    <s v="1430"/>
    <x v="1434"/>
    <n v="72200000"/>
    <x v="8"/>
    <n v="288.74110000000002"/>
    <x v="1"/>
    <n v="9"/>
    <n v="5"/>
    <s v="2012"/>
    <n v="1"/>
    <x v="0"/>
    <n v="4"/>
    <n v="0.8"/>
  </r>
  <r>
    <s v="1431"/>
    <x v="1435"/>
    <n v="6700000"/>
    <x v="5"/>
    <n v="288.54700000000003"/>
    <x v="5"/>
    <n v="82"/>
    <n v="32"/>
    <s v="2010"/>
    <n v="3"/>
    <x v="0"/>
    <n v="50"/>
    <n v="1.5625"/>
  </r>
  <r>
    <s v="1432"/>
    <x v="1436"/>
    <n v="44200000"/>
    <x v="20"/>
    <n v="288.47000000000003"/>
    <x v="7"/>
    <n v="98"/>
    <n v="35"/>
    <s v="2011"/>
    <n v="5"/>
    <x v="0"/>
    <n v="63"/>
    <n v="1.8"/>
  </r>
  <r>
    <s v="1433"/>
    <x v="1437"/>
    <n v="4800000"/>
    <x v="10"/>
    <n v="288.2373"/>
    <x v="23"/>
    <n v="10"/>
    <n v="3"/>
    <s v="2006"/>
    <n v="1"/>
    <x v="0"/>
    <n v="7"/>
    <n v="2.3333333333333335"/>
  </r>
  <r>
    <s v="1434"/>
    <x v="1438"/>
    <n v="20800000"/>
    <x v="34"/>
    <n v="288.2353"/>
    <x v="7"/>
    <n v="76"/>
    <n v="24"/>
    <s v="2010"/>
    <n v="2"/>
    <x v="0"/>
    <n v="52"/>
    <n v="2.1666666666666665"/>
  </r>
  <r>
    <s v="1435"/>
    <x v="1439"/>
    <n v="21200000"/>
    <x v="23"/>
    <n v="287.9538"/>
    <x v="25"/>
    <n v="110"/>
    <n v="43"/>
    <s v="2006"/>
    <n v="5"/>
    <x v="0"/>
    <n v="67"/>
    <n v="1.558139534883721"/>
  </r>
  <r>
    <s v="1436"/>
    <x v="1440"/>
    <n v="16200000"/>
    <x v="7"/>
    <n v="287.89299999999997"/>
    <x v="11"/>
    <n v="105"/>
    <n v="20"/>
    <s v="2005"/>
    <n v="5"/>
    <x v="0"/>
    <n v="85"/>
    <n v="4.25"/>
  </r>
  <r>
    <s v="1437"/>
    <x v="1441"/>
    <n v="340400000"/>
    <x v="8"/>
    <n v="287.22730000000001"/>
    <x v="3"/>
    <n v="1044"/>
    <n v="251"/>
    <s v="2005"/>
    <n v="8"/>
    <x v="0"/>
    <n v="793"/>
    <n v="3.1593625498007967"/>
  </r>
  <r>
    <s v="1438"/>
    <x v="1442"/>
    <n v="28900000"/>
    <x v="5"/>
    <n v="287.15199999999999"/>
    <x v="15"/>
    <n v="72"/>
    <n v="40"/>
    <s v="2008"/>
    <n v="3"/>
    <x v="0"/>
    <n v="32"/>
    <n v="0.8"/>
  </r>
  <r>
    <s v="1439"/>
    <x v="1443"/>
    <n v="5300000"/>
    <x v="10"/>
    <n v="286.89870000000002"/>
    <x v="2"/>
    <n v="25"/>
    <n v="13"/>
    <s v="2014"/>
    <n v="1"/>
    <x v="0"/>
    <n v="12"/>
    <n v="0.92307692307692313"/>
  </r>
  <r>
    <s v="1440"/>
    <x v="1444"/>
    <n v="2400000"/>
    <x v="46"/>
    <n v="286.72280000000001"/>
    <x v="10"/>
    <n v="27"/>
    <n v="12"/>
    <s v="2014"/>
    <n v="1"/>
    <x v="0"/>
    <n v="15"/>
    <n v="1.25"/>
  </r>
  <r>
    <s v="1441"/>
    <x v="1445"/>
    <n v="22000000"/>
    <x v="9"/>
    <n v="286.69310000000002"/>
    <x v="5"/>
    <n v="575"/>
    <n v="139"/>
    <s v="2012"/>
    <n v="3"/>
    <x v="0"/>
    <n v="436"/>
    <n v="3.1366906474820144"/>
  </r>
  <r>
    <s v="1442"/>
    <x v="1446"/>
    <n v="82200000"/>
    <x v="9"/>
    <n v="286.30930000000001"/>
    <x v="4"/>
    <n v="250"/>
    <n v="90"/>
    <s v="2013"/>
    <n v="3"/>
    <x v="0"/>
    <n v="160"/>
    <n v="1.7777777777777777"/>
  </r>
  <r>
    <s v="1443"/>
    <x v="1447"/>
    <n v="17800000"/>
    <x v="2"/>
    <n v="286.28050000000002"/>
    <x v="9"/>
    <n v="86"/>
    <n v="26"/>
    <s v="2008"/>
    <n v="4"/>
    <x v="0"/>
    <n v="60"/>
    <n v="2.3076923076923075"/>
  </r>
  <r>
    <s v="1444"/>
    <x v="1448"/>
    <n v="89000000"/>
    <x v="7"/>
    <n v="286.17439999999999"/>
    <x v="11"/>
    <n v="376"/>
    <n v="155"/>
    <s v="2005"/>
    <n v="5"/>
    <x v="0"/>
    <n v="221"/>
    <n v="1.4258064516129032"/>
  </r>
  <r>
    <s v="1445"/>
    <x v="1449"/>
    <n v="55600000"/>
    <x v="5"/>
    <n v="285.88959999999997"/>
    <x v="4"/>
    <n v="100"/>
    <n v="20"/>
    <s v="2006"/>
    <n v="4"/>
    <x v="0"/>
    <n v="80"/>
    <n v="4"/>
  </r>
  <r>
    <s v="1446"/>
    <x v="1450"/>
    <n v="35600000"/>
    <x v="6"/>
    <n v="285.80779999999999"/>
    <x v="5"/>
    <n v="155"/>
    <n v="40"/>
    <s v="2004"/>
    <n v="1"/>
    <x v="0"/>
    <n v="115"/>
    <n v="2.875"/>
  </r>
  <r>
    <s v="1447"/>
    <x v="1451"/>
    <n v="19800000"/>
    <x v="5"/>
    <n v="285.6447"/>
    <x v="12"/>
    <n v="150"/>
    <n v="51"/>
    <s v="2010"/>
    <n v="3"/>
    <x v="0"/>
    <n v="99"/>
    <n v="1.9411764705882353"/>
  </r>
  <r>
    <s v="1448"/>
    <x v="1452"/>
    <n v="3900000"/>
    <x v="27"/>
    <n v="285.61829999999998"/>
    <x v="6"/>
    <n v="8"/>
    <n v="3"/>
    <s v="2014"/>
    <n v="1"/>
    <x v="0"/>
    <n v="5"/>
    <n v="1.6666666666666667"/>
  </r>
  <r>
    <s v="1449"/>
    <x v="1453"/>
    <n v="13400000"/>
    <x v="7"/>
    <n v="285.35469999999998"/>
    <x v="11"/>
    <n v="400"/>
    <n v="80"/>
    <s v="2009"/>
    <n v="1"/>
    <x v="0"/>
    <n v="320"/>
    <n v="4"/>
  </r>
  <r>
    <s v="1450"/>
    <x v="1454"/>
    <n v="141700000"/>
    <x v="7"/>
    <n v="285.01190000000003"/>
    <x v="22"/>
    <n v="717"/>
    <n v="174"/>
    <s v="2009"/>
    <n v="5"/>
    <x v="0"/>
    <n v="543"/>
    <n v="3.1206896551724137"/>
  </r>
  <r>
    <s v="1451"/>
    <x v="1455"/>
    <n v="3000000"/>
    <x v="37"/>
    <n v="284.89839999999998"/>
    <x v="23"/>
    <n v="5"/>
    <n v="2"/>
    <s v="2014"/>
    <n v="1"/>
    <x v="0"/>
    <n v="3"/>
    <n v="1.5"/>
  </r>
  <r>
    <s v="1452"/>
    <x v="1456"/>
    <n v="2800000"/>
    <x v="2"/>
    <n v="284.70769999999999"/>
    <x v="3"/>
    <n v="7"/>
    <n v="1"/>
    <s v="2009"/>
    <n v="1"/>
    <x v="0"/>
    <n v="6"/>
    <n v="6"/>
  </r>
  <r>
    <s v="1453"/>
    <x v="1457"/>
    <n v="27000000"/>
    <x v="29"/>
    <n v="284.6191"/>
    <x v="9"/>
    <n v="74"/>
    <n v="59"/>
    <s v="2004"/>
    <n v="1"/>
    <x v="0"/>
    <n v="15"/>
    <n v="0.25423728813559321"/>
  </r>
  <r>
    <s v="1454"/>
    <x v="1458"/>
    <n v="4700000"/>
    <x v="8"/>
    <n v="284.55669999999998"/>
    <x v="3"/>
    <n v="38"/>
    <n v="12"/>
    <s v="2012"/>
    <n v="3"/>
    <x v="0"/>
    <n v="26"/>
    <n v="2.1666666666666665"/>
  </r>
  <r>
    <s v="1455"/>
    <x v="1459"/>
    <n v="3400000"/>
    <x v="9"/>
    <n v="284.48059999999998"/>
    <x v="2"/>
    <n v="33"/>
    <n v="15"/>
    <s v="2013"/>
    <n v="1"/>
    <x v="0"/>
    <n v="18"/>
    <n v="1.2"/>
  </r>
  <r>
    <s v="1456"/>
    <x v="1460"/>
    <n v="80000000"/>
    <x v="18"/>
    <n v="284.4409"/>
    <x v="1"/>
    <n v="140"/>
    <n v="49"/>
    <s v="2009"/>
    <n v="2"/>
    <x v="0"/>
    <n v="91"/>
    <n v="1.8571428571428572"/>
  </r>
  <r>
    <s v="1457"/>
    <x v="1461"/>
    <n v="29200000"/>
    <x v="5"/>
    <n v="284.29770000000002"/>
    <x v="7"/>
    <n v="55"/>
    <n v="18"/>
    <s v="2014"/>
    <n v="1"/>
    <x v="0"/>
    <n v="37"/>
    <n v="2.0555555555555554"/>
  </r>
  <r>
    <s v="1458"/>
    <x v="1462"/>
    <n v="16200000"/>
    <x v="11"/>
    <n v="284.05950000000001"/>
    <x v="5"/>
    <n v="116"/>
    <n v="17"/>
    <s v="2011"/>
    <n v="3"/>
    <x v="0"/>
    <n v="99"/>
    <n v="5.8235294117647056"/>
  </r>
  <r>
    <s v="1459"/>
    <x v="1463"/>
    <n v="195800000"/>
    <x v="16"/>
    <n v="283.89580000000001"/>
    <x v="23"/>
    <n v="285"/>
    <n v="42"/>
    <s v="2003"/>
    <n v="1"/>
    <x v="0"/>
    <n v="243"/>
    <n v="5.7857142857142856"/>
  </r>
  <r>
    <s v="1460"/>
    <x v="1464"/>
    <n v="48400000"/>
    <x v="23"/>
    <n v="283.71789999999999"/>
    <x v="15"/>
    <n v="40"/>
    <n v="11"/>
    <s v="2012"/>
    <n v="3"/>
    <x v="0"/>
    <n v="29"/>
    <n v="2.6363636363636362"/>
  </r>
  <r>
    <s v="1461"/>
    <x v="1465"/>
    <n v="14900000"/>
    <x v="36"/>
    <n v="283.404"/>
    <x v="13"/>
    <n v="71"/>
    <n v="17"/>
    <s v="2013"/>
    <n v="1"/>
    <x v="0"/>
    <n v="54"/>
    <n v="3.1764705882352939"/>
  </r>
  <r>
    <s v="1462"/>
    <x v="1466"/>
    <n v="4000000"/>
    <x v="5"/>
    <n v="283.31180000000001"/>
    <x v="23"/>
    <n v="42"/>
    <n v="19"/>
    <s v="2010"/>
    <n v="3"/>
    <x v="0"/>
    <n v="23"/>
    <n v="1.2105263157894737"/>
  </r>
  <r>
    <s v="1463"/>
    <x v="1467"/>
    <n v="4600000"/>
    <x v="21"/>
    <n v="282.67419999999998"/>
    <x v="7"/>
    <n v="12"/>
    <n v="3"/>
    <s v="2012"/>
    <n v="2"/>
    <x v="0"/>
    <n v="9"/>
    <n v="3"/>
  </r>
  <r>
    <s v="1464"/>
    <x v="1468"/>
    <n v="12200000"/>
    <x v="24"/>
    <n v="282.57909999999998"/>
    <x v="9"/>
    <n v="70"/>
    <n v="24"/>
    <s v="2010"/>
    <n v="1"/>
    <x v="0"/>
    <n v="46"/>
    <n v="1.9166666666666667"/>
  </r>
  <r>
    <s v="1465"/>
    <x v="1469"/>
    <n v="12200000"/>
    <x v="21"/>
    <n v="282.27859999999998"/>
    <x v="19"/>
    <n v="55"/>
    <n v="15"/>
    <s v="2014"/>
    <n v="2"/>
    <x v="0"/>
    <n v="40"/>
    <n v="2.6666666666666665"/>
  </r>
  <r>
    <s v="1466"/>
    <x v="1470"/>
    <n v="8300000"/>
    <x v="27"/>
    <n v="282.1103"/>
    <x v="19"/>
    <n v="65"/>
    <n v="10"/>
    <s v="2014"/>
    <n v="1"/>
    <x v="0"/>
    <n v="55"/>
    <n v="5.5"/>
  </r>
  <r>
    <s v="1467"/>
    <x v="1471"/>
    <n v="36200000"/>
    <x v="31"/>
    <n v="282.03109999999998"/>
    <x v="13"/>
    <n v="37"/>
    <n v="12"/>
    <s v="2013"/>
    <n v="2"/>
    <x v="0"/>
    <n v="25"/>
    <n v="2.0833333333333335"/>
  </r>
  <r>
    <s v="1468"/>
    <x v="1472"/>
    <n v="8600000"/>
    <x v="14"/>
    <n v="281.92059999999998"/>
    <x v="19"/>
    <n v="29"/>
    <n v="12"/>
    <s v="1996"/>
    <n v="2"/>
    <x v="0"/>
    <n v="17"/>
    <n v="1.4166666666666667"/>
  </r>
  <r>
    <s v="1469"/>
    <x v="1473"/>
    <n v="13500000"/>
    <x v="24"/>
    <n v="281.8999"/>
    <x v="1"/>
    <n v="130"/>
    <n v="40"/>
    <s v="2010"/>
    <n v="4"/>
    <x v="0"/>
    <n v="90"/>
    <n v="2.25"/>
  </r>
  <r>
    <s v="1470"/>
    <x v="1474"/>
    <n v="2900000"/>
    <x v="9"/>
    <n v="281.83769999999998"/>
    <x v="23"/>
    <n v="10"/>
    <n v="6"/>
    <s v="2012"/>
    <n v="2"/>
    <x v="0"/>
    <n v="4"/>
    <n v="0.66666666666666663"/>
  </r>
  <r>
    <s v="1471"/>
    <x v="1475"/>
    <n v="5900000"/>
    <x v="12"/>
    <n v="281.20139999999998"/>
    <x v="20"/>
    <n v="27"/>
    <n v="19"/>
    <s v="2011"/>
    <n v="2"/>
    <x v="0"/>
    <n v="8"/>
    <n v="0.42105263157894735"/>
  </r>
  <r>
    <s v="1472"/>
    <x v="1476"/>
    <n v="5700000"/>
    <x v="34"/>
    <n v="281.19279999999998"/>
    <x v="9"/>
    <n v="20"/>
    <n v="9"/>
    <s v="2014"/>
    <n v="1"/>
    <x v="0"/>
    <n v="11"/>
    <n v="1.2222222222222223"/>
  </r>
  <r>
    <s v="1473"/>
    <x v="1477"/>
    <n v="8500000"/>
    <x v="2"/>
    <n v="280.67770000000002"/>
    <x v="9"/>
    <n v="40"/>
    <n v="12"/>
    <s v="2001"/>
    <n v="4"/>
    <x v="0"/>
    <n v="28"/>
    <n v="2.3333333333333335"/>
  </r>
  <r>
    <s v="1474"/>
    <x v="1478"/>
    <n v="486500000"/>
    <x v="27"/>
    <n v="280.24919999999997"/>
    <x v="3"/>
    <n v="661"/>
    <n v="325"/>
    <s v="2006"/>
    <n v="5"/>
    <x v="0"/>
    <n v="336"/>
    <n v="1.0338461538461539"/>
  </r>
  <r>
    <s v="1475"/>
    <x v="1479"/>
    <n v="3200000"/>
    <x v="11"/>
    <n v="279.71280000000002"/>
    <x v="2"/>
    <n v="49"/>
    <n v="10"/>
    <s v="2013"/>
    <n v="1"/>
    <x v="0"/>
    <n v="39"/>
    <n v="3.9"/>
  </r>
  <r>
    <s v="1476"/>
    <x v="1480"/>
    <n v="13900000"/>
    <x v="9"/>
    <n v="279.68459999999999"/>
    <x v="2"/>
    <n v="250"/>
    <n v="35"/>
    <s v="2011"/>
    <n v="1"/>
    <x v="0"/>
    <n v="215"/>
    <n v="6.1428571428571432"/>
  </r>
  <r>
    <s v="1477"/>
    <x v="1481"/>
    <n v="29800000"/>
    <x v="9"/>
    <n v="279.50779999999997"/>
    <x v="12"/>
    <n v="71"/>
    <n v="30"/>
    <s v="2009"/>
    <n v="2"/>
    <x v="0"/>
    <n v="41"/>
    <n v="1.3666666666666667"/>
  </r>
  <r>
    <s v="1478"/>
    <x v="1482"/>
    <n v="4000000"/>
    <x v="12"/>
    <n v="279.34359999999998"/>
    <x v="9"/>
    <n v="32"/>
    <n v="12"/>
    <s v="2011"/>
    <n v="1"/>
    <x v="0"/>
    <n v="20"/>
    <n v="1.6666666666666667"/>
  </r>
  <r>
    <s v="1479"/>
    <x v="1483"/>
    <n v="3600000"/>
    <x v="44"/>
    <n v="279.04610000000002"/>
    <x v="4"/>
    <n v="7"/>
    <n v="2"/>
    <s v="2006"/>
    <n v="2"/>
    <x v="0"/>
    <n v="5"/>
    <n v="2.5"/>
  </r>
  <r>
    <s v="1480"/>
    <x v="1484"/>
    <n v="6200000"/>
    <x v="30"/>
    <n v="278.73410000000001"/>
    <x v="19"/>
    <n v="31"/>
    <n v="10"/>
    <s v="2011"/>
    <n v="1"/>
    <x v="0"/>
    <n v="21"/>
    <n v="2.1"/>
  </r>
  <r>
    <s v="1481"/>
    <x v="1485"/>
    <n v="12400000"/>
    <x v="21"/>
    <n v="278.70600000000002"/>
    <x v="12"/>
    <n v="400"/>
    <n v="202"/>
    <s v="2008"/>
    <n v="4"/>
    <x v="0"/>
    <n v="198"/>
    <n v="0.98019801980198018"/>
  </r>
  <r>
    <s v="1482"/>
    <x v="1486"/>
    <n v="6400000"/>
    <x v="5"/>
    <n v="278.22230000000002"/>
    <x v="5"/>
    <n v="45"/>
    <n v="30"/>
    <s v="2015"/>
    <n v="1"/>
    <x v="0"/>
    <n v="15"/>
    <n v="0.5"/>
  </r>
  <r>
    <s v="1483"/>
    <x v="1487"/>
    <n v="4400000"/>
    <x v="9"/>
    <n v="277.57319999999999"/>
    <x v="24"/>
    <n v="17"/>
    <n v="5"/>
    <s v="2014"/>
    <n v="2"/>
    <x v="0"/>
    <n v="12"/>
    <n v="2.4"/>
  </r>
  <r>
    <s v="1484"/>
    <x v="1488"/>
    <n v="10300000"/>
    <x v="18"/>
    <n v="277.38679999999999"/>
    <x v="23"/>
    <n v="81"/>
    <n v="41"/>
    <s v="2012"/>
    <n v="4"/>
    <x v="0"/>
    <n v="40"/>
    <n v="0.97560975609756095"/>
  </r>
  <r>
    <s v="1485"/>
    <x v="1489"/>
    <n v="88000000"/>
    <x v="35"/>
    <n v="277.3546"/>
    <x v="5"/>
    <n v="750"/>
    <n v="250"/>
    <s v="2012"/>
    <n v="4"/>
    <x v="0"/>
    <n v="500"/>
    <n v="2"/>
  </r>
  <r>
    <s v="1486"/>
    <x v="1490"/>
    <n v="5100000"/>
    <x v="2"/>
    <n v="277.34210000000002"/>
    <x v="23"/>
    <n v="60"/>
    <n v="6"/>
    <s v="2004"/>
    <n v="1"/>
    <x v="0"/>
    <n v="54"/>
    <n v="9"/>
  </r>
  <r>
    <s v="1487"/>
    <x v="1491"/>
    <n v="5600000"/>
    <x v="32"/>
    <n v="277.2509"/>
    <x v="19"/>
    <n v="27"/>
    <n v="8"/>
    <s v="2013"/>
    <n v="2"/>
    <x v="0"/>
    <n v="19"/>
    <n v="2.375"/>
  </r>
  <r>
    <s v="1488"/>
    <x v="1492"/>
    <n v="6300000"/>
    <x v="11"/>
    <n v="277.18439999999998"/>
    <x v="0"/>
    <n v="36"/>
    <n v="17"/>
    <s v="2010"/>
    <n v="3"/>
    <x v="0"/>
    <n v="19"/>
    <n v="1.1176470588235294"/>
  </r>
  <r>
    <s v="1489"/>
    <x v="1493"/>
    <n v="4900000"/>
    <x v="2"/>
    <n v="277.16570000000002"/>
    <x v="16"/>
    <n v="59"/>
    <n v="12"/>
    <s v="2013"/>
    <n v="2"/>
    <x v="0"/>
    <n v="47"/>
    <n v="3.9166666666666665"/>
  </r>
  <r>
    <s v="1490"/>
    <x v="1494"/>
    <n v="34200000"/>
    <x v="18"/>
    <n v="277.01949999999999"/>
    <x v="2"/>
    <n v="1190"/>
    <n v="315"/>
    <s v="2005"/>
    <n v="2"/>
    <x v="0"/>
    <n v="875"/>
    <n v="2.7777777777777777"/>
  </r>
  <r>
    <s v="1491"/>
    <x v="1495"/>
    <n v="12300000"/>
    <x v="14"/>
    <n v="276.87479999999999"/>
    <x v="23"/>
    <n v="20"/>
    <n v="8"/>
    <s v="2012"/>
    <n v="3"/>
    <x v="0"/>
    <n v="12"/>
    <n v="1.5"/>
  </r>
  <r>
    <s v="1492"/>
    <x v="1496"/>
    <n v="62400000"/>
    <x v="7"/>
    <n v="276.72120000000001"/>
    <x v="11"/>
    <n v="352"/>
    <n v="200"/>
    <s v="2000"/>
    <n v="7"/>
    <x v="0"/>
    <n v="152"/>
    <n v="0.76"/>
  </r>
  <r>
    <s v="1493"/>
    <x v="1497"/>
    <n v="25800000"/>
    <x v="9"/>
    <n v="276.31360000000001"/>
    <x v="3"/>
    <n v="15"/>
    <n v="4"/>
    <s v="2014"/>
    <n v="1"/>
    <x v="0"/>
    <n v="11"/>
    <n v="2.75"/>
  </r>
  <r>
    <s v="1494"/>
    <x v="1498"/>
    <n v="39000000"/>
    <x v="27"/>
    <n v="276.25029999999998"/>
    <x v="9"/>
    <n v="433"/>
    <n v="155"/>
    <s v="2008"/>
    <n v="7"/>
    <x v="0"/>
    <n v="278"/>
    <n v="1.7935483870967741"/>
  </r>
  <r>
    <s v="1495"/>
    <x v="1499"/>
    <n v="52600000"/>
    <x v="8"/>
    <n v="276.18060000000003"/>
    <x v="7"/>
    <n v="500"/>
    <n v="150"/>
    <s v="2004"/>
    <n v="1"/>
    <x v="0"/>
    <n v="350"/>
    <n v="2.3333333333333335"/>
  </r>
  <r>
    <s v="1496"/>
    <x v="1500"/>
    <n v="4000000"/>
    <x v="27"/>
    <n v="276.09660000000002"/>
    <x v="23"/>
    <n v="250"/>
    <n v="50"/>
    <s v="2012"/>
    <n v="1"/>
    <x v="0"/>
    <n v="200"/>
    <n v="4"/>
  </r>
  <r>
    <s v="1497"/>
    <x v="1501"/>
    <n v="120400000"/>
    <x v="5"/>
    <n v="275.96480000000003"/>
    <x v="5"/>
    <n v="199"/>
    <n v="58"/>
    <s v="2012"/>
    <n v="2"/>
    <x v="0"/>
    <n v="141"/>
    <n v="2.4310344827586206"/>
  </r>
  <r>
    <s v="1498"/>
    <x v="1502"/>
    <n v="6900000"/>
    <x v="22"/>
    <n v="275.83190000000002"/>
    <x v="4"/>
    <n v="10"/>
    <n v="5"/>
    <s v="2013"/>
    <n v="2"/>
    <x v="0"/>
    <n v="5"/>
    <n v="1"/>
  </r>
  <r>
    <s v="1499"/>
    <x v="1503"/>
    <n v="14600000"/>
    <x v="16"/>
    <n v="275.81869999999998"/>
    <x v="0"/>
    <n v="120"/>
    <n v="31"/>
    <s v="2013"/>
    <n v="3"/>
    <x v="0"/>
    <n v="89"/>
    <n v="2.870967741935484"/>
  </r>
  <r>
    <s v="1500"/>
    <x v="1504"/>
    <n v="2600000"/>
    <x v="2"/>
    <n v="275.80650000000003"/>
    <x v="23"/>
    <n v="4"/>
    <n v="2"/>
    <s v="2015"/>
    <n v="2"/>
    <x v="0"/>
    <n v="2"/>
    <n v="1"/>
  </r>
  <r>
    <s v="1501"/>
    <x v="1505"/>
    <n v="14100000"/>
    <x v="2"/>
    <n v="275.79570000000001"/>
    <x v="9"/>
    <n v="285"/>
    <n v="185"/>
    <s v="1997"/>
    <n v="2"/>
    <x v="0"/>
    <n v="100"/>
    <n v="0.54054054054054057"/>
  </r>
  <r>
    <s v="1502"/>
    <x v="1506"/>
    <n v="524400000"/>
    <x v="5"/>
    <n v="275.44549999999998"/>
    <x v="15"/>
    <n v="280"/>
    <n v="200"/>
    <s v="2008"/>
    <n v="9"/>
    <x v="0"/>
    <n v="80"/>
    <n v="0.4"/>
  </r>
  <r>
    <s v="1503"/>
    <x v="1507"/>
    <n v="5900000"/>
    <x v="9"/>
    <n v="275.39400000000001"/>
    <x v="12"/>
    <n v="33"/>
    <n v="13"/>
    <s v="2011"/>
    <n v="2"/>
    <x v="0"/>
    <n v="20"/>
    <n v="1.5384615384615385"/>
  </r>
  <r>
    <s v="1504"/>
    <x v="1508"/>
    <n v="21600000"/>
    <x v="8"/>
    <n v="275.28429999999997"/>
    <x v="0"/>
    <n v="219"/>
    <n v="45"/>
    <s v="2013"/>
    <n v="2"/>
    <x v="0"/>
    <n v="174"/>
    <n v="3.8666666666666667"/>
  </r>
  <r>
    <s v="1505"/>
    <x v="1509"/>
    <n v="3200000"/>
    <x v="29"/>
    <n v="274.8519"/>
    <x v="4"/>
    <n v="1"/>
    <n v="1"/>
    <s v="1982"/>
    <n v="2"/>
    <x v="1"/>
    <n v="0"/>
    <n v="0"/>
  </r>
  <r>
    <s v="1506"/>
    <x v="1510"/>
    <n v="16700000"/>
    <x v="5"/>
    <n v="274.47809999999998"/>
    <x v="3"/>
    <n v="54"/>
    <n v="22"/>
    <s v="2005"/>
    <n v="1"/>
    <x v="0"/>
    <n v="32"/>
    <n v="1.4545454545454546"/>
  </r>
  <r>
    <s v="1507"/>
    <x v="1511"/>
    <n v="22200000"/>
    <x v="43"/>
    <n v="274.3877"/>
    <x v="0"/>
    <n v="75"/>
    <n v="49"/>
    <s v="2010"/>
    <n v="3"/>
    <x v="0"/>
    <n v="26"/>
    <n v="0.53061224489795922"/>
  </r>
  <r>
    <s v="1508"/>
    <x v="1512"/>
    <n v="2700000"/>
    <x v="38"/>
    <n v="273.98630000000003"/>
    <x v="15"/>
    <n v="23"/>
    <n v="7"/>
    <s v="2009"/>
    <n v="1"/>
    <x v="0"/>
    <n v="16"/>
    <n v="2.2857142857142856"/>
  </r>
  <r>
    <s v="1509"/>
    <x v="1513"/>
    <n v="7900000"/>
    <x v="22"/>
    <n v="273.80549999999999"/>
    <x v="9"/>
    <n v="102"/>
    <n v="25"/>
    <s v="2012"/>
    <n v="4"/>
    <x v="0"/>
    <n v="77"/>
    <n v="3.08"/>
  </r>
  <r>
    <s v="1510"/>
    <x v="1514"/>
    <n v="11100000"/>
    <x v="21"/>
    <n v="273.50779999999997"/>
    <x v="19"/>
    <n v="45"/>
    <n v="3"/>
    <s v="2009"/>
    <n v="1"/>
    <x v="0"/>
    <n v="42"/>
    <n v="14"/>
  </r>
  <r>
    <s v="1511"/>
    <x v="1515"/>
    <n v="8400000"/>
    <x v="18"/>
    <n v="273.34359999999998"/>
    <x v="11"/>
    <n v="72"/>
    <n v="22"/>
    <s v="2013"/>
    <n v="1"/>
    <x v="0"/>
    <n v="50"/>
    <n v="2.2727272727272729"/>
  </r>
  <r>
    <s v="1512"/>
    <x v="1516"/>
    <n v="3600000"/>
    <x v="29"/>
    <n v="273.22199999999998"/>
    <x v="0"/>
    <n v="1"/>
    <n v="1"/>
    <s v="2011"/>
    <n v="2"/>
    <x v="1"/>
    <n v="0"/>
    <n v="0"/>
  </r>
  <r>
    <s v="1513"/>
    <x v="1517"/>
    <n v="3300000"/>
    <x v="10"/>
    <n v="273.07049999999998"/>
    <x v="15"/>
    <n v="15"/>
    <n v="6"/>
    <s v="1982"/>
    <n v="1"/>
    <x v="0"/>
    <n v="9"/>
    <n v="1.5"/>
  </r>
  <r>
    <s v="1514"/>
    <x v="1518"/>
    <n v="10900000"/>
    <x v="1"/>
    <n v="272.99549999999999"/>
    <x v="1"/>
    <n v="286"/>
    <n v="58"/>
    <s v="2013"/>
    <n v="3"/>
    <x v="0"/>
    <n v="228"/>
    <n v="3.9310344827586206"/>
  </r>
  <r>
    <s v="1515"/>
    <x v="1519"/>
    <n v="89800000"/>
    <x v="27"/>
    <n v="272.79289999999997"/>
    <x v="23"/>
    <n v="167"/>
    <n v="99"/>
    <s v="2008"/>
    <n v="3"/>
    <x v="0"/>
    <n v="68"/>
    <n v="0.68686868686868685"/>
  </r>
  <r>
    <s v="1516"/>
    <x v="1520"/>
    <n v="9000000"/>
    <x v="46"/>
    <n v="272.76100000000002"/>
    <x v="16"/>
    <n v="51"/>
    <n v="9"/>
    <s v="2009"/>
    <n v="3"/>
    <x v="0"/>
    <n v="42"/>
    <n v="4.666666666666667"/>
  </r>
  <r>
    <s v="1517"/>
    <x v="1521"/>
    <n v="3100000"/>
    <x v="27"/>
    <n v="272.75630000000001"/>
    <x v="12"/>
    <n v="5"/>
    <n v="2"/>
    <s v="2013"/>
    <n v="2"/>
    <x v="0"/>
    <n v="3"/>
    <n v="1.5"/>
  </r>
  <r>
    <s v="1518"/>
    <x v="1522"/>
    <n v="9200000"/>
    <x v="0"/>
    <n v="272.62560000000002"/>
    <x v="12"/>
    <n v="150"/>
    <n v="2"/>
    <s v="2009"/>
    <n v="2"/>
    <x v="0"/>
    <n v="148"/>
    <n v="74"/>
  </r>
  <r>
    <s v="1519"/>
    <x v="1523"/>
    <n v="27700000"/>
    <x v="20"/>
    <n v="272.5326"/>
    <x v="3"/>
    <n v="77"/>
    <n v="32"/>
    <s v="2000"/>
    <n v="3"/>
    <x v="0"/>
    <n v="45"/>
    <n v="1.40625"/>
  </r>
  <r>
    <s v="1520"/>
    <x v="1524"/>
    <n v="2100000"/>
    <x v="2"/>
    <n v="272.3793"/>
    <x v="9"/>
    <n v="13"/>
    <n v="7"/>
    <s v="2008"/>
    <n v="1"/>
    <x v="0"/>
    <n v="6"/>
    <n v="0.8571428571428571"/>
  </r>
  <r>
    <s v="1521"/>
    <x v="1525"/>
    <n v="120200000"/>
    <x v="7"/>
    <n v="272.12329999999997"/>
    <x v="23"/>
    <n v="494"/>
    <n v="317"/>
    <s v="2011"/>
    <n v="6"/>
    <x v="0"/>
    <n v="177"/>
    <n v="0.55835962145110407"/>
  </r>
  <r>
    <s v="1522"/>
    <x v="1526"/>
    <n v="3900000"/>
    <x v="5"/>
    <n v="271.7149"/>
    <x v="17"/>
    <n v="50"/>
    <n v="15"/>
    <s v="2014"/>
    <n v="1"/>
    <x v="0"/>
    <n v="35"/>
    <n v="2.3333333333333335"/>
  </r>
  <r>
    <s v="1523"/>
    <x v="1527"/>
    <n v="31100000"/>
    <x v="5"/>
    <n v="271.23809999999997"/>
    <x v="13"/>
    <n v="98"/>
    <n v="19"/>
    <s v="2007"/>
    <n v="1"/>
    <x v="0"/>
    <n v="79"/>
    <n v="4.1578947368421053"/>
  </r>
  <r>
    <s v="1524"/>
    <x v="1528"/>
    <n v="6900000"/>
    <x v="6"/>
    <n v="270.89510000000001"/>
    <x v="23"/>
    <n v="21"/>
    <n v="6"/>
    <s v="2013"/>
    <n v="2"/>
    <x v="0"/>
    <n v="15"/>
    <n v="2.5"/>
  </r>
  <r>
    <s v="1525"/>
    <x v="1529"/>
    <n v="39300000"/>
    <x v="32"/>
    <n v="270.72989999999999"/>
    <x v="25"/>
    <n v="59"/>
    <n v="17"/>
    <s v="2007"/>
    <n v="1"/>
    <x v="0"/>
    <n v="42"/>
    <n v="2.4705882352941178"/>
  </r>
  <r>
    <s v="1526"/>
    <x v="1530"/>
    <n v="8900000"/>
    <x v="4"/>
    <n v="270.62029999999999"/>
    <x v="6"/>
    <n v="13"/>
    <n v="7"/>
    <s v="2005"/>
    <n v="1"/>
    <x v="0"/>
    <n v="6"/>
    <n v="0.8571428571428571"/>
  </r>
  <r>
    <s v="1527"/>
    <x v="1531"/>
    <n v="9600000"/>
    <x v="26"/>
    <n v="270.57389999999998"/>
    <x v="9"/>
    <n v="100"/>
    <n v="20"/>
    <s v="2012"/>
    <n v="2"/>
    <x v="0"/>
    <n v="80"/>
    <n v="4"/>
  </r>
  <r>
    <s v="1528"/>
    <x v="1532"/>
    <n v="6300000"/>
    <x v="11"/>
    <n v="270.46469999999999"/>
    <x v="23"/>
    <n v="42"/>
    <n v="4"/>
    <s v="2009"/>
    <n v="1"/>
    <x v="0"/>
    <n v="38"/>
    <n v="9.5"/>
  </r>
  <r>
    <s v="1529"/>
    <x v="1533"/>
    <n v="5500000"/>
    <x v="26"/>
    <n v="269.959"/>
    <x v="15"/>
    <n v="31"/>
    <n v="9"/>
    <s v="2004"/>
    <n v="1"/>
    <x v="0"/>
    <n v="22"/>
    <n v="2.4444444444444446"/>
  </r>
  <r>
    <s v="1530"/>
    <x v="1534"/>
    <n v="37800000"/>
    <x v="4"/>
    <n v="269.8546"/>
    <x v="15"/>
    <n v="50"/>
    <n v="10"/>
    <s v="2005"/>
    <n v="2"/>
    <x v="0"/>
    <n v="40"/>
    <n v="4"/>
  </r>
  <r>
    <s v="1531"/>
    <x v="1535"/>
    <n v="3300000"/>
    <x v="6"/>
    <n v="269.76900000000001"/>
    <x v="3"/>
    <n v="39"/>
    <n v="8"/>
    <s v="2006"/>
    <n v="1"/>
    <x v="0"/>
    <n v="31"/>
    <n v="3.875"/>
  </r>
  <r>
    <s v="1532"/>
    <x v="1536"/>
    <n v="10100000"/>
    <x v="41"/>
    <n v="269.7466"/>
    <x v="10"/>
    <n v="80"/>
    <n v="9"/>
    <s v="2008"/>
    <n v="3"/>
    <x v="0"/>
    <n v="71"/>
    <n v="7.8888888888888893"/>
  </r>
  <r>
    <s v="1533"/>
    <x v="1537"/>
    <n v="182600000"/>
    <x v="9"/>
    <n v="269.72820000000002"/>
    <x v="5"/>
    <n v="512"/>
    <n v="43"/>
    <s v="2015"/>
    <n v="1"/>
    <x v="0"/>
    <n v="469"/>
    <n v="10.906976744186046"/>
  </r>
  <r>
    <s v="1534"/>
    <x v="1538"/>
    <n v="29600000"/>
    <x v="6"/>
    <n v="269.63639999999998"/>
    <x v="22"/>
    <n v="195"/>
    <n v="54"/>
    <s v="2011"/>
    <n v="2"/>
    <x v="0"/>
    <n v="141"/>
    <n v="2.6111111111111112"/>
  </r>
  <r>
    <s v="1535"/>
    <x v="1539"/>
    <n v="32800000"/>
    <x v="9"/>
    <n v="269.52370000000002"/>
    <x v="9"/>
    <n v="300"/>
    <n v="30"/>
    <s v="2010"/>
    <n v="1"/>
    <x v="0"/>
    <n v="270"/>
    <n v="9"/>
  </r>
  <r>
    <s v="1536"/>
    <x v="1540"/>
    <n v="18400000"/>
    <x v="10"/>
    <n v="269.42410000000001"/>
    <x v="2"/>
    <n v="78"/>
    <n v="71"/>
    <s v="2010"/>
    <n v="2"/>
    <x v="0"/>
    <n v="7"/>
    <n v="9.8591549295774641E-2"/>
  </r>
  <r>
    <s v="1537"/>
    <x v="1541"/>
    <n v="2800000"/>
    <x v="16"/>
    <n v="269.39339999999999"/>
    <x v="3"/>
    <n v="102"/>
    <n v="42"/>
    <s v="1994"/>
    <n v="3"/>
    <x v="0"/>
    <n v="60"/>
    <n v="1.4285714285714286"/>
  </r>
  <r>
    <s v="1538"/>
    <x v="1542"/>
    <n v="7600000"/>
    <x v="23"/>
    <n v="269.31610000000001"/>
    <x v="6"/>
    <n v="40"/>
    <n v="12"/>
    <s v="2005"/>
    <n v="4"/>
    <x v="0"/>
    <n v="28"/>
    <n v="2.3333333333333335"/>
  </r>
  <r>
    <s v="1539"/>
    <x v="1543"/>
    <n v="160700000"/>
    <x v="21"/>
    <n v="269.29109999999997"/>
    <x v="11"/>
    <n v="44"/>
    <n v="18"/>
    <s v="2010"/>
    <n v="4"/>
    <x v="0"/>
    <n v="26"/>
    <n v="1.4444444444444444"/>
  </r>
  <r>
    <s v="1540"/>
    <x v="1544"/>
    <n v="18400000"/>
    <x v="10"/>
    <n v="269.14789999999999"/>
    <x v="23"/>
    <n v="168"/>
    <n v="75"/>
    <s v="2010"/>
    <n v="2"/>
    <x v="0"/>
    <n v="93"/>
    <n v="1.24"/>
  </r>
  <r>
    <s v="1541"/>
    <x v="1545"/>
    <n v="46700000"/>
    <x v="34"/>
    <n v="269.05329999999998"/>
    <x v="9"/>
    <n v="300"/>
    <n v="50"/>
    <s v="1996"/>
    <n v="7"/>
    <x v="0"/>
    <n v="250"/>
    <n v="5"/>
  </r>
  <r>
    <s v="1542"/>
    <x v="1546"/>
    <n v="22000000"/>
    <x v="42"/>
    <n v="269.01130000000001"/>
    <x v="5"/>
    <n v="290"/>
    <n v="30"/>
    <s v="2014"/>
    <n v="1"/>
    <x v="0"/>
    <n v="260"/>
    <n v="8.6666666666666661"/>
  </r>
  <r>
    <s v="1543"/>
    <x v="1547"/>
    <n v="5200000"/>
    <x v="5"/>
    <n v="268.87259999999998"/>
    <x v="5"/>
    <n v="10"/>
    <n v="2"/>
    <s v="2013"/>
    <n v="2"/>
    <x v="0"/>
    <n v="8"/>
    <n v="4"/>
  </r>
  <r>
    <s v="1544"/>
    <x v="1548"/>
    <n v="8700000"/>
    <x v="16"/>
    <n v="268.6139"/>
    <x v="7"/>
    <n v="32"/>
    <n v="12"/>
    <s v="2008"/>
    <n v="4"/>
    <x v="0"/>
    <n v="20"/>
    <n v="1.6666666666666667"/>
  </r>
  <r>
    <s v="1545"/>
    <x v="1549"/>
    <n v="15600000"/>
    <x v="12"/>
    <n v="268.06979999999999"/>
    <x v="3"/>
    <n v="60"/>
    <n v="20"/>
    <s v="1997"/>
    <n v="1"/>
    <x v="0"/>
    <n v="40"/>
    <n v="2"/>
  </r>
  <r>
    <s v="1546"/>
    <x v="1550"/>
    <n v="28400000"/>
    <x v="13"/>
    <n v="267.75659999999999"/>
    <x v="19"/>
    <n v="94"/>
    <n v="27"/>
    <s v="2005"/>
    <n v="3"/>
    <x v="0"/>
    <n v="67"/>
    <n v="2.4814814814814814"/>
  </r>
  <r>
    <s v="1547"/>
    <x v="1551"/>
    <n v="7500000"/>
    <x v="5"/>
    <n v="267.6395"/>
    <x v="14"/>
    <n v="29"/>
    <n v="16"/>
    <s v="2003"/>
    <n v="3"/>
    <x v="0"/>
    <n v="13"/>
    <n v="0.8125"/>
  </r>
  <r>
    <s v="1548"/>
    <x v="1552"/>
    <n v="7600000"/>
    <x v="2"/>
    <n v="267.53969999999998"/>
    <x v="23"/>
    <n v="39"/>
    <n v="5"/>
    <s v="2007"/>
    <n v="2"/>
    <x v="0"/>
    <n v="34"/>
    <n v="6.8"/>
  </r>
  <r>
    <s v="1549"/>
    <x v="1553"/>
    <n v="2400000"/>
    <x v="5"/>
    <n v="267.43020000000001"/>
    <x v="9"/>
    <n v="33"/>
    <n v="20"/>
    <s v="2013"/>
    <n v="2"/>
    <x v="0"/>
    <n v="13"/>
    <n v="0.65"/>
  </r>
  <r>
    <s v="1550"/>
    <x v="1554"/>
    <n v="6000000"/>
    <x v="33"/>
    <n v="267.30369999999999"/>
    <x v="4"/>
    <n v="14"/>
    <n v="5"/>
    <s v="2013"/>
    <n v="2"/>
    <x v="0"/>
    <n v="9"/>
    <n v="1.8"/>
  </r>
  <r>
    <s v="1551"/>
    <x v="1555"/>
    <n v="288100000"/>
    <x v="5"/>
    <n v="267.25869999999998"/>
    <x v="15"/>
    <n v="108"/>
    <n v="80"/>
    <s v="1998"/>
    <n v="3"/>
    <x v="0"/>
    <n v="28"/>
    <n v="0.35"/>
  </r>
  <r>
    <s v="1552"/>
    <x v="1556"/>
    <n v="10700000"/>
    <x v="2"/>
    <n v="267.19839999999999"/>
    <x v="23"/>
    <n v="56"/>
    <n v="17"/>
    <s v="2011"/>
    <n v="3"/>
    <x v="0"/>
    <n v="39"/>
    <n v="2.2941176470588234"/>
  </r>
  <r>
    <s v="1553"/>
    <x v="1557"/>
    <n v="2700000"/>
    <x v="23"/>
    <n v="267.1003"/>
    <x v="11"/>
    <n v="23"/>
    <n v="8"/>
    <s v="2012"/>
    <n v="1"/>
    <x v="0"/>
    <n v="15"/>
    <n v="1.875"/>
  </r>
  <r>
    <s v="1554"/>
    <x v="1558"/>
    <n v="40100000"/>
    <x v="12"/>
    <n v="267.07639999999998"/>
    <x v="15"/>
    <n v="111"/>
    <n v="35"/>
    <s v="1899"/>
    <n v="1"/>
    <x v="0"/>
    <n v="76"/>
    <n v="2.1714285714285713"/>
  </r>
  <r>
    <s v="1555"/>
    <x v="1559"/>
    <n v="4400000"/>
    <x v="21"/>
    <n v="266.64769999999999"/>
    <x v="18"/>
    <n v="40"/>
    <n v="12"/>
    <s v="2012"/>
    <n v="2"/>
    <x v="0"/>
    <n v="28"/>
    <n v="2.3333333333333335"/>
  </r>
  <r>
    <s v="1556"/>
    <x v="1560"/>
    <n v="3300000"/>
    <x v="7"/>
    <n v="266.63290000000001"/>
    <x v="11"/>
    <n v="48"/>
    <n v="13"/>
    <s v="2005"/>
    <n v="3"/>
    <x v="0"/>
    <n v="35"/>
    <n v="2.6923076923076925"/>
  </r>
  <r>
    <s v="1557"/>
    <x v="1561"/>
    <n v="16000000"/>
    <x v="11"/>
    <n v="266.58260000000001"/>
    <x v="7"/>
    <n v="56"/>
    <n v="24"/>
    <s v="2012"/>
    <n v="4"/>
    <x v="0"/>
    <n v="32"/>
    <n v="1.3333333333333333"/>
  </r>
  <r>
    <s v="1558"/>
    <x v="1562"/>
    <n v="13500000"/>
    <x v="32"/>
    <n v="266.54000000000002"/>
    <x v="9"/>
    <n v="220"/>
    <n v="30"/>
    <s v="2004"/>
    <n v="3"/>
    <x v="0"/>
    <n v="190"/>
    <n v="6.333333333333333"/>
  </r>
  <r>
    <s v="1559"/>
    <x v="1563"/>
    <n v="11800000"/>
    <x v="5"/>
    <n v="266.49119999999999"/>
    <x v="11"/>
    <n v="117"/>
    <n v="21"/>
    <s v="2012"/>
    <n v="4"/>
    <x v="0"/>
    <n v="96"/>
    <n v="4.5714285714285712"/>
  </r>
  <r>
    <s v="1560"/>
    <x v="1564"/>
    <n v="3300000"/>
    <x v="9"/>
    <n v="266.18329999999997"/>
    <x v="20"/>
    <n v="50"/>
    <n v="10"/>
    <s v="2014"/>
    <n v="1"/>
    <x v="0"/>
    <n v="40"/>
    <n v="4"/>
  </r>
  <r>
    <s v="1561"/>
    <x v="1565"/>
    <n v="16100000"/>
    <x v="27"/>
    <n v="265.80200000000002"/>
    <x v="20"/>
    <n v="44"/>
    <n v="21"/>
    <s v="2006"/>
    <n v="1"/>
    <x v="0"/>
    <n v="23"/>
    <n v="1.0952380952380953"/>
  </r>
  <r>
    <s v="1562"/>
    <x v="1566"/>
    <n v="7300000"/>
    <x v="18"/>
    <n v="265.16590000000002"/>
    <x v="3"/>
    <n v="15"/>
    <n v="3"/>
    <s v="2009"/>
    <n v="1"/>
    <x v="0"/>
    <n v="12"/>
    <n v="4"/>
  </r>
  <r>
    <s v="1563"/>
    <x v="1567"/>
    <n v="25100000"/>
    <x v="18"/>
    <n v="264.80439999999999"/>
    <x v="19"/>
    <n v="76"/>
    <n v="20"/>
    <s v="2014"/>
    <n v="1"/>
    <x v="0"/>
    <n v="56"/>
    <n v="2.8"/>
  </r>
  <r>
    <s v="1564"/>
    <x v="1568"/>
    <n v="2800000"/>
    <x v="2"/>
    <n v="264.75439999999998"/>
    <x v="23"/>
    <n v="14"/>
    <n v="9"/>
    <s v="2010"/>
    <n v="1"/>
    <x v="0"/>
    <n v="5"/>
    <n v="0.55555555555555558"/>
  </r>
  <r>
    <s v="1565"/>
    <x v="1569"/>
    <n v="5000000"/>
    <x v="12"/>
    <n v="264.30200000000002"/>
    <x v="0"/>
    <n v="25"/>
    <n v="13"/>
    <s v="2005"/>
    <n v="4"/>
    <x v="0"/>
    <n v="12"/>
    <n v="0.92307692307692313"/>
  </r>
  <r>
    <s v="1566"/>
    <x v="1570"/>
    <n v="12700000"/>
    <x v="32"/>
    <n v="264.18889999999999"/>
    <x v="16"/>
    <n v="400"/>
    <n v="120"/>
    <s v="2012"/>
    <n v="3"/>
    <x v="0"/>
    <n v="280"/>
    <n v="2.3333333333333335"/>
  </r>
  <r>
    <s v="1567"/>
    <x v="1571"/>
    <n v="114400000"/>
    <x v="24"/>
    <n v="263.99919999999997"/>
    <x v="19"/>
    <n v="700"/>
    <n v="300"/>
    <s v="2009"/>
    <n v="2"/>
    <x v="0"/>
    <n v="400"/>
    <n v="1.3333333333333333"/>
  </r>
  <r>
    <s v="1568"/>
    <x v="1572"/>
    <n v="11600000"/>
    <x v="12"/>
    <n v="263.65449999999998"/>
    <x v="8"/>
    <n v="49"/>
    <n v="16"/>
    <s v="2011"/>
    <n v="3"/>
    <x v="0"/>
    <n v="33"/>
    <n v="2.0625"/>
  </r>
  <r>
    <s v="1569"/>
    <x v="1573"/>
    <n v="18400000"/>
    <x v="13"/>
    <n v="263.44349999999997"/>
    <x v="26"/>
    <n v="144"/>
    <n v="25"/>
    <s v="2005"/>
    <n v="1"/>
    <x v="0"/>
    <n v="119"/>
    <n v="4.76"/>
  </r>
  <r>
    <s v="1570"/>
    <x v="1574"/>
    <n v="5400000"/>
    <x v="11"/>
    <n v="263.43200000000002"/>
    <x v="5"/>
    <n v="160"/>
    <n v="35"/>
    <s v="1999"/>
    <n v="3"/>
    <x v="0"/>
    <n v="125"/>
    <n v="3.5714285714285716"/>
  </r>
  <r>
    <s v="1571"/>
    <x v="1575"/>
    <n v="2900000"/>
    <x v="8"/>
    <n v="263.36509999999998"/>
    <x v="0"/>
    <n v="19"/>
    <n v="9"/>
    <s v="2009"/>
    <n v="1"/>
    <x v="0"/>
    <n v="10"/>
    <n v="1.1111111111111112"/>
  </r>
  <r>
    <s v="1572"/>
    <x v="1576"/>
    <n v="18900000"/>
    <x v="5"/>
    <n v="262.78179999999998"/>
    <x v="6"/>
    <n v="67"/>
    <n v="50"/>
    <s v="2003"/>
    <n v="4"/>
    <x v="0"/>
    <n v="17"/>
    <n v="0.34"/>
  </r>
  <r>
    <s v="1573"/>
    <x v="1577"/>
    <n v="17900000"/>
    <x v="7"/>
    <n v="262.47910000000002"/>
    <x v="19"/>
    <n v="112"/>
    <n v="34"/>
    <s v="2006"/>
    <n v="4"/>
    <x v="0"/>
    <n v="78"/>
    <n v="2.2941176470588234"/>
  </r>
  <r>
    <s v="1574"/>
    <x v="1578"/>
    <n v="6100000"/>
    <x v="18"/>
    <n v="262.41390000000001"/>
    <x v="0"/>
    <n v="14"/>
    <n v="7"/>
    <s v="2014"/>
    <n v="1"/>
    <x v="0"/>
    <n v="7"/>
    <n v="1"/>
  </r>
  <r>
    <s v="1575"/>
    <x v="1579"/>
    <n v="48500000"/>
    <x v="9"/>
    <n v="262.34030000000001"/>
    <x v="0"/>
    <n v="221"/>
    <n v="37"/>
    <s v="2014"/>
    <n v="2"/>
    <x v="0"/>
    <n v="184"/>
    <n v="4.9729729729729728"/>
  </r>
  <r>
    <s v="1576"/>
    <x v="1580"/>
    <n v="741400000"/>
    <x v="6"/>
    <n v="262.3297"/>
    <x v="23"/>
    <n v="1880"/>
    <n v="360"/>
    <s v="1993"/>
    <n v="4"/>
    <x v="0"/>
    <n v="1520"/>
    <n v="4.2222222222222223"/>
  </r>
  <r>
    <s v="1577"/>
    <x v="1581"/>
    <n v="117600000"/>
    <x v="7"/>
    <n v="262.27210000000002"/>
    <x v="11"/>
    <n v="646"/>
    <n v="167"/>
    <s v="2005"/>
    <n v="8"/>
    <x v="0"/>
    <n v="479"/>
    <n v="2.8682634730538923"/>
  </r>
  <r>
    <s v="1578"/>
    <x v="1582"/>
    <n v="7000000"/>
    <x v="12"/>
    <n v="262.05279999999999"/>
    <x v="13"/>
    <n v="4"/>
    <n v="5"/>
    <s v="2010"/>
    <n v="1"/>
    <x v="1"/>
    <n v="-1"/>
    <n v="-0.2"/>
  </r>
  <r>
    <s v="1579"/>
    <x v="1583"/>
    <n v="4300000"/>
    <x v="8"/>
    <n v="262.00080000000003"/>
    <x v="9"/>
    <n v="47"/>
    <n v="17"/>
    <s v="2012"/>
    <n v="3"/>
    <x v="0"/>
    <n v="30"/>
    <n v="1.7647058823529411"/>
  </r>
  <r>
    <s v="1580"/>
    <x v="1584"/>
    <n v="5300000"/>
    <x v="24"/>
    <n v="261.9162"/>
    <x v="20"/>
    <n v="50"/>
    <n v="30"/>
    <s v="2011"/>
    <n v="1"/>
    <x v="0"/>
    <n v="20"/>
    <n v="0.66666666666666663"/>
  </r>
  <r>
    <s v="1581"/>
    <x v="1585"/>
    <n v="2500000"/>
    <x v="9"/>
    <n v="261.86320000000001"/>
    <x v="3"/>
    <n v="6"/>
    <n v="2"/>
    <s v="2014"/>
    <n v="1"/>
    <x v="0"/>
    <n v="4"/>
    <n v="2"/>
  </r>
  <r>
    <s v="1582"/>
    <x v="1586"/>
    <n v="6000000"/>
    <x v="6"/>
    <n v="261.6157"/>
    <x v="14"/>
    <n v="59"/>
    <n v="16"/>
    <s v="2013"/>
    <n v="2"/>
    <x v="0"/>
    <n v="43"/>
    <n v="2.6875"/>
  </r>
  <r>
    <s v="1583"/>
    <x v="1587"/>
    <n v="3400000"/>
    <x v="9"/>
    <n v="261.13799999999998"/>
    <x v="9"/>
    <n v="60"/>
    <n v="20"/>
    <s v="2011"/>
    <n v="3"/>
    <x v="0"/>
    <n v="40"/>
    <n v="2"/>
  </r>
  <r>
    <s v="1584"/>
    <x v="1588"/>
    <n v="3200000"/>
    <x v="20"/>
    <n v="260.02190000000002"/>
    <x v="12"/>
    <n v="20"/>
    <n v="2"/>
    <s v="2009"/>
    <n v="1"/>
    <x v="0"/>
    <n v="18"/>
    <n v="9"/>
  </r>
  <r>
    <s v="1585"/>
    <x v="1589"/>
    <n v="7600000"/>
    <x v="20"/>
    <n v="259.9332"/>
    <x v="24"/>
    <n v="37"/>
    <n v="13"/>
    <s v="2009"/>
    <n v="5"/>
    <x v="0"/>
    <n v="24"/>
    <n v="1.8461538461538463"/>
  </r>
  <r>
    <s v="1586"/>
    <x v="1590"/>
    <n v="4900000"/>
    <x v="2"/>
    <n v="259.42529999999999"/>
    <x v="9"/>
    <n v="16"/>
    <n v="6"/>
    <s v="2008"/>
    <n v="1"/>
    <x v="0"/>
    <n v="10"/>
    <n v="1.6666666666666667"/>
  </r>
  <r>
    <s v="1587"/>
    <x v="1591"/>
    <n v="48900000"/>
    <x v="29"/>
    <n v="259.33019999999999"/>
    <x v="2"/>
    <n v="22"/>
    <n v="8"/>
    <s v="2012"/>
    <n v="2"/>
    <x v="0"/>
    <n v="14"/>
    <n v="1.75"/>
  </r>
  <r>
    <s v="1588"/>
    <x v="1592"/>
    <n v="6400000"/>
    <x v="5"/>
    <n v="258.61079999999998"/>
    <x v="3"/>
    <n v="8"/>
    <n v="6"/>
    <s v="2013"/>
    <n v="2"/>
    <x v="0"/>
    <n v="2"/>
    <n v="0.33333333333333331"/>
  </r>
  <r>
    <s v="1589"/>
    <x v="1593"/>
    <n v="7400000"/>
    <x v="11"/>
    <n v="258.37619999999998"/>
    <x v="19"/>
    <n v="11"/>
    <n v="4"/>
    <s v="2011"/>
    <n v="1"/>
    <x v="0"/>
    <n v="7"/>
    <n v="1.75"/>
  </r>
  <r>
    <s v="1590"/>
    <x v="1594"/>
    <n v="7000000"/>
    <x v="34"/>
    <n v="258.37529999999998"/>
    <x v="19"/>
    <n v="42"/>
    <n v="10"/>
    <s v="2014"/>
    <n v="3"/>
    <x v="0"/>
    <n v="32"/>
    <n v="3.2"/>
  </r>
  <r>
    <s v="1591"/>
    <x v="1595"/>
    <n v="16900000"/>
    <x v="23"/>
    <n v="258.27510000000001"/>
    <x v="11"/>
    <n v="97"/>
    <n v="38"/>
    <s v="2007"/>
    <n v="3"/>
    <x v="0"/>
    <n v="59"/>
    <n v="1.5526315789473684"/>
  </r>
  <r>
    <s v="1592"/>
    <x v="1596"/>
    <n v="33500000"/>
    <x v="12"/>
    <n v="258.202"/>
    <x v="21"/>
    <n v="470"/>
    <n v="150"/>
    <s v="2001"/>
    <n v="4"/>
    <x v="0"/>
    <n v="320"/>
    <n v="2.1333333333333333"/>
  </r>
  <r>
    <s v="1593"/>
    <x v="1597"/>
    <n v="6600000"/>
    <x v="11"/>
    <n v="257.98899999999998"/>
    <x v="12"/>
    <n v="21"/>
    <n v="19"/>
    <s v="2010"/>
    <n v="4"/>
    <x v="0"/>
    <n v="2"/>
    <n v="0.10526315789473684"/>
  </r>
  <r>
    <s v="1594"/>
    <x v="1598"/>
    <n v="3600000"/>
    <x v="21"/>
    <n v="257.90069999999997"/>
    <x v="12"/>
    <n v="231"/>
    <n v="78"/>
    <s v="2014"/>
    <n v="2"/>
    <x v="0"/>
    <n v="153"/>
    <n v="1.9615384615384615"/>
  </r>
  <r>
    <s v="1595"/>
    <x v="1599"/>
    <n v="2100000"/>
    <x v="2"/>
    <n v="257.69349999999997"/>
    <x v="23"/>
    <n v="28"/>
    <n v="7"/>
    <s v="2009"/>
    <n v="1"/>
    <x v="0"/>
    <n v="21"/>
    <n v="3"/>
  </r>
  <r>
    <s v="1596"/>
    <x v="1600"/>
    <n v="80500000"/>
    <x v="27"/>
    <n v="257.67989999999998"/>
    <x v="1"/>
    <n v="120"/>
    <n v="36"/>
    <s v="1997"/>
    <n v="2"/>
    <x v="0"/>
    <n v="84"/>
    <n v="2.3333333333333335"/>
  </r>
  <r>
    <s v="1597"/>
    <x v="1601"/>
    <n v="8900000"/>
    <x v="9"/>
    <n v="257.33260000000001"/>
    <x v="25"/>
    <n v="44"/>
    <n v="15"/>
    <s v="2013"/>
    <n v="2"/>
    <x v="0"/>
    <n v="29"/>
    <n v="1.9333333333333333"/>
  </r>
  <r>
    <s v="1598"/>
    <x v="1602"/>
    <n v="48800000"/>
    <x v="9"/>
    <n v="257.05610000000001"/>
    <x v="9"/>
    <n v="210"/>
    <n v="232"/>
    <s v="2009"/>
    <n v="1"/>
    <x v="1"/>
    <n v="-22"/>
    <n v="-9.4827586206896547E-2"/>
  </r>
  <r>
    <s v="1599"/>
    <x v="1603"/>
    <n v="3500000"/>
    <x v="12"/>
    <n v="257.03789999999998"/>
    <x v="9"/>
    <n v="25"/>
    <n v="6"/>
    <s v="2013"/>
    <n v="1"/>
    <x v="0"/>
    <n v="19"/>
    <n v="3.1666666666666665"/>
  </r>
  <r>
    <s v="1600"/>
    <x v="1604"/>
    <n v="21200000"/>
    <x v="13"/>
    <n v="256.97089999999997"/>
    <x v="11"/>
    <n v="326"/>
    <n v="58"/>
    <s v="2009"/>
    <n v="2"/>
    <x v="0"/>
    <n v="268"/>
    <n v="4.6206896551724137"/>
  </r>
  <r>
    <s v="1601"/>
    <x v="1605"/>
    <n v="5600000"/>
    <x v="18"/>
    <n v="256.8528"/>
    <x v="9"/>
    <n v="40"/>
    <n v="15"/>
    <s v="2013"/>
    <n v="1"/>
    <x v="0"/>
    <n v="25"/>
    <n v="1.6666666666666667"/>
  </r>
  <r>
    <s v="1602"/>
    <x v="1606"/>
    <n v="3700000"/>
    <x v="9"/>
    <n v="256.8116"/>
    <x v="5"/>
    <n v="7"/>
    <n v="5"/>
    <s v="2002"/>
    <n v="2"/>
    <x v="0"/>
    <n v="2"/>
    <n v="0.4"/>
  </r>
  <r>
    <s v="1603"/>
    <x v="1607"/>
    <n v="3400000"/>
    <x v="2"/>
    <n v="256.68849999999998"/>
    <x v="4"/>
    <n v="9"/>
    <n v="3"/>
    <s v="2012"/>
    <n v="3"/>
    <x v="0"/>
    <n v="6"/>
    <n v="2"/>
  </r>
  <r>
    <s v="1604"/>
    <x v="1608"/>
    <n v="2200000"/>
    <x v="12"/>
    <n v="256.54309999999998"/>
    <x v="3"/>
    <n v="25"/>
    <n v="10"/>
    <s v="2009"/>
    <n v="1"/>
    <x v="0"/>
    <n v="15"/>
    <n v="1.5"/>
  </r>
  <r>
    <s v="1605"/>
    <x v="1609"/>
    <n v="11500000"/>
    <x v="27"/>
    <n v="256.45929999999998"/>
    <x v="12"/>
    <n v="49"/>
    <n v="25"/>
    <s v="2008"/>
    <n v="5"/>
    <x v="0"/>
    <n v="24"/>
    <n v="0.96"/>
  </r>
  <r>
    <s v="1606"/>
    <x v="1610"/>
    <n v="4000000"/>
    <x v="33"/>
    <n v="256.41649999999998"/>
    <x v="23"/>
    <n v="21"/>
    <n v="7"/>
    <s v="2014"/>
    <n v="2"/>
    <x v="0"/>
    <n v="14"/>
    <n v="2"/>
  </r>
  <r>
    <s v="1607"/>
    <x v="1611"/>
    <n v="12100000"/>
    <x v="5"/>
    <n v="256.3098"/>
    <x v="15"/>
    <n v="5"/>
    <n v="2"/>
    <s v="2012"/>
    <n v="2"/>
    <x v="0"/>
    <n v="3"/>
    <n v="1.5"/>
  </r>
  <r>
    <s v="1608"/>
    <x v="1612"/>
    <n v="9700000"/>
    <x v="29"/>
    <n v="256.29680000000002"/>
    <x v="3"/>
    <n v="649"/>
    <n v="168"/>
    <s v="2013"/>
    <n v="1"/>
    <x v="0"/>
    <n v="481"/>
    <n v="2.8630952380952381"/>
  </r>
  <r>
    <s v="1609"/>
    <x v="1613"/>
    <n v="25100000"/>
    <x v="21"/>
    <n v="256.11790000000002"/>
    <x v="16"/>
    <n v="100"/>
    <n v="20"/>
    <s v="2003"/>
    <n v="2"/>
    <x v="0"/>
    <n v="80"/>
    <n v="4"/>
  </r>
  <r>
    <s v="1610"/>
    <x v="1614"/>
    <n v="2000000"/>
    <x v="8"/>
    <n v="256.07510000000002"/>
    <x v="0"/>
    <n v="13"/>
    <n v="5"/>
    <s v="2013"/>
    <n v="1"/>
    <x v="0"/>
    <n v="8"/>
    <n v="1.6"/>
  </r>
  <r>
    <s v="1611"/>
    <x v="1615"/>
    <n v="14800000"/>
    <x v="9"/>
    <n v="255.74639999999999"/>
    <x v="6"/>
    <n v="50"/>
    <n v="35"/>
    <s v="2011"/>
    <n v="3"/>
    <x v="0"/>
    <n v="15"/>
    <n v="0.42857142857142855"/>
  </r>
  <r>
    <s v="1612"/>
    <x v="1616"/>
    <n v="7000000"/>
    <x v="33"/>
    <n v="255.50030000000001"/>
    <x v="9"/>
    <n v="60"/>
    <n v="15"/>
    <s v="2006"/>
    <n v="1"/>
    <x v="0"/>
    <n v="45"/>
    <n v="3"/>
  </r>
  <r>
    <s v="1613"/>
    <x v="1617"/>
    <n v="5600000"/>
    <x v="21"/>
    <n v="255.46289999999999"/>
    <x v="4"/>
    <n v="18"/>
    <n v="4"/>
    <s v="2013"/>
    <n v="2"/>
    <x v="0"/>
    <n v="14"/>
    <n v="3.5"/>
  </r>
  <r>
    <s v="1614"/>
    <x v="1618"/>
    <n v="3200000"/>
    <x v="2"/>
    <n v="255.2655"/>
    <x v="4"/>
    <n v="13"/>
    <n v="4"/>
    <s v="2013"/>
    <n v="2"/>
    <x v="0"/>
    <n v="9"/>
    <n v="2.25"/>
  </r>
  <r>
    <s v="1615"/>
    <x v="1619"/>
    <n v="4200000"/>
    <x v="18"/>
    <n v="255.2654"/>
    <x v="23"/>
    <n v="9"/>
    <n v="4"/>
    <s v="2005"/>
    <n v="2"/>
    <x v="0"/>
    <n v="5"/>
    <n v="1.25"/>
  </r>
  <r>
    <s v="1616"/>
    <x v="1620"/>
    <n v="2600000"/>
    <x v="9"/>
    <n v="255.2527"/>
    <x v="0"/>
    <n v="11"/>
    <n v="4"/>
    <s v="2013"/>
    <n v="2"/>
    <x v="0"/>
    <n v="7"/>
    <n v="1.75"/>
  </r>
  <r>
    <s v="1617"/>
    <x v="1621"/>
    <n v="5800000000"/>
    <x v="9"/>
    <n v="255.1902"/>
    <x v="18"/>
    <n v="155000"/>
    <n v="36469"/>
    <s v="1957"/>
    <n v="10"/>
    <x v="0"/>
    <n v="118531"/>
    <n v="3.250185088705476"/>
  </r>
  <r>
    <s v="1618"/>
    <x v="1622"/>
    <n v="10000000"/>
    <x v="7"/>
    <n v="254.81319999999999"/>
    <x v="11"/>
    <n v="140"/>
    <n v="60"/>
    <s v="2008"/>
    <n v="2"/>
    <x v="0"/>
    <n v="80"/>
    <n v="1.3333333333333333"/>
  </r>
  <r>
    <s v="1619"/>
    <x v="1623"/>
    <n v="8300000"/>
    <x v="7"/>
    <n v="254.78550000000001"/>
    <x v="11"/>
    <n v="28"/>
    <n v="10"/>
    <s v="2013"/>
    <n v="3"/>
    <x v="0"/>
    <n v="18"/>
    <n v="1.8"/>
  </r>
  <r>
    <s v="1620"/>
    <x v="1624"/>
    <n v="50600000"/>
    <x v="9"/>
    <n v="254.74719999999999"/>
    <x v="9"/>
    <n v="253"/>
    <n v="106"/>
    <s v="2008"/>
    <n v="4"/>
    <x v="0"/>
    <n v="147"/>
    <n v="1.3867924528301887"/>
  </r>
  <r>
    <s v="1621"/>
    <x v="1625"/>
    <n v="9500000"/>
    <x v="2"/>
    <n v="254.67769999999999"/>
    <x v="15"/>
    <n v="29"/>
    <n v="13"/>
    <s v="1997"/>
    <n v="1"/>
    <x v="0"/>
    <n v="16"/>
    <n v="1.2307692307692308"/>
  </r>
  <r>
    <s v="1622"/>
    <x v="1626"/>
    <n v="6300000"/>
    <x v="5"/>
    <n v="254.35390000000001"/>
    <x v="22"/>
    <n v="7"/>
    <n v="3"/>
    <s v="2009"/>
    <n v="1"/>
    <x v="0"/>
    <n v="4"/>
    <n v="1.3333333333333333"/>
  </r>
  <r>
    <s v="1623"/>
    <x v="1627"/>
    <n v="2800000"/>
    <x v="12"/>
    <n v="254.21690000000001"/>
    <x v="0"/>
    <n v="7"/>
    <n v="3"/>
    <s v="2013"/>
    <n v="2"/>
    <x v="0"/>
    <n v="4"/>
    <n v="1.3333333333333333"/>
  </r>
  <r>
    <s v="1624"/>
    <x v="1628"/>
    <n v="32800000"/>
    <x v="13"/>
    <n v="254.001"/>
    <x v="20"/>
    <n v="7"/>
    <n v="4"/>
    <s v="2007"/>
    <n v="3"/>
    <x v="0"/>
    <n v="3"/>
    <n v="0.75"/>
  </r>
  <r>
    <s v="1625"/>
    <x v="1629"/>
    <n v="3100000"/>
    <x v="6"/>
    <n v="253.78059999999999"/>
    <x v="5"/>
    <n v="7"/>
    <n v="3"/>
    <s v="2015"/>
    <n v="1"/>
    <x v="0"/>
    <n v="4"/>
    <n v="1.3333333333333333"/>
  </r>
  <r>
    <s v="1626"/>
    <x v="1630"/>
    <n v="3800000"/>
    <x v="9"/>
    <n v="253.75399999999999"/>
    <x v="0"/>
    <n v="17"/>
    <n v="6"/>
    <s v="2014"/>
    <n v="2"/>
    <x v="0"/>
    <n v="11"/>
    <n v="1.8333333333333333"/>
  </r>
  <r>
    <s v="1627"/>
    <x v="1631"/>
    <n v="3100000"/>
    <x v="24"/>
    <n v="253.56200000000001"/>
    <x v="4"/>
    <n v="6"/>
    <n v="3"/>
    <s v="2012"/>
    <n v="1"/>
    <x v="0"/>
    <n v="3"/>
    <n v="1"/>
  </r>
  <r>
    <s v="1628"/>
    <x v="1632"/>
    <n v="53300000"/>
    <x v="2"/>
    <n v="253.49510000000001"/>
    <x v="3"/>
    <n v="82"/>
    <n v="38"/>
    <s v="2008"/>
    <n v="7"/>
    <x v="0"/>
    <n v="44"/>
    <n v="1.1578947368421053"/>
  </r>
  <r>
    <s v="1629"/>
    <x v="1633"/>
    <n v="89500000"/>
    <x v="0"/>
    <n v="253.26750000000001"/>
    <x v="15"/>
    <n v="72"/>
    <n v="22"/>
    <s v="2002"/>
    <n v="1"/>
    <x v="0"/>
    <n v="50"/>
    <n v="2.2727272727272729"/>
  </r>
  <r>
    <s v="1630"/>
    <x v="1634"/>
    <n v="58200000"/>
    <x v="7"/>
    <n v="253.26410000000001"/>
    <x v="11"/>
    <n v="400"/>
    <n v="150"/>
    <s v="2010"/>
    <n v="6"/>
    <x v="0"/>
    <n v="250"/>
    <n v="1.6666666666666667"/>
  </r>
  <r>
    <s v="1631"/>
    <x v="1635"/>
    <n v="28300000"/>
    <x v="9"/>
    <n v="253.06059999999999"/>
    <x v="0"/>
    <n v="9"/>
    <n v="2"/>
    <s v="2004"/>
    <n v="5"/>
    <x v="0"/>
    <n v="7"/>
    <n v="3.5"/>
  </r>
  <r>
    <s v="1632"/>
    <x v="1636"/>
    <n v="2800000"/>
    <x v="22"/>
    <n v="252.98490000000001"/>
    <x v="2"/>
    <n v="45"/>
    <n v="16"/>
    <s v="2014"/>
    <n v="1"/>
    <x v="0"/>
    <n v="29"/>
    <n v="1.8125"/>
  </r>
  <r>
    <s v="1633"/>
    <x v="1637"/>
    <n v="9100000"/>
    <x v="20"/>
    <n v="252.32740000000001"/>
    <x v="2"/>
    <n v="56"/>
    <n v="19"/>
    <s v="2010"/>
    <n v="1"/>
    <x v="0"/>
    <n v="37"/>
    <n v="1.9473684210526316"/>
  </r>
  <r>
    <s v="1634"/>
    <x v="1638"/>
    <n v="7300000"/>
    <x v="18"/>
    <n v="252.1463"/>
    <x v="15"/>
    <n v="28"/>
    <n v="20"/>
    <s v="2012"/>
    <n v="2"/>
    <x v="0"/>
    <n v="8"/>
    <n v="0.4"/>
  </r>
  <r>
    <s v="1635"/>
    <x v="1639"/>
    <n v="6900000"/>
    <x v="8"/>
    <n v="252.0455"/>
    <x v="9"/>
    <n v="44"/>
    <n v="9"/>
    <s v="2007"/>
    <n v="3"/>
    <x v="0"/>
    <n v="35"/>
    <n v="3.8888888888888888"/>
  </r>
  <r>
    <s v="1636"/>
    <x v="1640"/>
    <n v="3600000"/>
    <x v="1"/>
    <n v="251.95419999999999"/>
    <x v="15"/>
    <n v="8"/>
    <n v="3"/>
    <s v="1988"/>
    <n v="1"/>
    <x v="0"/>
    <n v="5"/>
    <n v="1.6666666666666667"/>
  </r>
  <r>
    <s v="1637"/>
    <x v="1641"/>
    <n v="2100000"/>
    <x v="9"/>
    <n v="251.92230000000001"/>
    <x v="2"/>
    <n v="1"/>
    <n v="1"/>
    <s v="2009"/>
    <n v="2"/>
    <x v="1"/>
    <n v="0"/>
    <n v="0"/>
  </r>
  <r>
    <s v="1638"/>
    <x v="1642"/>
    <n v="12600000"/>
    <x v="4"/>
    <n v="251.71100000000001"/>
    <x v="1"/>
    <n v="16"/>
    <n v="3"/>
    <s v="2009"/>
    <n v="5"/>
    <x v="0"/>
    <n v="13"/>
    <n v="4.333333333333333"/>
  </r>
  <r>
    <s v="1639"/>
    <x v="1643"/>
    <n v="25100000"/>
    <x v="2"/>
    <n v="251.57380000000001"/>
    <x v="7"/>
    <n v="190"/>
    <n v="110"/>
    <s v="2003"/>
    <n v="4"/>
    <x v="0"/>
    <n v="80"/>
    <n v="0.72727272727272729"/>
  </r>
  <r>
    <s v="1640"/>
    <x v="1644"/>
    <n v="8400000"/>
    <x v="12"/>
    <n v="251.5163"/>
    <x v="0"/>
    <n v="35"/>
    <n v="10"/>
    <s v="2011"/>
    <n v="4"/>
    <x v="0"/>
    <n v="25"/>
    <n v="2.5"/>
  </r>
  <r>
    <s v="1641"/>
    <x v="1645"/>
    <n v="26100000"/>
    <x v="13"/>
    <n v="251.51390000000001"/>
    <x v="9"/>
    <n v="320"/>
    <n v="78"/>
    <s v="2011"/>
    <n v="2"/>
    <x v="0"/>
    <n v="242"/>
    <n v="3.1025641025641026"/>
  </r>
  <r>
    <s v="1642"/>
    <x v="1646"/>
    <n v="11600000"/>
    <x v="9"/>
    <n v="251.34360000000001"/>
    <x v="19"/>
    <n v="7"/>
    <n v="3"/>
    <s v="2013"/>
    <n v="3"/>
    <x v="0"/>
    <n v="4"/>
    <n v="1.3333333333333333"/>
  </r>
  <r>
    <s v="1643"/>
    <x v="1647"/>
    <n v="2000000"/>
    <x v="8"/>
    <n v="251.3099"/>
    <x v="0"/>
    <n v="14"/>
    <n v="3"/>
    <s v="2014"/>
    <n v="1"/>
    <x v="0"/>
    <n v="11"/>
    <n v="3.6666666666666665"/>
  </r>
  <r>
    <s v="1644"/>
    <x v="1648"/>
    <n v="14300000"/>
    <x v="27"/>
    <n v="251.05680000000001"/>
    <x v="1"/>
    <n v="25"/>
    <n v="10"/>
    <s v="2009"/>
    <n v="3"/>
    <x v="0"/>
    <n v="15"/>
    <n v="1.5"/>
  </r>
  <r>
    <s v="1645"/>
    <x v="1649"/>
    <n v="13100000"/>
    <x v="9"/>
    <n v="250.64109999999999"/>
    <x v="24"/>
    <n v="25"/>
    <n v="15"/>
    <s v="2009"/>
    <n v="4"/>
    <x v="0"/>
    <n v="10"/>
    <n v="0.66666666666666663"/>
  </r>
  <r>
    <s v="1646"/>
    <x v="1650"/>
    <n v="2100000"/>
    <x v="31"/>
    <n v="250.6396"/>
    <x v="5"/>
    <n v="5"/>
    <n v="2"/>
    <s v="2012"/>
    <n v="1"/>
    <x v="0"/>
    <n v="3"/>
    <n v="1.5"/>
  </r>
  <r>
    <s v="1647"/>
    <x v="1651"/>
    <n v="2700000"/>
    <x v="5"/>
    <n v="250.50700000000001"/>
    <x v="13"/>
    <n v="8"/>
    <n v="5"/>
    <s v="1998"/>
    <n v="2"/>
    <x v="0"/>
    <n v="3"/>
    <n v="0.6"/>
  </r>
  <r>
    <s v="1648"/>
    <x v="1652"/>
    <n v="2700000"/>
    <x v="5"/>
    <n v="249.88679999999999"/>
    <x v="22"/>
    <n v="23"/>
    <n v="12"/>
    <s v="2014"/>
    <n v="1"/>
    <x v="0"/>
    <n v="11"/>
    <n v="0.91666666666666663"/>
  </r>
  <r>
    <s v="1649"/>
    <x v="1653"/>
    <n v="7800000"/>
    <x v="27"/>
    <n v="249.82679999999999"/>
    <x v="13"/>
    <n v="38"/>
    <n v="35"/>
    <s v="1990"/>
    <n v="1"/>
    <x v="0"/>
    <n v="3"/>
    <n v="8.5714285714285715E-2"/>
  </r>
  <r>
    <s v="1650"/>
    <x v="1654"/>
    <n v="12500000"/>
    <x v="2"/>
    <n v="249.30600000000001"/>
    <x v="13"/>
    <n v="12"/>
    <n v="8"/>
    <s v="2001"/>
    <n v="2"/>
    <x v="0"/>
    <n v="4"/>
    <n v="0.5"/>
  </r>
  <r>
    <s v="1651"/>
    <x v="1655"/>
    <n v="5000000"/>
    <x v="23"/>
    <n v="249.29390000000001"/>
    <x v="11"/>
    <n v="26"/>
    <n v="13"/>
    <s v="2011"/>
    <n v="1"/>
    <x v="0"/>
    <n v="13"/>
    <n v="1"/>
  </r>
  <r>
    <s v="1652"/>
    <x v="1656"/>
    <n v="11100000"/>
    <x v="32"/>
    <n v="248.22839999999999"/>
    <x v="15"/>
    <n v="46"/>
    <n v="27"/>
    <s v="2011"/>
    <n v="1"/>
    <x v="0"/>
    <n v="19"/>
    <n v="0.70370370370370372"/>
  </r>
  <r>
    <s v="1653"/>
    <x v="1657"/>
    <n v="4100000"/>
    <x v="2"/>
    <n v="248.14869999999999"/>
    <x v="11"/>
    <n v="95"/>
    <n v="4"/>
    <s v="2006"/>
    <n v="2"/>
    <x v="0"/>
    <n v="91"/>
    <n v="22.75"/>
  </r>
  <r>
    <s v="1654"/>
    <x v="1658"/>
    <n v="145000000"/>
    <x v="1"/>
    <n v="247.92179999999999"/>
    <x v="5"/>
    <n v="2800"/>
    <n v="1000"/>
    <s v="2014"/>
    <n v="2"/>
    <x v="0"/>
    <n v="1800"/>
    <n v="1.8"/>
  </r>
  <r>
    <s v="1655"/>
    <x v="1659"/>
    <n v="3200000"/>
    <x v="23"/>
    <n v="247.8828"/>
    <x v="7"/>
    <n v="12"/>
    <n v="4"/>
    <s v="2014"/>
    <n v="1"/>
    <x v="0"/>
    <n v="8"/>
    <n v="2"/>
  </r>
  <r>
    <s v="1656"/>
    <x v="1660"/>
    <n v="17400000"/>
    <x v="12"/>
    <n v="247.85239999999999"/>
    <x v="9"/>
    <n v="73"/>
    <n v="31"/>
    <s v="2014"/>
    <n v="2"/>
    <x v="0"/>
    <n v="42"/>
    <n v="1.3548387096774193"/>
  </r>
  <r>
    <s v="1657"/>
    <x v="1661"/>
    <n v="35900000"/>
    <x v="2"/>
    <n v="247.79300000000001"/>
    <x v="9"/>
    <n v="213"/>
    <n v="102"/>
    <s v="2004"/>
    <n v="7"/>
    <x v="0"/>
    <n v="111"/>
    <n v="1.088235294117647"/>
  </r>
  <r>
    <s v="1658"/>
    <x v="1662"/>
    <n v="59200000"/>
    <x v="27"/>
    <n v="247.68"/>
    <x v="9"/>
    <n v="257"/>
    <n v="75"/>
    <s v="2009"/>
    <n v="2"/>
    <x v="0"/>
    <n v="182"/>
    <n v="2.4266666666666667"/>
  </r>
  <r>
    <s v="1659"/>
    <x v="1663"/>
    <n v="5000000"/>
    <x v="10"/>
    <n v="247.5575"/>
    <x v="15"/>
    <n v="19"/>
    <n v="9"/>
    <s v="2004"/>
    <n v="1"/>
    <x v="0"/>
    <n v="10"/>
    <n v="1.1111111111111112"/>
  </r>
  <r>
    <s v="1660"/>
    <x v="1664"/>
    <n v="8500000"/>
    <x v="5"/>
    <n v="246.9837"/>
    <x v="14"/>
    <n v="11"/>
    <n v="3"/>
    <s v="2011"/>
    <n v="1"/>
    <x v="0"/>
    <n v="8"/>
    <n v="2.6666666666666665"/>
  </r>
  <r>
    <s v="1661"/>
    <x v="1665"/>
    <n v="12000000"/>
    <x v="9"/>
    <n v="246.8322"/>
    <x v="7"/>
    <n v="89"/>
    <n v="13"/>
    <s v="2008"/>
    <n v="4"/>
    <x v="0"/>
    <n v="76"/>
    <n v="5.8461538461538458"/>
  </r>
  <r>
    <s v="1662"/>
    <x v="1666"/>
    <n v="69400000"/>
    <x v="9"/>
    <n v="246.4922"/>
    <x v="14"/>
    <n v="78"/>
    <n v="41"/>
    <s v="2013"/>
    <n v="2"/>
    <x v="0"/>
    <n v="37"/>
    <n v="0.90243902439024393"/>
  </r>
  <r>
    <s v="1663"/>
    <x v="1667"/>
    <n v="59100000"/>
    <x v="6"/>
    <n v="246.46180000000001"/>
    <x v="3"/>
    <n v="65"/>
    <n v="6"/>
    <s v="2009"/>
    <n v="1"/>
    <x v="0"/>
    <n v="59"/>
    <n v="9.8333333333333339"/>
  </r>
  <r>
    <s v="1664"/>
    <x v="1668"/>
    <n v="30100000"/>
    <x v="12"/>
    <n v="246.41"/>
    <x v="23"/>
    <n v="46"/>
    <n v="11"/>
    <s v="2004"/>
    <n v="2"/>
    <x v="0"/>
    <n v="35"/>
    <n v="3.1818181818181817"/>
  </r>
  <r>
    <s v="1665"/>
    <x v="1669"/>
    <n v="253900000"/>
    <x v="9"/>
    <n v="246.31059999999999"/>
    <x v="0"/>
    <n v="653"/>
    <n v="273"/>
    <s v="2001"/>
    <n v="9"/>
    <x v="0"/>
    <n v="380"/>
    <n v="1.3919413919413919"/>
  </r>
  <r>
    <s v="1666"/>
    <x v="1670"/>
    <n v="27900000"/>
    <x v="43"/>
    <n v="246.17599999999999"/>
    <x v="4"/>
    <n v="17"/>
    <n v="12"/>
    <s v="2014"/>
    <n v="3"/>
    <x v="0"/>
    <n v="5"/>
    <n v="0.41666666666666669"/>
  </r>
  <r>
    <s v="1667"/>
    <x v="1671"/>
    <n v="33700000"/>
    <x v="5"/>
    <n v="245.9999"/>
    <x v="19"/>
    <n v="105"/>
    <n v="115"/>
    <s v="2006"/>
    <n v="7"/>
    <x v="1"/>
    <n v="-10"/>
    <n v="-8.6956521739130432E-2"/>
  </r>
  <r>
    <s v="1668"/>
    <x v="1672"/>
    <n v="6300000"/>
    <x v="1"/>
    <n v="245.53370000000001"/>
    <x v="5"/>
    <n v="29"/>
    <n v="6"/>
    <s v="2012"/>
    <n v="3"/>
    <x v="0"/>
    <n v="23"/>
    <n v="3.8333333333333335"/>
  </r>
  <r>
    <s v="1669"/>
    <x v="1673"/>
    <n v="7000000"/>
    <x v="13"/>
    <n v="245.4085"/>
    <x v="9"/>
    <n v="12"/>
    <n v="5"/>
    <s v="2001"/>
    <n v="1"/>
    <x v="0"/>
    <n v="7"/>
    <n v="1.4"/>
  </r>
  <r>
    <s v="1670"/>
    <x v="1674"/>
    <n v="29600000"/>
    <x v="9"/>
    <n v="245.40260000000001"/>
    <x v="7"/>
    <n v="90"/>
    <n v="40"/>
    <s v="2014"/>
    <n v="2"/>
    <x v="0"/>
    <n v="50"/>
    <n v="1.25"/>
  </r>
  <r>
    <s v="1671"/>
    <x v="1675"/>
    <n v="12000000"/>
    <x v="5"/>
    <n v="245.31059999999999"/>
    <x v="8"/>
    <n v="25"/>
    <n v="15"/>
    <s v="1998"/>
    <n v="2"/>
    <x v="0"/>
    <n v="10"/>
    <n v="0.66666666666666663"/>
  </r>
  <r>
    <s v="1672"/>
    <x v="1676"/>
    <n v="7600000"/>
    <x v="37"/>
    <n v="245.15270000000001"/>
    <x v="9"/>
    <n v="49"/>
    <n v="10"/>
    <s v="2015"/>
    <n v="2"/>
    <x v="0"/>
    <n v="39"/>
    <n v="3.9"/>
  </r>
  <r>
    <s v="1673"/>
    <x v="1677"/>
    <n v="3900000"/>
    <x v="2"/>
    <n v="244.8468"/>
    <x v="15"/>
    <n v="34"/>
    <n v="15"/>
    <s v="2010"/>
    <n v="2"/>
    <x v="0"/>
    <n v="19"/>
    <n v="1.2666666666666666"/>
  </r>
  <r>
    <s v="1674"/>
    <x v="1678"/>
    <n v="16000000"/>
    <x v="13"/>
    <n v="244.75380000000001"/>
    <x v="16"/>
    <n v="240"/>
    <n v="72"/>
    <s v="2013"/>
    <n v="2"/>
    <x v="0"/>
    <n v="168"/>
    <n v="2.3333333333333335"/>
  </r>
  <r>
    <s v="1675"/>
    <x v="1679"/>
    <n v="5100000"/>
    <x v="7"/>
    <n v="244.29419999999999"/>
    <x v="11"/>
    <n v="50"/>
    <n v="10"/>
    <s v="2003"/>
    <n v="1"/>
    <x v="0"/>
    <n v="40"/>
    <n v="4"/>
  </r>
  <r>
    <s v="1676"/>
    <x v="1680"/>
    <n v="45600000"/>
    <x v="7"/>
    <n v="244.03059999999999"/>
    <x v="9"/>
    <n v="313"/>
    <n v="111"/>
    <s v="2007"/>
    <n v="8"/>
    <x v="0"/>
    <n v="202"/>
    <n v="1.8198198198198199"/>
  </r>
  <r>
    <s v="1677"/>
    <x v="1681"/>
    <n v="2700000"/>
    <x v="13"/>
    <n v="243.97800000000001"/>
    <x v="0"/>
    <n v="18"/>
    <n v="7"/>
    <s v="2000"/>
    <n v="1"/>
    <x v="0"/>
    <n v="11"/>
    <n v="1.5714285714285714"/>
  </r>
  <r>
    <s v="1678"/>
    <x v="1682"/>
    <n v="66200000"/>
    <x v="11"/>
    <n v="243.87729999999999"/>
    <x v="0"/>
    <n v="293"/>
    <n v="108"/>
    <s v="2009"/>
    <n v="5"/>
    <x v="0"/>
    <n v="185"/>
    <n v="1.712962962962963"/>
  </r>
  <r>
    <s v="1679"/>
    <x v="1683"/>
    <n v="37700000"/>
    <x v="10"/>
    <n v="243.77070000000001"/>
    <x v="5"/>
    <n v="386"/>
    <n v="135"/>
    <s v="2008"/>
    <n v="3"/>
    <x v="0"/>
    <n v="251"/>
    <n v="1.8592592592592592"/>
  </r>
  <r>
    <s v="1680"/>
    <x v="1684"/>
    <n v="38000000"/>
    <x v="7"/>
    <n v="243.7345"/>
    <x v="11"/>
    <n v="145"/>
    <n v="60"/>
    <s v="2010"/>
    <n v="2"/>
    <x v="0"/>
    <n v="85"/>
    <n v="1.4166666666666667"/>
  </r>
  <r>
    <s v="1681"/>
    <x v="1685"/>
    <n v="31200000"/>
    <x v="6"/>
    <n v="243.35329999999999"/>
    <x v="12"/>
    <n v="7"/>
    <n v="3"/>
    <s v="2013"/>
    <n v="1"/>
    <x v="0"/>
    <n v="4"/>
    <n v="1.3333333333333333"/>
  </r>
  <r>
    <s v="1682"/>
    <x v="1686"/>
    <n v="2500000"/>
    <x v="41"/>
    <n v="243.19640000000001"/>
    <x v="5"/>
    <n v="12"/>
    <n v="5"/>
    <s v="2008"/>
    <n v="2"/>
    <x v="0"/>
    <n v="7"/>
    <n v="1.4"/>
  </r>
  <r>
    <s v="1683"/>
    <x v="1687"/>
    <n v="2200000"/>
    <x v="5"/>
    <n v="243.17150000000001"/>
    <x v="0"/>
    <n v="11"/>
    <n v="7"/>
    <s v="2011"/>
    <n v="1"/>
    <x v="0"/>
    <n v="4"/>
    <n v="0.5714285714285714"/>
  </r>
  <r>
    <s v="1684"/>
    <x v="1688"/>
    <n v="3200000"/>
    <x v="1"/>
    <n v="242.65950000000001"/>
    <x v="0"/>
    <n v="37"/>
    <n v="9"/>
    <s v="2014"/>
    <n v="2"/>
    <x v="0"/>
    <n v="28"/>
    <n v="3.1111111111111112"/>
  </r>
  <r>
    <s v="1685"/>
    <x v="1689"/>
    <n v="89400000"/>
    <x v="10"/>
    <n v="242.47309999999999"/>
    <x v="2"/>
    <n v="1755"/>
    <n v="615"/>
    <s v="2012"/>
    <n v="3"/>
    <x v="0"/>
    <n v="1140"/>
    <n v="1.8536585365853659"/>
  </r>
  <r>
    <s v="1686"/>
    <x v="1690"/>
    <n v="29300000"/>
    <x v="42"/>
    <n v="242.46639999999999"/>
    <x v="14"/>
    <n v="239"/>
    <n v="155"/>
    <s v="1998"/>
    <n v="3"/>
    <x v="0"/>
    <n v="84"/>
    <n v="0.54193548387096779"/>
  </r>
  <r>
    <s v="1687"/>
    <x v="1691"/>
    <n v="6000000"/>
    <x v="2"/>
    <n v="242.2893"/>
    <x v="15"/>
    <n v="37"/>
    <n v="7"/>
    <s v="2011"/>
    <n v="3"/>
    <x v="0"/>
    <n v="30"/>
    <n v="4.2857142857142856"/>
  </r>
  <r>
    <s v="1688"/>
    <x v="1692"/>
    <n v="7000000"/>
    <x v="5"/>
    <n v="242.0437"/>
    <x v="9"/>
    <n v="90"/>
    <n v="15"/>
    <s v="2013"/>
    <n v="2"/>
    <x v="0"/>
    <n v="75"/>
    <n v="5"/>
  </r>
  <r>
    <s v="1689"/>
    <x v="1693"/>
    <n v="2700000"/>
    <x v="12"/>
    <n v="241.90289999999999"/>
    <x v="4"/>
    <n v="8"/>
    <n v="2"/>
    <s v="2010"/>
    <n v="1"/>
    <x v="0"/>
    <n v="6"/>
    <n v="3"/>
  </r>
  <r>
    <s v="1690"/>
    <x v="1694"/>
    <n v="9100000"/>
    <x v="5"/>
    <n v="241.83170000000001"/>
    <x v="19"/>
    <n v="45"/>
    <n v="9"/>
    <s v="2011"/>
    <n v="2"/>
    <x v="0"/>
    <n v="36"/>
    <n v="4"/>
  </r>
  <r>
    <s v="1691"/>
    <x v="1695"/>
    <n v="11700000"/>
    <x v="7"/>
    <n v="241.6266"/>
    <x v="19"/>
    <n v="48"/>
    <n v="15"/>
    <s v="1999"/>
    <n v="4"/>
    <x v="0"/>
    <n v="33"/>
    <n v="2.2000000000000002"/>
  </r>
  <r>
    <s v="1692"/>
    <x v="1696"/>
    <n v="4800000"/>
    <x v="2"/>
    <n v="241.30279999999999"/>
    <x v="10"/>
    <n v="38"/>
    <n v="16"/>
    <s v="2011"/>
    <n v="3"/>
    <x v="0"/>
    <n v="22"/>
    <n v="1.375"/>
  </r>
  <r>
    <s v="1693"/>
    <x v="1697"/>
    <n v="4000000"/>
    <x v="9"/>
    <n v="241.21780000000001"/>
    <x v="24"/>
    <n v="21"/>
    <n v="6"/>
    <s v="2007"/>
    <n v="2"/>
    <x v="0"/>
    <n v="15"/>
    <n v="2.5"/>
  </r>
  <r>
    <s v="1694"/>
    <x v="1698"/>
    <n v="3100000"/>
    <x v="24"/>
    <n v="240.85409999999999"/>
    <x v="6"/>
    <n v="12"/>
    <n v="2"/>
    <s v="2015"/>
    <n v="1"/>
    <x v="0"/>
    <n v="10"/>
    <n v="5"/>
  </r>
  <r>
    <s v="1695"/>
    <x v="1699"/>
    <n v="24400000"/>
    <x v="9"/>
    <n v="240.83170000000001"/>
    <x v="9"/>
    <n v="278"/>
    <n v="83"/>
    <s v="2010"/>
    <n v="3"/>
    <x v="0"/>
    <n v="195"/>
    <n v="2.3493975903614457"/>
  </r>
  <r>
    <s v="1696"/>
    <x v="1700"/>
    <n v="411900000"/>
    <x v="8"/>
    <n v="240.59139999999999"/>
    <x v="1"/>
    <n v="579"/>
    <n v="181"/>
    <s v="2007"/>
    <n v="8"/>
    <x v="0"/>
    <n v="398"/>
    <n v="2.1988950276243093"/>
  </r>
  <r>
    <s v="1697"/>
    <x v="1701"/>
    <n v="2600000"/>
    <x v="10"/>
    <n v="240.53020000000001"/>
    <x v="23"/>
    <n v="4"/>
    <n v="1"/>
    <s v="2012"/>
    <n v="1"/>
    <x v="0"/>
    <n v="3"/>
    <n v="3"/>
  </r>
  <r>
    <s v="1698"/>
    <x v="1702"/>
    <n v="14300000"/>
    <x v="2"/>
    <n v="240.2561"/>
    <x v="9"/>
    <n v="113"/>
    <n v="76"/>
    <s v="2012"/>
    <n v="4"/>
    <x v="0"/>
    <n v="37"/>
    <n v="0.48684210526315791"/>
  </r>
  <r>
    <s v="1699"/>
    <x v="1703"/>
    <n v="2900000"/>
    <x v="5"/>
    <n v="240.0401"/>
    <x v="9"/>
    <n v="18"/>
    <n v="11"/>
    <s v="2008"/>
    <n v="2"/>
    <x v="0"/>
    <n v="7"/>
    <n v="0.63636363636363635"/>
  </r>
  <r>
    <s v="1700"/>
    <x v="1704"/>
    <n v="6000000"/>
    <x v="19"/>
    <n v="239.98"/>
    <x v="5"/>
    <n v="11"/>
    <n v="3"/>
    <s v="2011"/>
    <n v="1"/>
    <x v="0"/>
    <n v="8"/>
    <n v="2.6666666666666665"/>
  </r>
  <r>
    <s v="1701"/>
    <x v="1705"/>
    <n v="3400000"/>
    <x v="13"/>
    <n v="239.828"/>
    <x v="9"/>
    <n v="10"/>
    <n v="2"/>
    <s v="2010"/>
    <n v="2"/>
    <x v="0"/>
    <n v="8"/>
    <n v="4"/>
  </r>
  <r>
    <s v="1702"/>
    <x v="1706"/>
    <n v="11200000"/>
    <x v="7"/>
    <n v="239.7954"/>
    <x v="0"/>
    <n v="35"/>
    <n v="16"/>
    <s v="2007"/>
    <n v="5"/>
    <x v="0"/>
    <n v="19"/>
    <n v="1.1875"/>
  </r>
  <r>
    <s v="1703"/>
    <x v="1707"/>
    <n v="15000000"/>
    <x v="46"/>
    <n v="239.68709999999999"/>
    <x v="16"/>
    <n v="140"/>
    <n v="37"/>
    <s v="2012"/>
    <n v="4"/>
    <x v="0"/>
    <n v="103"/>
    <n v="2.7837837837837838"/>
  </r>
  <r>
    <s v="1704"/>
    <x v="1708"/>
    <n v="7500000"/>
    <x v="24"/>
    <n v="239.38220000000001"/>
    <x v="9"/>
    <n v="68"/>
    <n v="18"/>
    <s v="2008"/>
    <n v="2"/>
    <x v="0"/>
    <n v="50"/>
    <n v="2.7777777777777777"/>
  </r>
  <r>
    <s v="1705"/>
    <x v="1709"/>
    <n v="40700000"/>
    <x v="21"/>
    <n v="239.1147"/>
    <x v="9"/>
    <n v="250"/>
    <n v="75"/>
    <s v="2008"/>
    <n v="3"/>
    <x v="0"/>
    <n v="175"/>
    <n v="2.3333333333333335"/>
  </r>
  <r>
    <s v="1706"/>
    <x v="1710"/>
    <n v="49000000"/>
    <x v="12"/>
    <n v="239.0772"/>
    <x v="9"/>
    <n v="1267"/>
    <n v="473"/>
    <s v="2002"/>
    <n v="2"/>
    <x v="0"/>
    <n v="794"/>
    <n v="1.6786469344608879"/>
  </r>
  <r>
    <s v="1707"/>
    <x v="1711"/>
    <n v="21400000"/>
    <x v="9"/>
    <n v="238.97739999999999"/>
    <x v="9"/>
    <n v="84"/>
    <n v="32"/>
    <s v="2007"/>
    <n v="5"/>
    <x v="0"/>
    <n v="52"/>
    <n v="1.625"/>
  </r>
  <r>
    <s v="1708"/>
    <x v="1712"/>
    <n v="5700000"/>
    <x v="5"/>
    <n v="238.72479999999999"/>
    <x v="23"/>
    <n v="141"/>
    <n v="3"/>
    <s v="2002"/>
    <n v="3"/>
    <x v="0"/>
    <n v="138"/>
    <n v="46"/>
  </r>
  <r>
    <s v="1709"/>
    <x v="1713"/>
    <n v="3900000"/>
    <x v="8"/>
    <n v="238.5077"/>
    <x v="0"/>
    <n v="15"/>
    <n v="4"/>
    <s v="2014"/>
    <n v="2"/>
    <x v="0"/>
    <n v="11"/>
    <n v="2.75"/>
  </r>
  <r>
    <s v="1710"/>
    <x v="1714"/>
    <n v="77000000"/>
    <x v="5"/>
    <n v="238.29750000000001"/>
    <x v="5"/>
    <n v="173"/>
    <n v="56"/>
    <s v="2003"/>
    <n v="5"/>
    <x v="0"/>
    <n v="117"/>
    <n v="2.0892857142857144"/>
  </r>
  <r>
    <s v="1711"/>
    <x v="1715"/>
    <n v="36300000"/>
    <x v="7"/>
    <n v="237.8886"/>
    <x v="4"/>
    <n v="130"/>
    <n v="43"/>
    <s v="1996"/>
    <n v="2"/>
    <x v="0"/>
    <n v="87"/>
    <n v="2.0232558139534884"/>
  </r>
  <r>
    <s v="1712"/>
    <x v="1716"/>
    <n v="33300000"/>
    <x v="11"/>
    <n v="237.81890000000001"/>
    <x v="3"/>
    <n v="420"/>
    <n v="90"/>
    <s v="2014"/>
    <n v="1"/>
    <x v="0"/>
    <n v="330"/>
    <n v="3.6666666666666665"/>
  </r>
  <r>
    <s v="1713"/>
    <x v="1717"/>
    <n v="8300000"/>
    <x v="1"/>
    <n v="237.26169999999999"/>
    <x v="5"/>
    <n v="75"/>
    <n v="30"/>
    <s v="2010"/>
    <n v="1"/>
    <x v="0"/>
    <n v="45"/>
    <n v="1.5"/>
  </r>
  <r>
    <s v="1714"/>
    <x v="1718"/>
    <n v="19700000"/>
    <x v="5"/>
    <n v="237.18809999999999"/>
    <x v="11"/>
    <n v="12"/>
    <n v="1"/>
    <s v="2014"/>
    <n v="2"/>
    <x v="0"/>
    <n v="11"/>
    <n v="11"/>
  </r>
  <r>
    <s v="1715"/>
    <x v="1719"/>
    <n v="50900000"/>
    <x v="5"/>
    <n v="237.09229999999999"/>
    <x v="17"/>
    <n v="27"/>
    <n v="7"/>
    <s v="2014"/>
    <n v="1"/>
    <x v="0"/>
    <n v="20"/>
    <n v="2.8571428571428572"/>
  </r>
  <r>
    <s v="1716"/>
    <x v="1720"/>
    <n v="238200000"/>
    <x v="37"/>
    <n v="237.06110000000001"/>
    <x v="7"/>
    <n v="559"/>
    <n v="175"/>
    <s v="2011"/>
    <n v="4"/>
    <x v="0"/>
    <n v="384"/>
    <n v="2.1942857142857144"/>
  </r>
  <r>
    <s v="1717"/>
    <x v="1721"/>
    <n v="6600000"/>
    <x v="40"/>
    <n v="236.94470000000001"/>
    <x v="6"/>
    <n v="18"/>
    <n v="7"/>
    <s v="2003"/>
    <n v="3"/>
    <x v="0"/>
    <n v="11"/>
    <n v="1.5714285714285714"/>
  </r>
  <r>
    <s v="1718"/>
    <x v="1722"/>
    <n v="35500000"/>
    <x v="13"/>
    <n v="236.7482"/>
    <x v="11"/>
    <n v="238"/>
    <n v="105"/>
    <s v="2006"/>
    <n v="6"/>
    <x v="0"/>
    <n v="133"/>
    <n v="1.2666666666666666"/>
  </r>
  <r>
    <s v="1719"/>
    <x v="1723"/>
    <n v="52400000"/>
    <x v="2"/>
    <n v="236.59829999999999"/>
    <x v="7"/>
    <n v="67"/>
    <n v="30"/>
    <s v="2000"/>
    <n v="3"/>
    <x v="0"/>
    <n v="37"/>
    <n v="1.2333333333333334"/>
  </r>
  <r>
    <s v="1720"/>
    <x v="1724"/>
    <n v="3600000"/>
    <x v="23"/>
    <n v="236.5642"/>
    <x v="19"/>
    <n v="31"/>
    <n v="11"/>
    <s v="2011"/>
    <n v="3"/>
    <x v="0"/>
    <n v="20"/>
    <n v="1.8181818181818181"/>
  </r>
  <r>
    <s v="1721"/>
    <x v="1725"/>
    <n v="9700000"/>
    <x v="12"/>
    <n v="236.5454"/>
    <x v="0"/>
    <n v="37"/>
    <n v="14"/>
    <s v="2015"/>
    <n v="1"/>
    <x v="0"/>
    <n v="23"/>
    <n v="1.6428571428571428"/>
  </r>
  <r>
    <s v="1722"/>
    <x v="1726"/>
    <n v="7500000"/>
    <x v="5"/>
    <n v="236.37979999999999"/>
    <x v="17"/>
    <n v="35"/>
    <n v="25"/>
    <s v="2013"/>
    <n v="3"/>
    <x v="0"/>
    <n v="10"/>
    <n v="0.4"/>
  </r>
  <r>
    <s v="1723"/>
    <x v="1727"/>
    <n v="24700000"/>
    <x v="41"/>
    <n v="236.33840000000001"/>
    <x v="4"/>
    <n v="284"/>
    <n v="216"/>
    <s v="2012"/>
    <n v="3"/>
    <x v="0"/>
    <n v="68"/>
    <n v="0.31481481481481483"/>
  </r>
  <r>
    <s v="1724"/>
    <x v="1728"/>
    <n v="19100000"/>
    <x v="16"/>
    <n v="236.2594"/>
    <x v="3"/>
    <n v="33"/>
    <n v="11"/>
    <s v="2007"/>
    <n v="4"/>
    <x v="0"/>
    <n v="22"/>
    <n v="2"/>
  </r>
  <r>
    <s v="1725"/>
    <x v="1729"/>
    <n v="34700000"/>
    <x v="9"/>
    <n v="236.13409999999999"/>
    <x v="7"/>
    <n v="40"/>
    <n v="8"/>
    <s v="2015"/>
    <n v="1"/>
    <x v="0"/>
    <n v="32"/>
    <n v="4"/>
  </r>
  <r>
    <s v="1726"/>
    <x v="1730"/>
    <n v="3600000"/>
    <x v="12"/>
    <n v="236.01949999999999"/>
    <x v="23"/>
    <n v="14"/>
    <n v="10"/>
    <s v="2010"/>
    <n v="2"/>
    <x v="0"/>
    <n v="4"/>
    <n v="0.4"/>
  </r>
  <r>
    <s v="1727"/>
    <x v="1731"/>
    <n v="3300000"/>
    <x v="9"/>
    <n v="235.2509"/>
    <x v="14"/>
    <n v="40"/>
    <n v="10"/>
    <s v="2014"/>
    <n v="2"/>
    <x v="0"/>
    <n v="30"/>
    <n v="3"/>
  </r>
  <r>
    <s v="1728"/>
    <x v="1732"/>
    <n v="22900000"/>
    <x v="18"/>
    <n v="235.0994"/>
    <x v="4"/>
    <n v="14"/>
    <n v="20"/>
    <s v="2012"/>
    <n v="2"/>
    <x v="1"/>
    <n v="-6"/>
    <n v="-0.3"/>
  </r>
  <r>
    <s v="1729"/>
    <x v="1733"/>
    <n v="18400000"/>
    <x v="18"/>
    <n v="234.99629999999999"/>
    <x v="9"/>
    <n v="28"/>
    <n v="31"/>
    <s v="2011"/>
    <n v="4"/>
    <x v="1"/>
    <n v="-3"/>
    <n v="-9.6774193548387094E-2"/>
  </r>
  <r>
    <s v="1730"/>
    <x v="1734"/>
    <n v="10100000"/>
    <x v="4"/>
    <n v="234.99359999999999"/>
    <x v="15"/>
    <n v="20"/>
    <n v="12"/>
    <s v="2005"/>
    <n v="4"/>
    <x v="0"/>
    <n v="8"/>
    <n v="0.66666666666666663"/>
  </r>
  <r>
    <s v="1731"/>
    <x v="1735"/>
    <n v="28100000"/>
    <x v="18"/>
    <n v="234.67869999999999"/>
    <x v="15"/>
    <n v="275"/>
    <n v="13"/>
    <s v="1996"/>
    <n v="4"/>
    <x v="0"/>
    <n v="262"/>
    <n v="20.153846153846153"/>
  </r>
  <r>
    <s v="1732"/>
    <x v="1736"/>
    <n v="2400000"/>
    <x v="28"/>
    <n v="234.5942"/>
    <x v="12"/>
    <n v="12"/>
    <n v="4"/>
    <s v="2013"/>
    <n v="2"/>
    <x v="0"/>
    <n v="8"/>
    <n v="2"/>
  </r>
  <r>
    <s v="1733"/>
    <x v="1737"/>
    <n v="36400000"/>
    <x v="20"/>
    <n v="234.55"/>
    <x v="23"/>
    <n v="120"/>
    <n v="63"/>
    <s v="1996"/>
    <n v="3"/>
    <x v="0"/>
    <n v="57"/>
    <n v="0.90476190476190477"/>
  </r>
  <r>
    <s v="1734"/>
    <x v="1738"/>
    <n v="3100000"/>
    <x v="7"/>
    <n v="234.48849999999999"/>
    <x v="16"/>
    <n v="31"/>
    <n v="13"/>
    <s v="2006"/>
    <n v="2"/>
    <x v="0"/>
    <n v="18"/>
    <n v="1.3846153846153846"/>
  </r>
  <r>
    <s v="1735"/>
    <x v="1739"/>
    <n v="3700000"/>
    <x v="12"/>
    <n v="234.2509"/>
    <x v="3"/>
    <n v="5"/>
    <n v="1"/>
    <s v="2009"/>
    <n v="1"/>
    <x v="0"/>
    <n v="4"/>
    <n v="4"/>
  </r>
  <r>
    <s v="1736"/>
    <x v="1740"/>
    <n v="2300000"/>
    <x v="37"/>
    <n v="234.24379999999999"/>
    <x v="7"/>
    <n v="23"/>
    <n v="6"/>
    <s v="2012"/>
    <n v="1"/>
    <x v="0"/>
    <n v="17"/>
    <n v="2.8333333333333335"/>
  </r>
  <r>
    <s v="1737"/>
    <x v="1741"/>
    <n v="17200000"/>
    <x v="32"/>
    <n v="233.9324"/>
    <x v="12"/>
    <n v="8"/>
    <n v="10"/>
    <s v="2009"/>
    <n v="4"/>
    <x v="1"/>
    <n v="-2"/>
    <n v="-0.2"/>
  </r>
  <r>
    <s v="1738"/>
    <x v="1742"/>
    <n v="3700000"/>
    <x v="13"/>
    <n v="233.68180000000001"/>
    <x v="7"/>
    <n v="28"/>
    <n v="12"/>
    <s v="2008"/>
    <n v="2"/>
    <x v="0"/>
    <n v="16"/>
    <n v="1.3333333333333333"/>
  </r>
  <r>
    <s v="1739"/>
    <x v="1743"/>
    <n v="79100000"/>
    <x v="5"/>
    <n v="233.62950000000001"/>
    <x v="24"/>
    <n v="1600"/>
    <n v="500"/>
    <s v="2012"/>
    <n v="2"/>
    <x v="0"/>
    <n v="1100"/>
    <n v="2.2000000000000002"/>
  </r>
  <r>
    <s v="1740"/>
    <x v="1744"/>
    <n v="12700000"/>
    <x v="7"/>
    <n v="233.08680000000001"/>
    <x v="14"/>
    <n v="88"/>
    <n v="29"/>
    <s v="1994"/>
    <n v="1"/>
    <x v="0"/>
    <n v="59"/>
    <n v="2.0344827586206895"/>
  </r>
  <r>
    <s v="1741"/>
    <x v="1745"/>
    <n v="14400000"/>
    <x v="32"/>
    <n v="232.95650000000001"/>
    <x v="3"/>
    <n v="26"/>
    <n v="24"/>
    <s v="2007"/>
    <n v="5"/>
    <x v="0"/>
    <n v="2"/>
    <n v="8.3333333333333329E-2"/>
  </r>
  <r>
    <s v="1742"/>
    <x v="1746"/>
    <n v="92100000"/>
    <x v="9"/>
    <n v="232.8211"/>
    <x v="17"/>
    <n v="271"/>
    <n v="108"/>
    <s v="2010"/>
    <n v="1"/>
    <x v="0"/>
    <n v="163"/>
    <n v="1.5092592592592593"/>
  </r>
  <r>
    <s v="1743"/>
    <x v="1747"/>
    <n v="22700000"/>
    <x v="5"/>
    <n v="232.7989"/>
    <x v="23"/>
    <n v="9"/>
    <n v="4"/>
    <s v="2006"/>
    <n v="4"/>
    <x v="0"/>
    <n v="5"/>
    <n v="1.25"/>
  </r>
  <r>
    <s v="1744"/>
    <x v="1748"/>
    <n v="6500000"/>
    <x v="9"/>
    <n v="232.71809999999999"/>
    <x v="0"/>
    <n v="382"/>
    <n v="85"/>
    <s v="2008"/>
    <n v="4"/>
    <x v="0"/>
    <n v="297"/>
    <n v="3.4941176470588236"/>
  </r>
  <r>
    <s v="1745"/>
    <x v="1749"/>
    <n v="9300000"/>
    <x v="5"/>
    <n v="232.56790000000001"/>
    <x v="15"/>
    <n v="60"/>
    <n v="25"/>
    <s v="2004"/>
    <n v="1"/>
    <x v="0"/>
    <n v="35"/>
    <n v="1.4"/>
  </r>
  <r>
    <s v="1746"/>
    <x v="1750"/>
    <n v="20000000"/>
    <x v="10"/>
    <n v="232.4442"/>
    <x v="5"/>
    <n v="822"/>
    <n v="10"/>
    <s v="2005"/>
    <n v="2"/>
    <x v="0"/>
    <n v="812"/>
    <n v="81.2"/>
  </r>
  <r>
    <s v="1747"/>
    <x v="1751"/>
    <n v="7100000"/>
    <x v="7"/>
    <n v="232.44390000000001"/>
    <x v="12"/>
    <n v="82"/>
    <n v="14"/>
    <s v="2005"/>
    <n v="3"/>
    <x v="0"/>
    <n v="68"/>
    <n v="4.8571428571428568"/>
  </r>
  <r>
    <s v="1748"/>
    <x v="1752"/>
    <n v="8900000"/>
    <x v="20"/>
    <n v="232.3691"/>
    <x v="2"/>
    <n v="24"/>
    <n v="10"/>
    <s v="2005"/>
    <n v="4"/>
    <x v="0"/>
    <n v="14"/>
    <n v="1.4"/>
  </r>
  <r>
    <s v="1749"/>
    <x v="1753"/>
    <n v="148700000"/>
    <x v="40"/>
    <n v="232.29759999999999"/>
    <x v="9"/>
    <n v="500"/>
    <n v="198"/>
    <s v="2007"/>
    <n v="1"/>
    <x v="0"/>
    <n v="302"/>
    <n v="1.5252525252525253"/>
  </r>
  <r>
    <s v="1750"/>
    <x v="1754"/>
    <n v="8900000"/>
    <x v="7"/>
    <n v="232.18960000000001"/>
    <x v="11"/>
    <n v="56"/>
    <n v="13"/>
    <s v="2011"/>
    <n v="1"/>
    <x v="0"/>
    <n v="43"/>
    <n v="3.3076923076923075"/>
  </r>
  <r>
    <s v="1751"/>
    <x v="1755"/>
    <n v="7200000"/>
    <x v="0"/>
    <n v="232.16630000000001"/>
    <x v="23"/>
    <n v="36"/>
    <n v="13"/>
    <s v="2003"/>
    <n v="2"/>
    <x v="0"/>
    <n v="23"/>
    <n v="1.7692307692307692"/>
  </r>
  <r>
    <s v="1752"/>
    <x v="1756"/>
    <n v="170700000"/>
    <x v="32"/>
    <n v="231.76249999999999"/>
    <x v="1"/>
    <n v="620"/>
    <n v="45"/>
    <s v="2010"/>
    <n v="1"/>
    <x v="0"/>
    <n v="575"/>
    <n v="12.777777777777779"/>
  </r>
  <r>
    <s v="1753"/>
    <x v="1757"/>
    <n v="2500000"/>
    <x v="2"/>
    <n v="231.6891"/>
    <x v="23"/>
    <n v="20"/>
    <n v="10"/>
    <s v="2010"/>
    <n v="1"/>
    <x v="0"/>
    <n v="10"/>
    <n v="1"/>
  </r>
  <r>
    <s v="1754"/>
    <x v="1758"/>
    <n v="44600000"/>
    <x v="8"/>
    <n v="231.41249999999999"/>
    <x v="23"/>
    <n v="59"/>
    <n v="44"/>
    <s v="1993"/>
    <n v="4"/>
    <x v="0"/>
    <n v="15"/>
    <n v="0.34090909090909088"/>
  </r>
  <r>
    <s v="1755"/>
    <x v="1759"/>
    <n v="6500000"/>
    <x v="24"/>
    <n v="231.35310000000001"/>
    <x v="20"/>
    <n v="6"/>
    <n v="4"/>
    <s v="2013"/>
    <n v="3"/>
    <x v="0"/>
    <n v="2"/>
    <n v="0.5"/>
  </r>
  <r>
    <s v="1756"/>
    <x v="1760"/>
    <n v="12600000"/>
    <x v="18"/>
    <n v="231.26300000000001"/>
    <x v="16"/>
    <n v="125"/>
    <n v="55"/>
    <s v="2011"/>
    <n v="4"/>
    <x v="0"/>
    <n v="70"/>
    <n v="1.2727272727272727"/>
  </r>
  <r>
    <s v="1757"/>
    <x v="1761"/>
    <n v="6800000"/>
    <x v="28"/>
    <n v="231.21379999999999"/>
    <x v="0"/>
    <n v="60"/>
    <n v="23"/>
    <s v="2009"/>
    <n v="2"/>
    <x v="0"/>
    <n v="37"/>
    <n v="1.6086956521739131"/>
  </r>
  <r>
    <s v="1758"/>
    <x v="1762"/>
    <n v="21500000"/>
    <x v="9"/>
    <n v="231.2064"/>
    <x v="15"/>
    <n v="134"/>
    <n v="63"/>
    <s v="1993"/>
    <n v="2"/>
    <x v="0"/>
    <n v="71"/>
    <n v="1.126984126984127"/>
  </r>
  <r>
    <s v="1759"/>
    <x v="1763"/>
    <n v="11100000"/>
    <x v="2"/>
    <n v="231.16679999999999"/>
    <x v="23"/>
    <n v="114"/>
    <n v="51"/>
    <s v="2013"/>
    <n v="3"/>
    <x v="0"/>
    <n v="63"/>
    <n v="1.2352941176470589"/>
  </r>
  <r>
    <s v="1760"/>
    <x v="1764"/>
    <n v="5100000"/>
    <x v="1"/>
    <n v="231.02889999999999"/>
    <x v="23"/>
    <n v="23"/>
    <n v="3"/>
    <s v="2011"/>
    <n v="3"/>
    <x v="0"/>
    <n v="20"/>
    <n v="6.666666666666667"/>
  </r>
  <r>
    <s v="1761"/>
    <x v="1765"/>
    <n v="6800000"/>
    <x v="9"/>
    <n v="230.9237"/>
    <x v="0"/>
    <n v="52"/>
    <n v="18"/>
    <s v="2012"/>
    <n v="3"/>
    <x v="0"/>
    <n v="34"/>
    <n v="1.8888888888888888"/>
  </r>
  <r>
    <s v="1762"/>
    <x v="1766"/>
    <n v="215100000"/>
    <x v="35"/>
    <n v="230.8929"/>
    <x v="5"/>
    <n v="241"/>
    <n v="84"/>
    <s v="2009"/>
    <n v="4"/>
    <x v="0"/>
    <n v="157"/>
    <n v="1.8690476190476191"/>
  </r>
  <r>
    <s v="1763"/>
    <x v="1767"/>
    <n v="27200000"/>
    <x v="6"/>
    <n v="230.82499999999999"/>
    <x v="1"/>
    <n v="23"/>
    <n v="7"/>
    <s v="2010"/>
    <n v="5"/>
    <x v="0"/>
    <n v="16"/>
    <n v="2.2857142857142856"/>
  </r>
  <r>
    <s v="1764"/>
    <x v="1768"/>
    <n v="2400000"/>
    <x v="12"/>
    <n v="230.7901"/>
    <x v="7"/>
    <n v="16"/>
    <n v="6"/>
    <s v="2014"/>
    <n v="2"/>
    <x v="0"/>
    <n v="10"/>
    <n v="1.6666666666666667"/>
  </r>
  <r>
    <s v="1765"/>
    <x v="1769"/>
    <n v="8500000"/>
    <x v="37"/>
    <n v="230.7894"/>
    <x v="5"/>
    <n v="81"/>
    <n v="28"/>
    <s v="2009"/>
    <n v="4"/>
    <x v="0"/>
    <n v="53"/>
    <n v="1.8928571428571428"/>
  </r>
  <r>
    <s v="1766"/>
    <x v="1770"/>
    <n v="5800000"/>
    <x v="12"/>
    <n v="230.7441"/>
    <x v="7"/>
    <n v="20"/>
    <n v="10"/>
    <s v="2014"/>
    <n v="2"/>
    <x v="0"/>
    <n v="10"/>
    <n v="1"/>
  </r>
  <r>
    <s v="1767"/>
    <x v="1771"/>
    <n v="30100000"/>
    <x v="7"/>
    <n v="230.7184"/>
    <x v="11"/>
    <n v="105"/>
    <n v="44"/>
    <s v="2010"/>
    <n v="5"/>
    <x v="0"/>
    <n v="61"/>
    <n v="1.3863636363636365"/>
  </r>
  <r>
    <s v="1768"/>
    <x v="1772"/>
    <n v="24800000"/>
    <x v="9"/>
    <n v="230.42169999999999"/>
    <x v="18"/>
    <n v="400"/>
    <n v="200"/>
    <s v="2002"/>
    <n v="5"/>
    <x v="0"/>
    <n v="200"/>
    <n v="1"/>
  </r>
  <r>
    <s v="1769"/>
    <x v="1773"/>
    <n v="78600000"/>
    <x v="9"/>
    <n v="230.25559999999999"/>
    <x v="12"/>
    <n v="443"/>
    <n v="214"/>
    <s v="1995"/>
    <n v="2"/>
    <x v="0"/>
    <n v="229"/>
    <n v="1.0700934579439252"/>
  </r>
  <r>
    <s v="1770"/>
    <x v="1774"/>
    <n v="11900000"/>
    <x v="12"/>
    <n v="230.22280000000001"/>
    <x v="7"/>
    <n v="12"/>
    <n v="10"/>
    <s v="2012"/>
    <n v="1"/>
    <x v="0"/>
    <n v="2"/>
    <n v="0.2"/>
  </r>
  <r>
    <s v="1771"/>
    <x v="1775"/>
    <n v="75800000"/>
    <x v="2"/>
    <n v="230.11779999999999"/>
    <x v="15"/>
    <n v="48"/>
    <n v="19"/>
    <s v="2001"/>
    <n v="1"/>
    <x v="0"/>
    <n v="29"/>
    <n v="1.5263157894736843"/>
  </r>
  <r>
    <s v="1772"/>
    <x v="1776"/>
    <n v="226100000"/>
    <x v="4"/>
    <n v="230.03800000000001"/>
    <x v="15"/>
    <n v="1100"/>
    <n v="546"/>
    <s v="1977"/>
    <n v="1"/>
    <x v="0"/>
    <n v="554"/>
    <n v="1.0146520146520146"/>
  </r>
  <r>
    <s v="1773"/>
    <x v="1777"/>
    <n v="71400000"/>
    <x v="25"/>
    <n v="229.89359999999999"/>
    <x v="6"/>
    <n v="481"/>
    <n v="132"/>
    <s v="1996"/>
    <n v="9"/>
    <x v="0"/>
    <n v="349"/>
    <n v="2.643939393939394"/>
  </r>
  <r>
    <s v="1774"/>
    <x v="1778"/>
    <n v="52500000"/>
    <x v="34"/>
    <n v="229.67760000000001"/>
    <x v="19"/>
    <n v="350"/>
    <n v="75"/>
    <s v="2003"/>
    <n v="8"/>
    <x v="0"/>
    <n v="275"/>
    <n v="3.6666666666666665"/>
  </r>
  <r>
    <s v="1775"/>
    <x v="1779"/>
    <n v="13400000"/>
    <x v="5"/>
    <n v="229.59039999999999"/>
    <x v="1"/>
    <n v="400"/>
    <n v="125"/>
    <s v="2014"/>
    <n v="1"/>
    <x v="0"/>
    <n v="275"/>
    <n v="2.2000000000000002"/>
  </r>
  <r>
    <s v="1776"/>
    <x v="1780"/>
    <n v="14100000"/>
    <x v="9"/>
    <n v="229.53530000000001"/>
    <x v="25"/>
    <n v="64"/>
    <n v="22"/>
    <s v="2011"/>
    <n v="2"/>
    <x v="0"/>
    <n v="42"/>
    <n v="1.9090909090909092"/>
  </r>
  <r>
    <s v="1777"/>
    <x v="1781"/>
    <n v="23300000"/>
    <x v="9"/>
    <n v="229.4744"/>
    <x v="2"/>
    <n v="721"/>
    <n v="204"/>
    <s v="2011"/>
    <n v="2"/>
    <x v="0"/>
    <n v="517"/>
    <n v="2.534313725490196"/>
  </r>
  <r>
    <s v="1778"/>
    <x v="1782"/>
    <n v="22300000"/>
    <x v="21"/>
    <n v="229.0977"/>
    <x v="12"/>
    <n v="420"/>
    <n v="200"/>
    <s v="2014"/>
    <n v="1"/>
    <x v="0"/>
    <n v="220"/>
    <n v="1.1000000000000001"/>
  </r>
  <r>
    <s v="1779"/>
    <x v="1783"/>
    <n v="14200000"/>
    <x v="13"/>
    <n v="229.03960000000001"/>
    <x v="23"/>
    <n v="35"/>
    <n v="11"/>
    <s v="2013"/>
    <n v="2"/>
    <x v="0"/>
    <n v="24"/>
    <n v="2.1818181818181817"/>
  </r>
  <r>
    <s v="1780"/>
    <x v="1784"/>
    <n v="21400000"/>
    <x v="9"/>
    <n v="228.9692"/>
    <x v="5"/>
    <n v="84"/>
    <n v="44"/>
    <s v="2002"/>
    <n v="2"/>
    <x v="0"/>
    <n v="40"/>
    <n v="0.90909090909090906"/>
  </r>
  <r>
    <s v="1781"/>
    <x v="1785"/>
    <n v="2400000"/>
    <x v="20"/>
    <n v="228.9616"/>
    <x v="12"/>
    <n v="14"/>
    <n v="8"/>
    <s v="2013"/>
    <n v="2"/>
    <x v="0"/>
    <n v="6"/>
    <n v="0.75"/>
  </r>
  <r>
    <s v="1782"/>
    <x v="1786"/>
    <n v="2600000"/>
    <x v="13"/>
    <n v="228.78530000000001"/>
    <x v="19"/>
    <n v="19"/>
    <n v="3"/>
    <s v="2013"/>
    <n v="2"/>
    <x v="0"/>
    <n v="16"/>
    <n v="5.333333333333333"/>
  </r>
  <r>
    <s v="1783"/>
    <x v="1787"/>
    <n v="7100000"/>
    <x v="5"/>
    <n v="228.7713"/>
    <x v="0"/>
    <n v="17"/>
    <n v="12"/>
    <s v="2011"/>
    <n v="4"/>
    <x v="0"/>
    <n v="5"/>
    <n v="0.41666666666666669"/>
  </r>
  <r>
    <s v="1784"/>
    <x v="1788"/>
    <n v="15900000"/>
    <x v="7"/>
    <n v="228.655"/>
    <x v="19"/>
    <n v="150"/>
    <n v="98"/>
    <s v="1998"/>
    <n v="1"/>
    <x v="0"/>
    <n v="52"/>
    <n v="0.53061224489795922"/>
  </r>
  <r>
    <s v="1785"/>
    <x v="1789"/>
    <n v="7300000"/>
    <x v="2"/>
    <n v="228.631"/>
    <x v="7"/>
    <n v="50"/>
    <n v="14"/>
    <s v="2006"/>
    <n v="2"/>
    <x v="0"/>
    <n v="36"/>
    <n v="2.5714285714285716"/>
  </r>
  <r>
    <s v="1786"/>
    <x v="1790"/>
    <n v="5000000"/>
    <x v="9"/>
    <n v="228.5659"/>
    <x v="23"/>
    <n v="235"/>
    <n v="108"/>
    <s v="2013"/>
    <n v="2"/>
    <x v="0"/>
    <n v="127"/>
    <n v="1.1759259259259258"/>
  </r>
  <r>
    <s v="1787"/>
    <x v="1791"/>
    <n v="368600000"/>
    <x v="24"/>
    <n v="228.4546"/>
    <x v="11"/>
    <n v="224"/>
    <n v="104"/>
    <s v="2003"/>
    <n v="1"/>
    <x v="0"/>
    <n v="120"/>
    <n v="1.1538461538461537"/>
  </r>
  <r>
    <s v="1788"/>
    <x v="1792"/>
    <n v="9400000"/>
    <x v="37"/>
    <n v="228.40969999999999"/>
    <x v="4"/>
    <n v="12"/>
    <n v="5"/>
    <s v="2012"/>
    <n v="3"/>
    <x v="0"/>
    <n v="7"/>
    <n v="1.4"/>
  </r>
  <r>
    <s v="1789"/>
    <x v="1793"/>
    <n v="8400000"/>
    <x v="31"/>
    <n v="228.26920000000001"/>
    <x v="18"/>
    <n v="14"/>
    <n v="15"/>
    <s v="2008"/>
    <n v="1"/>
    <x v="1"/>
    <n v="-1"/>
    <n v="-6.6666666666666666E-2"/>
  </r>
  <r>
    <s v="1790"/>
    <x v="1794"/>
    <n v="36600000"/>
    <x v="7"/>
    <n v="228.17529999999999"/>
    <x v="11"/>
    <n v="178"/>
    <n v="50"/>
    <s v="2009"/>
    <n v="6"/>
    <x v="0"/>
    <n v="128"/>
    <n v="2.56"/>
  </r>
  <r>
    <s v="1791"/>
    <x v="1795"/>
    <n v="5000000"/>
    <x v="9"/>
    <n v="228.02770000000001"/>
    <x v="24"/>
    <n v="6"/>
    <n v="2"/>
    <s v="2012"/>
    <n v="2"/>
    <x v="0"/>
    <n v="4"/>
    <n v="2"/>
  </r>
  <r>
    <s v="1792"/>
    <x v="1796"/>
    <n v="3300000"/>
    <x v="2"/>
    <n v="227.67320000000001"/>
    <x v="9"/>
    <n v="15"/>
    <n v="10"/>
    <s v="2010"/>
    <n v="1"/>
    <x v="0"/>
    <n v="5"/>
    <n v="0.5"/>
  </r>
  <r>
    <s v="1793"/>
    <x v="1797"/>
    <n v="14500000"/>
    <x v="8"/>
    <n v="227.5677"/>
    <x v="1"/>
    <n v="20"/>
    <n v="7"/>
    <s v="2013"/>
    <n v="2"/>
    <x v="0"/>
    <n v="13"/>
    <n v="1.8571428571428572"/>
  </r>
  <r>
    <s v="1794"/>
    <x v="1798"/>
    <n v="2500000"/>
    <x v="10"/>
    <n v="227.3115"/>
    <x v="23"/>
    <n v="8"/>
    <n v="2"/>
    <s v="2010"/>
    <n v="1"/>
    <x v="0"/>
    <n v="6"/>
    <n v="3"/>
  </r>
  <r>
    <s v="1795"/>
    <x v="1799"/>
    <n v="5700000"/>
    <x v="18"/>
    <n v="227.2141"/>
    <x v="0"/>
    <n v="40"/>
    <n v="8"/>
    <s v="2005"/>
    <n v="3"/>
    <x v="0"/>
    <n v="32"/>
    <n v="4"/>
  </r>
  <r>
    <s v="1796"/>
    <x v="1800"/>
    <n v="27000000"/>
    <x v="43"/>
    <n v="226.91640000000001"/>
    <x v="15"/>
    <n v="85"/>
    <n v="40"/>
    <s v="2013"/>
    <n v="2"/>
    <x v="0"/>
    <n v="45"/>
    <n v="1.125"/>
  </r>
  <r>
    <s v="1797"/>
    <x v="1801"/>
    <n v="12500000"/>
    <x v="5"/>
    <n v="226.86609999999999"/>
    <x v="5"/>
    <n v="30"/>
    <n v="10"/>
    <s v="2011"/>
    <n v="1"/>
    <x v="0"/>
    <n v="20"/>
    <n v="2"/>
  </r>
  <r>
    <s v="1798"/>
    <x v="1802"/>
    <n v="12600000"/>
    <x v="9"/>
    <n v="226.65889999999999"/>
    <x v="3"/>
    <n v="73"/>
    <n v="42"/>
    <s v="2012"/>
    <n v="5"/>
    <x v="0"/>
    <n v="31"/>
    <n v="0.73809523809523814"/>
  </r>
  <r>
    <s v="1799"/>
    <x v="1803"/>
    <n v="3800000"/>
    <x v="13"/>
    <n v="226.4683"/>
    <x v="18"/>
    <n v="25"/>
    <n v="12"/>
    <s v="2008"/>
    <n v="2"/>
    <x v="0"/>
    <n v="13"/>
    <n v="1.0833333333333333"/>
  </r>
  <r>
    <s v="1800"/>
    <x v="1804"/>
    <n v="25000000"/>
    <x v="24"/>
    <n v="226.3141"/>
    <x v="5"/>
    <n v="160"/>
    <n v="42"/>
    <s v="1999"/>
    <n v="1"/>
    <x v="0"/>
    <n v="118"/>
    <n v="2.8095238095238093"/>
  </r>
  <r>
    <s v="1801"/>
    <x v="1805"/>
    <n v="16900000"/>
    <x v="5"/>
    <n v="226.27420000000001"/>
    <x v="1"/>
    <n v="74"/>
    <n v="15"/>
    <s v="2009"/>
    <n v="3"/>
    <x v="0"/>
    <n v="59"/>
    <n v="3.9333333333333331"/>
  </r>
  <r>
    <s v="1802"/>
    <x v="1806"/>
    <n v="7700000"/>
    <x v="23"/>
    <n v="226.26050000000001"/>
    <x v="6"/>
    <n v="19"/>
    <n v="9"/>
    <s v="2001"/>
    <n v="3"/>
    <x v="0"/>
    <n v="10"/>
    <n v="1.1111111111111112"/>
  </r>
  <r>
    <s v="1803"/>
    <x v="1807"/>
    <n v="35500000"/>
    <x v="12"/>
    <n v="226.1369"/>
    <x v="5"/>
    <n v="295"/>
    <n v="95"/>
    <s v="1999"/>
    <n v="6"/>
    <x v="0"/>
    <n v="200"/>
    <n v="2.1052631578947367"/>
  </r>
  <r>
    <s v="1804"/>
    <x v="1808"/>
    <n v="3700000"/>
    <x v="9"/>
    <n v="225.94229999999999"/>
    <x v="3"/>
    <n v="5"/>
    <n v="3"/>
    <s v="2013"/>
    <n v="2"/>
    <x v="0"/>
    <n v="2"/>
    <n v="0.66666666666666663"/>
  </r>
  <r>
    <s v="1805"/>
    <x v="1809"/>
    <n v="9100000"/>
    <x v="31"/>
    <n v="225.79769999999999"/>
    <x v="0"/>
    <n v="33"/>
    <n v="16"/>
    <s v="2009"/>
    <n v="1"/>
    <x v="0"/>
    <n v="17"/>
    <n v="1.0625"/>
  </r>
  <r>
    <s v="1806"/>
    <x v="1810"/>
    <n v="79800000"/>
    <x v="5"/>
    <n v="225.66120000000001"/>
    <x v="22"/>
    <n v="470"/>
    <n v="220"/>
    <s v="2011"/>
    <n v="6"/>
    <x v="0"/>
    <n v="250"/>
    <n v="1.1363636363636365"/>
  </r>
  <r>
    <s v="1807"/>
    <x v="1811"/>
    <n v="21000000"/>
    <x v="2"/>
    <n v="225.58240000000001"/>
    <x v="5"/>
    <n v="111"/>
    <n v="55"/>
    <s v="2012"/>
    <n v="2"/>
    <x v="0"/>
    <n v="56"/>
    <n v="1.0181818181818181"/>
  </r>
  <r>
    <s v="1808"/>
    <x v="1812"/>
    <n v="4500000"/>
    <x v="29"/>
    <n v="225.4085"/>
    <x v="9"/>
    <n v="14"/>
    <n v="5"/>
    <s v="2008"/>
    <n v="1"/>
    <x v="0"/>
    <n v="9"/>
    <n v="1.8"/>
  </r>
  <r>
    <s v="1809"/>
    <x v="1813"/>
    <n v="6900000"/>
    <x v="31"/>
    <n v="225.30770000000001"/>
    <x v="9"/>
    <n v="54"/>
    <n v="14"/>
    <s v="2005"/>
    <n v="1"/>
    <x v="0"/>
    <n v="40"/>
    <n v="2.8571428571428572"/>
  </r>
  <r>
    <s v="1810"/>
    <x v="1814"/>
    <n v="5700000"/>
    <x v="2"/>
    <n v="225.1216"/>
    <x v="3"/>
    <n v="50"/>
    <n v="14"/>
    <s v="2009"/>
    <n v="2"/>
    <x v="0"/>
    <n v="36"/>
    <n v="2.5714285714285716"/>
  </r>
  <r>
    <s v="1811"/>
    <x v="1815"/>
    <n v="30000000"/>
    <x v="5"/>
    <n v="225.09450000000001"/>
    <x v="5"/>
    <n v="65"/>
    <n v="12"/>
    <s v="2012"/>
    <n v="1"/>
    <x v="0"/>
    <n v="53"/>
    <n v="4.416666666666667"/>
  </r>
  <r>
    <s v="1812"/>
    <x v="1816"/>
    <n v="7900000"/>
    <x v="8"/>
    <n v="225.0693"/>
    <x v="13"/>
    <n v="35"/>
    <n v="10"/>
    <s v="2012"/>
    <n v="4"/>
    <x v="0"/>
    <n v="25"/>
    <n v="2.5"/>
  </r>
  <r>
    <s v="1813"/>
    <x v="1817"/>
    <n v="15200000"/>
    <x v="16"/>
    <n v="224.92920000000001"/>
    <x v="4"/>
    <n v="28"/>
    <n v="15"/>
    <s v="2011"/>
    <n v="3"/>
    <x v="0"/>
    <n v="13"/>
    <n v="0.8666666666666667"/>
  </r>
  <r>
    <s v="1814"/>
    <x v="1818"/>
    <n v="8300000"/>
    <x v="5"/>
    <n v="224.58349999999999"/>
    <x v="7"/>
    <n v="8"/>
    <n v="7"/>
    <s v="2011"/>
    <n v="1"/>
    <x v="0"/>
    <n v="1"/>
    <n v="0.14285714285714285"/>
  </r>
  <r>
    <s v="1815"/>
    <x v="1819"/>
    <n v="2800000"/>
    <x v="38"/>
    <n v="224.5095"/>
    <x v="0"/>
    <n v="13"/>
    <n v="5"/>
    <s v="2008"/>
    <n v="1"/>
    <x v="0"/>
    <n v="8"/>
    <n v="1.6"/>
  </r>
  <r>
    <s v="1816"/>
    <x v="1820"/>
    <n v="44700000"/>
    <x v="40"/>
    <n v="224.50720000000001"/>
    <x v="11"/>
    <n v="15"/>
    <n v="9"/>
    <s v="2011"/>
    <n v="4"/>
    <x v="0"/>
    <n v="6"/>
    <n v="0.66666666666666663"/>
  </r>
  <r>
    <s v="1817"/>
    <x v="1821"/>
    <n v="2600000"/>
    <x v="0"/>
    <n v="224.35890000000001"/>
    <x v="5"/>
    <n v="8"/>
    <n v="4"/>
    <s v="2006"/>
    <n v="1"/>
    <x v="0"/>
    <n v="4"/>
    <n v="1"/>
  </r>
  <r>
    <s v="1818"/>
    <x v="1822"/>
    <n v="3400000"/>
    <x v="2"/>
    <n v="224.1388"/>
    <x v="13"/>
    <n v="14"/>
    <n v="3"/>
    <s v="2008"/>
    <n v="2"/>
    <x v="0"/>
    <n v="11"/>
    <n v="3.6666666666666665"/>
  </r>
  <r>
    <s v="1819"/>
    <x v="1823"/>
    <n v="2700000"/>
    <x v="47"/>
    <n v="223.73070000000001"/>
    <x v="11"/>
    <n v="16"/>
    <n v="8"/>
    <s v="2013"/>
    <n v="3"/>
    <x v="0"/>
    <n v="8"/>
    <n v="1"/>
  </r>
  <r>
    <s v="1820"/>
    <x v="1824"/>
    <n v="8200000"/>
    <x v="10"/>
    <n v="223.54499999999999"/>
    <x v="7"/>
    <n v="10"/>
    <n v="8"/>
    <s v="2003"/>
    <n v="3"/>
    <x v="0"/>
    <n v="2"/>
    <n v="0.25"/>
  </r>
  <r>
    <s v="1821"/>
    <x v="1825"/>
    <n v="21600000"/>
    <x v="33"/>
    <n v="223.5257"/>
    <x v="7"/>
    <n v="165"/>
    <n v="90"/>
    <s v="2014"/>
    <n v="2"/>
    <x v="0"/>
    <n v="75"/>
    <n v="0.83333333333333337"/>
  </r>
  <r>
    <s v="1822"/>
    <x v="1826"/>
    <n v="2000000"/>
    <x v="3"/>
    <n v="223.44499999999999"/>
    <x v="7"/>
    <n v="23"/>
    <n v="2"/>
    <s v="2007"/>
    <n v="2"/>
    <x v="0"/>
    <n v="21"/>
    <n v="10.5"/>
  </r>
  <r>
    <s v="1823"/>
    <x v="1827"/>
    <n v="2100000"/>
    <x v="33"/>
    <n v="223.40469999999999"/>
    <x v="19"/>
    <n v="7"/>
    <n v="3"/>
    <s v="2012"/>
    <n v="1"/>
    <x v="0"/>
    <n v="4"/>
    <n v="1.3333333333333333"/>
  </r>
  <r>
    <s v="1824"/>
    <x v="1828"/>
    <n v="47000000"/>
    <x v="2"/>
    <n v="223.16159999999999"/>
    <x v="5"/>
    <n v="400"/>
    <n v="140"/>
    <s v="2009"/>
    <n v="1"/>
    <x v="0"/>
    <n v="260"/>
    <n v="1.8571428571428572"/>
  </r>
  <r>
    <s v="1825"/>
    <x v="1829"/>
    <n v="6200000"/>
    <x v="27"/>
    <n v="223.154"/>
    <x v="10"/>
    <n v="15"/>
    <n v="6"/>
    <s v="2012"/>
    <n v="3"/>
    <x v="0"/>
    <n v="9"/>
    <n v="1.5"/>
  </r>
  <r>
    <s v="1826"/>
    <x v="1830"/>
    <n v="36600000"/>
    <x v="2"/>
    <n v="223.1182"/>
    <x v="15"/>
    <n v="170"/>
    <n v="55"/>
    <s v="2014"/>
    <n v="1"/>
    <x v="0"/>
    <n v="115"/>
    <n v="2.0909090909090908"/>
  </r>
  <r>
    <s v="1827"/>
    <x v="1831"/>
    <n v="14100000"/>
    <x v="1"/>
    <n v="223.10509999999999"/>
    <x v="5"/>
    <n v="806"/>
    <n v="260"/>
    <s v="2010"/>
    <n v="2"/>
    <x v="0"/>
    <n v="546"/>
    <n v="2.1"/>
  </r>
  <r>
    <s v="1828"/>
    <x v="1832"/>
    <n v="26500000"/>
    <x v="9"/>
    <n v="222.8809"/>
    <x v="0"/>
    <n v="65"/>
    <n v="30"/>
    <s v="2001"/>
    <n v="2"/>
    <x v="0"/>
    <n v="35"/>
    <n v="1.1666666666666667"/>
  </r>
  <r>
    <s v="1829"/>
    <x v="1833"/>
    <n v="84100000"/>
    <x v="9"/>
    <n v="222.6079"/>
    <x v="2"/>
    <n v="105"/>
    <n v="121"/>
    <s v="2005"/>
    <n v="2"/>
    <x v="1"/>
    <n v="-16"/>
    <n v="-0.13223140495867769"/>
  </r>
  <r>
    <s v="1830"/>
    <x v="1834"/>
    <n v="179600000"/>
    <x v="5"/>
    <n v="222.56469999999999"/>
    <x v="5"/>
    <n v="451"/>
    <n v="179"/>
    <s v="2009"/>
    <n v="6"/>
    <x v="0"/>
    <n v="272"/>
    <n v="1.5195530726256983"/>
  </r>
  <r>
    <s v="1831"/>
    <x v="1835"/>
    <n v="9800000"/>
    <x v="33"/>
    <n v="222.39789999999999"/>
    <x v="1"/>
    <n v="63"/>
    <n v="11"/>
    <s v="2011"/>
    <n v="4"/>
    <x v="0"/>
    <n v="52"/>
    <n v="4.7272727272727275"/>
  </r>
  <r>
    <s v="1832"/>
    <x v="1836"/>
    <n v="296300000"/>
    <x v="7"/>
    <n v="222.20679999999999"/>
    <x v="19"/>
    <n v="1174"/>
    <n v="287"/>
    <s v="2005"/>
    <n v="8"/>
    <x v="0"/>
    <n v="887"/>
    <n v="3.0905923344947737"/>
  </r>
  <r>
    <s v="1833"/>
    <x v="1837"/>
    <n v="44300000"/>
    <x v="41"/>
    <n v="221.78110000000001"/>
    <x v="5"/>
    <n v="3543"/>
    <n v="1170"/>
    <s v="1999"/>
    <n v="4"/>
    <x v="0"/>
    <n v="2373"/>
    <n v="2.0282051282051281"/>
  </r>
  <r>
    <s v="1834"/>
    <x v="1838"/>
    <n v="5600000"/>
    <x v="5"/>
    <n v="221.5085"/>
    <x v="23"/>
    <n v="15"/>
    <n v="6"/>
    <s v="2014"/>
    <n v="1"/>
    <x v="0"/>
    <n v="9"/>
    <n v="1.5"/>
  </r>
  <r>
    <s v="1835"/>
    <x v="1839"/>
    <n v="166300000"/>
    <x v="7"/>
    <n v="221.49109999999999"/>
    <x v="11"/>
    <n v="1638"/>
    <n v="541"/>
    <s v="1997"/>
    <n v="11"/>
    <x v="0"/>
    <n v="1097"/>
    <n v="2.0277264325323476"/>
  </r>
  <r>
    <s v="1836"/>
    <x v="1840"/>
    <n v="8900000"/>
    <x v="2"/>
    <n v="221.4819"/>
    <x v="5"/>
    <n v="70"/>
    <n v="24"/>
    <s v="2006"/>
    <n v="5"/>
    <x v="0"/>
    <n v="46"/>
    <n v="1.9166666666666667"/>
  </r>
  <r>
    <s v="1837"/>
    <x v="1841"/>
    <n v="2900000"/>
    <x v="5"/>
    <n v="221.45349999999999"/>
    <x v="12"/>
    <n v="9"/>
    <n v="1"/>
    <s v="2012"/>
    <n v="1"/>
    <x v="0"/>
    <n v="8"/>
    <n v="8"/>
  </r>
  <r>
    <s v="1838"/>
    <x v="1842"/>
    <n v="2600000"/>
    <x v="12"/>
    <n v="220.595"/>
    <x v="0"/>
    <n v="30"/>
    <n v="7"/>
    <s v="2013"/>
    <n v="1"/>
    <x v="0"/>
    <n v="23"/>
    <n v="3.2857142857142856"/>
  </r>
  <r>
    <s v="1839"/>
    <x v="1843"/>
    <n v="10600000"/>
    <x v="0"/>
    <n v="220.56890000000001"/>
    <x v="23"/>
    <n v="412"/>
    <n v="95"/>
    <s v="2012"/>
    <n v="3"/>
    <x v="0"/>
    <n v="317"/>
    <n v="3.3368421052631581"/>
  </r>
  <r>
    <s v="1840"/>
    <x v="1844"/>
    <n v="3000000"/>
    <x v="42"/>
    <n v="220.56540000000001"/>
    <x v="20"/>
    <n v="15"/>
    <n v="5"/>
    <s v="2013"/>
    <n v="1"/>
    <x v="0"/>
    <n v="10"/>
    <n v="2"/>
  </r>
  <r>
    <s v="1841"/>
    <x v="1845"/>
    <n v="92100000"/>
    <x v="5"/>
    <n v="220.5307"/>
    <x v="12"/>
    <n v="62"/>
    <n v="45"/>
    <s v="2006"/>
    <n v="8"/>
    <x v="0"/>
    <n v="17"/>
    <n v="0.37777777777777777"/>
  </r>
  <r>
    <s v="1842"/>
    <x v="1846"/>
    <n v="144300000"/>
    <x v="5"/>
    <n v="220.43100000000001"/>
    <x v="0"/>
    <n v="312"/>
    <n v="172"/>
    <s v="1990"/>
    <n v="9"/>
    <x v="0"/>
    <n v="140"/>
    <n v="0.81395348837209303"/>
  </r>
  <r>
    <s v="1843"/>
    <x v="1847"/>
    <n v="8100000"/>
    <x v="9"/>
    <n v="220.41909999999999"/>
    <x v="9"/>
    <n v="100"/>
    <n v="30"/>
    <s v="2011"/>
    <n v="2"/>
    <x v="0"/>
    <n v="70"/>
    <n v="2.3333333333333335"/>
  </r>
  <r>
    <s v="1844"/>
    <x v="1848"/>
    <n v="2400000"/>
    <x v="7"/>
    <n v="220.41820000000001"/>
    <x v="19"/>
    <n v="21"/>
    <n v="4"/>
    <s v="2008"/>
    <n v="1"/>
    <x v="0"/>
    <n v="17"/>
    <n v="4.25"/>
  </r>
  <r>
    <s v="1845"/>
    <x v="1849"/>
    <n v="50800000"/>
    <x v="24"/>
    <n v="220.1763"/>
    <x v="23"/>
    <n v="150"/>
    <n v="116"/>
    <s v="2001"/>
    <n v="2"/>
    <x v="0"/>
    <n v="34"/>
    <n v="0.29310344827586204"/>
  </r>
  <r>
    <s v="1846"/>
    <x v="1850"/>
    <n v="5000000"/>
    <x v="28"/>
    <n v="220.11590000000001"/>
    <x v="0"/>
    <n v="42"/>
    <n v="24"/>
    <s v="2012"/>
    <n v="1"/>
    <x v="0"/>
    <n v="18"/>
    <n v="0.75"/>
  </r>
  <r>
    <s v="1847"/>
    <x v="1851"/>
    <n v="11000000"/>
    <x v="5"/>
    <n v="219.70310000000001"/>
    <x v="25"/>
    <n v="275"/>
    <n v="125"/>
    <s v="2009"/>
    <n v="4"/>
    <x v="0"/>
    <n v="150"/>
    <n v="1.2"/>
  </r>
  <r>
    <s v="1848"/>
    <x v="1852"/>
    <n v="51800000"/>
    <x v="9"/>
    <n v="219.4247"/>
    <x v="7"/>
    <n v="276"/>
    <n v="156"/>
    <s v="2013"/>
    <n v="3"/>
    <x v="0"/>
    <n v="120"/>
    <n v="0.76923076923076927"/>
  </r>
  <r>
    <s v="1849"/>
    <x v="1853"/>
    <n v="6800000"/>
    <x v="20"/>
    <n v="219.3819"/>
    <x v="4"/>
    <n v="55"/>
    <n v="22"/>
    <s v="2004"/>
    <n v="2"/>
    <x v="0"/>
    <n v="33"/>
    <n v="1.5"/>
  </r>
  <r>
    <s v="1850"/>
    <x v="1854"/>
    <n v="4600000"/>
    <x v="13"/>
    <n v="219.35890000000001"/>
    <x v="19"/>
    <n v="38"/>
    <n v="13"/>
    <s v="2010"/>
    <n v="3"/>
    <x v="0"/>
    <n v="25"/>
    <n v="1.9230769230769231"/>
  </r>
  <r>
    <s v="1851"/>
    <x v="1855"/>
    <n v="323300000"/>
    <x v="1"/>
    <n v="218.96019999999999"/>
    <x v="7"/>
    <n v="1097"/>
    <n v="338"/>
    <s v="1996"/>
    <n v="8"/>
    <x v="0"/>
    <n v="759"/>
    <n v="2.2455621301775146"/>
  </r>
  <r>
    <s v="1852"/>
    <x v="1856"/>
    <n v="2800000"/>
    <x v="7"/>
    <n v="218.88079999999999"/>
    <x v="20"/>
    <n v="11"/>
    <n v="3"/>
    <s v="2014"/>
    <n v="1"/>
    <x v="0"/>
    <n v="8"/>
    <n v="2.6666666666666665"/>
  </r>
  <r>
    <s v="1853"/>
    <x v="1857"/>
    <n v="4200000"/>
    <x v="9"/>
    <n v="218.76079999999999"/>
    <x v="9"/>
    <n v="2"/>
    <n v="1"/>
    <s v="2013"/>
    <n v="1"/>
    <x v="0"/>
    <n v="1"/>
    <n v="1"/>
  </r>
  <r>
    <s v="1854"/>
    <x v="1858"/>
    <n v="2200000"/>
    <x v="12"/>
    <n v="218.21369999999999"/>
    <x v="0"/>
    <n v="17"/>
    <n v="4"/>
    <s v="2001"/>
    <n v="1"/>
    <x v="0"/>
    <n v="13"/>
    <n v="3.25"/>
  </r>
  <r>
    <s v="1855"/>
    <x v="1859"/>
    <n v="8700000"/>
    <x v="8"/>
    <n v="218.10050000000001"/>
    <x v="0"/>
    <n v="39"/>
    <n v="17"/>
    <s v="2006"/>
    <n v="5"/>
    <x v="0"/>
    <n v="22"/>
    <n v="1.2941176470588236"/>
  </r>
  <r>
    <s v="1856"/>
    <x v="1860"/>
    <n v="13600000"/>
    <x v="8"/>
    <n v="217.95410000000001"/>
    <x v="0"/>
    <n v="45"/>
    <n v="25"/>
    <s v="1986"/>
    <n v="2"/>
    <x v="0"/>
    <n v="20"/>
    <n v="0.8"/>
  </r>
  <r>
    <s v="1857"/>
    <x v="1861"/>
    <n v="4100000"/>
    <x v="40"/>
    <n v="217.91720000000001"/>
    <x v="4"/>
    <n v="50"/>
    <n v="15"/>
    <s v="2007"/>
    <n v="2"/>
    <x v="0"/>
    <n v="35"/>
    <n v="2.3333333333333335"/>
  </r>
  <r>
    <s v="1858"/>
    <x v="1862"/>
    <n v="3800000"/>
    <x v="28"/>
    <n v="217.8708"/>
    <x v="15"/>
    <n v="9"/>
    <n v="4"/>
    <s v="2006"/>
    <n v="3"/>
    <x v="0"/>
    <n v="5"/>
    <n v="1.25"/>
  </r>
  <r>
    <s v="1859"/>
    <x v="1863"/>
    <n v="139600000"/>
    <x v="40"/>
    <n v="217.55459999999999"/>
    <x v="5"/>
    <n v="297"/>
    <n v="109"/>
    <s v="2008"/>
    <n v="3"/>
    <x v="0"/>
    <n v="188"/>
    <n v="1.724770642201835"/>
  </r>
  <r>
    <s v="1860"/>
    <x v="1864"/>
    <n v="6400000"/>
    <x v="21"/>
    <n v="217.41220000000001"/>
    <x v="11"/>
    <n v="32"/>
    <n v="10"/>
    <s v="2012"/>
    <n v="3"/>
    <x v="0"/>
    <n v="22"/>
    <n v="2.2000000000000002"/>
  </r>
  <r>
    <s v="1861"/>
    <x v="1865"/>
    <n v="10100000"/>
    <x v="9"/>
    <n v="217.0514"/>
    <x v="23"/>
    <n v="50"/>
    <n v="20"/>
    <s v="2007"/>
    <n v="3"/>
    <x v="0"/>
    <n v="30"/>
    <n v="1.5"/>
  </r>
  <r>
    <s v="1862"/>
    <x v="1866"/>
    <n v="32700000"/>
    <x v="12"/>
    <n v="217.0427"/>
    <x v="14"/>
    <n v="70"/>
    <n v="40"/>
    <s v="2007"/>
    <n v="2"/>
    <x v="0"/>
    <n v="30"/>
    <n v="0.75"/>
  </r>
  <r>
    <s v="1863"/>
    <x v="1867"/>
    <n v="57200000"/>
    <x v="18"/>
    <n v="217.01310000000001"/>
    <x v="24"/>
    <n v="450"/>
    <n v="150"/>
    <s v="2007"/>
    <n v="2"/>
    <x v="0"/>
    <n v="300"/>
    <n v="2"/>
  </r>
  <r>
    <s v="1864"/>
    <x v="1868"/>
    <n v="83000000"/>
    <x v="10"/>
    <n v="216.81270000000001"/>
    <x v="5"/>
    <n v="424"/>
    <n v="345"/>
    <s v="2009"/>
    <n v="5"/>
    <x v="0"/>
    <n v="79"/>
    <n v="0.22898550724637681"/>
  </r>
  <r>
    <s v="1865"/>
    <x v="1869"/>
    <n v="3800000"/>
    <x v="27"/>
    <n v="216.80439999999999"/>
    <x v="12"/>
    <n v="30"/>
    <n v="15"/>
    <s v="2009"/>
    <n v="2"/>
    <x v="0"/>
    <n v="15"/>
    <n v="1"/>
  </r>
  <r>
    <s v="1866"/>
    <x v="1870"/>
    <n v="5300000"/>
    <x v="9"/>
    <n v="216.77250000000001"/>
    <x v="19"/>
    <n v="61"/>
    <n v="31"/>
    <s v="2003"/>
    <n v="1"/>
    <x v="0"/>
    <n v="30"/>
    <n v="0.967741935483871"/>
  </r>
  <r>
    <s v="1867"/>
    <x v="1871"/>
    <n v="5100000"/>
    <x v="9"/>
    <n v="216.69380000000001"/>
    <x v="9"/>
    <n v="76"/>
    <n v="23"/>
    <s v="2015"/>
    <n v="1"/>
    <x v="0"/>
    <n v="53"/>
    <n v="2.3043478260869565"/>
  </r>
  <r>
    <s v="1868"/>
    <x v="1872"/>
    <n v="22700000"/>
    <x v="37"/>
    <n v="216.52799999999999"/>
    <x v="19"/>
    <n v="70"/>
    <n v="55"/>
    <s v="2011"/>
    <n v="4"/>
    <x v="0"/>
    <n v="15"/>
    <n v="0.27272727272727271"/>
  </r>
  <r>
    <s v="1869"/>
    <x v="1873"/>
    <n v="3900000"/>
    <x v="29"/>
    <n v="216.47730000000001"/>
    <x v="19"/>
    <n v="5"/>
    <n v="4"/>
    <s v="2008"/>
    <n v="1"/>
    <x v="0"/>
    <n v="1"/>
    <n v="0.25"/>
  </r>
  <r>
    <s v="1870"/>
    <x v="1874"/>
    <n v="7600000"/>
    <x v="27"/>
    <n v="216.44139999999999"/>
    <x v="2"/>
    <n v="21"/>
    <n v="10"/>
    <s v="2010"/>
    <n v="3"/>
    <x v="0"/>
    <n v="11"/>
    <n v="1.1000000000000001"/>
  </r>
  <r>
    <s v="1871"/>
    <x v="1875"/>
    <n v="16900000"/>
    <x v="5"/>
    <n v="216.41839999999999"/>
    <x v="2"/>
    <n v="40"/>
    <n v="15"/>
    <s v="2009"/>
    <n v="1"/>
    <x v="0"/>
    <n v="25"/>
    <n v="1.6666666666666667"/>
  </r>
  <r>
    <s v="1872"/>
    <x v="1876"/>
    <n v="43600000"/>
    <x v="27"/>
    <n v="216.05969999999999"/>
    <x v="5"/>
    <n v="65"/>
    <n v="40"/>
    <s v="2004"/>
    <n v="8"/>
    <x v="0"/>
    <n v="25"/>
    <n v="0.625"/>
  </r>
  <r>
    <s v="1873"/>
    <x v="1877"/>
    <n v="13800000"/>
    <x v="9"/>
    <n v="216.04740000000001"/>
    <x v="16"/>
    <n v="250"/>
    <n v="50"/>
    <s v="2013"/>
    <n v="3"/>
    <x v="0"/>
    <n v="200"/>
    <n v="4"/>
  </r>
  <r>
    <s v="1874"/>
    <x v="1878"/>
    <n v="201400000"/>
    <x v="33"/>
    <n v="215.95269999999999"/>
    <x v="1"/>
    <n v="173"/>
    <n v="62"/>
    <s v="2009"/>
    <n v="6"/>
    <x v="0"/>
    <n v="111"/>
    <n v="1.7903225806451613"/>
  </r>
  <r>
    <s v="1875"/>
    <x v="1879"/>
    <n v="60600000"/>
    <x v="9"/>
    <n v="215.7587"/>
    <x v="12"/>
    <n v="17"/>
    <n v="5"/>
    <s v="2012"/>
    <n v="4"/>
    <x v="0"/>
    <n v="12"/>
    <n v="2.4"/>
  </r>
  <r>
    <s v="1876"/>
    <x v="1880"/>
    <n v="21700000"/>
    <x v="13"/>
    <n v="215.4435"/>
    <x v="0"/>
    <n v="56"/>
    <n v="30"/>
    <s v="2010"/>
    <n v="4"/>
    <x v="0"/>
    <n v="26"/>
    <n v="0.8666666666666667"/>
  </r>
  <r>
    <s v="1877"/>
    <x v="1881"/>
    <n v="34600000"/>
    <x v="5"/>
    <n v="215.40690000000001"/>
    <x v="3"/>
    <n v="800"/>
    <n v="300"/>
    <s v="2012"/>
    <n v="4"/>
    <x v="0"/>
    <n v="500"/>
    <n v="1.6666666666666667"/>
  </r>
  <r>
    <s v="1878"/>
    <x v="1882"/>
    <n v="10600000"/>
    <x v="27"/>
    <n v="215.32599999999999"/>
    <x v="17"/>
    <n v="27"/>
    <n v="13"/>
    <s v="2014"/>
    <n v="2"/>
    <x v="0"/>
    <n v="14"/>
    <n v="1.0769230769230769"/>
  </r>
  <r>
    <s v="1879"/>
    <x v="1883"/>
    <n v="2900000"/>
    <x v="12"/>
    <n v="215.142"/>
    <x v="2"/>
    <n v="78"/>
    <n v="15"/>
    <s v="2012"/>
    <n v="2"/>
    <x v="0"/>
    <n v="63"/>
    <n v="4.2"/>
  </r>
  <r>
    <s v="1880"/>
    <x v="1884"/>
    <n v="3000000"/>
    <x v="18"/>
    <n v="214.99469999999999"/>
    <x v="19"/>
    <n v="15"/>
    <n v="5"/>
    <s v="2004"/>
    <n v="2"/>
    <x v="0"/>
    <n v="10"/>
    <n v="2"/>
  </r>
  <r>
    <s v="1881"/>
    <x v="1885"/>
    <n v="11600000"/>
    <x v="7"/>
    <n v="214.8509"/>
    <x v="11"/>
    <n v="39"/>
    <n v="25"/>
    <s v="2005"/>
    <n v="1"/>
    <x v="0"/>
    <n v="14"/>
    <n v="0.56000000000000005"/>
  </r>
  <r>
    <s v="1882"/>
    <x v="1886"/>
    <n v="4500000"/>
    <x v="34"/>
    <n v="214.82509999999999"/>
    <x v="23"/>
    <n v="53"/>
    <n v="22"/>
    <s v="2013"/>
    <n v="3"/>
    <x v="0"/>
    <n v="31"/>
    <n v="1.4090909090909092"/>
  </r>
  <r>
    <s v="1883"/>
    <x v="1887"/>
    <n v="119100000"/>
    <x v="16"/>
    <n v="214.73869999999999"/>
    <x v="6"/>
    <n v="150"/>
    <n v="58"/>
    <s v="2002"/>
    <n v="3"/>
    <x v="0"/>
    <n v="92"/>
    <n v="1.5862068965517242"/>
  </r>
  <r>
    <s v="1884"/>
    <x v="1888"/>
    <n v="25000000"/>
    <x v="12"/>
    <n v="214.1379"/>
    <x v="5"/>
    <n v="38"/>
    <n v="23"/>
    <s v="2004"/>
    <n v="4"/>
    <x v="0"/>
    <n v="15"/>
    <n v="0.65217391304347827"/>
  </r>
  <r>
    <s v="1885"/>
    <x v="1889"/>
    <n v="12600000"/>
    <x v="37"/>
    <n v="213.49590000000001"/>
    <x v="12"/>
    <n v="23"/>
    <n v="14"/>
    <s v="2007"/>
    <n v="3"/>
    <x v="0"/>
    <n v="9"/>
    <n v="0.6428571428571429"/>
  </r>
  <r>
    <s v="1886"/>
    <x v="1890"/>
    <n v="57700000"/>
    <x v="2"/>
    <n v="213.28639999999999"/>
    <x v="23"/>
    <n v="70"/>
    <n v="30"/>
    <s v="1995"/>
    <n v="2"/>
    <x v="0"/>
    <n v="40"/>
    <n v="1.3333333333333333"/>
  </r>
  <r>
    <s v="1887"/>
    <x v="1891"/>
    <n v="14700000"/>
    <x v="28"/>
    <n v="213.2499"/>
    <x v="5"/>
    <n v="45"/>
    <n v="20"/>
    <s v="2002"/>
    <n v="2"/>
    <x v="0"/>
    <n v="25"/>
    <n v="1.25"/>
  </r>
  <r>
    <s v="1888"/>
    <x v="1892"/>
    <n v="17700000"/>
    <x v="38"/>
    <n v="213.12979999999999"/>
    <x v="15"/>
    <n v="102"/>
    <n v="55"/>
    <s v="2010"/>
    <n v="5"/>
    <x v="0"/>
    <n v="47"/>
    <n v="0.8545454545454545"/>
  </r>
  <r>
    <s v="1889"/>
    <x v="1893"/>
    <n v="3700000"/>
    <x v="6"/>
    <n v="212.98480000000001"/>
    <x v="7"/>
    <n v="12"/>
    <n v="5"/>
    <s v="2011"/>
    <n v="2"/>
    <x v="0"/>
    <n v="7"/>
    <n v="1.4"/>
  </r>
  <r>
    <s v="1890"/>
    <x v="1894"/>
    <n v="35200000"/>
    <x v="0"/>
    <n v="212.98150000000001"/>
    <x v="15"/>
    <n v="10"/>
    <n v="4"/>
    <s v="2008"/>
    <n v="6"/>
    <x v="0"/>
    <n v="6"/>
    <n v="1.5"/>
  </r>
  <r>
    <s v="1891"/>
    <x v="1895"/>
    <n v="3900000"/>
    <x v="9"/>
    <n v="212.8964"/>
    <x v="20"/>
    <n v="28"/>
    <n v="15"/>
    <s v="2012"/>
    <n v="2"/>
    <x v="0"/>
    <n v="13"/>
    <n v="0.8666666666666667"/>
  </r>
  <r>
    <s v="1893"/>
    <x v="1896"/>
    <n v="2700000"/>
    <x v="12"/>
    <n v="212.57650000000001"/>
    <x v="0"/>
    <n v="16"/>
    <n v="3"/>
    <s v="2010"/>
    <n v="1"/>
    <x v="0"/>
    <n v="13"/>
    <n v="4.333333333333333"/>
  </r>
  <r>
    <s v="1894"/>
    <x v="1897"/>
    <n v="17200000"/>
    <x v="40"/>
    <n v="212.5471"/>
    <x v="0"/>
    <n v="189"/>
    <n v="81"/>
    <s v="2009"/>
    <n v="4"/>
    <x v="0"/>
    <n v="108"/>
    <n v="1.3333333333333333"/>
  </r>
  <r>
    <s v="1895"/>
    <x v="1898"/>
    <n v="2400000"/>
    <x v="10"/>
    <n v="212.26939999999999"/>
    <x v="0"/>
    <n v="10"/>
    <n v="4"/>
    <s v="2010"/>
    <n v="1"/>
    <x v="0"/>
    <n v="6"/>
    <n v="1.5"/>
  </r>
  <r>
    <s v="1896"/>
    <x v="1899"/>
    <n v="27800000"/>
    <x v="1"/>
    <n v="212.1506"/>
    <x v="1"/>
    <n v="38"/>
    <n v="16"/>
    <s v="2012"/>
    <n v="3"/>
    <x v="0"/>
    <n v="22"/>
    <n v="1.375"/>
  </r>
  <r>
    <s v="1897"/>
    <x v="1900"/>
    <n v="6300000"/>
    <x v="9"/>
    <n v="212.01910000000001"/>
    <x v="12"/>
    <n v="27"/>
    <n v="15"/>
    <s v="2014"/>
    <n v="1"/>
    <x v="0"/>
    <n v="12"/>
    <n v="0.8"/>
  </r>
  <r>
    <s v="1898"/>
    <x v="1901"/>
    <n v="7000000"/>
    <x v="6"/>
    <n v="211.99619999999999"/>
    <x v="19"/>
    <n v="13"/>
    <n v="10"/>
    <s v="2009"/>
    <n v="3"/>
    <x v="0"/>
    <n v="3"/>
    <n v="0.3"/>
  </r>
  <r>
    <s v="1899"/>
    <x v="1902"/>
    <n v="15100000"/>
    <x v="24"/>
    <n v="211.74770000000001"/>
    <x v="9"/>
    <n v="149"/>
    <n v="52"/>
    <s v="2004"/>
    <n v="4"/>
    <x v="0"/>
    <n v="97"/>
    <n v="1.8653846153846154"/>
  </r>
  <r>
    <s v="1900"/>
    <x v="1903"/>
    <n v="56600000"/>
    <x v="2"/>
    <n v="211.71809999999999"/>
    <x v="13"/>
    <n v="101"/>
    <n v="54"/>
    <s v="2011"/>
    <n v="1"/>
    <x v="0"/>
    <n v="47"/>
    <n v="0.87037037037037035"/>
  </r>
  <r>
    <s v="1901"/>
    <x v="1904"/>
    <n v="20700000"/>
    <x v="26"/>
    <n v="211.4075"/>
    <x v="0"/>
    <n v="150"/>
    <n v="22"/>
    <s v="2010"/>
    <n v="1"/>
    <x v="0"/>
    <n v="128"/>
    <n v="5.8181818181818183"/>
  </r>
  <r>
    <s v="1902"/>
    <x v="1905"/>
    <n v="5800000"/>
    <x v="18"/>
    <n v="211.20689999999999"/>
    <x v="23"/>
    <n v="40"/>
    <n v="10"/>
    <s v="2012"/>
    <n v="3"/>
    <x v="0"/>
    <n v="30"/>
    <n v="3"/>
  </r>
  <r>
    <s v="1903"/>
    <x v="1906"/>
    <n v="3000000"/>
    <x v="2"/>
    <n v="211.17310000000001"/>
    <x v="4"/>
    <n v="15"/>
    <n v="7"/>
    <s v="2013"/>
    <n v="1"/>
    <x v="0"/>
    <n v="8"/>
    <n v="1.1428571428571428"/>
  </r>
  <r>
    <s v="1904"/>
    <x v="1907"/>
    <n v="7900000"/>
    <x v="13"/>
    <n v="210.983"/>
    <x v="9"/>
    <n v="62"/>
    <n v="40"/>
    <s v="2003"/>
    <n v="3"/>
    <x v="0"/>
    <n v="22"/>
    <n v="0.55000000000000004"/>
  </r>
  <r>
    <s v="1905"/>
    <x v="1908"/>
    <n v="9500000"/>
    <x v="18"/>
    <n v="210.851"/>
    <x v="4"/>
    <n v="230"/>
    <n v="75"/>
    <s v="2006"/>
    <n v="3"/>
    <x v="0"/>
    <n v="155"/>
    <n v="2.0666666666666669"/>
  </r>
  <r>
    <s v="1906"/>
    <x v="1909"/>
    <n v="2600000"/>
    <x v="5"/>
    <n v="210.44399999999999"/>
    <x v="23"/>
    <n v="13"/>
    <n v="5"/>
    <s v="1992"/>
    <n v="1"/>
    <x v="0"/>
    <n v="8"/>
    <n v="1.6"/>
  </r>
  <r>
    <s v="1907"/>
    <x v="1910"/>
    <n v="153800000"/>
    <x v="16"/>
    <n v="210.31899999999999"/>
    <x v="15"/>
    <n v="80"/>
    <n v="51"/>
    <s v="1981"/>
    <n v="2"/>
    <x v="0"/>
    <n v="29"/>
    <n v="0.56862745098039214"/>
  </r>
  <r>
    <s v="1908"/>
    <x v="1911"/>
    <n v="13300000"/>
    <x v="11"/>
    <n v="210.2371"/>
    <x v="3"/>
    <n v="136"/>
    <n v="53"/>
    <s v="2006"/>
    <n v="1"/>
    <x v="0"/>
    <n v="83"/>
    <n v="1.5660377358490567"/>
  </r>
  <r>
    <s v="1909"/>
    <x v="1912"/>
    <n v="26900000"/>
    <x v="11"/>
    <n v="210.02070000000001"/>
    <x v="9"/>
    <n v="501"/>
    <n v="187"/>
    <s v="2009"/>
    <n v="5"/>
    <x v="0"/>
    <n v="314"/>
    <n v="1.679144385026738"/>
  </r>
  <r>
    <s v="1910"/>
    <x v="1913"/>
    <n v="15100000"/>
    <x v="13"/>
    <n v="210.01230000000001"/>
    <x v="1"/>
    <n v="101"/>
    <n v="34"/>
    <s v="2006"/>
    <n v="1"/>
    <x v="0"/>
    <n v="67"/>
    <n v="1.9705882352941178"/>
  </r>
  <r>
    <s v="1911"/>
    <x v="1914"/>
    <n v="2200000"/>
    <x v="23"/>
    <n v="209.61199999999999"/>
    <x v="23"/>
    <n v="12"/>
    <n v="4"/>
    <s v="2013"/>
    <n v="2"/>
    <x v="0"/>
    <n v="8"/>
    <n v="2"/>
  </r>
  <r>
    <s v="1912"/>
    <x v="1915"/>
    <n v="5000000"/>
    <x v="2"/>
    <n v="209.5899"/>
    <x v="9"/>
    <n v="29"/>
    <n v="8"/>
    <s v="2007"/>
    <n v="1"/>
    <x v="0"/>
    <n v="21"/>
    <n v="2.625"/>
  </r>
  <r>
    <s v="1913"/>
    <x v="1916"/>
    <n v="10600000"/>
    <x v="14"/>
    <n v="209.24250000000001"/>
    <x v="15"/>
    <n v="200"/>
    <n v="8"/>
    <s v="2012"/>
    <n v="5"/>
    <x v="0"/>
    <n v="192"/>
    <n v="24"/>
  </r>
  <r>
    <s v="1914"/>
    <x v="1917"/>
    <n v="6300000"/>
    <x v="5"/>
    <n v="209.22550000000001"/>
    <x v="6"/>
    <n v="43"/>
    <n v="15"/>
    <s v="2009"/>
    <n v="4"/>
    <x v="0"/>
    <n v="28"/>
    <n v="1.8666666666666667"/>
  </r>
  <r>
    <s v="1915"/>
    <x v="1918"/>
    <n v="2600000"/>
    <x v="10"/>
    <n v="209.20650000000001"/>
    <x v="0"/>
    <n v="15"/>
    <n v="6"/>
    <s v="2010"/>
    <n v="2"/>
    <x v="0"/>
    <n v="9"/>
    <n v="1.5"/>
  </r>
  <r>
    <s v="1916"/>
    <x v="1919"/>
    <n v="206100000"/>
    <x v="12"/>
    <n v="209.1756"/>
    <x v="4"/>
    <n v="550"/>
    <n v="280"/>
    <s v="2010"/>
    <n v="5"/>
    <x v="0"/>
    <n v="270"/>
    <n v="0.9642857142857143"/>
  </r>
  <r>
    <s v="1917"/>
    <x v="1920"/>
    <n v="59600000"/>
    <x v="7"/>
    <n v="209.03059999999999"/>
    <x v="9"/>
    <n v="335"/>
    <n v="84"/>
    <s v="2007"/>
    <n v="7"/>
    <x v="0"/>
    <n v="251"/>
    <n v="2.9880952380952381"/>
  </r>
  <r>
    <s v="1918"/>
    <x v="1921"/>
    <n v="2500000"/>
    <x v="0"/>
    <n v="208.99510000000001"/>
    <x v="7"/>
    <n v="20"/>
    <n v="7"/>
    <s v="2007"/>
    <n v="1"/>
    <x v="0"/>
    <n v="13"/>
    <n v="1.8571428571428572"/>
  </r>
  <r>
    <s v="1919"/>
    <x v="1922"/>
    <n v="26100000"/>
    <x v="12"/>
    <n v="208.76079999999999"/>
    <x v="9"/>
    <n v="113"/>
    <n v="35"/>
    <s v="2002"/>
    <n v="7"/>
    <x v="0"/>
    <n v="78"/>
    <n v="2.2285714285714286"/>
  </r>
  <r>
    <s v="1920"/>
    <x v="1923"/>
    <n v="445600000"/>
    <x v="8"/>
    <n v="208.5325"/>
    <x v="16"/>
    <n v="420"/>
    <n v="200"/>
    <s v="2007"/>
    <n v="8"/>
    <x v="0"/>
    <n v="220"/>
    <n v="1.1000000000000001"/>
  </r>
  <r>
    <s v="1921"/>
    <x v="1924"/>
    <n v="4200000"/>
    <x v="40"/>
    <n v="208.5264"/>
    <x v="9"/>
    <n v="29"/>
    <n v="15"/>
    <s v="2012"/>
    <n v="3"/>
    <x v="0"/>
    <n v="14"/>
    <n v="0.93333333333333335"/>
  </r>
  <r>
    <s v="1922"/>
    <x v="1925"/>
    <n v="5000000"/>
    <x v="6"/>
    <n v="208.44820000000001"/>
    <x v="16"/>
    <n v="71"/>
    <n v="30"/>
    <s v="2013"/>
    <n v="2"/>
    <x v="0"/>
    <n v="41"/>
    <n v="1.3666666666666667"/>
  </r>
  <r>
    <s v="1923"/>
    <x v="1926"/>
    <n v="11600000"/>
    <x v="40"/>
    <n v="208.01750000000001"/>
    <x v="12"/>
    <n v="152"/>
    <n v="55"/>
    <s v="2005"/>
    <n v="2"/>
    <x v="0"/>
    <n v="97"/>
    <n v="1.7636363636363637"/>
  </r>
  <r>
    <s v="1924"/>
    <x v="1927"/>
    <n v="6900000"/>
    <x v="1"/>
    <n v="207.95830000000001"/>
    <x v="10"/>
    <n v="17"/>
    <n v="8"/>
    <s v="2010"/>
    <n v="2"/>
    <x v="0"/>
    <n v="9"/>
    <n v="1.125"/>
  </r>
  <r>
    <s v="1925"/>
    <x v="1928"/>
    <n v="3800000"/>
    <x v="2"/>
    <n v="207.89279999999999"/>
    <x v="23"/>
    <n v="19"/>
    <n v="2"/>
    <s v="2010"/>
    <n v="1"/>
    <x v="0"/>
    <n v="17"/>
    <n v="8.5"/>
  </r>
  <r>
    <s v="1926"/>
    <x v="1929"/>
    <n v="67400000"/>
    <x v="13"/>
    <n v="207.87450000000001"/>
    <x v="23"/>
    <n v="565"/>
    <n v="182"/>
    <s v="1946"/>
    <n v="1"/>
    <x v="0"/>
    <n v="383"/>
    <n v="2.1043956043956045"/>
  </r>
  <r>
    <s v="1927"/>
    <x v="1930"/>
    <n v="2100000"/>
    <x v="8"/>
    <n v="207.78440000000001"/>
    <x v="9"/>
    <n v="45"/>
    <n v="28"/>
    <s v="2010"/>
    <n v="1"/>
    <x v="0"/>
    <n v="17"/>
    <n v="0.6071428571428571"/>
  </r>
  <r>
    <s v="1928"/>
    <x v="1931"/>
    <n v="5200000"/>
    <x v="27"/>
    <n v="207.6498"/>
    <x v="2"/>
    <n v="5"/>
    <n v="1"/>
    <s v="2012"/>
    <n v="1"/>
    <x v="0"/>
    <n v="4"/>
    <n v="4"/>
  </r>
  <r>
    <s v="1929"/>
    <x v="1932"/>
    <n v="8500000"/>
    <x v="1"/>
    <n v="207.59370000000001"/>
    <x v="3"/>
    <n v="18"/>
    <n v="10"/>
    <s v="1990"/>
    <n v="1"/>
    <x v="0"/>
    <n v="8"/>
    <n v="0.8"/>
  </r>
  <r>
    <s v="1930"/>
    <x v="1933"/>
    <n v="7000000"/>
    <x v="9"/>
    <n v="207.41499999999999"/>
    <x v="9"/>
    <n v="22"/>
    <n v="8"/>
    <s v="2003"/>
    <n v="3"/>
    <x v="0"/>
    <n v="14"/>
    <n v="1.75"/>
  </r>
  <r>
    <s v="1931"/>
    <x v="1934"/>
    <n v="209700000"/>
    <x v="7"/>
    <n v="207.34880000000001"/>
    <x v="16"/>
    <n v="948"/>
    <n v="201"/>
    <s v="2005"/>
    <n v="4"/>
    <x v="0"/>
    <n v="747"/>
    <n v="3.716417910447761"/>
  </r>
  <r>
    <s v="1932"/>
    <x v="1935"/>
    <n v="8100000"/>
    <x v="7"/>
    <n v="207.33940000000001"/>
    <x v="9"/>
    <n v="16"/>
    <n v="7"/>
    <s v="2008"/>
    <n v="5"/>
    <x v="0"/>
    <n v="9"/>
    <n v="1.2857142857142858"/>
  </r>
  <r>
    <s v="1933"/>
    <x v="1936"/>
    <n v="8000000"/>
    <x v="7"/>
    <n v="207.25129999999999"/>
    <x v="16"/>
    <n v="43"/>
    <n v="23"/>
    <s v="2013"/>
    <n v="2"/>
    <x v="0"/>
    <n v="20"/>
    <n v="0.86956521739130432"/>
  </r>
  <r>
    <s v="1934"/>
    <x v="1937"/>
    <n v="7900000"/>
    <x v="7"/>
    <n v="207.18299999999999"/>
    <x v="11"/>
    <n v="34"/>
    <n v="18"/>
    <s v="2009"/>
    <n v="2"/>
    <x v="0"/>
    <n v="16"/>
    <n v="0.88888888888888884"/>
  </r>
  <r>
    <s v="1935"/>
    <x v="1938"/>
    <n v="55700000"/>
    <x v="7"/>
    <n v="206.32140000000001"/>
    <x v="15"/>
    <n v="116"/>
    <n v="45"/>
    <s v="1999"/>
    <n v="2"/>
    <x v="0"/>
    <n v="71"/>
    <n v="1.5777777777777777"/>
  </r>
  <r>
    <s v="1936"/>
    <x v="1939"/>
    <n v="2100000"/>
    <x v="4"/>
    <n v="206.233"/>
    <x v="0"/>
    <n v="10"/>
    <n v="4"/>
    <s v="2012"/>
    <n v="1"/>
    <x v="0"/>
    <n v="6"/>
    <n v="1.5"/>
  </r>
  <r>
    <s v="1937"/>
    <x v="1940"/>
    <n v="2100000"/>
    <x v="9"/>
    <n v="206.21899999999999"/>
    <x v="20"/>
    <n v="7"/>
    <n v="1"/>
    <s v="2014"/>
    <n v="1"/>
    <x v="0"/>
    <n v="6"/>
    <n v="6"/>
  </r>
  <r>
    <s v="1938"/>
    <x v="1941"/>
    <n v="2200000"/>
    <x v="9"/>
    <n v="206.1712"/>
    <x v="5"/>
    <n v="6"/>
    <n v="3"/>
    <s v="2014"/>
    <n v="1"/>
    <x v="0"/>
    <n v="3"/>
    <n v="1"/>
  </r>
  <r>
    <s v="1939"/>
    <x v="1942"/>
    <n v="7700000"/>
    <x v="5"/>
    <n v="206.154"/>
    <x v="15"/>
    <n v="28"/>
    <n v="15"/>
    <s v="2010"/>
    <n v="1"/>
    <x v="0"/>
    <n v="13"/>
    <n v="0.8666666666666667"/>
  </r>
  <r>
    <s v="1940"/>
    <x v="1943"/>
    <n v="27500000"/>
    <x v="40"/>
    <n v="206.14250000000001"/>
    <x v="24"/>
    <n v="115"/>
    <n v="94"/>
    <s v="2005"/>
    <n v="3"/>
    <x v="0"/>
    <n v="21"/>
    <n v="0.22340425531914893"/>
  </r>
  <r>
    <s v="1941"/>
    <x v="1944"/>
    <n v="99400000"/>
    <x v="9"/>
    <n v="206.1146"/>
    <x v="17"/>
    <n v="101"/>
    <n v="79"/>
    <s v="2004"/>
    <n v="4"/>
    <x v="0"/>
    <n v="22"/>
    <n v="0.27848101265822783"/>
  </r>
  <r>
    <s v="1942"/>
    <x v="1945"/>
    <n v="71100000"/>
    <x v="18"/>
    <n v="206.10560000000001"/>
    <x v="15"/>
    <n v="611"/>
    <n v="262"/>
    <s v="1997"/>
    <n v="1"/>
    <x v="0"/>
    <n v="349"/>
    <n v="1.33206106870229"/>
  </r>
  <r>
    <s v="1943"/>
    <x v="1946"/>
    <n v="38100000"/>
    <x v="9"/>
    <n v="206.1028"/>
    <x v="9"/>
    <n v="237"/>
    <n v="120"/>
    <s v="2007"/>
    <n v="4"/>
    <x v="0"/>
    <n v="117"/>
    <n v="0.97499999999999998"/>
  </r>
  <r>
    <s v="1944"/>
    <x v="1947"/>
    <n v="19300000"/>
    <x v="10"/>
    <n v="206.05529999999999"/>
    <x v="18"/>
    <n v="98"/>
    <n v="27"/>
    <s v="2008"/>
    <n v="1"/>
    <x v="0"/>
    <n v="71"/>
    <n v="2.6296296296296298"/>
  </r>
  <r>
    <s v="1945"/>
    <x v="1948"/>
    <n v="4200000"/>
    <x v="4"/>
    <n v="206.01509999999999"/>
    <x v="7"/>
    <n v="28"/>
    <n v="9"/>
    <s v="2012"/>
    <n v="3"/>
    <x v="0"/>
    <n v="19"/>
    <n v="2.1111111111111112"/>
  </r>
  <r>
    <s v="1946"/>
    <x v="1949"/>
    <n v="352300000"/>
    <x v="5"/>
    <n v="206.00460000000001"/>
    <x v="5"/>
    <n v="1200"/>
    <n v="200"/>
    <s v="2009"/>
    <n v="5"/>
    <x v="0"/>
    <n v="1000"/>
    <n v="5"/>
  </r>
  <r>
    <s v="1947"/>
    <x v="1950"/>
    <n v="3000000"/>
    <x v="29"/>
    <n v="205.9907"/>
    <x v="13"/>
    <n v="11"/>
    <n v="4"/>
    <s v="2011"/>
    <n v="2"/>
    <x v="0"/>
    <n v="7"/>
    <n v="1.75"/>
  </r>
  <r>
    <s v="1948"/>
    <x v="1951"/>
    <n v="14400000"/>
    <x v="38"/>
    <n v="205.92580000000001"/>
    <x v="21"/>
    <n v="56"/>
    <n v="34"/>
    <s v="1996"/>
    <n v="4"/>
    <x v="0"/>
    <n v="22"/>
    <n v="0.6470588235294118"/>
  </r>
  <r>
    <s v="1949"/>
    <x v="1952"/>
    <n v="11700000"/>
    <x v="2"/>
    <n v="205.8484"/>
    <x v="10"/>
    <n v="42"/>
    <n v="29"/>
    <s v="2008"/>
    <n v="3"/>
    <x v="0"/>
    <n v="13"/>
    <n v="0.44827586206896552"/>
  </r>
  <r>
    <s v="1950"/>
    <x v="1953"/>
    <n v="36100000"/>
    <x v="32"/>
    <n v="205.79239999999999"/>
    <x v="24"/>
    <n v="638"/>
    <n v="295"/>
    <s v="2002"/>
    <n v="5"/>
    <x v="0"/>
    <n v="343"/>
    <n v="1.1627118644067798"/>
  </r>
  <r>
    <s v="1951"/>
    <x v="1954"/>
    <n v="19500000"/>
    <x v="13"/>
    <n v="205.67420000000001"/>
    <x v="12"/>
    <n v="186"/>
    <n v="50"/>
    <s v="1997"/>
    <n v="4"/>
    <x v="0"/>
    <n v="136"/>
    <n v="2.72"/>
  </r>
  <r>
    <s v="1952"/>
    <x v="1955"/>
    <n v="9200000"/>
    <x v="9"/>
    <n v="205.58699999999999"/>
    <x v="5"/>
    <n v="14"/>
    <n v="5"/>
    <s v="1979"/>
    <n v="3"/>
    <x v="0"/>
    <n v="9"/>
    <n v="1.8"/>
  </r>
  <r>
    <s v="1953"/>
    <x v="1956"/>
    <n v="2600000"/>
    <x v="2"/>
    <n v="205.57159999999999"/>
    <x v="12"/>
    <n v="12"/>
    <n v="5"/>
    <s v="2003"/>
    <n v="1"/>
    <x v="0"/>
    <n v="7"/>
    <n v="1.4"/>
  </r>
  <r>
    <s v="1954"/>
    <x v="1957"/>
    <n v="38900000"/>
    <x v="41"/>
    <n v="205.46430000000001"/>
    <x v="25"/>
    <n v="248"/>
    <n v="112"/>
    <s v="1956"/>
    <n v="4"/>
    <x v="0"/>
    <n v="136"/>
    <n v="1.2142857142857142"/>
  </r>
  <r>
    <s v="1955"/>
    <x v="1958"/>
    <n v="10900000"/>
    <x v="7"/>
    <n v="205.44820000000001"/>
    <x v="19"/>
    <n v="38"/>
    <n v="22"/>
    <s v="2010"/>
    <n v="3"/>
    <x v="0"/>
    <n v="16"/>
    <n v="0.72727272727272729"/>
  </r>
  <r>
    <s v="1956"/>
    <x v="1959"/>
    <n v="23600000"/>
    <x v="0"/>
    <n v="205.44649999999999"/>
    <x v="2"/>
    <n v="58"/>
    <n v="24"/>
    <s v="1985"/>
    <n v="2"/>
    <x v="0"/>
    <n v="34"/>
    <n v="1.4166666666666667"/>
  </r>
  <r>
    <s v="1957"/>
    <x v="1960"/>
    <n v="16200000"/>
    <x v="7"/>
    <n v="205.42939999999999"/>
    <x v="23"/>
    <n v="54"/>
    <n v="40"/>
    <s v="2013"/>
    <n v="3"/>
    <x v="0"/>
    <n v="14"/>
    <n v="0.35"/>
  </r>
  <r>
    <s v="1958"/>
    <x v="1961"/>
    <n v="10100000"/>
    <x v="5"/>
    <n v="205.34010000000001"/>
    <x v="9"/>
    <n v="62"/>
    <n v="15"/>
    <s v="1989"/>
    <n v="3"/>
    <x v="0"/>
    <n v="47"/>
    <n v="3.1333333333333333"/>
  </r>
  <r>
    <s v="1959"/>
    <x v="1962"/>
    <n v="18400000"/>
    <x v="13"/>
    <n v="205.19640000000001"/>
    <x v="0"/>
    <n v="42"/>
    <n v="22"/>
    <s v="2012"/>
    <n v="3"/>
    <x v="0"/>
    <n v="20"/>
    <n v="0.90909090909090906"/>
  </r>
  <r>
    <s v="1960"/>
    <x v="1963"/>
    <n v="5300000"/>
    <x v="2"/>
    <n v="205.036"/>
    <x v="9"/>
    <n v="46"/>
    <n v="22"/>
    <s v="2013"/>
    <n v="3"/>
    <x v="0"/>
    <n v="24"/>
    <n v="1.0909090909090908"/>
  </r>
  <r>
    <s v="1961"/>
    <x v="1964"/>
    <n v="3600000"/>
    <x v="13"/>
    <n v="204.9546"/>
    <x v="2"/>
    <n v="115"/>
    <n v="50"/>
    <s v="2010"/>
    <n v="2"/>
    <x v="0"/>
    <n v="65"/>
    <n v="1.3"/>
  </r>
  <r>
    <s v="1962"/>
    <x v="1965"/>
    <n v="45700000"/>
    <x v="9"/>
    <n v="204.85749999999999"/>
    <x v="9"/>
    <n v="397"/>
    <n v="159"/>
    <s v="2006"/>
    <n v="1"/>
    <x v="0"/>
    <n v="238"/>
    <n v="1.4968553459119496"/>
  </r>
  <r>
    <s v="1963"/>
    <x v="1966"/>
    <n v="6200000"/>
    <x v="2"/>
    <n v="204.80279999999999"/>
    <x v="20"/>
    <n v="30"/>
    <n v="10"/>
    <s v="2013"/>
    <n v="3"/>
    <x v="0"/>
    <n v="20"/>
    <n v="2"/>
  </r>
  <r>
    <s v="1964"/>
    <x v="1967"/>
    <n v="73500000"/>
    <x v="9"/>
    <n v="204.68279999999999"/>
    <x v="9"/>
    <n v="374"/>
    <n v="164"/>
    <s v="2000"/>
    <n v="1"/>
    <x v="0"/>
    <n v="210"/>
    <n v="1.2804878048780488"/>
  </r>
  <r>
    <s v="1965"/>
    <x v="1968"/>
    <n v="66500000"/>
    <x v="2"/>
    <n v="204.48840000000001"/>
    <x v="15"/>
    <n v="140"/>
    <n v="65"/>
    <s v="1997"/>
    <n v="1"/>
    <x v="0"/>
    <n v="75"/>
    <n v="1.1538461538461537"/>
  </r>
  <r>
    <s v="1966"/>
    <x v="1969"/>
    <n v="19500000"/>
    <x v="19"/>
    <n v="204.37209999999999"/>
    <x v="4"/>
    <n v="94"/>
    <n v="35"/>
    <s v="2012"/>
    <n v="1"/>
    <x v="0"/>
    <n v="59"/>
    <n v="1.6857142857142857"/>
  </r>
  <r>
    <s v="1967"/>
    <x v="1970"/>
    <n v="21500000"/>
    <x v="10"/>
    <n v="204.33150000000001"/>
    <x v="15"/>
    <n v="32"/>
    <n v="22"/>
    <s v="2010"/>
    <n v="2"/>
    <x v="0"/>
    <n v="10"/>
    <n v="0.45454545454545453"/>
  </r>
  <r>
    <s v="1968"/>
    <x v="1971"/>
    <n v="57000000"/>
    <x v="35"/>
    <n v="204.18119999999999"/>
    <x v="5"/>
    <n v="270"/>
    <n v="98"/>
    <s v="2008"/>
    <n v="6"/>
    <x v="0"/>
    <n v="172"/>
    <n v="1.7551020408163265"/>
  </r>
  <r>
    <s v="1969"/>
    <x v="1972"/>
    <n v="2700000"/>
    <x v="48"/>
    <n v="204.1746"/>
    <x v="0"/>
    <n v="23"/>
    <n v="12"/>
    <s v="2009"/>
    <n v="1"/>
    <x v="0"/>
    <n v="11"/>
    <n v="0.91666666666666663"/>
  </r>
  <r>
    <s v="1970"/>
    <x v="1973"/>
    <n v="3000000"/>
    <x v="7"/>
    <n v="204.09110000000001"/>
    <x v="19"/>
    <n v="0"/>
    <n v="4"/>
    <s v="2013"/>
    <n v="1"/>
    <x v="1"/>
    <n v="-4"/>
    <n v="-1"/>
  </r>
  <r>
    <s v="1971"/>
    <x v="1974"/>
    <n v="19000000"/>
    <x v="7"/>
    <n v="204.02289999999999"/>
    <x v="23"/>
    <n v="27"/>
    <n v="17"/>
    <s v="2007"/>
    <n v="1"/>
    <x v="0"/>
    <n v="10"/>
    <n v="0.58823529411764708"/>
  </r>
  <r>
    <s v="1972"/>
    <x v="1975"/>
    <n v="3900000"/>
    <x v="5"/>
    <n v="203.98259999999999"/>
    <x v="9"/>
    <n v="26"/>
    <n v="8"/>
    <s v="2013"/>
    <n v="2"/>
    <x v="0"/>
    <n v="18"/>
    <n v="2.25"/>
  </r>
  <r>
    <s v="1973"/>
    <x v="1976"/>
    <n v="7700000"/>
    <x v="2"/>
    <n v="203.98079999999999"/>
    <x v="15"/>
    <n v="25"/>
    <n v="8"/>
    <s v="2014"/>
    <n v="1"/>
    <x v="0"/>
    <n v="17"/>
    <n v="2.125"/>
  </r>
  <r>
    <s v="1974"/>
    <x v="1977"/>
    <n v="229800000"/>
    <x v="5"/>
    <n v="203.5975"/>
    <x v="5"/>
    <n v="1626"/>
    <n v="250"/>
    <s v="2008"/>
    <n v="7"/>
    <x v="0"/>
    <n v="1376"/>
    <n v="5.5039999999999996"/>
  </r>
  <r>
    <s v="1975"/>
    <x v="1978"/>
    <n v="26700000"/>
    <x v="2"/>
    <n v="203.43350000000001"/>
    <x v="5"/>
    <n v="220"/>
    <n v="55"/>
    <s v="2012"/>
    <n v="3"/>
    <x v="0"/>
    <n v="165"/>
    <n v="3"/>
  </r>
  <r>
    <s v="1976"/>
    <x v="1979"/>
    <n v="14200000"/>
    <x v="9"/>
    <n v="203.40880000000001"/>
    <x v="3"/>
    <n v="65"/>
    <n v="12"/>
    <s v="2012"/>
    <n v="1"/>
    <x v="0"/>
    <n v="53"/>
    <n v="4.416666666666667"/>
  </r>
  <r>
    <s v="1977"/>
    <x v="1980"/>
    <n v="2200000"/>
    <x v="5"/>
    <n v="203.33840000000001"/>
    <x v="6"/>
    <n v="16"/>
    <n v="8"/>
    <s v="2014"/>
    <n v="1"/>
    <x v="0"/>
    <n v="8"/>
    <n v="1"/>
  </r>
  <r>
    <s v="1978"/>
    <x v="1981"/>
    <n v="2200000"/>
    <x v="12"/>
    <n v="202.97890000000001"/>
    <x v="4"/>
    <n v="6"/>
    <n v="3"/>
    <s v="2013"/>
    <n v="1"/>
    <x v="0"/>
    <n v="3"/>
    <n v="1"/>
  </r>
  <r>
    <s v="1979"/>
    <x v="1982"/>
    <n v="5100000"/>
    <x v="8"/>
    <n v="202.88939999999999"/>
    <x v="15"/>
    <n v="17"/>
    <n v="7"/>
    <s v="2009"/>
    <n v="1"/>
    <x v="0"/>
    <n v="10"/>
    <n v="1.4285714285714286"/>
  </r>
  <r>
    <s v="1980"/>
    <x v="1983"/>
    <n v="84900000"/>
    <x v="27"/>
    <n v="202.34110000000001"/>
    <x v="1"/>
    <n v="137"/>
    <n v="32"/>
    <s v="2006"/>
    <n v="4"/>
    <x v="0"/>
    <n v="105"/>
    <n v="3.28125"/>
  </r>
  <r>
    <s v="1981"/>
    <x v="1984"/>
    <n v="62400000"/>
    <x v="27"/>
    <n v="202.32570000000001"/>
    <x v="23"/>
    <n v="57"/>
    <n v="23"/>
    <s v="1999"/>
    <n v="2"/>
    <x v="0"/>
    <n v="34"/>
    <n v="1.4782608695652173"/>
  </r>
  <r>
    <s v="1982"/>
    <x v="1985"/>
    <n v="7100000"/>
    <x v="9"/>
    <n v="202.32509999999999"/>
    <x v="0"/>
    <n v="28"/>
    <n v="3"/>
    <s v="2014"/>
    <n v="1"/>
    <x v="0"/>
    <n v="25"/>
    <n v="8.3333333333333339"/>
  </r>
  <r>
    <s v="1983"/>
    <x v="1986"/>
    <n v="6600000"/>
    <x v="2"/>
    <n v="202.26499999999999"/>
    <x v="19"/>
    <n v="10"/>
    <n v="6"/>
    <s v="2010"/>
    <n v="1"/>
    <x v="0"/>
    <n v="4"/>
    <n v="0.66666666666666663"/>
  </r>
  <r>
    <s v="1984"/>
    <x v="1987"/>
    <n v="7400000"/>
    <x v="10"/>
    <n v="202.26310000000001"/>
    <x v="23"/>
    <n v="9"/>
    <n v="5"/>
    <s v="2013"/>
    <n v="1"/>
    <x v="0"/>
    <n v="4"/>
    <n v="0.8"/>
  </r>
  <r>
    <s v="1985"/>
    <x v="1988"/>
    <n v="3900000"/>
    <x v="21"/>
    <n v="202.10929999999999"/>
    <x v="18"/>
    <n v="50"/>
    <n v="30"/>
    <s v="2010"/>
    <n v="2"/>
    <x v="0"/>
    <n v="20"/>
    <n v="0.66666666666666663"/>
  </r>
  <r>
    <s v="1986"/>
    <x v="1989"/>
    <n v="5500000"/>
    <x v="16"/>
    <n v="202.08359999999999"/>
    <x v="3"/>
    <n v="20"/>
    <n v="10"/>
    <s v="2005"/>
    <n v="2"/>
    <x v="0"/>
    <n v="10"/>
    <n v="1"/>
  </r>
  <r>
    <s v="1987"/>
    <x v="1990"/>
    <n v="10300000"/>
    <x v="10"/>
    <n v="201.92660000000001"/>
    <x v="18"/>
    <n v="32"/>
    <n v="20"/>
    <s v="2011"/>
    <n v="4"/>
    <x v="0"/>
    <n v="12"/>
    <n v="0.6"/>
  </r>
  <r>
    <s v="1988"/>
    <x v="1991"/>
    <n v="333400000"/>
    <x v="8"/>
    <n v="201.9238"/>
    <x v="7"/>
    <n v="2446"/>
    <n v="735"/>
    <s v="2003"/>
    <n v="6"/>
    <x v="0"/>
    <n v="1711"/>
    <n v="2.3278911564625848"/>
  </r>
  <r>
    <s v="1989"/>
    <x v="1992"/>
    <n v="46800000"/>
    <x v="16"/>
    <n v="201.81729999999999"/>
    <x v="3"/>
    <n v="68"/>
    <n v="23"/>
    <s v="2014"/>
    <n v="1"/>
    <x v="0"/>
    <n v="45"/>
    <n v="1.9565217391304348"/>
  </r>
  <r>
    <s v="1990"/>
    <x v="1993"/>
    <n v="23500000"/>
    <x v="7"/>
    <n v="201.76990000000001"/>
    <x v="20"/>
    <n v="268"/>
    <n v="82"/>
    <s v="2008"/>
    <n v="4"/>
    <x v="0"/>
    <n v="186"/>
    <n v="2.2682926829268291"/>
  </r>
  <r>
    <s v="1991"/>
    <x v="1994"/>
    <n v="82500000"/>
    <x v="8"/>
    <n v="201.55179999999999"/>
    <x v="20"/>
    <n v="290"/>
    <n v="102"/>
    <s v="2011"/>
    <n v="2"/>
    <x v="0"/>
    <n v="188"/>
    <n v="1.8431372549019607"/>
  </r>
  <r>
    <s v="1992"/>
    <x v="1995"/>
    <n v="5800000"/>
    <x v="27"/>
    <n v="201.3768"/>
    <x v="12"/>
    <n v="11"/>
    <n v="5"/>
    <s v="2014"/>
    <n v="2"/>
    <x v="0"/>
    <n v="6"/>
    <n v="1.2"/>
  </r>
  <r>
    <s v="1993"/>
    <x v="1996"/>
    <n v="4000000"/>
    <x v="22"/>
    <n v="201.37309999999999"/>
    <x v="9"/>
    <n v="25"/>
    <n v="15"/>
    <s v="2011"/>
    <n v="1"/>
    <x v="0"/>
    <n v="10"/>
    <n v="0.66666666666666663"/>
  </r>
  <r>
    <s v="1994"/>
    <x v="1997"/>
    <n v="74000000"/>
    <x v="8"/>
    <n v="201.23439999999999"/>
    <x v="1"/>
    <n v="30"/>
    <n v="20"/>
    <s v="2007"/>
    <n v="4"/>
    <x v="0"/>
    <n v="10"/>
    <n v="0.5"/>
  </r>
  <r>
    <s v="1995"/>
    <x v="1998"/>
    <n v="25200000"/>
    <x v="27"/>
    <n v="201.17830000000001"/>
    <x v="5"/>
    <n v="44"/>
    <n v="23"/>
    <s v="2004"/>
    <n v="3"/>
    <x v="0"/>
    <n v="21"/>
    <n v="0.91304347826086951"/>
  </r>
  <r>
    <s v="1996"/>
    <x v="1999"/>
    <n v="3400000"/>
    <x v="5"/>
    <n v="201.16069999999999"/>
    <x v="3"/>
    <n v="25"/>
    <n v="11"/>
    <s v="2004"/>
    <n v="3"/>
    <x v="0"/>
    <n v="14"/>
    <n v="1.2727272727272727"/>
  </r>
  <r>
    <s v="1997"/>
    <x v="2000"/>
    <n v="2200000"/>
    <x v="21"/>
    <n v="201.1369"/>
    <x v="0"/>
    <n v="2"/>
    <n v="2"/>
    <s v="2012"/>
    <n v="1"/>
    <x v="1"/>
    <n v="0"/>
    <n v="0"/>
  </r>
  <r>
    <s v="1998"/>
    <x v="2001"/>
    <n v="10400000"/>
    <x v="33"/>
    <n v="201.12620000000001"/>
    <x v="15"/>
    <n v="24"/>
    <n v="5"/>
    <s v="2007"/>
    <n v="2"/>
    <x v="0"/>
    <n v="19"/>
    <n v="3.8"/>
  </r>
  <r>
    <s v="1999"/>
    <x v="2002"/>
    <n v="27600000"/>
    <x v="9"/>
    <n v="201.0986"/>
    <x v="15"/>
    <n v="140"/>
    <n v="45"/>
    <s v="2009"/>
    <n v="6"/>
    <x v="0"/>
    <n v="95"/>
    <n v="2.1111111111111112"/>
  </r>
  <r>
    <s v="2000"/>
    <x v="2003"/>
    <n v="30200000"/>
    <x v="5"/>
    <n v="200.95330000000001"/>
    <x v="12"/>
    <n v="11"/>
    <n v="4"/>
    <s v="2009"/>
    <n v="5"/>
    <x v="0"/>
    <n v="7"/>
    <n v="1.75"/>
  </r>
  <r>
    <s v="2001"/>
    <x v="2004"/>
    <n v="4100000"/>
    <x v="28"/>
    <n v="200.93389999999999"/>
    <x v="20"/>
    <n v="19"/>
    <n v="6"/>
    <s v="2013"/>
    <n v="2"/>
    <x v="0"/>
    <n v="13"/>
    <n v="2.1666666666666665"/>
  </r>
  <r>
    <s v="2002"/>
    <x v="2005"/>
    <n v="5800000"/>
    <x v="6"/>
    <n v="200.87899999999999"/>
    <x v="15"/>
    <n v="20"/>
    <n v="6"/>
    <s v="2009"/>
    <n v="3"/>
    <x v="0"/>
    <n v="14"/>
    <n v="2.3333333333333335"/>
  </r>
  <r>
    <s v="2003"/>
    <x v="2006"/>
    <n v="12400000"/>
    <x v="5"/>
    <n v="200.7064"/>
    <x v="15"/>
    <n v="116"/>
    <n v="22"/>
    <s v="2009"/>
    <n v="1"/>
    <x v="0"/>
    <n v="94"/>
    <n v="4.2727272727272725"/>
  </r>
  <r>
    <s v="2004"/>
    <x v="2007"/>
    <n v="3000000"/>
    <x v="20"/>
    <n v="200.49090000000001"/>
    <x v="22"/>
    <n v="38"/>
    <n v="13"/>
    <s v="2013"/>
    <n v="2"/>
    <x v="0"/>
    <n v="25"/>
    <n v="1.9230769230769231"/>
  </r>
  <r>
    <s v="2005"/>
    <x v="2008"/>
    <n v="18500000"/>
    <x v="12"/>
    <n v="200.3997"/>
    <x v="5"/>
    <n v="74"/>
    <n v="47"/>
    <s v="2007"/>
    <n v="2"/>
    <x v="0"/>
    <n v="27"/>
    <n v="0.57446808510638303"/>
  </r>
  <r>
    <s v="2006"/>
    <x v="2009"/>
    <n v="146500000"/>
    <x v="2"/>
    <n v="200.28890000000001"/>
    <x v="8"/>
    <n v="150"/>
    <n v="10"/>
    <s v="2009"/>
    <n v="2"/>
    <x v="0"/>
    <n v="140"/>
    <n v="14"/>
  </r>
  <r>
    <s v="2007"/>
    <x v="2010"/>
    <n v="79600000"/>
    <x v="2"/>
    <n v="200.2047"/>
    <x v="5"/>
    <n v="478"/>
    <n v="44"/>
    <s v="2006"/>
    <n v="5"/>
    <x v="0"/>
    <n v="434"/>
    <n v="9.8636363636363633"/>
  </r>
  <r>
    <s v="2008"/>
    <x v="2011"/>
    <n v="2000000"/>
    <x v="10"/>
    <n v="199.91730000000001"/>
    <x v="5"/>
    <n v="4"/>
    <n v="1"/>
    <s v="2015"/>
    <n v="1"/>
    <x v="0"/>
    <n v="3"/>
    <n v="3"/>
  </r>
  <r>
    <s v="2009"/>
    <x v="2012"/>
    <n v="3100000"/>
    <x v="35"/>
    <n v="199.77099999999999"/>
    <x v="23"/>
    <n v="29"/>
    <n v="8"/>
    <s v="2011"/>
    <n v="3"/>
    <x v="0"/>
    <n v="21"/>
    <n v="2.625"/>
  </r>
  <r>
    <s v="2010"/>
    <x v="2013"/>
    <n v="37400000"/>
    <x v="5"/>
    <n v="199.70869999999999"/>
    <x v="15"/>
    <n v="50"/>
    <n v="30"/>
    <s v="2007"/>
    <n v="2"/>
    <x v="0"/>
    <n v="20"/>
    <n v="0.66666666666666663"/>
  </r>
  <r>
    <s v="2011"/>
    <x v="2014"/>
    <n v="31900000"/>
    <x v="42"/>
    <n v="199.6259"/>
    <x v="13"/>
    <n v="115"/>
    <n v="50"/>
    <s v="2013"/>
    <n v="2"/>
    <x v="0"/>
    <n v="65"/>
    <n v="1.3"/>
  </r>
  <r>
    <s v="2011"/>
    <x v="2015"/>
    <n v="19700000"/>
    <x v="38"/>
    <n v="199.62200000000001"/>
    <x v="0"/>
    <n v="84"/>
    <n v="42"/>
    <s v="2007"/>
    <n v="6"/>
    <x v="0"/>
    <n v="42"/>
    <n v="1"/>
  </r>
  <r>
    <s v="2012"/>
    <x v="2016"/>
    <n v="23100000"/>
    <x v="2"/>
    <n v="199.6019"/>
    <x v="5"/>
    <n v="1733"/>
    <n v="701"/>
    <s v="2010"/>
    <n v="2"/>
    <x v="0"/>
    <n v="1032"/>
    <n v="1.4721825962910129"/>
  </r>
  <r>
    <s v="2013"/>
    <x v="2017"/>
    <n v="2000000"/>
    <x v="9"/>
    <n v="199.56139999999999"/>
    <x v="0"/>
    <n v="5"/>
    <n v="2"/>
    <s v="2012"/>
    <n v="1"/>
    <x v="0"/>
    <n v="3"/>
    <n v="1.5"/>
  </r>
  <r>
    <s v="2014"/>
    <x v="2018"/>
    <n v="4000000"/>
    <x v="9"/>
    <n v="199.53389999999999"/>
    <x v="23"/>
    <n v="20"/>
    <n v="8"/>
    <s v="2012"/>
    <n v="3"/>
    <x v="0"/>
    <n v="12"/>
    <n v="1.5"/>
  </r>
  <r>
    <s v="2015"/>
    <x v="2019"/>
    <n v="11300000"/>
    <x v="9"/>
    <n v="199.5137"/>
    <x v="3"/>
    <n v="50"/>
    <n v="17"/>
    <s v="2009"/>
    <n v="3"/>
    <x v="0"/>
    <n v="33"/>
    <n v="1.9411764705882353"/>
  </r>
  <r>
    <s v="2016"/>
    <x v="2020"/>
    <n v="31000000"/>
    <x v="8"/>
    <n v="199.4556"/>
    <x v="1"/>
    <n v="27"/>
    <n v="6"/>
    <s v="2013"/>
    <n v="2"/>
    <x v="0"/>
    <n v="21"/>
    <n v="3.5"/>
  </r>
  <r>
    <s v="2017"/>
    <x v="2021"/>
    <n v="3400000"/>
    <x v="5"/>
    <n v="199.45179999999999"/>
    <x v="20"/>
    <n v="9"/>
    <n v="4"/>
    <s v="2010"/>
    <n v="1"/>
    <x v="0"/>
    <n v="5"/>
    <n v="1.25"/>
  </r>
  <r>
    <s v="2018"/>
    <x v="2022"/>
    <n v="10500000"/>
    <x v="29"/>
    <n v="199.42250000000001"/>
    <x v="24"/>
    <n v="100"/>
    <n v="30"/>
    <s v="1997"/>
    <n v="2"/>
    <x v="0"/>
    <n v="70"/>
    <n v="2.3333333333333335"/>
  </r>
  <r>
    <s v="2019"/>
    <x v="2023"/>
    <n v="6500000"/>
    <x v="10"/>
    <n v="199.1208"/>
    <x v="9"/>
    <n v="75"/>
    <n v="52"/>
    <s v="2012"/>
    <n v="4"/>
    <x v="0"/>
    <n v="23"/>
    <n v="0.44230769230769229"/>
  </r>
  <r>
    <s v="2020"/>
    <x v="2024"/>
    <n v="140700000"/>
    <x v="40"/>
    <n v="199.0779"/>
    <x v="0"/>
    <n v="407"/>
    <n v="128"/>
    <s v="1993"/>
    <n v="5"/>
    <x v="0"/>
    <n v="279"/>
    <n v="2.1796875"/>
  </r>
  <r>
    <s v="2021"/>
    <x v="2025"/>
    <n v="2400000"/>
    <x v="20"/>
    <n v="198.60159999999999"/>
    <x v="15"/>
    <n v="7"/>
    <n v="2"/>
    <s v="2013"/>
    <n v="1"/>
    <x v="0"/>
    <n v="5"/>
    <n v="2.5"/>
  </r>
  <r>
    <s v="2022"/>
    <x v="2026"/>
    <n v="13000000"/>
    <x v="12"/>
    <n v="198.57830000000001"/>
    <x v="19"/>
    <n v="7"/>
    <n v="8"/>
    <s v="2012"/>
    <n v="4"/>
    <x v="1"/>
    <n v="-1"/>
    <n v="-0.125"/>
  </r>
  <r>
    <s v="2023"/>
    <x v="2027"/>
    <n v="10500000"/>
    <x v="13"/>
    <n v="198.46440000000001"/>
    <x v="1"/>
    <n v="13"/>
    <n v="9"/>
    <s v="2011"/>
    <n v="4"/>
    <x v="0"/>
    <n v="4"/>
    <n v="0.44444444444444442"/>
  </r>
  <r>
    <s v="2024"/>
    <x v="2028"/>
    <n v="19100000"/>
    <x v="8"/>
    <n v="198.45330000000001"/>
    <x v="19"/>
    <n v="88"/>
    <n v="33"/>
    <s v="2011"/>
    <n v="2"/>
    <x v="0"/>
    <n v="55"/>
    <n v="1.6666666666666667"/>
  </r>
  <r>
    <s v="2025"/>
    <x v="2029"/>
    <n v="4000000"/>
    <x v="10"/>
    <n v="198.36009999999999"/>
    <x v="2"/>
    <n v="2"/>
    <n v="2"/>
    <s v="2002"/>
    <n v="1"/>
    <x v="1"/>
    <n v="0"/>
    <n v="0"/>
  </r>
  <r>
    <s v="2026"/>
    <x v="2030"/>
    <n v="23000000"/>
    <x v="9"/>
    <n v="198.31950000000001"/>
    <x v="23"/>
    <n v="250"/>
    <n v="100"/>
    <s v="2007"/>
    <n v="2"/>
    <x v="0"/>
    <n v="150"/>
    <n v="1.5"/>
  </r>
  <r>
    <s v="2027"/>
    <x v="2031"/>
    <n v="11400000"/>
    <x v="5"/>
    <n v="198.3176"/>
    <x v="9"/>
    <n v="175"/>
    <n v="75"/>
    <s v="2007"/>
    <n v="1"/>
    <x v="0"/>
    <n v="100"/>
    <n v="1.3333333333333333"/>
  </r>
  <r>
    <s v="2028"/>
    <x v="2032"/>
    <n v="5000000"/>
    <x v="49"/>
    <n v="198.25219999999999"/>
    <x v="17"/>
    <n v="35"/>
    <n v="10"/>
    <s v="2010"/>
    <n v="2"/>
    <x v="0"/>
    <n v="25"/>
    <n v="2.5"/>
  </r>
  <r>
    <s v="2029"/>
    <x v="2033"/>
    <n v="7300000"/>
    <x v="13"/>
    <n v="198.18209999999999"/>
    <x v="9"/>
    <n v="55"/>
    <n v="36"/>
    <s v="2010"/>
    <n v="4"/>
    <x v="0"/>
    <n v="19"/>
    <n v="0.52777777777777779"/>
  </r>
  <r>
    <s v="2030"/>
    <x v="2034"/>
    <n v="15200000"/>
    <x v="9"/>
    <n v="198.1755"/>
    <x v="5"/>
    <n v="53"/>
    <n v="7"/>
    <s v="1980"/>
    <n v="2"/>
    <x v="0"/>
    <n v="46"/>
    <n v="6.5714285714285712"/>
  </r>
  <r>
    <s v="2031"/>
    <x v="2035"/>
    <n v="7100000"/>
    <x v="9"/>
    <n v="197.9975"/>
    <x v="9"/>
    <n v="40"/>
    <n v="17"/>
    <s v="2011"/>
    <n v="3"/>
    <x v="0"/>
    <n v="23"/>
    <n v="1.3529411764705883"/>
  </r>
  <r>
    <s v="2032"/>
    <x v="2036"/>
    <n v="20100000"/>
    <x v="8"/>
    <n v="197.9247"/>
    <x v="9"/>
    <n v="55"/>
    <n v="38"/>
    <s v="2009"/>
    <n v="6"/>
    <x v="0"/>
    <n v="17"/>
    <n v="0.44736842105263158"/>
  </r>
  <r>
    <s v="2033"/>
    <x v="2037"/>
    <n v="192800000"/>
    <x v="5"/>
    <n v="197.81030000000001"/>
    <x v="1"/>
    <n v="200"/>
    <n v="55"/>
    <s v="2010"/>
    <n v="3"/>
    <x v="0"/>
    <n v="145"/>
    <n v="2.6363636363636362"/>
  </r>
  <r>
    <s v="2034"/>
    <x v="2038"/>
    <n v="141900000"/>
    <x v="27"/>
    <n v="197.8075"/>
    <x v="7"/>
    <n v="346"/>
    <n v="226"/>
    <s v="2000"/>
    <n v="2"/>
    <x v="0"/>
    <n v="120"/>
    <n v="0.53097345132743368"/>
  </r>
  <r>
    <s v="2035"/>
    <x v="2039"/>
    <n v="8700000"/>
    <x v="27"/>
    <n v="197.72210000000001"/>
    <x v="12"/>
    <n v="10"/>
    <n v="8"/>
    <s v="2005"/>
    <n v="2"/>
    <x v="0"/>
    <n v="2"/>
    <n v="0.25"/>
  </r>
  <r>
    <s v="2036"/>
    <x v="2040"/>
    <n v="10800000"/>
    <x v="12"/>
    <n v="197.5924"/>
    <x v="0"/>
    <n v="41"/>
    <n v="12"/>
    <s v="2008"/>
    <n v="1"/>
    <x v="0"/>
    <n v="29"/>
    <n v="2.4166666666666665"/>
  </r>
  <r>
    <s v="2037"/>
    <x v="2041"/>
    <n v="5500000"/>
    <x v="6"/>
    <n v="197.4743"/>
    <x v="0"/>
    <n v="10"/>
    <n v="2"/>
    <s v="2010"/>
    <n v="1"/>
    <x v="0"/>
    <n v="8"/>
    <n v="4"/>
  </r>
  <r>
    <s v="2038"/>
    <x v="2042"/>
    <n v="2200000"/>
    <x v="2"/>
    <n v="197.24029999999999"/>
    <x v="21"/>
    <n v="14"/>
    <n v="4"/>
    <s v="2013"/>
    <n v="1"/>
    <x v="0"/>
    <n v="10"/>
    <n v="2.5"/>
  </r>
  <r>
    <s v="2039"/>
    <x v="2043"/>
    <n v="76000000"/>
    <x v="2"/>
    <n v="197.05119999999999"/>
    <x v="13"/>
    <n v="360"/>
    <n v="150"/>
    <s v="1988"/>
    <n v="1"/>
    <x v="0"/>
    <n v="210"/>
    <n v="1.4"/>
  </r>
  <r>
    <s v="2040"/>
    <x v="2044"/>
    <n v="314300000"/>
    <x v="2"/>
    <n v="196.886"/>
    <x v="1"/>
    <n v="347"/>
    <n v="204"/>
    <s v="2011"/>
    <n v="5"/>
    <x v="0"/>
    <n v="143"/>
    <n v="0.7009803921568627"/>
  </r>
  <r>
    <s v="2041"/>
    <x v="2045"/>
    <n v="2900000"/>
    <x v="10"/>
    <n v="196.78039999999999"/>
    <x v="12"/>
    <n v="23"/>
    <n v="15"/>
    <s v="2010"/>
    <n v="1"/>
    <x v="0"/>
    <n v="8"/>
    <n v="0.53333333333333333"/>
  </r>
  <r>
    <s v="2042"/>
    <x v="2046"/>
    <n v="2300000"/>
    <x v="49"/>
    <n v="196.69759999999999"/>
    <x v="24"/>
    <n v="4"/>
    <n v="1"/>
    <s v="2012"/>
    <n v="1"/>
    <x v="0"/>
    <n v="3"/>
    <n v="3"/>
  </r>
  <r>
    <s v="2043"/>
    <x v="2047"/>
    <n v="11300000"/>
    <x v="10"/>
    <n v="196.56020000000001"/>
    <x v="24"/>
    <n v="28"/>
    <n v="11"/>
    <s v="2004"/>
    <n v="2"/>
    <x v="0"/>
    <n v="17"/>
    <n v="1.5454545454545454"/>
  </r>
  <r>
    <s v="2044"/>
    <x v="2048"/>
    <n v="13900000"/>
    <x v="34"/>
    <n v="196.50069999999999"/>
    <x v="11"/>
    <n v="84"/>
    <n v="28"/>
    <s v="2011"/>
    <n v="4"/>
    <x v="0"/>
    <n v="56"/>
    <n v="2"/>
  </r>
  <r>
    <s v="2045"/>
    <x v="2049"/>
    <n v="28200000"/>
    <x v="2"/>
    <n v="196.38499999999999"/>
    <x v="12"/>
    <n v="10"/>
    <n v="4"/>
    <s v="2009"/>
    <n v="1"/>
    <x v="0"/>
    <n v="6"/>
    <n v="1.5"/>
  </r>
  <r>
    <s v="2046"/>
    <x v="2050"/>
    <n v="3100000"/>
    <x v="5"/>
    <n v="196.37379999999999"/>
    <x v="3"/>
    <n v="45"/>
    <n v="8"/>
    <s v="2007"/>
    <n v="1"/>
    <x v="0"/>
    <n v="37"/>
    <n v="4.625"/>
  </r>
  <r>
    <s v="2047"/>
    <x v="2051"/>
    <n v="62200000"/>
    <x v="5"/>
    <n v="196.29580000000001"/>
    <x v="22"/>
    <n v="18"/>
    <n v="15"/>
    <s v="1980"/>
    <n v="1"/>
    <x v="0"/>
    <n v="3"/>
    <n v="0.2"/>
  </r>
  <r>
    <s v="2048"/>
    <x v="2052"/>
    <n v="22100000"/>
    <x v="13"/>
    <n v="196.0968"/>
    <x v="7"/>
    <n v="56"/>
    <n v="16"/>
    <s v="2007"/>
    <n v="1"/>
    <x v="0"/>
    <n v="40"/>
    <n v="2.5"/>
  </r>
  <r>
    <s v="2049"/>
    <x v="2053"/>
    <n v="7700000"/>
    <x v="27"/>
    <n v="196.04060000000001"/>
    <x v="12"/>
    <n v="52"/>
    <n v="12"/>
    <s v="2007"/>
    <n v="4"/>
    <x v="0"/>
    <n v="40"/>
    <n v="3.3333333333333335"/>
  </r>
  <r>
    <s v="2050"/>
    <x v="2054"/>
    <n v="26800000"/>
    <x v="18"/>
    <n v="196.03110000000001"/>
    <x v="15"/>
    <n v="36"/>
    <n v="37"/>
    <s v="1978"/>
    <n v="2"/>
    <x v="1"/>
    <n v="-1"/>
    <n v="-2.7027027027027029E-2"/>
  </r>
  <r>
    <s v="2051"/>
    <x v="2055"/>
    <n v="15100000"/>
    <x v="21"/>
    <n v="196.00649999999999"/>
    <x v="16"/>
    <n v="73"/>
    <n v="31"/>
    <s v="2007"/>
    <n v="1"/>
    <x v="0"/>
    <n v="42"/>
    <n v="1.3548387096774193"/>
  </r>
  <r>
    <s v="2052"/>
    <x v="2056"/>
    <n v="9500000"/>
    <x v="2"/>
    <n v="195.92359999999999"/>
    <x v="16"/>
    <n v="186"/>
    <n v="22"/>
    <s v="2002"/>
    <n v="1"/>
    <x v="0"/>
    <n v="164"/>
    <n v="7.4545454545454541"/>
  </r>
  <r>
    <s v="2053"/>
    <x v="2057"/>
    <n v="2000000"/>
    <x v="21"/>
    <n v="195.90430000000001"/>
    <x v="16"/>
    <n v="8"/>
    <n v="3"/>
    <s v="2009"/>
    <n v="1"/>
    <x v="0"/>
    <n v="5"/>
    <n v="1.6666666666666667"/>
  </r>
  <r>
    <s v="2054"/>
    <x v="2058"/>
    <n v="5900000"/>
    <x v="19"/>
    <n v="195.77699999999999"/>
    <x v="23"/>
    <n v="48"/>
    <n v="11"/>
    <s v="2012"/>
    <n v="3"/>
    <x v="0"/>
    <n v="37"/>
    <n v="3.3636363636363638"/>
  </r>
  <r>
    <s v="2055"/>
    <x v="2059"/>
    <n v="56700000"/>
    <x v="38"/>
    <n v="195.72389999999999"/>
    <x v="10"/>
    <n v="267"/>
    <n v="54"/>
    <s v="2008"/>
    <n v="4"/>
    <x v="0"/>
    <n v="213"/>
    <n v="3.9444444444444446"/>
  </r>
  <r>
    <s v="2056"/>
    <x v="2060"/>
    <n v="2100000"/>
    <x v="9"/>
    <n v="195.67330000000001"/>
    <x v="19"/>
    <n v="6"/>
    <n v="2"/>
    <s v="2011"/>
    <n v="1"/>
    <x v="0"/>
    <n v="4"/>
    <n v="2"/>
  </r>
  <r>
    <s v="2057"/>
    <x v="2061"/>
    <n v="4600000"/>
    <x v="27"/>
    <n v="195.61859999999999"/>
    <x v="7"/>
    <n v="45"/>
    <n v="15"/>
    <s v="2014"/>
    <n v="2"/>
    <x v="0"/>
    <n v="30"/>
    <n v="2"/>
  </r>
  <r>
    <s v="2058"/>
    <x v="2062"/>
    <n v="21600000"/>
    <x v="12"/>
    <n v="195.6062"/>
    <x v="20"/>
    <n v="400"/>
    <n v="200"/>
    <s v="2011"/>
    <n v="1"/>
    <x v="0"/>
    <n v="200"/>
    <n v="1"/>
  </r>
  <r>
    <s v="2059"/>
    <x v="2063"/>
    <n v="63200000"/>
    <x v="2"/>
    <n v="195.51480000000001"/>
    <x v="23"/>
    <n v="225"/>
    <n v="125"/>
    <s v="2011"/>
    <n v="1"/>
    <x v="0"/>
    <n v="100"/>
    <n v="0.8"/>
  </r>
  <r>
    <s v="2060"/>
    <x v="2064"/>
    <n v="11300000"/>
    <x v="2"/>
    <n v="195.44030000000001"/>
    <x v="7"/>
    <n v="97"/>
    <n v="12"/>
    <s v="2006"/>
    <n v="4"/>
    <x v="0"/>
    <n v="85"/>
    <n v="7.083333333333333"/>
  </r>
  <r>
    <s v="2061"/>
    <x v="2065"/>
    <n v="2400000"/>
    <x v="9"/>
    <n v="195.41050000000001"/>
    <x v="0"/>
    <n v="11"/>
    <n v="3"/>
    <s v="2013"/>
    <n v="1"/>
    <x v="0"/>
    <n v="8"/>
    <n v="2.6666666666666665"/>
  </r>
  <r>
    <s v="2062"/>
    <x v="2066"/>
    <n v="2200000"/>
    <x v="9"/>
    <n v="195.31100000000001"/>
    <x v="0"/>
    <n v="15"/>
    <n v="4"/>
    <s v="2015"/>
    <n v="1"/>
    <x v="0"/>
    <n v="11"/>
    <n v="2.75"/>
  </r>
  <r>
    <s v="2063"/>
    <x v="2067"/>
    <n v="15100000"/>
    <x v="11"/>
    <n v="195.2038"/>
    <x v="23"/>
    <n v="46"/>
    <n v="26"/>
    <s v="1996"/>
    <n v="4"/>
    <x v="0"/>
    <n v="20"/>
    <n v="0.76923076923076927"/>
  </r>
  <r>
    <s v="2064"/>
    <x v="2068"/>
    <n v="4100000"/>
    <x v="32"/>
    <n v="195.12569999999999"/>
    <x v="23"/>
    <n v="9"/>
    <n v="2"/>
    <s v="2012"/>
    <n v="1"/>
    <x v="0"/>
    <n v="7"/>
    <n v="3.5"/>
  </r>
  <r>
    <s v="2065"/>
    <x v="2069"/>
    <n v="2700000"/>
    <x v="2"/>
    <n v="195.0805"/>
    <x v="13"/>
    <n v="8"/>
    <n v="5"/>
    <s v="2011"/>
    <n v="1"/>
    <x v="0"/>
    <n v="3"/>
    <n v="0.6"/>
  </r>
  <r>
    <s v="2066"/>
    <x v="2070"/>
    <n v="2900000"/>
    <x v="14"/>
    <n v="194.976"/>
    <x v="0"/>
    <n v="30"/>
    <n v="10"/>
    <s v="2013"/>
    <n v="1"/>
    <x v="0"/>
    <n v="20"/>
    <n v="2"/>
  </r>
  <r>
    <s v="2067"/>
    <x v="2071"/>
    <n v="5000000"/>
    <x v="27"/>
    <n v="194.8681"/>
    <x v="19"/>
    <n v="20"/>
    <n v="8"/>
    <s v="2009"/>
    <n v="1"/>
    <x v="0"/>
    <n v="12"/>
    <n v="1.5"/>
  </r>
  <r>
    <s v="2068"/>
    <x v="2072"/>
    <n v="2700000"/>
    <x v="18"/>
    <n v="194.86500000000001"/>
    <x v="21"/>
    <n v="18"/>
    <n v="8"/>
    <s v="2009"/>
    <n v="2"/>
    <x v="0"/>
    <n v="10"/>
    <n v="1.25"/>
  </r>
  <r>
    <s v="2069"/>
    <x v="2073"/>
    <n v="6600000"/>
    <x v="10"/>
    <n v="194.83070000000001"/>
    <x v="19"/>
    <n v="26"/>
    <n v="21"/>
    <s v="2011"/>
    <n v="3"/>
    <x v="0"/>
    <n v="5"/>
    <n v="0.23809523809523808"/>
  </r>
  <r>
    <s v="2070"/>
    <x v="2074"/>
    <n v="5000000"/>
    <x v="0"/>
    <n v="194.82749999999999"/>
    <x v="2"/>
    <n v="26"/>
    <n v="10"/>
    <s v="2013"/>
    <n v="1"/>
    <x v="0"/>
    <n v="16"/>
    <n v="1.6"/>
  </r>
  <r>
    <s v="2071"/>
    <x v="2075"/>
    <n v="36100000"/>
    <x v="4"/>
    <n v="194.68430000000001"/>
    <x v="23"/>
    <n v="97"/>
    <n v="58"/>
    <s v="1991"/>
    <n v="4"/>
    <x v="0"/>
    <n v="39"/>
    <n v="0.67241379310344829"/>
  </r>
  <r>
    <s v="2072"/>
    <x v="2076"/>
    <n v="19600000"/>
    <x v="5"/>
    <n v="194.63810000000001"/>
    <x v="15"/>
    <n v="45"/>
    <n v="25"/>
    <s v="2002"/>
    <n v="2"/>
    <x v="0"/>
    <n v="20"/>
    <n v="0.8"/>
  </r>
  <r>
    <s v="2073"/>
    <x v="2077"/>
    <n v="11700000"/>
    <x v="1"/>
    <n v="194.45150000000001"/>
    <x v="9"/>
    <n v="68"/>
    <n v="18"/>
    <s v="2010"/>
    <n v="4"/>
    <x v="0"/>
    <n v="50"/>
    <n v="2.7777777777777777"/>
  </r>
  <r>
    <s v="2074"/>
    <x v="2078"/>
    <n v="450900000"/>
    <x v="1"/>
    <n v="194.43199999999999"/>
    <x v="23"/>
    <n v="400"/>
    <n v="150"/>
    <s v="2000"/>
    <n v="1"/>
    <x v="0"/>
    <n v="250"/>
    <n v="1.6666666666666667"/>
  </r>
  <r>
    <s v="2075"/>
    <x v="2079"/>
    <n v="7700000"/>
    <x v="12"/>
    <n v="194.2989"/>
    <x v="15"/>
    <n v="35"/>
    <n v="10"/>
    <s v="2010"/>
    <n v="1"/>
    <x v="0"/>
    <n v="25"/>
    <n v="2.5"/>
  </r>
  <r>
    <s v="2076"/>
    <x v="2080"/>
    <n v="14800000"/>
    <x v="9"/>
    <n v="194.2851"/>
    <x v="9"/>
    <n v="165"/>
    <n v="87"/>
    <s v="2005"/>
    <n v="1"/>
    <x v="0"/>
    <n v="78"/>
    <n v="0.89655172413793105"/>
  </r>
  <r>
    <s v="2077"/>
    <x v="2081"/>
    <n v="25700000"/>
    <x v="23"/>
    <n v="194.25129999999999"/>
    <x v="12"/>
    <n v="19"/>
    <n v="8"/>
    <s v="2011"/>
    <n v="6"/>
    <x v="0"/>
    <n v="11"/>
    <n v="1.375"/>
  </r>
  <r>
    <s v="2078"/>
    <x v="2082"/>
    <n v="5800000"/>
    <x v="13"/>
    <n v="194.2362"/>
    <x v="20"/>
    <n v="11"/>
    <n v="3"/>
    <s v="2013"/>
    <n v="1"/>
    <x v="0"/>
    <n v="8"/>
    <n v="2.6666666666666665"/>
  </r>
  <r>
    <s v="2079"/>
    <x v="2083"/>
    <n v="29100000"/>
    <x v="23"/>
    <n v="194.21889999999999"/>
    <x v="2"/>
    <n v="1000"/>
    <n v="196"/>
    <s v="2008"/>
    <n v="3"/>
    <x v="0"/>
    <n v="804"/>
    <n v="4.1020408163265305"/>
  </r>
  <r>
    <s v="2080"/>
    <x v="2084"/>
    <n v="12100000"/>
    <x v="2"/>
    <n v="194.06440000000001"/>
    <x v="0"/>
    <n v="27"/>
    <n v="6"/>
    <s v="2013"/>
    <n v="1"/>
    <x v="0"/>
    <n v="21"/>
    <n v="3.5"/>
  </r>
  <r>
    <s v="2081"/>
    <x v="2085"/>
    <n v="25800000"/>
    <x v="9"/>
    <n v="193.90389999999999"/>
    <x v="13"/>
    <n v="98"/>
    <n v="48"/>
    <s v="2009"/>
    <n v="5"/>
    <x v="0"/>
    <n v="50"/>
    <n v="1.0416666666666667"/>
  </r>
  <r>
    <s v="2082"/>
    <x v="2086"/>
    <n v="5100000"/>
    <x v="9"/>
    <n v="193.83959999999999"/>
    <x v="23"/>
    <n v="23"/>
    <n v="4"/>
    <s v="2012"/>
    <n v="1"/>
    <x v="0"/>
    <n v="19"/>
    <n v="4.75"/>
  </r>
  <r>
    <s v="2083"/>
    <x v="2087"/>
    <n v="23200000"/>
    <x v="23"/>
    <n v="193.8229"/>
    <x v="11"/>
    <n v="125"/>
    <n v="45"/>
    <s v="2011"/>
    <n v="3"/>
    <x v="0"/>
    <n v="80"/>
    <n v="1.7777777777777777"/>
  </r>
  <r>
    <s v="2084"/>
    <x v="2088"/>
    <n v="52100000"/>
    <x v="12"/>
    <n v="193.76339999999999"/>
    <x v="20"/>
    <n v="175"/>
    <n v="122"/>
    <s v="1974"/>
    <n v="1"/>
    <x v="0"/>
    <n v="53"/>
    <n v="0.4344262295081967"/>
  </r>
  <r>
    <s v="2085"/>
    <x v="2089"/>
    <n v="90600000"/>
    <x v="10"/>
    <n v="193.68219999999999"/>
    <x v="0"/>
    <n v="489"/>
    <n v="241"/>
    <s v="2009"/>
    <n v="7"/>
    <x v="0"/>
    <n v="248"/>
    <n v="1.0290456431535269"/>
  </r>
  <r>
    <s v="2086"/>
    <x v="2090"/>
    <n v="9700000"/>
    <x v="18"/>
    <n v="193.58969999999999"/>
    <x v="1"/>
    <n v="64"/>
    <n v="12"/>
    <s v="2012"/>
    <n v="3"/>
    <x v="0"/>
    <n v="52"/>
    <n v="4.333333333333333"/>
  </r>
  <r>
    <s v="2087"/>
    <x v="2091"/>
    <n v="7300000"/>
    <x v="9"/>
    <n v="193.47970000000001"/>
    <x v="1"/>
    <n v="5"/>
    <n v="5"/>
    <s v="2015"/>
    <n v="1"/>
    <x v="1"/>
    <n v="0"/>
    <n v="0"/>
  </r>
  <r>
    <s v="2088"/>
    <x v="2092"/>
    <n v="7200000"/>
    <x v="12"/>
    <n v="193.42429999999999"/>
    <x v="5"/>
    <n v="22"/>
    <n v="7"/>
    <s v="2008"/>
    <n v="5"/>
    <x v="0"/>
    <n v="15"/>
    <n v="2.1428571428571428"/>
  </r>
  <r>
    <s v="2089"/>
    <x v="2093"/>
    <n v="22400000"/>
    <x v="6"/>
    <n v="193.2724"/>
    <x v="1"/>
    <n v="160"/>
    <n v="40"/>
    <s v="2006"/>
    <n v="2"/>
    <x v="0"/>
    <n v="120"/>
    <n v="3"/>
  </r>
  <r>
    <s v="2090"/>
    <x v="2094"/>
    <n v="3400000"/>
    <x v="27"/>
    <n v="193.2286"/>
    <x v="7"/>
    <n v="34"/>
    <n v="13"/>
    <s v="2009"/>
    <n v="1"/>
    <x v="0"/>
    <n v="21"/>
    <n v="1.6153846153846154"/>
  </r>
  <r>
    <s v="2091"/>
    <x v="2095"/>
    <n v="11100000"/>
    <x v="10"/>
    <n v="193.1156"/>
    <x v="9"/>
    <n v="214"/>
    <n v="55"/>
    <s v="2013"/>
    <n v="2"/>
    <x v="0"/>
    <n v="159"/>
    <n v="2.8909090909090911"/>
  </r>
  <r>
    <s v="2092"/>
    <x v="2096"/>
    <n v="10500000"/>
    <x v="6"/>
    <n v="192.91730000000001"/>
    <x v="3"/>
    <n v="4"/>
    <n v="1"/>
    <s v="2011"/>
    <n v="2"/>
    <x v="0"/>
    <n v="3"/>
    <n v="3"/>
  </r>
  <r>
    <s v="2093"/>
    <x v="2097"/>
    <n v="111400000"/>
    <x v="40"/>
    <n v="192.57929999999999"/>
    <x v="9"/>
    <n v="623"/>
    <n v="223"/>
    <s v="2001"/>
    <n v="12"/>
    <x v="0"/>
    <n v="400"/>
    <n v="1.7937219730941705"/>
  </r>
  <r>
    <s v="2094"/>
    <x v="2098"/>
    <n v="3000000"/>
    <x v="37"/>
    <n v="192.17230000000001"/>
    <x v="12"/>
    <n v="5"/>
    <n v="3"/>
    <s v="2004"/>
    <n v="1"/>
    <x v="0"/>
    <n v="2"/>
    <n v="0.66666666666666663"/>
  </r>
  <r>
    <s v="2095"/>
    <x v="2099"/>
    <n v="8900000"/>
    <x v="9"/>
    <n v="192.07650000000001"/>
    <x v="0"/>
    <n v="53"/>
    <n v="23"/>
    <s v="2008"/>
    <n v="3"/>
    <x v="0"/>
    <n v="30"/>
    <n v="1.3043478260869565"/>
  </r>
  <r>
    <s v="2096"/>
    <x v="2100"/>
    <n v="19800000"/>
    <x v="9"/>
    <n v="191.97219999999999"/>
    <x v="0"/>
    <n v="71"/>
    <n v="42"/>
    <s v="2013"/>
    <n v="2"/>
    <x v="0"/>
    <n v="29"/>
    <n v="0.69047619047619047"/>
  </r>
  <r>
    <s v="2097"/>
    <x v="2101"/>
    <n v="4400000"/>
    <x v="16"/>
    <n v="191.7296"/>
    <x v="0"/>
    <n v="25"/>
    <n v="10"/>
    <s v="2013"/>
    <n v="3"/>
    <x v="0"/>
    <n v="15"/>
    <n v="1.5"/>
  </r>
  <r>
    <s v="2098"/>
    <x v="2102"/>
    <n v="3700000"/>
    <x v="5"/>
    <n v="191.50360000000001"/>
    <x v="23"/>
    <n v="11"/>
    <n v="4"/>
    <s v="2008"/>
    <n v="2"/>
    <x v="0"/>
    <n v="7"/>
    <n v="1.75"/>
  </r>
  <r>
    <s v="2099"/>
    <x v="2103"/>
    <n v="36500000"/>
    <x v="7"/>
    <n v="191.47049999999999"/>
    <x v="15"/>
    <n v="20"/>
    <n v="2"/>
    <s v="2010"/>
    <n v="1"/>
    <x v="0"/>
    <n v="18"/>
    <n v="9"/>
  </r>
  <r>
    <s v="2100"/>
    <x v="2104"/>
    <n v="2700000"/>
    <x v="21"/>
    <n v="191.44049999999999"/>
    <x v="5"/>
    <n v="300"/>
    <n v="140"/>
    <s v="2011"/>
    <n v="1"/>
    <x v="0"/>
    <n v="160"/>
    <n v="1.1428571428571428"/>
  </r>
  <r>
    <s v="2101"/>
    <x v="2105"/>
    <n v="2300000"/>
    <x v="2"/>
    <n v="191.25919999999999"/>
    <x v="2"/>
    <n v="15"/>
    <n v="5"/>
    <s v="2012"/>
    <n v="1"/>
    <x v="0"/>
    <n v="10"/>
    <n v="2"/>
  </r>
  <r>
    <s v="2102"/>
    <x v="2106"/>
    <n v="5500000"/>
    <x v="13"/>
    <n v="191.2535"/>
    <x v="15"/>
    <n v="6"/>
    <n v="2"/>
    <s v="2013"/>
    <n v="1"/>
    <x v="0"/>
    <n v="4"/>
    <n v="2"/>
  </r>
  <r>
    <s v="2102"/>
    <x v="2107"/>
    <n v="7900000"/>
    <x v="7"/>
    <n v="191.2516"/>
    <x v="12"/>
    <n v="17"/>
    <n v="5"/>
    <s v="2007"/>
    <n v="1"/>
    <x v="0"/>
    <n v="12"/>
    <n v="2.4"/>
  </r>
  <r>
    <s v="2103"/>
    <x v="2108"/>
    <n v="5900000"/>
    <x v="9"/>
    <n v="191.16249999999999"/>
    <x v="9"/>
    <n v="42"/>
    <n v="8"/>
    <s v="2009"/>
    <n v="2"/>
    <x v="0"/>
    <n v="34"/>
    <n v="4.25"/>
  </r>
  <r>
    <s v="2104"/>
    <x v="2109"/>
    <n v="113000000"/>
    <x v="27"/>
    <n v="191.15690000000001"/>
    <x v="13"/>
    <n v="240"/>
    <n v="138"/>
    <s v="1985"/>
    <n v="2"/>
    <x v="0"/>
    <n v="102"/>
    <n v="0.73913043478260865"/>
  </r>
  <r>
    <s v="2105"/>
    <x v="2110"/>
    <n v="17600000"/>
    <x v="5"/>
    <n v="191.14529999999999"/>
    <x v="2"/>
    <n v="375"/>
    <n v="140"/>
    <s v="2011"/>
    <n v="4"/>
    <x v="0"/>
    <n v="235"/>
    <n v="1.6785714285714286"/>
  </r>
  <r>
    <s v="2106"/>
    <x v="2111"/>
    <n v="4600000"/>
    <x v="23"/>
    <n v="191.0651"/>
    <x v="19"/>
    <n v="41"/>
    <n v="14"/>
    <s v="2006"/>
    <n v="1"/>
    <x v="0"/>
    <n v="27"/>
    <n v="1.9285714285714286"/>
  </r>
  <r>
    <s v="2107"/>
    <x v="2112"/>
    <n v="6400000"/>
    <x v="2"/>
    <n v="191.06399999999999"/>
    <x v="18"/>
    <n v="10"/>
    <n v="6"/>
    <s v="2003"/>
    <n v="4"/>
    <x v="0"/>
    <n v="4"/>
    <n v="0.66666666666666663"/>
  </r>
  <r>
    <s v="2108"/>
    <x v="2113"/>
    <n v="2600000"/>
    <x v="7"/>
    <n v="191.0042"/>
    <x v="19"/>
    <n v="27"/>
    <n v="5"/>
    <s v="2008"/>
    <n v="1"/>
    <x v="0"/>
    <n v="22"/>
    <n v="4.4000000000000004"/>
  </r>
  <r>
    <s v="2109"/>
    <x v="2114"/>
    <n v="36400000"/>
    <x v="24"/>
    <n v="190.98939999999999"/>
    <x v="11"/>
    <n v="375"/>
    <n v="96"/>
    <s v="1999"/>
    <n v="1"/>
    <x v="0"/>
    <n v="279"/>
    <n v="2.90625"/>
  </r>
  <r>
    <s v="2110"/>
    <x v="2115"/>
    <n v="6100000"/>
    <x v="37"/>
    <n v="190.94300000000001"/>
    <x v="9"/>
    <n v="134"/>
    <n v="22"/>
    <s v="2008"/>
    <n v="4"/>
    <x v="0"/>
    <n v="112"/>
    <n v="5.0909090909090908"/>
  </r>
  <r>
    <s v="2111"/>
    <x v="2116"/>
    <n v="57200000"/>
    <x v="5"/>
    <n v="190.8749"/>
    <x v="11"/>
    <n v="228"/>
    <n v="105"/>
    <s v="1999"/>
    <n v="4"/>
    <x v="0"/>
    <n v="123"/>
    <n v="1.1714285714285715"/>
  </r>
  <r>
    <s v="2112"/>
    <x v="2117"/>
    <n v="42400000"/>
    <x v="2"/>
    <n v="190.86269999999999"/>
    <x v="20"/>
    <n v="716"/>
    <n v="515"/>
    <s v="1997"/>
    <n v="4"/>
    <x v="0"/>
    <n v="201"/>
    <n v="0.39029126213592236"/>
  </r>
  <r>
    <s v="2113"/>
    <x v="2118"/>
    <n v="29800000"/>
    <x v="24"/>
    <n v="190.72929999999999"/>
    <x v="7"/>
    <n v="100"/>
    <n v="25"/>
    <s v="2006"/>
    <n v="1"/>
    <x v="0"/>
    <n v="75"/>
    <n v="3"/>
  </r>
  <r>
    <s v="2114"/>
    <x v="2119"/>
    <n v="17800000"/>
    <x v="12"/>
    <n v="190.66839999999999"/>
    <x v="23"/>
    <n v="5"/>
    <n v="1"/>
    <s v="2009"/>
    <n v="2"/>
    <x v="0"/>
    <n v="4"/>
    <n v="4"/>
  </r>
  <r>
    <s v="2115"/>
    <x v="2120"/>
    <n v="18200000"/>
    <x v="2"/>
    <n v="190.5402"/>
    <x v="11"/>
    <n v="116"/>
    <n v="73"/>
    <s v="2008"/>
    <n v="5"/>
    <x v="0"/>
    <n v="43"/>
    <n v="0.58904109589041098"/>
  </r>
  <r>
    <s v="2116"/>
    <x v="2121"/>
    <n v="9500000"/>
    <x v="27"/>
    <n v="190.3466"/>
    <x v="7"/>
    <n v="34"/>
    <n v="18"/>
    <s v="2012"/>
    <n v="3"/>
    <x v="0"/>
    <n v="16"/>
    <n v="0.88888888888888884"/>
  </r>
  <r>
    <s v="2117"/>
    <x v="2122"/>
    <n v="16600000"/>
    <x v="2"/>
    <n v="190.3227"/>
    <x v="9"/>
    <n v="110"/>
    <n v="41"/>
    <s v="2012"/>
    <n v="3"/>
    <x v="0"/>
    <n v="69"/>
    <n v="1.6829268292682926"/>
  </r>
  <r>
    <s v="2118"/>
    <x v="2123"/>
    <n v="8300000"/>
    <x v="2"/>
    <n v="190.30680000000001"/>
    <x v="9"/>
    <n v="36"/>
    <n v="20"/>
    <s v="2000"/>
    <n v="3"/>
    <x v="0"/>
    <n v="16"/>
    <n v="0.8"/>
  </r>
  <r>
    <s v="2119"/>
    <x v="2124"/>
    <n v="35300000"/>
    <x v="24"/>
    <n v="190.24270000000001"/>
    <x v="13"/>
    <n v="48"/>
    <n v="24"/>
    <s v="2009"/>
    <n v="3"/>
    <x v="0"/>
    <n v="24"/>
    <n v="1"/>
  </r>
  <r>
    <s v="2120"/>
    <x v="2125"/>
    <n v="17300000"/>
    <x v="9"/>
    <n v="190.22219999999999"/>
    <x v="23"/>
    <n v="28"/>
    <n v="15"/>
    <s v="2006"/>
    <n v="2"/>
    <x v="0"/>
    <n v="13"/>
    <n v="0.8666666666666667"/>
  </r>
  <r>
    <s v="2121"/>
    <x v="2126"/>
    <n v="10100000"/>
    <x v="5"/>
    <n v="190.0437"/>
    <x v="23"/>
    <n v="101"/>
    <n v="54"/>
    <s v="2009"/>
    <n v="5"/>
    <x v="0"/>
    <n v="47"/>
    <n v="0.87037037037037035"/>
  </r>
  <r>
    <s v="2122"/>
    <x v="2127"/>
    <n v="7400000"/>
    <x v="10"/>
    <n v="189.6798"/>
    <x v="0"/>
    <n v="74"/>
    <n v="25"/>
    <s v="1997"/>
    <n v="3"/>
    <x v="0"/>
    <n v="49"/>
    <n v="1.96"/>
  </r>
  <r>
    <s v="2123"/>
    <x v="2128"/>
    <n v="7500000"/>
    <x v="33"/>
    <n v="189.46600000000001"/>
    <x v="7"/>
    <n v="40"/>
    <n v="25"/>
    <s v="2008"/>
    <n v="1"/>
    <x v="0"/>
    <n v="15"/>
    <n v="0.6"/>
  </r>
  <r>
    <s v="2124"/>
    <x v="2129"/>
    <n v="76800000"/>
    <x v="2"/>
    <n v="189.4074"/>
    <x v="0"/>
    <n v="102"/>
    <n v="30"/>
    <s v="2001"/>
    <n v="1"/>
    <x v="0"/>
    <n v="72"/>
    <n v="2.4"/>
  </r>
  <r>
    <s v="2125"/>
    <x v="2130"/>
    <n v="27700000"/>
    <x v="0"/>
    <n v="189.1883"/>
    <x v="23"/>
    <n v="83"/>
    <n v="35"/>
    <s v="1996"/>
    <n v="3"/>
    <x v="0"/>
    <n v="48"/>
    <n v="1.3714285714285714"/>
  </r>
  <r>
    <s v="2126"/>
    <x v="2131"/>
    <n v="321400000"/>
    <x v="7"/>
    <n v="189.18690000000001"/>
    <x v="18"/>
    <n v="246"/>
    <n v="139"/>
    <s v="2011"/>
    <n v="4"/>
    <x v="0"/>
    <n v="107"/>
    <n v="0.76978417266187049"/>
  </r>
  <r>
    <s v="2127"/>
    <x v="2132"/>
    <n v="71600000"/>
    <x v="27"/>
    <n v="189.08250000000001"/>
    <x v="0"/>
    <n v="138"/>
    <n v="77"/>
    <s v="1999"/>
    <n v="5"/>
    <x v="0"/>
    <n v="61"/>
    <n v="0.79220779220779225"/>
  </r>
  <r>
    <s v="2128"/>
    <x v="2133"/>
    <n v="7500000"/>
    <x v="9"/>
    <n v="188.9922"/>
    <x v="7"/>
    <n v="45"/>
    <n v="18"/>
    <s v="2007"/>
    <n v="1"/>
    <x v="0"/>
    <n v="27"/>
    <n v="1.5"/>
  </r>
  <r>
    <s v="2129"/>
    <x v="2134"/>
    <n v="24300000"/>
    <x v="9"/>
    <n v="188.95570000000001"/>
    <x v="9"/>
    <n v="138"/>
    <n v="86"/>
    <s v="2010"/>
    <n v="1"/>
    <x v="0"/>
    <n v="52"/>
    <n v="0.60465116279069764"/>
  </r>
  <r>
    <s v="2130"/>
    <x v="2135"/>
    <n v="11000000"/>
    <x v="5"/>
    <n v="188.81309999999999"/>
    <x v="23"/>
    <n v="19"/>
    <n v="5"/>
    <s v="2002"/>
    <n v="1"/>
    <x v="0"/>
    <n v="14"/>
    <n v="2.8"/>
  </r>
  <r>
    <s v="2131"/>
    <x v="2136"/>
    <n v="31800000"/>
    <x v="7"/>
    <n v="188.80500000000001"/>
    <x v="11"/>
    <n v="603"/>
    <n v="65"/>
    <s v="2006"/>
    <n v="4"/>
    <x v="0"/>
    <n v="538"/>
    <n v="8.2769230769230777"/>
  </r>
  <r>
    <s v="2132"/>
    <x v="2137"/>
    <n v="4100000"/>
    <x v="27"/>
    <n v="188.7962"/>
    <x v="6"/>
    <n v="41"/>
    <n v="21"/>
    <s v="1998"/>
    <n v="2"/>
    <x v="0"/>
    <n v="20"/>
    <n v="0.95238095238095233"/>
  </r>
  <r>
    <s v="2133"/>
    <x v="2138"/>
    <n v="17000000"/>
    <x v="10"/>
    <n v="188.2722"/>
    <x v="25"/>
    <n v="34"/>
    <n v="20"/>
    <s v="1995"/>
    <n v="2"/>
    <x v="0"/>
    <n v="14"/>
    <n v="0.7"/>
  </r>
  <r>
    <s v="2134"/>
    <x v="2139"/>
    <n v="156200000"/>
    <x v="5"/>
    <n v="188.18199999999999"/>
    <x v="0"/>
    <n v="335"/>
    <n v="49"/>
    <s v="2012"/>
    <n v="6"/>
    <x v="0"/>
    <n v="286"/>
    <n v="5.8367346938775508"/>
  </r>
  <r>
    <s v="2135"/>
    <x v="2140"/>
    <n v="57100000"/>
    <x v="9"/>
    <n v="188.17529999999999"/>
    <x v="7"/>
    <n v="179"/>
    <n v="92"/>
    <s v="2010"/>
    <n v="4"/>
    <x v="0"/>
    <n v="87"/>
    <n v="0.94565217391304346"/>
  </r>
  <r>
    <s v="2136"/>
    <x v="2141"/>
    <n v="15900000"/>
    <x v="12"/>
    <n v="188.11070000000001"/>
    <x v="9"/>
    <n v="41"/>
    <n v="52"/>
    <s v="1982"/>
    <n v="1"/>
    <x v="1"/>
    <n v="-11"/>
    <n v="-0.21153846153846154"/>
  </r>
  <r>
    <s v="2137"/>
    <x v="2142"/>
    <n v="27600000"/>
    <x v="12"/>
    <n v="187.99870000000001"/>
    <x v="10"/>
    <n v="124"/>
    <n v="62"/>
    <s v="2004"/>
    <n v="4"/>
    <x v="0"/>
    <n v="62"/>
    <n v="1"/>
  </r>
  <r>
    <s v="2138"/>
    <x v="2143"/>
    <n v="9000000"/>
    <x v="7"/>
    <n v="187.94159999999999"/>
    <x v="2"/>
    <n v="175"/>
    <n v="85"/>
    <s v="2007"/>
    <n v="2"/>
    <x v="0"/>
    <n v="90"/>
    <n v="1.0588235294117647"/>
  </r>
  <r>
    <s v="2139"/>
    <x v="2144"/>
    <n v="11900000"/>
    <x v="12"/>
    <n v="187.9049"/>
    <x v="18"/>
    <n v="38"/>
    <n v="11"/>
    <s v="2014"/>
    <n v="1"/>
    <x v="0"/>
    <n v="27"/>
    <n v="2.4545454545454546"/>
  </r>
  <r>
    <s v="2140"/>
    <x v="2145"/>
    <n v="7200000"/>
    <x v="24"/>
    <n v="187.8586"/>
    <x v="3"/>
    <n v="70"/>
    <n v="10"/>
    <s v="2014"/>
    <n v="1"/>
    <x v="0"/>
    <n v="60"/>
    <n v="6"/>
  </r>
  <r>
    <s v="2141"/>
    <x v="2146"/>
    <n v="16900000"/>
    <x v="9"/>
    <n v="187.69900000000001"/>
    <x v="5"/>
    <n v="175"/>
    <n v="100"/>
    <s v="2011"/>
    <n v="1"/>
    <x v="0"/>
    <n v="75"/>
    <n v="0.75"/>
  </r>
  <r>
    <s v="2142"/>
    <x v="2147"/>
    <n v="3300000"/>
    <x v="2"/>
    <n v="187.65379999999999"/>
    <x v="23"/>
    <n v="246"/>
    <n v="93"/>
    <s v="2008"/>
    <n v="2"/>
    <x v="0"/>
    <n v="153"/>
    <n v="1.6451612903225807"/>
  </r>
  <r>
    <s v="2143"/>
    <x v="2148"/>
    <n v="6600000"/>
    <x v="10"/>
    <n v="187.60550000000001"/>
    <x v="9"/>
    <n v="90"/>
    <n v="14"/>
    <s v="2008"/>
    <n v="3"/>
    <x v="0"/>
    <n v="76"/>
    <n v="5.4285714285714288"/>
  </r>
  <r>
    <s v="2144"/>
    <x v="2149"/>
    <n v="36800000"/>
    <x v="6"/>
    <n v="187.4435"/>
    <x v="0"/>
    <n v="110"/>
    <n v="25"/>
    <s v="2010"/>
    <n v="3"/>
    <x v="0"/>
    <n v="85"/>
    <n v="3.4"/>
  </r>
  <r>
    <s v="2145"/>
    <x v="2150"/>
    <n v="7300000"/>
    <x v="4"/>
    <n v="187.38040000000001"/>
    <x v="16"/>
    <n v="33"/>
    <n v="11"/>
    <s v="2014"/>
    <n v="1"/>
    <x v="0"/>
    <n v="22"/>
    <n v="2"/>
  </r>
  <r>
    <s v="2146"/>
    <x v="2151"/>
    <n v="4400000"/>
    <x v="37"/>
    <n v="187.2921"/>
    <x v="0"/>
    <n v="48"/>
    <n v="15"/>
    <s v="2008"/>
    <n v="3"/>
    <x v="0"/>
    <n v="33"/>
    <n v="2.2000000000000002"/>
  </r>
  <r>
    <s v="2147"/>
    <x v="2152"/>
    <n v="69300000"/>
    <x v="29"/>
    <n v="187.2861"/>
    <x v="15"/>
    <n v="343"/>
    <n v="126"/>
    <s v="1939"/>
    <n v="2"/>
    <x v="0"/>
    <n v="217"/>
    <n v="1.7222222222222223"/>
  </r>
  <r>
    <s v="2148"/>
    <x v="2153"/>
    <n v="60000000"/>
    <x v="21"/>
    <n v="187.2439"/>
    <x v="11"/>
    <n v="475"/>
    <n v="118"/>
    <s v="1980"/>
    <n v="9"/>
    <x v="0"/>
    <n v="357"/>
    <n v="3.0254237288135593"/>
  </r>
  <r>
    <s v="2149"/>
    <x v="2154"/>
    <n v="3600000"/>
    <x v="32"/>
    <n v="187.12010000000001"/>
    <x v="16"/>
    <n v="34"/>
    <n v="8"/>
    <s v="2007"/>
    <n v="1"/>
    <x v="0"/>
    <n v="26"/>
    <n v="3.25"/>
  </r>
  <r>
    <s v="2150"/>
    <x v="2155"/>
    <n v="8400000"/>
    <x v="5"/>
    <n v="186.9657"/>
    <x v="4"/>
    <n v="14"/>
    <n v="7"/>
    <s v="2014"/>
    <n v="1"/>
    <x v="0"/>
    <n v="7"/>
    <n v="1"/>
  </r>
  <r>
    <s v="2151"/>
    <x v="2156"/>
    <n v="4600000"/>
    <x v="12"/>
    <n v="186.852"/>
    <x v="15"/>
    <n v="28"/>
    <n v="12"/>
    <s v="2007"/>
    <n v="1"/>
    <x v="0"/>
    <n v="16"/>
    <n v="1.3333333333333333"/>
  </r>
  <r>
    <s v="2152"/>
    <x v="2157"/>
    <n v="2300000"/>
    <x v="9"/>
    <n v="186.68209999999999"/>
    <x v="15"/>
    <n v="14"/>
    <n v="6"/>
    <s v="2001"/>
    <n v="1"/>
    <x v="0"/>
    <n v="8"/>
    <n v="1.3333333333333333"/>
  </r>
  <r>
    <s v="2153"/>
    <x v="2158"/>
    <n v="7200000"/>
    <x v="27"/>
    <n v="186.67930000000001"/>
    <x v="9"/>
    <n v="46"/>
    <n v="36"/>
    <s v="2009"/>
    <n v="3"/>
    <x v="0"/>
    <n v="10"/>
    <n v="0.27777777777777779"/>
  </r>
  <r>
    <s v="2154"/>
    <x v="2159"/>
    <n v="27400000"/>
    <x v="1"/>
    <n v="186.608"/>
    <x v="1"/>
    <n v="28"/>
    <n v="13"/>
    <s v="2014"/>
    <n v="1"/>
    <x v="0"/>
    <n v="15"/>
    <n v="1.1538461538461537"/>
  </r>
  <r>
    <s v="2155"/>
    <x v="2160"/>
    <n v="49800000"/>
    <x v="5"/>
    <n v="186.60050000000001"/>
    <x v="13"/>
    <n v="210"/>
    <n v="106"/>
    <s v="1996"/>
    <n v="5"/>
    <x v="0"/>
    <n v="104"/>
    <n v="0.98113207547169812"/>
  </r>
  <r>
    <s v="2156"/>
    <x v="2161"/>
    <n v="54500000"/>
    <x v="9"/>
    <n v="186.56059999999999"/>
    <x v="0"/>
    <n v="392"/>
    <n v="175"/>
    <s v="2001"/>
    <n v="11"/>
    <x v="0"/>
    <n v="217"/>
    <n v="1.24"/>
  </r>
  <r>
    <s v="2157"/>
    <x v="2162"/>
    <n v="48600000"/>
    <x v="24"/>
    <n v="186.4419"/>
    <x v="9"/>
    <n v="228"/>
    <n v="42"/>
    <s v="1985"/>
    <n v="1"/>
    <x v="0"/>
    <n v="186"/>
    <n v="4.4285714285714288"/>
  </r>
  <r>
    <s v="2158"/>
    <x v="2163"/>
    <n v="2700000"/>
    <x v="2"/>
    <n v="186.3937"/>
    <x v="24"/>
    <n v="10"/>
    <n v="3"/>
    <s v="2012"/>
    <n v="2"/>
    <x v="0"/>
    <n v="7"/>
    <n v="2.3333333333333335"/>
  </r>
  <r>
    <s v="2159"/>
    <x v="2164"/>
    <n v="12400000"/>
    <x v="17"/>
    <n v="186.39240000000001"/>
    <x v="15"/>
    <n v="74"/>
    <n v="17"/>
    <s v="2009"/>
    <n v="6"/>
    <x v="0"/>
    <n v="57"/>
    <n v="3.3529411764705883"/>
  </r>
  <r>
    <s v="2160"/>
    <x v="2165"/>
    <n v="13500000"/>
    <x v="21"/>
    <n v="186.3014"/>
    <x v="11"/>
    <n v="136"/>
    <n v="50"/>
    <s v="2003"/>
    <n v="3"/>
    <x v="0"/>
    <n v="86"/>
    <n v="1.72"/>
  </r>
  <r>
    <s v="2161"/>
    <x v="2166"/>
    <n v="10000000"/>
    <x v="10"/>
    <n v="186.29859999999999"/>
    <x v="9"/>
    <n v="17"/>
    <n v="12"/>
    <s v="2012"/>
    <n v="1"/>
    <x v="0"/>
    <n v="5"/>
    <n v="0.41666666666666669"/>
  </r>
  <r>
    <s v="2162"/>
    <x v="2167"/>
    <n v="45700000"/>
    <x v="2"/>
    <n v="186.24969999999999"/>
    <x v="2"/>
    <n v="1300"/>
    <n v="500"/>
    <s v="2011"/>
    <n v="2"/>
    <x v="0"/>
    <n v="800"/>
    <n v="1.6"/>
  </r>
  <r>
    <s v="2163"/>
    <x v="2168"/>
    <n v="3100000"/>
    <x v="2"/>
    <n v="186.0986"/>
    <x v="23"/>
    <n v="10"/>
    <n v="6"/>
    <s v="2003"/>
    <n v="1"/>
    <x v="0"/>
    <n v="4"/>
    <n v="0.66666666666666663"/>
  </r>
  <r>
    <s v="2164"/>
    <x v="2169"/>
    <n v="7500000"/>
    <x v="36"/>
    <n v="186.08580000000001"/>
    <x v="7"/>
    <n v="29"/>
    <n v="15"/>
    <s v="2007"/>
    <n v="4"/>
    <x v="0"/>
    <n v="14"/>
    <n v="0.93333333333333335"/>
  </r>
  <r>
    <s v="2165"/>
    <x v="2170"/>
    <n v="534000000"/>
    <x v="27"/>
    <n v="186.0599"/>
    <x v="23"/>
    <n v="1505"/>
    <n v="888"/>
    <s v="1987"/>
    <n v="11"/>
    <x v="0"/>
    <n v="617"/>
    <n v="0.69481981981981977"/>
  </r>
  <r>
    <s v="2166"/>
    <x v="2171"/>
    <n v="5700000"/>
    <x v="9"/>
    <n v="185.99619999999999"/>
    <x v="24"/>
    <n v="30"/>
    <n v="9"/>
    <s v="2011"/>
    <n v="2"/>
    <x v="0"/>
    <n v="21"/>
    <n v="2.3333333333333335"/>
  </r>
  <r>
    <s v="2167"/>
    <x v="2172"/>
    <n v="65800000"/>
    <x v="11"/>
    <n v="185.87960000000001"/>
    <x v="3"/>
    <n v="240"/>
    <n v="200"/>
    <s v="1949"/>
    <n v="1"/>
    <x v="0"/>
    <n v="40"/>
    <n v="0.2"/>
  </r>
  <r>
    <s v="2168"/>
    <x v="2173"/>
    <n v="42100000"/>
    <x v="27"/>
    <n v="185.70400000000001"/>
    <x v="5"/>
    <n v="8"/>
    <n v="3"/>
    <s v="2009"/>
    <n v="1"/>
    <x v="0"/>
    <n v="5"/>
    <n v="1.6666666666666667"/>
  </r>
  <r>
    <s v="2169"/>
    <x v="2174"/>
    <n v="91100000"/>
    <x v="6"/>
    <n v="185.66120000000001"/>
    <x v="4"/>
    <n v="60"/>
    <n v="25"/>
    <s v="2010"/>
    <n v="2"/>
    <x v="0"/>
    <n v="35"/>
    <n v="1.4"/>
  </r>
  <r>
    <s v="2170"/>
    <x v="2175"/>
    <n v="9900000"/>
    <x v="23"/>
    <n v="185.61760000000001"/>
    <x v="11"/>
    <n v="79"/>
    <n v="23"/>
    <s v="2010"/>
    <n v="3"/>
    <x v="0"/>
    <n v="56"/>
    <n v="2.4347826086956523"/>
  </r>
  <r>
    <s v="2171"/>
    <x v="2176"/>
    <n v="11400000"/>
    <x v="10"/>
    <n v="185.57900000000001"/>
    <x v="9"/>
    <n v="90"/>
    <n v="26"/>
    <s v="2010"/>
    <n v="5"/>
    <x v="0"/>
    <n v="64"/>
    <n v="2.4615384615384617"/>
  </r>
  <r>
    <s v="2172"/>
    <x v="2177"/>
    <n v="2200000"/>
    <x v="17"/>
    <n v="185.50819999999999"/>
    <x v="5"/>
    <n v="18"/>
    <n v="11"/>
    <s v="1992"/>
    <n v="1"/>
    <x v="0"/>
    <n v="7"/>
    <n v="0.63636363636363635"/>
  </r>
  <r>
    <s v="2173"/>
    <x v="2178"/>
    <n v="3200000"/>
    <x v="8"/>
    <n v="185.46680000000001"/>
    <x v="20"/>
    <n v="74"/>
    <n v="29"/>
    <s v="2008"/>
    <n v="1"/>
    <x v="0"/>
    <n v="45"/>
    <n v="1.5517241379310345"/>
  </r>
  <r>
    <s v="2174"/>
    <x v="2179"/>
    <n v="5800000"/>
    <x v="14"/>
    <n v="185.42089999999999"/>
    <x v="9"/>
    <n v="62"/>
    <n v="46"/>
    <s v="2011"/>
    <n v="3"/>
    <x v="0"/>
    <n v="16"/>
    <n v="0.34782608695652173"/>
  </r>
  <r>
    <s v="2175"/>
    <x v="2180"/>
    <n v="34500000"/>
    <x v="4"/>
    <n v="185.31530000000001"/>
    <x v="19"/>
    <n v="44"/>
    <n v="24"/>
    <s v="2013"/>
    <n v="3"/>
    <x v="0"/>
    <n v="20"/>
    <n v="0.83333333333333337"/>
  </r>
  <r>
    <s v="2176"/>
    <x v="2181"/>
    <n v="6800000"/>
    <x v="27"/>
    <n v="185.2209"/>
    <x v="21"/>
    <n v="48"/>
    <n v="30"/>
    <s v="1990"/>
    <n v="2"/>
    <x v="0"/>
    <n v="18"/>
    <n v="0.6"/>
  </r>
  <r>
    <s v="2177"/>
    <x v="2182"/>
    <n v="21200000"/>
    <x v="12"/>
    <n v="185.16980000000001"/>
    <x v="2"/>
    <n v="80"/>
    <n v="31"/>
    <s v="2012"/>
    <n v="4"/>
    <x v="0"/>
    <n v="49"/>
    <n v="1.5806451612903225"/>
  </r>
  <r>
    <s v="2178"/>
    <x v="2183"/>
    <n v="3000000"/>
    <x v="2"/>
    <n v="185.11949999999999"/>
    <x v="12"/>
    <n v="20"/>
    <n v="13"/>
    <s v="2013"/>
    <n v="2"/>
    <x v="0"/>
    <n v="7"/>
    <n v="0.53846153846153844"/>
  </r>
  <r>
    <s v="2179"/>
    <x v="2184"/>
    <n v="19800000"/>
    <x v="12"/>
    <n v="185.08869999999999"/>
    <x v="9"/>
    <n v="600"/>
    <n v="300"/>
    <s v="2011"/>
    <n v="3"/>
    <x v="0"/>
    <n v="300"/>
    <n v="1"/>
  </r>
  <r>
    <s v="2180"/>
    <x v="2185"/>
    <n v="421100000"/>
    <x v="13"/>
    <n v="185.02510000000001"/>
    <x v="12"/>
    <n v="729"/>
    <n v="313"/>
    <s v="2004"/>
    <n v="1"/>
    <x v="0"/>
    <n v="416"/>
    <n v="1.329073482428115"/>
  </r>
  <r>
    <s v="2181"/>
    <x v="2186"/>
    <n v="33800000"/>
    <x v="9"/>
    <n v="184.94"/>
    <x v="11"/>
    <n v="18"/>
    <n v="8"/>
    <s v="2009"/>
    <n v="1"/>
    <x v="0"/>
    <n v="10"/>
    <n v="1.25"/>
  </r>
  <r>
    <s v="2182"/>
    <x v="2187"/>
    <n v="35200000"/>
    <x v="31"/>
    <n v="184.79769999999999"/>
    <x v="15"/>
    <n v="180"/>
    <n v="70"/>
    <s v="2006"/>
    <n v="1"/>
    <x v="0"/>
    <n v="110"/>
    <n v="1.5714285714285714"/>
  </r>
  <r>
    <s v="2183"/>
    <x v="2188"/>
    <n v="19600000"/>
    <x v="9"/>
    <n v="184.78479999999999"/>
    <x v="20"/>
    <n v="481"/>
    <n v="113"/>
    <s v="2013"/>
    <n v="2"/>
    <x v="0"/>
    <n v="368"/>
    <n v="3.2566371681415931"/>
  </r>
  <r>
    <s v="2184"/>
    <x v="2189"/>
    <n v="7300000"/>
    <x v="2"/>
    <n v="184.6833"/>
    <x v="0"/>
    <n v="29"/>
    <n v="13"/>
    <s v="2013"/>
    <n v="1"/>
    <x v="0"/>
    <n v="16"/>
    <n v="1.2307692307692308"/>
  </r>
  <r>
    <s v="2185"/>
    <x v="2190"/>
    <n v="61700000"/>
    <x v="2"/>
    <n v="184.60570000000001"/>
    <x v="10"/>
    <n v="181"/>
    <n v="45"/>
    <s v="2008"/>
    <n v="2"/>
    <x v="0"/>
    <n v="136"/>
    <n v="3.0222222222222221"/>
  </r>
  <r>
    <s v="2186"/>
    <x v="2191"/>
    <n v="3400000"/>
    <x v="6"/>
    <n v="184.43960000000001"/>
    <x v="4"/>
    <n v="42"/>
    <n v="18"/>
    <s v="2011"/>
    <n v="1"/>
    <x v="0"/>
    <n v="24"/>
    <n v="1.3333333333333333"/>
  </r>
  <r>
    <s v="2187"/>
    <x v="2192"/>
    <n v="3100000"/>
    <x v="9"/>
    <n v="184.43180000000001"/>
    <x v="19"/>
    <n v="17"/>
    <n v="6"/>
    <s v="2006"/>
    <n v="1"/>
    <x v="0"/>
    <n v="11"/>
    <n v="1.8333333333333333"/>
  </r>
  <r>
    <s v="2188"/>
    <x v="2193"/>
    <n v="66300000"/>
    <x v="22"/>
    <n v="183.99979999999999"/>
    <x v="15"/>
    <n v="47"/>
    <n v="25"/>
    <s v="2013"/>
    <n v="2"/>
    <x v="0"/>
    <n v="22"/>
    <n v="0.88"/>
  </r>
  <r>
    <s v="2189"/>
    <x v="2194"/>
    <n v="11000000"/>
    <x v="41"/>
    <n v="183.9265"/>
    <x v="10"/>
    <n v="56"/>
    <n v="22"/>
    <s v="2010"/>
    <n v="1"/>
    <x v="0"/>
    <n v="34"/>
    <n v="1.5454545454545454"/>
  </r>
  <r>
    <s v="2190"/>
    <x v="2195"/>
    <n v="10300000"/>
    <x v="5"/>
    <n v="183.89689999999999"/>
    <x v="1"/>
    <n v="6"/>
    <n v="4"/>
    <s v="2011"/>
    <n v="1"/>
    <x v="0"/>
    <n v="2"/>
    <n v="0.5"/>
  </r>
  <r>
    <s v="2191"/>
    <x v="2196"/>
    <n v="15200000"/>
    <x v="27"/>
    <n v="183.83080000000001"/>
    <x v="5"/>
    <n v="18"/>
    <n v="8"/>
    <s v="2014"/>
    <n v="1"/>
    <x v="0"/>
    <n v="10"/>
    <n v="1.25"/>
  </r>
  <r>
    <s v="2192"/>
    <x v="2197"/>
    <n v="24900000"/>
    <x v="9"/>
    <n v="183.76089999999999"/>
    <x v="16"/>
    <n v="551"/>
    <n v="326"/>
    <s v="2000"/>
    <n v="1"/>
    <x v="0"/>
    <n v="225"/>
    <n v="0.69018404907975461"/>
  </r>
  <r>
    <s v="2193"/>
    <x v="2198"/>
    <n v="12400000"/>
    <x v="2"/>
    <n v="183.74629999999999"/>
    <x v="5"/>
    <n v="154"/>
    <n v="60"/>
    <s v="2012"/>
    <n v="2"/>
    <x v="0"/>
    <n v="94"/>
    <n v="1.5666666666666667"/>
  </r>
  <r>
    <s v="2194"/>
    <x v="2199"/>
    <n v="5000000"/>
    <x v="12"/>
    <n v="183.73660000000001"/>
    <x v="13"/>
    <n v="32"/>
    <n v="12"/>
    <s v="2004"/>
    <n v="3"/>
    <x v="0"/>
    <n v="20"/>
    <n v="1.6666666666666667"/>
  </r>
  <r>
    <s v="2195"/>
    <x v="2200"/>
    <n v="2600000"/>
    <x v="9"/>
    <n v="183.6643"/>
    <x v="9"/>
    <n v="35"/>
    <n v="12"/>
    <s v="2011"/>
    <n v="3"/>
    <x v="0"/>
    <n v="23"/>
    <n v="1.9166666666666667"/>
  </r>
  <r>
    <s v="2196"/>
    <x v="2201"/>
    <n v="131800000"/>
    <x v="9"/>
    <n v="183.4288"/>
    <x v="13"/>
    <n v="133"/>
    <n v="66"/>
    <s v="2004"/>
    <n v="11"/>
    <x v="0"/>
    <n v="67"/>
    <n v="1.0151515151515151"/>
  </r>
  <r>
    <s v="2197"/>
    <x v="2202"/>
    <n v="20600000"/>
    <x v="2"/>
    <n v="183.3125"/>
    <x v="3"/>
    <n v="260"/>
    <n v="171"/>
    <s v="2004"/>
    <n v="6"/>
    <x v="0"/>
    <n v="89"/>
    <n v="0.52046783625730997"/>
  </r>
  <r>
    <s v="2198"/>
    <x v="2203"/>
    <n v="3300000"/>
    <x v="5"/>
    <n v="183.05699999999999"/>
    <x v="0"/>
    <n v="64"/>
    <n v="21"/>
    <s v="1999"/>
    <n v="2"/>
    <x v="0"/>
    <n v="43"/>
    <n v="2.0476190476190474"/>
  </r>
  <r>
    <s v="2199"/>
    <x v="2204"/>
    <n v="11100000"/>
    <x v="7"/>
    <n v="183.00919999999999"/>
    <x v="9"/>
    <n v="97"/>
    <n v="25"/>
    <s v="2005"/>
    <n v="6"/>
    <x v="0"/>
    <n v="72"/>
    <n v="2.88"/>
  </r>
  <r>
    <s v="2200"/>
    <x v="2205"/>
    <n v="6300000"/>
    <x v="21"/>
    <n v="182.96420000000001"/>
    <x v="5"/>
    <n v="50"/>
    <n v="10"/>
    <s v="2013"/>
    <n v="2"/>
    <x v="0"/>
    <n v="40"/>
    <n v="4"/>
  </r>
  <r>
    <s v="2201"/>
    <x v="2206"/>
    <n v="18800000"/>
    <x v="4"/>
    <n v="182.81620000000001"/>
    <x v="23"/>
    <n v="61"/>
    <n v="25"/>
    <s v="1929"/>
    <n v="2"/>
    <x v="0"/>
    <n v="36"/>
    <n v="1.44"/>
  </r>
  <r>
    <s v="2202"/>
    <x v="2207"/>
    <n v="22200000"/>
    <x v="37"/>
    <n v="182.7704"/>
    <x v="3"/>
    <n v="39"/>
    <n v="13"/>
    <s v="2008"/>
    <n v="5"/>
    <x v="0"/>
    <n v="26"/>
    <n v="2"/>
  </r>
  <r>
    <s v="2203"/>
    <x v="2208"/>
    <n v="57200000"/>
    <x v="35"/>
    <n v="182.6927"/>
    <x v="5"/>
    <n v="121"/>
    <n v="38"/>
    <s v="2010"/>
    <n v="5"/>
    <x v="0"/>
    <n v="83"/>
    <n v="2.1842105263157894"/>
  </r>
  <r>
    <s v="2204"/>
    <x v="2209"/>
    <n v="39700000"/>
    <x v="27"/>
    <n v="182.5908"/>
    <x v="1"/>
    <n v="50"/>
    <n v="20"/>
    <s v="2010"/>
    <n v="6"/>
    <x v="0"/>
    <n v="30"/>
    <n v="1.5"/>
  </r>
  <r>
    <s v="2205"/>
    <x v="2210"/>
    <n v="27500000"/>
    <x v="16"/>
    <n v="182.44460000000001"/>
    <x v="7"/>
    <n v="19"/>
    <n v="14"/>
    <s v="2010"/>
    <n v="3"/>
    <x v="0"/>
    <n v="5"/>
    <n v="0.35714285714285715"/>
  </r>
  <r>
    <s v="2206"/>
    <x v="2211"/>
    <n v="39100000"/>
    <x v="21"/>
    <n v="182.26750000000001"/>
    <x v="19"/>
    <n v="117"/>
    <n v="30"/>
    <s v="2005"/>
    <n v="6"/>
    <x v="0"/>
    <n v="87"/>
    <n v="2.9"/>
  </r>
  <r>
    <s v="2207"/>
    <x v="2212"/>
    <n v="3900000"/>
    <x v="9"/>
    <n v="182.20590000000001"/>
    <x v="23"/>
    <n v="14"/>
    <n v="5"/>
    <s v="2001"/>
    <n v="2"/>
    <x v="0"/>
    <n v="9"/>
    <n v="1.8"/>
  </r>
  <r>
    <s v="2208"/>
    <x v="2213"/>
    <n v="8300000"/>
    <x v="12"/>
    <n v="182.14070000000001"/>
    <x v="9"/>
    <n v="100"/>
    <n v="25"/>
    <s v="2005"/>
    <n v="1"/>
    <x v="0"/>
    <n v="75"/>
    <n v="3"/>
  </r>
  <r>
    <s v="2209"/>
    <x v="2214"/>
    <n v="13900000"/>
    <x v="27"/>
    <n v="182.10550000000001"/>
    <x v="1"/>
    <n v="30"/>
    <n v="5"/>
    <s v="2004"/>
    <n v="1"/>
    <x v="0"/>
    <n v="25"/>
    <n v="5"/>
  </r>
  <r>
    <s v="2210"/>
    <x v="2215"/>
    <n v="20900000"/>
    <x v="7"/>
    <n v="182.0942"/>
    <x v="11"/>
    <n v="77"/>
    <n v="23"/>
    <s v="2011"/>
    <n v="1"/>
    <x v="0"/>
    <n v="54"/>
    <n v="2.347826086956522"/>
  </r>
  <r>
    <s v="2211"/>
    <x v="2216"/>
    <n v="15700000"/>
    <x v="0"/>
    <n v="181.9956"/>
    <x v="16"/>
    <n v="62"/>
    <n v="23"/>
    <s v="2012"/>
    <n v="2"/>
    <x v="0"/>
    <n v="39"/>
    <n v="1.6956521739130435"/>
  </r>
  <r>
    <s v="2212"/>
    <x v="2217"/>
    <n v="2200000"/>
    <x v="2"/>
    <n v="181.9709"/>
    <x v="19"/>
    <n v="18"/>
    <n v="8"/>
    <s v="2015"/>
    <n v="1"/>
    <x v="0"/>
    <n v="10"/>
    <n v="1.25"/>
  </r>
  <r>
    <s v="2213"/>
    <x v="2218"/>
    <n v="13900000"/>
    <x v="9"/>
    <n v="181.82820000000001"/>
    <x v="19"/>
    <n v="140"/>
    <n v="80"/>
    <s v="2010"/>
    <n v="5"/>
    <x v="0"/>
    <n v="60"/>
    <n v="0.75"/>
  </r>
  <r>
    <s v="2214"/>
    <x v="2219"/>
    <n v="25300000"/>
    <x v="9"/>
    <n v="181.6534"/>
    <x v="23"/>
    <n v="130"/>
    <n v="40"/>
    <s v="2010"/>
    <n v="1"/>
    <x v="0"/>
    <n v="90"/>
    <n v="2.25"/>
  </r>
  <r>
    <s v="2215"/>
    <x v="2220"/>
    <n v="297100000"/>
    <x v="9"/>
    <n v="181.62110000000001"/>
    <x v="9"/>
    <n v="65"/>
    <n v="26"/>
    <s v="2010"/>
    <n v="5"/>
    <x v="0"/>
    <n v="39"/>
    <n v="1.5"/>
  </r>
  <r>
    <s v="2216"/>
    <x v="2221"/>
    <n v="3300000"/>
    <x v="12"/>
    <n v="181.59110000000001"/>
    <x v="17"/>
    <n v="15"/>
    <n v="2"/>
    <s v="2012"/>
    <n v="1"/>
    <x v="0"/>
    <n v="13"/>
    <n v="6.5"/>
  </r>
  <r>
    <s v="2217"/>
    <x v="2222"/>
    <n v="9700000"/>
    <x v="10"/>
    <n v="181.5325"/>
    <x v="0"/>
    <n v="18"/>
    <n v="9"/>
    <s v="2013"/>
    <n v="2"/>
    <x v="0"/>
    <n v="9"/>
    <n v="1"/>
  </r>
  <r>
    <s v="2218"/>
    <x v="2223"/>
    <n v="42300000"/>
    <x v="12"/>
    <n v="181.4735"/>
    <x v="14"/>
    <n v="148"/>
    <n v="48"/>
    <s v="2012"/>
    <n v="1"/>
    <x v="0"/>
    <n v="100"/>
    <n v="2.0833333333333335"/>
  </r>
  <r>
    <s v="2219"/>
    <x v="2224"/>
    <n v="3600000"/>
    <x v="20"/>
    <n v="181.3528"/>
    <x v="19"/>
    <n v="23"/>
    <n v="8"/>
    <s v="2008"/>
    <n v="2"/>
    <x v="0"/>
    <n v="15"/>
    <n v="1.875"/>
  </r>
  <r>
    <s v="2220"/>
    <x v="2225"/>
    <n v="11300000"/>
    <x v="33"/>
    <n v="181.34399999999999"/>
    <x v="13"/>
    <n v="63"/>
    <n v="30"/>
    <s v="1902"/>
    <n v="4"/>
    <x v="0"/>
    <n v="33"/>
    <n v="1.1000000000000001"/>
  </r>
  <r>
    <s v="2221"/>
    <x v="2226"/>
    <n v="6100000"/>
    <x v="10"/>
    <n v="181.29910000000001"/>
    <x v="5"/>
    <n v="13"/>
    <n v="8"/>
    <s v="2009"/>
    <n v="2"/>
    <x v="0"/>
    <n v="5"/>
    <n v="0.625"/>
  </r>
  <r>
    <s v="2222"/>
    <x v="2227"/>
    <n v="2100000"/>
    <x v="29"/>
    <n v="181.2501"/>
    <x v="7"/>
    <n v="10"/>
    <n v="5"/>
    <s v="2010"/>
    <n v="2"/>
    <x v="0"/>
    <n v="5"/>
    <n v="1"/>
  </r>
  <r>
    <s v="2223"/>
    <x v="2228"/>
    <n v="61900000"/>
    <x v="23"/>
    <n v="180.9161"/>
    <x v="11"/>
    <n v="352"/>
    <n v="125"/>
    <s v="2008"/>
    <n v="7"/>
    <x v="0"/>
    <n v="227"/>
    <n v="1.8160000000000001"/>
  </r>
  <r>
    <s v="2224"/>
    <x v="2229"/>
    <n v="5000000"/>
    <x v="41"/>
    <n v="180.91380000000001"/>
    <x v="9"/>
    <n v="53"/>
    <n v="29"/>
    <s v="2000"/>
    <n v="1"/>
    <x v="0"/>
    <n v="24"/>
    <n v="0.82758620689655171"/>
  </r>
  <r>
    <s v="2225"/>
    <x v="2230"/>
    <n v="17600000"/>
    <x v="2"/>
    <n v="180.72929999999999"/>
    <x v="15"/>
    <n v="30"/>
    <n v="20"/>
    <s v="2009"/>
    <n v="2"/>
    <x v="0"/>
    <n v="10"/>
    <n v="0.5"/>
  </r>
  <r>
    <s v="2226"/>
    <x v="2231"/>
    <n v="228000000"/>
    <x v="12"/>
    <n v="180.66560000000001"/>
    <x v="1"/>
    <n v="34"/>
    <n v="32"/>
    <s v="2003"/>
    <n v="10"/>
    <x v="0"/>
    <n v="2"/>
    <n v="6.25E-2"/>
  </r>
  <r>
    <s v="2227"/>
    <x v="2232"/>
    <n v="92000000"/>
    <x v="7"/>
    <n v="180.63419999999999"/>
    <x v="15"/>
    <n v="800"/>
    <n v="235"/>
    <s v="1986"/>
    <n v="2"/>
    <x v="0"/>
    <n v="565"/>
    <n v="2.4042553191489362"/>
  </r>
  <r>
    <s v="2228"/>
    <x v="2233"/>
    <n v="2100000"/>
    <x v="4"/>
    <n v="180.62950000000001"/>
    <x v="0"/>
    <n v="14"/>
    <n v="6"/>
    <s v="2010"/>
    <n v="1"/>
    <x v="0"/>
    <n v="8"/>
    <n v="1.3333333333333333"/>
  </r>
  <r>
    <s v="2229"/>
    <x v="2234"/>
    <n v="7100000"/>
    <x v="5"/>
    <n v="180.3683"/>
    <x v="19"/>
    <n v="96"/>
    <n v="20"/>
    <s v="2013"/>
    <n v="3"/>
    <x v="0"/>
    <n v="76"/>
    <n v="3.8"/>
  </r>
  <r>
    <s v="2230"/>
    <x v="2235"/>
    <n v="3900000"/>
    <x v="10"/>
    <n v="180.22049999999999"/>
    <x v="0"/>
    <n v="40"/>
    <n v="17"/>
    <s v="2009"/>
    <n v="2"/>
    <x v="0"/>
    <n v="23"/>
    <n v="1.3529411764705883"/>
  </r>
  <r>
    <s v="2231"/>
    <x v="2236"/>
    <n v="9000000"/>
    <x v="6"/>
    <n v="180.21680000000001"/>
    <x v="4"/>
    <n v="10"/>
    <n v="2"/>
    <s v="2008"/>
    <n v="1"/>
    <x v="0"/>
    <n v="8"/>
    <n v="4"/>
  </r>
  <r>
    <s v="2232"/>
    <x v="2237"/>
    <n v="9200000"/>
    <x v="4"/>
    <n v="180.20060000000001"/>
    <x v="18"/>
    <n v="291"/>
    <n v="160"/>
    <s v="2012"/>
    <n v="2"/>
    <x v="0"/>
    <n v="131"/>
    <n v="0.81874999999999998"/>
  </r>
  <r>
    <s v="2233"/>
    <x v="2238"/>
    <n v="5600000"/>
    <x v="5"/>
    <n v="180.1815"/>
    <x v="0"/>
    <n v="16"/>
    <n v="6"/>
    <s v="2006"/>
    <n v="1"/>
    <x v="0"/>
    <n v="10"/>
    <n v="1.6666666666666667"/>
  </r>
  <r>
    <s v="2234"/>
    <x v="2239"/>
    <n v="13800000"/>
    <x v="9"/>
    <n v="180.17"/>
    <x v="3"/>
    <n v="30"/>
    <n v="15"/>
    <s v="2010"/>
    <n v="2"/>
    <x v="0"/>
    <n v="15"/>
    <n v="1"/>
  </r>
  <r>
    <s v="2235"/>
    <x v="2240"/>
    <n v="25000000"/>
    <x v="2"/>
    <n v="180.16650000000001"/>
    <x v="10"/>
    <n v="33"/>
    <n v="8"/>
    <s v="2014"/>
    <n v="1"/>
    <x v="0"/>
    <n v="25"/>
    <n v="3.125"/>
  </r>
  <r>
    <s v="2236"/>
    <x v="2241"/>
    <n v="14600000"/>
    <x v="48"/>
    <n v="180.1378"/>
    <x v="23"/>
    <n v="68"/>
    <n v="22"/>
    <s v="2005"/>
    <n v="1"/>
    <x v="0"/>
    <n v="46"/>
    <n v="2.0909090909090908"/>
  </r>
  <r>
    <s v="2237"/>
    <x v="2242"/>
    <n v="84900000"/>
    <x v="12"/>
    <n v="180.0317"/>
    <x v="3"/>
    <n v="89"/>
    <n v="32"/>
    <s v="1977"/>
    <n v="1"/>
    <x v="0"/>
    <n v="57"/>
    <n v="1.78125"/>
  </r>
  <r>
    <s v="2238"/>
    <x v="2243"/>
    <n v="3300000"/>
    <x v="13"/>
    <n v="179.8681"/>
    <x v="5"/>
    <n v="22"/>
    <n v="5"/>
    <s v="2014"/>
    <n v="1"/>
    <x v="0"/>
    <n v="17"/>
    <n v="3.4"/>
  </r>
  <r>
    <s v="2239"/>
    <x v="2244"/>
    <n v="48500000"/>
    <x v="2"/>
    <n v="179.73679999999999"/>
    <x v="4"/>
    <n v="50"/>
    <n v="24"/>
    <s v="2009"/>
    <n v="6"/>
    <x v="0"/>
    <n v="26"/>
    <n v="1.0833333333333333"/>
  </r>
  <r>
    <s v="2240"/>
    <x v="2245"/>
    <n v="2100000"/>
    <x v="9"/>
    <n v="179.73099999999999"/>
    <x v="23"/>
    <n v="15"/>
    <n v="4"/>
    <s v="2015"/>
    <n v="1"/>
    <x v="0"/>
    <n v="11"/>
    <n v="2.75"/>
  </r>
  <r>
    <s v="2241"/>
    <x v="2246"/>
    <n v="22300000"/>
    <x v="9"/>
    <n v="179.6353"/>
    <x v="9"/>
    <n v="160"/>
    <n v="60"/>
    <s v="2012"/>
    <n v="2"/>
    <x v="0"/>
    <n v="100"/>
    <n v="1.6666666666666667"/>
  </r>
  <r>
    <s v="2242"/>
    <x v="2247"/>
    <n v="4800000"/>
    <x v="32"/>
    <n v="179.4639"/>
    <x v="0"/>
    <n v="32"/>
    <n v="15"/>
    <s v="2013"/>
    <n v="2"/>
    <x v="0"/>
    <n v="17"/>
    <n v="1.1333333333333333"/>
  </r>
  <r>
    <s v="2243"/>
    <x v="2248"/>
    <n v="124900000"/>
    <x v="18"/>
    <n v="179.40649999999999"/>
    <x v="9"/>
    <n v="1200"/>
    <n v="508"/>
    <s v="2000"/>
    <n v="7"/>
    <x v="0"/>
    <n v="692"/>
    <n v="1.3622047244094488"/>
  </r>
  <r>
    <s v="2244"/>
    <x v="2249"/>
    <n v="4300000"/>
    <x v="2"/>
    <n v="179.386"/>
    <x v="20"/>
    <n v="22"/>
    <n v="15"/>
    <s v="2003"/>
    <n v="3"/>
    <x v="0"/>
    <n v="7"/>
    <n v="0.46666666666666667"/>
  </r>
  <r>
    <s v="2245"/>
    <x v="2250"/>
    <n v="10000000"/>
    <x v="23"/>
    <n v="179.33789999999999"/>
    <x v="13"/>
    <n v="42"/>
    <n v="18"/>
    <s v="2006"/>
    <n v="1"/>
    <x v="0"/>
    <n v="24"/>
    <n v="1.3333333333333333"/>
  </r>
  <r>
    <s v="2246"/>
    <x v="2251"/>
    <n v="9500000"/>
    <x v="47"/>
    <n v="179.2604"/>
    <x v="21"/>
    <n v="64"/>
    <n v="30"/>
    <s v="2009"/>
    <n v="3"/>
    <x v="0"/>
    <n v="34"/>
    <n v="1.1333333333333333"/>
  </r>
  <r>
    <s v="2247"/>
    <x v="2252"/>
    <n v="6500000"/>
    <x v="6"/>
    <n v="179.20050000000001"/>
    <x v="4"/>
    <n v="10"/>
    <n v="5"/>
    <s v="2012"/>
    <n v="2"/>
    <x v="0"/>
    <n v="5"/>
    <n v="1"/>
  </r>
  <r>
    <s v="2248"/>
    <x v="2253"/>
    <n v="13100000"/>
    <x v="16"/>
    <n v="179.12270000000001"/>
    <x v="23"/>
    <n v="50"/>
    <n v="14"/>
    <s v="1979"/>
    <n v="1"/>
    <x v="0"/>
    <n v="36"/>
    <n v="2.5714285714285716"/>
  </r>
  <r>
    <s v="2249"/>
    <x v="2254"/>
    <n v="8000000"/>
    <x v="9"/>
    <n v="179.10249999999999"/>
    <x v="13"/>
    <n v="30"/>
    <n v="3"/>
    <s v="2004"/>
    <n v="2"/>
    <x v="0"/>
    <n v="27"/>
    <n v="9"/>
  </r>
  <r>
    <s v="2250"/>
    <x v="2255"/>
    <n v="9600000"/>
    <x v="9"/>
    <n v="179.09719999999999"/>
    <x v="23"/>
    <n v="3"/>
    <n v="1"/>
    <s v="2008"/>
    <n v="5"/>
    <x v="0"/>
    <n v="2"/>
    <n v="2"/>
  </r>
  <r>
    <s v="2251"/>
    <x v="2256"/>
    <n v="2500000"/>
    <x v="2"/>
    <n v="179.0592"/>
    <x v="24"/>
    <n v="25"/>
    <n v="12"/>
    <s v="2012"/>
    <n v="2"/>
    <x v="0"/>
    <n v="13"/>
    <n v="1.0833333333333333"/>
  </r>
  <r>
    <s v="2252"/>
    <x v="2257"/>
    <n v="6800000"/>
    <x v="19"/>
    <n v="178.97790000000001"/>
    <x v="9"/>
    <n v="27"/>
    <n v="6"/>
    <s v="2014"/>
    <n v="3"/>
    <x v="0"/>
    <n v="21"/>
    <n v="3.5"/>
  </r>
  <r>
    <s v="2253"/>
    <x v="2258"/>
    <n v="5500000"/>
    <x v="27"/>
    <n v="178.80359999999999"/>
    <x v="24"/>
    <n v="8"/>
    <n v="6"/>
    <s v="2003"/>
    <n v="3"/>
    <x v="0"/>
    <n v="2"/>
    <n v="0.33333333333333331"/>
  </r>
  <r>
    <s v="2254"/>
    <x v="2259"/>
    <n v="12400000"/>
    <x v="2"/>
    <n v="178.55080000000001"/>
    <x v="18"/>
    <n v="50"/>
    <n v="10"/>
    <s v="2011"/>
    <n v="6"/>
    <x v="0"/>
    <n v="40"/>
    <n v="4"/>
  </r>
  <r>
    <s v="2255"/>
    <x v="2260"/>
    <n v="2100000"/>
    <x v="16"/>
    <n v="178.5316"/>
    <x v="9"/>
    <n v="20"/>
    <n v="5"/>
    <s v="2011"/>
    <n v="1"/>
    <x v="0"/>
    <n v="15"/>
    <n v="3"/>
  </r>
  <r>
    <s v="2256"/>
    <x v="2261"/>
    <n v="94900000"/>
    <x v="4"/>
    <n v="178.21019999999999"/>
    <x v="2"/>
    <n v="715"/>
    <n v="386"/>
    <s v="1994"/>
    <n v="2"/>
    <x v="0"/>
    <n v="329"/>
    <n v="0.85233160621761661"/>
  </r>
  <r>
    <s v="2257"/>
    <x v="2262"/>
    <n v="63900000"/>
    <x v="23"/>
    <n v="178.19239999999999"/>
    <x v="25"/>
    <n v="406"/>
    <n v="162"/>
    <s v="2000"/>
    <n v="2"/>
    <x v="0"/>
    <n v="244"/>
    <n v="1.5061728395061729"/>
  </r>
  <r>
    <s v="2258"/>
    <x v="2263"/>
    <n v="15800000"/>
    <x v="11"/>
    <n v="178.18700000000001"/>
    <x v="16"/>
    <n v="100"/>
    <n v="15"/>
    <s v="2012"/>
    <n v="3"/>
    <x v="0"/>
    <n v="85"/>
    <n v="5.666666666666667"/>
  </r>
  <r>
    <s v="2259"/>
    <x v="2264"/>
    <n v="41100000"/>
    <x v="9"/>
    <n v="178.17179999999999"/>
    <x v="5"/>
    <n v="956"/>
    <n v="145"/>
    <s v="2008"/>
    <n v="7"/>
    <x v="0"/>
    <n v="811"/>
    <n v="5.5931034482758619"/>
  </r>
  <r>
    <s v="2260"/>
    <x v="2265"/>
    <n v="15200000"/>
    <x v="9"/>
    <n v="178.07320000000001"/>
    <x v="15"/>
    <n v="80"/>
    <n v="50"/>
    <s v="2005"/>
    <n v="3"/>
    <x v="0"/>
    <n v="30"/>
    <n v="0.6"/>
  </r>
  <r>
    <s v="2261"/>
    <x v="2266"/>
    <n v="8000000"/>
    <x v="24"/>
    <n v="178.0471"/>
    <x v="15"/>
    <n v="50"/>
    <n v="24"/>
    <s v="1979"/>
    <n v="3"/>
    <x v="0"/>
    <n v="26"/>
    <n v="1.0833333333333333"/>
  </r>
  <r>
    <s v="2262"/>
    <x v="2267"/>
    <n v="4500000"/>
    <x v="13"/>
    <n v="177.833"/>
    <x v="17"/>
    <n v="30"/>
    <n v="22"/>
    <s v="2010"/>
    <n v="3"/>
    <x v="0"/>
    <n v="8"/>
    <n v="0.36363636363636365"/>
  </r>
  <r>
    <s v="2263"/>
    <x v="2268"/>
    <n v="2800000"/>
    <x v="2"/>
    <n v="177.46379999999999"/>
    <x v="12"/>
    <n v="14"/>
    <n v="7"/>
    <s v="2013"/>
    <n v="1"/>
    <x v="0"/>
    <n v="7"/>
    <n v="1"/>
  </r>
  <r>
    <s v="2264"/>
    <x v="2269"/>
    <n v="8100000"/>
    <x v="25"/>
    <n v="177.3218"/>
    <x v="9"/>
    <n v="42"/>
    <n v="9"/>
    <s v="2013"/>
    <n v="2"/>
    <x v="0"/>
    <n v="33"/>
    <n v="3.6666666666666665"/>
  </r>
  <r>
    <s v="2265"/>
    <x v="2270"/>
    <n v="13800000"/>
    <x v="18"/>
    <n v="177.26070000000001"/>
    <x v="16"/>
    <n v="12"/>
    <n v="9"/>
    <s v="2010"/>
    <n v="4"/>
    <x v="0"/>
    <n v="3"/>
    <n v="0.33333333333333331"/>
  </r>
  <r>
    <s v="2266"/>
    <x v="2271"/>
    <n v="6700000"/>
    <x v="42"/>
    <n v="177.18440000000001"/>
    <x v="9"/>
    <n v="28"/>
    <n v="10"/>
    <s v="2012"/>
    <n v="4"/>
    <x v="0"/>
    <n v="18"/>
    <n v="1.8"/>
  </r>
  <r>
    <s v="2267"/>
    <x v="2272"/>
    <n v="22200000"/>
    <x v="24"/>
    <n v="177.14070000000001"/>
    <x v="23"/>
    <n v="104"/>
    <n v="28"/>
    <s v="2013"/>
    <n v="1"/>
    <x v="0"/>
    <n v="76"/>
    <n v="2.7142857142857144"/>
  </r>
  <r>
    <s v="2268"/>
    <x v="2273"/>
    <n v="5700000"/>
    <x v="16"/>
    <n v="177.01179999999999"/>
    <x v="13"/>
    <n v="38"/>
    <n v="8"/>
    <s v="2014"/>
    <n v="1"/>
    <x v="0"/>
    <n v="30"/>
    <n v="3.75"/>
  </r>
  <r>
    <s v="2269"/>
    <x v="2274"/>
    <n v="29800000"/>
    <x v="5"/>
    <n v="176.97989999999999"/>
    <x v="4"/>
    <n v="80"/>
    <n v="30"/>
    <s v="2010"/>
    <n v="4"/>
    <x v="0"/>
    <n v="50"/>
    <n v="1.6666666666666667"/>
  </r>
  <r>
    <s v="2270"/>
    <x v="2275"/>
    <n v="144900000"/>
    <x v="5"/>
    <n v="176.62139999999999"/>
    <x v="9"/>
    <n v="701"/>
    <n v="428"/>
    <s v="2010"/>
    <n v="5"/>
    <x v="0"/>
    <n v="273"/>
    <n v="0.63785046728971961"/>
  </r>
  <r>
    <s v="2271"/>
    <x v="2276"/>
    <n v="2500000"/>
    <x v="45"/>
    <n v="176.54650000000001"/>
    <x v="5"/>
    <n v="15"/>
    <n v="10"/>
    <s v="2009"/>
    <n v="1"/>
    <x v="0"/>
    <n v="5"/>
    <n v="0.5"/>
  </r>
  <r>
    <s v="2272"/>
    <x v="2277"/>
    <n v="2100000"/>
    <x v="10"/>
    <n v="176.3836"/>
    <x v="23"/>
    <n v="3"/>
    <n v="1"/>
    <s v="2012"/>
    <n v="1"/>
    <x v="0"/>
    <n v="2"/>
    <n v="2"/>
  </r>
  <r>
    <s v="2273"/>
    <x v="2278"/>
    <n v="4600000"/>
    <x v="7"/>
    <n v="176.31450000000001"/>
    <x v="5"/>
    <n v="25"/>
    <n v="8"/>
    <s v="2010"/>
    <n v="3"/>
    <x v="0"/>
    <n v="17"/>
    <n v="2.125"/>
  </r>
  <r>
    <s v="2274"/>
    <x v="2279"/>
    <n v="13200000"/>
    <x v="9"/>
    <n v="176.303"/>
    <x v="17"/>
    <n v="43"/>
    <n v="16"/>
    <s v="2009"/>
    <n v="2"/>
    <x v="0"/>
    <n v="27"/>
    <n v="1.6875"/>
  </r>
  <r>
    <s v="2275"/>
    <x v="2280"/>
    <n v="45300000"/>
    <x v="2"/>
    <n v="176.26759999999999"/>
    <x v="7"/>
    <n v="230"/>
    <n v="75"/>
    <s v="2007"/>
    <n v="7"/>
    <x v="0"/>
    <n v="155"/>
    <n v="2.0666666666666669"/>
  </r>
  <r>
    <s v="2276"/>
    <x v="2281"/>
    <n v="76900000"/>
    <x v="6"/>
    <n v="176.22919999999999"/>
    <x v="1"/>
    <n v="740"/>
    <n v="392"/>
    <s v="1999"/>
    <n v="6"/>
    <x v="0"/>
    <n v="348"/>
    <n v="0.88775510204081631"/>
  </r>
  <r>
    <s v="2277"/>
    <x v="2282"/>
    <n v="3900000"/>
    <x v="9"/>
    <n v="176.19720000000001"/>
    <x v="9"/>
    <n v="14"/>
    <n v="10"/>
    <s v="2011"/>
    <n v="2"/>
    <x v="0"/>
    <n v="4"/>
    <n v="0.4"/>
  </r>
  <r>
    <s v="2278"/>
    <x v="2283"/>
    <n v="11000000"/>
    <x v="8"/>
    <n v="176.19300000000001"/>
    <x v="13"/>
    <n v="49"/>
    <n v="22"/>
    <s v="1995"/>
    <n v="1"/>
    <x v="0"/>
    <n v="27"/>
    <n v="1.2272727272727273"/>
  </r>
  <r>
    <s v="2279"/>
    <x v="2284"/>
    <n v="4200000"/>
    <x v="12"/>
    <n v="176.17230000000001"/>
    <x v="4"/>
    <n v="10"/>
    <n v="3"/>
    <s v="2005"/>
    <n v="2"/>
    <x v="0"/>
    <n v="7"/>
    <n v="2.3333333333333335"/>
  </r>
  <r>
    <s v="2280"/>
    <x v="2285"/>
    <n v="5200000"/>
    <x v="12"/>
    <n v="176.09800000000001"/>
    <x v="9"/>
    <n v="65"/>
    <n v="26"/>
    <s v="2009"/>
    <n v="3"/>
    <x v="0"/>
    <n v="39"/>
    <n v="1.5"/>
  </r>
  <r>
    <s v="2281"/>
    <x v="2286"/>
    <n v="4400000"/>
    <x v="7"/>
    <n v="176.08760000000001"/>
    <x v="7"/>
    <n v="11"/>
    <n v="6"/>
    <s v="2009"/>
    <n v="3"/>
    <x v="0"/>
    <n v="5"/>
    <n v="0.83333333333333337"/>
  </r>
  <r>
    <s v="2282"/>
    <x v="2287"/>
    <n v="13200000"/>
    <x v="5"/>
    <n v="175.9615"/>
    <x v="17"/>
    <n v="36"/>
    <n v="13"/>
    <s v="2013"/>
    <n v="3"/>
    <x v="0"/>
    <n v="23"/>
    <n v="1.7692307692307692"/>
  </r>
  <r>
    <s v="2283"/>
    <x v="2288"/>
    <n v="7300000"/>
    <x v="9"/>
    <n v="175.953"/>
    <x v="0"/>
    <n v="11"/>
    <n v="5"/>
    <s v="2008"/>
    <n v="1"/>
    <x v="0"/>
    <n v="6"/>
    <n v="1.2"/>
  </r>
  <r>
    <s v="2284"/>
    <x v="2289"/>
    <n v="12800000"/>
    <x v="18"/>
    <n v="175.9485"/>
    <x v="15"/>
    <n v="90"/>
    <n v="40"/>
    <s v="2013"/>
    <n v="2"/>
    <x v="0"/>
    <n v="50"/>
    <n v="1.25"/>
  </r>
  <r>
    <s v="2285"/>
    <x v="2290"/>
    <n v="5100000"/>
    <x v="6"/>
    <n v="175.9365"/>
    <x v="5"/>
    <n v="17"/>
    <n v="5"/>
    <s v="1999"/>
    <n v="1"/>
    <x v="0"/>
    <n v="12"/>
    <n v="2.4"/>
  </r>
  <r>
    <s v="2286"/>
    <x v="2291"/>
    <n v="4000000"/>
    <x v="18"/>
    <n v="175.80690000000001"/>
    <x v="19"/>
    <n v="10"/>
    <n v="8"/>
    <s v="2007"/>
    <n v="2"/>
    <x v="0"/>
    <n v="2"/>
    <n v="0.25"/>
  </r>
  <r>
    <s v="2287"/>
    <x v="2292"/>
    <n v="56100000"/>
    <x v="41"/>
    <n v="175.75470000000001"/>
    <x v="5"/>
    <n v="660"/>
    <n v="260"/>
    <s v="2007"/>
    <n v="8"/>
    <x v="0"/>
    <n v="400"/>
    <n v="1.5384615384615385"/>
  </r>
  <r>
    <s v="2288"/>
    <x v="2293"/>
    <n v="4600000"/>
    <x v="10"/>
    <n v="175.6917"/>
    <x v="25"/>
    <n v="23"/>
    <n v="9"/>
    <s v="2012"/>
    <n v="1"/>
    <x v="0"/>
    <n v="14"/>
    <n v="1.5555555555555556"/>
  </r>
  <r>
    <s v="2289"/>
    <x v="2294"/>
    <n v="14100000"/>
    <x v="13"/>
    <n v="175.65100000000001"/>
    <x v="5"/>
    <n v="171"/>
    <n v="69"/>
    <s v="2008"/>
    <n v="3"/>
    <x v="0"/>
    <n v="102"/>
    <n v="1.4782608695652173"/>
  </r>
  <r>
    <s v="2290"/>
    <x v="2295"/>
    <n v="28800000"/>
    <x v="0"/>
    <n v="175.589"/>
    <x v="6"/>
    <n v="130"/>
    <n v="60"/>
    <s v="2001"/>
    <n v="6"/>
    <x v="0"/>
    <n v="70"/>
    <n v="1.1666666666666667"/>
  </r>
  <r>
    <s v="2291"/>
    <x v="2296"/>
    <n v="14800000"/>
    <x v="16"/>
    <n v="175.5882"/>
    <x v="2"/>
    <n v="315"/>
    <n v="98"/>
    <s v="2012"/>
    <n v="2"/>
    <x v="0"/>
    <n v="217"/>
    <n v="2.2142857142857144"/>
  </r>
  <r>
    <s v="2292"/>
    <x v="2297"/>
    <n v="13500000"/>
    <x v="5"/>
    <n v="175.33619999999999"/>
    <x v="22"/>
    <n v="35"/>
    <n v="36"/>
    <s v="2003"/>
    <n v="7"/>
    <x v="1"/>
    <n v="-1"/>
    <n v="-2.7777777777777776E-2"/>
  </r>
  <r>
    <s v="2293"/>
    <x v="2298"/>
    <n v="40300000"/>
    <x v="9"/>
    <n v="175.15860000000001"/>
    <x v="1"/>
    <n v="350"/>
    <n v="100"/>
    <s v="2011"/>
    <n v="1"/>
    <x v="0"/>
    <n v="250"/>
    <n v="2.5"/>
  </r>
  <r>
    <s v="2294"/>
    <x v="2299"/>
    <n v="13700000"/>
    <x v="40"/>
    <n v="175.15299999999999"/>
    <x v="2"/>
    <n v="35"/>
    <n v="30"/>
    <s v="1985"/>
    <n v="8"/>
    <x v="0"/>
    <n v="5"/>
    <n v="0.16666666666666666"/>
  </r>
  <r>
    <s v="2295"/>
    <x v="2300"/>
    <n v="3000000"/>
    <x v="0"/>
    <n v="175.14519999999999"/>
    <x v="19"/>
    <n v="15"/>
    <n v="8"/>
    <s v="2004"/>
    <n v="2"/>
    <x v="0"/>
    <n v="7"/>
    <n v="0.875"/>
  </r>
  <r>
    <s v="2296"/>
    <x v="2301"/>
    <n v="29700000"/>
    <x v="9"/>
    <n v="175.13460000000001"/>
    <x v="23"/>
    <n v="31"/>
    <n v="13"/>
    <s v="1995"/>
    <n v="5"/>
    <x v="0"/>
    <n v="18"/>
    <n v="1.3846153846153846"/>
  </r>
  <r>
    <s v="2297"/>
    <x v="2302"/>
    <n v="12700000"/>
    <x v="23"/>
    <n v="174.9417"/>
    <x v="11"/>
    <n v="85"/>
    <n v="45"/>
    <s v="2008"/>
    <n v="2"/>
    <x v="0"/>
    <n v="40"/>
    <n v="0.88888888888888884"/>
  </r>
  <r>
    <s v="2298"/>
    <x v="2303"/>
    <n v="7000000"/>
    <x v="1"/>
    <n v="174.93180000000001"/>
    <x v="15"/>
    <n v="55"/>
    <n v="22"/>
    <s v="2007"/>
    <n v="3"/>
    <x v="0"/>
    <n v="33"/>
    <n v="1.5"/>
  </r>
  <r>
    <s v="2299"/>
    <x v="2304"/>
    <n v="6200000"/>
    <x v="5"/>
    <n v="174.89830000000001"/>
    <x v="13"/>
    <n v="23"/>
    <n v="5"/>
    <s v="2014"/>
    <n v="2"/>
    <x v="0"/>
    <n v="18"/>
    <n v="3.6"/>
  </r>
  <r>
    <s v="2300"/>
    <x v="2305"/>
    <n v="21700000"/>
    <x v="13"/>
    <n v="174.85560000000001"/>
    <x v="0"/>
    <n v="83"/>
    <n v="25"/>
    <s v="1999"/>
    <n v="8"/>
    <x v="0"/>
    <n v="58"/>
    <n v="2.3199999999999998"/>
  </r>
  <r>
    <s v="2301"/>
    <x v="2306"/>
    <n v="112600000"/>
    <x v="16"/>
    <n v="174.73159999999999"/>
    <x v="5"/>
    <n v="734"/>
    <n v="411"/>
    <s v="2008"/>
    <n v="7"/>
    <x v="0"/>
    <n v="323"/>
    <n v="0.78588807785888082"/>
  </r>
  <r>
    <s v="2302"/>
    <x v="2307"/>
    <n v="13700000"/>
    <x v="4"/>
    <n v="174.70779999999999"/>
    <x v="15"/>
    <n v="25"/>
    <n v="4"/>
    <s v="2010"/>
    <n v="4"/>
    <x v="0"/>
    <n v="21"/>
    <n v="5.25"/>
  </r>
  <r>
    <s v="2303"/>
    <x v="2308"/>
    <n v="35200000"/>
    <x v="9"/>
    <n v="174.69130000000001"/>
    <x v="5"/>
    <n v="70"/>
    <n v="30"/>
    <s v="2012"/>
    <n v="3"/>
    <x v="0"/>
    <n v="40"/>
    <n v="1.3333333333333333"/>
  </r>
  <r>
    <s v="2304"/>
    <x v="2309"/>
    <n v="32900000"/>
    <x v="10"/>
    <n v="174.60890000000001"/>
    <x v="2"/>
    <n v="26"/>
    <n v="9"/>
    <s v="2003"/>
    <n v="3"/>
    <x v="0"/>
    <n v="17"/>
    <n v="1.8888888888888888"/>
  </r>
  <r>
    <s v="2305"/>
    <x v="2310"/>
    <n v="3900000"/>
    <x v="13"/>
    <n v="174.57749999999999"/>
    <x v="9"/>
    <n v="40"/>
    <n v="27"/>
    <s v="2010"/>
    <n v="3"/>
    <x v="0"/>
    <n v="13"/>
    <n v="0.48148148148148145"/>
  </r>
  <r>
    <s v="2306"/>
    <x v="2311"/>
    <n v="6300000"/>
    <x v="12"/>
    <n v="174.43770000000001"/>
    <x v="13"/>
    <n v="18"/>
    <n v="8"/>
    <s v="2011"/>
    <n v="4"/>
    <x v="0"/>
    <n v="10"/>
    <n v="1.25"/>
  </r>
  <r>
    <s v="2307"/>
    <x v="2312"/>
    <n v="3900000"/>
    <x v="5"/>
    <n v="174.32929999999999"/>
    <x v="23"/>
    <n v="10"/>
    <n v="8"/>
    <s v="2009"/>
    <n v="3"/>
    <x v="0"/>
    <n v="2"/>
    <n v="0.25"/>
  </r>
  <r>
    <s v="2308"/>
    <x v="2313"/>
    <n v="11200000"/>
    <x v="2"/>
    <n v="174.1951"/>
    <x v="20"/>
    <n v="200"/>
    <n v="40"/>
    <s v="2009"/>
    <n v="1"/>
    <x v="0"/>
    <n v="160"/>
    <n v="4"/>
  </r>
  <r>
    <s v="2309"/>
    <x v="2314"/>
    <n v="157600000"/>
    <x v="2"/>
    <n v="174.1609"/>
    <x v="0"/>
    <n v="80"/>
    <n v="40"/>
    <s v="1998"/>
    <n v="1"/>
    <x v="0"/>
    <n v="40"/>
    <n v="1"/>
  </r>
  <r>
    <s v="2310"/>
    <x v="2315"/>
    <n v="4000000"/>
    <x v="2"/>
    <n v="174.07149999999999"/>
    <x v="17"/>
    <n v="40"/>
    <n v="19"/>
    <s v="2011"/>
    <n v="2"/>
    <x v="0"/>
    <n v="21"/>
    <n v="1.1052631578947369"/>
  </r>
  <r>
    <s v="2310"/>
    <x v="2316"/>
    <n v="14900000"/>
    <x v="2"/>
    <n v="174.0686"/>
    <x v="0"/>
    <n v="30"/>
    <n v="18"/>
    <s v="1995"/>
    <n v="2"/>
    <x v="0"/>
    <n v="12"/>
    <n v="0.66666666666666663"/>
  </r>
  <r>
    <s v="2311"/>
    <x v="2317"/>
    <n v="3400000"/>
    <x v="9"/>
    <n v="174.06120000000001"/>
    <x v="12"/>
    <n v="5"/>
    <n v="1"/>
    <s v="2012"/>
    <n v="2"/>
    <x v="0"/>
    <n v="4"/>
    <n v="4"/>
  </r>
  <r>
    <s v="2312"/>
    <x v="2318"/>
    <n v="10100000"/>
    <x v="29"/>
    <n v="174.0478"/>
    <x v="3"/>
    <n v="70"/>
    <n v="50"/>
    <s v="2002"/>
    <n v="2"/>
    <x v="0"/>
    <n v="20"/>
    <n v="0.4"/>
  </r>
  <r>
    <s v="2313"/>
    <x v="2319"/>
    <n v="13500000"/>
    <x v="29"/>
    <n v="173.9427"/>
    <x v="20"/>
    <n v="1353"/>
    <n v="750"/>
    <s v="2007"/>
    <n v="1"/>
    <x v="0"/>
    <n v="603"/>
    <n v="0.80400000000000005"/>
  </r>
  <r>
    <s v="2314"/>
    <x v="2320"/>
    <n v="5900000"/>
    <x v="13"/>
    <n v="173.92769999999999"/>
    <x v="19"/>
    <n v="47"/>
    <n v="19"/>
    <s v="1995"/>
    <n v="3"/>
    <x v="0"/>
    <n v="28"/>
    <n v="1.4736842105263157"/>
  </r>
  <r>
    <s v="2315"/>
    <x v="2321"/>
    <n v="14200000"/>
    <x v="8"/>
    <n v="173.89400000000001"/>
    <x v="13"/>
    <n v="45"/>
    <n v="20"/>
    <s v="2003"/>
    <n v="1"/>
    <x v="0"/>
    <n v="25"/>
    <n v="1.25"/>
  </r>
  <r>
    <s v="2316"/>
    <x v="2322"/>
    <n v="3900000"/>
    <x v="5"/>
    <n v="173.874"/>
    <x v="12"/>
    <n v="31"/>
    <n v="5"/>
    <s v="2005"/>
    <n v="3"/>
    <x v="0"/>
    <n v="26"/>
    <n v="5.2"/>
  </r>
  <r>
    <s v="2317"/>
    <x v="2323"/>
    <n v="31200000"/>
    <x v="2"/>
    <n v="173.6652"/>
    <x v="23"/>
    <n v="40"/>
    <n v="16"/>
    <s v="2009"/>
    <n v="2"/>
    <x v="0"/>
    <n v="24"/>
    <n v="1.5"/>
  </r>
  <r>
    <s v="2318"/>
    <x v="2324"/>
    <n v="31600000"/>
    <x v="13"/>
    <n v="173.6276"/>
    <x v="9"/>
    <n v="160"/>
    <n v="48"/>
    <s v="2001"/>
    <n v="1"/>
    <x v="0"/>
    <n v="112"/>
    <n v="2.3333333333333335"/>
  </r>
  <r>
    <s v="2319"/>
    <x v="2325"/>
    <n v="132400000"/>
    <x v="21"/>
    <n v="173.59469999999999"/>
    <x v="15"/>
    <n v="351"/>
    <n v="76"/>
    <s v="2006"/>
    <n v="3"/>
    <x v="0"/>
    <n v="275"/>
    <n v="3.6184210526315788"/>
  </r>
  <r>
    <s v="2320"/>
    <x v="2326"/>
    <n v="2700000"/>
    <x v="32"/>
    <n v="173.57650000000001"/>
    <x v="15"/>
    <n v="16"/>
    <n v="7"/>
    <s v="2008"/>
    <n v="1"/>
    <x v="0"/>
    <n v="9"/>
    <n v="1.2857142857142858"/>
  </r>
  <r>
    <s v="2321"/>
    <x v="2327"/>
    <n v="57000000"/>
    <x v="8"/>
    <n v="173.55779999999999"/>
    <x v="25"/>
    <n v="164"/>
    <n v="117"/>
    <s v="1996"/>
    <n v="2"/>
    <x v="0"/>
    <n v="47"/>
    <n v="0.40170940170940173"/>
  </r>
  <r>
    <s v="2322"/>
    <x v="2328"/>
    <n v="7400000"/>
    <x v="38"/>
    <n v="173.45959999999999"/>
    <x v="9"/>
    <n v="143"/>
    <n v="37"/>
    <s v="2007"/>
    <n v="1"/>
    <x v="0"/>
    <n v="106"/>
    <n v="2.8648648648648649"/>
  </r>
  <r>
    <s v="2323"/>
    <x v="2329"/>
    <n v="6700000"/>
    <x v="13"/>
    <n v="173.35069999999999"/>
    <x v="22"/>
    <n v="15"/>
    <n v="8"/>
    <s v="2000"/>
    <n v="3"/>
    <x v="0"/>
    <n v="7"/>
    <n v="0.875"/>
  </r>
  <r>
    <s v="2324"/>
    <x v="2330"/>
    <n v="35600000"/>
    <x v="32"/>
    <n v="173.2945"/>
    <x v="9"/>
    <n v="104"/>
    <n v="39"/>
    <s v="2004"/>
    <n v="3"/>
    <x v="0"/>
    <n v="65"/>
    <n v="1.6666666666666667"/>
  </r>
  <r>
    <s v="2325"/>
    <x v="2331"/>
    <n v="213900000"/>
    <x v="5"/>
    <n v="173.29409999999999"/>
    <x v="5"/>
    <n v="148"/>
    <n v="95"/>
    <s v="2003"/>
    <n v="11"/>
    <x v="0"/>
    <n v="53"/>
    <n v="0.55789473684210522"/>
  </r>
  <r>
    <s v="2326"/>
    <x v="2332"/>
    <n v="13800000"/>
    <x v="18"/>
    <n v="172.9187"/>
    <x v="2"/>
    <n v="9"/>
    <n v="4"/>
    <s v="2011"/>
    <n v="1"/>
    <x v="0"/>
    <n v="5"/>
    <n v="1.25"/>
  </r>
  <r>
    <s v="2327"/>
    <x v="2333"/>
    <n v="5300000"/>
    <x v="2"/>
    <n v="172.8228"/>
    <x v="23"/>
    <n v="20"/>
    <n v="10"/>
    <s v="2011"/>
    <n v="4"/>
    <x v="0"/>
    <n v="10"/>
    <n v="1"/>
  </r>
  <r>
    <s v="2328"/>
    <x v="2334"/>
    <n v="4900000"/>
    <x v="5"/>
    <n v="172.7723"/>
    <x v="5"/>
    <n v="8"/>
    <n v="4"/>
    <s v="2000"/>
    <n v="1"/>
    <x v="0"/>
    <n v="4"/>
    <n v="1"/>
  </r>
  <r>
    <s v="2329"/>
    <x v="2335"/>
    <n v="42400000"/>
    <x v="8"/>
    <n v="172.7303"/>
    <x v="2"/>
    <n v="727"/>
    <n v="524"/>
    <s v="2002"/>
    <n v="1"/>
    <x v="0"/>
    <n v="203"/>
    <n v="0.38740458015267176"/>
  </r>
  <r>
    <s v="2330"/>
    <x v="2336"/>
    <n v="5700000"/>
    <x v="37"/>
    <n v="172.6808"/>
    <x v="19"/>
    <n v="20"/>
    <n v="7"/>
    <s v="2014"/>
    <n v="2"/>
    <x v="0"/>
    <n v="13"/>
    <n v="1.8571428571428572"/>
  </r>
  <r>
    <s v="2331"/>
    <x v="2337"/>
    <n v="27400000"/>
    <x v="20"/>
    <n v="172.59620000000001"/>
    <x v="5"/>
    <n v="166"/>
    <n v="83"/>
    <s v="2011"/>
    <n v="3"/>
    <x v="0"/>
    <n v="83"/>
    <n v="1"/>
  </r>
  <r>
    <s v="2332"/>
    <x v="2338"/>
    <n v="127300000"/>
    <x v="9"/>
    <n v="172.58260000000001"/>
    <x v="19"/>
    <n v="225"/>
    <n v="119"/>
    <s v="2000"/>
    <n v="12"/>
    <x v="0"/>
    <n v="106"/>
    <n v="0.89075630252100846"/>
  </r>
  <r>
    <s v="2333"/>
    <x v="2339"/>
    <n v="12000000"/>
    <x v="9"/>
    <n v="172.34819999999999"/>
    <x v="2"/>
    <n v="35"/>
    <n v="19"/>
    <s v="2012"/>
    <n v="2"/>
    <x v="0"/>
    <n v="16"/>
    <n v="0.84210526315789469"/>
  </r>
  <r>
    <s v="2334"/>
    <x v="2340"/>
    <n v="20500000"/>
    <x v="9"/>
    <n v="172.31530000000001"/>
    <x v="1"/>
    <n v="25"/>
    <n v="10"/>
    <s v="2011"/>
    <n v="5"/>
    <x v="0"/>
    <n v="15"/>
    <n v="1.5"/>
  </r>
  <r>
    <s v="2335"/>
    <x v="2341"/>
    <n v="3400000"/>
    <x v="2"/>
    <n v="172.13990000000001"/>
    <x v="0"/>
    <n v="24"/>
    <n v="4"/>
    <s v="2013"/>
    <n v="2"/>
    <x v="0"/>
    <n v="20"/>
    <n v="5"/>
  </r>
  <r>
    <s v="2336"/>
    <x v="2342"/>
    <n v="5400000"/>
    <x v="7"/>
    <n v="172.13069999999999"/>
    <x v="19"/>
    <n v="16"/>
    <n v="14"/>
    <s v="2008"/>
    <n v="1"/>
    <x v="0"/>
    <n v="2"/>
    <n v="0.14285714285714285"/>
  </r>
  <r>
    <s v="2337"/>
    <x v="2343"/>
    <n v="3300000"/>
    <x v="10"/>
    <n v="172.08070000000001"/>
    <x v="20"/>
    <n v="10"/>
    <n v="5"/>
    <s v="2011"/>
    <n v="3"/>
    <x v="0"/>
    <n v="5"/>
    <n v="1"/>
  </r>
  <r>
    <s v="2338"/>
    <x v="2344"/>
    <n v="15400000"/>
    <x v="37"/>
    <n v="171.785"/>
    <x v="18"/>
    <n v="50"/>
    <n v="33"/>
    <s v="2009"/>
    <n v="4"/>
    <x v="0"/>
    <n v="17"/>
    <n v="0.51515151515151514"/>
  </r>
  <r>
    <s v="2339"/>
    <x v="2345"/>
    <n v="16000000"/>
    <x v="12"/>
    <n v="171.74080000000001"/>
    <x v="6"/>
    <n v="63"/>
    <n v="26"/>
    <s v="2004"/>
    <n v="3"/>
    <x v="0"/>
    <n v="37"/>
    <n v="1.4230769230769231"/>
  </r>
  <r>
    <s v="2340"/>
    <x v="2346"/>
    <n v="9200000"/>
    <x v="10"/>
    <n v="171.63489999999999"/>
    <x v="23"/>
    <n v="58"/>
    <n v="14"/>
    <s v="1999"/>
    <n v="1"/>
    <x v="0"/>
    <n v="44"/>
    <n v="3.1428571428571428"/>
  </r>
  <r>
    <s v="2341"/>
    <x v="2347"/>
    <n v="20300000"/>
    <x v="10"/>
    <n v="171.4727"/>
    <x v="12"/>
    <n v="289"/>
    <n v="15"/>
    <s v="2006"/>
    <n v="1"/>
    <x v="0"/>
    <n v="274"/>
    <n v="18.266666666666666"/>
  </r>
  <r>
    <s v="2342"/>
    <x v="2348"/>
    <n v="16100000"/>
    <x v="5"/>
    <n v="171.41220000000001"/>
    <x v="7"/>
    <n v="30"/>
    <n v="16"/>
    <s v="2010"/>
    <n v="5"/>
    <x v="0"/>
    <n v="14"/>
    <n v="0.875"/>
  </r>
  <r>
    <s v="2343"/>
    <x v="2349"/>
    <n v="13900000"/>
    <x v="4"/>
    <n v="171.23869999999999"/>
    <x v="15"/>
    <n v="18"/>
    <n v="18"/>
    <s v="2010"/>
    <n v="1"/>
    <x v="1"/>
    <n v="0"/>
    <n v="0"/>
  </r>
  <r>
    <s v="2344"/>
    <x v="2350"/>
    <n v="2000000"/>
    <x v="20"/>
    <n v="170.82230000000001"/>
    <x v="0"/>
    <n v="21"/>
    <n v="9"/>
    <s v="2008"/>
    <n v="1"/>
    <x v="0"/>
    <n v="12"/>
    <n v="1.3333333333333333"/>
  </r>
  <r>
    <s v="2345"/>
    <x v="2351"/>
    <n v="24800000"/>
    <x v="18"/>
    <n v="170.81299999999999"/>
    <x v="15"/>
    <n v="110"/>
    <n v="52"/>
    <s v="2009"/>
    <n v="5"/>
    <x v="0"/>
    <n v="58"/>
    <n v="1.1153846153846154"/>
  </r>
  <r>
    <s v="2346"/>
    <x v="2352"/>
    <n v="17500000"/>
    <x v="5"/>
    <n v="170.73220000000001"/>
    <x v="0"/>
    <n v="120"/>
    <n v="15"/>
    <s v="2014"/>
    <n v="1"/>
    <x v="0"/>
    <n v="105"/>
    <n v="7"/>
  </r>
  <r>
    <s v="2347"/>
    <x v="2353"/>
    <n v="45700000"/>
    <x v="27"/>
    <n v="170.7114"/>
    <x v="16"/>
    <n v="250"/>
    <n v="120"/>
    <s v="2000"/>
    <n v="5"/>
    <x v="0"/>
    <n v="130"/>
    <n v="1.0833333333333333"/>
  </r>
  <r>
    <s v="2348"/>
    <x v="2354"/>
    <n v="2100000"/>
    <x v="5"/>
    <n v="170.51159999999999"/>
    <x v="7"/>
    <n v="25"/>
    <n v="3"/>
    <s v="2004"/>
    <n v="1"/>
    <x v="0"/>
    <n v="22"/>
    <n v="7.333333333333333"/>
  </r>
  <r>
    <s v="2349"/>
    <x v="2355"/>
    <n v="8900000"/>
    <x v="9"/>
    <n v="170.4854"/>
    <x v="15"/>
    <n v="63"/>
    <n v="19"/>
    <s v="2012"/>
    <n v="2"/>
    <x v="0"/>
    <n v="44"/>
    <n v="2.3157894736842106"/>
  </r>
  <r>
    <s v="2350"/>
    <x v="2356"/>
    <n v="13000000"/>
    <x v="2"/>
    <n v="170.4023"/>
    <x v="23"/>
    <n v="95"/>
    <n v="45"/>
    <s v="2009"/>
    <n v="3"/>
    <x v="0"/>
    <n v="50"/>
    <n v="1.1111111111111112"/>
  </r>
  <r>
    <s v="2351"/>
    <x v="2357"/>
    <n v="10400000"/>
    <x v="31"/>
    <n v="170.39400000000001"/>
    <x v="19"/>
    <n v="13"/>
    <n v="7"/>
    <s v="2008"/>
    <n v="4"/>
    <x v="0"/>
    <n v="6"/>
    <n v="0.8571428571428571"/>
  </r>
  <r>
    <s v="2352"/>
    <x v="2358"/>
    <n v="4200000"/>
    <x v="27"/>
    <n v="170.37950000000001"/>
    <x v="9"/>
    <n v="16"/>
    <n v="4"/>
    <s v="2012"/>
    <n v="2"/>
    <x v="0"/>
    <n v="12"/>
    <n v="3"/>
  </r>
  <r>
    <s v="2353"/>
    <x v="2359"/>
    <n v="2000000"/>
    <x v="33"/>
    <n v="170.32650000000001"/>
    <x v="23"/>
    <n v="5"/>
    <n v="3"/>
    <s v="2011"/>
    <n v="1"/>
    <x v="0"/>
    <n v="2"/>
    <n v="0.66666666666666663"/>
  </r>
  <r>
    <s v="2354"/>
    <x v="2360"/>
    <n v="9500000"/>
    <x v="14"/>
    <n v="170.1207"/>
    <x v="3"/>
    <n v="41"/>
    <n v="10"/>
    <s v="2012"/>
    <n v="2"/>
    <x v="0"/>
    <n v="31"/>
    <n v="3.1"/>
  </r>
  <r>
    <s v="2355"/>
    <x v="2361"/>
    <n v="5300000"/>
    <x v="6"/>
    <n v="169.76150000000001"/>
    <x v="24"/>
    <n v="30"/>
    <n v="20"/>
    <s v="1991"/>
    <n v="5"/>
    <x v="0"/>
    <n v="10"/>
    <n v="0.5"/>
  </r>
  <r>
    <s v="2356"/>
    <x v="2362"/>
    <n v="11000000"/>
    <x v="27"/>
    <n v="169.73689999999999"/>
    <x v="16"/>
    <n v="110"/>
    <n v="65"/>
    <s v="2010"/>
    <n v="1"/>
    <x v="0"/>
    <n v="45"/>
    <n v="0.69230769230769229"/>
  </r>
  <r>
    <s v="2357"/>
    <x v="2363"/>
    <n v="2200000"/>
    <x v="27"/>
    <n v="169.5958"/>
    <x v="6"/>
    <n v="6"/>
    <n v="3"/>
    <s v="2010"/>
    <n v="2"/>
    <x v="0"/>
    <n v="3"/>
    <n v="1"/>
  </r>
  <r>
    <s v="2358"/>
    <x v="2364"/>
    <n v="4000000"/>
    <x v="6"/>
    <n v="169.5694"/>
    <x v="6"/>
    <n v="17"/>
    <n v="8"/>
    <s v="2010"/>
    <n v="2"/>
    <x v="0"/>
    <n v="9"/>
    <n v="1.125"/>
  </r>
  <r>
    <s v="2359"/>
    <x v="2365"/>
    <n v="3400000"/>
    <x v="9"/>
    <n v="169.46729999999999"/>
    <x v="20"/>
    <n v="9"/>
    <n v="2"/>
    <s v="2006"/>
    <n v="3"/>
    <x v="0"/>
    <n v="7"/>
    <n v="3.5"/>
  </r>
  <r>
    <s v="2360"/>
    <x v="2366"/>
    <n v="9300000"/>
    <x v="2"/>
    <n v="169.31829999999999"/>
    <x v="10"/>
    <n v="105"/>
    <n v="45"/>
    <s v="2011"/>
    <n v="2"/>
    <x v="0"/>
    <n v="60"/>
    <n v="1.3333333333333333"/>
  </r>
  <r>
    <s v="2361"/>
    <x v="2367"/>
    <n v="157700000"/>
    <x v="9"/>
    <n v="169.292"/>
    <x v="10"/>
    <n v="39"/>
    <n v="29"/>
    <s v="2002"/>
    <n v="8"/>
    <x v="0"/>
    <n v="10"/>
    <n v="0.34482758620689657"/>
  </r>
  <r>
    <s v="2362"/>
    <x v="2368"/>
    <n v="17600000"/>
    <x v="24"/>
    <n v="169.19820000000001"/>
    <x v="5"/>
    <n v="240"/>
    <n v="60"/>
    <s v="2005"/>
    <n v="1"/>
    <x v="0"/>
    <n v="180"/>
    <n v="3"/>
  </r>
  <r>
    <s v="2363"/>
    <x v="2369"/>
    <n v="62100000"/>
    <x v="12"/>
    <n v="169.12100000000001"/>
    <x v="23"/>
    <n v="142"/>
    <n v="115"/>
    <s v="2009"/>
    <n v="3"/>
    <x v="0"/>
    <n v="27"/>
    <n v="0.23478260869565218"/>
  </r>
  <r>
    <s v="2364"/>
    <x v="2370"/>
    <n v="119800000"/>
    <x v="12"/>
    <n v="169.1087"/>
    <x v="20"/>
    <n v="637"/>
    <n v="249"/>
    <s v="2004"/>
    <n v="3"/>
    <x v="0"/>
    <n v="388"/>
    <n v="1.5582329317269077"/>
  </r>
  <r>
    <s v="2365"/>
    <x v="2371"/>
    <n v="8900000"/>
    <x v="0"/>
    <n v="169.04400000000001"/>
    <x v="23"/>
    <n v="59"/>
    <n v="26"/>
    <s v="2009"/>
    <n v="5"/>
    <x v="0"/>
    <n v="33"/>
    <n v="1.2692307692307692"/>
  </r>
  <r>
    <s v="2366"/>
    <x v="2372"/>
    <n v="34800000"/>
    <x v="10"/>
    <n v="168.95609999999999"/>
    <x v="5"/>
    <n v="90"/>
    <n v="38"/>
    <s v="2006"/>
    <n v="2"/>
    <x v="0"/>
    <n v="52"/>
    <n v="1.368421052631579"/>
  </r>
  <r>
    <s v="2367"/>
    <x v="2373"/>
    <n v="2100000"/>
    <x v="13"/>
    <n v="168.94810000000001"/>
    <x v="0"/>
    <n v="1"/>
    <n v="1"/>
    <s v="2013"/>
    <n v="1"/>
    <x v="1"/>
    <n v="0"/>
    <n v="0"/>
  </r>
  <r>
    <s v="2368"/>
    <x v="2374"/>
    <n v="9900000"/>
    <x v="7"/>
    <n v="168.92840000000001"/>
    <x v="11"/>
    <n v="42"/>
    <n v="22"/>
    <s v="1991"/>
    <n v="2"/>
    <x v="0"/>
    <n v="20"/>
    <n v="0.90909090909090906"/>
  </r>
  <r>
    <s v="2369"/>
    <x v="2375"/>
    <n v="313200000"/>
    <x v="13"/>
    <n v="168.92599999999999"/>
    <x v="22"/>
    <n v="1487"/>
    <n v="660"/>
    <s v="2000"/>
    <n v="13"/>
    <x v="0"/>
    <n v="827"/>
    <n v="1.2530303030303029"/>
  </r>
  <r>
    <s v="2370"/>
    <x v="2376"/>
    <n v="9700000"/>
    <x v="2"/>
    <n v="168.91800000000001"/>
    <x v="15"/>
    <n v="58"/>
    <n v="22"/>
    <s v="2008"/>
    <n v="4"/>
    <x v="0"/>
    <n v="36"/>
    <n v="1.6363636363636365"/>
  </r>
  <r>
    <s v="2371"/>
    <x v="2377"/>
    <n v="5900000"/>
    <x v="31"/>
    <n v="168.83109999999999"/>
    <x v="23"/>
    <n v="116"/>
    <n v="52"/>
    <s v="2014"/>
    <n v="2"/>
    <x v="0"/>
    <n v="64"/>
    <n v="1.2307692307692308"/>
  </r>
  <r>
    <s v="2372"/>
    <x v="2378"/>
    <n v="12700000"/>
    <x v="13"/>
    <n v="168.7715"/>
    <x v="23"/>
    <n v="40"/>
    <n v="14"/>
    <s v="2012"/>
    <n v="3"/>
    <x v="0"/>
    <n v="26"/>
    <n v="1.8571428571428572"/>
  </r>
  <r>
    <s v="2373"/>
    <x v="2379"/>
    <n v="6200000"/>
    <x v="9"/>
    <n v="168.68780000000001"/>
    <x v="0"/>
    <n v="24"/>
    <n v="6"/>
    <s v="2013"/>
    <n v="2"/>
    <x v="0"/>
    <n v="18"/>
    <n v="3"/>
  </r>
  <r>
    <s v="2374"/>
    <x v="2380"/>
    <n v="17800000"/>
    <x v="40"/>
    <n v="168.6703"/>
    <x v="23"/>
    <n v="100"/>
    <n v="45"/>
    <s v="2012"/>
    <n v="3"/>
    <x v="0"/>
    <n v="55"/>
    <n v="1.2222222222222223"/>
  </r>
  <r>
    <s v="2375"/>
    <x v="2381"/>
    <n v="17200000"/>
    <x v="12"/>
    <n v="168.5778"/>
    <x v="23"/>
    <n v="66"/>
    <n v="25"/>
    <s v="2014"/>
    <n v="1"/>
    <x v="0"/>
    <n v="41"/>
    <n v="1.64"/>
  </r>
  <r>
    <s v="2376"/>
    <x v="2382"/>
    <n v="5500000"/>
    <x v="0"/>
    <n v="168.4434"/>
    <x v="17"/>
    <n v="10"/>
    <n v="4"/>
    <s v="2013"/>
    <n v="2"/>
    <x v="0"/>
    <n v="6"/>
    <n v="1.5"/>
  </r>
  <r>
    <s v="2377"/>
    <x v="2383"/>
    <n v="7200000"/>
    <x v="7"/>
    <n v="168.17240000000001"/>
    <x v="11"/>
    <n v="46"/>
    <n v="21"/>
    <s v="2010"/>
    <n v="3"/>
    <x v="0"/>
    <n v="25"/>
    <n v="1.1904761904761905"/>
  </r>
  <r>
    <s v="2378"/>
    <x v="2384"/>
    <n v="11900000"/>
    <x v="13"/>
    <n v="168.09639999999999"/>
    <x v="3"/>
    <n v="35"/>
    <n v="6"/>
    <s v="2015"/>
    <n v="1"/>
    <x v="0"/>
    <n v="29"/>
    <n v="4.833333333333333"/>
  </r>
  <r>
    <s v="2379"/>
    <x v="2385"/>
    <n v="5700000"/>
    <x v="41"/>
    <n v="168.04560000000001"/>
    <x v="0"/>
    <n v="47"/>
    <n v="14"/>
    <s v="2011"/>
    <n v="4"/>
    <x v="0"/>
    <n v="33"/>
    <n v="2.3571428571428572"/>
  </r>
  <r>
    <s v="2380"/>
    <x v="2386"/>
    <n v="5200000"/>
    <x v="5"/>
    <n v="167.83090000000001"/>
    <x v="24"/>
    <n v="8"/>
    <n v="4"/>
    <s v="1981"/>
    <n v="3"/>
    <x v="0"/>
    <n v="4"/>
    <n v="1"/>
  </r>
  <r>
    <s v="2381"/>
    <x v="2387"/>
    <n v="23300000"/>
    <x v="32"/>
    <n v="167.7372"/>
    <x v="0"/>
    <n v="260"/>
    <n v="97"/>
    <s v="2009"/>
    <n v="5"/>
    <x v="0"/>
    <n v="163"/>
    <n v="1.6804123711340206"/>
  </r>
  <r>
    <s v="2382"/>
    <x v="2388"/>
    <n v="34100000"/>
    <x v="9"/>
    <n v="167.68629999999999"/>
    <x v="16"/>
    <n v="149"/>
    <n v="50"/>
    <s v="2012"/>
    <n v="1"/>
    <x v="0"/>
    <n v="99"/>
    <n v="1.98"/>
  </r>
  <r>
    <s v="2383"/>
    <x v="2389"/>
    <n v="34200000"/>
    <x v="21"/>
    <n v="167.67850000000001"/>
    <x v="7"/>
    <n v="225"/>
    <n v="40"/>
    <s v="2006"/>
    <n v="3"/>
    <x v="0"/>
    <n v="185"/>
    <n v="4.625"/>
  </r>
  <r>
    <s v="2384"/>
    <x v="2390"/>
    <n v="7800000"/>
    <x v="16"/>
    <n v="167.59280000000001"/>
    <x v="17"/>
    <n v="17"/>
    <n v="7"/>
    <s v="2010"/>
    <n v="3"/>
    <x v="0"/>
    <n v="10"/>
    <n v="1.4285714285714286"/>
  </r>
  <r>
    <s v="2385"/>
    <x v="2391"/>
    <n v="7800000"/>
    <x v="9"/>
    <n v="167.56229999999999"/>
    <x v="7"/>
    <n v="25"/>
    <n v="11"/>
    <s v="2006"/>
    <n v="1"/>
    <x v="0"/>
    <n v="14"/>
    <n v="1.2727272727272727"/>
  </r>
  <r>
    <s v="2386"/>
    <x v="2392"/>
    <n v="84300000"/>
    <x v="18"/>
    <n v="167.5266"/>
    <x v="12"/>
    <n v="25"/>
    <n v="10"/>
    <s v="2010"/>
    <n v="6"/>
    <x v="0"/>
    <n v="15"/>
    <n v="1.5"/>
  </r>
  <r>
    <s v="2387"/>
    <x v="2393"/>
    <n v="19200000"/>
    <x v="9"/>
    <n v="167.48419999999999"/>
    <x v="5"/>
    <n v="72"/>
    <n v="24"/>
    <s v="2002"/>
    <n v="2"/>
    <x v="0"/>
    <n v="48"/>
    <n v="2"/>
  </r>
  <r>
    <s v="2388"/>
    <x v="2394"/>
    <n v="8000000"/>
    <x v="5"/>
    <n v="167.06710000000001"/>
    <x v="19"/>
    <n v="29"/>
    <n v="5"/>
    <s v="2002"/>
    <n v="1"/>
    <x v="0"/>
    <n v="24"/>
    <n v="4.8"/>
  </r>
  <r>
    <s v="2389"/>
    <x v="2395"/>
    <n v="63100000"/>
    <x v="2"/>
    <n v="166.9676"/>
    <x v="5"/>
    <n v="265"/>
    <n v="65"/>
    <s v="2006"/>
    <n v="5"/>
    <x v="0"/>
    <n v="200"/>
    <n v="3.0769230769230771"/>
  </r>
  <r>
    <s v="2390"/>
    <x v="2396"/>
    <n v="2300000"/>
    <x v="37"/>
    <n v="166.93879999999999"/>
    <x v="7"/>
    <n v="20"/>
    <n v="8"/>
    <s v="1999"/>
    <n v="1"/>
    <x v="0"/>
    <n v="12"/>
    <n v="1.5"/>
  </r>
  <r>
    <s v="2391"/>
    <x v="2397"/>
    <n v="18000000"/>
    <x v="9"/>
    <n v="166.91679999999999"/>
    <x v="0"/>
    <n v="104"/>
    <n v="48"/>
    <s v="2012"/>
    <n v="3"/>
    <x v="0"/>
    <n v="56"/>
    <n v="1.1666666666666667"/>
  </r>
  <r>
    <s v="2392"/>
    <x v="2398"/>
    <n v="17000000"/>
    <x v="18"/>
    <n v="166.9119"/>
    <x v="23"/>
    <n v="57"/>
    <n v="35"/>
    <s v="2009"/>
    <n v="5"/>
    <x v="0"/>
    <n v="22"/>
    <n v="0.62857142857142856"/>
  </r>
  <r>
    <s v="2393"/>
    <x v="2399"/>
    <n v="63700000"/>
    <x v="2"/>
    <n v="166.91130000000001"/>
    <x v="14"/>
    <n v="115"/>
    <n v="73"/>
    <s v="2000"/>
    <n v="4"/>
    <x v="0"/>
    <n v="42"/>
    <n v="0.57534246575342463"/>
  </r>
  <r>
    <s v="2394"/>
    <x v="2400"/>
    <n v="15500000"/>
    <x v="13"/>
    <n v="166.815"/>
    <x v="1"/>
    <n v="17"/>
    <n v="7"/>
    <s v="2008"/>
    <n v="4"/>
    <x v="0"/>
    <n v="10"/>
    <n v="1.4285714285714286"/>
  </r>
  <r>
    <s v="2395"/>
    <x v="2401"/>
    <n v="2200000"/>
    <x v="9"/>
    <n v="166.78309999999999"/>
    <x v="24"/>
    <n v="48"/>
    <n v="25"/>
    <s v="2011"/>
    <n v="1"/>
    <x v="0"/>
    <n v="23"/>
    <n v="0.92"/>
  </r>
  <r>
    <s v="2396"/>
    <x v="2402"/>
    <n v="29600000"/>
    <x v="19"/>
    <n v="166.72900000000001"/>
    <x v="13"/>
    <n v="125"/>
    <n v="55"/>
    <s v="1917"/>
    <n v="5"/>
    <x v="0"/>
    <n v="70"/>
    <n v="1.2727272727272727"/>
  </r>
  <r>
    <s v="2397"/>
    <x v="2403"/>
    <n v="2200000"/>
    <x v="41"/>
    <n v="166.6508"/>
    <x v="5"/>
    <n v="11"/>
    <n v="8"/>
    <s v="2011"/>
    <n v="2"/>
    <x v="0"/>
    <n v="3"/>
    <n v="0.375"/>
  </r>
  <r>
    <s v="2398"/>
    <x v="2404"/>
    <n v="9300000"/>
    <x v="2"/>
    <n v="166.62289999999999"/>
    <x v="10"/>
    <n v="50"/>
    <n v="16"/>
    <s v="2008"/>
    <n v="2"/>
    <x v="0"/>
    <n v="34"/>
    <n v="2.125"/>
  </r>
  <r>
    <s v="2399"/>
    <x v="2405"/>
    <n v="2300000"/>
    <x v="27"/>
    <n v="166.61500000000001"/>
    <x v="3"/>
    <n v="7"/>
    <n v="3"/>
    <s v="2012"/>
    <n v="1"/>
    <x v="0"/>
    <n v="4"/>
    <n v="1.3333333333333333"/>
  </r>
  <r>
    <s v="2400"/>
    <x v="2406"/>
    <n v="7500000"/>
    <x v="27"/>
    <n v="166.5394"/>
    <x v="19"/>
    <n v="44"/>
    <n v="20"/>
    <s v="2013"/>
    <n v="2"/>
    <x v="0"/>
    <n v="24"/>
    <n v="1.2"/>
  </r>
  <r>
    <s v="2401"/>
    <x v="2407"/>
    <n v="4500000"/>
    <x v="7"/>
    <n v="166.51"/>
    <x v="0"/>
    <n v="30"/>
    <n v="5"/>
    <s v="2012"/>
    <n v="1"/>
    <x v="0"/>
    <n v="25"/>
    <n v="5"/>
  </r>
  <r>
    <s v="2402"/>
    <x v="2408"/>
    <n v="9500000"/>
    <x v="5"/>
    <n v="166.30090000000001"/>
    <x v="0"/>
    <n v="43"/>
    <n v="14"/>
    <s v="2007"/>
    <n v="2"/>
    <x v="0"/>
    <n v="29"/>
    <n v="2.0714285714285716"/>
  </r>
  <r>
    <s v="2403"/>
    <x v="2409"/>
    <n v="29400000"/>
    <x v="12"/>
    <n v="166.03739999999999"/>
    <x v="23"/>
    <n v="54"/>
    <n v="13"/>
    <s v="2004"/>
    <n v="1"/>
    <x v="0"/>
    <n v="41"/>
    <n v="3.1538461538461537"/>
  </r>
  <r>
    <s v="2404"/>
    <x v="2410"/>
    <n v="2900000"/>
    <x v="2"/>
    <n v="165.96209999999999"/>
    <x v="4"/>
    <n v="7"/>
    <n v="5"/>
    <s v="2001"/>
    <n v="2"/>
    <x v="0"/>
    <n v="2"/>
    <n v="0.4"/>
  </r>
  <r>
    <s v="2405"/>
    <x v="2411"/>
    <n v="6300000"/>
    <x v="9"/>
    <n v="165.65520000000001"/>
    <x v="15"/>
    <n v="10"/>
    <n v="8"/>
    <s v="2009"/>
    <n v="4"/>
    <x v="0"/>
    <n v="2"/>
    <n v="0.25"/>
  </r>
  <r>
    <s v="2406"/>
    <x v="2412"/>
    <n v="5900000"/>
    <x v="9"/>
    <n v="165.6491"/>
    <x v="22"/>
    <n v="63"/>
    <n v="45"/>
    <s v="2006"/>
    <n v="1"/>
    <x v="0"/>
    <n v="18"/>
    <n v="0.4"/>
  </r>
  <r>
    <s v="2407"/>
    <x v="2413"/>
    <n v="6400000"/>
    <x v="2"/>
    <n v="165.54470000000001"/>
    <x v="1"/>
    <n v="100"/>
    <n v="50"/>
    <s v="2012"/>
    <n v="2"/>
    <x v="0"/>
    <n v="50"/>
    <n v="1"/>
  </r>
  <r>
    <s v="2408"/>
    <x v="2414"/>
    <n v="5600000"/>
    <x v="32"/>
    <n v="165.41900000000001"/>
    <x v="9"/>
    <n v="49"/>
    <n v="17"/>
    <s v="2007"/>
    <n v="4"/>
    <x v="0"/>
    <n v="32"/>
    <n v="1.8823529411764706"/>
  </r>
  <r>
    <s v="2409"/>
    <x v="2415"/>
    <n v="61300000"/>
    <x v="12"/>
    <n v="165.2415"/>
    <x v="3"/>
    <n v="20"/>
    <n v="10"/>
    <s v="2010"/>
    <n v="3"/>
    <x v="0"/>
    <n v="10"/>
    <n v="1"/>
  </r>
  <r>
    <s v="2410"/>
    <x v="2416"/>
    <n v="5700000"/>
    <x v="2"/>
    <n v="165.22880000000001"/>
    <x v="0"/>
    <n v="38"/>
    <n v="18"/>
    <s v="2012"/>
    <n v="3"/>
    <x v="0"/>
    <n v="20"/>
    <n v="1.1111111111111112"/>
  </r>
  <r>
    <s v="2411"/>
    <x v="2417"/>
    <n v="6700000"/>
    <x v="7"/>
    <n v="165.2071"/>
    <x v="23"/>
    <n v="40"/>
    <n v="13"/>
    <s v="2013"/>
    <n v="1"/>
    <x v="0"/>
    <n v="27"/>
    <n v="2.0769230769230771"/>
  </r>
  <r>
    <s v="2412"/>
    <x v="2418"/>
    <n v="26700000"/>
    <x v="22"/>
    <n v="165.172"/>
    <x v="4"/>
    <n v="88"/>
    <n v="25"/>
    <s v="2006"/>
    <n v="4"/>
    <x v="0"/>
    <n v="63"/>
    <n v="2.52"/>
  </r>
  <r>
    <s v="2413"/>
    <x v="2419"/>
    <n v="56100000"/>
    <x v="34"/>
    <n v="165.1328"/>
    <x v="11"/>
    <n v="202"/>
    <n v="89"/>
    <s v="2008"/>
    <n v="6"/>
    <x v="0"/>
    <n v="113"/>
    <n v="1.2696629213483146"/>
  </r>
  <r>
    <s v="2414"/>
    <x v="2420"/>
    <n v="3700000"/>
    <x v="12"/>
    <n v="165.12549999999999"/>
    <x v="7"/>
    <n v="22"/>
    <n v="8"/>
    <s v="2013"/>
    <n v="2"/>
    <x v="0"/>
    <n v="14"/>
    <n v="1.75"/>
  </r>
  <r>
    <s v="2415"/>
    <x v="2421"/>
    <n v="44300000"/>
    <x v="5"/>
    <n v="165.0617"/>
    <x v="11"/>
    <n v="399"/>
    <n v="127"/>
    <s v="2006"/>
    <n v="1"/>
    <x v="0"/>
    <n v="272"/>
    <n v="2.1417322834645671"/>
  </r>
  <r>
    <s v="2416"/>
    <x v="2422"/>
    <n v="3000000"/>
    <x v="32"/>
    <n v="164.96209999999999"/>
    <x v="0"/>
    <n v="23"/>
    <n v="12"/>
    <s v="2010"/>
    <n v="1"/>
    <x v="0"/>
    <n v="11"/>
    <n v="0.91666666666666663"/>
  </r>
  <r>
    <s v="2417"/>
    <x v="2423"/>
    <n v="7600000"/>
    <x v="7"/>
    <n v="164.8509"/>
    <x v="6"/>
    <n v="15"/>
    <n v="9"/>
    <s v="2013"/>
    <n v="1"/>
    <x v="0"/>
    <n v="6"/>
    <n v="0.66666666666666663"/>
  </r>
  <r>
    <s v="2417"/>
    <x v="2424"/>
    <n v="6900000"/>
    <x v="41"/>
    <n v="164.8108"/>
    <x v="21"/>
    <n v="280"/>
    <n v="210"/>
    <s v="2011"/>
    <n v="4"/>
    <x v="0"/>
    <n v="70"/>
    <n v="0.33333333333333331"/>
  </r>
  <r>
    <s v="2418"/>
    <x v="2425"/>
    <n v="67800000"/>
    <x v="38"/>
    <n v="164.78729999999999"/>
    <x v="21"/>
    <n v="23"/>
    <n v="14"/>
    <s v="1979"/>
    <n v="5"/>
    <x v="0"/>
    <n v="9"/>
    <n v="0.6428571428571429"/>
  </r>
  <r>
    <s v="2419"/>
    <x v="2426"/>
    <n v="9800000"/>
    <x v="18"/>
    <n v="164.7724"/>
    <x v="0"/>
    <n v="72"/>
    <n v="27"/>
    <s v="2002"/>
    <n v="1"/>
    <x v="0"/>
    <n v="45"/>
    <n v="1.6666666666666667"/>
  </r>
  <r>
    <s v="2420"/>
    <x v="2427"/>
    <n v="6100000"/>
    <x v="40"/>
    <n v="164.72970000000001"/>
    <x v="19"/>
    <n v="65"/>
    <n v="34"/>
    <s v="2012"/>
    <n v="1"/>
    <x v="0"/>
    <n v="31"/>
    <n v="0.91176470588235292"/>
  </r>
  <r>
    <s v="2421"/>
    <x v="2428"/>
    <n v="2100000"/>
    <x v="33"/>
    <n v="164.72669999999999"/>
    <x v="5"/>
    <n v="22"/>
    <n v="5"/>
    <s v="2014"/>
    <n v="1"/>
    <x v="0"/>
    <n v="17"/>
    <n v="3.4"/>
  </r>
  <r>
    <s v="2422"/>
    <x v="2429"/>
    <n v="15400000"/>
    <x v="2"/>
    <n v="164.6352"/>
    <x v="15"/>
    <n v="36"/>
    <n v="13"/>
    <s v="2011"/>
    <n v="1"/>
    <x v="0"/>
    <n v="23"/>
    <n v="1.7692307692307692"/>
  </r>
  <r>
    <s v="2423"/>
    <x v="2430"/>
    <n v="72800000"/>
    <x v="24"/>
    <n v="164.6156"/>
    <x v="23"/>
    <n v="454"/>
    <n v="142"/>
    <s v="2000"/>
    <n v="7"/>
    <x v="0"/>
    <n v="312"/>
    <n v="2.1971830985915495"/>
  </r>
  <r>
    <s v="2424"/>
    <x v="2431"/>
    <n v="3500000"/>
    <x v="17"/>
    <n v="164.58760000000001"/>
    <x v="16"/>
    <n v="15"/>
    <n v="5"/>
    <s v="2013"/>
    <n v="2"/>
    <x v="0"/>
    <n v="10"/>
    <n v="2"/>
  </r>
  <r>
    <s v="2425"/>
    <x v="2432"/>
    <n v="18100000"/>
    <x v="13"/>
    <n v="164.4357"/>
    <x v="1"/>
    <n v="18"/>
    <n v="10"/>
    <s v="2003"/>
    <n v="3"/>
    <x v="0"/>
    <n v="8"/>
    <n v="0.8"/>
  </r>
  <r>
    <s v="2426"/>
    <x v="2433"/>
    <n v="5600000"/>
    <x v="12"/>
    <n v="164.41290000000001"/>
    <x v="0"/>
    <n v="22"/>
    <n v="6"/>
    <s v="2013"/>
    <n v="2"/>
    <x v="0"/>
    <n v="16"/>
    <n v="2.6666666666666665"/>
  </r>
  <r>
    <s v="2427"/>
    <x v="2434"/>
    <n v="5800000"/>
    <x v="2"/>
    <n v="164.357"/>
    <x v="23"/>
    <n v="26"/>
    <n v="19"/>
    <s v="2010"/>
    <n v="3"/>
    <x v="0"/>
    <n v="7"/>
    <n v="0.36842105263157893"/>
  </r>
  <r>
    <s v="2428"/>
    <x v="2435"/>
    <n v="46400000"/>
    <x v="14"/>
    <n v="164.2287"/>
    <x v="12"/>
    <n v="79"/>
    <n v="45"/>
    <s v="2008"/>
    <n v="1"/>
    <x v="0"/>
    <n v="34"/>
    <n v="0.75555555555555554"/>
  </r>
  <r>
    <s v="2429"/>
    <x v="2436"/>
    <n v="7700000"/>
    <x v="24"/>
    <n v="164.22489999999999"/>
    <x v="23"/>
    <n v="113"/>
    <n v="38"/>
    <s v="2013"/>
    <n v="1"/>
    <x v="0"/>
    <n v="75"/>
    <n v="1.9736842105263157"/>
  </r>
  <r>
    <s v="2430"/>
    <x v="2437"/>
    <n v="10500000"/>
    <x v="5"/>
    <n v="164.22489999999999"/>
    <x v="25"/>
    <n v="65"/>
    <n v="40"/>
    <s v="2005"/>
    <n v="2"/>
    <x v="0"/>
    <n v="25"/>
    <n v="0.625"/>
  </r>
  <r>
    <s v="2431"/>
    <x v="2438"/>
    <n v="14600000"/>
    <x v="32"/>
    <n v="164.2011"/>
    <x v="4"/>
    <n v="17"/>
    <n v="9"/>
    <s v="2006"/>
    <n v="4"/>
    <x v="0"/>
    <n v="8"/>
    <n v="0.88888888888888884"/>
  </r>
  <r>
    <s v="2432"/>
    <x v="2439"/>
    <n v="10600000"/>
    <x v="6"/>
    <n v="163.90270000000001"/>
    <x v="1"/>
    <n v="14"/>
    <n v="4"/>
    <s v="2012"/>
    <n v="1"/>
    <x v="0"/>
    <n v="10"/>
    <n v="2.5"/>
  </r>
  <r>
    <s v="2433"/>
    <x v="2440"/>
    <n v="9600000"/>
    <x v="9"/>
    <n v="163.7739"/>
    <x v="10"/>
    <n v="48"/>
    <n v="25"/>
    <s v="2012"/>
    <n v="4"/>
    <x v="0"/>
    <n v="23"/>
    <n v="0.92"/>
  </r>
  <r>
    <s v="2433"/>
    <x v="2441"/>
    <n v="23100000"/>
    <x v="18"/>
    <n v="163.72550000000001"/>
    <x v="15"/>
    <n v="34"/>
    <n v="12"/>
    <s v="2013"/>
    <n v="2"/>
    <x v="0"/>
    <n v="22"/>
    <n v="1.8333333333333333"/>
  </r>
  <r>
    <s v="2434"/>
    <x v="2442"/>
    <n v="43500000"/>
    <x v="2"/>
    <n v="163.63640000000001"/>
    <x v="1"/>
    <n v="114"/>
    <n v="8"/>
    <s v="2003"/>
    <n v="3"/>
    <x v="0"/>
    <n v="106"/>
    <n v="13.25"/>
  </r>
  <r>
    <s v="2435"/>
    <x v="2443"/>
    <n v="3200000"/>
    <x v="5"/>
    <n v="163.62569999999999"/>
    <x v="23"/>
    <n v="14"/>
    <n v="8"/>
    <s v="2008"/>
    <n v="3"/>
    <x v="0"/>
    <n v="6"/>
    <n v="0.75"/>
  </r>
  <r>
    <s v="2436"/>
    <x v="2444"/>
    <n v="3600000"/>
    <x v="27"/>
    <n v="163.33699999999999"/>
    <x v="23"/>
    <n v="6"/>
    <n v="2"/>
    <s v="2012"/>
    <n v="1"/>
    <x v="0"/>
    <n v="4"/>
    <n v="2"/>
  </r>
  <r>
    <s v="2437"/>
    <x v="2445"/>
    <n v="10300000"/>
    <x v="12"/>
    <n v="163.3271"/>
    <x v="9"/>
    <n v="76"/>
    <n v="38"/>
    <s v="2003"/>
    <n v="3"/>
    <x v="0"/>
    <n v="38"/>
    <n v="1"/>
  </r>
  <r>
    <s v="2438"/>
    <x v="2446"/>
    <n v="3500000"/>
    <x v="21"/>
    <n v="163.17009999999999"/>
    <x v="23"/>
    <n v="12"/>
    <n v="7"/>
    <s v="2013"/>
    <n v="2"/>
    <x v="0"/>
    <n v="5"/>
    <n v="0.7142857142857143"/>
  </r>
  <r>
    <s v="2439"/>
    <x v="2447"/>
    <n v="13800000"/>
    <x v="8"/>
    <n v="163.09129999999999"/>
    <x v="9"/>
    <n v="106"/>
    <n v="28"/>
    <s v="2009"/>
    <n v="5"/>
    <x v="0"/>
    <n v="78"/>
    <n v="2.7857142857142856"/>
  </r>
  <r>
    <s v="2440"/>
    <x v="2448"/>
    <n v="127500000"/>
    <x v="9"/>
    <n v="163.0052"/>
    <x v="2"/>
    <n v="91"/>
    <n v="41"/>
    <s v="2010"/>
    <n v="1"/>
    <x v="0"/>
    <n v="50"/>
    <n v="1.2195121951219512"/>
  </r>
  <r>
    <s v="2441"/>
    <x v="2449"/>
    <n v="2800000"/>
    <x v="1"/>
    <n v="162.8056"/>
    <x v="5"/>
    <n v="20"/>
    <n v="9"/>
    <s v="2013"/>
    <n v="1"/>
    <x v="0"/>
    <n v="11"/>
    <n v="1.2222222222222223"/>
  </r>
  <r>
    <s v="2442"/>
    <x v="2450"/>
    <n v="14500000"/>
    <x v="24"/>
    <n v="162.77770000000001"/>
    <x v="13"/>
    <n v="110"/>
    <n v="46"/>
    <s v="1975"/>
    <n v="1"/>
    <x v="0"/>
    <n v="64"/>
    <n v="1.3913043478260869"/>
  </r>
  <r>
    <s v="2443"/>
    <x v="2451"/>
    <n v="13100000"/>
    <x v="46"/>
    <n v="162.74029999999999"/>
    <x v="19"/>
    <n v="83"/>
    <n v="40"/>
    <s v="2004"/>
    <n v="1"/>
    <x v="0"/>
    <n v="43"/>
    <n v="1.075"/>
  </r>
  <r>
    <s v="2444"/>
    <x v="2452"/>
    <n v="294100000"/>
    <x v="18"/>
    <n v="162.57300000000001"/>
    <x v="1"/>
    <n v="279"/>
    <n v="144"/>
    <s v="2009"/>
    <n v="3"/>
    <x v="0"/>
    <n v="135"/>
    <n v="0.9375"/>
  </r>
  <r>
    <s v="2445"/>
    <x v="2453"/>
    <n v="2700000"/>
    <x v="5"/>
    <n v="162.48570000000001"/>
    <x v="20"/>
    <n v="40"/>
    <n v="10"/>
    <s v="2013"/>
    <n v="1"/>
    <x v="0"/>
    <n v="30"/>
    <n v="3"/>
  </r>
  <r>
    <s v="2446"/>
    <x v="2454"/>
    <n v="11100000"/>
    <x v="9"/>
    <n v="162.42519999999999"/>
    <x v="15"/>
    <n v="30"/>
    <n v="3"/>
    <s v="2004"/>
    <n v="2"/>
    <x v="0"/>
    <n v="27"/>
    <n v="9"/>
  </r>
  <r>
    <s v="2447"/>
    <x v="2455"/>
    <n v="47500000"/>
    <x v="13"/>
    <n v="162.37119999999999"/>
    <x v="22"/>
    <n v="125"/>
    <n v="35"/>
    <s v="2003"/>
    <n v="2"/>
    <x v="0"/>
    <n v="90"/>
    <n v="2.5714285714285716"/>
  </r>
  <r>
    <s v="2448"/>
    <x v="2456"/>
    <n v="130000000"/>
    <x v="13"/>
    <n v="162.17779999999999"/>
    <x v="7"/>
    <n v="139"/>
    <n v="26"/>
    <s v="2006"/>
    <n v="9"/>
    <x v="0"/>
    <n v="113"/>
    <n v="4.3461538461538458"/>
  </r>
  <r>
    <s v="2449"/>
    <x v="2457"/>
    <n v="5800000"/>
    <x v="5"/>
    <n v="162.1687"/>
    <x v="12"/>
    <n v="67"/>
    <n v="18"/>
    <s v="2010"/>
    <n v="2"/>
    <x v="0"/>
    <n v="49"/>
    <n v="2.7222222222222223"/>
  </r>
  <r>
    <s v="2450"/>
    <x v="2458"/>
    <n v="39700000"/>
    <x v="2"/>
    <n v="162.12119999999999"/>
    <x v="15"/>
    <n v="45"/>
    <n v="30"/>
    <s v="2005"/>
    <n v="1"/>
    <x v="0"/>
    <n v="15"/>
    <n v="0.5"/>
  </r>
  <r>
    <s v="2451"/>
    <x v="2459"/>
    <n v="40500000"/>
    <x v="49"/>
    <n v="162.12100000000001"/>
    <x v="12"/>
    <n v="37"/>
    <n v="8"/>
    <s v="2005"/>
    <n v="7"/>
    <x v="0"/>
    <n v="29"/>
    <n v="3.625"/>
  </r>
  <r>
    <s v="2452"/>
    <x v="2460"/>
    <n v="42100000"/>
    <x v="23"/>
    <n v="161.96279999999999"/>
    <x v="11"/>
    <n v="195"/>
    <n v="97"/>
    <s v="2008"/>
    <n v="7"/>
    <x v="0"/>
    <n v="98"/>
    <n v="1.0103092783505154"/>
  </r>
  <r>
    <s v="2453"/>
    <x v="2461"/>
    <n v="6400000"/>
    <x v="9"/>
    <n v="161.8931"/>
    <x v="2"/>
    <n v="110"/>
    <n v="45"/>
    <s v="2010"/>
    <n v="1"/>
    <x v="0"/>
    <n v="65"/>
    <n v="1.4444444444444444"/>
  </r>
  <r>
    <s v="2454"/>
    <x v="2462"/>
    <n v="2400000"/>
    <x v="5"/>
    <n v="161.84059999999999"/>
    <x v="3"/>
    <n v="14"/>
    <n v="12"/>
    <s v="2010"/>
    <n v="1"/>
    <x v="0"/>
    <n v="2"/>
    <n v="0.16666666666666666"/>
  </r>
  <r>
    <s v="2455"/>
    <x v="2463"/>
    <n v="2400000"/>
    <x v="44"/>
    <n v="161.6764"/>
    <x v="23"/>
    <n v="14"/>
    <n v="7"/>
    <s v="2008"/>
    <n v="2"/>
    <x v="0"/>
    <n v="7"/>
    <n v="1"/>
  </r>
  <r>
    <s v="2456"/>
    <x v="2464"/>
    <n v="9500000"/>
    <x v="16"/>
    <n v="161.66139999999999"/>
    <x v="12"/>
    <n v="70"/>
    <n v="30"/>
    <s v="2003"/>
    <n v="1"/>
    <x v="0"/>
    <n v="40"/>
    <n v="1.3333333333333333"/>
  </r>
  <r>
    <s v="2457"/>
    <x v="2465"/>
    <n v="3000000"/>
    <x v="5"/>
    <n v="161.5146"/>
    <x v="3"/>
    <n v="52"/>
    <n v="16"/>
    <s v="2009"/>
    <n v="1"/>
    <x v="0"/>
    <n v="36"/>
    <n v="2.25"/>
  </r>
  <r>
    <s v="2458"/>
    <x v="2466"/>
    <n v="7000000"/>
    <x v="12"/>
    <n v="161.46799999999999"/>
    <x v="5"/>
    <n v="13"/>
    <n v="4"/>
    <s v="2012"/>
    <n v="2"/>
    <x v="0"/>
    <n v="9"/>
    <n v="2.25"/>
  </r>
  <r>
    <s v="2459"/>
    <x v="2467"/>
    <n v="47500000"/>
    <x v="2"/>
    <n v="161.3777"/>
    <x v="7"/>
    <n v="130"/>
    <n v="51"/>
    <s v="2005"/>
    <n v="8"/>
    <x v="0"/>
    <n v="79"/>
    <n v="1.5490196078431373"/>
  </r>
  <r>
    <s v="2460"/>
    <x v="2468"/>
    <n v="19600000"/>
    <x v="24"/>
    <n v="161.33760000000001"/>
    <x v="9"/>
    <n v="536"/>
    <n v="276"/>
    <s v="2008"/>
    <n v="4"/>
    <x v="0"/>
    <n v="260"/>
    <n v="0.94202898550724634"/>
  </r>
  <r>
    <s v="2461"/>
    <x v="2469"/>
    <n v="75500000"/>
    <x v="12"/>
    <n v="161.29419999999999"/>
    <x v="12"/>
    <n v="580"/>
    <n v="143"/>
    <s v="2009"/>
    <n v="4"/>
    <x v="0"/>
    <n v="437"/>
    <n v="3.0559440559440558"/>
  </r>
  <r>
    <s v="2462"/>
    <x v="2470"/>
    <n v="6100000"/>
    <x v="45"/>
    <n v="161.26849999999999"/>
    <x v="14"/>
    <n v="6"/>
    <n v="3"/>
    <s v="2008"/>
    <n v="4"/>
    <x v="0"/>
    <n v="3"/>
    <n v="1"/>
  </r>
  <r>
    <s v="2463"/>
    <x v="2471"/>
    <n v="3800000"/>
    <x v="10"/>
    <n v="161.1591"/>
    <x v="0"/>
    <n v="33"/>
    <n v="14"/>
    <s v="2007"/>
    <n v="2"/>
    <x v="0"/>
    <n v="19"/>
    <n v="1.3571428571428572"/>
  </r>
  <r>
    <s v="2464"/>
    <x v="2472"/>
    <n v="15000000"/>
    <x v="27"/>
    <n v="161.0797"/>
    <x v="21"/>
    <n v="25"/>
    <n v="17"/>
    <s v="1993"/>
    <n v="3"/>
    <x v="0"/>
    <n v="8"/>
    <n v="0.47058823529411764"/>
  </r>
  <r>
    <s v="2465"/>
    <x v="2473"/>
    <n v="5100000"/>
    <x v="45"/>
    <n v="160.82470000000001"/>
    <x v="7"/>
    <n v="28"/>
    <n v="17"/>
    <s v="1997"/>
    <n v="1"/>
    <x v="0"/>
    <n v="11"/>
    <n v="0.6470588235294118"/>
  </r>
  <r>
    <s v="2466"/>
    <x v="2474"/>
    <n v="30700000"/>
    <x v="9"/>
    <n v="160.80070000000001"/>
    <x v="15"/>
    <n v="85"/>
    <n v="40"/>
    <s v="2012"/>
    <n v="4"/>
    <x v="0"/>
    <n v="45"/>
    <n v="1.125"/>
  </r>
  <r>
    <s v="2467"/>
    <x v="2475"/>
    <n v="9500000"/>
    <x v="9"/>
    <n v="160.79589999999999"/>
    <x v="2"/>
    <n v="100"/>
    <n v="42"/>
    <s v="2012"/>
    <n v="1"/>
    <x v="0"/>
    <n v="58"/>
    <n v="1.3809523809523809"/>
  </r>
  <r>
    <s v="2468"/>
    <x v="2476"/>
    <n v="9200000"/>
    <x v="12"/>
    <n v="160.6925"/>
    <x v="5"/>
    <n v="22"/>
    <n v="11"/>
    <s v="2004"/>
    <n v="1"/>
    <x v="0"/>
    <n v="11"/>
    <n v="1"/>
  </r>
  <r>
    <s v="2469"/>
    <x v="2477"/>
    <n v="12300000"/>
    <x v="1"/>
    <n v="160.57300000000001"/>
    <x v="19"/>
    <n v="30"/>
    <n v="14"/>
    <s v="2009"/>
    <n v="5"/>
    <x v="0"/>
    <n v="16"/>
    <n v="1.1428571428571428"/>
  </r>
  <r>
    <s v="2470"/>
    <x v="2478"/>
    <n v="28800000"/>
    <x v="18"/>
    <n v="160.4057"/>
    <x v="23"/>
    <n v="30"/>
    <n v="15"/>
    <s v="2002"/>
    <n v="2"/>
    <x v="0"/>
    <n v="15"/>
    <n v="1"/>
  </r>
  <r>
    <s v="2471"/>
    <x v="2479"/>
    <n v="8500000"/>
    <x v="10"/>
    <n v="160.34710000000001"/>
    <x v="25"/>
    <n v="57"/>
    <n v="20"/>
    <s v="2013"/>
    <n v="2"/>
    <x v="0"/>
    <n v="37"/>
    <n v="1.85"/>
  </r>
  <r>
    <s v="2472"/>
    <x v="2480"/>
    <n v="3800000"/>
    <x v="9"/>
    <n v="160.18549999999999"/>
    <x v="17"/>
    <n v="20"/>
    <n v="10"/>
    <s v="2012"/>
    <n v="1"/>
    <x v="0"/>
    <n v="10"/>
    <n v="1"/>
  </r>
  <r>
    <s v="2473"/>
    <x v="2481"/>
    <n v="10800000"/>
    <x v="9"/>
    <n v="160.1446"/>
    <x v="2"/>
    <n v="350"/>
    <n v="50"/>
    <s v="2014"/>
    <n v="1"/>
    <x v="0"/>
    <n v="300"/>
    <n v="6"/>
  </r>
  <r>
    <s v="2474"/>
    <x v="2482"/>
    <n v="3900000"/>
    <x v="27"/>
    <n v="159.82310000000001"/>
    <x v="9"/>
    <n v="33"/>
    <n v="14"/>
    <s v="2008"/>
    <n v="3"/>
    <x v="0"/>
    <n v="19"/>
    <n v="1.3571428571428572"/>
  </r>
  <r>
    <s v="2475"/>
    <x v="2483"/>
    <n v="15200000"/>
    <x v="24"/>
    <n v="159.66919999999999"/>
    <x v="22"/>
    <n v="18"/>
    <n v="9"/>
    <s v="2007"/>
    <n v="4"/>
    <x v="0"/>
    <n v="9"/>
    <n v="1"/>
  </r>
  <r>
    <s v="2476"/>
    <x v="2484"/>
    <n v="7100000"/>
    <x v="2"/>
    <n v="159.601"/>
    <x v="0"/>
    <n v="46"/>
    <n v="35"/>
    <s v="2009"/>
    <n v="2"/>
    <x v="0"/>
    <n v="11"/>
    <n v="0.31428571428571428"/>
  </r>
  <r>
    <s v="2477"/>
    <x v="2485"/>
    <n v="5000000"/>
    <x v="21"/>
    <n v="159.47049999999999"/>
    <x v="17"/>
    <n v="12"/>
    <n v="4"/>
    <s v="2014"/>
    <n v="1"/>
    <x v="0"/>
    <n v="8"/>
    <n v="2"/>
  </r>
  <r>
    <s v="2478"/>
    <x v="2486"/>
    <n v="12700000"/>
    <x v="24"/>
    <n v="159.39160000000001"/>
    <x v="19"/>
    <n v="80"/>
    <n v="30"/>
    <s v="2011"/>
    <n v="2"/>
    <x v="0"/>
    <n v="50"/>
    <n v="1.6666666666666667"/>
  </r>
  <r>
    <s v="2479"/>
    <x v="2487"/>
    <n v="10200000"/>
    <x v="34"/>
    <n v="159.29560000000001"/>
    <x v="11"/>
    <n v="82"/>
    <n v="14"/>
    <s v="2006"/>
    <n v="5"/>
    <x v="0"/>
    <n v="68"/>
    <n v="4.8571428571428568"/>
  </r>
  <r>
    <s v="2480"/>
    <x v="2488"/>
    <n v="10300000"/>
    <x v="21"/>
    <n v="159.1645"/>
    <x v="9"/>
    <n v="43"/>
    <n v="19"/>
    <s v="2000"/>
    <n v="6"/>
    <x v="0"/>
    <n v="24"/>
    <n v="1.263157894736842"/>
  </r>
  <r>
    <s v="2481"/>
    <x v="2489"/>
    <n v="19200000"/>
    <x v="33"/>
    <n v="159.12289999999999"/>
    <x v="23"/>
    <n v="65"/>
    <n v="45"/>
    <s v="1997"/>
    <n v="2"/>
    <x v="0"/>
    <n v="20"/>
    <n v="0.44444444444444442"/>
  </r>
  <r>
    <s v="2482"/>
    <x v="2490"/>
    <n v="9600000"/>
    <x v="5"/>
    <n v="159.11199999999999"/>
    <x v="13"/>
    <n v="38"/>
    <n v="21"/>
    <s v="1992"/>
    <n v="1"/>
    <x v="0"/>
    <n v="17"/>
    <n v="0.80952380952380953"/>
  </r>
  <r>
    <s v="2483"/>
    <x v="2491"/>
    <n v="7100000"/>
    <x v="9"/>
    <n v="158.9605"/>
    <x v="25"/>
    <n v="33"/>
    <n v="25"/>
    <s v="2014"/>
    <n v="2"/>
    <x v="0"/>
    <n v="8"/>
    <n v="0.32"/>
  </r>
  <r>
    <s v="2484"/>
    <x v="2492"/>
    <n v="6300000"/>
    <x v="6"/>
    <n v="158.70189999999999"/>
    <x v="9"/>
    <n v="32"/>
    <n v="25"/>
    <s v="2004"/>
    <n v="4"/>
    <x v="0"/>
    <n v="7"/>
    <n v="0.28000000000000003"/>
  </r>
  <r>
    <s v="2485"/>
    <x v="2493"/>
    <n v="14900000"/>
    <x v="24"/>
    <n v="158.59119999999999"/>
    <x v="20"/>
    <n v="67"/>
    <n v="23"/>
    <s v="2004"/>
    <n v="2"/>
    <x v="0"/>
    <n v="44"/>
    <n v="1.9130434782608696"/>
  </r>
  <r>
    <s v="2486"/>
    <x v="2494"/>
    <n v="6000000"/>
    <x v="9"/>
    <n v="158.4282"/>
    <x v="15"/>
    <n v="35"/>
    <n v="13"/>
    <s v="1981"/>
    <n v="2"/>
    <x v="0"/>
    <n v="22"/>
    <n v="1.6923076923076923"/>
  </r>
  <r>
    <s v="2487"/>
    <x v="2495"/>
    <n v="5200000"/>
    <x v="48"/>
    <n v="158.4255"/>
    <x v="0"/>
    <n v="49"/>
    <n v="21"/>
    <s v="2002"/>
    <n v="1"/>
    <x v="0"/>
    <n v="28"/>
    <n v="1.3333333333333333"/>
  </r>
  <r>
    <s v="2488"/>
    <x v="2496"/>
    <n v="5300000"/>
    <x v="5"/>
    <n v="158.42449999999999"/>
    <x v="4"/>
    <n v="12"/>
    <n v="4"/>
    <s v="2001"/>
    <n v="4"/>
    <x v="0"/>
    <n v="8"/>
    <n v="2"/>
  </r>
  <r>
    <s v="2489"/>
    <x v="2497"/>
    <n v="2500000"/>
    <x v="13"/>
    <n v="158.34569999999999"/>
    <x v="3"/>
    <n v="38"/>
    <n v="27"/>
    <s v="2012"/>
    <n v="3"/>
    <x v="0"/>
    <n v="11"/>
    <n v="0.40740740740740738"/>
  </r>
  <r>
    <s v="2490"/>
    <x v="2498"/>
    <n v="23400000"/>
    <x v="13"/>
    <n v="158.33459999999999"/>
    <x v="23"/>
    <n v="34"/>
    <n v="10"/>
    <s v="2009"/>
    <n v="2"/>
    <x v="0"/>
    <n v="24"/>
    <n v="2.4"/>
  </r>
  <r>
    <s v="2491"/>
    <x v="2499"/>
    <n v="14400000"/>
    <x v="23"/>
    <n v="158.28229999999999"/>
    <x v="12"/>
    <n v="135"/>
    <n v="45"/>
    <s v="2009"/>
    <n v="3"/>
    <x v="0"/>
    <n v="90"/>
    <n v="2"/>
  </r>
  <r>
    <s v="2492"/>
    <x v="2500"/>
    <n v="16700000"/>
    <x v="4"/>
    <n v="158.1052"/>
    <x v="7"/>
    <n v="58"/>
    <n v="28"/>
    <s v="2012"/>
    <n v="1"/>
    <x v="0"/>
    <n v="30"/>
    <n v="1.0714285714285714"/>
  </r>
  <r>
    <s v="2493"/>
    <x v="2501"/>
    <n v="15700000"/>
    <x v="9"/>
    <n v="157.98240000000001"/>
    <x v="9"/>
    <n v="25"/>
    <n v="15"/>
    <s v="2002"/>
    <n v="5"/>
    <x v="0"/>
    <n v="10"/>
    <n v="0.66666666666666663"/>
  </r>
  <r>
    <s v="2494"/>
    <x v="2502"/>
    <n v="5400000"/>
    <x v="2"/>
    <n v="157.77189999999999"/>
    <x v="15"/>
    <n v="6"/>
    <n v="1"/>
    <s v="1974"/>
    <n v="1"/>
    <x v="0"/>
    <n v="5"/>
    <n v="5"/>
  </r>
  <r>
    <s v="2495"/>
    <x v="2503"/>
    <n v="10600000"/>
    <x v="7"/>
    <n v="157.62"/>
    <x v="12"/>
    <n v="37"/>
    <n v="10"/>
    <s v="2011"/>
    <n v="6"/>
    <x v="0"/>
    <n v="27"/>
    <n v="2.7"/>
  </r>
  <r>
    <s v="2496"/>
    <x v="2504"/>
    <n v="4300000"/>
    <x v="12"/>
    <n v="157.59370000000001"/>
    <x v="7"/>
    <n v="7"/>
    <n v="3"/>
    <s v="2013"/>
    <n v="2"/>
    <x v="0"/>
    <n v="4"/>
    <n v="1.3333333333333333"/>
  </r>
  <r>
    <s v="2497"/>
    <x v="2505"/>
    <n v="4100000"/>
    <x v="5"/>
    <n v="157.5427"/>
    <x v="0"/>
    <n v="30"/>
    <n v="5"/>
    <s v="2009"/>
    <n v="3"/>
    <x v="0"/>
    <n v="25"/>
    <n v="5"/>
  </r>
  <r>
    <s v="2498"/>
    <x v="2506"/>
    <n v="14300000"/>
    <x v="2"/>
    <n v="157.51859999999999"/>
    <x v="7"/>
    <n v="106"/>
    <n v="33"/>
    <s v="2010"/>
    <n v="4"/>
    <x v="0"/>
    <n v="73"/>
    <n v="2.2121212121212119"/>
  </r>
  <r>
    <s v="2499"/>
    <x v="2507"/>
    <n v="2700000"/>
    <x v="4"/>
    <n v="157.50479999999999"/>
    <x v="25"/>
    <n v="30"/>
    <n v="11"/>
    <s v="2015"/>
    <n v="1"/>
    <x v="0"/>
    <n v="19"/>
    <n v="1.7272727272727273"/>
  </r>
  <r>
    <s v="2500"/>
    <x v="2508"/>
    <n v="11100000"/>
    <x v="33"/>
    <n v="157.43"/>
    <x v="0"/>
    <n v="35"/>
    <n v="16"/>
    <s v="2007"/>
    <n v="5"/>
    <x v="0"/>
    <n v="19"/>
    <n v="1.1875"/>
  </r>
  <r>
    <s v="2501"/>
    <x v="2509"/>
    <n v="5700000"/>
    <x v="34"/>
    <n v="157.42429999999999"/>
    <x v="5"/>
    <n v="365"/>
    <n v="125"/>
    <s v="2012"/>
    <n v="1"/>
    <x v="0"/>
    <n v="240"/>
    <n v="1.92"/>
  </r>
  <r>
    <s v="2502"/>
    <x v="2510"/>
    <n v="2100000"/>
    <x v="19"/>
    <n v="157.37989999999999"/>
    <x v="5"/>
    <n v="8"/>
    <n v="2"/>
    <s v="2012"/>
    <n v="1"/>
    <x v="0"/>
    <n v="6"/>
    <n v="3"/>
  </r>
  <r>
    <s v="2503"/>
    <x v="2511"/>
    <n v="10300000"/>
    <x v="4"/>
    <n v="157.36799999999999"/>
    <x v="15"/>
    <n v="48"/>
    <n v="19"/>
    <s v="2014"/>
    <n v="2"/>
    <x v="0"/>
    <n v="29"/>
    <n v="1.5263157894736843"/>
  </r>
  <r>
    <s v="2504"/>
    <x v="2512"/>
    <n v="2900000"/>
    <x v="12"/>
    <n v="157.25470000000001"/>
    <x v="23"/>
    <n v="32"/>
    <n v="10"/>
    <s v="2013"/>
    <n v="1"/>
    <x v="0"/>
    <n v="22"/>
    <n v="2.2000000000000002"/>
  </r>
  <r>
    <s v="2505"/>
    <x v="2513"/>
    <n v="70800000"/>
    <x v="27"/>
    <n v="157.24639999999999"/>
    <x v="23"/>
    <n v="300"/>
    <n v="120"/>
    <s v="2011"/>
    <n v="1"/>
    <x v="0"/>
    <n v="180"/>
    <n v="1.5"/>
  </r>
  <r>
    <s v="2506"/>
    <x v="2514"/>
    <n v="80500000"/>
    <x v="0"/>
    <n v="157.2422"/>
    <x v="9"/>
    <n v="513"/>
    <n v="263"/>
    <s v="2008"/>
    <n v="7"/>
    <x v="0"/>
    <n v="250"/>
    <n v="0.95057034220532322"/>
  </r>
  <r>
    <s v="2507"/>
    <x v="2515"/>
    <n v="3100000"/>
    <x v="20"/>
    <n v="157.22239999999999"/>
    <x v="0"/>
    <n v="31"/>
    <n v="9"/>
    <s v="2011"/>
    <n v="1"/>
    <x v="0"/>
    <n v="22"/>
    <n v="2.4444444444444446"/>
  </r>
  <r>
    <s v="2508"/>
    <x v="2516"/>
    <n v="3900000"/>
    <x v="5"/>
    <n v="157.1549"/>
    <x v="0"/>
    <n v="13"/>
    <n v="11"/>
    <s v="2009"/>
    <n v="1"/>
    <x v="0"/>
    <n v="2"/>
    <n v="0.18181818181818182"/>
  </r>
  <r>
    <s v="2509"/>
    <x v="2517"/>
    <n v="3700000"/>
    <x v="12"/>
    <n v="157.1516"/>
    <x v="9"/>
    <n v="28"/>
    <n v="15"/>
    <s v="2014"/>
    <n v="1"/>
    <x v="0"/>
    <n v="13"/>
    <n v="0.8666666666666667"/>
  </r>
  <r>
    <s v="2510"/>
    <x v="2518"/>
    <n v="18200000"/>
    <x v="2"/>
    <n v="157.10130000000001"/>
    <x v="5"/>
    <n v="30"/>
    <n v="8"/>
    <s v="2010"/>
    <n v="1"/>
    <x v="0"/>
    <n v="22"/>
    <n v="2.75"/>
  </r>
  <r>
    <s v="2511"/>
    <x v="2519"/>
    <n v="13700000"/>
    <x v="1"/>
    <n v="156.94839999999999"/>
    <x v="23"/>
    <n v="28"/>
    <n v="6"/>
    <s v="2012"/>
    <n v="1"/>
    <x v="0"/>
    <n v="22"/>
    <n v="3.6666666666666665"/>
  </r>
  <r>
    <s v="2512"/>
    <x v="2520"/>
    <n v="40400000"/>
    <x v="2"/>
    <n v="156.90889999999999"/>
    <x v="12"/>
    <n v="150"/>
    <n v="34"/>
    <s v="2011"/>
    <n v="1"/>
    <x v="0"/>
    <n v="116"/>
    <n v="3.4117647058823528"/>
  </r>
  <r>
    <s v="2513"/>
    <x v="2521"/>
    <n v="15400000"/>
    <x v="12"/>
    <n v="156.88300000000001"/>
    <x v="15"/>
    <n v="34"/>
    <n v="8"/>
    <s v="1989"/>
    <n v="1"/>
    <x v="0"/>
    <n v="26"/>
    <n v="3.25"/>
  </r>
  <r>
    <s v="2514"/>
    <x v="2522"/>
    <n v="20400000"/>
    <x v="13"/>
    <n v="156.81729999999999"/>
    <x v="23"/>
    <n v="62"/>
    <n v="57"/>
    <s v="2010"/>
    <n v="3"/>
    <x v="0"/>
    <n v="5"/>
    <n v="8.771929824561403E-2"/>
  </r>
  <r>
    <s v="2515"/>
    <x v="2523"/>
    <n v="6200000"/>
    <x v="30"/>
    <n v="156.7945"/>
    <x v="9"/>
    <n v="87"/>
    <n v="29"/>
    <s v="2011"/>
    <n v="4"/>
    <x v="0"/>
    <n v="58"/>
    <n v="2"/>
  </r>
  <r>
    <s v="2516"/>
    <x v="2524"/>
    <n v="28000000"/>
    <x v="5"/>
    <n v="156.7364"/>
    <x v="15"/>
    <n v="85"/>
    <n v="22"/>
    <s v="2008"/>
    <n v="5"/>
    <x v="0"/>
    <n v="63"/>
    <n v="2.8636363636363638"/>
  </r>
  <r>
    <s v="2517"/>
    <x v="2525"/>
    <n v="4100000"/>
    <x v="21"/>
    <n v="156.6814"/>
    <x v="9"/>
    <n v="25"/>
    <n v="13"/>
    <s v="2000"/>
    <n v="2"/>
    <x v="0"/>
    <n v="12"/>
    <n v="0.92307692307692313"/>
  </r>
  <r>
    <s v="2518"/>
    <x v="2526"/>
    <n v="32000000"/>
    <x v="19"/>
    <n v="156.53380000000001"/>
    <x v="1"/>
    <n v="81"/>
    <n v="33"/>
    <s v="2010"/>
    <n v="4"/>
    <x v="0"/>
    <n v="48"/>
    <n v="1.4545454545454546"/>
  </r>
  <r>
    <s v="2519"/>
    <x v="2527"/>
    <n v="74100000"/>
    <x v="7"/>
    <n v="156.4915"/>
    <x v="23"/>
    <n v="330"/>
    <n v="138"/>
    <s v="2003"/>
    <n v="9"/>
    <x v="0"/>
    <n v="192"/>
    <n v="1.3913043478260869"/>
  </r>
  <r>
    <s v="2520"/>
    <x v="2528"/>
    <n v="2800000"/>
    <x v="18"/>
    <n v="156.2764"/>
    <x v="4"/>
    <n v="15"/>
    <n v="3"/>
    <s v="2010"/>
    <n v="1"/>
    <x v="0"/>
    <n v="12"/>
    <n v="4"/>
  </r>
  <r>
    <s v="2521"/>
    <x v="2529"/>
    <n v="6300000"/>
    <x v="32"/>
    <n v="156.2551"/>
    <x v="0"/>
    <n v="40"/>
    <n v="19"/>
    <s v="2010"/>
    <n v="4"/>
    <x v="0"/>
    <n v="21"/>
    <n v="1.1052631578947369"/>
  </r>
  <r>
    <s v="2522"/>
    <x v="2530"/>
    <n v="18200000"/>
    <x v="9"/>
    <n v="156.24260000000001"/>
    <x v="9"/>
    <n v="44"/>
    <n v="21"/>
    <s v="2009"/>
    <n v="5"/>
    <x v="0"/>
    <n v="23"/>
    <n v="1.0952380952380953"/>
  </r>
  <r>
    <s v="2523"/>
    <x v="2531"/>
    <n v="57600000"/>
    <x v="7"/>
    <n v="156.1807"/>
    <x v="11"/>
    <n v="290"/>
    <n v="76"/>
    <s v="2009"/>
    <n v="5"/>
    <x v="0"/>
    <n v="214"/>
    <n v="2.8157894736842106"/>
  </r>
  <r>
    <s v="2524"/>
    <x v="2532"/>
    <n v="12600000"/>
    <x v="4"/>
    <n v="155.94120000000001"/>
    <x v="7"/>
    <n v="130"/>
    <n v="34"/>
    <s v="2008"/>
    <n v="2"/>
    <x v="0"/>
    <n v="96"/>
    <n v="2.8235294117647061"/>
  </r>
  <r>
    <s v="2525"/>
    <x v="2533"/>
    <n v="2100000"/>
    <x v="32"/>
    <n v="155.86689999999999"/>
    <x v="9"/>
    <n v="17"/>
    <n v="8"/>
    <s v="2009"/>
    <n v="1"/>
    <x v="0"/>
    <n v="9"/>
    <n v="1.125"/>
  </r>
  <r>
    <s v="2526"/>
    <x v="2534"/>
    <n v="8600000"/>
    <x v="27"/>
    <n v="155.76079999999999"/>
    <x v="0"/>
    <n v="20"/>
    <n v="8"/>
    <s v="2011"/>
    <n v="4"/>
    <x v="0"/>
    <n v="12"/>
    <n v="1.5"/>
  </r>
  <r>
    <s v="2527"/>
    <x v="2535"/>
    <n v="43800000"/>
    <x v="27"/>
    <n v="155.63499999999999"/>
    <x v="4"/>
    <n v="20"/>
    <n v="10"/>
    <s v="2011"/>
    <n v="3"/>
    <x v="0"/>
    <n v="10"/>
    <n v="1"/>
  </r>
  <r>
    <s v="2528"/>
    <x v="2536"/>
    <n v="4800000"/>
    <x v="12"/>
    <n v="155.45699999999999"/>
    <x v="25"/>
    <n v="26"/>
    <n v="10"/>
    <s v="2010"/>
    <n v="3"/>
    <x v="0"/>
    <n v="16"/>
    <n v="1.6"/>
  </r>
  <r>
    <s v="2529"/>
    <x v="2537"/>
    <n v="15600000"/>
    <x v="13"/>
    <n v="155.4306"/>
    <x v="19"/>
    <n v="85"/>
    <n v="45"/>
    <s v="2012"/>
    <n v="4"/>
    <x v="0"/>
    <n v="40"/>
    <n v="0.88888888888888884"/>
  </r>
  <r>
    <s v="2530"/>
    <x v="2538"/>
    <n v="694400000"/>
    <x v="8"/>
    <n v="155.35489999999999"/>
    <x v="23"/>
    <n v="1699"/>
    <n v="1378"/>
    <s v="2001"/>
    <n v="6"/>
    <x v="0"/>
    <n v="321"/>
    <n v="0.23294629898403482"/>
  </r>
  <r>
    <s v="2531"/>
    <x v="2539"/>
    <n v="14200000"/>
    <x v="4"/>
    <n v="155.3289"/>
    <x v="9"/>
    <n v="50"/>
    <n v="48"/>
    <s v="2012"/>
    <n v="3"/>
    <x v="0"/>
    <n v="2"/>
    <n v="4.1666666666666664E-2"/>
  </r>
  <r>
    <s v="2532"/>
    <x v="2540"/>
    <n v="3800000"/>
    <x v="4"/>
    <n v="155.0599"/>
    <x v="9"/>
    <n v="21"/>
    <n v="7"/>
    <s v="2013"/>
    <n v="2"/>
    <x v="0"/>
    <n v="14"/>
    <n v="2"/>
  </r>
  <r>
    <s v="2533"/>
    <x v="2541"/>
    <n v="9100000"/>
    <x v="23"/>
    <n v="155.0395"/>
    <x v="0"/>
    <n v="58"/>
    <n v="26"/>
    <s v="2008"/>
    <n v="5"/>
    <x v="0"/>
    <n v="32"/>
    <n v="1.2307692307692308"/>
  </r>
  <r>
    <s v="2534"/>
    <x v="2542"/>
    <n v="82600000"/>
    <x v="27"/>
    <n v="154.9948"/>
    <x v="10"/>
    <n v="62"/>
    <n v="18"/>
    <s v="2012"/>
    <n v="3"/>
    <x v="0"/>
    <n v="44"/>
    <n v="2.4444444444444446"/>
  </r>
  <r>
    <s v="2535"/>
    <x v="2543"/>
    <n v="15600000"/>
    <x v="18"/>
    <n v="154.96369999999999"/>
    <x v="5"/>
    <n v="56"/>
    <n v="38"/>
    <s v="2008"/>
    <n v="6"/>
    <x v="0"/>
    <n v="18"/>
    <n v="0.47368421052631576"/>
  </r>
  <r>
    <s v="2536"/>
    <x v="2544"/>
    <n v="3800000"/>
    <x v="21"/>
    <n v="154.8854"/>
    <x v="23"/>
    <n v="24"/>
    <n v="11"/>
    <s v="1994"/>
    <n v="2"/>
    <x v="0"/>
    <n v="13"/>
    <n v="1.1818181818181819"/>
  </r>
  <r>
    <s v="2537"/>
    <x v="2545"/>
    <n v="24900000"/>
    <x v="24"/>
    <n v="154.73419999999999"/>
    <x v="0"/>
    <n v="215"/>
    <n v="150"/>
    <s v="2010"/>
    <n v="2"/>
    <x v="0"/>
    <n v="65"/>
    <n v="0.43333333333333335"/>
  </r>
  <r>
    <s v="2538"/>
    <x v="2546"/>
    <n v="26700000"/>
    <x v="16"/>
    <n v="154.70580000000001"/>
    <x v="19"/>
    <n v="127"/>
    <n v="52"/>
    <s v="1999"/>
    <n v="7"/>
    <x v="0"/>
    <n v="75"/>
    <n v="1.4423076923076923"/>
  </r>
  <r>
    <s v="2539"/>
    <x v="2547"/>
    <n v="44400000"/>
    <x v="5"/>
    <n v="154.51669999999999"/>
    <x v="17"/>
    <n v="33"/>
    <n v="15"/>
    <s v="2012"/>
    <n v="4"/>
    <x v="0"/>
    <n v="18"/>
    <n v="1.2"/>
  </r>
  <r>
    <s v="2540"/>
    <x v="2548"/>
    <n v="3800000"/>
    <x v="11"/>
    <n v="154.49090000000001"/>
    <x v="3"/>
    <n v="25"/>
    <n v="8"/>
    <s v="2008"/>
    <n v="2"/>
    <x v="0"/>
    <n v="17"/>
    <n v="2.125"/>
  </r>
  <r>
    <s v="2541"/>
    <x v="2549"/>
    <n v="408000000"/>
    <x v="32"/>
    <n v="154.3741"/>
    <x v="7"/>
    <n v="570"/>
    <n v="172"/>
    <s v="2005"/>
    <n v="8"/>
    <x v="0"/>
    <n v="398"/>
    <n v="2.3139534883720931"/>
  </r>
  <r>
    <s v="2542"/>
    <x v="2550"/>
    <n v="8900000"/>
    <x v="1"/>
    <n v="154.26820000000001"/>
    <x v="23"/>
    <n v="255"/>
    <n v="95"/>
    <s v="2011"/>
    <n v="1"/>
    <x v="0"/>
    <n v="160"/>
    <n v="1.6842105263157894"/>
  </r>
  <r>
    <s v="2543"/>
    <x v="2551"/>
    <n v="214100000"/>
    <x v="8"/>
    <n v="154.26779999999999"/>
    <x v="5"/>
    <n v="386"/>
    <n v="102"/>
    <s v="2004"/>
    <n v="4"/>
    <x v="0"/>
    <n v="284"/>
    <n v="2.784313725490196"/>
  </r>
  <r>
    <s v="2544"/>
    <x v="2552"/>
    <n v="2400000"/>
    <x v="5"/>
    <n v="154.25200000000001"/>
    <x v="3"/>
    <n v="30"/>
    <n v="4"/>
    <s v="2008"/>
    <n v="1"/>
    <x v="0"/>
    <n v="26"/>
    <n v="6.5"/>
  </r>
  <r>
    <s v="2545"/>
    <x v="2553"/>
    <n v="52300000"/>
    <x v="37"/>
    <n v="154.24870000000001"/>
    <x v="23"/>
    <n v="313"/>
    <n v="226"/>
    <s v="1970"/>
    <n v="4"/>
    <x v="0"/>
    <n v="87"/>
    <n v="0.38495575221238937"/>
  </r>
  <r>
    <s v="2546"/>
    <x v="2554"/>
    <n v="9800000"/>
    <x v="13"/>
    <n v="154.0917"/>
    <x v="23"/>
    <n v="20"/>
    <n v="9"/>
    <s v="2013"/>
    <n v="2"/>
    <x v="0"/>
    <n v="11"/>
    <n v="1.2222222222222223"/>
  </r>
  <r>
    <s v="2547"/>
    <x v="2555"/>
    <n v="3500000"/>
    <x v="40"/>
    <n v="153.95519999999999"/>
    <x v="4"/>
    <n v="1"/>
    <n v="1"/>
    <s v="2005"/>
    <n v="2"/>
    <x v="1"/>
    <n v="0"/>
    <n v="0"/>
  </r>
  <r>
    <s v="2548"/>
    <x v="2556"/>
    <n v="106900000"/>
    <x v="12"/>
    <n v="153.8836"/>
    <x v="0"/>
    <n v="181"/>
    <n v="107"/>
    <s v="2011"/>
    <n v="5"/>
    <x v="0"/>
    <n v="74"/>
    <n v="0.69158878504672894"/>
  </r>
  <r>
    <s v="2549"/>
    <x v="2557"/>
    <n v="26000000"/>
    <x v="12"/>
    <n v="153.85820000000001"/>
    <x v="20"/>
    <n v="32"/>
    <n v="10"/>
    <s v="2007"/>
    <n v="3"/>
    <x v="0"/>
    <n v="22"/>
    <n v="2.2000000000000002"/>
  </r>
  <r>
    <s v="2550"/>
    <x v="2558"/>
    <n v="113000000"/>
    <x v="32"/>
    <n v="153.82939999999999"/>
    <x v="1"/>
    <n v="130"/>
    <n v="25"/>
    <s v="2007"/>
    <n v="4"/>
    <x v="0"/>
    <n v="105"/>
    <n v="4.2"/>
  </r>
  <r>
    <s v="2551"/>
    <x v="2559"/>
    <n v="2500000"/>
    <x v="9"/>
    <n v="153.75219999999999"/>
    <x v="23"/>
    <n v="4"/>
    <n v="4"/>
    <s v="2014"/>
    <n v="1"/>
    <x v="1"/>
    <n v="0"/>
    <n v="0"/>
  </r>
  <r>
    <s v="2552"/>
    <x v="2560"/>
    <n v="53400000"/>
    <x v="21"/>
    <n v="153.50389999999999"/>
    <x v="11"/>
    <n v="479"/>
    <n v="240"/>
    <s v="2000"/>
    <n v="5"/>
    <x v="0"/>
    <n v="239"/>
    <n v="0.99583333333333335"/>
  </r>
  <r>
    <s v="2553"/>
    <x v="2561"/>
    <n v="4200000"/>
    <x v="19"/>
    <n v="153.44450000000001"/>
    <x v="0"/>
    <n v="20"/>
    <n v="5"/>
    <s v="1995"/>
    <n v="2"/>
    <x v="0"/>
    <n v="15"/>
    <n v="3"/>
  </r>
  <r>
    <s v="2554"/>
    <x v="2562"/>
    <n v="15100000"/>
    <x v="9"/>
    <n v="153.41650000000001"/>
    <x v="23"/>
    <n v="206"/>
    <n v="131"/>
    <s v="2006"/>
    <n v="2"/>
    <x v="0"/>
    <n v="75"/>
    <n v="0.5725190839694656"/>
  </r>
  <r>
    <s v="2555"/>
    <x v="2563"/>
    <n v="2400000"/>
    <x v="9"/>
    <n v="153.3946"/>
    <x v="9"/>
    <n v="25"/>
    <n v="8"/>
    <s v="2012"/>
    <n v="1"/>
    <x v="0"/>
    <n v="17"/>
    <n v="2.125"/>
  </r>
  <r>
    <s v="2556"/>
    <x v="2564"/>
    <n v="4400000"/>
    <x v="11"/>
    <n v="153.3623"/>
    <x v="3"/>
    <n v="25"/>
    <n v="10"/>
    <s v="2012"/>
    <n v="1"/>
    <x v="0"/>
    <n v="15"/>
    <n v="1.5"/>
  </r>
  <r>
    <s v="2557"/>
    <x v="2565"/>
    <n v="82000000"/>
    <x v="5"/>
    <n v="153.3169"/>
    <x v="15"/>
    <n v="187"/>
    <n v="110"/>
    <s v="2010"/>
    <n v="3"/>
    <x v="0"/>
    <n v="77"/>
    <n v="0.7"/>
  </r>
  <r>
    <s v="2558"/>
    <x v="2566"/>
    <n v="5000000"/>
    <x v="4"/>
    <n v="153.14279999999999"/>
    <x v="9"/>
    <n v="26"/>
    <n v="15"/>
    <s v="2000"/>
    <n v="1"/>
    <x v="0"/>
    <n v="11"/>
    <n v="0.73333333333333328"/>
  </r>
  <r>
    <s v="2559"/>
    <x v="2567"/>
    <n v="4700000"/>
    <x v="20"/>
    <n v="153.0821"/>
    <x v="16"/>
    <n v="38"/>
    <n v="15"/>
    <s v="2005"/>
    <n v="3"/>
    <x v="0"/>
    <n v="23"/>
    <n v="1.5333333333333334"/>
  </r>
  <r>
    <s v="2560"/>
    <x v="2568"/>
    <n v="8300000"/>
    <x v="22"/>
    <n v="153.00700000000001"/>
    <x v="19"/>
    <n v="85"/>
    <n v="25"/>
    <s v="2011"/>
    <n v="3"/>
    <x v="0"/>
    <n v="60"/>
    <n v="2.4"/>
  </r>
  <r>
    <s v="2561"/>
    <x v="2569"/>
    <n v="45700000"/>
    <x v="2"/>
    <n v="152.97739999999999"/>
    <x v="3"/>
    <n v="785"/>
    <n v="184"/>
    <s v="2008"/>
    <n v="1"/>
    <x v="0"/>
    <n v="601"/>
    <n v="3.2663043478260869"/>
  </r>
  <r>
    <s v="2562"/>
    <x v="2570"/>
    <n v="6600000"/>
    <x v="5"/>
    <n v="152.95769999999999"/>
    <x v="19"/>
    <n v="58"/>
    <n v="7"/>
    <s v="2004"/>
    <n v="1"/>
    <x v="0"/>
    <n v="51"/>
    <n v="7.2857142857142856"/>
  </r>
  <r>
    <s v="2563"/>
    <x v="2571"/>
    <n v="16300000"/>
    <x v="20"/>
    <n v="152.9066"/>
    <x v="16"/>
    <n v="145"/>
    <n v="43"/>
    <s v="2010"/>
    <n v="4"/>
    <x v="0"/>
    <n v="102"/>
    <n v="2.3720930232558142"/>
  </r>
  <r>
    <s v="2564"/>
    <x v="2572"/>
    <n v="7100000"/>
    <x v="15"/>
    <n v="152.90029999999999"/>
    <x v="6"/>
    <n v="25"/>
    <n v="14"/>
    <s v="2010"/>
    <n v="3"/>
    <x v="0"/>
    <n v="11"/>
    <n v="0.7857142857142857"/>
  </r>
  <r>
    <s v="2565"/>
    <x v="2573"/>
    <n v="6100000"/>
    <x v="24"/>
    <n v="152.8603"/>
    <x v="0"/>
    <n v="65"/>
    <n v="35"/>
    <s v="2011"/>
    <n v="2"/>
    <x v="0"/>
    <n v="30"/>
    <n v="0.8571428571428571"/>
  </r>
  <r>
    <s v="2566"/>
    <x v="2574"/>
    <n v="2400000"/>
    <x v="10"/>
    <n v="152.7867"/>
    <x v="9"/>
    <n v="18"/>
    <n v="7"/>
    <s v="2012"/>
    <n v="1"/>
    <x v="0"/>
    <n v="11"/>
    <n v="1.5714285714285714"/>
  </r>
  <r>
    <s v="2567"/>
    <x v="2575"/>
    <n v="70100000"/>
    <x v="4"/>
    <n v="152.6224"/>
    <x v="5"/>
    <n v="1950"/>
    <n v="1000"/>
    <s v="2011"/>
    <n v="1"/>
    <x v="0"/>
    <n v="950"/>
    <n v="0.95"/>
  </r>
  <r>
    <s v="2568"/>
    <x v="2576"/>
    <n v="25400000"/>
    <x v="5"/>
    <n v="152.61789999999999"/>
    <x v="5"/>
    <n v="120"/>
    <n v="48"/>
    <s v="2001"/>
    <n v="1"/>
    <x v="0"/>
    <n v="72"/>
    <n v="1.5"/>
  </r>
  <r>
    <s v="2569"/>
    <x v="2577"/>
    <n v="250900000"/>
    <x v="12"/>
    <n v="152.60849999999999"/>
    <x v="9"/>
    <n v="760"/>
    <n v="350"/>
    <s v="2001"/>
    <n v="2"/>
    <x v="0"/>
    <n v="410"/>
    <n v="1.1714285714285715"/>
  </r>
  <r>
    <s v="2570"/>
    <x v="2578"/>
    <n v="10600000"/>
    <x v="7"/>
    <n v="152.51480000000001"/>
    <x v="0"/>
    <n v="153"/>
    <n v="79"/>
    <s v="2010"/>
    <n v="6"/>
    <x v="0"/>
    <n v="74"/>
    <n v="0.93670886075949367"/>
  </r>
  <r>
    <s v="2571"/>
    <x v="2579"/>
    <n v="68300000"/>
    <x v="7"/>
    <n v="152.50559999999999"/>
    <x v="12"/>
    <n v="28"/>
    <n v="14"/>
    <s v="2012"/>
    <n v="3"/>
    <x v="0"/>
    <n v="14"/>
    <n v="1"/>
  </r>
  <r>
    <s v="2572"/>
    <x v="2580"/>
    <n v="17800000"/>
    <x v="2"/>
    <n v="152.50069999999999"/>
    <x v="23"/>
    <n v="189"/>
    <n v="86"/>
    <s v="2006"/>
    <n v="6"/>
    <x v="0"/>
    <n v="103"/>
    <n v="1.1976744186046511"/>
  </r>
  <r>
    <s v="2573"/>
    <x v="2581"/>
    <n v="73300000"/>
    <x v="5"/>
    <n v="152.38900000000001"/>
    <x v="9"/>
    <n v="439"/>
    <n v="191"/>
    <s v="2004"/>
    <n v="12"/>
    <x v="0"/>
    <n v="248"/>
    <n v="1.2984293193717278"/>
  </r>
  <r>
    <s v="2574"/>
    <x v="2582"/>
    <n v="34800000"/>
    <x v="21"/>
    <n v="152.00120000000001"/>
    <x v="19"/>
    <n v="142"/>
    <n v="40"/>
    <s v="2003"/>
    <n v="5"/>
    <x v="0"/>
    <n v="102"/>
    <n v="2.5499999999999998"/>
  </r>
  <r>
    <s v="2575"/>
    <x v="2583"/>
    <n v="107800000"/>
    <x v="37"/>
    <n v="151.98509999999999"/>
    <x v="1"/>
    <n v="98"/>
    <n v="64"/>
    <s v="2007"/>
    <n v="6"/>
    <x v="0"/>
    <n v="34"/>
    <n v="0.53125"/>
  </r>
  <r>
    <s v="2576"/>
    <x v="2584"/>
    <n v="97000000"/>
    <x v="14"/>
    <n v="151.90479999999999"/>
    <x v="11"/>
    <n v="1960"/>
    <n v="1257"/>
    <s v="2003"/>
    <n v="3"/>
    <x v="0"/>
    <n v="703"/>
    <n v="0.55926809864757354"/>
  </r>
  <r>
    <s v="2577"/>
    <x v="2585"/>
    <n v="16000000"/>
    <x v="9"/>
    <n v="151.82669999999999"/>
    <x v="5"/>
    <n v="54"/>
    <n v="26"/>
    <s v="2006"/>
    <n v="5"/>
    <x v="0"/>
    <n v="28"/>
    <n v="1.0769230769230769"/>
  </r>
  <r>
    <s v="2578"/>
    <x v="2586"/>
    <n v="5600000"/>
    <x v="16"/>
    <n v="151.79419999999999"/>
    <x v="12"/>
    <n v="52"/>
    <n v="12"/>
    <s v="2008"/>
    <n v="3"/>
    <x v="0"/>
    <n v="40"/>
    <n v="3.3333333333333335"/>
  </r>
  <r>
    <s v="2579"/>
    <x v="2587"/>
    <n v="18100000"/>
    <x v="6"/>
    <n v="151.67429999999999"/>
    <x v="20"/>
    <n v="310"/>
    <n v="115"/>
    <s v="2005"/>
    <n v="3"/>
    <x v="0"/>
    <n v="195"/>
    <n v="1.6956521739130435"/>
  </r>
  <r>
    <s v="2580"/>
    <x v="2588"/>
    <n v="7300000"/>
    <x v="42"/>
    <n v="151.67420000000001"/>
    <x v="20"/>
    <n v="14"/>
    <n v="5"/>
    <s v="2009"/>
    <n v="2"/>
    <x v="0"/>
    <n v="9"/>
    <n v="1.8"/>
  </r>
  <r>
    <s v="2581"/>
    <x v="2589"/>
    <n v="5100000"/>
    <x v="13"/>
    <n v="151.60740000000001"/>
    <x v="15"/>
    <n v="21"/>
    <n v="10"/>
    <s v="2011"/>
    <n v="4"/>
    <x v="0"/>
    <n v="11"/>
    <n v="1.1000000000000001"/>
  </r>
  <r>
    <s v="2582"/>
    <x v="2590"/>
    <n v="4300000"/>
    <x v="5"/>
    <n v="151.51349999999999"/>
    <x v="5"/>
    <n v="27"/>
    <n v="5"/>
    <s v="2013"/>
    <n v="2"/>
    <x v="0"/>
    <n v="22"/>
    <n v="4.4000000000000004"/>
  </r>
  <r>
    <s v="2583"/>
    <x v="2591"/>
    <n v="4400000"/>
    <x v="38"/>
    <n v="151.4956"/>
    <x v="15"/>
    <n v="7"/>
    <n v="3"/>
    <s v="2009"/>
    <n v="1"/>
    <x v="0"/>
    <n v="4"/>
    <n v="1.3333333333333333"/>
  </r>
  <r>
    <s v="2584"/>
    <x v="2592"/>
    <n v="4000000"/>
    <x v="13"/>
    <n v="151.316"/>
    <x v="6"/>
    <n v="32"/>
    <n v="12"/>
    <s v="1996"/>
    <n v="2"/>
    <x v="0"/>
    <n v="20"/>
    <n v="1.6666666666666667"/>
  </r>
  <r>
    <s v="2585"/>
    <x v="2593"/>
    <n v="12600000"/>
    <x v="7"/>
    <n v="151.26599999999999"/>
    <x v="11"/>
    <n v="74"/>
    <n v="24"/>
    <s v="2001"/>
    <n v="6"/>
    <x v="0"/>
    <n v="50"/>
    <n v="2.0833333333333335"/>
  </r>
  <r>
    <s v="2586"/>
    <x v="2594"/>
    <n v="24700000"/>
    <x v="2"/>
    <n v="151.19059999999999"/>
    <x v="23"/>
    <n v="90"/>
    <n v="44"/>
    <s v="2012"/>
    <n v="4"/>
    <x v="0"/>
    <n v="46"/>
    <n v="1.0454545454545454"/>
  </r>
  <r>
    <s v="2587"/>
    <x v="2595"/>
    <n v="2500000"/>
    <x v="2"/>
    <n v="151.1705"/>
    <x v="9"/>
    <n v="14"/>
    <n v="6"/>
    <s v="2011"/>
    <n v="2"/>
    <x v="0"/>
    <n v="8"/>
    <n v="1.3333333333333333"/>
  </r>
  <r>
    <s v="2588"/>
    <x v="2596"/>
    <n v="3100000"/>
    <x v="0"/>
    <n v="151.1653"/>
    <x v="3"/>
    <n v="10"/>
    <n v="6"/>
    <s v="2013"/>
    <n v="2"/>
    <x v="0"/>
    <n v="4"/>
    <n v="0.66666666666666663"/>
  </r>
  <r>
    <s v="2589"/>
    <x v="2597"/>
    <n v="7800000"/>
    <x v="22"/>
    <n v="151.06530000000001"/>
    <x v="8"/>
    <n v="49"/>
    <n v="30"/>
    <s v="2005"/>
    <n v="4"/>
    <x v="0"/>
    <n v="19"/>
    <n v="0.6333333333333333"/>
  </r>
  <r>
    <s v="2590"/>
    <x v="2598"/>
    <n v="17400000"/>
    <x v="12"/>
    <n v="151.04339999999999"/>
    <x v="9"/>
    <n v="48"/>
    <n v="25"/>
    <s v="2005"/>
    <n v="1"/>
    <x v="0"/>
    <n v="23"/>
    <n v="0.92"/>
  </r>
  <r>
    <s v="2591"/>
    <x v="2599"/>
    <n v="2300000"/>
    <x v="9"/>
    <n v="151.0411"/>
    <x v="16"/>
    <n v="78"/>
    <n v="42"/>
    <s v="2009"/>
    <n v="1"/>
    <x v="0"/>
    <n v="36"/>
    <n v="0.8571428571428571"/>
  </r>
  <r>
    <s v="2592"/>
    <x v="2600"/>
    <n v="2300000"/>
    <x v="9"/>
    <n v="150.91890000000001"/>
    <x v="23"/>
    <n v="5"/>
    <n v="2"/>
    <s v="1995"/>
    <n v="1"/>
    <x v="0"/>
    <n v="3"/>
    <n v="1.5"/>
  </r>
  <r>
    <s v="2593"/>
    <x v="2601"/>
    <n v="7000000"/>
    <x v="2"/>
    <n v="150.89490000000001"/>
    <x v="6"/>
    <n v="36"/>
    <n v="20"/>
    <s v="1994"/>
    <n v="4"/>
    <x v="0"/>
    <n v="16"/>
    <n v="0.8"/>
  </r>
  <r>
    <s v="2594"/>
    <x v="2602"/>
    <n v="1000000000"/>
    <x v="13"/>
    <n v="150.79169999999999"/>
    <x v="23"/>
    <n v="5800"/>
    <n v="4908"/>
    <s v="1998"/>
    <n v="12"/>
    <x v="0"/>
    <n v="892"/>
    <n v="0.18174409127954361"/>
  </r>
  <r>
    <s v="2595"/>
    <x v="2603"/>
    <n v="14600000"/>
    <x v="6"/>
    <n v="150.5882"/>
    <x v="0"/>
    <n v="197"/>
    <n v="162"/>
    <s v="2008"/>
    <n v="5"/>
    <x v="0"/>
    <n v="35"/>
    <n v="0.21604938271604937"/>
  </r>
  <r>
    <s v="2596"/>
    <x v="2604"/>
    <n v="50900000"/>
    <x v="28"/>
    <n v="150.58430000000001"/>
    <x v="0"/>
    <n v="199"/>
    <n v="83"/>
    <s v="2007"/>
    <n v="3"/>
    <x v="0"/>
    <n v="116"/>
    <n v="1.3975903614457832"/>
  </r>
  <r>
    <s v="2597"/>
    <x v="2605"/>
    <n v="14100000"/>
    <x v="16"/>
    <n v="150.49930000000001"/>
    <x v="12"/>
    <n v="11"/>
    <n v="4"/>
    <s v="2007"/>
    <n v="3"/>
    <x v="0"/>
    <n v="7"/>
    <n v="1.75"/>
  </r>
  <r>
    <s v="2598"/>
    <x v="2606"/>
    <n v="86700000"/>
    <x v="0"/>
    <n v="150.44749999999999"/>
    <x v="12"/>
    <n v="73"/>
    <n v="31"/>
    <s v="2008"/>
    <n v="6"/>
    <x v="0"/>
    <n v="42"/>
    <n v="1.3548387096774193"/>
  </r>
  <r>
    <s v="2599"/>
    <x v="2607"/>
    <n v="2400000"/>
    <x v="11"/>
    <n v="150.44399999999999"/>
    <x v="0"/>
    <n v="21"/>
    <n v="9"/>
    <s v="2006"/>
    <n v="2"/>
    <x v="0"/>
    <n v="12"/>
    <n v="1.3333333333333333"/>
  </r>
  <r>
    <s v="2600"/>
    <x v="2608"/>
    <n v="5600000"/>
    <x v="43"/>
    <n v="150.31460000000001"/>
    <x v="12"/>
    <n v="419"/>
    <n v="123"/>
    <s v="2004"/>
    <n v="2"/>
    <x v="0"/>
    <n v="296"/>
    <n v="2.4065040650406506"/>
  </r>
  <r>
    <s v="2601"/>
    <x v="2609"/>
    <n v="19400000"/>
    <x v="21"/>
    <n v="150.29470000000001"/>
    <x v="19"/>
    <n v="157"/>
    <n v="67"/>
    <s v="2002"/>
    <n v="1"/>
    <x v="0"/>
    <n v="90"/>
    <n v="1.3432835820895523"/>
  </r>
  <r>
    <s v="2602"/>
    <x v="2610"/>
    <n v="17700000"/>
    <x v="12"/>
    <n v="150.22239999999999"/>
    <x v="22"/>
    <n v="96"/>
    <n v="40"/>
    <s v="2008"/>
    <n v="2"/>
    <x v="0"/>
    <n v="56"/>
    <n v="1.4"/>
  </r>
  <r>
    <s v="2603"/>
    <x v="2611"/>
    <n v="19800000"/>
    <x v="9"/>
    <n v="150.12440000000001"/>
    <x v="23"/>
    <n v="70"/>
    <n v="55"/>
    <s v="2012"/>
    <n v="1"/>
    <x v="0"/>
    <n v="15"/>
    <n v="0.27272727272727271"/>
  </r>
  <r>
    <s v="2604"/>
    <x v="2612"/>
    <n v="9400000"/>
    <x v="9"/>
    <n v="150.1146"/>
    <x v="9"/>
    <n v="70"/>
    <n v="20"/>
    <s v="2006"/>
    <n v="5"/>
    <x v="0"/>
    <n v="50"/>
    <n v="2.5"/>
  </r>
  <r>
    <s v="2605"/>
    <x v="2613"/>
    <n v="42200000"/>
    <x v="9"/>
    <n v="150.03200000000001"/>
    <x v="22"/>
    <n v="2979"/>
    <n v="1468"/>
    <s v="2005"/>
    <n v="3"/>
    <x v="0"/>
    <n v="1511"/>
    <n v="1.0292915531335149"/>
  </r>
  <r>
    <s v="2606"/>
    <x v="2614"/>
    <n v="9100000"/>
    <x v="24"/>
    <n v="149.91319999999999"/>
    <x v="3"/>
    <n v="3"/>
    <n v="2"/>
    <s v="2012"/>
    <n v="3"/>
    <x v="0"/>
    <n v="1"/>
    <n v="0.5"/>
  </r>
  <r>
    <s v="2607"/>
    <x v="2615"/>
    <n v="22200000"/>
    <x v="2"/>
    <n v="149.57910000000001"/>
    <x v="5"/>
    <n v="236"/>
    <n v="76"/>
    <s v="1998"/>
    <n v="4"/>
    <x v="0"/>
    <n v="160"/>
    <n v="2.1052631578947367"/>
  </r>
  <r>
    <s v="2608"/>
    <x v="2616"/>
    <n v="2500000"/>
    <x v="6"/>
    <n v="149.45439999999999"/>
    <x v="23"/>
    <n v="19"/>
    <n v="7"/>
    <s v="2013"/>
    <n v="2"/>
    <x v="0"/>
    <n v="12"/>
    <n v="1.7142857142857142"/>
  </r>
  <r>
    <s v="2609"/>
    <x v="2617"/>
    <n v="15000000"/>
    <x v="5"/>
    <n v="149.44309999999999"/>
    <x v="23"/>
    <n v="4"/>
    <n v="3"/>
    <s v="2003"/>
    <n v="2"/>
    <x v="0"/>
    <n v="1"/>
    <n v="0.33333333333333331"/>
  </r>
  <r>
    <s v="2610"/>
    <x v="2618"/>
    <n v="4900000"/>
    <x v="5"/>
    <n v="149.44280000000001"/>
    <x v="15"/>
    <n v="25"/>
    <n v="10"/>
    <s v="2006"/>
    <n v="1"/>
    <x v="0"/>
    <n v="15"/>
    <n v="1.5"/>
  </r>
  <r>
    <s v="2611"/>
    <x v="2619"/>
    <n v="17700000"/>
    <x v="9"/>
    <n v="149.44069999999999"/>
    <x v="9"/>
    <n v="130"/>
    <n v="60"/>
    <s v="2010"/>
    <n v="2"/>
    <x v="0"/>
    <n v="70"/>
    <n v="1.1666666666666667"/>
  </r>
  <r>
    <s v="2612"/>
    <x v="2620"/>
    <n v="18100000"/>
    <x v="15"/>
    <n v="149.4288"/>
    <x v="23"/>
    <n v="188"/>
    <n v="160"/>
    <s v="2015"/>
    <n v="1"/>
    <x v="0"/>
    <n v="28"/>
    <n v="0.17499999999999999"/>
  </r>
  <r>
    <s v="2613"/>
    <x v="2621"/>
    <n v="5700000"/>
    <x v="32"/>
    <n v="149.41970000000001"/>
    <x v="23"/>
    <n v="8"/>
    <n v="3"/>
    <s v="1999"/>
    <n v="2"/>
    <x v="0"/>
    <n v="5"/>
    <n v="1.6666666666666667"/>
  </r>
  <r>
    <s v="2614"/>
    <x v="2622"/>
    <n v="2500000"/>
    <x v="13"/>
    <n v="149.4059"/>
    <x v="18"/>
    <n v="250"/>
    <n v="100"/>
    <s v="1989"/>
    <n v="1"/>
    <x v="0"/>
    <n v="150"/>
    <n v="1.5"/>
  </r>
  <r>
    <s v="2615"/>
    <x v="2623"/>
    <n v="218400000"/>
    <x v="8"/>
    <n v="149.35050000000001"/>
    <x v="19"/>
    <n v="1200"/>
    <n v="363"/>
    <s v="1991"/>
    <n v="7"/>
    <x v="0"/>
    <n v="837"/>
    <n v="2.3057851239669422"/>
  </r>
  <r>
    <s v="2616"/>
    <x v="2624"/>
    <n v="28000000"/>
    <x v="13"/>
    <n v="149.3304"/>
    <x v="9"/>
    <n v="215"/>
    <n v="56"/>
    <s v="2014"/>
    <n v="1"/>
    <x v="0"/>
    <n v="159"/>
    <n v="2.8392857142857144"/>
  </r>
  <r>
    <s v="2617"/>
    <x v="2625"/>
    <n v="147500000"/>
    <x v="11"/>
    <n v="149.1362"/>
    <x v="4"/>
    <n v="187"/>
    <n v="72"/>
    <s v="2006"/>
    <n v="4"/>
    <x v="0"/>
    <n v="115"/>
    <n v="1.5972222222222223"/>
  </r>
  <r>
    <s v="2618"/>
    <x v="2626"/>
    <n v="37700000"/>
    <x v="9"/>
    <n v="148.94589999999999"/>
    <x v="23"/>
    <n v="180"/>
    <n v="92"/>
    <s v="2013"/>
    <n v="3"/>
    <x v="0"/>
    <n v="88"/>
    <n v="0.95652173913043481"/>
  </r>
  <r>
    <s v="2619"/>
    <x v="2627"/>
    <n v="4500000"/>
    <x v="12"/>
    <n v="148.55250000000001"/>
    <x v="19"/>
    <n v="24"/>
    <n v="8"/>
    <s v="2012"/>
    <n v="1"/>
    <x v="0"/>
    <n v="16"/>
    <n v="2"/>
  </r>
  <r>
    <s v="2620"/>
    <x v="2628"/>
    <n v="15700000"/>
    <x v="0"/>
    <n v="148.49279999999999"/>
    <x v="5"/>
    <n v="155"/>
    <n v="50"/>
    <s v="1982"/>
    <n v="2"/>
    <x v="0"/>
    <n v="105"/>
    <n v="2.1"/>
  </r>
  <r>
    <s v="2621"/>
    <x v="2629"/>
    <n v="4000000"/>
    <x v="27"/>
    <n v="148.46350000000001"/>
    <x v="13"/>
    <n v="4"/>
    <n v="14"/>
    <s v="1989"/>
    <n v="1"/>
    <x v="1"/>
    <n v="-10"/>
    <n v="-0.7142857142857143"/>
  </r>
  <r>
    <s v="2622"/>
    <x v="2630"/>
    <n v="8900000"/>
    <x v="16"/>
    <n v="148.339"/>
    <x v="3"/>
    <n v="41"/>
    <n v="9"/>
    <s v="2004"/>
    <n v="1"/>
    <x v="0"/>
    <n v="32"/>
    <n v="3.5555555555555554"/>
  </r>
  <r>
    <s v="2623"/>
    <x v="2631"/>
    <n v="39600000"/>
    <x v="42"/>
    <n v="148.22030000000001"/>
    <x v="3"/>
    <n v="300"/>
    <n v="65"/>
    <s v="1996"/>
    <n v="2"/>
    <x v="0"/>
    <n v="235"/>
    <n v="3.6153846153846154"/>
  </r>
  <r>
    <s v="2624"/>
    <x v="2632"/>
    <n v="4400000"/>
    <x v="33"/>
    <n v="148.21420000000001"/>
    <x v="7"/>
    <n v="35"/>
    <n v="26"/>
    <s v="2002"/>
    <n v="3"/>
    <x v="0"/>
    <n v="9"/>
    <n v="0.34615384615384615"/>
  </r>
  <r>
    <s v="2625"/>
    <x v="2633"/>
    <n v="23300000"/>
    <x v="7"/>
    <n v="148.13720000000001"/>
    <x v="18"/>
    <n v="124"/>
    <n v="90"/>
    <s v="2011"/>
    <n v="2"/>
    <x v="0"/>
    <n v="34"/>
    <n v="0.37777777777777777"/>
  </r>
  <r>
    <s v="2626"/>
    <x v="2634"/>
    <n v="2300000"/>
    <x v="8"/>
    <n v="148.0873"/>
    <x v="7"/>
    <n v="30"/>
    <n v="20"/>
    <s v="2014"/>
    <n v="1"/>
    <x v="0"/>
    <n v="10"/>
    <n v="0.5"/>
  </r>
  <r>
    <s v="2627"/>
    <x v="2635"/>
    <n v="5900000"/>
    <x v="40"/>
    <n v="148.06729999999999"/>
    <x v="23"/>
    <n v="24"/>
    <n v="12"/>
    <s v="2009"/>
    <n v="1"/>
    <x v="0"/>
    <n v="12"/>
    <n v="1"/>
  </r>
  <r>
    <s v="2628"/>
    <x v="2636"/>
    <n v="12200000"/>
    <x v="1"/>
    <n v="148.01849999999999"/>
    <x v="15"/>
    <n v="16"/>
    <n v="7"/>
    <s v="1997"/>
    <n v="1"/>
    <x v="0"/>
    <n v="9"/>
    <n v="1.2857142857142858"/>
  </r>
  <r>
    <s v="2629"/>
    <x v="2637"/>
    <n v="733700000"/>
    <x v="14"/>
    <n v="148.01689999999999"/>
    <x v="25"/>
    <n v="1500"/>
    <n v="500"/>
    <s v="1999"/>
    <n v="1"/>
    <x v="0"/>
    <n v="1000"/>
    <n v="2"/>
  </r>
  <r>
    <s v="2630"/>
    <x v="2638"/>
    <n v="7200000"/>
    <x v="5"/>
    <n v="147.9588"/>
    <x v="23"/>
    <n v="24"/>
    <n v="10"/>
    <s v="2001"/>
    <n v="5"/>
    <x v="0"/>
    <n v="14"/>
    <n v="1.4"/>
  </r>
  <r>
    <s v="2631"/>
    <x v="2639"/>
    <n v="24400000"/>
    <x v="1"/>
    <n v="147.9212"/>
    <x v="22"/>
    <n v="235"/>
    <n v="102"/>
    <s v="2000"/>
    <n v="6"/>
    <x v="0"/>
    <n v="133"/>
    <n v="1.303921568627451"/>
  </r>
  <r>
    <s v="2632"/>
    <x v="2640"/>
    <n v="68400000"/>
    <x v="9"/>
    <n v="147.91200000000001"/>
    <x v="19"/>
    <n v="1500"/>
    <n v="1500"/>
    <s v="2011"/>
    <n v="4"/>
    <x v="1"/>
    <n v="0"/>
    <n v="0"/>
  </r>
  <r>
    <s v="2633"/>
    <x v="2641"/>
    <n v="21400000"/>
    <x v="27"/>
    <n v="147.84020000000001"/>
    <x v="4"/>
    <n v="29"/>
    <n v="7"/>
    <s v="2007"/>
    <n v="5"/>
    <x v="0"/>
    <n v="22"/>
    <n v="3.1428571428571428"/>
  </r>
  <r>
    <s v="2634"/>
    <x v="2642"/>
    <n v="5000000"/>
    <x v="24"/>
    <n v="147.8252"/>
    <x v="7"/>
    <n v="65"/>
    <n v="30"/>
    <s v="2008"/>
    <n v="4"/>
    <x v="0"/>
    <n v="35"/>
    <n v="1.1666666666666667"/>
  </r>
  <r>
    <s v="2635"/>
    <x v="2643"/>
    <n v="2100000"/>
    <x v="9"/>
    <n v="147.81780000000001"/>
    <x v="7"/>
    <n v="5"/>
    <n v="3"/>
    <s v="2009"/>
    <n v="1"/>
    <x v="0"/>
    <n v="2"/>
    <n v="0.66666666666666663"/>
  </r>
  <r>
    <s v="2636"/>
    <x v="2644"/>
    <n v="20100000"/>
    <x v="12"/>
    <n v="147.76429999999999"/>
    <x v="3"/>
    <n v="23"/>
    <n v="7"/>
    <s v="2014"/>
    <n v="2"/>
    <x v="0"/>
    <n v="16"/>
    <n v="2.2857142857142856"/>
  </r>
  <r>
    <s v="2637"/>
    <x v="2645"/>
    <n v="6000000"/>
    <x v="23"/>
    <n v="147.6352"/>
    <x v="15"/>
    <n v="32"/>
    <n v="12"/>
    <s v="2011"/>
    <n v="1"/>
    <x v="0"/>
    <n v="20"/>
    <n v="1.6666666666666667"/>
  </r>
  <r>
    <s v="2638"/>
    <x v="2646"/>
    <n v="4300000"/>
    <x v="27"/>
    <n v="147.63470000000001"/>
    <x v="9"/>
    <n v="13"/>
    <n v="6"/>
    <s v="2014"/>
    <n v="1"/>
    <x v="0"/>
    <n v="7"/>
    <n v="1.1666666666666667"/>
  </r>
  <r>
    <s v="2639"/>
    <x v="2647"/>
    <n v="14500000"/>
    <x v="19"/>
    <n v="147.52869999999999"/>
    <x v="23"/>
    <n v="108"/>
    <n v="25"/>
    <s v="2014"/>
    <n v="1"/>
    <x v="0"/>
    <n v="83"/>
    <n v="3.32"/>
  </r>
  <r>
    <s v="2640"/>
    <x v="2648"/>
    <n v="8400000"/>
    <x v="21"/>
    <n v="147.49860000000001"/>
    <x v="16"/>
    <n v="25"/>
    <n v="15"/>
    <s v="2005"/>
    <n v="2"/>
    <x v="0"/>
    <n v="10"/>
    <n v="0.66666666666666663"/>
  </r>
  <r>
    <s v="2641"/>
    <x v="2649"/>
    <n v="5900000"/>
    <x v="2"/>
    <n v="147.4478"/>
    <x v="21"/>
    <n v="26"/>
    <n v="12"/>
    <s v="2012"/>
    <n v="3"/>
    <x v="0"/>
    <n v="14"/>
    <n v="1.1666666666666667"/>
  </r>
  <r>
    <s v="2642"/>
    <x v="2650"/>
    <n v="3300000"/>
    <x v="8"/>
    <n v="147.25790000000001"/>
    <x v="13"/>
    <n v="22"/>
    <n v="12"/>
    <s v="2008"/>
    <n v="2"/>
    <x v="0"/>
    <n v="10"/>
    <n v="0.83333333333333337"/>
  </r>
  <r>
    <s v="2643"/>
    <x v="2651"/>
    <n v="80700000"/>
    <x v="12"/>
    <n v="147.13249999999999"/>
    <x v="20"/>
    <n v="1919"/>
    <n v="434"/>
    <s v="1985"/>
    <n v="2"/>
    <x v="0"/>
    <n v="1485"/>
    <n v="3.4216589861751152"/>
  </r>
  <r>
    <s v="2644"/>
    <x v="2652"/>
    <n v="6900000"/>
    <x v="13"/>
    <n v="147.12559999999999"/>
    <x v="0"/>
    <n v="32"/>
    <n v="15"/>
    <s v="2013"/>
    <n v="1"/>
    <x v="0"/>
    <n v="17"/>
    <n v="1.1333333333333333"/>
  </r>
  <r>
    <s v="2645"/>
    <x v="2653"/>
    <n v="4700000"/>
    <x v="2"/>
    <n v="147.05350000000001"/>
    <x v="5"/>
    <n v="34"/>
    <n v="13"/>
    <s v="2009"/>
    <n v="1"/>
    <x v="0"/>
    <n v="21"/>
    <n v="1.6153846153846154"/>
  </r>
  <r>
    <s v="2646"/>
    <x v="2654"/>
    <n v="13700000"/>
    <x v="2"/>
    <n v="147.01089999999999"/>
    <x v="20"/>
    <n v="35"/>
    <n v="22"/>
    <s v="1988"/>
    <n v="6"/>
    <x v="0"/>
    <n v="13"/>
    <n v="0.59090909090909094"/>
  </r>
  <r>
    <s v="2647"/>
    <x v="2655"/>
    <n v="4900000"/>
    <x v="9"/>
    <n v="146.82470000000001"/>
    <x v="3"/>
    <n v="130"/>
    <n v="45"/>
    <s v="1984"/>
    <n v="3"/>
    <x v="0"/>
    <n v="85"/>
    <n v="1.8888888888888888"/>
  </r>
  <r>
    <s v="2648"/>
    <x v="2656"/>
    <n v="6900000"/>
    <x v="5"/>
    <n v="146.75409999999999"/>
    <x v="25"/>
    <n v="50"/>
    <n v="20"/>
    <s v="1988"/>
    <n v="1"/>
    <x v="0"/>
    <n v="30"/>
    <n v="1.5"/>
  </r>
  <r>
    <s v="2649"/>
    <x v="2657"/>
    <n v="2100000"/>
    <x v="13"/>
    <n v="146.75"/>
    <x v="20"/>
    <n v="100"/>
    <n v="15"/>
    <s v="2015"/>
    <n v="6"/>
    <x v="0"/>
    <n v="85"/>
    <n v="5.666666666666667"/>
  </r>
  <r>
    <s v="2650"/>
    <x v="2658"/>
    <n v="30500000"/>
    <x v="27"/>
    <n v="146.5685"/>
    <x v="14"/>
    <n v="56"/>
    <n v="38"/>
    <s v="1996"/>
    <n v="1"/>
    <x v="0"/>
    <n v="18"/>
    <n v="0.47368421052631576"/>
  </r>
  <r>
    <s v="2651"/>
    <x v="2659"/>
    <n v="16000000"/>
    <x v="10"/>
    <n v="146.54830000000001"/>
    <x v="15"/>
    <n v="22"/>
    <n v="10"/>
    <s v="2008"/>
    <n v="2"/>
    <x v="0"/>
    <n v="12"/>
    <n v="1.2"/>
  </r>
  <r>
    <s v="2652"/>
    <x v="2660"/>
    <n v="17400000"/>
    <x v="4"/>
    <n v="146.51580000000001"/>
    <x v="5"/>
    <n v="158"/>
    <n v="82"/>
    <s v="2011"/>
    <n v="4"/>
    <x v="0"/>
    <n v="76"/>
    <n v="0.92682926829268297"/>
  </r>
  <r>
    <s v="2653"/>
    <x v="2661"/>
    <n v="44900000"/>
    <x v="11"/>
    <n v="146.512"/>
    <x v="12"/>
    <n v="164"/>
    <n v="85"/>
    <s v="1989"/>
    <n v="4"/>
    <x v="0"/>
    <n v="79"/>
    <n v="0.92941176470588238"/>
  </r>
  <r>
    <s v="2654"/>
    <x v="2662"/>
    <n v="10900000"/>
    <x v="8"/>
    <n v="146.4923"/>
    <x v="3"/>
    <n v="24"/>
    <n v="12"/>
    <s v="2009"/>
    <n v="2"/>
    <x v="0"/>
    <n v="12"/>
    <n v="1"/>
  </r>
  <r>
    <s v="2655"/>
    <x v="2663"/>
    <n v="5900000"/>
    <x v="2"/>
    <n v="146.4605"/>
    <x v="19"/>
    <n v="100"/>
    <n v="50"/>
    <s v="2012"/>
    <n v="2"/>
    <x v="0"/>
    <n v="50"/>
    <n v="1"/>
  </r>
  <r>
    <s v="2656"/>
    <x v="2664"/>
    <n v="1200000000"/>
    <x v="40"/>
    <n v="146.42339999999999"/>
    <x v="15"/>
    <n v="330"/>
    <n v="180"/>
    <s v="2003"/>
    <n v="11"/>
    <x v="0"/>
    <n v="150"/>
    <n v="0.83333333333333337"/>
  </r>
  <r>
    <s v="2657"/>
    <x v="2665"/>
    <n v="5300000"/>
    <x v="6"/>
    <n v="146.08260000000001"/>
    <x v="1"/>
    <n v="75"/>
    <n v="20"/>
    <s v="2011"/>
    <n v="2"/>
    <x v="0"/>
    <n v="55"/>
    <n v="2.75"/>
  </r>
  <r>
    <s v="2658"/>
    <x v="2666"/>
    <n v="52800000"/>
    <x v="6"/>
    <n v="145.96629999999999"/>
    <x v="20"/>
    <n v="647"/>
    <n v="137"/>
    <s v="2007"/>
    <n v="6"/>
    <x v="0"/>
    <n v="510"/>
    <n v="3.7226277372262775"/>
  </r>
  <r>
    <s v="2659"/>
    <x v="2667"/>
    <n v="10200000"/>
    <x v="4"/>
    <n v="145.92429999999999"/>
    <x v="12"/>
    <n v="48"/>
    <n v="25"/>
    <s v="2007"/>
    <n v="5"/>
    <x v="0"/>
    <n v="23"/>
    <n v="0.92"/>
  </r>
  <r>
    <s v="2660"/>
    <x v="2668"/>
    <n v="22000000"/>
    <x v="18"/>
    <n v="145.89709999999999"/>
    <x v="9"/>
    <n v="140"/>
    <n v="63"/>
    <s v="2013"/>
    <n v="1"/>
    <x v="0"/>
    <n v="77"/>
    <n v="1.2222222222222223"/>
  </r>
  <r>
    <s v="2661"/>
    <x v="2669"/>
    <n v="25800000"/>
    <x v="18"/>
    <n v="145.57560000000001"/>
    <x v="0"/>
    <n v="98"/>
    <n v="35"/>
    <s v="2013"/>
    <n v="3"/>
    <x v="0"/>
    <n v="63"/>
    <n v="1.8"/>
  </r>
  <r>
    <s v="2662"/>
    <x v="2670"/>
    <n v="56400000"/>
    <x v="9"/>
    <n v="145.5754"/>
    <x v="9"/>
    <n v="271"/>
    <n v="270"/>
    <s v="2007"/>
    <n v="1"/>
    <x v="0"/>
    <n v="1"/>
    <n v="3.7037037037037038E-3"/>
  </r>
  <r>
    <s v="2663"/>
    <x v="2671"/>
    <n v="43300000"/>
    <x v="2"/>
    <n v="145.51419999999999"/>
    <x v="5"/>
    <n v="34"/>
    <n v="17"/>
    <s v="2010"/>
    <n v="5"/>
    <x v="0"/>
    <n v="17"/>
    <n v="1"/>
  </r>
  <r>
    <s v="2664"/>
    <x v="2672"/>
    <n v="68200000"/>
    <x v="0"/>
    <n v="145.37209999999999"/>
    <x v="23"/>
    <n v="179"/>
    <n v="69"/>
    <s v="1983"/>
    <n v="1"/>
    <x v="0"/>
    <n v="110"/>
    <n v="1.5942028985507246"/>
  </r>
  <r>
    <s v="2665"/>
    <x v="2673"/>
    <n v="2400000"/>
    <x v="5"/>
    <n v="145.34469999999999"/>
    <x v="23"/>
    <n v="45"/>
    <n v="10"/>
    <s v="2013"/>
    <n v="2"/>
    <x v="0"/>
    <n v="35"/>
    <n v="3.5"/>
  </r>
  <r>
    <s v="2666"/>
    <x v="2674"/>
    <n v="22300000"/>
    <x v="5"/>
    <n v="145.3407"/>
    <x v="2"/>
    <n v="12"/>
    <n v="11"/>
    <s v="2008"/>
    <n v="4"/>
    <x v="0"/>
    <n v="1"/>
    <n v="9.0909090909090912E-2"/>
  </r>
  <r>
    <s v="2667"/>
    <x v="2675"/>
    <n v="13500000"/>
    <x v="27"/>
    <n v="145.2852"/>
    <x v="23"/>
    <n v="51"/>
    <n v="22"/>
    <s v="2010"/>
    <n v="2"/>
    <x v="0"/>
    <n v="29"/>
    <n v="1.3181818181818181"/>
  </r>
  <r>
    <s v="2668"/>
    <x v="2676"/>
    <n v="27700000"/>
    <x v="12"/>
    <n v="145.268"/>
    <x v="4"/>
    <n v="94"/>
    <n v="55"/>
    <s v="2009"/>
    <n v="4"/>
    <x v="0"/>
    <n v="39"/>
    <n v="0.70909090909090911"/>
  </r>
  <r>
    <s v="2669"/>
    <x v="2677"/>
    <n v="3400000"/>
    <x v="5"/>
    <n v="145.1172"/>
    <x v="12"/>
    <n v="24"/>
    <n v="8"/>
    <s v="2014"/>
    <n v="1"/>
    <x v="0"/>
    <n v="16"/>
    <n v="2"/>
  </r>
  <r>
    <s v="2670"/>
    <x v="2678"/>
    <n v="95700000"/>
    <x v="7"/>
    <n v="145.10040000000001"/>
    <x v="1"/>
    <n v="512"/>
    <n v="345"/>
    <s v="1923"/>
    <n v="4"/>
    <x v="0"/>
    <n v="167"/>
    <n v="0.48405797101449277"/>
  </r>
  <r>
    <s v="2671"/>
    <x v="2679"/>
    <n v="34900000"/>
    <x v="38"/>
    <n v="145.08439999999999"/>
    <x v="13"/>
    <n v="27"/>
    <n v="10"/>
    <s v="2012"/>
    <n v="1"/>
    <x v="0"/>
    <n v="17"/>
    <n v="1.7"/>
  </r>
  <r>
    <s v="2672"/>
    <x v="2680"/>
    <n v="23200000"/>
    <x v="2"/>
    <n v="145.06569999999999"/>
    <x v="4"/>
    <n v="23"/>
    <n v="9"/>
    <s v="2013"/>
    <n v="2"/>
    <x v="0"/>
    <n v="14"/>
    <n v="1.5555555555555556"/>
  </r>
  <r>
    <s v="2673"/>
    <x v="2681"/>
    <n v="3700000"/>
    <x v="12"/>
    <n v="144.8759"/>
    <x v="23"/>
    <n v="8"/>
    <n v="2"/>
    <s v="2012"/>
    <n v="2"/>
    <x v="0"/>
    <n v="6"/>
    <n v="3"/>
  </r>
  <r>
    <s v="2674"/>
    <x v="2682"/>
    <n v="62000000"/>
    <x v="24"/>
    <n v="144.7689"/>
    <x v="23"/>
    <n v="139"/>
    <n v="66"/>
    <s v="2009"/>
    <n v="5"/>
    <x v="0"/>
    <n v="73"/>
    <n v="1.106060606060606"/>
  </r>
  <r>
    <s v="2675"/>
    <x v="2683"/>
    <n v="13700000"/>
    <x v="24"/>
    <n v="144.762"/>
    <x v="2"/>
    <n v="73"/>
    <n v="33"/>
    <s v="2011"/>
    <n v="4"/>
    <x v="0"/>
    <n v="40"/>
    <n v="1.2121212121212122"/>
  </r>
  <r>
    <s v="2676"/>
    <x v="2684"/>
    <n v="3800000"/>
    <x v="7"/>
    <n v="144.75640000000001"/>
    <x v="11"/>
    <n v="75"/>
    <n v="41"/>
    <s v="2010"/>
    <n v="3"/>
    <x v="0"/>
    <n v="34"/>
    <n v="0.82926829268292679"/>
  </r>
  <r>
    <s v="2677"/>
    <x v="2685"/>
    <n v="33000000"/>
    <x v="12"/>
    <n v="144.74109999999999"/>
    <x v="19"/>
    <n v="125"/>
    <n v="85"/>
    <s v="2004"/>
    <n v="8"/>
    <x v="0"/>
    <n v="40"/>
    <n v="0.47058823529411764"/>
  </r>
  <r>
    <s v="2678"/>
    <x v="2686"/>
    <n v="9800000"/>
    <x v="8"/>
    <n v="144.68979999999999"/>
    <x v="9"/>
    <n v="40"/>
    <n v="16"/>
    <s v="2011"/>
    <n v="4"/>
    <x v="0"/>
    <n v="24"/>
    <n v="1.5"/>
  </r>
  <r>
    <s v="2679"/>
    <x v="2687"/>
    <n v="73900000"/>
    <x v="9"/>
    <n v="144.67670000000001"/>
    <x v="5"/>
    <n v="6851"/>
    <n v="4000"/>
    <s v="2005"/>
    <n v="11"/>
    <x v="0"/>
    <n v="2851"/>
    <n v="0.71274999999999999"/>
  </r>
  <r>
    <s v="2680"/>
    <x v="2688"/>
    <n v="23300000"/>
    <x v="24"/>
    <n v="144.5171"/>
    <x v="0"/>
    <n v="48"/>
    <n v="37"/>
    <s v="2009"/>
    <n v="1"/>
    <x v="0"/>
    <n v="11"/>
    <n v="0.29729729729729731"/>
  </r>
  <r>
    <s v="2681"/>
    <x v="2689"/>
    <n v="10900000"/>
    <x v="18"/>
    <n v="144.43530000000001"/>
    <x v="2"/>
    <n v="31"/>
    <n v="10"/>
    <s v="1997"/>
    <n v="2"/>
    <x v="0"/>
    <n v="21"/>
    <n v="2.1"/>
  </r>
  <r>
    <s v="2682"/>
    <x v="2690"/>
    <n v="7500000"/>
    <x v="18"/>
    <n v="144.3691"/>
    <x v="20"/>
    <n v="31"/>
    <n v="15"/>
    <s v="1996"/>
    <n v="2"/>
    <x v="0"/>
    <n v="16"/>
    <n v="1.0666666666666667"/>
  </r>
  <r>
    <s v="2683"/>
    <x v="2691"/>
    <n v="7800000"/>
    <x v="4"/>
    <n v="144.21559999999999"/>
    <x v="9"/>
    <n v="42"/>
    <n v="22"/>
    <s v="2009"/>
    <n v="4"/>
    <x v="0"/>
    <n v="20"/>
    <n v="0.90909090909090906"/>
  </r>
  <r>
    <s v="2684"/>
    <x v="2692"/>
    <n v="4200000"/>
    <x v="0"/>
    <n v="144.20189999999999"/>
    <x v="9"/>
    <n v="38"/>
    <n v="19"/>
    <s v="2003"/>
    <n v="1"/>
    <x v="0"/>
    <n v="19"/>
    <n v="1"/>
  </r>
  <r>
    <s v="2685"/>
    <x v="2693"/>
    <n v="13400000"/>
    <x v="5"/>
    <n v="143.99119999999999"/>
    <x v="3"/>
    <n v="237"/>
    <n v="63"/>
    <s v="2005"/>
    <n v="2"/>
    <x v="0"/>
    <n v="174"/>
    <n v="2.7619047619047619"/>
  </r>
  <r>
    <s v="2686"/>
    <x v="2694"/>
    <n v="9500000"/>
    <x v="4"/>
    <n v="143.9128"/>
    <x v="15"/>
    <n v="35"/>
    <n v="15"/>
    <s v="1998"/>
    <n v="2"/>
    <x v="0"/>
    <n v="20"/>
    <n v="1.3333333333333333"/>
  </r>
  <r>
    <s v="2687"/>
    <x v="2695"/>
    <n v="28300000"/>
    <x v="9"/>
    <n v="143.8492"/>
    <x v="3"/>
    <n v="70"/>
    <n v="50"/>
    <s v="2010"/>
    <n v="6"/>
    <x v="0"/>
    <n v="20"/>
    <n v="0.4"/>
  </r>
  <r>
    <s v="2688"/>
    <x v="2696"/>
    <n v="106200000"/>
    <x v="2"/>
    <n v="143.8305"/>
    <x v="9"/>
    <n v="400"/>
    <n v="300"/>
    <s v="1985"/>
    <n v="1"/>
    <x v="0"/>
    <n v="100"/>
    <n v="0.33333333333333331"/>
  </r>
  <r>
    <s v="2689"/>
    <x v="2697"/>
    <n v="30200000"/>
    <x v="6"/>
    <n v="143.7783"/>
    <x v="3"/>
    <n v="98"/>
    <n v="63"/>
    <s v="1988"/>
    <n v="3"/>
    <x v="0"/>
    <n v="35"/>
    <n v="0.55555555555555558"/>
  </r>
  <r>
    <s v="2690"/>
    <x v="2698"/>
    <n v="3500000"/>
    <x v="23"/>
    <n v="143.39660000000001"/>
    <x v="15"/>
    <n v="35"/>
    <n v="15"/>
    <s v="2007"/>
    <n v="3"/>
    <x v="0"/>
    <n v="20"/>
    <n v="1.3333333333333333"/>
  </r>
  <r>
    <s v="2691"/>
    <x v="2699"/>
    <n v="10900000"/>
    <x v="27"/>
    <n v="143.3937"/>
    <x v="0"/>
    <n v="148"/>
    <n v="68"/>
    <s v="2010"/>
    <n v="4"/>
    <x v="0"/>
    <n v="80"/>
    <n v="1.1764705882352942"/>
  </r>
  <r>
    <s v="2692"/>
    <x v="2700"/>
    <n v="15700000"/>
    <x v="27"/>
    <n v="143.3398"/>
    <x v="12"/>
    <n v="50"/>
    <n v="20"/>
    <s v="2007"/>
    <n v="1"/>
    <x v="0"/>
    <n v="30"/>
    <n v="1.5"/>
  </r>
  <r>
    <s v="2693"/>
    <x v="2701"/>
    <n v="17800000"/>
    <x v="6"/>
    <n v="143.3253"/>
    <x v="19"/>
    <n v="20"/>
    <n v="15"/>
    <s v="1997"/>
    <n v="1"/>
    <x v="0"/>
    <n v="5"/>
    <n v="0.33333333333333331"/>
  </r>
  <r>
    <s v="2694"/>
    <x v="2702"/>
    <n v="3600000"/>
    <x v="2"/>
    <n v="143.28630000000001"/>
    <x v="9"/>
    <n v="9"/>
    <n v="4"/>
    <s v="2010"/>
    <n v="2"/>
    <x v="0"/>
    <n v="5"/>
    <n v="1.25"/>
  </r>
  <r>
    <s v="2695"/>
    <x v="2703"/>
    <n v="7100000"/>
    <x v="8"/>
    <n v="143.25700000000001"/>
    <x v="25"/>
    <n v="28"/>
    <n v="15"/>
    <s v="2007"/>
    <n v="3"/>
    <x v="0"/>
    <n v="13"/>
    <n v="0.8666666666666667"/>
  </r>
  <r>
    <s v="2696"/>
    <x v="2704"/>
    <n v="2400000"/>
    <x v="9"/>
    <n v="143.25"/>
    <x v="18"/>
    <n v="17"/>
    <n v="8"/>
    <s v="2007"/>
    <n v="2"/>
    <x v="0"/>
    <n v="9"/>
    <n v="1.125"/>
  </r>
  <r>
    <s v="2697"/>
    <x v="2705"/>
    <n v="10700000"/>
    <x v="1"/>
    <n v="143.21010000000001"/>
    <x v="5"/>
    <n v="22"/>
    <n v="9"/>
    <s v="2011"/>
    <n v="1"/>
    <x v="0"/>
    <n v="13"/>
    <n v="1.4444444444444444"/>
  </r>
  <r>
    <s v="2698"/>
    <x v="2706"/>
    <n v="4800000"/>
    <x v="2"/>
    <n v="143.14779999999999"/>
    <x v="22"/>
    <n v="22"/>
    <n v="18"/>
    <s v="2007"/>
    <n v="4"/>
    <x v="0"/>
    <n v="4"/>
    <n v="0.22222222222222221"/>
  </r>
  <r>
    <s v="2699"/>
    <x v="2707"/>
    <n v="22900000"/>
    <x v="12"/>
    <n v="143.0891"/>
    <x v="9"/>
    <n v="105"/>
    <n v="84"/>
    <s v="2009"/>
    <n v="4"/>
    <x v="0"/>
    <n v="21"/>
    <n v="0.25"/>
  </r>
  <r>
    <s v="2700"/>
    <x v="2708"/>
    <n v="7500000"/>
    <x v="35"/>
    <n v="143.08080000000001"/>
    <x v="3"/>
    <n v="60"/>
    <n v="35"/>
    <s v="1965"/>
    <n v="3"/>
    <x v="0"/>
    <n v="25"/>
    <n v="0.7142857142857143"/>
  </r>
  <r>
    <s v="2701"/>
    <x v="2709"/>
    <n v="2900000"/>
    <x v="4"/>
    <n v="142.92080000000001"/>
    <x v="0"/>
    <n v="23"/>
    <n v="10"/>
    <s v="2009"/>
    <n v="1"/>
    <x v="0"/>
    <n v="13"/>
    <n v="1.3"/>
  </r>
  <r>
    <s v="2702"/>
    <x v="2710"/>
    <n v="4100000"/>
    <x v="24"/>
    <n v="142.90100000000001"/>
    <x v="0"/>
    <n v="14"/>
    <n v="4"/>
    <s v="2003"/>
    <n v="1"/>
    <x v="0"/>
    <n v="10"/>
    <n v="2.5"/>
  </r>
  <r>
    <s v="2703"/>
    <x v="2711"/>
    <n v="2700000"/>
    <x v="4"/>
    <n v="142.86600000000001"/>
    <x v="3"/>
    <n v="13"/>
    <n v="5"/>
    <s v="2004"/>
    <n v="1"/>
    <x v="0"/>
    <n v="8"/>
    <n v="1.6"/>
  </r>
  <r>
    <s v="2704"/>
    <x v="2712"/>
    <n v="15800000"/>
    <x v="7"/>
    <n v="142.4716"/>
    <x v="9"/>
    <n v="170"/>
    <n v="65"/>
    <s v="2011"/>
    <n v="5"/>
    <x v="0"/>
    <n v="105"/>
    <n v="1.6153846153846154"/>
  </r>
  <r>
    <s v="2705"/>
    <x v="2713"/>
    <n v="9200000"/>
    <x v="9"/>
    <n v="142.4443"/>
    <x v="7"/>
    <n v="23"/>
    <n v="9"/>
    <s v="2007"/>
    <n v="1"/>
    <x v="0"/>
    <n v="14"/>
    <n v="1.5555555555555556"/>
  </r>
  <r>
    <s v="2706"/>
    <x v="2714"/>
    <n v="2700000"/>
    <x v="13"/>
    <n v="142.29230000000001"/>
    <x v="20"/>
    <n v="16"/>
    <n v="10"/>
    <s v="2013"/>
    <n v="1"/>
    <x v="0"/>
    <n v="6"/>
    <n v="0.6"/>
  </r>
  <r>
    <s v="2707"/>
    <x v="2715"/>
    <n v="195800000"/>
    <x v="6"/>
    <n v="142.26089999999999"/>
    <x v="0"/>
    <n v="54"/>
    <n v="125"/>
    <s v="1993"/>
    <n v="6"/>
    <x v="1"/>
    <n v="-71"/>
    <n v="-0.56799999999999995"/>
  </r>
  <r>
    <s v="2708"/>
    <x v="2716"/>
    <n v="2500000"/>
    <x v="2"/>
    <n v="142.22470000000001"/>
    <x v="12"/>
    <n v="5"/>
    <n v="3"/>
    <s v="2010"/>
    <n v="1"/>
    <x v="0"/>
    <n v="2"/>
    <n v="0.66666666666666663"/>
  </r>
  <r>
    <s v="2709"/>
    <x v="2717"/>
    <n v="8800000"/>
    <x v="21"/>
    <n v="142.14259999999999"/>
    <x v="11"/>
    <n v="25"/>
    <n v="9"/>
    <s v="2004"/>
    <n v="1"/>
    <x v="0"/>
    <n v="16"/>
    <n v="1.7777777777777777"/>
  </r>
  <r>
    <s v="2710"/>
    <x v="2718"/>
    <n v="3200000"/>
    <x v="4"/>
    <n v="142.13480000000001"/>
    <x v="13"/>
    <n v="25"/>
    <n v="15"/>
    <s v="2011"/>
    <n v="3"/>
    <x v="0"/>
    <n v="10"/>
    <n v="0.66666666666666663"/>
  </r>
  <r>
    <s v="2711"/>
    <x v="2719"/>
    <n v="35300000"/>
    <x v="33"/>
    <n v="142.1181"/>
    <x v="13"/>
    <n v="138"/>
    <n v="68"/>
    <s v="2010"/>
    <n v="1"/>
    <x v="0"/>
    <n v="70"/>
    <n v="1.0294117647058822"/>
  </r>
  <r>
    <s v="2712"/>
    <x v="2720"/>
    <n v="205700000"/>
    <x v="24"/>
    <n v="142.09"/>
    <x v="23"/>
    <n v="229"/>
    <n v="67"/>
    <s v="2008"/>
    <n v="8"/>
    <x v="0"/>
    <n v="162"/>
    <n v="2.4179104477611939"/>
  </r>
  <r>
    <s v="2713"/>
    <x v="2721"/>
    <n v="2200000"/>
    <x v="45"/>
    <n v="141.9958"/>
    <x v="4"/>
    <n v="22"/>
    <n v="7"/>
    <s v="2013"/>
    <n v="1"/>
    <x v="0"/>
    <n v="15"/>
    <n v="2.1428571428571428"/>
  </r>
  <r>
    <s v="2714"/>
    <x v="2722"/>
    <n v="14400000"/>
    <x v="16"/>
    <n v="141.8587"/>
    <x v="9"/>
    <n v="42"/>
    <n v="15"/>
    <s v="2012"/>
    <n v="1"/>
    <x v="0"/>
    <n v="27"/>
    <n v="1.8"/>
  </r>
  <r>
    <s v="2715"/>
    <x v="2723"/>
    <n v="3000000"/>
    <x v="9"/>
    <n v="141.81290000000001"/>
    <x v="0"/>
    <n v="24"/>
    <n v="12"/>
    <s v="2008"/>
    <n v="2"/>
    <x v="0"/>
    <n v="12"/>
    <n v="1"/>
  </r>
  <r>
    <s v="2716"/>
    <x v="2724"/>
    <n v="6000000"/>
    <x v="16"/>
    <n v="141.79580000000001"/>
    <x v="12"/>
    <n v="35"/>
    <n v="20"/>
    <s v="2010"/>
    <n v="2"/>
    <x v="0"/>
    <n v="15"/>
    <n v="0.75"/>
  </r>
  <r>
    <s v="2717"/>
    <x v="2725"/>
    <n v="27700000"/>
    <x v="29"/>
    <n v="141.64070000000001"/>
    <x v="7"/>
    <n v="22"/>
    <n v="14"/>
    <s v="2009"/>
    <n v="2"/>
    <x v="0"/>
    <n v="8"/>
    <n v="0.5714285714285714"/>
  </r>
  <r>
    <s v="2718"/>
    <x v="2726"/>
    <n v="29400000"/>
    <x v="5"/>
    <n v="141.46719999999999"/>
    <x v="15"/>
    <n v="40"/>
    <n v="14"/>
    <s v="2010"/>
    <n v="1"/>
    <x v="0"/>
    <n v="26"/>
    <n v="1.8571428571428572"/>
  </r>
  <r>
    <s v="2719"/>
    <x v="2727"/>
    <n v="3000000"/>
    <x v="22"/>
    <n v="141.4342"/>
    <x v="9"/>
    <n v="24"/>
    <n v="11"/>
    <s v="2004"/>
    <n v="1"/>
    <x v="0"/>
    <n v="13"/>
    <n v="1.1818181818181819"/>
  </r>
  <r>
    <s v="2720"/>
    <x v="2728"/>
    <n v="6500000"/>
    <x v="9"/>
    <n v="141.38480000000001"/>
    <x v="3"/>
    <n v="14"/>
    <n v="10"/>
    <s v="2009"/>
    <n v="5"/>
    <x v="0"/>
    <n v="4"/>
    <n v="0.4"/>
  </r>
  <r>
    <s v="2721"/>
    <x v="2729"/>
    <n v="35900000"/>
    <x v="9"/>
    <n v="141.3254"/>
    <x v="11"/>
    <n v="103"/>
    <n v="57"/>
    <s v="2003"/>
    <n v="8"/>
    <x v="0"/>
    <n v="46"/>
    <n v="0.80701754385964908"/>
  </r>
  <r>
    <s v="2722"/>
    <x v="2730"/>
    <n v="1100000000"/>
    <x v="10"/>
    <n v="141.23689999999999"/>
    <x v="15"/>
    <n v="2397"/>
    <n v="958"/>
    <s v="2011"/>
    <n v="2"/>
    <x v="0"/>
    <n v="1439"/>
    <n v="1.5020876826722338"/>
  </r>
  <r>
    <s v="2723"/>
    <x v="2731"/>
    <n v="83900000"/>
    <x v="46"/>
    <n v="141.1902"/>
    <x v="11"/>
    <n v="153"/>
    <n v="86"/>
    <s v="1992"/>
    <n v="6"/>
    <x v="0"/>
    <n v="67"/>
    <n v="0.77906976744186052"/>
  </r>
  <r>
    <s v="2724"/>
    <x v="2732"/>
    <n v="16800000"/>
    <x v="4"/>
    <n v="141.1611"/>
    <x v="23"/>
    <n v="40"/>
    <n v="13"/>
    <s v="2009"/>
    <n v="5"/>
    <x v="0"/>
    <n v="27"/>
    <n v="2.0769230769230771"/>
  </r>
  <r>
    <s v="2725"/>
    <x v="2733"/>
    <n v="2000000"/>
    <x v="9"/>
    <n v="141.07140000000001"/>
    <x v="3"/>
    <n v="85"/>
    <n v="15"/>
    <s v="2014"/>
    <n v="1"/>
    <x v="0"/>
    <n v="70"/>
    <n v="4.666666666666667"/>
  </r>
  <r>
    <s v="2726"/>
    <x v="2734"/>
    <n v="8600000"/>
    <x v="18"/>
    <n v="140.94890000000001"/>
    <x v="9"/>
    <n v="18"/>
    <n v="13"/>
    <s v="1999"/>
    <n v="2"/>
    <x v="0"/>
    <n v="5"/>
    <n v="0.38461538461538464"/>
  </r>
  <r>
    <s v="2727"/>
    <x v="2735"/>
    <n v="2900000"/>
    <x v="2"/>
    <n v="140.77269999999999"/>
    <x v="23"/>
    <n v="38"/>
    <n v="8"/>
    <s v="2013"/>
    <n v="1"/>
    <x v="0"/>
    <n v="30"/>
    <n v="3.75"/>
  </r>
  <r>
    <s v="2728"/>
    <x v="2736"/>
    <n v="6300000"/>
    <x v="9"/>
    <n v="140.6575"/>
    <x v="19"/>
    <n v="33"/>
    <n v="16"/>
    <s v="2003"/>
    <n v="3"/>
    <x v="0"/>
    <n v="17"/>
    <n v="1.0625"/>
  </r>
  <r>
    <s v="2729"/>
    <x v="2737"/>
    <n v="17900000"/>
    <x v="22"/>
    <n v="140.58519999999999"/>
    <x v="15"/>
    <n v="21"/>
    <n v="12"/>
    <s v="2002"/>
    <n v="6"/>
    <x v="0"/>
    <n v="9"/>
    <n v="0.75"/>
  </r>
  <r>
    <s v="2730"/>
    <x v="2738"/>
    <n v="40400000"/>
    <x v="2"/>
    <n v="140.51920000000001"/>
    <x v="13"/>
    <n v="150"/>
    <n v="75"/>
    <s v="1999"/>
    <n v="1"/>
    <x v="0"/>
    <n v="75"/>
    <n v="1"/>
  </r>
  <r>
    <s v="2731"/>
    <x v="2739"/>
    <n v="43300000"/>
    <x v="9"/>
    <n v="140.42789999999999"/>
    <x v="15"/>
    <n v="85"/>
    <n v="50"/>
    <s v="1962"/>
    <n v="4"/>
    <x v="0"/>
    <n v="35"/>
    <n v="0.7"/>
  </r>
  <r>
    <s v="2732"/>
    <x v="2740"/>
    <n v="3400000"/>
    <x v="35"/>
    <n v="140.38210000000001"/>
    <x v="24"/>
    <n v="97"/>
    <n v="45"/>
    <s v="2006"/>
    <n v="3"/>
    <x v="0"/>
    <n v="52"/>
    <n v="1.1555555555555554"/>
  </r>
  <r>
    <s v="2733"/>
    <x v="2741"/>
    <n v="9600000"/>
    <x v="2"/>
    <n v="140.3057"/>
    <x v="25"/>
    <n v="37"/>
    <n v="18"/>
    <s v="2009"/>
    <n v="3"/>
    <x v="0"/>
    <n v="19"/>
    <n v="1.0555555555555556"/>
  </r>
  <r>
    <s v="2734"/>
    <x v="2742"/>
    <n v="132100000"/>
    <x v="12"/>
    <n v="140.14869999999999"/>
    <x v="3"/>
    <n v="1832"/>
    <n v="947"/>
    <s v="2011"/>
    <n v="3"/>
    <x v="0"/>
    <n v="885"/>
    <n v="0.93453009503695883"/>
  </r>
  <r>
    <s v="2735"/>
    <x v="2743"/>
    <n v="8100000"/>
    <x v="2"/>
    <n v="140.04730000000001"/>
    <x v="0"/>
    <n v="41"/>
    <n v="20"/>
    <s v="2013"/>
    <n v="2"/>
    <x v="0"/>
    <n v="21"/>
    <n v="1.05"/>
  </r>
  <r>
    <s v="2736"/>
    <x v="2744"/>
    <n v="12200000"/>
    <x v="4"/>
    <n v="139.85220000000001"/>
    <x v="3"/>
    <n v="27"/>
    <n v="20"/>
    <s v="2007"/>
    <n v="5"/>
    <x v="0"/>
    <n v="7"/>
    <n v="0.35"/>
  </r>
  <r>
    <s v="2737"/>
    <x v="2745"/>
    <n v="12300000"/>
    <x v="7"/>
    <n v="139.791"/>
    <x v="11"/>
    <n v="45"/>
    <n v="21"/>
    <s v="2012"/>
    <n v="1"/>
    <x v="0"/>
    <n v="24"/>
    <n v="1.1428571428571428"/>
  </r>
  <r>
    <s v="2738"/>
    <x v="2746"/>
    <n v="11300000"/>
    <x v="0"/>
    <n v="139.55850000000001"/>
    <x v="7"/>
    <n v="48"/>
    <n v="35"/>
    <s v="2006"/>
    <n v="3"/>
    <x v="0"/>
    <n v="13"/>
    <n v="0.37142857142857144"/>
  </r>
  <r>
    <s v="2739"/>
    <x v="2747"/>
    <n v="5500000"/>
    <x v="27"/>
    <n v="139.5061"/>
    <x v="20"/>
    <n v="27"/>
    <n v="18"/>
    <s v="2011"/>
    <n v="5"/>
    <x v="0"/>
    <n v="9"/>
    <n v="0.5"/>
  </r>
  <r>
    <s v="2740"/>
    <x v="2748"/>
    <n v="16200000"/>
    <x v="6"/>
    <n v="139.44710000000001"/>
    <x v="0"/>
    <n v="50"/>
    <n v="25"/>
    <s v="1995"/>
    <n v="1"/>
    <x v="0"/>
    <n v="25"/>
    <n v="1"/>
  </r>
  <r>
    <s v="2741"/>
    <x v="2749"/>
    <n v="14300000"/>
    <x v="9"/>
    <n v="139.37299999999999"/>
    <x v="7"/>
    <n v="54"/>
    <n v="25"/>
    <s v="1999"/>
    <n v="2"/>
    <x v="0"/>
    <n v="29"/>
    <n v="1.1599999999999999"/>
  </r>
  <r>
    <s v="2742"/>
    <x v="2750"/>
    <n v="9300000"/>
    <x v="13"/>
    <n v="139.29599999999999"/>
    <x v="7"/>
    <n v="57"/>
    <n v="42"/>
    <s v="2012"/>
    <n v="3"/>
    <x v="0"/>
    <n v="15"/>
    <n v="0.35714285714285715"/>
  </r>
  <r>
    <s v="2743"/>
    <x v="2751"/>
    <n v="14600000"/>
    <x v="1"/>
    <n v="139.17490000000001"/>
    <x v="15"/>
    <n v="109"/>
    <n v="60"/>
    <s v="1999"/>
    <n v="5"/>
    <x v="0"/>
    <n v="49"/>
    <n v="0.81666666666666665"/>
  </r>
  <r>
    <s v="2744"/>
    <x v="2752"/>
    <n v="7800000"/>
    <x v="28"/>
    <n v="139.1491"/>
    <x v="7"/>
    <n v="18"/>
    <n v="8"/>
    <s v="2008"/>
    <n v="2"/>
    <x v="0"/>
    <n v="10"/>
    <n v="1.25"/>
  </r>
  <r>
    <s v="2745"/>
    <x v="2753"/>
    <n v="3800000"/>
    <x v="16"/>
    <n v="139.1079"/>
    <x v="18"/>
    <n v="122"/>
    <n v="79"/>
    <s v="2006"/>
    <n v="1"/>
    <x v="0"/>
    <n v="43"/>
    <n v="0.54430379746835444"/>
  </r>
  <r>
    <s v="2746"/>
    <x v="2754"/>
    <n v="44800000"/>
    <x v="4"/>
    <n v="138.827"/>
    <x v="12"/>
    <n v="62"/>
    <n v="16"/>
    <s v="2008"/>
    <n v="5"/>
    <x v="0"/>
    <n v="46"/>
    <n v="2.875"/>
  </r>
  <r>
    <s v="2747"/>
    <x v="2755"/>
    <n v="100500000"/>
    <x v="9"/>
    <n v="138.8064"/>
    <x v="25"/>
    <n v="525"/>
    <n v="245"/>
    <s v="1975"/>
    <n v="7"/>
    <x v="0"/>
    <n v="280"/>
    <n v="1.1428571428571428"/>
  </r>
  <r>
    <s v="2748"/>
    <x v="2756"/>
    <n v="9000000"/>
    <x v="30"/>
    <n v="138.756"/>
    <x v="23"/>
    <n v="70"/>
    <n v="31"/>
    <s v="2007"/>
    <n v="1"/>
    <x v="0"/>
    <n v="39"/>
    <n v="1.2580645161290323"/>
  </r>
  <r>
    <s v="2749"/>
    <x v="2757"/>
    <n v="12400000"/>
    <x v="10"/>
    <n v="138.69380000000001"/>
    <x v="3"/>
    <n v="23"/>
    <n v="7"/>
    <s v="2012"/>
    <n v="2"/>
    <x v="0"/>
    <n v="16"/>
    <n v="2.2857142857142856"/>
  </r>
  <r>
    <s v="2750"/>
    <x v="2758"/>
    <n v="4700000"/>
    <x v="27"/>
    <n v="138.63550000000001"/>
    <x v="7"/>
    <n v="32"/>
    <n v="12"/>
    <s v="2002"/>
    <n v="3"/>
    <x v="0"/>
    <n v="20"/>
    <n v="1.6666666666666667"/>
  </r>
  <r>
    <s v="2751"/>
    <x v="2759"/>
    <n v="44300000"/>
    <x v="8"/>
    <n v="138.41929999999999"/>
    <x v="3"/>
    <n v="87"/>
    <n v="90"/>
    <s v="1996"/>
    <n v="1"/>
    <x v="1"/>
    <n v="-3"/>
    <n v="-3.3333333333333333E-2"/>
  </r>
  <r>
    <s v="2752"/>
    <x v="2760"/>
    <n v="63800000"/>
    <x v="26"/>
    <n v="138.4111"/>
    <x v="0"/>
    <n v="320"/>
    <n v="172"/>
    <s v="1999"/>
    <n v="9"/>
    <x v="0"/>
    <n v="148"/>
    <n v="0.86046511627906974"/>
  </r>
  <r>
    <s v="2753"/>
    <x v="2761"/>
    <n v="90100000"/>
    <x v="13"/>
    <n v="138.3466"/>
    <x v="9"/>
    <n v="58"/>
    <n v="38"/>
    <s v="2010"/>
    <n v="2"/>
    <x v="0"/>
    <n v="20"/>
    <n v="0.52631578947368418"/>
  </r>
  <r>
    <s v="2754"/>
    <x v="2762"/>
    <n v="3600000"/>
    <x v="4"/>
    <n v="138.3366"/>
    <x v="15"/>
    <n v="14"/>
    <n v="5"/>
    <s v="2014"/>
    <n v="2"/>
    <x v="0"/>
    <n v="9"/>
    <n v="1.8"/>
  </r>
  <r>
    <s v="2755"/>
    <x v="2763"/>
    <n v="24500000"/>
    <x v="18"/>
    <n v="138.21639999999999"/>
    <x v="1"/>
    <n v="58"/>
    <n v="23"/>
    <s v="2008"/>
    <n v="7"/>
    <x v="0"/>
    <n v="35"/>
    <n v="1.5217391304347827"/>
  </r>
  <r>
    <s v="2756"/>
    <x v="2764"/>
    <n v="9300000"/>
    <x v="22"/>
    <n v="138.1583"/>
    <x v="7"/>
    <n v="36"/>
    <n v="12"/>
    <s v="2012"/>
    <n v="3"/>
    <x v="0"/>
    <n v="24"/>
    <n v="2"/>
  </r>
  <r>
    <s v="2757"/>
    <x v="2765"/>
    <n v="97100000"/>
    <x v="24"/>
    <n v="137.76"/>
    <x v="9"/>
    <n v="511"/>
    <n v="423"/>
    <s v="2009"/>
    <n v="1"/>
    <x v="0"/>
    <n v="88"/>
    <n v="0.20803782505910165"/>
  </r>
  <r>
    <s v="2758"/>
    <x v="2766"/>
    <n v="63900000"/>
    <x v="8"/>
    <n v="137.5307"/>
    <x v="23"/>
    <n v="40"/>
    <n v="17"/>
    <s v="2014"/>
    <n v="1"/>
    <x v="0"/>
    <n v="23"/>
    <n v="1.3529411764705883"/>
  </r>
  <r>
    <s v="2759"/>
    <x v="2767"/>
    <n v="5300000"/>
    <x v="7"/>
    <n v="137.50579999999999"/>
    <x v="16"/>
    <n v="18"/>
    <n v="12"/>
    <s v="2012"/>
    <n v="4"/>
    <x v="0"/>
    <n v="6"/>
    <n v="0.5"/>
  </r>
  <r>
    <s v="2760"/>
    <x v="2768"/>
    <n v="24800000"/>
    <x v="9"/>
    <n v="137.4932"/>
    <x v="20"/>
    <n v="130"/>
    <n v="33"/>
    <s v="2003"/>
    <n v="4"/>
    <x v="0"/>
    <n v="97"/>
    <n v="2.9393939393939394"/>
  </r>
  <r>
    <s v="2761"/>
    <x v="2769"/>
    <n v="7500000"/>
    <x v="9"/>
    <n v="137.47929999999999"/>
    <x v="20"/>
    <n v="120"/>
    <n v="70"/>
    <s v="2012"/>
    <n v="1"/>
    <x v="0"/>
    <n v="50"/>
    <n v="0.7142857142857143"/>
  </r>
  <r>
    <s v="2762"/>
    <x v="2770"/>
    <n v="24700000"/>
    <x v="7"/>
    <n v="137.23509999999999"/>
    <x v="11"/>
    <n v="112"/>
    <n v="72"/>
    <s v="1996"/>
    <n v="1"/>
    <x v="0"/>
    <n v="40"/>
    <n v="0.55555555555555558"/>
  </r>
  <r>
    <s v="2763"/>
    <x v="2771"/>
    <n v="14000000"/>
    <x v="11"/>
    <n v="137.08359999999999"/>
    <x v="5"/>
    <n v="105"/>
    <n v="62"/>
    <s v="2011"/>
    <n v="5"/>
    <x v="0"/>
    <n v="43"/>
    <n v="0.69354838709677424"/>
  </r>
  <r>
    <s v="2764"/>
    <x v="2772"/>
    <n v="42300000"/>
    <x v="19"/>
    <n v="137.0701"/>
    <x v="15"/>
    <n v="200"/>
    <n v="60"/>
    <s v="2009"/>
    <n v="3"/>
    <x v="0"/>
    <n v="140"/>
    <n v="2.3333333333333335"/>
  </r>
  <r>
    <s v="2765"/>
    <x v="2773"/>
    <n v="4700000"/>
    <x v="12"/>
    <n v="137.06020000000001"/>
    <x v="0"/>
    <n v="45"/>
    <n v="15"/>
    <s v="2013"/>
    <n v="1"/>
    <x v="0"/>
    <n v="30"/>
    <n v="2"/>
  </r>
  <r>
    <s v="2766"/>
    <x v="2774"/>
    <n v="4200000"/>
    <x v="49"/>
    <n v="137.02930000000001"/>
    <x v="17"/>
    <n v="9"/>
    <n v="5"/>
    <s v="2011"/>
    <n v="1"/>
    <x v="0"/>
    <n v="4"/>
    <n v="0.8"/>
  </r>
  <r>
    <s v="2767"/>
    <x v="2775"/>
    <n v="2900000"/>
    <x v="6"/>
    <n v="136.98140000000001"/>
    <x v="23"/>
    <n v="17"/>
    <n v="10"/>
    <s v="2010"/>
    <n v="1"/>
    <x v="0"/>
    <n v="7"/>
    <n v="0.7"/>
  </r>
  <r>
    <s v="2768"/>
    <x v="2776"/>
    <n v="2600000"/>
    <x v="5"/>
    <n v="136.84039999999999"/>
    <x v="23"/>
    <n v="10"/>
    <n v="4"/>
    <s v="2008"/>
    <n v="1"/>
    <x v="0"/>
    <n v="6"/>
    <n v="1.5"/>
  </r>
  <r>
    <s v="2769"/>
    <x v="2777"/>
    <n v="19400000"/>
    <x v="18"/>
    <n v="136.76990000000001"/>
    <x v="8"/>
    <n v="13"/>
    <n v="5"/>
    <s v="2008"/>
    <n v="1"/>
    <x v="0"/>
    <n v="8"/>
    <n v="1.6"/>
  </r>
  <r>
    <s v="2770"/>
    <x v="2778"/>
    <n v="5500000"/>
    <x v="22"/>
    <n v="136.74879999999999"/>
    <x v="15"/>
    <n v="10"/>
    <n v="3"/>
    <s v="2011"/>
    <n v="1"/>
    <x v="0"/>
    <n v="7"/>
    <n v="2.3333333333333335"/>
  </r>
  <r>
    <s v="2771"/>
    <x v="2779"/>
    <n v="7000000"/>
    <x v="12"/>
    <n v="136.69329999999999"/>
    <x v="23"/>
    <n v="21"/>
    <n v="14"/>
    <s v="2013"/>
    <n v="2"/>
    <x v="0"/>
    <n v="7"/>
    <n v="0.5"/>
  </r>
  <r>
    <s v="2772"/>
    <x v="2780"/>
    <n v="8000000"/>
    <x v="12"/>
    <n v="136.60079999999999"/>
    <x v="11"/>
    <n v="43"/>
    <n v="25"/>
    <s v="2006"/>
    <n v="8"/>
    <x v="0"/>
    <n v="18"/>
    <n v="0.72"/>
  </r>
  <r>
    <s v="2773"/>
    <x v="2781"/>
    <n v="12100000"/>
    <x v="10"/>
    <n v="136.5445"/>
    <x v="11"/>
    <n v="88"/>
    <n v="65"/>
    <s v="2000"/>
    <n v="6"/>
    <x v="0"/>
    <n v="23"/>
    <n v="0.35384615384615387"/>
  </r>
  <r>
    <s v="2774"/>
    <x v="2782"/>
    <n v="27100000"/>
    <x v="21"/>
    <n v="136.33840000000001"/>
    <x v="11"/>
    <n v="16"/>
    <n v="10"/>
    <s v="2001"/>
    <n v="2"/>
    <x v="0"/>
    <n v="6"/>
    <n v="0.6"/>
  </r>
  <r>
    <s v="2775"/>
    <x v="2783"/>
    <n v="2600000"/>
    <x v="2"/>
    <n v="136.31190000000001"/>
    <x v="6"/>
    <n v="24"/>
    <n v="12"/>
    <s v="2003"/>
    <n v="1"/>
    <x v="0"/>
    <n v="12"/>
    <n v="1"/>
  </r>
  <r>
    <s v="2776"/>
    <x v="2784"/>
    <n v="14600000"/>
    <x v="9"/>
    <n v="136.2679"/>
    <x v="3"/>
    <n v="25"/>
    <n v="21"/>
    <s v="2004"/>
    <n v="1"/>
    <x v="0"/>
    <n v="4"/>
    <n v="0.19047619047619047"/>
  </r>
  <r>
    <s v="2777"/>
    <x v="2785"/>
    <n v="13700000"/>
    <x v="11"/>
    <n v="136.1473"/>
    <x v="7"/>
    <n v="33"/>
    <n v="14"/>
    <s v="2009"/>
    <n v="3"/>
    <x v="0"/>
    <n v="19"/>
    <n v="1.3571428571428572"/>
  </r>
  <r>
    <s v="2778"/>
    <x v="2786"/>
    <n v="188100000"/>
    <x v="13"/>
    <n v="136.0453"/>
    <x v="23"/>
    <n v="36"/>
    <n v="32"/>
    <s v="1996"/>
    <n v="7"/>
    <x v="0"/>
    <n v="4"/>
    <n v="0.125"/>
  </r>
  <r>
    <s v="2779"/>
    <x v="2787"/>
    <n v="107900000"/>
    <x v="5"/>
    <n v="135.9786"/>
    <x v="5"/>
    <n v="940"/>
    <n v="562"/>
    <s v="2004"/>
    <n v="1"/>
    <x v="0"/>
    <n v="378"/>
    <n v="0.67259786476868333"/>
  </r>
  <r>
    <s v="2780"/>
    <x v="2788"/>
    <n v="4800000"/>
    <x v="12"/>
    <n v="135.97839999999999"/>
    <x v="3"/>
    <n v="10"/>
    <n v="8"/>
    <s v="2005"/>
    <n v="3"/>
    <x v="0"/>
    <n v="2"/>
    <n v="0.25"/>
  </r>
  <r>
    <s v="2781"/>
    <x v="2789"/>
    <n v="3500000"/>
    <x v="0"/>
    <n v="135.9161"/>
    <x v="0"/>
    <n v="52"/>
    <n v="33"/>
    <s v="2013"/>
    <n v="2"/>
    <x v="0"/>
    <n v="19"/>
    <n v="0.5757575757575758"/>
  </r>
  <r>
    <s v="2782"/>
    <x v="2790"/>
    <n v="12000000"/>
    <x v="7"/>
    <n v="135.85679999999999"/>
    <x v="19"/>
    <n v="130"/>
    <n v="55"/>
    <s v="2012"/>
    <n v="2"/>
    <x v="0"/>
    <n v="75"/>
    <n v="1.3636363636363635"/>
  </r>
  <r>
    <s v="2783"/>
    <x v="2791"/>
    <n v="4200000"/>
    <x v="11"/>
    <n v="135.7818"/>
    <x v="23"/>
    <n v="11"/>
    <n v="4"/>
    <s v="2009"/>
    <n v="2"/>
    <x v="0"/>
    <n v="7"/>
    <n v="1.75"/>
  </r>
  <r>
    <s v="2784"/>
    <x v="2792"/>
    <n v="3100000"/>
    <x v="9"/>
    <n v="135.75360000000001"/>
    <x v="23"/>
    <n v="1"/>
    <n v="1"/>
    <s v="2011"/>
    <n v="3"/>
    <x v="1"/>
    <n v="0"/>
    <n v="0"/>
  </r>
  <r>
    <s v="2785"/>
    <x v="2793"/>
    <n v="1700000000"/>
    <x v="2"/>
    <n v="135.65219999999999"/>
    <x v="10"/>
    <n v="6941"/>
    <n v="3715"/>
    <s v="2003"/>
    <n v="10"/>
    <x v="0"/>
    <n v="3226"/>
    <n v="0.868371467025572"/>
  </r>
  <r>
    <s v="2786"/>
    <x v="2794"/>
    <n v="5100000"/>
    <x v="6"/>
    <n v="135.62620000000001"/>
    <x v="9"/>
    <n v="22"/>
    <n v="12"/>
    <s v="1993"/>
    <n v="3"/>
    <x v="0"/>
    <n v="10"/>
    <n v="0.83333333333333337"/>
  </r>
  <r>
    <s v="2787"/>
    <x v="2795"/>
    <n v="2200000"/>
    <x v="4"/>
    <n v="135.44329999999999"/>
    <x v="23"/>
    <n v="13"/>
    <n v="3"/>
    <s v="2014"/>
    <n v="1"/>
    <x v="0"/>
    <n v="10"/>
    <n v="3.3333333333333335"/>
  </r>
  <r>
    <s v="2788"/>
    <x v="2796"/>
    <n v="12400000"/>
    <x v="5"/>
    <n v="135.4358"/>
    <x v="15"/>
    <n v="50"/>
    <n v="24"/>
    <s v="2011"/>
    <n v="1"/>
    <x v="0"/>
    <n v="26"/>
    <n v="1.0833333333333333"/>
  </r>
  <r>
    <s v="2789"/>
    <x v="2797"/>
    <n v="58700000"/>
    <x v="9"/>
    <n v="135.33369999999999"/>
    <x v="3"/>
    <n v="51"/>
    <n v="21"/>
    <s v="2009"/>
    <n v="5"/>
    <x v="0"/>
    <n v="30"/>
    <n v="1.4285714285714286"/>
  </r>
  <r>
    <s v="2790"/>
    <x v="2798"/>
    <n v="14400000"/>
    <x v="9"/>
    <n v="135.22309999999999"/>
    <x v="9"/>
    <n v="73"/>
    <n v="30"/>
    <s v="2005"/>
    <n v="1"/>
    <x v="0"/>
    <n v="43"/>
    <n v="1.4333333333333333"/>
  </r>
  <r>
    <s v="2791"/>
    <x v="2799"/>
    <n v="19800000"/>
    <x v="1"/>
    <n v="135.20930000000001"/>
    <x v="5"/>
    <n v="48"/>
    <n v="12"/>
    <s v="2014"/>
    <n v="1"/>
    <x v="0"/>
    <n v="36"/>
    <n v="3"/>
  </r>
  <r>
    <s v="2792"/>
    <x v="2800"/>
    <n v="45800000"/>
    <x v="27"/>
    <n v="135.11920000000001"/>
    <x v="16"/>
    <n v="342"/>
    <n v="119"/>
    <s v="2003"/>
    <n v="6"/>
    <x v="0"/>
    <n v="223"/>
    <n v="1.8739495798319328"/>
  </r>
  <r>
    <s v="2793"/>
    <x v="2801"/>
    <n v="12200000"/>
    <x v="27"/>
    <n v="135.10300000000001"/>
    <x v="3"/>
    <n v="150"/>
    <n v="60"/>
    <s v="2008"/>
    <n v="6"/>
    <x v="0"/>
    <n v="90"/>
    <n v="1.5"/>
  </r>
  <r>
    <s v="2794"/>
    <x v="2802"/>
    <n v="14100000"/>
    <x v="4"/>
    <n v="135.0308"/>
    <x v="13"/>
    <n v="67"/>
    <n v="38"/>
    <s v="2003"/>
    <n v="7"/>
    <x v="0"/>
    <n v="29"/>
    <n v="0.76315789473684215"/>
  </r>
  <r>
    <s v="2795"/>
    <x v="2803"/>
    <n v="5100000"/>
    <x v="27"/>
    <n v="134.9528"/>
    <x v="9"/>
    <n v="40"/>
    <n v="17"/>
    <s v="2008"/>
    <n v="4"/>
    <x v="0"/>
    <n v="23"/>
    <n v="1.3529411764705883"/>
  </r>
  <r>
    <s v="2796"/>
    <x v="2804"/>
    <n v="37000000"/>
    <x v="13"/>
    <n v="134.923"/>
    <x v="9"/>
    <n v="174"/>
    <n v="120"/>
    <s v="2010"/>
    <n v="5"/>
    <x v="0"/>
    <n v="54"/>
    <n v="0.45"/>
  </r>
  <r>
    <s v="2797"/>
    <x v="2805"/>
    <n v="4900000"/>
    <x v="2"/>
    <n v="134.89330000000001"/>
    <x v="25"/>
    <n v="35"/>
    <n v="13"/>
    <s v="2013"/>
    <n v="3"/>
    <x v="0"/>
    <n v="22"/>
    <n v="1.6923076923076923"/>
  </r>
  <r>
    <s v="2798"/>
    <x v="2806"/>
    <n v="2300000"/>
    <x v="4"/>
    <n v="134.892"/>
    <x v="3"/>
    <n v="18"/>
    <n v="13"/>
    <s v="2008"/>
    <n v="1"/>
    <x v="0"/>
    <n v="5"/>
    <n v="0.38461538461538464"/>
  </r>
  <r>
    <s v="2799"/>
    <x v="2807"/>
    <n v="3500000"/>
    <x v="5"/>
    <n v="134.68379999999999"/>
    <x v="18"/>
    <n v="15"/>
    <n v="12"/>
    <s v="2012"/>
    <n v="3"/>
    <x v="0"/>
    <n v="3"/>
    <n v="0.25"/>
  </r>
  <r>
    <s v="2800"/>
    <x v="2808"/>
    <n v="9800000"/>
    <x v="15"/>
    <n v="134.5624"/>
    <x v="15"/>
    <n v="20"/>
    <n v="15"/>
    <s v="2008"/>
    <n v="4"/>
    <x v="0"/>
    <n v="5"/>
    <n v="0.33333333333333331"/>
  </r>
  <r>
    <s v="2801"/>
    <x v="2809"/>
    <n v="3000000"/>
    <x v="12"/>
    <n v="134.5359"/>
    <x v="0"/>
    <n v="14"/>
    <n v="2"/>
    <s v="2005"/>
    <n v="2"/>
    <x v="0"/>
    <n v="12"/>
    <n v="6"/>
  </r>
  <r>
    <s v="2802"/>
    <x v="2810"/>
    <n v="3000000"/>
    <x v="0"/>
    <n v="134.5162"/>
    <x v="15"/>
    <n v="3"/>
    <n v="1"/>
    <s v="2008"/>
    <n v="1"/>
    <x v="0"/>
    <n v="2"/>
    <n v="2"/>
  </r>
  <r>
    <s v="2803"/>
    <x v="2811"/>
    <n v="47000000"/>
    <x v="41"/>
    <n v="134.4324"/>
    <x v="23"/>
    <n v="1982"/>
    <n v="824"/>
    <s v="2007"/>
    <n v="3"/>
    <x v="0"/>
    <n v="1158"/>
    <n v="1.4053398058252426"/>
  </r>
  <r>
    <s v="2804"/>
    <x v="2812"/>
    <n v="4800000"/>
    <x v="8"/>
    <n v="134.38589999999999"/>
    <x v="25"/>
    <n v="23"/>
    <n v="9"/>
    <s v="2010"/>
    <n v="4"/>
    <x v="0"/>
    <n v="14"/>
    <n v="1.5555555555555556"/>
  </r>
  <r>
    <s v="2805"/>
    <x v="2813"/>
    <n v="12200000"/>
    <x v="18"/>
    <n v="134.2561"/>
    <x v="23"/>
    <n v="110"/>
    <n v="50"/>
    <s v="2014"/>
    <n v="3"/>
    <x v="0"/>
    <n v="60"/>
    <n v="1.2"/>
  </r>
  <r>
    <s v="2806"/>
    <x v="2814"/>
    <n v="6500000"/>
    <x v="2"/>
    <n v="134.22640000000001"/>
    <x v="11"/>
    <n v="86"/>
    <n v="40"/>
    <s v="2008"/>
    <n v="3"/>
    <x v="0"/>
    <n v="46"/>
    <n v="1.1499999999999999"/>
  </r>
  <r>
    <s v="2807"/>
    <x v="2815"/>
    <n v="2600000"/>
    <x v="38"/>
    <n v="134.18819999999999"/>
    <x v="23"/>
    <n v="21"/>
    <n v="13"/>
    <s v="2014"/>
    <n v="1"/>
    <x v="0"/>
    <n v="8"/>
    <n v="0.61538461538461542"/>
  </r>
  <r>
    <s v="2808"/>
    <x v="2816"/>
    <n v="78300000"/>
    <x v="13"/>
    <n v="134.10650000000001"/>
    <x v="5"/>
    <n v="170"/>
    <n v="40"/>
    <s v="2011"/>
    <n v="5"/>
    <x v="0"/>
    <n v="130"/>
    <n v="3.25"/>
  </r>
  <r>
    <s v="2809"/>
    <x v="2817"/>
    <n v="9100000"/>
    <x v="2"/>
    <n v="134.07769999999999"/>
    <x v="20"/>
    <n v="21"/>
    <n v="12"/>
    <s v="2012"/>
    <n v="3"/>
    <x v="0"/>
    <n v="9"/>
    <n v="0.75"/>
  </r>
  <r>
    <s v="2810"/>
    <x v="2818"/>
    <n v="26600000"/>
    <x v="22"/>
    <n v="134.07300000000001"/>
    <x v="9"/>
    <n v="130"/>
    <n v="45"/>
    <s v="2012"/>
    <n v="1"/>
    <x v="0"/>
    <n v="85"/>
    <n v="1.8888888888888888"/>
  </r>
  <r>
    <s v="2811"/>
    <x v="2819"/>
    <n v="3000000"/>
    <x v="2"/>
    <n v="134.04329999999999"/>
    <x v="16"/>
    <n v="54"/>
    <n v="25"/>
    <s v="2006"/>
    <n v="1"/>
    <x v="0"/>
    <n v="29"/>
    <n v="1.1599999999999999"/>
  </r>
  <r>
    <s v="2812"/>
    <x v="2820"/>
    <n v="33900000"/>
    <x v="26"/>
    <n v="133.98650000000001"/>
    <x v="12"/>
    <n v="17"/>
    <n v="10"/>
    <s v="2005"/>
    <n v="8"/>
    <x v="0"/>
    <n v="7"/>
    <n v="0.7"/>
  </r>
  <r>
    <s v="2813"/>
    <x v="2821"/>
    <n v="85400000"/>
    <x v="12"/>
    <n v="133.95230000000001"/>
    <x v="0"/>
    <n v="371"/>
    <n v="129"/>
    <s v="1999"/>
    <n v="5"/>
    <x v="0"/>
    <n v="242"/>
    <n v="1.875968992248062"/>
  </r>
  <r>
    <s v="2814"/>
    <x v="2822"/>
    <n v="2900000"/>
    <x v="12"/>
    <n v="133.9408"/>
    <x v="1"/>
    <n v="9"/>
    <n v="5"/>
    <s v="1987"/>
    <n v="2"/>
    <x v="0"/>
    <n v="4"/>
    <n v="0.8"/>
  </r>
  <r>
    <s v="2815"/>
    <x v="2823"/>
    <n v="6300000"/>
    <x v="10"/>
    <n v="133.9239"/>
    <x v="25"/>
    <n v="42"/>
    <n v="8"/>
    <s v="2009"/>
    <n v="2"/>
    <x v="0"/>
    <n v="34"/>
    <n v="4.25"/>
  </r>
  <r>
    <s v="2816"/>
    <x v="2824"/>
    <n v="16500000"/>
    <x v="5"/>
    <n v="133.7809"/>
    <x v="0"/>
    <n v="62"/>
    <n v="4"/>
    <s v="2014"/>
    <n v="2"/>
    <x v="0"/>
    <n v="58"/>
    <n v="14.5"/>
  </r>
  <r>
    <s v="2817"/>
    <x v="2825"/>
    <n v="20200000"/>
    <x v="13"/>
    <n v="133.7602"/>
    <x v="0"/>
    <n v="100"/>
    <n v="60"/>
    <s v="2004"/>
    <n v="9"/>
    <x v="0"/>
    <n v="40"/>
    <n v="0.66666666666666663"/>
  </r>
  <r>
    <s v="2818"/>
    <x v="2826"/>
    <n v="69800000"/>
    <x v="23"/>
    <n v="133.7182"/>
    <x v="11"/>
    <n v="451"/>
    <n v="219"/>
    <s v="2007"/>
    <n v="2"/>
    <x v="0"/>
    <n v="232"/>
    <n v="1.0593607305936072"/>
  </r>
  <r>
    <s v="2819"/>
    <x v="2827"/>
    <n v="3400000"/>
    <x v="31"/>
    <n v="133.68199999999999"/>
    <x v="5"/>
    <n v="10"/>
    <n v="4"/>
    <s v="2012"/>
    <n v="2"/>
    <x v="0"/>
    <n v="6"/>
    <n v="1.5"/>
  </r>
  <r>
    <s v="2820"/>
    <x v="2828"/>
    <n v="29800000"/>
    <x v="9"/>
    <n v="133.30359999999999"/>
    <x v="11"/>
    <n v="290"/>
    <n v="120"/>
    <s v="2008"/>
    <n v="4"/>
    <x v="0"/>
    <n v="170"/>
    <n v="1.4166666666666667"/>
  </r>
  <r>
    <s v="2821"/>
    <x v="2829"/>
    <n v="6000000"/>
    <x v="16"/>
    <n v="133.297"/>
    <x v="2"/>
    <n v="175"/>
    <n v="100"/>
    <s v="1995"/>
    <n v="1"/>
    <x v="0"/>
    <n v="75"/>
    <n v="0.75"/>
  </r>
  <r>
    <s v="2822"/>
    <x v="2830"/>
    <n v="12000000"/>
    <x v="24"/>
    <n v="133.26830000000001"/>
    <x v="1"/>
    <n v="92"/>
    <n v="48"/>
    <s v="1988"/>
    <n v="1"/>
    <x v="0"/>
    <n v="44"/>
    <n v="0.91666666666666663"/>
  </r>
  <r>
    <s v="2823"/>
    <x v="2831"/>
    <n v="37100000"/>
    <x v="12"/>
    <n v="133.1627"/>
    <x v="15"/>
    <n v="107"/>
    <n v="61"/>
    <s v="2009"/>
    <n v="7"/>
    <x v="0"/>
    <n v="46"/>
    <n v="0.75409836065573765"/>
  </r>
  <r>
    <s v="2824"/>
    <x v="2832"/>
    <n v="47600000"/>
    <x v="27"/>
    <n v="133.0078"/>
    <x v="13"/>
    <n v="200"/>
    <n v="70"/>
    <s v="2009"/>
    <n v="1"/>
    <x v="0"/>
    <n v="130"/>
    <n v="1.8571428571428572"/>
  </r>
  <r>
    <s v="2825"/>
    <x v="2833"/>
    <n v="13000000"/>
    <x v="28"/>
    <n v="132.99350000000001"/>
    <x v="21"/>
    <n v="62"/>
    <n v="55"/>
    <s v="2016"/>
    <n v="6"/>
    <x v="0"/>
    <n v="7"/>
    <n v="0.12727272727272726"/>
  </r>
  <r>
    <s v="2826"/>
    <x v="2834"/>
    <n v="4100000"/>
    <x v="28"/>
    <n v="132.9298"/>
    <x v="23"/>
    <n v="39"/>
    <n v="16"/>
    <s v="2000"/>
    <n v="3"/>
    <x v="0"/>
    <n v="23"/>
    <n v="1.4375"/>
  </r>
  <r>
    <s v="2827"/>
    <x v="2835"/>
    <n v="12800000"/>
    <x v="2"/>
    <n v="132.88460000000001"/>
    <x v="0"/>
    <n v="68"/>
    <n v="43"/>
    <s v="2009"/>
    <n v="6"/>
    <x v="0"/>
    <n v="25"/>
    <n v="0.58139534883720934"/>
  </r>
  <r>
    <s v="2828"/>
    <x v="2836"/>
    <n v="35400000"/>
    <x v="24"/>
    <n v="132.81120000000001"/>
    <x v="5"/>
    <n v="200"/>
    <n v="181"/>
    <s v="2002"/>
    <n v="1"/>
    <x v="0"/>
    <n v="19"/>
    <n v="0.10497237569060773"/>
  </r>
  <r>
    <s v="2829"/>
    <x v="2837"/>
    <n v="30500000"/>
    <x v="27"/>
    <n v="132.65469999999999"/>
    <x v="12"/>
    <n v="50"/>
    <n v="25"/>
    <s v="2009"/>
    <n v="2"/>
    <x v="0"/>
    <n v="25"/>
    <n v="1"/>
  </r>
  <r>
    <s v="2830"/>
    <x v="2838"/>
    <n v="6600000"/>
    <x v="8"/>
    <n v="132.58779999999999"/>
    <x v="13"/>
    <n v="15"/>
    <n v="5"/>
    <s v="2011"/>
    <n v="3"/>
    <x v="0"/>
    <n v="10"/>
    <n v="2"/>
  </r>
  <r>
    <s v="2831"/>
    <x v="2839"/>
    <n v="23700000"/>
    <x v="6"/>
    <n v="132.5384"/>
    <x v="23"/>
    <n v="200"/>
    <n v="80"/>
    <s v="1979"/>
    <n v="1"/>
    <x v="0"/>
    <n v="120"/>
    <n v="1.5"/>
  </r>
  <r>
    <s v="2832"/>
    <x v="2840"/>
    <n v="6000000"/>
    <x v="8"/>
    <n v="132.49809999999999"/>
    <x v="23"/>
    <n v="65"/>
    <n v="34"/>
    <s v="2007"/>
    <n v="3"/>
    <x v="0"/>
    <n v="31"/>
    <n v="0.91176470588235292"/>
  </r>
  <r>
    <s v="2833"/>
    <x v="2841"/>
    <n v="4100000"/>
    <x v="24"/>
    <n v="132.47569999999999"/>
    <x v="0"/>
    <n v="25"/>
    <n v="15"/>
    <s v="2012"/>
    <n v="1"/>
    <x v="0"/>
    <n v="10"/>
    <n v="0.66666666666666663"/>
  </r>
  <r>
    <s v="2834"/>
    <x v="2842"/>
    <n v="13700000"/>
    <x v="9"/>
    <n v="132.43719999999999"/>
    <x v="6"/>
    <n v="2"/>
    <n v="2"/>
    <s v="2007"/>
    <n v="5"/>
    <x v="1"/>
    <n v="0"/>
    <n v="0"/>
  </r>
  <r>
    <s v="2835"/>
    <x v="2843"/>
    <n v="25600000"/>
    <x v="21"/>
    <n v="132.43680000000001"/>
    <x v="11"/>
    <n v="75"/>
    <n v="53"/>
    <s v="2007"/>
    <n v="4"/>
    <x v="0"/>
    <n v="22"/>
    <n v="0.41509433962264153"/>
  </r>
  <r>
    <s v="2836"/>
    <x v="2844"/>
    <n v="2500000"/>
    <x v="27"/>
    <n v="132.35640000000001"/>
    <x v="19"/>
    <n v="11"/>
    <n v="7"/>
    <s v="1996"/>
    <n v="1"/>
    <x v="0"/>
    <n v="4"/>
    <n v="0.5714285714285714"/>
  </r>
  <r>
    <s v="2837"/>
    <x v="2845"/>
    <n v="2000000"/>
    <x v="9"/>
    <n v="132.3432"/>
    <x v="25"/>
    <n v="12"/>
    <n v="6"/>
    <s v="2009"/>
    <n v="1"/>
    <x v="0"/>
    <n v="6"/>
    <n v="1"/>
  </r>
  <r>
    <s v="2838"/>
    <x v="2846"/>
    <n v="67800000"/>
    <x v="9"/>
    <n v="132.30930000000001"/>
    <x v="0"/>
    <n v="197"/>
    <n v="115"/>
    <s v="2005"/>
    <n v="11"/>
    <x v="0"/>
    <n v="82"/>
    <n v="0.71304347826086956"/>
  </r>
  <r>
    <s v="2839"/>
    <x v="2847"/>
    <n v="68300000"/>
    <x v="8"/>
    <n v="132.07679999999999"/>
    <x v="21"/>
    <n v="160"/>
    <n v="58"/>
    <s v="2009"/>
    <n v="5"/>
    <x v="0"/>
    <n v="102"/>
    <n v="1.7586206896551724"/>
  </r>
  <r>
    <s v="2840"/>
    <x v="2848"/>
    <n v="9600000"/>
    <x v="11"/>
    <n v="132.03489999999999"/>
    <x v="23"/>
    <n v="91"/>
    <n v="51"/>
    <s v="2014"/>
    <n v="2"/>
    <x v="0"/>
    <n v="40"/>
    <n v="0.78431372549019607"/>
  </r>
  <r>
    <s v="2841"/>
    <x v="2849"/>
    <n v="10700000"/>
    <x v="9"/>
    <n v="131.82759999999999"/>
    <x v="12"/>
    <n v="37"/>
    <n v="19"/>
    <s v="2013"/>
    <n v="1"/>
    <x v="0"/>
    <n v="18"/>
    <n v="0.94736842105263153"/>
  </r>
  <r>
    <s v="2842"/>
    <x v="2850"/>
    <n v="8800000"/>
    <x v="13"/>
    <n v="131.81620000000001"/>
    <x v="9"/>
    <n v="81"/>
    <n v="26"/>
    <s v="2013"/>
    <n v="1"/>
    <x v="0"/>
    <n v="55"/>
    <n v="2.1153846153846154"/>
  </r>
  <r>
    <s v="2843"/>
    <x v="2851"/>
    <n v="7900000"/>
    <x v="37"/>
    <n v="131.80369999999999"/>
    <x v="19"/>
    <n v="55"/>
    <n v="25"/>
    <s v="2007"/>
    <n v="7"/>
    <x v="0"/>
    <n v="30"/>
    <n v="1.2"/>
  </r>
  <r>
    <s v="2844"/>
    <x v="2852"/>
    <n v="25000000"/>
    <x v="12"/>
    <n v="131.77780000000001"/>
    <x v="5"/>
    <n v="289"/>
    <n v="150"/>
    <s v="2008"/>
    <n v="5"/>
    <x v="0"/>
    <n v="139"/>
    <n v="0.92666666666666664"/>
  </r>
  <r>
    <s v="2845"/>
    <x v="2853"/>
    <n v="14500000"/>
    <x v="9"/>
    <n v="131.71690000000001"/>
    <x v="12"/>
    <n v="48"/>
    <n v="28"/>
    <s v="1994"/>
    <n v="5"/>
    <x v="0"/>
    <n v="20"/>
    <n v="0.7142857142857143"/>
  </r>
  <r>
    <s v="2846"/>
    <x v="2854"/>
    <n v="39600000"/>
    <x v="9"/>
    <n v="131.66489999999999"/>
    <x v="19"/>
    <n v="225"/>
    <n v="62"/>
    <s v="2012"/>
    <n v="3"/>
    <x v="0"/>
    <n v="163"/>
    <n v="2.629032258064516"/>
  </r>
  <r>
    <s v="2847"/>
    <x v="2855"/>
    <n v="8900000"/>
    <x v="33"/>
    <n v="131.60890000000001"/>
    <x v="9"/>
    <n v="73"/>
    <n v="73"/>
    <s v="2010"/>
    <n v="4"/>
    <x v="1"/>
    <n v="0"/>
    <n v="0"/>
  </r>
  <r>
    <s v="2848"/>
    <x v="2856"/>
    <n v="4000000"/>
    <x v="7"/>
    <n v="131.6037"/>
    <x v="9"/>
    <n v="26"/>
    <n v="12"/>
    <s v="2007"/>
    <n v="3"/>
    <x v="0"/>
    <n v="14"/>
    <n v="1.1666666666666667"/>
  </r>
  <r>
    <s v="2849"/>
    <x v="2857"/>
    <n v="92800000"/>
    <x v="24"/>
    <n v="131.60149999999999"/>
    <x v="17"/>
    <n v="650"/>
    <n v="491"/>
    <s v="1990"/>
    <n v="2"/>
    <x v="0"/>
    <n v="159"/>
    <n v="0.32382892057026474"/>
  </r>
  <r>
    <s v="2850"/>
    <x v="2858"/>
    <n v="28400000"/>
    <x v="24"/>
    <n v="131.59780000000001"/>
    <x v="13"/>
    <n v="87"/>
    <n v="45"/>
    <s v="2002"/>
    <n v="7"/>
    <x v="0"/>
    <n v="42"/>
    <n v="0.93333333333333335"/>
  </r>
  <r>
    <s v="2851"/>
    <x v="2859"/>
    <n v="3100000"/>
    <x v="13"/>
    <n v="131.5934"/>
    <x v="5"/>
    <n v="18"/>
    <n v="10"/>
    <s v="2007"/>
    <n v="2"/>
    <x v="0"/>
    <n v="8"/>
    <n v="0.8"/>
  </r>
  <r>
    <s v="2852"/>
    <x v="2860"/>
    <n v="4900000"/>
    <x v="6"/>
    <n v="131.51580000000001"/>
    <x v="22"/>
    <n v="24"/>
    <n v="17"/>
    <s v="2001"/>
    <n v="1"/>
    <x v="0"/>
    <n v="7"/>
    <n v="0.41176470588235292"/>
  </r>
  <r>
    <s v="2853"/>
    <x v="2861"/>
    <n v="8300000"/>
    <x v="16"/>
    <n v="131.4573"/>
    <x v="1"/>
    <n v="39"/>
    <n v="15"/>
    <s v="2004"/>
    <n v="2"/>
    <x v="0"/>
    <n v="24"/>
    <n v="1.6"/>
  </r>
  <r>
    <s v="2854"/>
    <x v="2862"/>
    <n v="15900000"/>
    <x v="9"/>
    <n v="131.36340000000001"/>
    <x v="5"/>
    <n v="78"/>
    <n v="35"/>
    <s v="2005"/>
    <n v="1"/>
    <x v="0"/>
    <n v="43"/>
    <n v="1.2285714285714286"/>
  </r>
  <r>
    <s v="2855"/>
    <x v="2863"/>
    <n v="4900000"/>
    <x v="6"/>
    <n v="131.3126"/>
    <x v="0"/>
    <n v="81"/>
    <n v="48"/>
    <s v="2011"/>
    <n v="3"/>
    <x v="0"/>
    <n v="33"/>
    <n v="0.6875"/>
  </r>
  <r>
    <s v="2856"/>
    <x v="2864"/>
    <n v="12800000"/>
    <x v="23"/>
    <n v="131.24510000000001"/>
    <x v="1"/>
    <n v="14"/>
    <n v="6"/>
    <s v="2003"/>
    <n v="1"/>
    <x v="0"/>
    <n v="8"/>
    <n v="1.3333333333333333"/>
  </r>
  <r>
    <s v="2857"/>
    <x v="2865"/>
    <n v="195700000"/>
    <x v="4"/>
    <n v="131.1686"/>
    <x v="1"/>
    <n v="255"/>
    <n v="160"/>
    <s v="1996"/>
    <n v="5"/>
    <x v="0"/>
    <n v="95"/>
    <n v="0.59375"/>
  </r>
  <r>
    <s v="2858"/>
    <x v="2866"/>
    <n v="8800000"/>
    <x v="18"/>
    <n v="131.01509999999999"/>
    <x v="20"/>
    <n v="69"/>
    <n v="25"/>
    <s v="2002"/>
    <n v="5"/>
    <x v="0"/>
    <n v="44"/>
    <n v="1.76"/>
  </r>
  <r>
    <s v="2859"/>
    <x v="2867"/>
    <n v="9700000"/>
    <x v="13"/>
    <n v="130.96619999999999"/>
    <x v="3"/>
    <n v="91"/>
    <n v="43"/>
    <s v="1998"/>
    <n v="3"/>
    <x v="0"/>
    <n v="48"/>
    <n v="1.1162790697674418"/>
  </r>
  <r>
    <s v="2860"/>
    <x v="2868"/>
    <n v="60500000"/>
    <x v="12"/>
    <n v="130.875"/>
    <x v="23"/>
    <n v="1125"/>
    <n v="768"/>
    <s v="1995"/>
    <n v="3"/>
    <x v="0"/>
    <n v="357"/>
    <n v="0.46484375"/>
  </r>
  <r>
    <s v="2861"/>
    <x v="2869"/>
    <n v="21800000"/>
    <x v="10"/>
    <n v="130.84389999999999"/>
    <x v="5"/>
    <n v="69"/>
    <n v="33"/>
    <s v="2006"/>
    <n v="2"/>
    <x v="0"/>
    <n v="36"/>
    <n v="1.0909090909090908"/>
  </r>
  <r>
    <s v="2862"/>
    <x v="2870"/>
    <n v="26500000"/>
    <x v="16"/>
    <n v="130.827"/>
    <x v="24"/>
    <n v="17"/>
    <n v="6"/>
    <s v="2011"/>
    <n v="3"/>
    <x v="0"/>
    <n v="11"/>
    <n v="1.8333333333333333"/>
  </r>
  <r>
    <s v="2863"/>
    <x v="2871"/>
    <n v="26700000"/>
    <x v="13"/>
    <n v="130.7508"/>
    <x v="9"/>
    <n v="126"/>
    <n v="57"/>
    <s v="2008"/>
    <n v="2"/>
    <x v="0"/>
    <n v="69"/>
    <n v="1.2105263157894737"/>
  </r>
  <r>
    <s v="2864"/>
    <x v="2872"/>
    <n v="66800000"/>
    <x v="14"/>
    <n v="130.732"/>
    <x v="13"/>
    <n v="425"/>
    <n v="203"/>
    <s v="2002"/>
    <n v="4"/>
    <x v="0"/>
    <n v="222"/>
    <n v="1.0935960591133005"/>
  </r>
  <r>
    <s v="2865"/>
    <x v="2873"/>
    <n v="46200000"/>
    <x v="2"/>
    <n v="130.72479999999999"/>
    <x v="15"/>
    <n v="154"/>
    <n v="79"/>
    <s v="1984"/>
    <n v="2"/>
    <x v="0"/>
    <n v="75"/>
    <n v="0.94936708860759489"/>
  </r>
  <r>
    <s v="2866"/>
    <x v="2874"/>
    <n v="152300000"/>
    <x v="1"/>
    <n v="130.65860000000001"/>
    <x v="23"/>
    <n v="160"/>
    <n v="90"/>
    <s v="1982"/>
    <n v="11"/>
    <x v="0"/>
    <n v="70"/>
    <n v="0.77777777777777779"/>
  </r>
  <r>
    <s v="2867"/>
    <x v="2875"/>
    <n v="3300000"/>
    <x v="40"/>
    <n v="130.6138"/>
    <x v="2"/>
    <n v="17"/>
    <n v="9"/>
    <s v="2006"/>
    <n v="2"/>
    <x v="0"/>
    <n v="8"/>
    <n v="0.88888888888888884"/>
  </r>
  <r>
    <s v="2868"/>
    <x v="2876"/>
    <n v="20300000"/>
    <x v="2"/>
    <n v="130.5943"/>
    <x v="15"/>
    <n v="240"/>
    <n v="54"/>
    <s v="2003"/>
    <n v="1"/>
    <x v="0"/>
    <n v="186"/>
    <n v="3.4444444444444446"/>
  </r>
  <r>
    <s v="2869"/>
    <x v="2877"/>
    <n v="5700000"/>
    <x v="38"/>
    <n v="130.51140000000001"/>
    <x v="25"/>
    <n v="51"/>
    <n v="28"/>
    <s v="2009"/>
    <n v="4"/>
    <x v="0"/>
    <n v="23"/>
    <n v="0.8214285714285714"/>
  </r>
  <r>
    <s v="2870"/>
    <x v="2878"/>
    <n v="4400000"/>
    <x v="7"/>
    <n v="130.428"/>
    <x v="23"/>
    <n v="19"/>
    <n v="12"/>
    <s v="2007"/>
    <n v="2"/>
    <x v="0"/>
    <n v="7"/>
    <n v="0.58333333333333337"/>
  </r>
  <r>
    <s v="2871"/>
    <x v="2879"/>
    <n v="33100000"/>
    <x v="5"/>
    <n v="130.40180000000001"/>
    <x v="22"/>
    <n v="58"/>
    <n v="25"/>
    <s v="2011"/>
    <n v="2"/>
    <x v="0"/>
    <n v="33"/>
    <n v="1.32"/>
  </r>
  <r>
    <s v="2872"/>
    <x v="2880"/>
    <n v="3400000"/>
    <x v="23"/>
    <n v="130.34219999999999"/>
    <x v="11"/>
    <n v="23"/>
    <n v="16"/>
    <s v="2012"/>
    <n v="3"/>
    <x v="0"/>
    <n v="7"/>
    <n v="0.4375"/>
  </r>
  <r>
    <s v="2873"/>
    <x v="2881"/>
    <n v="35000000"/>
    <x v="5"/>
    <n v="130.27250000000001"/>
    <x v="0"/>
    <n v="46"/>
    <n v="25"/>
    <s v="2002"/>
    <n v="1"/>
    <x v="0"/>
    <n v="21"/>
    <n v="0.84"/>
  </r>
  <r>
    <s v="2874"/>
    <x v="2882"/>
    <n v="16500000"/>
    <x v="27"/>
    <n v="130.25229999999999"/>
    <x v="7"/>
    <n v="38"/>
    <n v="17"/>
    <s v="2011"/>
    <n v="2"/>
    <x v="0"/>
    <n v="21"/>
    <n v="1.2352941176470589"/>
  </r>
  <r>
    <s v="2875"/>
    <x v="2883"/>
    <n v="8100000"/>
    <x v="10"/>
    <n v="130.21770000000001"/>
    <x v="15"/>
    <n v="62"/>
    <n v="44"/>
    <s v="2008"/>
    <n v="2"/>
    <x v="0"/>
    <n v="18"/>
    <n v="0.40909090909090912"/>
  </r>
  <r>
    <s v="2876"/>
    <x v="2884"/>
    <n v="3600000"/>
    <x v="2"/>
    <n v="130.17410000000001"/>
    <x v="7"/>
    <n v="8"/>
    <n v="5"/>
    <s v="1992"/>
    <n v="2"/>
    <x v="0"/>
    <n v="3"/>
    <n v="0.6"/>
  </r>
  <r>
    <s v="2877"/>
    <x v="2885"/>
    <n v="31700000"/>
    <x v="9"/>
    <n v="130.15450000000001"/>
    <x v="5"/>
    <n v="66"/>
    <n v="21"/>
    <s v="2006"/>
    <n v="1"/>
    <x v="0"/>
    <n v="45"/>
    <n v="2.1428571428571428"/>
  </r>
  <r>
    <s v="2878"/>
    <x v="2886"/>
    <n v="115000000"/>
    <x v="2"/>
    <n v="130.1104"/>
    <x v="22"/>
    <n v="28"/>
    <n v="12"/>
    <s v="2012"/>
    <n v="3"/>
    <x v="0"/>
    <n v="16"/>
    <n v="1.3333333333333333"/>
  </r>
  <r>
    <s v="2879"/>
    <x v="2887"/>
    <n v="4300000"/>
    <x v="13"/>
    <n v="130.03100000000001"/>
    <x v="19"/>
    <n v="25"/>
    <n v="15"/>
    <s v="1997"/>
    <n v="1"/>
    <x v="0"/>
    <n v="10"/>
    <n v="0.66666666666666663"/>
  </r>
  <r>
    <s v="2880"/>
    <x v="2888"/>
    <n v="4000000"/>
    <x v="4"/>
    <n v="130.0146"/>
    <x v="18"/>
    <n v="19"/>
    <n v="8"/>
    <s v="2007"/>
    <n v="3"/>
    <x v="0"/>
    <n v="11"/>
    <n v="1.375"/>
  </r>
  <r>
    <s v="2881"/>
    <x v="2889"/>
    <n v="3700000"/>
    <x v="2"/>
    <n v="129.9984"/>
    <x v="13"/>
    <n v="24"/>
    <n v="15"/>
    <s v="2014"/>
    <n v="2"/>
    <x v="0"/>
    <n v="9"/>
    <n v="0.6"/>
  </r>
  <r>
    <s v="2882"/>
    <x v="2890"/>
    <n v="3200000"/>
    <x v="7"/>
    <n v="129.97839999999999"/>
    <x v="20"/>
    <n v="35"/>
    <n v="12"/>
    <s v="2008"/>
    <n v="2"/>
    <x v="0"/>
    <n v="23"/>
    <n v="1.9166666666666667"/>
  </r>
  <r>
    <s v="2883"/>
    <x v="2891"/>
    <n v="2900000"/>
    <x v="1"/>
    <n v="129.94540000000001"/>
    <x v="19"/>
    <n v="20"/>
    <n v="18"/>
    <s v="2007"/>
    <n v="2"/>
    <x v="0"/>
    <n v="2"/>
    <n v="0.1111111111111111"/>
  </r>
  <r>
    <s v="2884"/>
    <x v="2892"/>
    <n v="3400000"/>
    <x v="5"/>
    <n v="129.94069999999999"/>
    <x v="0"/>
    <n v="24"/>
    <n v="15"/>
    <s v="2007"/>
    <n v="1"/>
    <x v="0"/>
    <n v="9"/>
    <n v="0.6"/>
  </r>
  <r>
    <s v="2885"/>
    <x v="2893"/>
    <n v="12000000"/>
    <x v="16"/>
    <n v="129.9365"/>
    <x v="23"/>
    <n v="645"/>
    <n v="108"/>
    <s v="2007"/>
    <n v="4"/>
    <x v="0"/>
    <n v="537"/>
    <n v="4.9722222222222223"/>
  </r>
  <r>
    <s v="2886"/>
    <x v="2894"/>
    <n v="9700000"/>
    <x v="41"/>
    <n v="129.91630000000001"/>
    <x v="9"/>
    <n v="70"/>
    <n v="52"/>
    <s v="1997"/>
    <n v="5"/>
    <x v="0"/>
    <n v="18"/>
    <n v="0.34615384615384615"/>
  </r>
  <r>
    <s v="2887"/>
    <x v="2895"/>
    <n v="10200000"/>
    <x v="2"/>
    <n v="129.8098"/>
    <x v="25"/>
    <n v="39"/>
    <n v="23"/>
    <s v="2013"/>
    <n v="1"/>
    <x v="0"/>
    <n v="16"/>
    <n v="0.69565217391304346"/>
  </r>
  <r>
    <s v="2888"/>
    <x v="2896"/>
    <n v="7200000"/>
    <x v="8"/>
    <n v="129.76589999999999"/>
    <x v="8"/>
    <n v="21"/>
    <n v="9"/>
    <s v="2007"/>
    <n v="2"/>
    <x v="0"/>
    <n v="12"/>
    <n v="1.3333333333333333"/>
  </r>
  <r>
    <s v="2889"/>
    <x v="2897"/>
    <n v="53000000"/>
    <x v="13"/>
    <n v="129.64240000000001"/>
    <x v="5"/>
    <n v="75"/>
    <n v="39"/>
    <s v="1999"/>
    <n v="3"/>
    <x v="0"/>
    <n v="36"/>
    <n v="0.92307692307692313"/>
  </r>
  <r>
    <s v="2890"/>
    <x v="2898"/>
    <n v="7800000"/>
    <x v="9"/>
    <n v="129.6061"/>
    <x v="9"/>
    <n v="30"/>
    <n v="9"/>
    <s v="2013"/>
    <n v="2"/>
    <x v="0"/>
    <n v="21"/>
    <n v="2.3333333333333335"/>
  </r>
  <r>
    <s v="2891"/>
    <x v="2899"/>
    <n v="12600000"/>
    <x v="11"/>
    <n v="129.53399999999999"/>
    <x v="1"/>
    <n v="30"/>
    <n v="14"/>
    <s v="2009"/>
    <n v="7"/>
    <x v="0"/>
    <n v="16"/>
    <n v="1.1428571428571428"/>
  </r>
  <r>
    <s v="2892"/>
    <x v="2900"/>
    <n v="24100000"/>
    <x v="7"/>
    <n v="129.4263"/>
    <x v="9"/>
    <n v="166"/>
    <n v="88"/>
    <s v="1997"/>
    <n v="2"/>
    <x v="0"/>
    <n v="78"/>
    <n v="0.88636363636363635"/>
  </r>
  <r>
    <s v="2893"/>
    <x v="2901"/>
    <n v="7000000"/>
    <x v="9"/>
    <n v="129.3954"/>
    <x v="5"/>
    <n v="190"/>
    <n v="100"/>
    <s v="2012"/>
    <n v="2"/>
    <x v="0"/>
    <n v="90"/>
    <n v="0.9"/>
  </r>
  <r>
    <s v="2894"/>
    <x v="2902"/>
    <n v="71300000"/>
    <x v="7"/>
    <n v="129.3785"/>
    <x v="16"/>
    <n v="300"/>
    <n v="150"/>
    <s v="2002"/>
    <n v="6"/>
    <x v="0"/>
    <n v="150"/>
    <n v="1"/>
  </r>
  <r>
    <s v="2895"/>
    <x v="2903"/>
    <n v="11000000"/>
    <x v="5"/>
    <n v="129.3639"/>
    <x v="23"/>
    <n v="32"/>
    <n v="18"/>
    <s v="2009"/>
    <n v="5"/>
    <x v="0"/>
    <n v="14"/>
    <n v="0.77777777777777779"/>
  </r>
  <r>
    <s v="2896"/>
    <x v="2904"/>
    <n v="18100000"/>
    <x v="5"/>
    <n v="129.35419999999999"/>
    <x v="1"/>
    <n v="18"/>
    <n v="6"/>
    <s v="2009"/>
    <n v="5"/>
    <x v="0"/>
    <n v="12"/>
    <n v="2"/>
  </r>
  <r>
    <s v="2897"/>
    <x v="2905"/>
    <n v="65100000"/>
    <x v="45"/>
    <n v="129.3426"/>
    <x v="3"/>
    <n v="145"/>
    <n v="65"/>
    <s v="1978"/>
    <n v="5"/>
    <x v="0"/>
    <n v="80"/>
    <n v="1.2307692307692308"/>
  </r>
  <r>
    <s v="2898"/>
    <x v="2906"/>
    <n v="2400000"/>
    <x v="22"/>
    <n v="129.3006"/>
    <x v="0"/>
    <n v="22"/>
    <n v="9"/>
    <s v="2010"/>
    <n v="2"/>
    <x v="0"/>
    <n v="13"/>
    <n v="1.4444444444444444"/>
  </r>
  <r>
    <s v="2899"/>
    <x v="2907"/>
    <n v="29500000"/>
    <x v="4"/>
    <n v="129.24350000000001"/>
    <x v="22"/>
    <n v="60"/>
    <n v="23"/>
    <s v="2005"/>
    <n v="4"/>
    <x v="0"/>
    <n v="37"/>
    <n v="1.6086956521739131"/>
  </r>
  <r>
    <s v="2900"/>
    <x v="2908"/>
    <n v="26300000"/>
    <x v="7"/>
    <n v="129.23679999999999"/>
    <x v="11"/>
    <n v="145"/>
    <n v="67"/>
    <s v="2008"/>
    <n v="6"/>
    <x v="0"/>
    <n v="78"/>
    <n v="1.164179104477612"/>
  </r>
  <r>
    <s v="2901"/>
    <x v="2909"/>
    <n v="15300000"/>
    <x v="40"/>
    <n v="129.22880000000001"/>
    <x v="2"/>
    <n v="305"/>
    <n v="90"/>
    <s v="2008"/>
    <n v="1"/>
    <x v="0"/>
    <n v="215"/>
    <n v="2.3888888888888888"/>
  </r>
  <r>
    <s v="2902"/>
    <x v="2910"/>
    <n v="8000000"/>
    <x v="9"/>
    <n v="129.22800000000001"/>
    <x v="0"/>
    <n v="18"/>
    <n v="6"/>
    <s v="2007"/>
    <n v="1"/>
    <x v="0"/>
    <n v="12"/>
    <n v="2"/>
  </r>
  <r>
    <s v="2903"/>
    <x v="2911"/>
    <n v="6300000"/>
    <x v="11"/>
    <n v="129.2089"/>
    <x v="0"/>
    <n v="44"/>
    <n v="15"/>
    <s v="2010"/>
    <n v="4"/>
    <x v="0"/>
    <n v="29"/>
    <n v="1.9333333333333333"/>
  </r>
  <r>
    <s v="2904"/>
    <x v="2912"/>
    <n v="29900000"/>
    <x v="2"/>
    <n v="128.98410000000001"/>
    <x v="15"/>
    <n v="90"/>
    <n v="42"/>
    <s v="2012"/>
    <n v="4"/>
    <x v="0"/>
    <n v="48"/>
    <n v="1.1428571428571428"/>
  </r>
  <r>
    <s v="2905"/>
    <x v="2913"/>
    <n v="6300000"/>
    <x v="24"/>
    <n v="128.8895"/>
    <x v="0"/>
    <n v="18"/>
    <n v="14"/>
    <s v="2009"/>
    <n v="3"/>
    <x v="0"/>
    <n v="4"/>
    <n v="0.2857142857142857"/>
  </r>
  <r>
    <s v="2906"/>
    <x v="2914"/>
    <n v="3500000"/>
    <x v="2"/>
    <n v="128.86060000000001"/>
    <x v="15"/>
    <n v="17"/>
    <n v="9"/>
    <s v="1995"/>
    <n v="1"/>
    <x v="0"/>
    <n v="8"/>
    <n v="0.88888888888888884"/>
  </r>
  <r>
    <s v="2907"/>
    <x v="2915"/>
    <n v="32700000"/>
    <x v="5"/>
    <n v="128.779"/>
    <x v="20"/>
    <n v="151"/>
    <n v="72"/>
    <s v="2011"/>
    <n v="4"/>
    <x v="0"/>
    <n v="79"/>
    <n v="1.0972222222222223"/>
  </r>
  <r>
    <s v="2908"/>
    <x v="2916"/>
    <n v="71200000"/>
    <x v="19"/>
    <n v="128.7517"/>
    <x v="14"/>
    <n v="260"/>
    <n v="75"/>
    <s v="2003"/>
    <n v="8"/>
    <x v="0"/>
    <n v="185"/>
    <n v="2.4666666666666668"/>
  </r>
  <r>
    <s v="2909"/>
    <x v="2917"/>
    <n v="8100000"/>
    <x v="10"/>
    <n v="128.75129999999999"/>
    <x v="24"/>
    <n v="20"/>
    <n v="7"/>
    <s v="2003"/>
    <n v="6"/>
    <x v="0"/>
    <n v="13"/>
    <n v="1.8571428571428572"/>
  </r>
  <r>
    <s v="2910"/>
    <x v="2918"/>
    <n v="8700000"/>
    <x v="3"/>
    <n v="128.7159"/>
    <x v="15"/>
    <n v="82"/>
    <n v="40"/>
    <s v="2008"/>
    <n v="2"/>
    <x v="0"/>
    <n v="42"/>
    <n v="1.05"/>
  </r>
  <r>
    <s v="2911"/>
    <x v="2919"/>
    <n v="43800000"/>
    <x v="4"/>
    <n v="128.71260000000001"/>
    <x v="18"/>
    <n v="350"/>
    <n v="120"/>
    <s v="2003"/>
    <n v="5"/>
    <x v="0"/>
    <n v="230"/>
    <n v="1.9166666666666667"/>
  </r>
  <r>
    <s v="2912"/>
    <x v="2920"/>
    <n v="9900000"/>
    <x v="27"/>
    <n v="128.68270000000001"/>
    <x v="12"/>
    <n v="547"/>
    <n v="323"/>
    <s v="2001"/>
    <n v="1"/>
    <x v="0"/>
    <n v="224"/>
    <n v="0.69349845201238391"/>
  </r>
  <r>
    <s v="2913"/>
    <x v="2921"/>
    <n v="2600000"/>
    <x v="2"/>
    <n v="128.64060000000001"/>
    <x v="0"/>
    <n v="13"/>
    <n v="12"/>
    <s v="2006"/>
    <n v="2"/>
    <x v="0"/>
    <n v="1"/>
    <n v="8.3333333333333329E-2"/>
  </r>
  <r>
    <s v="2914"/>
    <x v="2922"/>
    <n v="3600000"/>
    <x v="9"/>
    <n v="128.60069999999999"/>
    <x v="9"/>
    <n v="18"/>
    <n v="8"/>
    <s v="2014"/>
    <n v="1"/>
    <x v="0"/>
    <n v="10"/>
    <n v="1.25"/>
  </r>
  <r>
    <s v="2915"/>
    <x v="2923"/>
    <n v="20900000"/>
    <x v="0"/>
    <n v="128.52950000000001"/>
    <x v="9"/>
    <n v="386"/>
    <n v="209"/>
    <s v="2005"/>
    <n v="7"/>
    <x v="0"/>
    <n v="177"/>
    <n v="0.84688995215311003"/>
  </r>
  <r>
    <s v="2916"/>
    <x v="2924"/>
    <n v="5100000"/>
    <x v="24"/>
    <n v="128.37100000000001"/>
    <x v="23"/>
    <n v="57"/>
    <n v="17"/>
    <s v="2008"/>
    <n v="1"/>
    <x v="0"/>
    <n v="40"/>
    <n v="2.3529411764705883"/>
  </r>
  <r>
    <s v="2917"/>
    <x v="2925"/>
    <n v="7400000"/>
    <x v="24"/>
    <n v="128.3322"/>
    <x v="0"/>
    <n v="65"/>
    <n v="29"/>
    <s v="2010"/>
    <n v="2"/>
    <x v="0"/>
    <n v="36"/>
    <n v="1.2413793103448276"/>
  </r>
  <r>
    <s v="2918"/>
    <x v="2926"/>
    <n v="7400000"/>
    <x v="33"/>
    <n v="128.21430000000001"/>
    <x v="19"/>
    <n v="54"/>
    <n v="33"/>
    <s v="2008"/>
    <n v="3"/>
    <x v="0"/>
    <n v="21"/>
    <n v="0.63636363636363635"/>
  </r>
  <r>
    <s v="2919"/>
    <x v="2927"/>
    <n v="181400000"/>
    <x v="16"/>
    <n v="128.1677"/>
    <x v="2"/>
    <n v="4500"/>
    <n v="1000"/>
    <s v="2009"/>
    <n v="8"/>
    <x v="0"/>
    <n v="3500"/>
    <n v="3.5"/>
  </r>
  <r>
    <s v="2920"/>
    <x v="2928"/>
    <n v="20000000"/>
    <x v="12"/>
    <n v="128.10669999999999"/>
    <x v="15"/>
    <n v="18"/>
    <n v="10"/>
    <s v="2013"/>
    <n v="2"/>
    <x v="0"/>
    <n v="8"/>
    <n v="0.8"/>
  </r>
  <r>
    <s v="2921"/>
    <x v="2929"/>
    <n v="14300000"/>
    <x v="5"/>
    <n v="128.07239999999999"/>
    <x v="23"/>
    <n v="35"/>
    <n v="25"/>
    <s v="1988"/>
    <n v="3"/>
    <x v="0"/>
    <n v="10"/>
    <n v="0.4"/>
  </r>
  <r>
    <s v="2922"/>
    <x v="2930"/>
    <n v="19800000"/>
    <x v="7"/>
    <n v="128.06710000000001"/>
    <x v="9"/>
    <n v="150"/>
    <n v="70"/>
    <s v="2010"/>
    <n v="6"/>
    <x v="0"/>
    <n v="80"/>
    <n v="1.1428571428571428"/>
  </r>
  <r>
    <s v="2923"/>
    <x v="2931"/>
    <n v="47900000"/>
    <x v="7"/>
    <n v="128.06049999999999"/>
    <x v="11"/>
    <n v="215"/>
    <n v="85"/>
    <s v="2002"/>
    <n v="7"/>
    <x v="0"/>
    <n v="130"/>
    <n v="1.5294117647058822"/>
  </r>
  <r>
    <s v="2924"/>
    <x v="2932"/>
    <n v="2700000"/>
    <x v="22"/>
    <n v="128.04589999999999"/>
    <x v="4"/>
    <n v="17"/>
    <n v="5"/>
    <s v="2013"/>
    <n v="1"/>
    <x v="0"/>
    <n v="12"/>
    <n v="2.4"/>
  </r>
  <r>
    <s v="2925"/>
    <x v="2933"/>
    <n v="9600000"/>
    <x v="8"/>
    <n v="127.9469"/>
    <x v="0"/>
    <n v="54"/>
    <n v="32"/>
    <s v="2002"/>
    <n v="2"/>
    <x v="0"/>
    <n v="22"/>
    <n v="0.6875"/>
  </r>
  <r>
    <s v="2926"/>
    <x v="2934"/>
    <n v="68600000"/>
    <x v="37"/>
    <n v="127.9204"/>
    <x v="4"/>
    <n v="295"/>
    <n v="51"/>
    <s v="2000"/>
    <n v="4"/>
    <x v="0"/>
    <n v="244"/>
    <n v="4.784313725490196"/>
  </r>
  <r>
    <s v="2927"/>
    <x v="2935"/>
    <n v="48500000"/>
    <x v="23"/>
    <n v="127.8145"/>
    <x v="11"/>
    <n v="285"/>
    <n v="124"/>
    <s v="2005"/>
    <n v="10"/>
    <x v="0"/>
    <n v="161"/>
    <n v="1.2983870967741935"/>
  </r>
  <r>
    <s v="2928"/>
    <x v="2936"/>
    <n v="9700000"/>
    <x v="13"/>
    <n v="127.8056"/>
    <x v="16"/>
    <n v="79"/>
    <n v="34"/>
    <s v="2011"/>
    <n v="2"/>
    <x v="0"/>
    <n v="45"/>
    <n v="1.3235294117647058"/>
  </r>
  <r>
    <s v="2929"/>
    <x v="2937"/>
    <n v="2900000"/>
    <x v="2"/>
    <n v="127.66840000000001"/>
    <x v="3"/>
    <n v="34"/>
    <n v="12"/>
    <s v="2006"/>
    <n v="2"/>
    <x v="0"/>
    <n v="22"/>
    <n v="1.8333333333333333"/>
  </r>
  <r>
    <s v="2930"/>
    <x v="2938"/>
    <n v="2200000"/>
    <x v="37"/>
    <n v="127.6529"/>
    <x v="2"/>
    <n v="90"/>
    <n v="60"/>
    <s v="2003"/>
    <n v="1"/>
    <x v="0"/>
    <n v="30"/>
    <n v="0.5"/>
  </r>
  <r>
    <s v="2931"/>
    <x v="2939"/>
    <n v="25400000"/>
    <x v="27"/>
    <n v="127.6157"/>
    <x v="9"/>
    <n v="161"/>
    <n v="116"/>
    <s v="2006"/>
    <n v="2"/>
    <x v="0"/>
    <n v="45"/>
    <n v="0.38793103448275862"/>
  </r>
  <r>
    <s v="2932"/>
    <x v="2940"/>
    <n v="5600000"/>
    <x v="27"/>
    <n v="127.5891"/>
    <x v="0"/>
    <n v="47"/>
    <n v="10"/>
    <s v="2012"/>
    <n v="2"/>
    <x v="0"/>
    <n v="37"/>
    <n v="3.7"/>
  </r>
  <r>
    <s v="2933"/>
    <x v="2941"/>
    <n v="16100000"/>
    <x v="7"/>
    <n v="127.5231"/>
    <x v="11"/>
    <n v="60"/>
    <n v="49"/>
    <s v="1994"/>
    <n v="6"/>
    <x v="0"/>
    <n v="11"/>
    <n v="0.22448979591836735"/>
  </r>
  <r>
    <s v="2934"/>
    <x v="2942"/>
    <n v="2000000"/>
    <x v="5"/>
    <n v="127.4988"/>
    <x v="0"/>
    <n v="14"/>
    <n v="6"/>
    <s v="1999"/>
    <n v="1"/>
    <x v="0"/>
    <n v="8"/>
    <n v="1.3333333333333333"/>
  </r>
  <r>
    <s v="2935"/>
    <x v="2943"/>
    <n v="8700000"/>
    <x v="18"/>
    <n v="127.4987"/>
    <x v="15"/>
    <n v="17"/>
    <n v="10"/>
    <s v="1997"/>
    <n v="3"/>
    <x v="0"/>
    <n v="7"/>
    <n v="0.7"/>
  </r>
  <r>
    <s v="2936"/>
    <x v="2944"/>
    <n v="205300000"/>
    <x v="5"/>
    <n v="127.4854"/>
    <x v="1"/>
    <n v="300"/>
    <n v="85"/>
    <s v="1996"/>
    <n v="1"/>
    <x v="0"/>
    <n v="215"/>
    <n v="2.5294117647058822"/>
  </r>
  <r>
    <s v="2937"/>
    <x v="2945"/>
    <n v="5800000"/>
    <x v="27"/>
    <n v="127.47929999999999"/>
    <x v="23"/>
    <n v="65"/>
    <n v="30"/>
    <s v="2009"/>
    <n v="5"/>
    <x v="0"/>
    <n v="35"/>
    <n v="1.1666666666666667"/>
  </r>
  <r>
    <s v="2938"/>
    <x v="2946"/>
    <n v="31200000"/>
    <x v="9"/>
    <n v="127.2955"/>
    <x v="0"/>
    <n v="64"/>
    <n v="45"/>
    <s v="2011"/>
    <n v="4"/>
    <x v="0"/>
    <n v="19"/>
    <n v="0.42222222222222222"/>
  </r>
  <r>
    <s v="2939"/>
    <x v="2947"/>
    <n v="2300000"/>
    <x v="50"/>
    <n v="127.2938"/>
    <x v="19"/>
    <n v="16"/>
    <n v="13"/>
    <s v="2002"/>
    <n v="1"/>
    <x v="0"/>
    <n v="3"/>
    <n v="0.23076923076923078"/>
  </r>
  <r>
    <s v="2940"/>
    <x v="2948"/>
    <n v="28300000"/>
    <x v="14"/>
    <n v="127.18940000000001"/>
    <x v="15"/>
    <n v="122"/>
    <n v="71"/>
    <s v="2006"/>
    <n v="4"/>
    <x v="0"/>
    <n v="51"/>
    <n v="0.71830985915492962"/>
  </r>
  <r>
    <s v="2941"/>
    <x v="2949"/>
    <n v="10600000"/>
    <x v="0"/>
    <n v="127.1078"/>
    <x v="12"/>
    <n v="50"/>
    <n v="25"/>
    <s v="2013"/>
    <n v="1"/>
    <x v="0"/>
    <n v="25"/>
    <n v="1"/>
  </r>
  <r>
    <s v="2942"/>
    <x v="2950"/>
    <n v="23400000"/>
    <x v="8"/>
    <n v="127.0505"/>
    <x v="15"/>
    <n v="191"/>
    <n v="77"/>
    <s v="2006"/>
    <n v="1"/>
    <x v="0"/>
    <n v="114"/>
    <n v="1.4805194805194806"/>
  </r>
  <r>
    <s v="2943"/>
    <x v="2951"/>
    <n v="29600000"/>
    <x v="28"/>
    <n v="127.0468"/>
    <x v="9"/>
    <n v="380"/>
    <n v="100"/>
    <s v="2008"/>
    <n v="1"/>
    <x v="0"/>
    <n v="280"/>
    <n v="2.8"/>
  </r>
  <r>
    <s v="2944"/>
    <x v="2952"/>
    <n v="54800000"/>
    <x v="0"/>
    <n v="127.0407"/>
    <x v="10"/>
    <n v="240"/>
    <n v="60"/>
    <s v="2004"/>
    <n v="2"/>
    <x v="0"/>
    <n v="180"/>
    <n v="3"/>
  </r>
  <r>
    <s v="2945"/>
    <x v="2953"/>
    <n v="5800000"/>
    <x v="33"/>
    <n v="127.03879999999999"/>
    <x v="12"/>
    <n v="6"/>
    <n v="3"/>
    <s v="2011"/>
    <n v="1"/>
    <x v="0"/>
    <n v="3"/>
    <n v="1"/>
  </r>
  <r>
    <s v="2946"/>
    <x v="2954"/>
    <n v="6200000"/>
    <x v="24"/>
    <n v="126.95359999999999"/>
    <x v="19"/>
    <n v="45"/>
    <n v="15"/>
    <s v="2010"/>
    <n v="1"/>
    <x v="0"/>
    <n v="30"/>
    <n v="2"/>
  </r>
  <r>
    <s v="2947"/>
    <x v="2955"/>
    <n v="18700000"/>
    <x v="7"/>
    <n v="126.92010000000001"/>
    <x v="3"/>
    <n v="26"/>
    <n v="54"/>
    <s v="2012"/>
    <n v="3"/>
    <x v="1"/>
    <n v="-28"/>
    <n v="-0.51851851851851849"/>
  </r>
  <r>
    <s v="2948"/>
    <x v="2956"/>
    <n v="113400000"/>
    <x v="9"/>
    <n v="126.80459999999999"/>
    <x v="9"/>
    <n v="627"/>
    <n v="365"/>
    <s v="2000"/>
    <n v="7"/>
    <x v="0"/>
    <n v="262"/>
    <n v="0.71780821917808224"/>
  </r>
  <r>
    <s v="2949"/>
    <x v="2957"/>
    <n v="10600000"/>
    <x v="41"/>
    <n v="126.77889999999999"/>
    <x v="15"/>
    <n v="47"/>
    <n v="32"/>
    <s v="1956"/>
    <n v="3"/>
    <x v="0"/>
    <n v="15"/>
    <n v="0.46875"/>
  </r>
  <r>
    <s v="2950"/>
    <x v="2958"/>
    <n v="7400000"/>
    <x v="5"/>
    <n v="126.7753"/>
    <x v="3"/>
    <n v="55"/>
    <n v="25"/>
    <s v="2010"/>
    <n v="1"/>
    <x v="0"/>
    <n v="30"/>
    <n v="1.2"/>
  </r>
  <r>
    <s v="2951"/>
    <x v="2959"/>
    <n v="3700000"/>
    <x v="43"/>
    <n v="126.6447"/>
    <x v="3"/>
    <n v="44"/>
    <n v="16"/>
    <s v="2011"/>
    <n v="1"/>
    <x v="0"/>
    <n v="28"/>
    <n v="1.75"/>
  </r>
  <r>
    <s v="2952"/>
    <x v="2960"/>
    <n v="12400000"/>
    <x v="10"/>
    <n v="126.60469999999999"/>
    <x v="9"/>
    <n v="77"/>
    <n v="36"/>
    <s v="1998"/>
    <n v="3"/>
    <x v="0"/>
    <n v="41"/>
    <n v="1.1388888888888888"/>
  </r>
  <r>
    <s v="2953"/>
    <x v="2961"/>
    <n v="393300000"/>
    <x v="9"/>
    <n v="126.5667"/>
    <x v="22"/>
    <n v="1330"/>
    <n v="1124"/>
    <s v="2007"/>
    <n v="6"/>
    <x v="0"/>
    <n v="206"/>
    <n v="0.18327402135231316"/>
  </r>
  <r>
    <s v="2954"/>
    <x v="2962"/>
    <n v="5400000"/>
    <x v="40"/>
    <n v="126.5569"/>
    <x v="3"/>
    <n v="46"/>
    <n v="16"/>
    <s v="2008"/>
    <n v="2"/>
    <x v="0"/>
    <n v="30"/>
    <n v="1.875"/>
  </r>
  <r>
    <s v="2955"/>
    <x v="2963"/>
    <n v="58600000"/>
    <x v="7"/>
    <n v="126.51479999999999"/>
    <x v="11"/>
    <n v="11"/>
    <n v="9"/>
    <s v="2011"/>
    <n v="4"/>
    <x v="0"/>
    <n v="2"/>
    <n v="0.22222222222222221"/>
  </r>
  <r>
    <s v="2956"/>
    <x v="2964"/>
    <n v="2100000"/>
    <x v="18"/>
    <n v="126.3973"/>
    <x v="0"/>
    <n v="23"/>
    <n v="10"/>
    <s v="2010"/>
    <n v="1"/>
    <x v="0"/>
    <n v="13"/>
    <n v="1.3"/>
  </r>
  <r>
    <s v="2957"/>
    <x v="2965"/>
    <n v="35600000"/>
    <x v="16"/>
    <n v="126.3777"/>
    <x v="3"/>
    <n v="326"/>
    <n v="142"/>
    <s v="2008"/>
    <n v="5"/>
    <x v="0"/>
    <n v="184"/>
    <n v="1.295774647887324"/>
  </r>
  <r>
    <s v="2958"/>
    <x v="2966"/>
    <n v="2600000"/>
    <x v="2"/>
    <n v="126.375"/>
    <x v="15"/>
    <n v="4"/>
    <n v="5"/>
    <s v="2014"/>
    <n v="1"/>
    <x v="1"/>
    <n v="-1"/>
    <n v="-0.2"/>
  </r>
  <r>
    <s v="2959"/>
    <x v="2967"/>
    <n v="16100000"/>
    <x v="23"/>
    <n v="126.31659999999999"/>
    <x v="2"/>
    <n v="325"/>
    <n v="100"/>
    <s v="2009"/>
    <n v="1"/>
    <x v="0"/>
    <n v="225"/>
    <n v="2.25"/>
  </r>
  <r>
    <s v="2960"/>
    <x v="2968"/>
    <n v="90700000"/>
    <x v="9"/>
    <n v="126.31059999999999"/>
    <x v="6"/>
    <n v="66"/>
    <n v="52"/>
    <s v="2003"/>
    <n v="10"/>
    <x v="0"/>
    <n v="14"/>
    <n v="0.26923076923076922"/>
  </r>
  <r>
    <s v="2961"/>
    <x v="2969"/>
    <n v="2900000"/>
    <x v="23"/>
    <n v="126.2778"/>
    <x v="11"/>
    <n v="18"/>
    <n v="4"/>
    <s v="2007"/>
    <n v="1"/>
    <x v="0"/>
    <n v="14"/>
    <n v="3.5"/>
  </r>
  <r>
    <s v="2962"/>
    <x v="2970"/>
    <n v="13800000"/>
    <x v="10"/>
    <n v="126.23390000000001"/>
    <x v="25"/>
    <n v="145"/>
    <n v="107"/>
    <s v="1994"/>
    <n v="3"/>
    <x v="0"/>
    <n v="38"/>
    <n v="0.35514018691588783"/>
  </r>
  <r>
    <s v="2963"/>
    <x v="2971"/>
    <n v="484000000"/>
    <x v="13"/>
    <n v="126.1486"/>
    <x v="13"/>
    <n v="1098"/>
    <n v="597"/>
    <s v="2002"/>
    <n v="6"/>
    <x v="0"/>
    <n v="501"/>
    <n v="0.83919597989949746"/>
  </r>
  <r>
    <s v="2964"/>
    <x v="2972"/>
    <n v="3400000"/>
    <x v="10"/>
    <n v="126.1456"/>
    <x v="0"/>
    <n v="20"/>
    <n v="11"/>
    <s v="2011"/>
    <n v="2"/>
    <x v="0"/>
    <n v="9"/>
    <n v="0.81818181818181823"/>
  </r>
  <r>
    <s v="2965"/>
    <x v="2973"/>
    <n v="15500000"/>
    <x v="21"/>
    <n v="126.1052"/>
    <x v="9"/>
    <n v="50"/>
    <n v="25"/>
    <s v="1999"/>
    <n v="1"/>
    <x v="0"/>
    <n v="25"/>
    <n v="1"/>
  </r>
  <r>
    <s v="2966"/>
    <x v="2974"/>
    <n v="2900000"/>
    <x v="5"/>
    <n v="125.9919"/>
    <x v="0"/>
    <n v="9"/>
    <n v="4"/>
    <s v="2014"/>
    <n v="2"/>
    <x v="0"/>
    <n v="5"/>
    <n v="1.25"/>
  </r>
  <r>
    <s v="2967"/>
    <x v="2975"/>
    <n v="12600000"/>
    <x v="9"/>
    <n v="125.9329"/>
    <x v="5"/>
    <n v="75"/>
    <n v="35"/>
    <s v="1993"/>
    <n v="2"/>
    <x v="0"/>
    <n v="40"/>
    <n v="1.1428571428571428"/>
  </r>
  <r>
    <s v="2968"/>
    <x v="2976"/>
    <n v="21900000"/>
    <x v="8"/>
    <n v="125.92910000000001"/>
    <x v="5"/>
    <n v="124"/>
    <n v="32"/>
    <s v="2011"/>
    <n v="3"/>
    <x v="0"/>
    <n v="92"/>
    <n v="2.875"/>
  </r>
  <r>
    <s v="2969"/>
    <x v="2977"/>
    <n v="7100000"/>
    <x v="1"/>
    <n v="125.9079"/>
    <x v="23"/>
    <n v="25"/>
    <n v="10"/>
    <s v="2007"/>
    <n v="5"/>
    <x v="0"/>
    <n v="15"/>
    <n v="1.5"/>
  </r>
  <r>
    <s v="2970"/>
    <x v="2978"/>
    <n v="148600000"/>
    <x v="8"/>
    <n v="125.90730000000001"/>
    <x v="5"/>
    <n v="92"/>
    <n v="42"/>
    <s v="1997"/>
    <n v="7"/>
    <x v="0"/>
    <n v="50"/>
    <n v="1.1904761904761905"/>
  </r>
  <r>
    <s v="2971"/>
    <x v="2979"/>
    <n v="2100000"/>
    <x v="22"/>
    <n v="125.8574"/>
    <x v="0"/>
    <n v="22"/>
    <n v="7"/>
    <s v="2009"/>
    <n v="1"/>
    <x v="0"/>
    <n v="15"/>
    <n v="2.1428571428571428"/>
  </r>
  <r>
    <s v="2972"/>
    <x v="2980"/>
    <n v="2000000"/>
    <x v="2"/>
    <n v="125.79730000000001"/>
    <x v="0"/>
    <n v="21"/>
    <n v="8"/>
    <s v="2007"/>
    <n v="1"/>
    <x v="0"/>
    <n v="13"/>
    <n v="1.625"/>
  </r>
  <r>
    <s v="2973"/>
    <x v="2981"/>
    <n v="45800000"/>
    <x v="8"/>
    <n v="125.7898"/>
    <x v="15"/>
    <n v="59"/>
    <n v="32"/>
    <s v="2002"/>
    <n v="4"/>
    <x v="0"/>
    <n v="27"/>
    <n v="0.84375"/>
  </r>
  <r>
    <s v="2974"/>
    <x v="2982"/>
    <n v="50500000"/>
    <x v="12"/>
    <n v="125.75490000000001"/>
    <x v="16"/>
    <n v="299"/>
    <n v="82"/>
    <s v="2009"/>
    <n v="6"/>
    <x v="0"/>
    <n v="217"/>
    <n v="2.6463414634146343"/>
  </r>
  <r>
    <s v="2975"/>
    <x v="2983"/>
    <n v="28900000"/>
    <x v="28"/>
    <n v="125.6991"/>
    <x v="5"/>
    <n v="16"/>
    <n v="9"/>
    <s v="2010"/>
    <n v="4"/>
    <x v="0"/>
    <n v="7"/>
    <n v="0.77777777777777779"/>
  </r>
  <r>
    <s v="2976"/>
    <x v="2984"/>
    <n v="111500000"/>
    <x v="16"/>
    <n v="125.6905"/>
    <x v="3"/>
    <n v="141"/>
    <n v="87"/>
    <s v="2009"/>
    <n v="4"/>
    <x v="0"/>
    <n v="54"/>
    <n v="0.62068965517241381"/>
  </r>
  <r>
    <s v="2977"/>
    <x v="2985"/>
    <n v="45300000"/>
    <x v="7"/>
    <n v="125.56229999999999"/>
    <x v="11"/>
    <n v="267"/>
    <n v="124"/>
    <s v="2009"/>
    <n v="8"/>
    <x v="0"/>
    <n v="143"/>
    <n v="1.153225806451613"/>
  </r>
  <r>
    <s v="2978"/>
    <x v="2986"/>
    <n v="4200000"/>
    <x v="9"/>
    <n v="125.5287"/>
    <x v="14"/>
    <n v="7"/>
    <n v="3"/>
    <s v="2010"/>
    <n v="4"/>
    <x v="0"/>
    <n v="4"/>
    <n v="1.3333333333333333"/>
  </r>
  <r>
    <s v="2979"/>
    <x v="2987"/>
    <n v="16500000"/>
    <x v="3"/>
    <n v="125.5128"/>
    <x v="15"/>
    <n v="132"/>
    <n v="35"/>
    <s v="2012"/>
    <n v="1"/>
    <x v="0"/>
    <n v="97"/>
    <n v="2.7714285714285714"/>
  </r>
  <r>
    <s v="2980"/>
    <x v="2988"/>
    <n v="2600000"/>
    <x v="18"/>
    <n v="125.4637"/>
    <x v="5"/>
    <n v="5"/>
    <n v="2"/>
    <s v="2013"/>
    <n v="2"/>
    <x v="0"/>
    <n v="3"/>
    <n v="1.5"/>
  </r>
  <r>
    <s v="2981"/>
    <x v="2989"/>
    <n v="6600000"/>
    <x v="2"/>
    <n v="125.4379"/>
    <x v="23"/>
    <n v="15"/>
    <n v="10"/>
    <s v="2010"/>
    <n v="3"/>
    <x v="0"/>
    <n v="5"/>
    <n v="0.5"/>
  </r>
  <r>
    <s v="2982"/>
    <x v="2990"/>
    <n v="8900000"/>
    <x v="9"/>
    <n v="125.349"/>
    <x v="23"/>
    <n v="4"/>
    <n v="3"/>
    <s v="2011"/>
    <n v="4"/>
    <x v="0"/>
    <n v="1"/>
    <n v="0.33333333333333331"/>
  </r>
  <r>
    <s v="2983"/>
    <x v="2991"/>
    <n v="30600000"/>
    <x v="11"/>
    <n v="125.1564"/>
    <x v="15"/>
    <n v="145"/>
    <n v="60"/>
    <s v="1955"/>
    <n v="2"/>
    <x v="0"/>
    <n v="85"/>
    <n v="1.4166666666666667"/>
  </r>
  <r>
    <s v="2984"/>
    <x v="2992"/>
    <n v="3900000"/>
    <x v="9"/>
    <n v="125.1557"/>
    <x v="2"/>
    <n v="124"/>
    <n v="45"/>
    <s v="2010"/>
    <n v="2"/>
    <x v="0"/>
    <n v="79"/>
    <n v="1.7555555555555555"/>
  </r>
  <r>
    <s v="2985"/>
    <x v="2993"/>
    <n v="11000000"/>
    <x v="8"/>
    <n v="125.1233"/>
    <x v="7"/>
    <n v="52"/>
    <n v="32"/>
    <s v="2006"/>
    <n v="3"/>
    <x v="0"/>
    <n v="20"/>
    <n v="0.625"/>
  </r>
  <r>
    <s v="2986"/>
    <x v="2994"/>
    <n v="14200000"/>
    <x v="9"/>
    <n v="125.117"/>
    <x v="20"/>
    <n v="15"/>
    <n v="3"/>
    <s v="2012"/>
    <n v="1"/>
    <x v="0"/>
    <n v="12"/>
    <n v="4"/>
  </r>
  <r>
    <s v="2987"/>
    <x v="2995"/>
    <n v="155600000"/>
    <x v="8"/>
    <n v="125.05249999999999"/>
    <x v="7"/>
    <n v="1173"/>
    <n v="465"/>
    <s v="1970"/>
    <n v="4"/>
    <x v="0"/>
    <n v="708"/>
    <n v="1.5225806451612902"/>
  </r>
  <r>
    <s v="2988"/>
    <x v="2996"/>
    <n v="22100000"/>
    <x v="32"/>
    <n v="125.0324"/>
    <x v="16"/>
    <n v="151"/>
    <n v="75"/>
    <s v="2001"/>
    <n v="3"/>
    <x v="0"/>
    <n v="76"/>
    <n v="1.0133333333333334"/>
  </r>
  <r>
    <s v="2989"/>
    <x v="2997"/>
    <n v="2300000"/>
    <x v="40"/>
    <n v="124.93859999999999"/>
    <x v="24"/>
    <n v="60"/>
    <n v="10"/>
    <s v="2014"/>
    <n v="1"/>
    <x v="0"/>
    <n v="50"/>
    <n v="5"/>
  </r>
  <r>
    <s v="2990"/>
    <x v="2998"/>
    <n v="12200000"/>
    <x v="33"/>
    <n v="124.7431"/>
    <x v="9"/>
    <n v="117"/>
    <n v="73"/>
    <s v="2003"/>
    <n v="3"/>
    <x v="0"/>
    <n v="44"/>
    <n v="0.60273972602739723"/>
  </r>
  <r>
    <s v="2991"/>
    <x v="2999"/>
    <n v="6300000"/>
    <x v="40"/>
    <n v="124.62130000000001"/>
    <x v="0"/>
    <n v="41"/>
    <n v="15"/>
    <s v="2002"/>
    <n v="1"/>
    <x v="0"/>
    <n v="26"/>
    <n v="1.7333333333333334"/>
  </r>
  <r>
    <s v="2992"/>
    <x v="3000"/>
    <n v="8900000"/>
    <x v="42"/>
    <n v="124.57850000000001"/>
    <x v="11"/>
    <n v="103"/>
    <n v="32"/>
    <s v="2004"/>
    <n v="4"/>
    <x v="0"/>
    <n v="71"/>
    <n v="2.21875"/>
  </r>
  <r>
    <s v="2993"/>
    <x v="3001"/>
    <n v="10600000"/>
    <x v="8"/>
    <n v="124.5211"/>
    <x v="2"/>
    <n v="7"/>
    <n v="3"/>
    <s v="2010"/>
    <n v="2"/>
    <x v="0"/>
    <n v="4"/>
    <n v="1.3333333333333333"/>
  </r>
  <r>
    <s v="2994"/>
    <x v="3002"/>
    <n v="5300000"/>
    <x v="34"/>
    <n v="124.4776"/>
    <x v="12"/>
    <n v="32"/>
    <n v="10"/>
    <s v="2005"/>
    <n v="2"/>
    <x v="0"/>
    <n v="22"/>
    <n v="2.2000000000000002"/>
  </r>
  <r>
    <s v="2995"/>
    <x v="3003"/>
    <n v="20100000"/>
    <x v="12"/>
    <n v="124.3687"/>
    <x v="12"/>
    <n v="9"/>
    <n v="5"/>
    <s v="2007"/>
    <n v="2"/>
    <x v="0"/>
    <n v="4"/>
    <n v="0.8"/>
  </r>
  <r>
    <s v="2996"/>
    <x v="3004"/>
    <n v="92000000"/>
    <x v="24"/>
    <n v="124.3434"/>
    <x v="15"/>
    <n v="312"/>
    <n v="180"/>
    <s v="1996"/>
    <n v="1"/>
    <x v="0"/>
    <n v="132"/>
    <n v="0.73333333333333328"/>
  </r>
  <r>
    <s v="2997"/>
    <x v="3005"/>
    <n v="8700000"/>
    <x v="42"/>
    <n v="124.28230000000001"/>
    <x v="0"/>
    <n v="13"/>
    <n v="6"/>
    <s v="1999"/>
    <n v="1"/>
    <x v="0"/>
    <n v="7"/>
    <n v="1.1666666666666667"/>
  </r>
  <r>
    <s v="2998"/>
    <x v="3006"/>
    <n v="2000000"/>
    <x v="20"/>
    <n v="124.0925"/>
    <x v="19"/>
    <n v="11"/>
    <n v="8"/>
    <s v="2005"/>
    <n v="1"/>
    <x v="0"/>
    <n v="3"/>
    <n v="0.375"/>
  </r>
  <r>
    <s v="2999"/>
    <x v="3007"/>
    <n v="26400000"/>
    <x v="9"/>
    <n v="124.04089999999999"/>
    <x v="10"/>
    <n v="88"/>
    <n v="37"/>
    <s v="2012"/>
    <n v="4"/>
    <x v="0"/>
    <n v="51"/>
    <n v="1.3783783783783783"/>
  </r>
  <r>
    <s v="3000"/>
    <x v="3008"/>
    <n v="4500000"/>
    <x v="44"/>
    <n v="123.9907"/>
    <x v="19"/>
    <n v="30"/>
    <n v="19"/>
    <s v="2009"/>
    <n v="1"/>
    <x v="0"/>
    <n v="11"/>
    <n v="0.57894736842105265"/>
  </r>
  <r>
    <s v="3001"/>
    <x v="3009"/>
    <n v="6300000"/>
    <x v="37"/>
    <n v="123.94929999999999"/>
    <x v="9"/>
    <n v="43"/>
    <n v="23"/>
    <s v="1999"/>
    <n v="1"/>
    <x v="0"/>
    <n v="20"/>
    <n v="0.86956521739130432"/>
  </r>
  <r>
    <s v="3002"/>
    <x v="3010"/>
    <n v="16000000"/>
    <x v="7"/>
    <n v="123.93089999999999"/>
    <x v="0"/>
    <n v="68"/>
    <n v="24"/>
    <s v="1985"/>
    <n v="2"/>
    <x v="0"/>
    <n v="44"/>
    <n v="1.8333333333333333"/>
  </r>
  <r>
    <s v="3003"/>
    <x v="3011"/>
    <n v="2100000"/>
    <x v="9"/>
    <n v="123.92440000000001"/>
    <x v="7"/>
    <n v="7"/>
    <n v="3"/>
    <s v="2011"/>
    <n v="1"/>
    <x v="0"/>
    <n v="4"/>
    <n v="1.3333333333333333"/>
  </r>
  <r>
    <s v="3004"/>
    <x v="3012"/>
    <n v="52000000"/>
    <x v="20"/>
    <n v="123.8557"/>
    <x v="9"/>
    <n v="184"/>
    <n v="104"/>
    <s v="2009"/>
    <n v="4"/>
    <x v="0"/>
    <n v="80"/>
    <n v="0.76923076923076927"/>
  </r>
  <r>
    <s v="3005"/>
    <x v="3013"/>
    <n v="69900000"/>
    <x v="2"/>
    <n v="123.80070000000001"/>
    <x v="7"/>
    <n v="419"/>
    <n v="235"/>
    <s v="2005"/>
    <n v="1"/>
    <x v="0"/>
    <n v="184"/>
    <n v="0.78297872340425534"/>
  </r>
  <r>
    <s v="3006"/>
    <x v="3014"/>
    <n v="7800000"/>
    <x v="22"/>
    <n v="123.648"/>
    <x v="3"/>
    <n v="33"/>
    <n v="10"/>
    <s v="2011"/>
    <n v="1"/>
    <x v="0"/>
    <n v="23"/>
    <n v="2.2999999999999998"/>
  </r>
  <r>
    <s v="3007"/>
    <x v="3015"/>
    <n v="12000000"/>
    <x v="2"/>
    <n v="123.58150000000001"/>
    <x v="12"/>
    <n v="36"/>
    <n v="20"/>
    <s v="2000"/>
    <n v="4"/>
    <x v="0"/>
    <n v="16"/>
    <n v="0.8"/>
  </r>
  <r>
    <s v="3008"/>
    <x v="3016"/>
    <n v="15000000"/>
    <x v="21"/>
    <n v="123.4325"/>
    <x v="21"/>
    <n v="75"/>
    <n v="36"/>
    <s v="1998"/>
    <n v="3"/>
    <x v="0"/>
    <n v="39"/>
    <n v="1.0833333333333333"/>
  </r>
  <r>
    <s v="3009"/>
    <x v="3017"/>
    <n v="11200000"/>
    <x v="11"/>
    <n v="123.39830000000001"/>
    <x v="0"/>
    <n v="93"/>
    <n v="48"/>
    <s v="2009"/>
    <n v="5"/>
    <x v="0"/>
    <n v="45"/>
    <n v="0.9375"/>
  </r>
  <r>
    <s v="3010"/>
    <x v="3018"/>
    <n v="8900000"/>
    <x v="2"/>
    <n v="123.3419"/>
    <x v="23"/>
    <n v="250"/>
    <n v="100"/>
    <s v="2012"/>
    <n v="3"/>
    <x v="0"/>
    <n v="150"/>
    <n v="1.5"/>
  </r>
  <r>
    <s v="3011"/>
    <x v="3019"/>
    <n v="5000000"/>
    <x v="50"/>
    <n v="123.3092"/>
    <x v="19"/>
    <n v="28"/>
    <n v="14"/>
    <s v="2000"/>
    <n v="1"/>
    <x v="0"/>
    <n v="14"/>
    <n v="1"/>
  </r>
  <r>
    <s v="3012"/>
    <x v="3020"/>
    <n v="4600000"/>
    <x v="5"/>
    <n v="123.3031"/>
    <x v="13"/>
    <n v="26"/>
    <n v="20"/>
    <s v="1989"/>
    <n v="1"/>
    <x v="0"/>
    <n v="6"/>
    <n v="0.3"/>
  </r>
  <r>
    <s v="3013"/>
    <x v="3021"/>
    <n v="3000000"/>
    <x v="13"/>
    <n v="123.24760000000001"/>
    <x v="13"/>
    <n v="18"/>
    <n v="4"/>
    <s v="2002"/>
    <n v="2"/>
    <x v="0"/>
    <n v="14"/>
    <n v="3.5"/>
  </r>
  <r>
    <s v="3014"/>
    <x v="3022"/>
    <n v="48700000"/>
    <x v="0"/>
    <n v="123.238"/>
    <x v="18"/>
    <n v="203"/>
    <n v="115"/>
    <s v="2008"/>
    <n v="3"/>
    <x v="0"/>
    <n v="88"/>
    <n v="0.76521739130434785"/>
  </r>
  <r>
    <s v="3015"/>
    <x v="3023"/>
    <n v="48400000"/>
    <x v="37"/>
    <n v="123.2333"/>
    <x v="2"/>
    <n v="960"/>
    <n v="330"/>
    <s v="2009"/>
    <n v="1"/>
    <x v="0"/>
    <n v="630"/>
    <n v="1.9090909090909092"/>
  </r>
  <r>
    <s v="3016"/>
    <x v="3024"/>
    <n v="47300000"/>
    <x v="27"/>
    <n v="123.20399999999999"/>
    <x v="15"/>
    <n v="199"/>
    <n v="91"/>
    <s v="2003"/>
    <n v="1"/>
    <x v="0"/>
    <n v="108"/>
    <n v="1.1868131868131868"/>
  </r>
  <r>
    <s v="3017"/>
    <x v="3025"/>
    <n v="46400000"/>
    <x v="28"/>
    <n v="123.1022"/>
    <x v="3"/>
    <n v="89"/>
    <n v="41"/>
    <s v="2001"/>
    <n v="6"/>
    <x v="0"/>
    <n v="48"/>
    <n v="1.1707317073170731"/>
  </r>
  <r>
    <s v="3018"/>
    <x v="3026"/>
    <n v="7100000"/>
    <x v="11"/>
    <n v="123.0894"/>
    <x v="19"/>
    <n v="142"/>
    <n v="49"/>
    <s v="2010"/>
    <n v="3"/>
    <x v="0"/>
    <n v="93"/>
    <n v="1.8979591836734695"/>
  </r>
  <r>
    <s v="3019"/>
    <x v="3027"/>
    <n v="7800000"/>
    <x v="8"/>
    <n v="122.94970000000001"/>
    <x v="23"/>
    <n v="42"/>
    <n v="21"/>
    <s v="2014"/>
    <n v="3"/>
    <x v="0"/>
    <n v="21"/>
    <n v="1"/>
  </r>
  <r>
    <s v="3020"/>
    <x v="3028"/>
    <n v="4700000"/>
    <x v="21"/>
    <n v="122.92659999999999"/>
    <x v="13"/>
    <n v="22"/>
    <n v="5"/>
    <s v="2008"/>
    <n v="1"/>
    <x v="0"/>
    <n v="17"/>
    <n v="3.4"/>
  </r>
  <r>
    <s v="3021"/>
    <x v="3029"/>
    <n v="16800000"/>
    <x v="5"/>
    <n v="122.9045"/>
    <x v="15"/>
    <n v="58"/>
    <n v="42"/>
    <s v="1989"/>
    <n v="2"/>
    <x v="0"/>
    <n v="16"/>
    <n v="0.38095238095238093"/>
  </r>
  <r>
    <s v="3022"/>
    <x v="3030"/>
    <n v="31000000"/>
    <x v="0"/>
    <n v="122.89279999999999"/>
    <x v="1"/>
    <n v="46"/>
    <n v="15"/>
    <s v="2012"/>
    <n v="3"/>
    <x v="0"/>
    <n v="31"/>
    <n v="2.0666666666666669"/>
  </r>
  <r>
    <s v="3023"/>
    <x v="3031"/>
    <n v="44700000"/>
    <x v="46"/>
    <n v="122.89019999999999"/>
    <x v="11"/>
    <n v="200"/>
    <n v="175"/>
    <s v="2009"/>
    <n v="6"/>
    <x v="0"/>
    <n v="25"/>
    <n v="0.14285714285714285"/>
  </r>
  <r>
    <s v="3024"/>
    <x v="3032"/>
    <n v="2700000"/>
    <x v="16"/>
    <n v="122.83450000000001"/>
    <x v="9"/>
    <n v="10"/>
    <n v="5"/>
    <s v="2001"/>
    <n v="1"/>
    <x v="0"/>
    <n v="5"/>
    <n v="1"/>
  </r>
  <r>
    <s v="3025"/>
    <x v="3033"/>
    <n v="22900000"/>
    <x v="7"/>
    <n v="122.6014"/>
    <x v="11"/>
    <n v="200"/>
    <n v="92"/>
    <s v="2010"/>
    <n v="6"/>
    <x v="0"/>
    <n v="108"/>
    <n v="1.173913043478261"/>
  </r>
  <r>
    <s v="3026"/>
    <x v="3034"/>
    <n v="6500000"/>
    <x v="23"/>
    <n v="122.54089999999999"/>
    <x v="0"/>
    <n v="18"/>
    <n v="14"/>
    <s v="1991"/>
    <n v="1"/>
    <x v="0"/>
    <n v="4"/>
    <n v="0.2857142857142857"/>
  </r>
  <r>
    <s v="3027"/>
    <x v="3035"/>
    <n v="2500000"/>
    <x v="24"/>
    <n v="122.41249999999999"/>
    <x v="22"/>
    <n v="10"/>
    <n v="3"/>
    <s v="2013"/>
    <n v="1"/>
    <x v="0"/>
    <n v="7"/>
    <n v="2.3333333333333335"/>
  </r>
  <r>
    <s v="3028"/>
    <x v="3036"/>
    <n v="47200000"/>
    <x v="40"/>
    <n v="122.4096"/>
    <x v="6"/>
    <n v="583"/>
    <n v="283"/>
    <s v="2003"/>
    <n v="8"/>
    <x v="0"/>
    <n v="300"/>
    <n v="1.0600706713780919"/>
  </r>
  <r>
    <s v="3029"/>
    <x v="3037"/>
    <n v="14500000"/>
    <x v="24"/>
    <n v="122.373"/>
    <x v="20"/>
    <n v="16"/>
    <n v="10"/>
    <s v="2013"/>
    <n v="3"/>
    <x v="0"/>
    <n v="6"/>
    <n v="0.6"/>
  </r>
  <r>
    <s v="3030"/>
    <x v="3038"/>
    <n v="12200000"/>
    <x v="40"/>
    <n v="122.33839999999999"/>
    <x v="23"/>
    <n v="61"/>
    <n v="26"/>
    <s v="2008"/>
    <n v="5"/>
    <x v="0"/>
    <n v="35"/>
    <n v="1.3461538461538463"/>
  </r>
  <r>
    <s v="3031"/>
    <x v="3039"/>
    <n v="19000000"/>
    <x v="7"/>
    <n v="122.3356"/>
    <x v="9"/>
    <n v="102"/>
    <n v="51"/>
    <s v="2001"/>
    <n v="3"/>
    <x v="0"/>
    <n v="51"/>
    <n v="1"/>
  </r>
  <r>
    <s v="3032"/>
    <x v="3040"/>
    <n v="75100000"/>
    <x v="5"/>
    <n v="122.2889"/>
    <x v="15"/>
    <n v="62"/>
    <n v="30"/>
    <s v="2003"/>
    <n v="1"/>
    <x v="0"/>
    <n v="32"/>
    <n v="1.0666666666666667"/>
  </r>
  <r>
    <s v="3033"/>
    <x v="3041"/>
    <n v="49400000"/>
    <x v="18"/>
    <n v="122.2684"/>
    <x v="23"/>
    <n v="30"/>
    <n v="20"/>
    <s v="2004"/>
    <n v="2"/>
    <x v="0"/>
    <n v="10"/>
    <n v="0.5"/>
  </r>
  <r>
    <s v="3034"/>
    <x v="3042"/>
    <n v="68700000"/>
    <x v="11"/>
    <n v="122.22799999999999"/>
    <x v="12"/>
    <n v="68"/>
    <n v="40"/>
    <s v="2012"/>
    <n v="5"/>
    <x v="0"/>
    <n v="28"/>
    <n v="0.7"/>
  </r>
  <r>
    <s v="3035"/>
    <x v="3043"/>
    <n v="36300000"/>
    <x v="13"/>
    <n v="122.0973"/>
    <x v="3"/>
    <n v="67"/>
    <n v="33"/>
    <s v="2011"/>
    <n v="5"/>
    <x v="0"/>
    <n v="34"/>
    <n v="1.0303030303030303"/>
  </r>
  <r>
    <s v="3036"/>
    <x v="3044"/>
    <n v="85100000"/>
    <x v="2"/>
    <n v="122.0934"/>
    <x v="13"/>
    <n v="115"/>
    <n v="55"/>
    <s v="2007"/>
    <n v="2"/>
    <x v="0"/>
    <n v="60"/>
    <n v="1.0909090909090908"/>
  </r>
  <r>
    <s v="3037"/>
    <x v="3045"/>
    <n v="17800000"/>
    <x v="9"/>
    <n v="122.0294"/>
    <x v="16"/>
    <n v="90"/>
    <n v="45"/>
    <s v="2009"/>
    <n v="3"/>
    <x v="0"/>
    <n v="45"/>
    <n v="1"/>
  </r>
  <r>
    <s v="3038"/>
    <x v="3046"/>
    <n v="325900000"/>
    <x v="2"/>
    <n v="121.8995"/>
    <x v="5"/>
    <n v="644"/>
    <n v="416"/>
    <s v="2002"/>
    <n v="4"/>
    <x v="0"/>
    <n v="228"/>
    <n v="0.54807692307692313"/>
  </r>
  <r>
    <s v="3039"/>
    <x v="3047"/>
    <n v="3600000"/>
    <x v="24"/>
    <n v="121.8047"/>
    <x v="9"/>
    <n v="28"/>
    <n v="13"/>
    <s v="2008"/>
    <n v="2"/>
    <x v="0"/>
    <n v="15"/>
    <n v="1.1538461538461537"/>
  </r>
  <r>
    <s v="3040"/>
    <x v="3048"/>
    <n v="2500000"/>
    <x v="10"/>
    <n v="121.74299999999999"/>
    <x v="2"/>
    <n v="50"/>
    <n v="25"/>
    <s v="2014"/>
    <n v="1"/>
    <x v="0"/>
    <n v="25"/>
    <n v="1"/>
  </r>
  <r>
    <s v="3041"/>
    <x v="3049"/>
    <n v="2400000"/>
    <x v="37"/>
    <n v="121.7316"/>
    <x v="12"/>
    <n v="19"/>
    <n v="18"/>
    <s v="2010"/>
    <n v="2"/>
    <x v="0"/>
    <n v="1"/>
    <n v="5.5555555555555552E-2"/>
  </r>
  <r>
    <s v="3042"/>
    <x v="3050"/>
    <n v="23400000"/>
    <x v="22"/>
    <n v="121.72790000000001"/>
    <x v="0"/>
    <n v="18"/>
    <n v="6"/>
    <s v="2010"/>
    <n v="4"/>
    <x v="0"/>
    <n v="12"/>
    <n v="2"/>
  </r>
  <r>
    <s v="3043"/>
    <x v="3051"/>
    <n v="3500000"/>
    <x v="8"/>
    <n v="121.69799999999999"/>
    <x v="7"/>
    <n v="10"/>
    <n v="3"/>
    <s v="2011"/>
    <n v="2"/>
    <x v="0"/>
    <n v="7"/>
    <n v="2.3333333333333335"/>
  </r>
  <r>
    <s v="3044"/>
    <x v="3052"/>
    <n v="19800000"/>
    <x v="5"/>
    <n v="121.6626"/>
    <x v="3"/>
    <n v="14"/>
    <n v="9"/>
    <s v="1998"/>
    <n v="1"/>
    <x v="0"/>
    <n v="5"/>
    <n v="0.55555555555555558"/>
  </r>
  <r>
    <s v="3045"/>
    <x v="3053"/>
    <n v="3300000"/>
    <x v="9"/>
    <n v="121.6191"/>
    <x v="0"/>
    <n v="15"/>
    <n v="7"/>
    <s v="2011"/>
    <n v="1"/>
    <x v="0"/>
    <n v="8"/>
    <n v="1.1428571428571428"/>
  </r>
  <r>
    <s v="3046"/>
    <x v="3054"/>
    <n v="21400000"/>
    <x v="16"/>
    <n v="121.6174"/>
    <x v="9"/>
    <n v="184"/>
    <n v="73"/>
    <s v="2001"/>
    <n v="3"/>
    <x v="0"/>
    <n v="111"/>
    <n v="1.5205479452054795"/>
  </r>
  <r>
    <s v="3047"/>
    <x v="3055"/>
    <n v="4700000"/>
    <x v="5"/>
    <n v="121.6035"/>
    <x v="0"/>
    <n v="25"/>
    <n v="10"/>
    <s v="2011"/>
    <n v="1"/>
    <x v="0"/>
    <n v="15"/>
    <n v="1.5"/>
  </r>
  <r>
    <s v="3048"/>
    <x v="3056"/>
    <n v="4600000"/>
    <x v="27"/>
    <n v="121.59690000000001"/>
    <x v="19"/>
    <n v="30"/>
    <n v="4"/>
    <s v="2004"/>
    <n v="1"/>
    <x v="0"/>
    <n v="26"/>
    <n v="6.5"/>
  </r>
  <r>
    <s v="3049"/>
    <x v="3057"/>
    <n v="60700000"/>
    <x v="7"/>
    <n v="121.511"/>
    <x v="1"/>
    <n v="200"/>
    <n v="100"/>
    <s v="1953"/>
    <n v="7"/>
    <x v="0"/>
    <n v="100"/>
    <n v="1"/>
  </r>
  <r>
    <s v="3050"/>
    <x v="3058"/>
    <n v="480600000"/>
    <x v="35"/>
    <n v="121.4829"/>
    <x v="5"/>
    <n v="514"/>
    <n v="254"/>
    <s v="2001"/>
    <n v="12"/>
    <x v="0"/>
    <n v="260"/>
    <n v="1.0236220472440944"/>
  </r>
  <r>
    <s v="3051"/>
    <x v="3059"/>
    <n v="49400000"/>
    <x v="31"/>
    <n v="121.4379"/>
    <x v="12"/>
    <n v="22"/>
    <n v="16"/>
    <s v="2003"/>
    <n v="8"/>
    <x v="0"/>
    <n v="6"/>
    <n v="0.375"/>
  </r>
  <r>
    <s v="3052"/>
    <x v="3060"/>
    <n v="35700000"/>
    <x v="8"/>
    <n v="121.4042"/>
    <x v="0"/>
    <n v="376"/>
    <n v="187"/>
    <s v="1998"/>
    <n v="6"/>
    <x v="0"/>
    <n v="189"/>
    <n v="1.0106951871657754"/>
  </r>
  <r>
    <s v="3053"/>
    <x v="3061"/>
    <n v="2900000"/>
    <x v="0"/>
    <n v="121.3847"/>
    <x v="0"/>
    <n v="22"/>
    <n v="12"/>
    <s v="2001"/>
    <n v="2"/>
    <x v="0"/>
    <n v="10"/>
    <n v="0.83333333333333337"/>
  </r>
  <r>
    <s v="3054"/>
    <x v="3062"/>
    <n v="3100000"/>
    <x v="11"/>
    <n v="121.3468"/>
    <x v="19"/>
    <n v="21"/>
    <n v="12"/>
    <s v="2009"/>
    <n v="2"/>
    <x v="0"/>
    <n v="9"/>
    <n v="0.75"/>
  </r>
  <r>
    <s v="3055"/>
    <x v="3063"/>
    <n v="4100000"/>
    <x v="40"/>
    <n v="121.3146"/>
    <x v="9"/>
    <n v="13"/>
    <n v="6"/>
    <s v="2009"/>
    <n v="3"/>
    <x v="0"/>
    <n v="7"/>
    <n v="1.1666666666666667"/>
  </r>
  <r>
    <s v="3056"/>
    <x v="3064"/>
    <n v="9200000"/>
    <x v="2"/>
    <n v="121.22880000000001"/>
    <x v="20"/>
    <n v="55"/>
    <n v="20"/>
    <s v="2012"/>
    <n v="3"/>
    <x v="0"/>
    <n v="35"/>
    <n v="1.75"/>
  </r>
  <r>
    <s v="3057"/>
    <x v="3065"/>
    <n v="8100000"/>
    <x v="13"/>
    <n v="121.18049999999999"/>
    <x v="0"/>
    <n v="61"/>
    <n v="33"/>
    <s v="2006"/>
    <n v="5"/>
    <x v="0"/>
    <n v="28"/>
    <n v="0.84848484848484851"/>
  </r>
  <r>
    <s v="3058"/>
    <x v="3066"/>
    <n v="48300000"/>
    <x v="9"/>
    <n v="121.154"/>
    <x v="9"/>
    <n v="474"/>
    <n v="175"/>
    <s v="2007"/>
    <n v="8"/>
    <x v="0"/>
    <n v="299"/>
    <n v="1.7085714285714286"/>
  </r>
  <r>
    <s v="3059"/>
    <x v="3067"/>
    <n v="6500000"/>
    <x v="9"/>
    <n v="121.1392"/>
    <x v="3"/>
    <n v="150"/>
    <n v="36"/>
    <s v="2012"/>
    <n v="2"/>
    <x v="0"/>
    <n v="114"/>
    <n v="3.1666666666666665"/>
  </r>
  <r>
    <s v="3060"/>
    <x v="3068"/>
    <n v="185400000"/>
    <x v="16"/>
    <n v="121.0827"/>
    <x v="3"/>
    <n v="175"/>
    <n v="60"/>
    <s v="2011"/>
    <n v="5"/>
    <x v="0"/>
    <n v="115"/>
    <n v="1.9166666666666667"/>
  </r>
  <r>
    <s v="3061"/>
    <x v="3069"/>
    <n v="2900000"/>
    <x v="27"/>
    <n v="121.0526"/>
    <x v="5"/>
    <n v="45"/>
    <n v="20"/>
    <s v="2009"/>
    <n v="1"/>
    <x v="0"/>
    <n v="25"/>
    <n v="1.25"/>
  </r>
  <r>
    <s v="3062"/>
    <x v="3070"/>
    <n v="17000000"/>
    <x v="9"/>
    <n v="120.9798"/>
    <x v="23"/>
    <n v="256"/>
    <n v="135"/>
    <s v="1965"/>
    <n v="3"/>
    <x v="0"/>
    <n v="121"/>
    <n v="0.89629629629629626"/>
  </r>
  <r>
    <s v="3063"/>
    <x v="3071"/>
    <n v="2500000"/>
    <x v="24"/>
    <n v="120.9645"/>
    <x v="17"/>
    <n v="42"/>
    <n v="13"/>
    <s v="2008"/>
    <n v="2"/>
    <x v="0"/>
    <n v="29"/>
    <n v="2.2307692307692308"/>
  </r>
  <r>
    <s v="3064"/>
    <x v="3072"/>
    <n v="4300000"/>
    <x v="18"/>
    <n v="120.944"/>
    <x v="3"/>
    <n v="37"/>
    <n v="24"/>
    <s v="1996"/>
    <n v="3"/>
    <x v="0"/>
    <n v="13"/>
    <n v="0.54166666666666663"/>
  </r>
  <r>
    <s v="3065"/>
    <x v="3073"/>
    <n v="128900000"/>
    <x v="27"/>
    <n v="120.80929999999999"/>
    <x v="8"/>
    <n v="50"/>
    <n v="38"/>
    <s v="2008"/>
    <n v="3"/>
    <x v="0"/>
    <n v="12"/>
    <n v="0.31578947368421051"/>
  </r>
  <r>
    <s v="3066"/>
    <x v="3074"/>
    <n v="10900000"/>
    <x v="4"/>
    <n v="120.7884"/>
    <x v="13"/>
    <n v="76"/>
    <n v="24"/>
    <s v="2000"/>
    <n v="4"/>
    <x v="0"/>
    <n v="52"/>
    <n v="2.1666666666666665"/>
  </r>
  <r>
    <s v="3067"/>
    <x v="3075"/>
    <n v="3900000"/>
    <x v="18"/>
    <n v="120.7735"/>
    <x v="15"/>
    <n v="50"/>
    <n v="22"/>
    <s v="1997"/>
    <n v="2"/>
    <x v="0"/>
    <n v="28"/>
    <n v="1.2727272727272727"/>
  </r>
  <r>
    <s v="3068"/>
    <x v="3076"/>
    <n v="66900000"/>
    <x v="2"/>
    <n v="120.767"/>
    <x v="12"/>
    <n v="175"/>
    <n v="78"/>
    <s v="2008"/>
    <n v="5"/>
    <x v="0"/>
    <n v="97"/>
    <n v="1.2435897435897436"/>
  </r>
  <r>
    <s v="3069"/>
    <x v="3077"/>
    <n v="4500000"/>
    <x v="26"/>
    <n v="120.7535"/>
    <x v="15"/>
    <n v="10"/>
    <n v="7"/>
    <s v="1985"/>
    <n v="1"/>
    <x v="0"/>
    <n v="3"/>
    <n v="0.42857142857142855"/>
  </r>
  <r>
    <s v="3070"/>
    <x v="3078"/>
    <n v="2800000"/>
    <x v="9"/>
    <n v="120.6893"/>
    <x v="23"/>
    <n v="18"/>
    <n v="9"/>
    <s v="1976"/>
    <n v="2"/>
    <x v="0"/>
    <n v="9"/>
    <n v="1"/>
  </r>
  <r>
    <s v="3071"/>
    <x v="3079"/>
    <n v="21000000"/>
    <x v="13"/>
    <n v="120.6799"/>
    <x v="0"/>
    <n v="105"/>
    <n v="44"/>
    <s v="2004"/>
    <n v="3"/>
    <x v="0"/>
    <n v="61"/>
    <n v="1.3863636363636365"/>
  </r>
  <r>
    <s v="3072"/>
    <x v="3080"/>
    <n v="4800000"/>
    <x v="9"/>
    <n v="120.66549999999999"/>
    <x v="5"/>
    <n v="5"/>
    <n v="3"/>
    <s v="1996"/>
    <n v="2"/>
    <x v="0"/>
    <n v="2"/>
    <n v="0.66666666666666663"/>
  </r>
  <r>
    <s v="3073"/>
    <x v="3081"/>
    <n v="20000000"/>
    <x v="13"/>
    <n v="120.6528"/>
    <x v="21"/>
    <n v="216"/>
    <n v="86"/>
    <s v="1998"/>
    <n v="4"/>
    <x v="0"/>
    <n v="130"/>
    <n v="1.5116279069767442"/>
  </r>
  <r>
    <s v="3074"/>
    <x v="3082"/>
    <n v="6500000"/>
    <x v="12"/>
    <n v="120.65219999999999"/>
    <x v="0"/>
    <n v="20"/>
    <n v="10"/>
    <s v="2014"/>
    <n v="1"/>
    <x v="0"/>
    <n v="10"/>
    <n v="1"/>
  </r>
  <r>
    <s v="3075"/>
    <x v="3083"/>
    <n v="2600000"/>
    <x v="13"/>
    <n v="120.4312"/>
    <x v="19"/>
    <n v="14"/>
    <n v="11"/>
    <s v="2013"/>
    <n v="2"/>
    <x v="0"/>
    <n v="3"/>
    <n v="0.27272727272727271"/>
  </r>
  <r>
    <s v="3076"/>
    <x v="3084"/>
    <n v="67100000"/>
    <x v="0"/>
    <n v="120.3639"/>
    <x v="1"/>
    <n v="80"/>
    <n v="57"/>
    <s v="2000"/>
    <n v="2"/>
    <x v="0"/>
    <n v="23"/>
    <n v="0.40350877192982454"/>
  </r>
  <r>
    <s v="3077"/>
    <x v="3085"/>
    <n v="2600000"/>
    <x v="16"/>
    <n v="120.33199999999999"/>
    <x v="23"/>
    <n v="27"/>
    <n v="9"/>
    <s v="2014"/>
    <n v="1"/>
    <x v="0"/>
    <n v="18"/>
    <n v="2"/>
  </r>
  <r>
    <s v="3078"/>
    <x v="3086"/>
    <n v="24700000"/>
    <x v="41"/>
    <n v="120.322"/>
    <x v="19"/>
    <n v="108"/>
    <n v="73"/>
    <s v="1986"/>
    <n v="10"/>
    <x v="0"/>
    <n v="35"/>
    <n v="0.47945205479452052"/>
  </r>
  <r>
    <s v="3079"/>
    <x v="3087"/>
    <n v="9500000"/>
    <x v="2"/>
    <n v="120.3008"/>
    <x v="24"/>
    <n v="333"/>
    <n v="182"/>
    <s v="2010"/>
    <n v="1"/>
    <x v="0"/>
    <n v="151"/>
    <n v="0.82967032967032972"/>
  </r>
  <r>
    <s v="3080"/>
    <x v="3088"/>
    <n v="3000000"/>
    <x v="0"/>
    <n v="120.27379999999999"/>
    <x v="16"/>
    <n v="21"/>
    <n v="9"/>
    <s v="2010"/>
    <n v="1"/>
    <x v="0"/>
    <n v="12"/>
    <n v="1.3333333333333333"/>
  </r>
  <r>
    <s v="3081"/>
    <x v="3089"/>
    <n v="21100000"/>
    <x v="16"/>
    <n v="120.2548"/>
    <x v="7"/>
    <n v="26"/>
    <n v="12"/>
    <s v="2008"/>
    <n v="2"/>
    <x v="0"/>
    <n v="14"/>
    <n v="1.1666666666666667"/>
  </r>
  <r>
    <s v="3082"/>
    <x v="3090"/>
    <n v="17200000"/>
    <x v="22"/>
    <n v="120.2486"/>
    <x v="15"/>
    <n v="110"/>
    <n v="43"/>
    <s v="1975"/>
    <n v="5"/>
    <x v="0"/>
    <n v="67"/>
    <n v="1.558139534883721"/>
  </r>
  <r>
    <s v="3083"/>
    <x v="3091"/>
    <n v="7700000"/>
    <x v="12"/>
    <n v="120.1814"/>
    <x v="6"/>
    <n v="21"/>
    <n v="13"/>
    <s v="2009"/>
    <n v="1"/>
    <x v="0"/>
    <n v="8"/>
    <n v="0.61538461538461542"/>
  </r>
  <r>
    <s v="3084"/>
    <x v="3092"/>
    <n v="14800000"/>
    <x v="2"/>
    <n v="120.10769999999999"/>
    <x v="9"/>
    <n v="105"/>
    <n v="40"/>
    <s v="2003"/>
    <n v="2"/>
    <x v="0"/>
    <n v="65"/>
    <n v="1.625"/>
  </r>
  <r>
    <s v="3085"/>
    <x v="3093"/>
    <n v="3400000"/>
    <x v="28"/>
    <n v="120.09010000000001"/>
    <x v="23"/>
    <n v="35"/>
    <n v="20"/>
    <s v="2013"/>
    <n v="2"/>
    <x v="0"/>
    <n v="15"/>
    <n v="0.75"/>
  </r>
  <r>
    <s v="3086"/>
    <x v="3094"/>
    <n v="24900000"/>
    <x v="12"/>
    <n v="119.9806"/>
    <x v="9"/>
    <n v="90"/>
    <n v="39"/>
    <s v="1994"/>
    <n v="8"/>
    <x v="0"/>
    <n v="51"/>
    <n v="1.3076923076923077"/>
  </r>
  <r>
    <s v="3087"/>
    <x v="3095"/>
    <n v="5000000"/>
    <x v="33"/>
    <n v="119.8725"/>
    <x v="15"/>
    <n v="49"/>
    <n v="27"/>
    <s v="1987"/>
    <n v="2"/>
    <x v="0"/>
    <n v="22"/>
    <n v="0.81481481481481477"/>
  </r>
  <r>
    <s v="3088"/>
    <x v="3096"/>
    <n v="8500000"/>
    <x v="7"/>
    <n v="119.8532"/>
    <x v="23"/>
    <n v="45"/>
    <n v="24"/>
    <s v="1994"/>
    <n v="6"/>
    <x v="0"/>
    <n v="21"/>
    <n v="0.875"/>
  </r>
  <r>
    <s v="3089"/>
    <x v="3097"/>
    <n v="205500000"/>
    <x v="23"/>
    <n v="119.8228"/>
    <x v="5"/>
    <n v="400"/>
    <n v="150"/>
    <s v="2004"/>
    <n v="4"/>
    <x v="0"/>
    <n v="250"/>
    <n v="1.6666666666666667"/>
  </r>
  <r>
    <s v="3090"/>
    <x v="3098"/>
    <n v="14100000"/>
    <x v="9"/>
    <n v="119.7064"/>
    <x v="0"/>
    <n v="25"/>
    <n v="10"/>
    <s v="2013"/>
    <n v="1"/>
    <x v="0"/>
    <n v="15"/>
    <n v="1.5"/>
  </r>
  <r>
    <s v="3091"/>
    <x v="3099"/>
    <n v="29200000"/>
    <x v="44"/>
    <n v="119.6349"/>
    <x v="15"/>
    <n v="133"/>
    <n v="53"/>
    <s v="2003"/>
    <n v="5"/>
    <x v="0"/>
    <n v="80"/>
    <n v="1.5094339622641511"/>
  </r>
  <r>
    <s v="3092"/>
    <x v="3100"/>
    <n v="9200000"/>
    <x v="9"/>
    <n v="119.6088"/>
    <x v="19"/>
    <n v="22"/>
    <n v="12"/>
    <s v="2009"/>
    <n v="1"/>
    <x v="0"/>
    <n v="10"/>
    <n v="0.83333333333333337"/>
  </r>
  <r>
    <s v="3093"/>
    <x v="3101"/>
    <n v="14400000"/>
    <x v="0"/>
    <n v="119.5378"/>
    <x v="3"/>
    <n v="305"/>
    <n v="170"/>
    <s v="2002"/>
    <n v="1"/>
    <x v="0"/>
    <n v="135"/>
    <n v="0.79411764705882348"/>
  </r>
  <r>
    <s v="3094"/>
    <x v="3102"/>
    <n v="2100000"/>
    <x v="2"/>
    <n v="119.50060000000001"/>
    <x v="25"/>
    <n v="8"/>
    <n v="7"/>
    <s v="2011"/>
    <n v="1"/>
    <x v="0"/>
    <n v="1"/>
    <n v="0.14285714285714285"/>
  </r>
  <r>
    <s v="3095"/>
    <x v="3103"/>
    <n v="17800000"/>
    <x v="11"/>
    <n v="119.45820000000001"/>
    <x v="5"/>
    <n v="180"/>
    <n v="70"/>
    <s v="1997"/>
    <n v="4"/>
    <x v="0"/>
    <n v="110"/>
    <n v="1.5714285714285714"/>
  </r>
  <r>
    <s v="3096"/>
    <x v="3104"/>
    <n v="21800000"/>
    <x v="22"/>
    <n v="119.40689999999999"/>
    <x v="0"/>
    <n v="120"/>
    <n v="48"/>
    <s v="2009"/>
    <n v="4"/>
    <x v="0"/>
    <n v="72"/>
    <n v="1.5"/>
  </r>
  <r>
    <s v="3097"/>
    <x v="3105"/>
    <n v="7400000"/>
    <x v="9"/>
    <n v="119.2469"/>
    <x v="13"/>
    <n v="50"/>
    <n v="30"/>
    <s v="2005"/>
    <n v="1"/>
    <x v="0"/>
    <n v="20"/>
    <n v="0.66666666666666663"/>
  </r>
  <r>
    <s v="3098"/>
    <x v="3106"/>
    <n v="3000000"/>
    <x v="5"/>
    <n v="119.18689999999999"/>
    <x v="0"/>
    <n v="12"/>
    <n v="10"/>
    <s v="2005"/>
    <n v="3"/>
    <x v="0"/>
    <n v="2"/>
    <n v="0.2"/>
  </r>
  <r>
    <s v="3099"/>
    <x v="3107"/>
    <n v="10800000"/>
    <x v="21"/>
    <n v="119.0917"/>
    <x v="15"/>
    <n v="66"/>
    <n v="11"/>
    <s v="1996"/>
    <n v="1"/>
    <x v="0"/>
    <n v="55"/>
    <n v="5"/>
  </r>
  <r>
    <s v="3100"/>
    <x v="3108"/>
    <n v="3600000"/>
    <x v="25"/>
    <n v="119.0561"/>
    <x v="0"/>
    <n v="35"/>
    <n v="25"/>
    <s v="2009"/>
    <n v="2"/>
    <x v="0"/>
    <n v="10"/>
    <n v="0.4"/>
  </r>
  <r>
    <s v="3101"/>
    <x v="3109"/>
    <n v="11100000"/>
    <x v="24"/>
    <n v="119.0185"/>
    <x v="12"/>
    <n v="27"/>
    <n v="15"/>
    <s v="2005"/>
    <n v="8"/>
    <x v="0"/>
    <n v="12"/>
    <n v="0.8"/>
  </r>
  <r>
    <s v="3102"/>
    <x v="3110"/>
    <n v="14900000"/>
    <x v="11"/>
    <n v="118.9873"/>
    <x v="22"/>
    <n v="130"/>
    <n v="58"/>
    <s v="1946"/>
    <n v="4"/>
    <x v="0"/>
    <n v="72"/>
    <n v="1.2413793103448276"/>
  </r>
  <r>
    <s v="3103"/>
    <x v="3111"/>
    <n v="20600000"/>
    <x v="9"/>
    <n v="118.9328"/>
    <x v="13"/>
    <n v="41"/>
    <n v="36"/>
    <s v="2001"/>
    <n v="3"/>
    <x v="0"/>
    <n v="5"/>
    <n v="0.1388888888888889"/>
  </r>
  <r>
    <s v="3104"/>
    <x v="3112"/>
    <n v="5900000"/>
    <x v="10"/>
    <n v="118.9234"/>
    <x v="3"/>
    <n v="18"/>
    <n v="5"/>
    <s v="2011"/>
    <n v="1"/>
    <x v="0"/>
    <n v="13"/>
    <n v="2.6"/>
  </r>
  <r>
    <s v="3105"/>
    <x v="3113"/>
    <n v="86200000"/>
    <x v="9"/>
    <n v="118.8653"/>
    <x v="11"/>
    <n v="380"/>
    <n v="264"/>
    <s v="2008"/>
    <n v="7"/>
    <x v="0"/>
    <n v="116"/>
    <n v="0.43939393939393939"/>
  </r>
  <r>
    <s v="3106"/>
    <x v="3114"/>
    <n v="88300000"/>
    <x v="8"/>
    <n v="118.7946"/>
    <x v="7"/>
    <n v="591"/>
    <n v="298"/>
    <s v="1977"/>
    <n v="7"/>
    <x v="0"/>
    <n v="293"/>
    <n v="0.98322147651006708"/>
  </r>
  <r>
    <s v="3107"/>
    <x v="3115"/>
    <n v="68200000"/>
    <x v="27"/>
    <n v="118.6987"/>
    <x v="15"/>
    <n v="267"/>
    <n v="160"/>
    <s v="1995"/>
    <n v="5"/>
    <x v="0"/>
    <n v="107"/>
    <n v="0.66874999999999996"/>
  </r>
  <r>
    <s v="3108"/>
    <x v="3116"/>
    <n v="10300000"/>
    <x v="18"/>
    <n v="118.6729"/>
    <x v="1"/>
    <n v="65"/>
    <n v="40"/>
    <s v="2012"/>
    <n v="4"/>
    <x v="0"/>
    <n v="25"/>
    <n v="0.625"/>
  </r>
  <r>
    <s v="3109"/>
    <x v="3117"/>
    <n v="76100000"/>
    <x v="4"/>
    <n v="118.52370000000001"/>
    <x v="10"/>
    <n v="286"/>
    <n v="124"/>
    <s v="2008"/>
    <n v="2"/>
    <x v="0"/>
    <n v="162"/>
    <n v="1.3064516129032258"/>
  </r>
  <r>
    <s v="3110"/>
    <x v="3118"/>
    <n v="5800000"/>
    <x v="4"/>
    <n v="118.4928"/>
    <x v="5"/>
    <n v="54"/>
    <n v="19"/>
    <s v="2008"/>
    <n v="1"/>
    <x v="0"/>
    <n v="35"/>
    <n v="1.8421052631578947"/>
  </r>
  <r>
    <s v="3111"/>
    <x v="3119"/>
    <n v="5400000"/>
    <x v="9"/>
    <n v="118.4053"/>
    <x v="7"/>
    <n v="7"/>
    <n v="5"/>
    <s v="2006"/>
    <n v="1"/>
    <x v="0"/>
    <n v="2"/>
    <n v="0.4"/>
  </r>
  <r>
    <s v="3112"/>
    <x v="3120"/>
    <n v="10100000"/>
    <x v="16"/>
    <n v="118.3498"/>
    <x v="24"/>
    <n v="62"/>
    <n v="43"/>
    <s v="2009"/>
    <n v="6"/>
    <x v="0"/>
    <n v="19"/>
    <n v="0.44186046511627908"/>
  </r>
  <r>
    <s v="3113"/>
    <x v="3121"/>
    <n v="34200000"/>
    <x v="18"/>
    <n v="117.9777"/>
    <x v="5"/>
    <n v="140"/>
    <n v="75"/>
    <s v="2000"/>
    <n v="9"/>
    <x v="0"/>
    <n v="65"/>
    <n v="0.8666666666666667"/>
  </r>
  <r>
    <s v="3114"/>
    <x v="3122"/>
    <n v="194800000"/>
    <x v="24"/>
    <n v="117.9751"/>
    <x v="11"/>
    <n v="915"/>
    <n v="400"/>
    <s v="1997"/>
    <n v="6"/>
    <x v="0"/>
    <n v="515"/>
    <n v="1.2875000000000001"/>
  </r>
  <r>
    <s v="3115"/>
    <x v="3123"/>
    <n v="2900000"/>
    <x v="37"/>
    <n v="117.92659999999999"/>
    <x v="0"/>
    <n v="10"/>
    <n v="4"/>
    <s v="2012"/>
    <n v="1"/>
    <x v="0"/>
    <n v="6"/>
    <n v="1.5"/>
  </r>
  <r>
    <s v="3116"/>
    <x v="3124"/>
    <n v="42000000"/>
    <x v="10"/>
    <n v="117.8925"/>
    <x v="15"/>
    <n v="172"/>
    <n v="85"/>
    <s v="2004"/>
    <n v="9"/>
    <x v="0"/>
    <n v="87"/>
    <n v="1.0235294117647058"/>
  </r>
  <r>
    <s v="3117"/>
    <x v="3125"/>
    <n v="3300000"/>
    <x v="5"/>
    <n v="117.8302"/>
    <x v="23"/>
    <n v="61"/>
    <n v="45"/>
    <s v="2007"/>
    <n v="2"/>
    <x v="0"/>
    <n v="16"/>
    <n v="0.35555555555555557"/>
  </r>
  <r>
    <s v="3118"/>
    <x v="3126"/>
    <n v="29300000"/>
    <x v="11"/>
    <n v="117.8051"/>
    <x v="10"/>
    <n v="48"/>
    <n v="15"/>
    <s v="2009"/>
    <n v="5"/>
    <x v="0"/>
    <n v="33"/>
    <n v="2.2000000000000002"/>
  </r>
  <r>
    <s v="3119"/>
    <x v="3127"/>
    <n v="5400000"/>
    <x v="35"/>
    <n v="117.80329999999999"/>
    <x v="5"/>
    <n v="55"/>
    <n v="30"/>
    <s v="2013"/>
    <n v="1"/>
    <x v="0"/>
    <n v="25"/>
    <n v="0.83333333333333337"/>
  </r>
  <r>
    <s v="3120"/>
    <x v="3128"/>
    <n v="6300000"/>
    <x v="8"/>
    <n v="117.7814"/>
    <x v="0"/>
    <n v="32"/>
    <n v="22"/>
    <s v="2004"/>
    <n v="2"/>
    <x v="0"/>
    <n v="10"/>
    <n v="0.45454545454545453"/>
  </r>
  <r>
    <s v="3121"/>
    <x v="3129"/>
    <n v="3300000"/>
    <x v="42"/>
    <n v="117.7419"/>
    <x v="3"/>
    <n v="21"/>
    <n v="6"/>
    <s v="2008"/>
    <n v="2"/>
    <x v="0"/>
    <n v="15"/>
    <n v="2.5"/>
  </r>
  <r>
    <s v="3122"/>
    <x v="3130"/>
    <n v="5300000"/>
    <x v="27"/>
    <n v="117.7283"/>
    <x v="15"/>
    <n v="30"/>
    <n v="14"/>
    <s v="2008"/>
    <n v="1"/>
    <x v="0"/>
    <n v="16"/>
    <n v="1.1428571428571428"/>
  </r>
  <r>
    <s v="3123"/>
    <x v="3131"/>
    <n v="16200000"/>
    <x v="9"/>
    <n v="117.718"/>
    <x v="13"/>
    <n v="72"/>
    <n v="62"/>
    <s v="2008"/>
    <n v="7"/>
    <x v="0"/>
    <n v="10"/>
    <n v="0.16129032258064516"/>
  </r>
  <r>
    <s v="3124"/>
    <x v="3132"/>
    <n v="7100000"/>
    <x v="35"/>
    <n v="117.69929999999999"/>
    <x v="3"/>
    <n v="189"/>
    <n v="14"/>
    <s v="2012"/>
    <n v="3"/>
    <x v="0"/>
    <n v="175"/>
    <n v="12.5"/>
  </r>
  <r>
    <s v="3125"/>
    <x v="3133"/>
    <n v="8900000"/>
    <x v="7"/>
    <n v="117.6748"/>
    <x v="11"/>
    <n v="48"/>
    <n v="21"/>
    <s v="2010"/>
    <n v="4"/>
    <x v="0"/>
    <n v="27"/>
    <n v="1.2857142857142858"/>
  </r>
  <r>
    <s v="3126"/>
    <x v="3134"/>
    <n v="4600000"/>
    <x v="12"/>
    <n v="117.5575"/>
    <x v="5"/>
    <n v="150"/>
    <n v="120"/>
    <s v="2003"/>
    <n v="4"/>
    <x v="0"/>
    <n v="30"/>
    <n v="0.25"/>
  </r>
  <r>
    <s v="3127"/>
    <x v="3135"/>
    <n v="4000000"/>
    <x v="5"/>
    <n v="117.5407"/>
    <x v="5"/>
    <n v="25"/>
    <n v="10"/>
    <s v="2004"/>
    <n v="1"/>
    <x v="0"/>
    <n v="15"/>
    <n v="1.5"/>
  </r>
  <r>
    <s v="3128"/>
    <x v="3136"/>
    <n v="23700000"/>
    <x v="20"/>
    <n v="117.536"/>
    <x v="20"/>
    <n v="216"/>
    <n v="90"/>
    <s v="1994"/>
    <n v="3"/>
    <x v="0"/>
    <n v="126"/>
    <n v="1.4"/>
  </r>
  <r>
    <s v="3129"/>
    <x v="3137"/>
    <n v="62800000"/>
    <x v="5"/>
    <n v="117.4974"/>
    <x v="0"/>
    <n v="32"/>
    <n v="18"/>
    <s v="2010"/>
    <n v="1"/>
    <x v="0"/>
    <n v="14"/>
    <n v="0.77777777777777779"/>
  </r>
  <r>
    <s v="3130"/>
    <x v="3138"/>
    <n v="43500000"/>
    <x v="13"/>
    <n v="117.4898"/>
    <x v="23"/>
    <n v="131"/>
    <n v="78"/>
    <s v="2002"/>
    <n v="12"/>
    <x v="0"/>
    <n v="53"/>
    <n v="0.67948717948717952"/>
  </r>
  <r>
    <s v="3131"/>
    <x v="3139"/>
    <n v="3700000"/>
    <x v="13"/>
    <n v="117.4778"/>
    <x v="0"/>
    <n v="15"/>
    <n v="12"/>
    <s v="2005"/>
    <n v="1"/>
    <x v="0"/>
    <n v="3"/>
    <n v="0.25"/>
  </r>
  <r>
    <s v="3132"/>
    <x v="3140"/>
    <n v="8100000"/>
    <x v="5"/>
    <n v="117.2264"/>
    <x v="16"/>
    <n v="74"/>
    <n v="35"/>
    <s v="2013"/>
    <n v="1"/>
    <x v="0"/>
    <n v="39"/>
    <n v="1.1142857142857143"/>
  </r>
  <r>
    <s v="3133"/>
    <x v="3141"/>
    <n v="8300000"/>
    <x v="5"/>
    <n v="117.1678"/>
    <x v="20"/>
    <n v="80"/>
    <n v="39"/>
    <s v="2003"/>
    <n v="1"/>
    <x v="0"/>
    <n v="41"/>
    <n v="1.0512820512820513"/>
  </r>
  <r>
    <s v="3134"/>
    <x v="3142"/>
    <n v="31200000"/>
    <x v="20"/>
    <n v="117.04430000000001"/>
    <x v="18"/>
    <n v="130"/>
    <n v="100"/>
    <s v="1999"/>
    <n v="2"/>
    <x v="0"/>
    <n v="30"/>
    <n v="0.3"/>
  </r>
  <r>
    <s v="3135"/>
    <x v="3143"/>
    <n v="70700000"/>
    <x v="10"/>
    <n v="117.0347"/>
    <x v="19"/>
    <n v="975"/>
    <n v="532"/>
    <s v="2007"/>
    <n v="8"/>
    <x v="0"/>
    <n v="443"/>
    <n v="0.83270676691729328"/>
  </r>
  <r>
    <s v="3136"/>
    <x v="3144"/>
    <n v="33100000"/>
    <x v="9"/>
    <n v="117.01860000000001"/>
    <x v="12"/>
    <n v="44"/>
    <n v="11"/>
    <s v="2012"/>
    <n v="4"/>
    <x v="0"/>
    <n v="33"/>
    <n v="3"/>
  </r>
  <r>
    <s v="3137"/>
    <x v="3145"/>
    <n v="8300000"/>
    <x v="9"/>
    <n v="117.00830000000001"/>
    <x v="20"/>
    <n v="51"/>
    <n v="26"/>
    <s v="2007"/>
    <n v="5"/>
    <x v="0"/>
    <n v="25"/>
    <n v="0.96153846153846156"/>
  </r>
  <r>
    <s v="3138"/>
    <x v="3146"/>
    <n v="4300000"/>
    <x v="6"/>
    <n v="116.96080000000001"/>
    <x v="3"/>
    <n v="17"/>
    <n v="15"/>
    <s v="2007"/>
    <n v="1"/>
    <x v="0"/>
    <n v="2"/>
    <n v="0.13333333333333333"/>
  </r>
  <r>
    <s v="3139"/>
    <x v="3147"/>
    <n v="26800000"/>
    <x v="22"/>
    <n v="116.9237"/>
    <x v="13"/>
    <n v="147"/>
    <n v="69"/>
    <s v="1990"/>
    <n v="1"/>
    <x v="0"/>
    <n v="78"/>
    <n v="1.1304347826086956"/>
  </r>
  <r>
    <s v="3140"/>
    <x v="3148"/>
    <n v="6400000"/>
    <x v="9"/>
    <n v="116.86279999999999"/>
    <x v="0"/>
    <n v="25"/>
    <n v="15"/>
    <s v="2009"/>
    <n v="6"/>
    <x v="0"/>
    <n v="10"/>
    <n v="0.66666666666666663"/>
  </r>
  <r>
    <s v="3141"/>
    <x v="3149"/>
    <n v="2300000"/>
    <x v="2"/>
    <n v="116.7363"/>
    <x v="20"/>
    <n v="15"/>
    <n v="8"/>
    <s v="2012"/>
    <n v="2"/>
    <x v="0"/>
    <n v="7"/>
    <n v="0.875"/>
  </r>
  <r>
    <s v="3142"/>
    <x v="3150"/>
    <n v="74100000"/>
    <x v="9"/>
    <n v="116.7289"/>
    <x v="2"/>
    <n v="1605"/>
    <n v="654"/>
    <s v="2010"/>
    <n v="5"/>
    <x v="0"/>
    <n v="951"/>
    <n v="1.4541284403669725"/>
  </r>
  <r>
    <s v="3143"/>
    <x v="3151"/>
    <n v="6100000"/>
    <x v="37"/>
    <n v="116.7017"/>
    <x v="16"/>
    <n v="55"/>
    <n v="16"/>
    <s v="2003"/>
    <n v="5"/>
    <x v="0"/>
    <n v="39"/>
    <n v="2.4375"/>
  </r>
  <r>
    <s v="3144"/>
    <x v="3152"/>
    <n v="8500000"/>
    <x v="9"/>
    <n v="116.6927"/>
    <x v="13"/>
    <n v="16"/>
    <n v="7"/>
    <s v="2010"/>
    <n v="4"/>
    <x v="0"/>
    <n v="9"/>
    <n v="1.2857142857142858"/>
  </r>
  <r>
    <s v="3145"/>
    <x v="3153"/>
    <n v="26100000"/>
    <x v="33"/>
    <n v="116.6349"/>
    <x v="5"/>
    <n v="1002"/>
    <n v="481"/>
    <s v="2011"/>
    <n v="2"/>
    <x v="0"/>
    <n v="521"/>
    <n v="1.0831600831600832"/>
  </r>
  <r>
    <s v="3146"/>
    <x v="3154"/>
    <n v="3900000"/>
    <x v="2"/>
    <n v="116.57080000000001"/>
    <x v="19"/>
    <n v="25"/>
    <n v="9"/>
    <s v="2004"/>
    <n v="3"/>
    <x v="0"/>
    <n v="16"/>
    <n v="1.7777777777777777"/>
  </r>
  <r>
    <s v="3147"/>
    <x v="3155"/>
    <n v="5500000"/>
    <x v="12"/>
    <n v="116.547"/>
    <x v="11"/>
    <n v="52"/>
    <n v="32"/>
    <s v="2011"/>
    <n v="3"/>
    <x v="0"/>
    <n v="20"/>
    <n v="0.625"/>
  </r>
  <r>
    <s v="3148"/>
    <x v="3156"/>
    <n v="3200000"/>
    <x v="2"/>
    <n v="116.515"/>
    <x v="13"/>
    <n v="15"/>
    <n v="11"/>
    <s v="1987"/>
    <n v="1"/>
    <x v="0"/>
    <n v="4"/>
    <n v="0.36363636363636365"/>
  </r>
  <r>
    <s v="3149"/>
    <x v="3157"/>
    <n v="28900000"/>
    <x v="9"/>
    <n v="116.4479"/>
    <x v="3"/>
    <n v="25"/>
    <n v="15"/>
    <s v="1998"/>
    <n v="7"/>
    <x v="0"/>
    <n v="10"/>
    <n v="0.66666666666666663"/>
  </r>
  <r>
    <s v="3150"/>
    <x v="3158"/>
    <n v="5600000"/>
    <x v="7"/>
    <n v="116.4357"/>
    <x v="0"/>
    <n v="13"/>
    <n v="7"/>
    <s v="2012"/>
    <n v="3"/>
    <x v="0"/>
    <n v="6"/>
    <n v="0.8571428571428571"/>
  </r>
  <r>
    <s v="3151"/>
    <x v="3159"/>
    <n v="2300000"/>
    <x v="24"/>
    <n v="116.364"/>
    <x v="19"/>
    <n v="22"/>
    <n v="6"/>
    <s v="2004"/>
    <n v="1"/>
    <x v="0"/>
    <n v="16"/>
    <n v="2.6666666666666665"/>
  </r>
  <r>
    <s v="3152"/>
    <x v="3160"/>
    <n v="45100000"/>
    <x v="32"/>
    <n v="116.3152"/>
    <x v="0"/>
    <n v="83"/>
    <n v="48"/>
    <s v="2003"/>
    <n v="7"/>
    <x v="0"/>
    <n v="35"/>
    <n v="0.72916666666666663"/>
  </r>
  <r>
    <s v="3153"/>
    <x v="3161"/>
    <n v="4500000"/>
    <x v="27"/>
    <n v="116.2381"/>
    <x v="12"/>
    <n v="21"/>
    <n v="7"/>
    <s v="2003"/>
    <n v="1"/>
    <x v="0"/>
    <n v="14"/>
    <n v="2"/>
  </r>
  <r>
    <s v="3154"/>
    <x v="3162"/>
    <n v="11800000"/>
    <x v="9"/>
    <n v="116.2222"/>
    <x v="3"/>
    <n v="49"/>
    <n v="27"/>
    <s v="1981"/>
    <n v="3"/>
    <x v="0"/>
    <n v="22"/>
    <n v="0.81481481481481477"/>
  </r>
  <r>
    <s v="3155"/>
    <x v="3163"/>
    <n v="575100000"/>
    <x v="5"/>
    <n v="116.1494"/>
    <x v="15"/>
    <n v="1840"/>
    <n v="908"/>
    <s v="1989"/>
    <n v="4"/>
    <x v="0"/>
    <n v="932"/>
    <n v="1.026431718061674"/>
  </r>
  <r>
    <s v="3156"/>
    <x v="3164"/>
    <n v="5100000"/>
    <x v="7"/>
    <n v="116.06829999999999"/>
    <x v="5"/>
    <n v="7"/>
    <n v="3"/>
    <s v="2004"/>
    <n v="4"/>
    <x v="0"/>
    <n v="4"/>
    <n v="1.3333333333333333"/>
  </r>
  <r>
    <s v="3157"/>
    <x v="3165"/>
    <n v="3500000"/>
    <x v="34"/>
    <n v="116.0667"/>
    <x v="0"/>
    <n v="10"/>
    <n v="6"/>
    <s v="2011"/>
    <n v="1"/>
    <x v="0"/>
    <n v="4"/>
    <n v="0.66666666666666663"/>
  </r>
  <r>
    <s v="3158"/>
    <x v="3166"/>
    <n v="6800000"/>
    <x v="9"/>
    <n v="115.9802"/>
    <x v="15"/>
    <n v="11"/>
    <n v="7"/>
    <s v="2014"/>
    <n v="2"/>
    <x v="0"/>
    <n v="4"/>
    <n v="0.5714285714285714"/>
  </r>
  <r>
    <s v="3159"/>
    <x v="3167"/>
    <n v="23500000"/>
    <x v="20"/>
    <n v="115.97410000000001"/>
    <x v="13"/>
    <n v="44"/>
    <n v="21"/>
    <s v="2009"/>
    <n v="2"/>
    <x v="0"/>
    <n v="23"/>
    <n v="1.0952380952380953"/>
  </r>
  <r>
    <s v="3160"/>
    <x v="3168"/>
    <n v="7200000"/>
    <x v="9"/>
    <n v="115.9477"/>
    <x v="5"/>
    <n v="13"/>
    <n v="11"/>
    <s v="2008"/>
    <n v="1"/>
    <x v="0"/>
    <n v="2"/>
    <n v="0.18181818181818182"/>
  </r>
  <r>
    <s v="3161"/>
    <x v="3169"/>
    <n v="74300000"/>
    <x v="9"/>
    <n v="115.94329999999999"/>
    <x v="23"/>
    <n v="12"/>
    <n v="6"/>
    <s v="2006"/>
    <n v="3"/>
    <x v="0"/>
    <n v="6"/>
    <n v="1"/>
  </r>
  <r>
    <s v="3162"/>
    <x v="3170"/>
    <n v="10200000"/>
    <x v="9"/>
    <n v="115.91679999999999"/>
    <x v="7"/>
    <n v="65"/>
    <n v="34"/>
    <s v="1995"/>
    <n v="4"/>
    <x v="0"/>
    <n v="31"/>
    <n v="0.91176470588235292"/>
  </r>
  <r>
    <s v="3163"/>
    <x v="3171"/>
    <n v="40700000"/>
    <x v="24"/>
    <n v="115.9061"/>
    <x v="23"/>
    <n v="114"/>
    <n v="55"/>
    <s v="1955"/>
    <n v="2"/>
    <x v="0"/>
    <n v="59"/>
    <n v="1.0727272727272728"/>
  </r>
  <r>
    <s v="3164"/>
    <x v="3172"/>
    <n v="305100000"/>
    <x v="5"/>
    <n v="115.8777"/>
    <x v="5"/>
    <n v="20599"/>
    <n v="8958"/>
    <s v="2005"/>
    <n v="9"/>
    <x v="0"/>
    <n v="11641"/>
    <n v="1.2995088189327975"/>
  </r>
  <r>
    <s v="3165"/>
    <x v="3173"/>
    <n v="9100000"/>
    <x v="27"/>
    <n v="115.8764"/>
    <x v="19"/>
    <n v="47"/>
    <n v="28"/>
    <s v="2009"/>
    <n v="4"/>
    <x v="0"/>
    <n v="19"/>
    <n v="0.6785714285714286"/>
  </r>
  <r>
    <s v="3166"/>
    <x v="3174"/>
    <n v="2300000"/>
    <x v="40"/>
    <n v="115.7456"/>
    <x v="7"/>
    <n v="12"/>
    <n v="4"/>
    <s v="2012"/>
    <n v="1"/>
    <x v="0"/>
    <n v="8"/>
    <n v="2"/>
  </r>
  <r>
    <s v="3167"/>
    <x v="3175"/>
    <n v="8100000"/>
    <x v="11"/>
    <n v="115.6165"/>
    <x v="7"/>
    <n v="6"/>
    <n v="1"/>
    <s v="2009"/>
    <n v="5"/>
    <x v="0"/>
    <n v="5"/>
    <n v="5"/>
  </r>
  <r>
    <s v="3168"/>
    <x v="3176"/>
    <n v="15800000"/>
    <x v="37"/>
    <n v="115.5517"/>
    <x v="5"/>
    <n v="55"/>
    <n v="30"/>
    <s v="2010"/>
    <n v="1"/>
    <x v="0"/>
    <n v="25"/>
    <n v="0.83333333333333337"/>
  </r>
  <r>
    <s v="3169"/>
    <x v="3177"/>
    <n v="5800000"/>
    <x v="12"/>
    <n v="115.5491"/>
    <x v="19"/>
    <n v="31"/>
    <n v="11"/>
    <s v="2011"/>
    <n v="4"/>
    <x v="0"/>
    <n v="20"/>
    <n v="1.8181818181818181"/>
  </r>
  <r>
    <s v="3170"/>
    <x v="3178"/>
    <n v="12600000"/>
    <x v="33"/>
    <n v="115.5016"/>
    <x v="15"/>
    <n v="66"/>
    <n v="22"/>
    <s v="2002"/>
    <n v="1"/>
    <x v="0"/>
    <n v="44"/>
    <n v="2"/>
  </r>
  <r>
    <s v="3171"/>
    <x v="3179"/>
    <n v="7700000"/>
    <x v="6"/>
    <n v="115.41540000000001"/>
    <x v="6"/>
    <n v="23"/>
    <n v="13"/>
    <s v="2000"/>
    <n v="5"/>
    <x v="0"/>
    <n v="10"/>
    <n v="0.76923076923076927"/>
  </r>
  <r>
    <s v="3172"/>
    <x v="3180"/>
    <n v="28700000"/>
    <x v="21"/>
    <n v="115.4049"/>
    <x v="19"/>
    <n v="72"/>
    <n v="78"/>
    <s v="1990"/>
    <n v="1"/>
    <x v="1"/>
    <n v="-6"/>
    <n v="-7.6923076923076927E-2"/>
  </r>
  <r>
    <s v="3173"/>
    <x v="3181"/>
    <n v="32800000"/>
    <x v="22"/>
    <n v="115.3986"/>
    <x v="12"/>
    <n v="375"/>
    <n v="110"/>
    <s v="2007"/>
    <n v="10"/>
    <x v="0"/>
    <n v="265"/>
    <n v="2.4090909090909092"/>
  </r>
  <r>
    <s v="3174"/>
    <x v="3182"/>
    <n v="107000000"/>
    <x v="9"/>
    <n v="115.31100000000001"/>
    <x v="12"/>
    <n v="697"/>
    <n v="222"/>
    <s v="2011"/>
    <n v="4"/>
    <x v="0"/>
    <n v="475"/>
    <n v="2.1396396396396398"/>
  </r>
  <r>
    <s v="3175"/>
    <x v="3183"/>
    <n v="11800000"/>
    <x v="7"/>
    <n v="115.2932"/>
    <x v="16"/>
    <n v="130"/>
    <n v="60"/>
    <s v="1996"/>
    <n v="5"/>
    <x v="0"/>
    <n v="70"/>
    <n v="1.1666666666666667"/>
  </r>
  <r>
    <s v="3176"/>
    <x v="3184"/>
    <n v="2900000"/>
    <x v="12"/>
    <n v="115.28360000000001"/>
    <x v="0"/>
    <n v="12"/>
    <n v="4"/>
    <s v="2002"/>
    <n v="3"/>
    <x v="0"/>
    <n v="8"/>
    <n v="2"/>
  </r>
  <r>
    <s v="3177"/>
    <x v="3185"/>
    <n v="10900000"/>
    <x v="10"/>
    <n v="115.27679999999999"/>
    <x v="8"/>
    <n v="14"/>
    <n v="10"/>
    <s v="1982"/>
    <n v="2"/>
    <x v="0"/>
    <n v="4"/>
    <n v="0.4"/>
  </r>
  <r>
    <s v="3178"/>
    <x v="3186"/>
    <n v="2200000"/>
    <x v="9"/>
    <n v="115.265"/>
    <x v="22"/>
    <n v="19"/>
    <n v="7"/>
    <s v="2003"/>
    <n v="2"/>
    <x v="0"/>
    <n v="12"/>
    <n v="1.7142857142857142"/>
  </r>
  <r>
    <s v="3179"/>
    <x v="3187"/>
    <n v="4700000"/>
    <x v="40"/>
    <n v="115.2341"/>
    <x v="0"/>
    <n v="32"/>
    <n v="22"/>
    <s v="2011"/>
    <n v="4"/>
    <x v="0"/>
    <n v="10"/>
    <n v="0.45454545454545453"/>
  </r>
  <r>
    <s v="3180"/>
    <x v="3188"/>
    <n v="2000000"/>
    <x v="9"/>
    <n v="115.2009"/>
    <x v="21"/>
    <n v="11"/>
    <n v="9"/>
    <s v="1982"/>
    <n v="1"/>
    <x v="0"/>
    <n v="2"/>
    <n v="0.22222222222222221"/>
  </r>
  <r>
    <s v="3181"/>
    <x v="3189"/>
    <n v="22700000"/>
    <x v="9"/>
    <n v="115.1463"/>
    <x v="13"/>
    <n v="108"/>
    <n v="62"/>
    <s v="2001"/>
    <n v="7"/>
    <x v="0"/>
    <n v="46"/>
    <n v="0.74193548387096775"/>
  </r>
  <r>
    <s v="3182"/>
    <x v="3190"/>
    <n v="2600000"/>
    <x v="0"/>
    <n v="115.1341"/>
    <x v="15"/>
    <n v="30"/>
    <n v="10"/>
    <s v="2010"/>
    <n v="2"/>
    <x v="0"/>
    <n v="20"/>
    <n v="2"/>
  </r>
  <r>
    <s v="3183"/>
    <x v="3191"/>
    <n v="46100000"/>
    <x v="9"/>
    <n v="115.11490000000001"/>
    <x v="23"/>
    <n v="164"/>
    <n v="36"/>
    <s v="2004"/>
    <n v="6"/>
    <x v="0"/>
    <n v="128"/>
    <n v="3.5555555555555554"/>
  </r>
  <r>
    <s v="3184"/>
    <x v="3192"/>
    <n v="3200000"/>
    <x v="7"/>
    <n v="115.1148"/>
    <x v="23"/>
    <n v="15"/>
    <n v="7"/>
    <s v="2009"/>
    <n v="1"/>
    <x v="0"/>
    <n v="8"/>
    <n v="1.1428571428571428"/>
  </r>
  <r>
    <s v="3185"/>
    <x v="3193"/>
    <n v="19600000"/>
    <x v="9"/>
    <n v="115.0287"/>
    <x v="7"/>
    <n v="88"/>
    <n v="52"/>
    <s v="2004"/>
    <n v="3"/>
    <x v="0"/>
    <n v="36"/>
    <n v="0.69230769230769229"/>
  </r>
  <r>
    <s v="3186"/>
    <x v="3194"/>
    <n v="18400000"/>
    <x v="9"/>
    <n v="114.968"/>
    <x v="3"/>
    <n v="19"/>
    <n v="20"/>
    <s v="2004"/>
    <n v="7"/>
    <x v="1"/>
    <n v="-1"/>
    <n v="-0.05"/>
  </r>
  <r>
    <s v="3187"/>
    <x v="3195"/>
    <n v="32100000"/>
    <x v="4"/>
    <n v="114.9096"/>
    <x v="15"/>
    <n v="32"/>
    <n v="18"/>
    <s v="2006"/>
    <n v="8"/>
    <x v="0"/>
    <n v="14"/>
    <n v="0.77777777777777779"/>
  </r>
  <r>
    <s v="3188"/>
    <x v="3196"/>
    <n v="18200000"/>
    <x v="8"/>
    <n v="114.8201"/>
    <x v="8"/>
    <n v="58"/>
    <n v="49"/>
    <s v="2009"/>
    <n v="6"/>
    <x v="0"/>
    <n v="9"/>
    <n v="0.18367346938775511"/>
  </r>
  <r>
    <s v="3189"/>
    <x v="3197"/>
    <n v="8500000"/>
    <x v="18"/>
    <n v="114.8082"/>
    <x v="0"/>
    <n v="48"/>
    <n v="26"/>
    <s v="2005"/>
    <n v="6"/>
    <x v="0"/>
    <n v="22"/>
    <n v="0.84615384615384615"/>
  </r>
  <r>
    <s v="3190"/>
    <x v="3198"/>
    <n v="45100000"/>
    <x v="2"/>
    <n v="114.7895"/>
    <x v="11"/>
    <n v="15"/>
    <n v="3"/>
    <s v="1999"/>
    <n v="3"/>
    <x v="0"/>
    <n v="12"/>
    <n v="4"/>
  </r>
  <r>
    <s v="3191"/>
    <x v="3199"/>
    <n v="2900000"/>
    <x v="5"/>
    <n v="114.65519999999999"/>
    <x v="15"/>
    <n v="13"/>
    <n v="6"/>
    <s v="2004"/>
    <n v="1"/>
    <x v="0"/>
    <n v="7"/>
    <n v="1.1666666666666667"/>
  </r>
  <r>
    <s v="3192"/>
    <x v="3200"/>
    <n v="66900000"/>
    <x v="21"/>
    <n v="114.64449999999999"/>
    <x v="0"/>
    <n v="82"/>
    <n v="61"/>
    <s v="1991"/>
    <n v="5"/>
    <x v="0"/>
    <n v="21"/>
    <n v="0.34426229508196721"/>
  </r>
  <r>
    <s v="3193"/>
    <x v="3201"/>
    <n v="6700000"/>
    <x v="18"/>
    <n v="114.6407"/>
    <x v="3"/>
    <n v="70"/>
    <n v="36"/>
    <s v="1959"/>
    <n v="3"/>
    <x v="0"/>
    <n v="34"/>
    <n v="0.94444444444444442"/>
  </r>
  <r>
    <s v="3194"/>
    <x v="3202"/>
    <n v="514000000"/>
    <x v="8"/>
    <n v="114.5471"/>
    <x v="4"/>
    <n v="1038"/>
    <n v="759"/>
    <s v="1997"/>
    <n v="14"/>
    <x v="0"/>
    <n v="279"/>
    <n v="0.3675889328063241"/>
  </r>
  <r>
    <s v="3195"/>
    <x v="3203"/>
    <n v="12100000"/>
    <x v="44"/>
    <n v="114.4235"/>
    <x v="20"/>
    <n v="850"/>
    <n v="385"/>
    <s v="2011"/>
    <n v="6"/>
    <x v="0"/>
    <n v="465"/>
    <n v="1.2077922077922079"/>
  </r>
  <r>
    <s v="3196"/>
    <x v="3204"/>
    <n v="98000000"/>
    <x v="4"/>
    <n v="114.3057"/>
    <x v="13"/>
    <n v="152"/>
    <n v="118"/>
    <s v="1985"/>
    <n v="1"/>
    <x v="0"/>
    <n v="34"/>
    <n v="0.28813559322033899"/>
  </r>
  <r>
    <s v="3197"/>
    <x v="3205"/>
    <n v="600000000"/>
    <x v="13"/>
    <n v="114.28570000000001"/>
    <x v="0"/>
    <n v="916"/>
    <n v="450"/>
    <s v="2001"/>
    <n v="1"/>
    <x v="0"/>
    <n v="466"/>
    <n v="1.0355555555555556"/>
  </r>
  <r>
    <s v="3198"/>
    <x v="3206"/>
    <n v="2200000"/>
    <x v="2"/>
    <n v="114.27460000000001"/>
    <x v="10"/>
    <n v="11"/>
    <n v="6"/>
    <s v="2010"/>
    <n v="1"/>
    <x v="0"/>
    <n v="5"/>
    <n v="0.83333333333333337"/>
  </r>
  <r>
    <s v="3199"/>
    <x v="3207"/>
    <n v="372200000"/>
    <x v="2"/>
    <n v="114.2646"/>
    <x v="15"/>
    <n v="150"/>
    <n v="85"/>
    <s v="2000"/>
    <n v="6"/>
    <x v="0"/>
    <n v="65"/>
    <n v="0.76470588235294112"/>
  </r>
  <r>
    <s v="3200"/>
    <x v="3208"/>
    <n v="80600000"/>
    <x v="20"/>
    <n v="114.1931"/>
    <x v="9"/>
    <n v="545"/>
    <n v="298"/>
    <s v="2003"/>
    <n v="5"/>
    <x v="0"/>
    <n v="247"/>
    <n v="0.82885906040268453"/>
  </r>
  <r>
    <s v="3201"/>
    <x v="3209"/>
    <n v="188200000"/>
    <x v="7"/>
    <n v="114.14060000000001"/>
    <x v="11"/>
    <n v="1685"/>
    <n v="743"/>
    <s v="1999"/>
    <n v="8"/>
    <x v="0"/>
    <n v="942"/>
    <n v="1.2678331090174966"/>
  </r>
  <r>
    <s v="3202"/>
    <x v="3210"/>
    <n v="33700000"/>
    <x v="4"/>
    <n v="114.1225"/>
    <x v="13"/>
    <n v="340"/>
    <n v="120"/>
    <s v="2000"/>
    <n v="3"/>
    <x v="0"/>
    <n v="220"/>
    <n v="1.8333333333333333"/>
  </r>
  <r>
    <s v="3203"/>
    <x v="3211"/>
    <n v="2100000"/>
    <x v="12"/>
    <n v="113.9"/>
    <x v="14"/>
    <n v="12"/>
    <n v="3"/>
    <s v="2014"/>
    <n v="1"/>
    <x v="0"/>
    <n v="9"/>
    <n v="3"/>
  </r>
  <r>
    <s v="3204"/>
    <x v="3212"/>
    <n v="92400000"/>
    <x v="4"/>
    <n v="113.8643"/>
    <x v="16"/>
    <n v="574"/>
    <n v="363"/>
    <s v="1992"/>
    <n v="5"/>
    <x v="0"/>
    <n v="211"/>
    <n v="0.58126721763085398"/>
  </r>
  <r>
    <s v="3205"/>
    <x v="3213"/>
    <n v="11400000"/>
    <x v="34"/>
    <n v="113.77"/>
    <x v="23"/>
    <n v="205"/>
    <n v="110"/>
    <s v="2000"/>
    <n v="2"/>
    <x v="0"/>
    <n v="95"/>
    <n v="0.86363636363636365"/>
  </r>
  <r>
    <s v="3206"/>
    <x v="3214"/>
    <n v="3800000"/>
    <x v="4"/>
    <n v="113.7139"/>
    <x v="9"/>
    <n v="30"/>
    <n v="10"/>
    <s v="2007"/>
    <n v="1"/>
    <x v="0"/>
    <n v="20"/>
    <n v="2"/>
  </r>
  <r>
    <s v="3207"/>
    <x v="3215"/>
    <n v="24400000"/>
    <x v="4"/>
    <n v="113.69589999999999"/>
    <x v="0"/>
    <n v="193"/>
    <n v="83"/>
    <s v="2006"/>
    <n v="7"/>
    <x v="0"/>
    <n v="110"/>
    <n v="1.3253012048192772"/>
  </r>
  <r>
    <s v="3208"/>
    <x v="3216"/>
    <n v="5700000"/>
    <x v="7"/>
    <n v="113.53019999999999"/>
    <x v="6"/>
    <n v="40"/>
    <n v="11"/>
    <s v="2014"/>
    <n v="2"/>
    <x v="0"/>
    <n v="29"/>
    <n v="2.6363636363636362"/>
  </r>
  <r>
    <s v="3209"/>
    <x v="3217"/>
    <n v="102600000"/>
    <x v="33"/>
    <n v="113.5176"/>
    <x v="7"/>
    <n v="595"/>
    <n v="287"/>
    <s v="1984"/>
    <n v="7"/>
    <x v="0"/>
    <n v="308"/>
    <n v="1.0731707317073171"/>
  </r>
  <r>
    <s v="3210"/>
    <x v="3218"/>
    <n v="5300000"/>
    <x v="0"/>
    <n v="113.4524"/>
    <x v="5"/>
    <n v="55"/>
    <n v="8"/>
    <s v="2006"/>
    <n v="1"/>
    <x v="0"/>
    <n v="47"/>
    <n v="5.875"/>
  </r>
  <r>
    <s v="3211"/>
    <x v="3219"/>
    <n v="33200000"/>
    <x v="2"/>
    <n v="113.36839999999999"/>
    <x v="21"/>
    <n v="20"/>
    <n v="10"/>
    <s v="1996"/>
    <n v="1"/>
    <x v="0"/>
    <n v="10"/>
    <n v="1"/>
  </r>
  <r>
    <s v="3212"/>
    <x v="3220"/>
    <n v="4300000"/>
    <x v="9"/>
    <n v="113.3402"/>
    <x v="12"/>
    <n v="29"/>
    <n v="15"/>
    <s v="2013"/>
    <n v="2"/>
    <x v="0"/>
    <n v="14"/>
    <n v="0.93333333333333335"/>
  </r>
  <r>
    <s v="3213"/>
    <x v="3221"/>
    <n v="7200000"/>
    <x v="2"/>
    <n v="113.3373"/>
    <x v="24"/>
    <n v="50"/>
    <n v="5"/>
    <s v="2009"/>
    <n v="3"/>
    <x v="0"/>
    <n v="45"/>
    <n v="9"/>
  </r>
  <r>
    <s v="3214"/>
    <x v="3222"/>
    <n v="383000000"/>
    <x v="21"/>
    <n v="113.3023"/>
    <x v="17"/>
    <n v="3003"/>
    <n v="1963"/>
    <s v="1996"/>
    <n v="1"/>
    <x v="0"/>
    <n v="1040"/>
    <n v="0.5298013245033113"/>
  </r>
  <r>
    <s v="3215"/>
    <x v="3223"/>
    <n v="9100000"/>
    <x v="2"/>
    <n v="113.2925"/>
    <x v="19"/>
    <n v="80"/>
    <n v="30"/>
    <s v="2008"/>
    <n v="5"/>
    <x v="0"/>
    <n v="50"/>
    <n v="1.6666666666666667"/>
  </r>
  <r>
    <s v="3216"/>
    <x v="3224"/>
    <n v="6500000"/>
    <x v="16"/>
    <n v="113.173"/>
    <x v="5"/>
    <n v="21"/>
    <n v="8"/>
    <s v="2014"/>
    <n v="2"/>
    <x v="0"/>
    <n v="13"/>
    <n v="1.625"/>
  </r>
  <r>
    <s v="3217"/>
    <x v="3225"/>
    <n v="9300000"/>
    <x v="2"/>
    <n v="113.0772"/>
    <x v="3"/>
    <n v="53"/>
    <n v="35"/>
    <s v="1983"/>
    <n v="2"/>
    <x v="0"/>
    <n v="18"/>
    <n v="0.51428571428571423"/>
  </r>
  <r>
    <s v="3218"/>
    <x v="3226"/>
    <n v="15000000"/>
    <x v="21"/>
    <n v="113.07559999999999"/>
    <x v="15"/>
    <n v="110"/>
    <n v="60"/>
    <s v="2009"/>
    <n v="3"/>
    <x v="0"/>
    <n v="50"/>
    <n v="0.83333333333333337"/>
  </r>
  <r>
    <s v="3219"/>
    <x v="3227"/>
    <n v="18800000"/>
    <x v="40"/>
    <n v="113.05710000000001"/>
    <x v="9"/>
    <n v="139"/>
    <n v="63"/>
    <s v="2004"/>
    <n v="6"/>
    <x v="0"/>
    <n v="76"/>
    <n v="1.2063492063492063"/>
  </r>
  <r>
    <s v="3220"/>
    <x v="3228"/>
    <n v="2300000"/>
    <x v="12"/>
    <n v="112.9924"/>
    <x v="15"/>
    <n v="20"/>
    <n v="8"/>
    <s v="1999"/>
    <n v="1"/>
    <x v="0"/>
    <n v="12"/>
    <n v="1.5"/>
  </r>
  <r>
    <s v="3221"/>
    <x v="3229"/>
    <n v="3600000"/>
    <x v="18"/>
    <n v="112.9151"/>
    <x v="0"/>
    <n v="17"/>
    <n v="3"/>
    <s v="2010"/>
    <n v="1"/>
    <x v="0"/>
    <n v="14"/>
    <n v="4.666666666666667"/>
  </r>
  <r>
    <s v="3222"/>
    <x v="3230"/>
    <n v="48600000"/>
    <x v="8"/>
    <n v="112.90730000000001"/>
    <x v="23"/>
    <n v="350"/>
    <n v="200"/>
    <s v="2004"/>
    <n v="5"/>
    <x v="0"/>
    <n v="150"/>
    <n v="0.75"/>
  </r>
  <r>
    <s v="3223"/>
    <x v="3231"/>
    <n v="24000000"/>
    <x v="9"/>
    <n v="112.88039999999999"/>
    <x v="4"/>
    <n v="322"/>
    <n v="185"/>
    <s v="2008"/>
    <n v="1"/>
    <x v="0"/>
    <n v="137"/>
    <n v="0.74054054054054053"/>
  </r>
  <r>
    <s v="3224"/>
    <x v="3232"/>
    <n v="2500000"/>
    <x v="12"/>
    <n v="112.8704"/>
    <x v="9"/>
    <n v="35"/>
    <n v="31"/>
    <s v="2012"/>
    <n v="1"/>
    <x v="0"/>
    <n v="4"/>
    <n v="0.12903225806451613"/>
  </r>
  <r>
    <s v="3225"/>
    <x v="3233"/>
    <n v="29500000"/>
    <x v="2"/>
    <n v="112.849"/>
    <x v="15"/>
    <n v="51"/>
    <n v="29"/>
    <s v="1999"/>
    <n v="3"/>
    <x v="0"/>
    <n v="22"/>
    <n v="0.75862068965517238"/>
  </r>
  <r>
    <s v="3226"/>
    <x v="3234"/>
    <n v="29000000"/>
    <x v="11"/>
    <n v="112.7735"/>
    <x v="23"/>
    <n v="183"/>
    <n v="79"/>
    <s v="2013"/>
    <n v="4"/>
    <x v="0"/>
    <n v="104"/>
    <n v="1.3164556962025316"/>
  </r>
  <r>
    <s v="3227"/>
    <x v="3235"/>
    <n v="41400000"/>
    <x v="24"/>
    <n v="112.6896"/>
    <x v="9"/>
    <n v="223"/>
    <n v="136"/>
    <s v="2004"/>
    <n v="8"/>
    <x v="0"/>
    <n v="87"/>
    <n v="0.63970588235294112"/>
  </r>
  <r>
    <s v="3228"/>
    <x v="3236"/>
    <n v="26700000"/>
    <x v="14"/>
    <n v="112.5778"/>
    <x v="7"/>
    <n v="149"/>
    <n v="82"/>
    <s v="1995"/>
    <n v="11"/>
    <x v="0"/>
    <n v="67"/>
    <n v="0.81707317073170727"/>
  </r>
  <r>
    <s v="3229"/>
    <x v="3237"/>
    <n v="209600000"/>
    <x v="15"/>
    <n v="112.5247"/>
    <x v="1"/>
    <n v="90"/>
    <n v="50"/>
    <s v="2000"/>
    <n v="4"/>
    <x v="0"/>
    <n v="40"/>
    <n v="0.8"/>
  </r>
  <r>
    <s v="3230"/>
    <x v="3238"/>
    <n v="23900000"/>
    <x v="6"/>
    <n v="112.4558"/>
    <x v="15"/>
    <n v="20"/>
    <n v="10"/>
    <s v="2003"/>
    <n v="2"/>
    <x v="0"/>
    <n v="10"/>
    <n v="1"/>
  </r>
  <r>
    <s v="3231"/>
    <x v="3239"/>
    <n v="9600000"/>
    <x v="2"/>
    <n v="112.4324"/>
    <x v="16"/>
    <n v="39"/>
    <n v="18"/>
    <s v="2007"/>
    <n v="1"/>
    <x v="0"/>
    <n v="21"/>
    <n v="1.1666666666666667"/>
  </r>
  <r>
    <s v="3232"/>
    <x v="3240"/>
    <n v="276700000"/>
    <x v="42"/>
    <n v="112.4089"/>
    <x v="7"/>
    <n v="1200"/>
    <n v="650"/>
    <s v="2000"/>
    <n v="9"/>
    <x v="0"/>
    <n v="550"/>
    <n v="0.84615384615384615"/>
  </r>
  <r>
    <s v="3233"/>
    <x v="3241"/>
    <n v="17800000"/>
    <x v="7"/>
    <n v="112.3571"/>
    <x v="5"/>
    <n v="227"/>
    <n v="101"/>
    <s v="1995"/>
    <n v="1"/>
    <x v="0"/>
    <n v="126"/>
    <n v="1.2475247524752475"/>
  </r>
  <r>
    <s v="3234"/>
    <x v="3242"/>
    <n v="9200000"/>
    <x v="19"/>
    <n v="112.2928"/>
    <x v="20"/>
    <n v="75"/>
    <n v="25"/>
    <s v="2015"/>
    <n v="1"/>
    <x v="0"/>
    <n v="50"/>
    <n v="2"/>
  </r>
  <r>
    <s v="3235"/>
    <x v="3243"/>
    <n v="29900000"/>
    <x v="9"/>
    <n v="112.26139999999999"/>
    <x v="9"/>
    <n v="89"/>
    <n v="26"/>
    <s v="2007"/>
    <n v="2"/>
    <x v="0"/>
    <n v="63"/>
    <n v="2.4230769230769229"/>
  </r>
  <r>
    <s v="3236"/>
    <x v="3244"/>
    <n v="6800000"/>
    <x v="9"/>
    <n v="112.194"/>
    <x v="5"/>
    <n v="74"/>
    <n v="16"/>
    <s v="2009"/>
    <n v="1"/>
    <x v="0"/>
    <n v="58"/>
    <n v="3.625"/>
  </r>
  <r>
    <s v="3237"/>
    <x v="3245"/>
    <n v="27600000"/>
    <x v="9"/>
    <n v="112.1897"/>
    <x v="13"/>
    <n v="100"/>
    <n v="50"/>
    <s v="2012"/>
    <n v="1"/>
    <x v="0"/>
    <n v="50"/>
    <n v="1"/>
  </r>
  <r>
    <s v="3238"/>
    <x v="3246"/>
    <n v="9000000"/>
    <x v="0"/>
    <n v="112.18640000000001"/>
    <x v="23"/>
    <n v="38"/>
    <n v="30"/>
    <s v="1997"/>
    <n v="2"/>
    <x v="0"/>
    <n v="8"/>
    <n v="0.26666666666666666"/>
  </r>
  <r>
    <s v="3239"/>
    <x v="3247"/>
    <n v="65900000"/>
    <x v="13"/>
    <n v="112.16160000000001"/>
    <x v="20"/>
    <n v="150"/>
    <n v="61"/>
    <s v="2012"/>
    <n v="3"/>
    <x v="0"/>
    <n v="89"/>
    <n v="1.459016393442623"/>
  </r>
  <r>
    <s v="3240"/>
    <x v="3248"/>
    <n v="25600000"/>
    <x v="9"/>
    <n v="112.1448"/>
    <x v="20"/>
    <n v="21"/>
    <n v="14"/>
    <s v="2007"/>
    <n v="9"/>
    <x v="0"/>
    <n v="7"/>
    <n v="0.5"/>
  </r>
  <r>
    <s v="3241"/>
    <x v="3249"/>
    <n v="9200000"/>
    <x v="9"/>
    <n v="112.10420000000001"/>
    <x v="12"/>
    <n v="209"/>
    <n v="58"/>
    <s v="2008"/>
    <n v="2"/>
    <x v="0"/>
    <n v="151"/>
    <n v="2.603448275862069"/>
  </r>
  <r>
    <s v="3242"/>
    <x v="3250"/>
    <n v="31600000"/>
    <x v="23"/>
    <n v="112.0966"/>
    <x v="25"/>
    <n v="162"/>
    <n v="99"/>
    <s v="1983"/>
    <n v="2"/>
    <x v="0"/>
    <n v="63"/>
    <n v="0.63636363636363635"/>
  </r>
  <r>
    <s v="3243"/>
    <x v="3251"/>
    <n v="9400000"/>
    <x v="43"/>
    <n v="112.011"/>
    <x v="0"/>
    <n v="86"/>
    <n v="30"/>
    <s v="1994"/>
    <n v="4"/>
    <x v="0"/>
    <n v="56"/>
    <n v="1.8666666666666667"/>
  </r>
  <r>
    <s v="3244"/>
    <x v="3252"/>
    <n v="6600000"/>
    <x v="7"/>
    <n v="111.9967"/>
    <x v="20"/>
    <n v="55"/>
    <n v="20"/>
    <s v="2011"/>
    <n v="3"/>
    <x v="0"/>
    <n v="35"/>
    <n v="1.75"/>
  </r>
  <r>
    <s v="3245"/>
    <x v="3253"/>
    <n v="2700000"/>
    <x v="9"/>
    <n v="111.9337"/>
    <x v="19"/>
    <n v="16"/>
    <n v="10"/>
    <s v="2007"/>
    <n v="2"/>
    <x v="0"/>
    <n v="6"/>
    <n v="0.6"/>
  </r>
  <r>
    <s v="3246"/>
    <x v="3254"/>
    <n v="14400000"/>
    <x v="18"/>
    <n v="111.9134"/>
    <x v="15"/>
    <n v="120"/>
    <n v="55"/>
    <s v="2007"/>
    <n v="3"/>
    <x v="0"/>
    <n v="65"/>
    <n v="1.1818181818181819"/>
  </r>
  <r>
    <s v="3247"/>
    <x v="3255"/>
    <n v="87000000"/>
    <x v="2"/>
    <n v="111.90009999999999"/>
    <x v="5"/>
    <n v="750"/>
    <n v="500"/>
    <s v="2008"/>
    <n v="4"/>
    <x v="0"/>
    <n v="250"/>
    <n v="0.5"/>
  </r>
  <r>
    <s v="3248"/>
    <x v="3256"/>
    <n v="10600000"/>
    <x v="27"/>
    <n v="111.8725"/>
    <x v="9"/>
    <n v="75"/>
    <n v="25"/>
    <s v="2006"/>
    <n v="6"/>
    <x v="0"/>
    <n v="50"/>
    <n v="2"/>
  </r>
  <r>
    <s v="3249"/>
    <x v="3257"/>
    <n v="3800000"/>
    <x v="43"/>
    <n v="111.75879999999999"/>
    <x v="15"/>
    <n v="40"/>
    <n v="20"/>
    <s v="2004"/>
    <n v="1"/>
    <x v="0"/>
    <n v="20"/>
    <n v="1"/>
  </r>
  <r>
    <s v="3250"/>
    <x v="3258"/>
    <n v="12600000"/>
    <x v="9"/>
    <n v="111.7286"/>
    <x v="20"/>
    <n v="93"/>
    <n v="34"/>
    <s v="2002"/>
    <n v="1"/>
    <x v="0"/>
    <n v="59"/>
    <n v="1.7352941176470589"/>
  </r>
  <r>
    <s v="3251"/>
    <x v="3259"/>
    <n v="3100000"/>
    <x v="10"/>
    <n v="111.7255"/>
    <x v="0"/>
    <n v="11"/>
    <n v="9"/>
    <s v="2011"/>
    <n v="1"/>
    <x v="0"/>
    <n v="2"/>
    <n v="0.22222222222222221"/>
  </r>
  <r>
    <s v="3252"/>
    <x v="3260"/>
    <n v="65500000"/>
    <x v="1"/>
    <n v="111.60599999999999"/>
    <x v="16"/>
    <n v="87"/>
    <n v="25"/>
    <s v="2009"/>
    <n v="3"/>
    <x v="0"/>
    <n v="62"/>
    <n v="2.48"/>
  </r>
  <r>
    <s v="3253"/>
    <x v="3261"/>
    <n v="11400000"/>
    <x v="2"/>
    <n v="111.6007"/>
    <x v="0"/>
    <n v="50"/>
    <n v="28"/>
    <s v="2012"/>
    <n v="4"/>
    <x v="0"/>
    <n v="22"/>
    <n v="0.7857142857142857"/>
  </r>
  <r>
    <s v="3254"/>
    <x v="3262"/>
    <n v="240800000"/>
    <x v="27"/>
    <n v="111.5009"/>
    <x v="23"/>
    <n v="400"/>
    <n v="186"/>
    <s v="1949"/>
    <n v="1"/>
    <x v="0"/>
    <n v="214"/>
    <n v="1.1505376344086022"/>
  </r>
  <r>
    <s v="3255"/>
    <x v="3263"/>
    <n v="66100000"/>
    <x v="15"/>
    <n v="111.3998"/>
    <x v="5"/>
    <n v="9"/>
    <n v="6"/>
    <s v="2006"/>
    <n v="2"/>
    <x v="0"/>
    <n v="3"/>
    <n v="0.5"/>
  </r>
  <r>
    <s v="3256"/>
    <x v="3264"/>
    <n v="3800000"/>
    <x v="12"/>
    <n v="111.34010000000001"/>
    <x v="23"/>
    <n v="45"/>
    <n v="20"/>
    <s v="2011"/>
    <n v="2"/>
    <x v="0"/>
    <n v="25"/>
    <n v="1.25"/>
  </r>
  <r>
    <s v="3257"/>
    <x v="3265"/>
    <n v="20100000"/>
    <x v="22"/>
    <n v="111.28100000000001"/>
    <x v="13"/>
    <n v="66"/>
    <n v="33"/>
    <s v="2002"/>
    <n v="6"/>
    <x v="0"/>
    <n v="33"/>
    <n v="1"/>
  </r>
  <r>
    <s v="3258"/>
    <x v="3266"/>
    <n v="7000000"/>
    <x v="2"/>
    <n v="111.1739"/>
    <x v="12"/>
    <n v="71"/>
    <n v="25"/>
    <s v="2010"/>
    <n v="1"/>
    <x v="0"/>
    <n v="46"/>
    <n v="1.84"/>
  </r>
  <r>
    <s v="3259"/>
    <x v="3267"/>
    <n v="6400000"/>
    <x v="24"/>
    <n v="111.14409999999999"/>
    <x v="20"/>
    <n v="58"/>
    <n v="25"/>
    <s v="2004"/>
    <n v="6"/>
    <x v="0"/>
    <n v="33"/>
    <n v="1.32"/>
  </r>
  <r>
    <s v="3260"/>
    <x v="3268"/>
    <n v="990600000"/>
    <x v="27"/>
    <n v="111.14100000000001"/>
    <x v="18"/>
    <n v="4112"/>
    <n v="2136"/>
    <s v="2001"/>
    <n v="3"/>
    <x v="0"/>
    <n v="1976"/>
    <n v="0.92509363295880154"/>
  </r>
  <r>
    <s v="3261"/>
    <x v="3269"/>
    <n v="3400000"/>
    <x v="19"/>
    <n v="111.0335"/>
    <x v="0"/>
    <n v="34"/>
    <n v="17"/>
    <s v="2002"/>
    <n v="2"/>
    <x v="0"/>
    <n v="17"/>
    <n v="1"/>
  </r>
  <r>
    <s v="3262"/>
    <x v="3270"/>
    <n v="30600000"/>
    <x v="4"/>
    <n v="111.026"/>
    <x v="0"/>
    <n v="100"/>
    <n v="44"/>
    <s v="2008"/>
    <n v="8"/>
    <x v="0"/>
    <n v="56"/>
    <n v="1.2727272727272727"/>
  </r>
  <r>
    <s v="3263"/>
    <x v="3271"/>
    <n v="5200000"/>
    <x v="9"/>
    <n v="110.9888"/>
    <x v="13"/>
    <n v="16"/>
    <n v="9"/>
    <s v="2000"/>
    <n v="5"/>
    <x v="0"/>
    <n v="7"/>
    <n v="0.77777777777777779"/>
  </r>
  <r>
    <s v="3264"/>
    <x v="3272"/>
    <n v="14400000"/>
    <x v="16"/>
    <n v="110.9881"/>
    <x v="22"/>
    <n v="31"/>
    <n v="21"/>
    <s v="1990"/>
    <n v="4"/>
    <x v="0"/>
    <n v="10"/>
    <n v="0.47619047619047616"/>
  </r>
  <r>
    <s v="3265"/>
    <x v="3273"/>
    <n v="219600000"/>
    <x v="13"/>
    <n v="110.9224"/>
    <x v="20"/>
    <n v="258"/>
    <n v="131"/>
    <s v="2001"/>
    <n v="9"/>
    <x v="0"/>
    <n v="127"/>
    <n v="0.96946564885496178"/>
  </r>
  <r>
    <s v="3266"/>
    <x v="3274"/>
    <n v="178700000"/>
    <x v="6"/>
    <n v="110.8883"/>
    <x v="9"/>
    <n v="800"/>
    <n v="535"/>
    <s v="2000"/>
    <n v="13"/>
    <x v="0"/>
    <n v="265"/>
    <n v="0.49532710280373832"/>
  </r>
  <r>
    <s v="3267"/>
    <x v="3275"/>
    <n v="2300000"/>
    <x v="7"/>
    <n v="110.86799999999999"/>
    <x v="5"/>
    <n v="14"/>
    <n v="9"/>
    <s v="2006"/>
    <n v="1"/>
    <x v="0"/>
    <n v="5"/>
    <n v="0.55555555555555558"/>
  </r>
  <r>
    <s v="3268"/>
    <x v="3276"/>
    <n v="6800000"/>
    <x v="19"/>
    <n v="110.8365"/>
    <x v="9"/>
    <n v="39"/>
    <n v="32"/>
    <s v="2005"/>
    <n v="5"/>
    <x v="0"/>
    <n v="7"/>
    <n v="0.21875"/>
  </r>
  <r>
    <s v="3269"/>
    <x v="3277"/>
    <n v="6400000"/>
    <x v="0"/>
    <n v="110.7257"/>
    <x v="5"/>
    <n v="113"/>
    <n v="50"/>
    <s v="2001"/>
    <n v="3"/>
    <x v="0"/>
    <n v="63"/>
    <n v="1.26"/>
  </r>
  <r>
    <s v="3270"/>
    <x v="3278"/>
    <n v="1500000000"/>
    <x v="18"/>
    <n v="110.70959999999999"/>
    <x v="4"/>
    <n v="5000"/>
    <n v="4500"/>
    <s v="1996"/>
    <n v="9"/>
    <x v="0"/>
    <n v="500"/>
    <n v="0.1111111111111111"/>
  </r>
  <r>
    <s v="3271"/>
    <x v="3279"/>
    <n v="233200000"/>
    <x v="24"/>
    <n v="110.6665"/>
    <x v="24"/>
    <n v="917"/>
    <n v="514"/>
    <s v="1969"/>
    <n v="5"/>
    <x v="0"/>
    <n v="403"/>
    <n v="0.78404669260700388"/>
  </r>
  <r>
    <s v="3272"/>
    <x v="3280"/>
    <n v="44800000"/>
    <x v="12"/>
    <n v="110.6289"/>
    <x v="0"/>
    <n v="220"/>
    <n v="160"/>
    <s v="2008"/>
    <n v="7"/>
    <x v="0"/>
    <n v="60"/>
    <n v="0.375"/>
  </r>
  <r>
    <s v="3273"/>
    <x v="3281"/>
    <n v="50300000"/>
    <x v="12"/>
    <n v="110.55159999999999"/>
    <x v="0"/>
    <n v="161"/>
    <n v="93"/>
    <s v="1991"/>
    <n v="10"/>
    <x v="0"/>
    <n v="68"/>
    <n v="0.73118279569892475"/>
  </r>
  <r>
    <s v="3274"/>
    <x v="3282"/>
    <n v="15600000"/>
    <x v="27"/>
    <n v="110.5449"/>
    <x v="0"/>
    <n v="114"/>
    <n v="61"/>
    <s v="2001"/>
    <n v="7"/>
    <x v="0"/>
    <n v="53"/>
    <n v="0.86885245901639341"/>
  </r>
  <r>
    <s v="3275"/>
    <x v="3283"/>
    <n v="11700000"/>
    <x v="24"/>
    <n v="110.4584"/>
    <x v="21"/>
    <n v="47"/>
    <n v="29"/>
    <s v="1980"/>
    <n v="5"/>
    <x v="0"/>
    <n v="18"/>
    <n v="0.62068965517241381"/>
  </r>
  <r>
    <s v="3276"/>
    <x v="3284"/>
    <n v="12300000"/>
    <x v="12"/>
    <n v="110.4096"/>
    <x v="9"/>
    <n v="67"/>
    <n v="40"/>
    <s v="2009"/>
    <n v="6"/>
    <x v="0"/>
    <n v="27"/>
    <n v="0.67500000000000004"/>
  </r>
  <r>
    <s v="3277"/>
    <x v="3285"/>
    <n v="6400000"/>
    <x v="8"/>
    <n v="110.29559999999999"/>
    <x v="17"/>
    <n v="131"/>
    <n v="77"/>
    <s v="1999"/>
    <n v="1"/>
    <x v="0"/>
    <n v="54"/>
    <n v="0.70129870129870131"/>
  </r>
  <r>
    <s v="3278"/>
    <x v="3286"/>
    <n v="15600000"/>
    <x v="34"/>
    <n v="110.2749"/>
    <x v="19"/>
    <n v="158"/>
    <n v="28"/>
    <s v="2008"/>
    <n v="1"/>
    <x v="0"/>
    <n v="130"/>
    <n v="4.6428571428571432"/>
  </r>
  <r>
    <s v="3279"/>
    <x v="3287"/>
    <n v="17700000"/>
    <x v="7"/>
    <n v="110.1746"/>
    <x v="20"/>
    <n v="99"/>
    <n v="52"/>
    <s v="2002"/>
    <n v="10"/>
    <x v="0"/>
    <n v="47"/>
    <n v="0.90384615384615385"/>
  </r>
  <r>
    <s v="3280"/>
    <x v="3288"/>
    <n v="8800000"/>
    <x v="2"/>
    <n v="110.13249999999999"/>
    <x v="23"/>
    <n v="22"/>
    <n v="10"/>
    <s v="2012"/>
    <n v="2"/>
    <x v="0"/>
    <n v="12"/>
    <n v="1.2"/>
  </r>
  <r>
    <s v="3281"/>
    <x v="3289"/>
    <n v="16700000"/>
    <x v="2"/>
    <n v="110.0878"/>
    <x v="19"/>
    <n v="11"/>
    <n v="7"/>
    <s v="2010"/>
    <n v="5"/>
    <x v="0"/>
    <n v="4"/>
    <n v="0.5714285714285714"/>
  </r>
  <r>
    <s v="3282"/>
    <x v="3290"/>
    <n v="43100000"/>
    <x v="12"/>
    <n v="110.0844"/>
    <x v="23"/>
    <n v="240"/>
    <n v="225"/>
    <s v="2009"/>
    <n v="2"/>
    <x v="0"/>
    <n v="15"/>
    <n v="6.6666666666666666E-2"/>
  </r>
  <r>
    <s v="3283"/>
    <x v="3291"/>
    <n v="7800000"/>
    <x v="16"/>
    <n v="110.027"/>
    <x v="4"/>
    <n v="12"/>
    <n v="6"/>
    <s v="2009"/>
    <n v="3"/>
    <x v="0"/>
    <n v="6"/>
    <n v="1"/>
  </r>
  <r>
    <s v="3284"/>
    <x v="3292"/>
    <n v="69500000"/>
    <x v="12"/>
    <n v="110.0264"/>
    <x v="7"/>
    <n v="400"/>
    <n v="240"/>
    <s v="2005"/>
    <n v="1"/>
    <x v="0"/>
    <n v="160"/>
    <n v="0.66666666666666663"/>
  </r>
  <r>
    <s v="3285"/>
    <x v="3293"/>
    <n v="3000000"/>
    <x v="5"/>
    <n v="109.9464"/>
    <x v="2"/>
    <n v="4"/>
    <n v="1"/>
    <s v="2012"/>
    <n v="2"/>
    <x v="0"/>
    <n v="3"/>
    <n v="3"/>
  </r>
  <r>
    <s v="3286"/>
    <x v="3294"/>
    <n v="6900000"/>
    <x v="7"/>
    <n v="109.9004"/>
    <x v="16"/>
    <n v="42"/>
    <n v="27"/>
    <s v="1999"/>
    <n v="3"/>
    <x v="0"/>
    <n v="15"/>
    <n v="0.55555555555555558"/>
  </r>
  <r>
    <s v="3287"/>
    <x v="3295"/>
    <n v="21100000"/>
    <x v="0"/>
    <n v="109.86190000000001"/>
    <x v="23"/>
    <n v="112"/>
    <n v="29"/>
    <s v="1997"/>
    <n v="4"/>
    <x v="0"/>
    <n v="83"/>
    <n v="2.8620689655172415"/>
  </r>
  <r>
    <s v="3288"/>
    <x v="3296"/>
    <n v="43200000"/>
    <x v="2"/>
    <n v="109.83629999999999"/>
    <x v="12"/>
    <n v="43"/>
    <n v="22"/>
    <s v="1996"/>
    <n v="5"/>
    <x v="0"/>
    <n v="21"/>
    <n v="0.95454545454545459"/>
  </r>
  <r>
    <s v="3289"/>
    <x v="3297"/>
    <n v="2000000"/>
    <x v="9"/>
    <n v="109.8185"/>
    <x v="23"/>
    <n v="3"/>
    <n v="1"/>
    <s v="2012"/>
    <n v="1"/>
    <x v="0"/>
    <n v="2"/>
    <n v="2"/>
  </r>
  <r>
    <s v="3290"/>
    <x v="3298"/>
    <n v="18300000"/>
    <x v="24"/>
    <n v="109.8082"/>
    <x v="9"/>
    <n v="82"/>
    <n v="57"/>
    <s v="2000"/>
    <n v="1"/>
    <x v="0"/>
    <n v="25"/>
    <n v="0.43859649122807015"/>
  </r>
  <r>
    <s v="3291"/>
    <x v="3299"/>
    <n v="7800000"/>
    <x v="13"/>
    <n v="109.79519999999999"/>
    <x v="19"/>
    <n v="72"/>
    <n v="32"/>
    <s v="2009"/>
    <n v="5"/>
    <x v="0"/>
    <n v="40"/>
    <n v="1.25"/>
  </r>
  <r>
    <s v="3292"/>
    <x v="3300"/>
    <n v="32100000"/>
    <x v="9"/>
    <n v="109.717"/>
    <x v="8"/>
    <n v="37"/>
    <n v="26"/>
    <s v="2014"/>
    <n v="1"/>
    <x v="0"/>
    <n v="11"/>
    <n v="0.42307692307692307"/>
  </r>
  <r>
    <s v="3293"/>
    <x v="3301"/>
    <n v="4300000"/>
    <x v="9"/>
    <n v="109.65900000000001"/>
    <x v="10"/>
    <n v="19"/>
    <n v="10"/>
    <s v="2013"/>
    <n v="2"/>
    <x v="0"/>
    <n v="9"/>
    <n v="0.9"/>
  </r>
  <r>
    <s v="3294"/>
    <x v="3302"/>
    <n v="2000000"/>
    <x v="33"/>
    <n v="109.62909999999999"/>
    <x v="9"/>
    <n v="12"/>
    <n v="21"/>
    <s v="2013"/>
    <n v="1"/>
    <x v="1"/>
    <n v="-9"/>
    <n v="-0.42857142857142855"/>
  </r>
  <r>
    <s v="3295"/>
    <x v="3303"/>
    <n v="29800000"/>
    <x v="8"/>
    <n v="109.6134"/>
    <x v="9"/>
    <n v="100"/>
    <n v="53"/>
    <s v="1997"/>
    <n v="5"/>
    <x v="0"/>
    <n v="47"/>
    <n v="0.8867924528301887"/>
  </r>
  <r>
    <s v="3296"/>
    <x v="3304"/>
    <n v="3100000"/>
    <x v="2"/>
    <n v="109.6049"/>
    <x v="5"/>
    <n v="91"/>
    <n v="40"/>
    <s v="2012"/>
    <n v="1"/>
    <x v="0"/>
    <n v="51"/>
    <n v="1.2749999999999999"/>
  </r>
  <r>
    <s v="3297"/>
    <x v="3305"/>
    <n v="29300000"/>
    <x v="12"/>
    <n v="109.4765"/>
    <x v="9"/>
    <n v="180"/>
    <n v="125"/>
    <s v="2008"/>
    <n v="1"/>
    <x v="0"/>
    <n v="55"/>
    <n v="0.44"/>
  </r>
  <r>
    <s v="3298"/>
    <x v="3306"/>
    <n v="31100000"/>
    <x v="4"/>
    <n v="109.46210000000001"/>
    <x v="9"/>
    <n v="150"/>
    <n v="86"/>
    <s v="2008"/>
    <n v="7"/>
    <x v="0"/>
    <n v="64"/>
    <n v="0.7441860465116279"/>
  </r>
  <r>
    <s v="3299"/>
    <x v="3307"/>
    <n v="7400000"/>
    <x v="43"/>
    <n v="109.4495"/>
    <x v="13"/>
    <n v="42"/>
    <n v="9"/>
    <s v="2014"/>
    <n v="1"/>
    <x v="0"/>
    <n v="33"/>
    <n v="3.6666666666666665"/>
  </r>
  <r>
    <s v="3300"/>
    <x v="3308"/>
    <n v="80500000"/>
    <x v="12"/>
    <n v="109.4212"/>
    <x v="5"/>
    <n v="901"/>
    <n v="249"/>
    <s v="2005"/>
    <n v="9"/>
    <x v="0"/>
    <n v="652"/>
    <n v="2.6184738955823295"/>
  </r>
  <r>
    <s v="3301"/>
    <x v="3309"/>
    <n v="5400000"/>
    <x v="4"/>
    <n v="109.3678"/>
    <x v="9"/>
    <n v="50"/>
    <n v="43"/>
    <s v="2012"/>
    <n v="2"/>
    <x v="0"/>
    <n v="7"/>
    <n v="0.16279069767441862"/>
  </r>
  <r>
    <s v="3302"/>
    <x v="3310"/>
    <n v="2200000"/>
    <x v="22"/>
    <n v="109.30589999999999"/>
    <x v="13"/>
    <n v="27"/>
    <n v="15"/>
    <s v="2002"/>
    <n v="1"/>
    <x v="0"/>
    <n v="12"/>
    <n v="0.8"/>
  </r>
  <r>
    <s v="3303"/>
    <x v="3311"/>
    <n v="12200000"/>
    <x v="27"/>
    <n v="109.2829"/>
    <x v="7"/>
    <n v="41"/>
    <n v="20"/>
    <s v="2012"/>
    <n v="2"/>
    <x v="0"/>
    <n v="21"/>
    <n v="1.05"/>
  </r>
  <r>
    <s v="3304"/>
    <x v="3312"/>
    <n v="14600000"/>
    <x v="27"/>
    <n v="109.25839999999999"/>
    <x v="1"/>
    <n v="12"/>
    <n v="3"/>
    <s v="2013"/>
    <n v="1"/>
    <x v="0"/>
    <n v="9"/>
    <n v="3"/>
  </r>
  <r>
    <s v="3305"/>
    <x v="3313"/>
    <n v="7100000"/>
    <x v="7"/>
    <n v="109.2418"/>
    <x v="16"/>
    <n v="34"/>
    <n v="18"/>
    <s v="2007"/>
    <n v="1"/>
    <x v="0"/>
    <n v="16"/>
    <n v="0.88888888888888884"/>
  </r>
  <r>
    <s v="3306"/>
    <x v="3314"/>
    <n v="7500000"/>
    <x v="2"/>
    <n v="109.1781"/>
    <x v="9"/>
    <n v="30"/>
    <n v="19"/>
    <s v="2011"/>
    <n v="3"/>
    <x v="0"/>
    <n v="11"/>
    <n v="0.57894736842105265"/>
  </r>
  <r>
    <s v="3307"/>
    <x v="3315"/>
    <n v="37900000"/>
    <x v="9"/>
    <n v="108.9532"/>
    <x v="19"/>
    <n v="82"/>
    <n v="28"/>
    <s v="2003"/>
    <n v="6"/>
    <x v="0"/>
    <n v="54"/>
    <n v="1.9285714285714286"/>
  </r>
  <r>
    <s v="3308"/>
    <x v="3316"/>
    <n v="70300000"/>
    <x v="5"/>
    <n v="108.858"/>
    <x v="3"/>
    <n v="35"/>
    <n v="9"/>
    <s v="2008"/>
    <n v="3"/>
    <x v="0"/>
    <n v="26"/>
    <n v="2.8888888888888888"/>
  </r>
  <r>
    <s v="3309"/>
    <x v="3317"/>
    <n v="6300000"/>
    <x v="2"/>
    <n v="108.79810000000001"/>
    <x v="0"/>
    <n v="20"/>
    <n v="7"/>
    <s v="2006"/>
    <n v="4"/>
    <x v="0"/>
    <n v="13"/>
    <n v="1.8571428571428572"/>
  </r>
  <r>
    <s v="3310"/>
    <x v="3318"/>
    <n v="7300000"/>
    <x v="9"/>
    <n v="108.7174"/>
    <x v="9"/>
    <n v="62"/>
    <n v="26"/>
    <s v="2010"/>
    <n v="4"/>
    <x v="0"/>
    <n v="36"/>
    <n v="1.3846153846153846"/>
  </r>
  <r>
    <s v="3311"/>
    <x v="3319"/>
    <n v="16300000"/>
    <x v="37"/>
    <n v="108.6943"/>
    <x v="15"/>
    <n v="23"/>
    <n v="16"/>
    <s v="2009"/>
    <n v="1"/>
    <x v="0"/>
    <n v="7"/>
    <n v="0.4375"/>
  </r>
  <r>
    <s v="3312"/>
    <x v="3320"/>
    <n v="12500000"/>
    <x v="26"/>
    <n v="108.6371"/>
    <x v="23"/>
    <n v="34"/>
    <n v="12"/>
    <s v="1998"/>
    <n v="6"/>
    <x v="0"/>
    <n v="22"/>
    <n v="1.8333333333333333"/>
  </r>
  <r>
    <s v="3313"/>
    <x v="3321"/>
    <n v="23000000"/>
    <x v="24"/>
    <n v="108.63079999999999"/>
    <x v="5"/>
    <n v="115"/>
    <n v="55"/>
    <s v="2011"/>
    <n v="5"/>
    <x v="0"/>
    <n v="60"/>
    <n v="1.0909090909090908"/>
  </r>
  <r>
    <s v="3314"/>
    <x v="3322"/>
    <n v="11700000"/>
    <x v="5"/>
    <n v="108.6153"/>
    <x v="3"/>
    <n v="50"/>
    <n v="40"/>
    <s v="1992"/>
    <n v="3"/>
    <x v="0"/>
    <n v="10"/>
    <n v="0.25"/>
  </r>
  <r>
    <s v="3315"/>
    <x v="3323"/>
    <n v="53600000"/>
    <x v="24"/>
    <n v="108.6036"/>
    <x v="19"/>
    <n v="97"/>
    <n v="33"/>
    <s v="2011"/>
    <n v="4"/>
    <x v="0"/>
    <n v="64"/>
    <n v="1.9393939393939394"/>
  </r>
  <r>
    <s v="3316"/>
    <x v="3324"/>
    <n v="15000000"/>
    <x v="29"/>
    <n v="108.5993"/>
    <x v="24"/>
    <n v="64"/>
    <n v="44"/>
    <s v="2006"/>
    <n v="4"/>
    <x v="0"/>
    <n v="20"/>
    <n v="0.45454545454545453"/>
  </r>
  <r>
    <s v="3317"/>
    <x v="3325"/>
    <n v="20300000"/>
    <x v="37"/>
    <n v="108.41840000000001"/>
    <x v="13"/>
    <n v="66"/>
    <n v="47"/>
    <s v="1990"/>
    <n v="1"/>
    <x v="0"/>
    <n v="19"/>
    <n v="0.40425531914893614"/>
  </r>
  <r>
    <s v="3318"/>
    <x v="3326"/>
    <n v="81200000"/>
    <x v="4"/>
    <n v="108.4007"/>
    <x v="5"/>
    <n v="1080"/>
    <n v="450"/>
    <s v="2013"/>
    <n v="5"/>
    <x v="0"/>
    <n v="630"/>
    <n v="1.4"/>
  </r>
  <r>
    <s v="3319"/>
    <x v="3327"/>
    <n v="54600000"/>
    <x v="13"/>
    <n v="108.20269999999999"/>
    <x v="3"/>
    <n v="401"/>
    <n v="260"/>
    <s v="2002"/>
    <n v="8"/>
    <x v="0"/>
    <n v="141"/>
    <n v="0.54230769230769227"/>
  </r>
  <r>
    <s v="3320"/>
    <x v="3328"/>
    <n v="9600000"/>
    <x v="5"/>
    <n v="108.2013"/>
    <x v="0"/>
    <n v="25"/>
    <n v="14"/>
    <s v="2009"/>
    <n v="3"/>
    <x v="0"/>
    <n v="11"/>
    <n v="0.7857142857142857"/>
  </r>
  <r>
    <s v="3321"/>
    <x v="3329"/>
    <n v="13500000"/>
    <x v="6"/>
    <n v="108.1803"/>
    <x v="12"/>
    <n v="18"/>
    <n v="9"/>
    <s v="2010"/>
    <n v="2"/>
    <x v="0"/>
    <n v="9"/>
    <n v="1"/>
  </r>
  <r>
    <s v="3322"/>
    <x v="3330"/>
    <n v="8600000"/>
    <x v="21"/>
    <n v="107.992"/>
    <x v="5"/>
    <n v="100"/>
    <n v="42"/>
    <s v="2013"/>
    <n v="2"/>
    <x v="0"/>
    <n v="58"/>
    <n v="1.3809523809523809"/>
  </r>
  <r>
    <s v="3323"/>
    <x v="3331"/>
    <n v="12000000"/>
    <x v="23"/>
    <n v="107.9585"/>
    <x v="5"/>
    <n v="81"/>
    <n v="47"/>
    <s v="2005"/>
    <n v="2"/>
    <x v="0"/>
    <n v="34"/>
    <n v="0.72340425531914898"/>
  </r>
  <r>
    <s v="3324"/>
    <x v="3332"/>
    <n v="2100000"/>
    <x v="2"/>
    <n v="107.941"/>
    <x v="22"/>
    <n v="24"/>
    <n v="15"/>
    <s v="2008"/>
    <n v="1"/>
    <x v="0"/>
    <n v="9"/>
    <n v="0.6"/>
  </r>
  <r>
    <s v="3325"/>
    <x v="3333"/>
    <n v="2700000"/>
    <x v="9"/>
    <n v="107.89790000000001"/>
    <x v="9"/>
    <n v="12"/>
    <n v="10"/>
    <s v="2012"/>
    <n v="2"/>
    <x v="0"/>
    <n v="2"/>
    <n v="0.2"/>
  </r>
  <r>
    <s v="3326"/>
    <x v="3334"/>
    <n v="58400000"/>
    <x v="38"/>
    <n v="107.76139999999999"/>
    <x v="11"/>
    <n v="281"/>
    <n v="211"/>
    <s v="1992"/>
    <n v="5"/>
    <x v="0"/>
    <n v="70"/>
    <n v="0.33175355450236965"/>
  </r>
  <r>
    <s v="3327"/>
    <x v="3335"/>
    <n v="49300000"/>
    <x v="10"/>
    <n v="107.6841"/>
    <x v="15"/>
    <n v="69"/>
    <n v="32"/>
    <s v="2003"/>
    <n v="2"/>
    <x v="0"/>
    <n v="37"/>
    <n v="1.15625"/>
  </r>
  <r>
    <s v="3328"/>
    <x v="3336"/>
    <n v="7200000"/>
    <x v="9"/>
    <n v="107.6502"/>
    <x v="19"/>
    <n v="545"/>
    <n v="297"/>
    <s v="2005"/>
    <n v="3"/>
    <x v="0"/>
    <n v="248"/>
    <n v="0.83501683501683499"/>
  </r>
  <r>
    <s v="3329"/>
    <x v="3337"/>
    <n v="22400000"/>
    <x v="27"/>
    <n v="107.6126"/>
    <x v="25"/>
    <n v="170"/>
    <n v="100"/>
    <s v="1981"/>
    <n v="6"/>
    <x v="0"/>
    <n v="70"/>
    <n v="0.7"/>
  </r>
  <r>
    <s v="3330"/>
    <x v="3338"/>
    <n v="26900000"/>
    <x v="45"/>
    <n v="107.5981"/>
    <x v="6"/>
    <n v="100"/>
    <n v="50"/>
    <s v="1989"/>
    <n v="1"/>
    <x v="0"/>
    <n v="50"/>
    <n v="1"/>
  </r>
  <r>
    <s v="3331"/>
    <x v="3339"/>
    <n v="132100000"/>
    <x v="2"/>
    <n v="107.5904"/>
    <x v="21"/>
    <n v="403"/>
    <n v="86"/>
    <s v="2007"/>
    <n v="9"/>
    <x v="0"/>
    <n v="317"/>
    <n v="3.6860465116279069"/>
  </r>
  <r>
    <s v="3332"/>
    <x v="3340"/>
    <n v="98900000"/>
    <x v="24"/>
    <n v="107.5645"/>
    <x v="23"/>
    <n v="400"/>
    <n v="300"/>
    <s v="2004"/>
    <n v="2"/>
    <x v="0"/>
    <n v="100"/>
    <n v="0.33333333333333331"/>
  </r>
  <r>
    <s v="3333"/>
    <x v="3341"/>
    <n v="3000000"/>
    <x v="13"/>
    <n v="107.54819999999999"/>
    <x v="5"/>
    <n v="30"/>
    <n v="20"/>
    <s v="2005"/>
    <n v="2"/>
    <x v="0"/>
    <n v="10"/>
    <n v="0.5"/>
  </r>
  <r>
    <s v="3334"/>
    <x v="3342"/>
    <n v="17100000"/>
    <x v="10"/>
    <n v="107.4033"/>
    <x v="13"/>
    <n v="63"/>
    <n v="31"/>
    <s v="2000"/>
    <n v="2"/>
    <x v="0"/>
    <n v="32"/>
    <n v="1.032258064516129"/>
  </r>
  <r>
    <s v="3335"/>
    <x v="3343"/>
    <n v="5900000"/>
    <x v="10"/>
    <n v="107.3937"/>
    <x v="9"/>
    <n v="10"/>
    <n v="5"/>
    <s v="2004"/>
    <n v="1"/>
    <x v="0"/>
    <n v="5"/>
    <n v="1"/>
  </r>
  <r>
    <s v="3336"/>
    <x v="3344"/>
    <n v="29300000"/>
    <x v="18"/>
    <n v="107.3775"/>
    <x v="12"/>
    <n v="150"/>
    <n v="70"/>
    <s v="2007"/>
    <n v="4"/>
    <x v="0"/>
    <n v="80"/>
    <n v="1.1428571428571428"/>
  </r>
  <r>
    <s v="3337"/>
    <x v="3345"/>
    <n v="18800000"/>
    <x v="37"/>
    <n v="107.3476"/>
    <x v="17"/>
    <n v="33"/>
    <n v="14"/>
    <s v="2000"/>
    <n v="9"/>
    <x v="0"/>
    <n v="19"/>
    <n v="1.3571428571428572"/>
  </r>
  <r>
    <s v="3338"/>
    <x v="3346"/>
    <n v="72800000"/>
    <x v="7"/>
    <n v="107.3082"/>
    <x v="16"/>
    <n v="836"/>
    <n v="411"/>
    <s v="2004"/>
    <n v="9"/>
    <x v="0"/>
    <n v="425"/>
    <n v="1.0340632603406326"/>
  </r>
  <r>
    <s v="3339"/>
    <x v="3347"/>
    <n v="5000000"/>
    <x v="12"/>
    <n v="107.2731"/>
    <x v="7"/>
    <n v="55"/>
    <n v="25"/>
    <s v="2014"/>
    <n v="2"/>
    <x v="0"/>
    <n v="30"/>
    <n v="1.2"/>
  </r>
  <r>
    <s v="3340"/>
    <x v="3348"/>
    <n v="44800000"/>
    <x v="42"/>
    <n v="107.2637"/>
    <x v="1"/>
    <n v="305"/>
    <n v="165"/>
    <s v="1979"/>
    <n v="1"/>
    <x v="0"/>
    <n v="140"/>
    <n v="0.84848484848484851"/>
  </r>
  <r>
    <s v="3341"/>
    <x v="3349"/>
    <n v="12900000"/>
    <x v="16"/>
    <n v="107.2599"/>
    <x v="0"/>
    <n v="152"/>
    <n v="87"/>
    <s v="2008"/>
    <n v="5"/>
    <x v="0"/>
    <n v="65"/>
    <n v="0.74712643678160917"/>
  </r>
  <r>
    <s v="3342"/>
    <x v="3350"/>
    <n v="54300000"/>
    <x v="5"/>
    <n v="107.2561"/>
    <x v="9"/>
    <n v="35"/>
    <n v="15"/>
    <s v="2014"/>
    <n v="1"/>
    <x v="0"/>
    <n v="20"/>
    <n v="1.3333333333333333"/>
  </r>
  <r>
    <s v="3343"/>
    <x v="3351"/>
    <n v="30200000"/>
    <x v="24"/>
    <n v="107.2115"/>
    <x v="3"/>
    <n v="140"/>
    <n v="80"/>
    <s v="1978"/>
    <n v="2"/>
    <x v="0"/>
    <n v="60"/>
    <n v="0.75"/>
  </r>
  <r>
    <s v="3344"/>
    <x v="3352"/>
    <n v="6600000"/>
    <x v="7"/>
    <n v="107.0859"/>
    <x v="0"/>
    <n v="17"/>
    <n v="7"/>
    <s v="2009"/>
    <n v="4"/>
    <x v="0"/>
    <n v="10"/>
    <n v="1.4285714285714286"/>
  </r>
  <r>
    <s v="3345"/>
    <x v="3353"/>
    <n v="92500000"/>
    <x v="10"/>
    <n v="107.0616"/>
    <x v="7"/>
    <n v="386"/>
    <n v="161"/>
    <s v="1985"/>
    <n v="2"/>
    <x v="0"/>
    <n v="225"/>
    <n v="1.3975155279503106"/>
  </r>
  <r>
    <s v="3346"/>
    <x v="3354"/>
    <n v="2800000"/>
    <x v="12"/>
    <n v="107.0517"/>
    <x v="17"/>
    <n v="50"/>
    <n v="12"/>
    <s v="2013"/>
    <n v="2"/>
    <x v="0"/>
    <n v="38"/>
    <n v="3.1666666666666665"/>
  </r>
  <r>
    <s v="3347"/>
    <x v="3355"/>
    <n v="6500000"/>
    <x v="2"/>
    <n v="106.94289999999999"/>
    <x v="23"/>
    <n v="42"/>
    <n v="20"/>
    <s v="2014"/>
    <n v="2"/>
    <x v="0"/>
    <n v="22"/>
    <n v="1.1000000000000001"/>
  </r>
  <r>
    <s v="3348"/>
    <x v="3356"/>
    <n v="57500000"/>
    <x v="13"/>
    <n v="106.9379"/>
    <x v="5"/>
    <n v="73"/>
    <n v="28"/>
    <s v="2003"/>
    <n v="11"/>
    <x v="0"/>
    <n v="45"/>
    <n v="1.6071428571428572"/>
  </r>
  <r>
    <s v="3349"/>
    <x v="3357"/>
    <n v="5200000"/>
    <x v="32"/>
    <n v="106.9165"/>
    <x v="12"/>
    <n v="18"/>
    <n v="7"/>
    <s v="2011"/>
    <n v="2"/>
    <x v="0"/>
    <n v="11"/>
    <n v="1.5714285714285714"/>
  </r>
  <r>
    <s v="3350"/>
    <x v="3358"/>
    <n v="14200000"/>
    <x v="7"/>
    <n v="106.8857"/>
    <x v="11"/>
    <n v="75"/>
    <n v="37"/>
    <s v="1990"/>
    <n v="5"/>
    <x v="0"/>
    <n v="38"/>
    <n v="1.027027027027027"/>
  </r>
  <r>
    <s v="3351"/>
    <x v="3359"/>
    <n v="51100000"/>
    <x v="9"/>
    <n v="106.8083"/>
    <x v="10"/>
    <n v="62"/>
    <n v="30"/>
    <s v="1986"/>
    <n v="1"/>
    <x v="0"/>
    <n v="32"/>
    <n v="1.0666666666666667"/>
  </r>
  <r>
    <s v="3352"/>
    <x v="3360"/>
    <n v="6100000"/>
    <x v="11"/>
    <n v="106.7961"/>
    <x v="19"/>
    <n v="35"/>
    <n v="15"/>
    <s v="2010"/>
    <n v="3"/>
    <x v="0"/>
    <n v="20"/>
    <n v="1.3333333333333333"/>
  </r>
  <r>
    <s v="3353"/>
    <x v="3361"/>
    <n v="189600000"/>
    <x v="16"/>
    <n v="106.7585"/>
    <x v="9"/>
    <n v="975"/>
    <n v="590"/>
    <s v="2001"/>
    <n v="1"/>
    <x v="0"/>
    <n v="385"/>
    <n v="0.65254237288135597"/>
  </r>
  <r>
    <s v="3354"/>
    <x v="3362"/>
    <n v="28300000"/>
    <x v="2"/>
    <n v="106.7487"/>
    <x v="13"/>
    <n v="103"/>
    <n v="60"/>
    <s v="2008"/>
    <n v="3"/>
    <x v="0"/>
    <n v="43"/>
    <n v="0.71666666666666667"/>
  </r>
  <r>
    <s v="3355"/>
    <x v="3363"/>
    <n v="6900000"/>
    <x v="26"/>
    <n v="106.7274"/>
    <x v="19"/>
    <n v="75"/>
    <n v="40"/>
    <s v="2010"/>
    <n v="5"/>
    <x v="0"/>
    <n v="35"/>
    <n v="0.875"/>
  </r>
  <r>
    <s v="3356"/>
    <x v="3364"/>
    <n v="11900000"/>
    <x v="2"/>
    <n v="106.6485"/>
    <x v="15"/>
    <n v="75"/>
    <n v="30"/>
    <s v="1965"/>
    <n v="1"/>
    <x v="0"/>
    <n v="45"/>
    <n v="1.5"/>
  </r>
  <r>
    <s v="3357"/>
    <x v="3365"/>
    <n v="15200000"/>
    <x v="7"/>
    <n v="106.5775"/>
    <x v="15"/>
    <n v="45"/>
    <n v="15"/>
    <s v="2007"/>
    <n v="5"/>
    <x v="0"/>
    <n v="30"/>
    <n v="2"/>
  </r>
  <r>
    <s v="3358"/>
    <x v="3366"/>
    <n v="2800000"/>
    <x v="9"/>
    <n v="106.55540000000001"/>
    <x v="23"/>
    <n v="70"/>
    <n v="35"/>
    <s v="2013"/>
    <n v="2"/>
    <x v="0"/>
    <n v="35"/>
    <n v="1"/>
  </r>
  <r>
    <s v="3359"/>
    <x v="3367"/>
    <n v="6500000"/>
    <x v="31"/>
    <n v="106.50790000000001"/>
    <x v="0"/>
    <n v="66"/>
    <n v="27"/>
    <s v="2001"/>
    <n v="5"/>
    <x v="0"/>
    <n v="39"/>
    <n v="1.4444444444444444"/>
  </r>
  <r>
    <s v="3360"/>
    <x v="3368"/>
    <n v="3700000"/>
    <x v="2"/>
    <n v="106.4825"/>
    <x v="13"/>
    <n v="8"/>
    <n v="5"/>
    <s v="2008"/>
    <n v="2"/>
    <x v="0"/>
    <n v="3"/>
    <n v="0.6"/>
  </r>
  <r>
    <s v="3361"/>
    <x v="3369"/>
    <n v="14900000"/>
    <x v="8"/>
    <n v="106.4439"/>
    <x v="1"/>
    <n v="10"/>
    <n v="5"/>
    <s v="1978"/>
    <n v="1"/>
    <x v="0"/>
    <n v="5"/>
    <n v="1"/>
  </r>
  <r>
    <s v="3362"/>
    <x v="3370"/>
    <n v="12900000"/>
    <x v="2"/>
    <n v="106.38679999999999"/>
    <x v="25"/>
    <n v="73"/>
    <n v="46"/>
    <s v="1970"/>
    <n v="5"/>
    <x v="0"/>
    <n v="27"/>
    <n v="0.58695652173913049"/>
  </r>
  <r>
    <s v="3363"/>
    <x v="3371"/>
    <n v="9900000"/>
    <x v="2"/>
    <n v="106.2123"/>
    <x v="20"/>
    <n v="22"/>
    <n v="15"/>
    <s v="2004"/>
    <n v="4"/>
    <x v="0"/>
    <n v="7"/>
    <n v="0.46666666666666667"/>
  </r>
  <r>
    <s v="3364"/>
    <x v="3372"/>
    <n v="18200000"/>
    <x v="40"/>
    <n v="106.2046"/>
    <x v="9"/>
    <n v="145"/>
    <n v="60"/>
    <s v="2015"/>
    <n v="1"/>
    <x v="0"/>
    <n v="85"/>
    <n v="1.4166666666666667"/>
  </r>
  <r>
    <s v="3365"/>
    <x v="3373"/>
    <n v="7200000"/>
    <x v="0"/>
    <n v="106.05840000000001"/>
    <x v="3"/>
    <n v="21"/>
    <n v="12"/>
    <s v="2002"/>
    <n v="5"/>
    <x v="0"/>
    <n v="9"/>
    <n v="0.75"/>
  </r>
  <r>
    <s v="3366"/>
    <x v="3374"/>
    <n v="10100000"/>
    <x v="21"/>
    <n v="106.0201"/>
    <x v="11"/>
    <n v="130"/>
    <n v="63"/>
    <s v="2002"/>
    <n v="3"/>
    <x v="0"/>
    <n v="67"/>
    <n v="1.0634920634920635"/>
  </r>
  <r>
    <s v="3367"/>
    <x v="3375"/>
    <n v="2400000"/>
    <x v="18"/>
    <n v="106.00149999999999"/>
    <x v="23"/>
    <n v="10"/>
    <n v="3"/>
    <s v="2010"/>
    <n v="1"/>
    <x v="0"/>
    <n v="7"/>
    <n v="2.3333333333333335"/>
  </r>
  <r>
    <s v="3368"/>
    <x v="3376"/>
    <n v="5200000"/>
    <x v="12"/>
    <n v="105.97490000000001"/>
    <x v="4"/>
    <n v="13"/>
    <n v="8"/>
    <s v="2006"/>
    <n v="5"/>
    <x v="0"/>
    <n v="5"/>
    <n v="0.625"/>
  </r>
  <r>
    <s v="3369"/>
    <x v="3377"/>
    <n v="17800000"/>
    <x v="18"/>
    <n v="105.9455"/>
    <x v="15"/>
    <n v="62"/>
    <n v="42"/>
    <s v="1996"/>
    <n v="1"/>
    <x v="0"/>
    <n v="20"/>
    <n v="0.47619047619047616"/>
  </r>
  <r>
    <s v="3370"/>
    <x v="3378"/>
    <n v="2900000"/>
    <x v="16"/>
    <n v="105.7779"/>
    <x v="19"/>
    <n v="11"/>
    <n v="17"/>
    <s v="2010"/>
    <n v="3"/>
    <x v="1"/>
    <n v="-6"/>
    <n v="-0.35294117647058826"/>
  </r>
  <r>
    <s v="3371"/>
    <x v="3379"/>
    <n v="6900000"/>
    <x v="11"/>
    <n v="105.7624"/>
    <x v="20"/>
    <n v="40"/>
    <n v="28"/>
    <s v="2007"/>
    <n v="4"/>
    <x v="0"/>
    <n v="12"/>
    <n v="0.42857142857142855"/>
  </r>
  <r>
    <s v="3372"/>
    <x v="3380"/>
    <n v="19500000"/>
    <x v="9"/>
    <n v="105.7479"/>
    <x v="1"/>
    <n v="30"/>
    <n v="10"/>
    <s v="2011"/>
    <n v="4"/>
    <x v="0"/>
    <n v="20"/>
    <n v="2"/>
  </r>
  <r>
    <s v="3373"/>
    <x v="3381"/>
    <n v="40100000"/>
    <x v="11"/>
    <n v="105.7372"/>
    <x v="9"/>
    <n v="225"/>
    <n v="162"/>
    <s v="2006"/>
    <n v="4"/>
    <x v="0"/>
    <n v="63"/>
    <n v="0.3888888888888889"/>
  </r>
  <r>
    <s v="3374"/>
    <x v="3382"/>
    <n v="10800000"/>
    <x v="40"/>
    <n v="105.69750000000001"/>
    <x v="0"/>
    <n v="83"/>
    <n v="50"/>
    <s v="2002"/>
    <n v="8"/>
    <x v="0"/>
    <n v="33"/>
    <n v="0.66"/>
  </r>
  <r>
    <s v="3375"/>
    <x v="3383"/>
    <n v="106000000"/>
    <x v="3"/>
    <n v="105.68989999999999"/>
    <x v="15"/>
    <n v="620"/>
    <n v="355"/>
    <s v="1989"/>
    <n v="2"/>
    <x v="0"/>
    <n v="265"/>
    <n v="0.74647887323943662"/>
  </r>
  <r>
    <s v="3376"/>
    <x v="3384"/>
    <n v="3400000"/>
    <x v="22"/>
    <n v="105.6763"/>
    <x v="14"/>
    <n v="10"/>
    <n v="6"/>
    <s v="2003"/>
    <n v="1"/>
    <x v="0"/>
    <n v="4"/>
    <n v="0.66666666666666663"/>
  </r>
  <r>
    <s v="3377"/>
    <x v="3385"/>
    <n v="6000000"/>
    <x v="9"/>
    <n v="105.6058"/>
    <x v="20"/>
    <n v="32"/>
    <n v="15"/>
    <s v="2011"/>
    <n v="2"/>
    <x v="0"/>
    <n v="17"/>
    <n v="1.1333333333333333"/>
  </r>
  <r>
    <s v="3378"/>
    <x v="3386"/>
    <n v="73500000"/>
    <x v="2"/>
    <n v="105.57689999999999"/>
    <x v="23"/>
    <n v="55"/>
    <n v="35"/>
    <s v="2002"/>
    <n v="12"/>
    <x v="0"/>
    <n v="20"/>
    <n v="0.5714285714285714"/>
  </r>
  <r>
    <s v="3379"/>
    <x v="3387"/>
    <n v="4900000"/>
    <x v="40"/>
    <n v="105.5471"/>
    <x v="19"/>
    <n v="65"/>
    <n v="35"/>
    <s v="2004"/>
    <n v="4"/>
    <x v="0"/>
    <n v="30"/>
    <n v="0.8571428571428571"/>
  </r>
  <r>
    <s v="3380"/>
    <x v="3388"/>
    <n v="3400000"/>
    <x v="8"/>
    <n v="105.495"/>
    <x v="9"/>
    <n v="21"/>
    <n v="15"/>
    <s v="2013"/>
    <n v="1"/>
    <x v="0"/>
    <n v="6"/>
    <n v="0.4"/>
  </r>
  <r>
    <s v="3381"/>
    <x v="3389"/>
    <n v="4200000"/>
    <x v="29"/>
    <n v="105.45359999999999"/>
    <x v="0"/>
    <n v="33"/>
    <n v="12"/>
    <s v="2008"/>
    <n v="4"/>
    <x v="0"/>
    <n v="21"/>
    <n v="1.75"/>
  </r>
  <r>
    <s v="3382"/>
    <x v="3390"/>
    <n v="11300000"/>
    <x v="8"/>
    <n v="105.41540000000001"/>
    <x v="19"/>
    <n v="49"/>
    <n v="23"/>
    <s v="2002"/>
    <n v="1"/>
    <x v="0"/>
    <n v="26"/>
    <n v="1.1304347826086956"/>
  </r>
  <r>
    <s v="3383"/>
    <x v="3391"/>
    <n v="5400000"/>
    <x v="6"/>
    <n v="105.36279999999999"/>
    <x v="11"/>
    <n v="72"/>
    <n v="50"/>
    <s v="2008"/>
    <n v="5"/>
    <x v="0"/>
    <n v="22"/>
    <n v="0.44"/>
  </r>
  <r>
    <s v="3384"/>
    <x v="3392"/>
    <n v="16500000"/>
    <x v="42"/>
    <n v="105.3526"/>
    <x v="13"/>
    <n v="70"/>
    <n v="36"/>
    <s v="1948"/>
    <n v="1"/>
    <x v="0"/>
    <n v="34"/>
    <n v="0.94444444444444442"/>
  </r>
  <r>
    <s v="3385"/>
    <x v="3393"/>
    <n v="10400000"/>
    <x v="9"/>
    <n v="105.34139999999999"/>
    <x v="4"/>
    <n v="7"/>
    <n v="7"/>
    <s v="2011"/>
    <n v="4"/>
    <x v="1"/>
    <n v="0"/>
    <n v="0"/>
  </r>
  <r>
    <s v="3386"/>
    <x v="3394"/>
    <n v="11500000"/>
    <x v="9"/>
    <n v="105.3408"/>
    <x v="15"/>
    <n v="20"/>
    <n v="11"/>
    <s v="2010"/>
    <n v="2"/>
    <x v="0"/>
    <n v="9"/>
    <n v="0.81818181818181823"/>
  </r>
  <r>
    <s v="3387"/>
    <x v="3395"/>
    <n v="121300000"/>
    <x v="9"/>
    <n v="105.2864"/>
    <x v="7"/>
    <n v="230"/>
    <n v="150"/>
    <s v="1999"/>
    <n v="7"/>
    <x v="0"/>
    <n v="80"/>
    <n v="0.53333333333333333"/>
  </r>
  <r>
    <s v="3388"/>
    <x v="3396"/>
    <n v="6200000"/>
    <x v="5"/>
    <n v="105.191"/>
    <x v="4"/>
    <n v="18"/>
    <n v="8"/>
    <s v="2010"/>
    <n v="4"/>
    <x v="0"/>
    <n v="10"/>
    <n v="1.25"/>
  </r>
  <r>
    <s v="3389"/>
    <x v="3397"/>
    <n v="4300000"/>
    <x v="9"/>
    <n v="105.1348"/>
    <x v="20"/>
    <n v="13"/>
    <n v="15"/>
    <s v="2012"/>
    <n v="2"/>
    <x v="1"/>
    <n v="-2"/>
    <n v="-0.13333333333333333"/>
  </r>
  <r>
    <s v="3390"/>
    <x v="3398"/>
    <n v="43900000"/>
    <x v="9"/>
    <n v="105.0909"/>
    <x v="0"/>
    <n v="35"/>
    <n v="29"/>
    <s v="1995"/>
    <n v="1"/>
    <x v="0"/>
    <n v="6"/>
    <n v="0.20689655172413793"/>
  </r>
  <r>
    <s v="3391"/>
    <x v="3399"/>
    <n v="80100000"/>
    <x v="9"/>
    <n v="104.9806"/>
    <x v="15"/>
    <n v="40"/>
    <n v="27"/>
    <s v="2005"/>
    <n v="7"/>
    <x v="0"/>
    <n v="13"/>
    <n v="0.48148148148148145"/>
  </r>
  <r>
    <s v="3391"/>
    <x v="3400"/>
    <n v="6000000"/>
    <x v="9"/>
    <n v="104.96469999999999"/>
    <x v="19"/>
    <n v="22"/>
    <n v="15"/>
    <s v="1996"/>
    <n v="2"/>
    <x v="0"/>
    <n v="7"/>
    <n v="0.46666666666666667"/>
  </r>
  <r>
    <s v="3392"/>
    <x v="3401"/>
    <n v="133400000"/>
    <x v="2"/>
    <n v="104.91670000000001"/>
    <x v="10"/>
    <n v="15"/>
    <n v="10"/>
    <s v="2000"/>
    <n v="6"/>
    <x v="0"/>
    <n v="5"/>
    <n v="0.5"/>
  </r>
  <r>
    <s v="3393"/>
    <x v="3402"/>
    <n v="20100000"/>
    <x v="9"/>
    <n v="104.8366"/>
    <x v="3"/>
    <n v="37"/>
    <n v="21"/>
    <s v="2008"/>
    <n v="6"/>
    <x v="0"/>
    <n v="16"/>
    <n v="0.76190476190476186"/>
  </r>
  <r>
    <s v="3394"/>
    <x v="3403"/>
    <n v="458000000"/>
    <x v="21"/>
    <n v="104.7641"/>
    <x v="20"/>
    <n v="58145"/>
    <n v="21000"/>
    <s v="2008"/>
    <n v="7"/>
    <x v="0"/>
    <n v="37145"/>
    <n v="1.7688095238095238"/>
  </r>
  <r>
    <s v="3395"/>
    <x v="3404"/>
    <n v="68600000"/>
    <x v="12"/>
    <n v="104.7276"/>
    <x v="7"/>
    <n v="102"/>
    <n v="122"/>
    <s v="2008"/>
    <n v="6"/>
    <x v="1"/>
    <n v="-20"/>
    <n v="-0.16393442622950818"/>
  </r>
  <r>
    <s v="3396"/>
    <x v="3405"/>
    <n v="3800000"/>
    <x v="11"/>
    <n v="104.66240000000001"/>
    <x v="20"/>
    <n v="25"/>
    <n v="14"/>
    <s v="2004"/>
    <n v="2"/>
    <x v="0"/>
    <n v="11"/>
    <n v="0.7857142857142857"/>
  </r>
  <r>
    <s v="3397"/>
    <x v="3406"/>
    <n v="7100000"/>
    <x v="6"/>
    <n v="104.6266"/>
    <x v="23"/>
    <n v="69"/>
    <n v="26"/>
    <s v="1976"/>
    <n v="2"/>
    <x v="0"/>
    <n v="43"/>
    <n v="1.6538461538461537"/>
  </r>
  <r>
    <s v="3398"/>
    <x v="3407"/>
    <n v="2100000"/>
    <x v="7"/>
    <n v="104.56699999999999"/>
    <x v="3"/>
    <n v="29"/>
    <n v="18"/>
    <s v="2014"/>
    <n v="1"/>
    <x v="0"/>
    <n v="11"/>
    <n v="0.61111111111111116"/>
  </r>
  <r>
    <s v="3399"/>
    <x v="3408"/>
    <n v="9700000"/>
    <x v="1"/>
    <n v="104.4843"/>
    <x v="20"/>
    <n v="85"/>
    <n v="35"/>
    <s v="2011"/>
    <n v="2"/>
    <x v="0"/>
    <n v="50"/>
    <n v="1.4285714285714286"/>
  </r>
  <r>
    <s v="3400"/>
    <x v="3409"/>
    <n v="886500000"/>
    <x v="16"/>
    <n v="104.28570000000001"/>
    <x v="4"/>
    <n v="864"/>
    <n v="606"/>
    <s v="1925"/>
    <n v="2"/>
    <x v="0"/>
    <n v="258"/>
    <n v="0.42574257425742573"/>
  </r>
  <r>
    <s v="3401"/>
    <x v="3410"/>
    <n v="10500000"/>
    <x v="7"/>
    <n v="104.2672"/>
    <x v="25"/>
    <n v="68"/>
    <n v="37"/>
    <s v="2007"/>
    <n v="1"/>
    <x v="0"/>
    <n v="31"/>
    <n v="0.83783783783783783"/>
  </r>
  <r>
    <s v="3402"/>
    <x v="3411"/>
    <n v="9800000"/>
    <x v="2"/>
    <n v="104.246"/>
    <x v="16"/>
    <n v="322"/>
    <n v="119"/>
    <s v="2012"/>
    <n v="4"/>
    <x v="0"/>
    <n v="203"/>
    <n v="1.7058823529411764"/>
  </r>
  <r>
    <s v="3403"/>
    <x v="3412"/>
    <n v="13200000"/>
    <x v="5"/>
    <n v="104.1345"/>
    <x v="13"/>
    <n v="77"/>
    <n v="43"/>
    <s v="1978"/>
    <n v="1"/>
    <x v="0"/>
    <n v="34"/>
    <n v="0.79069767441860461"/>
  </r>
  <r>
    <s v="3404"/>
    <x v="3413"/>
    <n v="22500000"/>
    <x v="18"/>
    <n v="104.08280000000001"/>
    <x v="11"/>
    <n v="121"/>
    <n v="65"/>
    <s v="2005"/>
    <n v="5"/>
    <x v="0"/>
    <n v="56"/>
    <n v="0.86153846153846159"/>
  </r>
  <r>
    <s v="3405"/>
    <x v="3414"/>
    <n v="5100000"/>
    <x v="48"/>
    <n v="103.9819"/>
    <x v="13"/>
    <n v="50"/>
    <n v="30"/>
    <s v="1995"/>
    <n v="2"/>
    <x v="0"/>
    <n v="20"/>
    <n v="0.66666666666666663"/>
  </r>
  <r>
    <s v="3406"/>
    <x v="3415"/>
    <n v="75400000"/>
    <x v="5"/>
    <n v="103.9534"/>
    <x v="22"/>
    <n v="1114"/>
    <n v="520"/>
    <s v="2009"/>
    <n v="1"/>
    <x v="0"/>
    <n v="594"/>
    <n v="1.1423076923076922"/>
  </r>
  <r>
    <s v="3407"/>
    <x v="3416"/>
    <n v="4600000"/>
    <x v="2"/>
    <n v="103.91370000000001"/>
    <x v="15"/>
    <n v="45"/>
    <n v="35"/>
    <s v="1996"/>
    <n v="1"/>
    <x v="0"/>
    <n v="10"/>
    <n v="0.2857142857142857"/>
  </r>
  <r>
    <s v="3408"/>
    <x v="3417"/>
    <n v="14600000"/>
    <x v="18"/>
    <n v="103.91240000000001"/>
    <x v="15"/>
    <n v="108"/>
    <n v="69"/>
    <s v="1999"/>
    <n v="1"/>
    <x v="0"/>
    <n v="39"/>
    <n v="0.56521739130434778"/>
  </r>
  <r>
    <s v="3409"/>
    <x v="3418"/>
    <n v="9500000"/>
    <x v="2"/>
    <n v="103.89919999999999"/>
    <x v="16"/>
    <n v="84"/>
    <n v="42"/>
    <s v="2005"/>
    <n v="1"/>
    <x v="0"/>
    <n v="42"/>
    <n v="1"/>
  </r>
  <r>
    <s v="3410"/>
    <x v="3419"/>
    <n v="49600000"/>
    <x v="7"/>
    <n v="103.8981"/>
    <x v="1"/>
    <n v="85"/>
    <n v="35"/>
    <s v="2001"/>
    <n v="2"/>
    <x v="0"/>
    <n v="50"/>
    <n v="1.4285714285714286"/>
  </r>
  <r>
    <s v="3411"/>
    <x v="3420"/>
    <n v="10900000"/>
    <x v="27"/>
    <n v="103.8763"/>
    <x v="13"/>
    <n v="24"/>
    <n v="18"/>
    <s v="1991"/>
    <n v="3"/>
    <x v="0"/>
    <n v="6"/>
    <n v="0.33333333333333331"/>
  </r>
  <r>
    <s v="3412"/>
    <x v="3421"/>
    <n v="5300000"/>
    <x v="13"/>
    <n v="103.6251"/>
    <x v="5"/>
    <n v="17"/>
    <n v="12"/>
    <s v="2003"/>
    <n v="1"/>
    <x v="0"/>
    <n v="5"/>
    <n v="0.41666666666666669"/>
  </r>
  <r>
    <s v="3413"/>
    <x v="3422"/>
    <n v="12600000"/>
    <x v="24"/>
    <n v="103.60550000000001"/>
    <x v="20"/>
    <n v="68"/>
    <n v="44"/>
    <s v="2012"/>
    <n v="2"/>
    <x v="0"/>
    <n v="24"/>
    <n v="0.54545454545454541"/>
  </r>
  <r>
    <s v="3414"/>
    <x v="3423"/>
    <n v="114600000"/>
    <x v="27"/>
    <n v="103.596"/>
    <x v="23"/>
    <n v="551"/>
    <n v="222"/>
    <s v="1999"/>
    <n v="10"/>
    <x v="0"/>
    <n v="329"/>
    <n v="1.4819819819819819"/>
  </r>
  <r>
    <s v="3415"/>
    <x v="3424"/>
    <n v="2300000"/>
    <x v="38"/>
    <n v="103.5829"/>
    <x v="15"/>
    <n v="6"/>
    <n v="3"/>
    <s v="2013"/>
    <n v="1"/>
    <x v="0"/>
    <n v="3"/>
    <n v="1"/>
  </r>
  <r>
    <s v="3416"/>
    <x v="3425"/>
    <n v="49300000"/>
    <x v="9"/>
    <n v="103.5715"/>
    <x v="3"/>
    <n v="49"/>
    <n v="44"/>
    <s v="2002"/>
    <n v="4"/>
    <x v="0"/>
    <n v="5"/>
    <n v="0.11363636363636363"/>
  </r>
  <r>
    <s v="3417"/>
    <x v="3426"/>
    <n v="70800000"/>
    <x v="9"/>
    <n v="103.5633"/>
    <x v="0"/>
    <n v="153"/>
    <n v="120"/>
    <s v="2013"/>
    <n v="3"/>
    <x v="0"/>
    <n v="33"/>
    <n v="0.27500000000000002"/>
  </r>
  <r>
    <s v="3418"/>
    <x v="3427"/>
    <n v="22700000"/>
    <x v="4"/>
    <n v="103.53879999999999"/>
    <x v="19"/>
    <n v="120"/>
    <n v="75"/>
    <s v="2001"/>
    <n v="11"/>
    <x v="0"/>
    <n v="45"/>
    <n v="0.6"/>
  </r>
  <r>
    <s v="3419"/>
    <x v="3428"/>
    <n v="34800000"/>
    <x v="9"/>
    <n v="103.5068"/>
    <x v="9"/>
    <n v="374"/>
    <n v="183"/>
    <s v="2006"/>
    <n v="8"/>
    <x v="0"/>
    <n v="191"/>
    <n v="1.0437158469945356"/>
  </r>
  <r>
    <s v="3420"/>
    <x v="3429"/>
    <n v="4300000"/>
    <x v="9"/>
    <n v="103.3605"/>
    <x v="15"/>
    <n v="23"/>
    <n v="12"/>
    <s v="2011"/>
    <n v="3"/>
    <x v="0"/>
    <n v="11"/>
    <n v="0.91666666666666663"/>
  </r>
  <r>
    <s v="3421"/>
    <x v="3430"/>
    <n v="5600000"/>
    <x v="7"/>
    <n v="103.26430000000001"/>
    <x v="0"/>
    <n v="33"/>
    <n v="22"/>
    <s v="2006"/>
    <n v="5"/>
    <x v="0"/>
    <n v="11"/>
    <n v="0.5"/>
  </r>
  <r>
    <s v="3422"/>
    <x v="3431"/>
    <n v="14900000"/>
    <x v="24"/>
    <n v="103.0705"/>
    <x v="20"/>
    <n v="170"/>
    <n v="100"/>
    <s v="2002"/>
    <n v="2"/>
    <x v="0"/>
    <n v="70"/>
    <n v="0.7"/>
  </r>
  <r>
    <s v="3423"/>
    <x v="3432"/>
    <n v="9500000"/>
    <x v="19"/>
    <n v="103.0304"/>
    <x v="19"/>
    <n v="56"/>
    <n v="10"/>
    <s v="2003"/>
    <n v="5"/>
    <x v="0"/>
    <n v="46"/>
    <n v="4.5999999999999996"/>
  </r>
  <r>
    <s v="3424"/>
    <x v="3433"/>
    <n v="72100000"/>
    <x v="2"/>
    <n v="102.9873"/>
    <x v="3"/>
    <n v="37"/>
    <n v="28"/>
    <s v="2005"/>
    <n v="2"/>
    <x v="0"/>
    <n v="9"/>
    <n v="0.32142857142857145"/>
  </r>
  <r>
    <s v="3425"/>
    <x v="3434"/>
    <n v="14800000"/>
    <x v="37"/>
    <n v="102.97150000000001"/>
    <x v="3"/>
    <n v="47"/>
    <n v="31"/>
    <s v="2001"/>
    <n v="7"/>
    <x v="0"/>
    <n v="16"/>
    <n v="0.5161290322580645"/>
  </r>
  <r>
    <s v="3426"/>
    <x v="3435"/>
    <n v="52300000"/>
    <x v="22"/>
    <n v="102.8775"/>
    <x v="25"/>
    <n v="300"/>
    <n v="175"/>
    <s v="1973"/>
    <n v="2"/>
    <x v="0"/>
    <n v="125"/>
    <n v="0.7142857142857143"/>
  </r>
  <r>
    <s v="3427"/>
    <x v="3436"/>
    <n v="237600000"/>
    <x v="2"/>
    <n v="102.8096"/>
    <x v="3"/>
    <n v="843"/>
    <n v="625"/>
    <s v="1981"/>
    <n v="1"/>
    <x v="0"/>
    <n v="218"/>
    <n v="0.3488"/>
  </r>
  <r>
    <s v="3428"/>
    <x v="3437"/>
    <n v="7700000"/>
    <x v="5"/>
    <n v="102.7831"/>
    <x v="22"/>
    <n v="15"/>
    <n v="6"/>
    <s v="2011"/>
    <n v="4"/>
    <x v="0"/>
    <n v="9"/>
    <n v="1.5"/>
  </r>
  <r>
    <s v="3429"/>
    <x v="3438"/>
    <n v="10000000"/>
    <x v="13"/>
    <n v="102.7041"/>
    <x v="15"/>
    <n v="65"/>
    <n v="54"/>
    <s v="2006"/>
    <n v="3"/>
    <x v="0"/>
    <n v="11"/>
    <n v="0.20370370370370369"/>
  </r>
  <r>
    <s v="3430"/>
    <x v="3439"/>
    <n v="7100000"/>
    <x v="8"/>
    <n v="102.7041"/>
    <x v="15"/>
    <n v="82"/>
    <n v="26"/>
    <s v="2007"/>
    <n v="3"/>
    <x v="0"/>
    <n v="56"/>
    <n v="2.1538461538461537"/>
  </r>
  <r>
    <s v="3431"/>
    <x v="3440"/>
    <n v="8400000"/>
    <x v="0"/>
    <n v="102.693"/>
    <x v="24"/>
    <n v="79"/>
    <n v="11"/>
    <s v="2014"/>
    <n v="1"/>
    <x v="0"/>
    <n v="68"/>
    <n v="6.1818181818181817"/>
  </r>
  <r>
    <s v="3432"/>
    <x v="3441"/>
    <n v="2200000"/>
    <x v="5"/>
    <n v="102.6846"/>
    <x v="0"/>
    <n v="15"/>
    <n v="8"/>
    <s v="2004"/>
    <n v="1"/>
    <x v="0"/>
    <n v="7"/>
    <n v="0.875"/>
  </r>
  <r>
    <s v="3433"/>
    <x v="3442"/>
    <n v="9600000"/>
    <x v="0"/>
    <n v="102.68210000000001"/>
    <x v="12"/>
    <n v="109"/>
    <n v="48"/>
    <s v="2000"/>
    <n v="7"/>
    <x v="0"/>
    <n v="61"/>
    <n v="1.2708333333333333"/>
  </r>
  <r>
    <s v="3434"/>
    <x v="3443"/>
    <n v="2000000"/>
    <x v="5"/>
    <n v="102.5932"/>
    <x v="0"/>
    <n v="13"/>
    <n v="8"/>
    <s v="2011"/>
    <n v="1"/>
    <x v="0"/>
    <n v="5"/>
    <n v="0.625"/>
  </r>
  <r>
    <s v="3435"/>
    <x v="3444"/>
    <n v="2100000"/>
    <x v="5"/>
    <n v="102.572"/>
    <x v="23"/>
    <n v="9"/>
    <n v="4"/>
    <s v="2013"/>
    <n v="1"/>
    <x v="0"/>
    <n v="5"/>
    <n v="1.25"/>
  </r>
  <r>
    <s v="3436"/>
    <x v="3445"/>
    <n v="61700000"/>
    <x v="7"/>
    <n v="102.5654"/>
    <x v="3"/>
    <n v="25"/>
    <n v="20"/>
    <s v="2005"/>
    <n v="9"/>
    <x v="0"/>
    <n v="5"/>
    <n v="0.25"/>
  </r>
  <r>
    <s v="3437"/>
    <x v="3446"/>
    <n v="10600000"/>
    <x v="0"/>
    <n v="102.53870000000001"/>
    <x v="0"/>
    <n v="94"/>
    <n v="66"/>
    <s v="2012"/>
    <n v="4"/>
    <x v="0"/>
    <n v="28"/>
    <n v="0.42424242424242425"/>
  </r>
  <r>
    <s v="3438"/>
    <x v="3447"/>
    <n v="6400000"/>
    <x v="9"/>
    <n v="102.5239"/>
    <x v="15"/>
    <n v="33"/>
    <n v="15"/>
    <s v="2010"/>
    <n v="1"/>
    <x v="0"/>
    <n v="18"/>
    <n v="1.2"/>
  </r>
  <r>
    <s v="3439"/>
    <x v="3448"/>
    <n v="10600000"/>
    <x v="10"/>
    <n v="102.4842"/>
    <x v="9"/>
    <n v="83"/>
    <n v="49"/>
    <s v="2008"/>
    <n v="5"/>
    <x v="0"/>
    <n v="34"/>
    <n v="0.69387755102040816"/>
  </r>
  <r>
    <s v="3440"/>
    <x v="3449"/>
    <n v="13600000"/>
    <x v="9"/>
    <n v="102.4528"/>
    <x v="5"/>
    <n v="90"/>
    <n v="35"/>
    <s v="2013"/>
    <n v="2"/>
    <x v="0"/>
    <n v="55"/>
    <n v="1.5714285714285714"/>
  </r>
  <r>
    <s v="3441"/>
    <x v="3450"/>
    <n v="7700000"/>
    <x v="21"/>
    <n v="102.4166"/>
    <x v="9"/>
    <n v="65"/>
    <n v="30"/>
    <s v="2000"/>
    <n v="4"/>
    <x v="0"/>
    <n v="35"/>
    <n v="1.1666666666666667"/>
  </r>
  <r>
    <s v="3442"/>
    <x v="3451"/>
    <n v="3600000"/>
    <x v="35"/>
    <n v="102.3862"/>
    <x v="18"/>
    <n v="18"/>
    <n v="15"/>
    <s v="2003"/>
    <n v="3"/>
    <x v="0"/>
    <n v="3"/>
    <n v="0.2"/>
  </r>
  <r>
    <s v="3443"/>
    <x v="3452"/>
    <n v="15200000"/>
    <x v="8"/>
    <n v="102.33159999999999"/>
    <x v="5"/>
    <n v="41"/>
    <n v="15"/>
    <s v="2012"/>
    <n v="2"/>
    <x v="0"/>
    <n v="26"/>
    <n v="1.7333333333333334"/>
  </r>
  <r>
    <s v="3444"/>
    <x v="3453"/>
    <n v="93600000"/>
    <x v="10"/>
    <n v="102.2595"/>
    <x v="15"/>
    <n v="512"/>
    <n v="227"/>
    <s v="2002"/>
    <n v="6"/>
    <x v="0"/>
    <n v="285"/>
    <n v="1.2555066079295154"/>
  </r>
  <r>
    <s v="3445"/>
    <x v="3454"/>
    <n v="17400000"/>
    <x v="5"/>
    <n v="102.2437"/>
    <x v="1"/>
    <n v="26"/>
    <n v="15"/>
    <s v="2009"/>
    <n v="1"/>
    <x v="0"/>
    <n v="11"/>
    <n v="0.73333333333333328"/>
  </r>
  <r>
    <s v="3446"/>
    <x v="3455"/>
    <n v="13700000"/>
    <x v="11"/>
    <n v="102.13420000000001"/>
    <x v="19"/>
    <n v="71"/>
    <n v="48"/>
    <s v="1995"/>
    <n v="4"/>
    <x v="0"/>
    <n v="23"/>
    <n v="0.47916666666666669"/>
  </r>
  <r>
    <s v="3447"/>
    <x v="3456"/>
    <n v="18200000"/>
    <x v="5"/>
    <n v="102.119"/>
    <x v="9"/>
    <n v="140"/>
    <n v="50"/>
    <s v="1980"/>
    <n v="3"/>
    <x v="0"/>
    <n v="90"/>
    <n v="1.8"/>
  </r>
  <r>
    <s v="3448"/>
    <x v="3457"/>
    <n v="15500000"/>
    <x v="4"/>
    <n v="102.0776"/>
    <x v="5"/>
    <n v="88"/>
    <n v="35"/>
    <s v="2010"/>
    <n v="1"/>
    <x v="0"/>
    <n v="53"/>
    <n v="1.5142857142857142"/>
  </r>
  <r>
    <s v="3449"/>
    <x v="3458"/>
    <n v="3000000"/>
    <x v="20"/>
    <n v="102.0694"/>
    <x v="2"/>
    <n v="90"/>
    <n v="60"/>
    <s v="2002"/>
    <n v="2"/>
    <x v="0"/>
    <n v="30"/>
    <n v="0.5"/>
  </r>
  <r>
    <s v="3450"/>
    <x v="3459"/>
    <n v="95400000"/>
    <x v="35"/>
    <n v="102.0175"/>
    <x v="7"/>
    <n v="200"/>
    <n v="150"/>
    <s v="1983"/>
    <n v="3"/>
    <x v="0"/>
    <n v="50"/>
    <n v="0.33333333333333331"/>
  </r>
  <r>
    <s v="3451"/>
    <x v="3460"/>
    <n v="72600000"/>
    <x v="19"/>
    <n v="101.9258"/>
    <x v="6"/>
    <n v="72"/>
    <n v="33"/>
    <s v="2004"/>
    <n v="5"/>
    <x v="0"/>
    <n v="39"/>
    <n v="1.1818181818181819"/>
  </r>
  <r>
    <s v="3452"/>
    <x v="3461"/>
    <n v="25900000"/>
    <x v="9"/>
    <n v="101.83880000000001"/>
    <x v="0"/>
    <n v="80"/>
    <n v="62"/>
    <s v="2006"/>
    <n v="5"/>
    <x v="0"/>
    <n v="18"/>
    <n v="0.29032258064516131"/>
  </r>
  <r>
    <s v="3453"/>
    <x v="3462"/>
    <n v="5400000"/>
    <x v="2"/>
    <n v="101.8222"/>
    <x v="23"/>
    <n v="12"/>
    <n v="7"/>
    <s v="2012"/>
    <n v="3"/>
    <x v="0"/>
    <n v="5"/>
    <n v="0.7142857142857143"/>
  </r>
  <r>
    <s v="3454"/>
    <x v="3463"/>
    <n v="3300000"/>
    <x v="12"/>
    <n v="101.8168"/>
    <x v="3"/>
    <n v="26"/>
    <n v="10"/>
    <s v="1996"/>
    <n v="1"/>
    <x v="0"/>
    <n v="16"/>
    <n v="1.6"/>
  </r>
  <r>
    <s v="3455"/>
    <x v="3464"/>
    <n v="6100000"/>
    <x v="29"/>
    <n v="101.7861"/>
    <x v="3"/>
    <n v="16"/>
    <n v="11"/>
    <s v="2006"/>
    <n v="4"/>
    <x v="0"/>
    <n v="5"/>
    <n v="0.45454545454545453"/>
  </r>
  <r>
    <s v="3456"/>
    <x v="3465"/>
    <n v="7500000"/>
    <x v="2"/>
    <n v="101.7814"/>
    <x v="15"/>
    <n v="52"/>
    <n v="33"/>
    <s v="2006"/>
    <n v="2"/>
    <x v="0"/>
    <n v="19"/>
    <n v="0.5757575757575758"/>
  </r>
  <r>
    <s v="3457"/>
    <x v="3466"/>
    <n v="6500000"/>
    <x v="5"/>
    <n v="101.7719"/>
    <x v="0"/>
    <n v="28"/>
    <n v="17"/>
    <s v="2001"/>
    <n v="1"/>
    <x v="0"/>
    <n v="11"/>
    <n v="0.6470588235294118"/>
  </r>
  <r>
    <s v="3458"/>
    <x v="3467"/>
    <n v="3300000"/>
    <x v="20"/>
    <n v="101.7693"/>
    <x v="19"/>
    <n v="17"/>
    <n v="15"/>
    <s v="1999"/>
    <n v="1"/>
    <x v="0"/>
    <n v="2"/>
    <n v="0.13333333333333333"/>
  </r>
  <r>
    <s v="3459"/>
    <x v="3468"/>
    <n v="4600000"/>
    <x v="27"/>
    <n v="101.7504"/>
    <x v="9"/>
    <n v="45"/>
    <n v="15"/>
    <s v="2001"/>
    <n v="1"/>
    <x v="0"/>
    <n v="30"/>
    <n v="2"/>
  </r>
  <r>
    <s v="3460"/>
    <x v="3469"/>
    <n v="4000000"/>
    <x v="23"/>
    <n v="101.72969999999999"/>
    <x v="5"/>
    <n v="17"/>
    <n v="7"/>
    <s v="2012"/>
    <n v="2"/>
    <x v="0"/>
    <n v="10"/>
    <n v="1.4285714285714286"/>
  </r>
  <r>
    <s v="3461"/>
    <x v="3470"/>
    <n v="11600000"/>
    <x v="5"/>
    <n v="101.688"/>
    <x v="23"/>
    <n v="35"/>
    <n v="8"/>
    <s v="2008"/>
    <n v="4"/>
    <x v="0"/>
    <n v="27"/>
    <n v="3.375"/>
  </r>
  <r>
    <s v="3462"/>
    <x v="3471"/>
    <n v="16100000"/>
    <x v="21"/>
    <n v="101.6439"/>
    <x v="23"/>
    <n v="750"/>
    <n v="502"/>
    <s v="2009"/>
    <n v="5"/>
    <x v="0"/>
    <n v="248"/>
    <n v="0.49402390438247012"/>
  </r>
  <r>
    <s v="3463"/>
    <x v="3472"/>
    <n v="2700000"/>
    <x v="5"/>
    <n v="101.6126"/>
    <x v="21"/>
    <n v="17"/>
    <n v="10"/>
    <s v="2008"/>
    <n v="1"/>
    <x v="0"/>
    <n v="7"/>
    <n v="0.7"/>
  </r>
  <r>
    <s v="3464"/>
    <x v="3473"/>
    <n v="17600000"/>
    <x v="9"/>
    <n v="101.6112"/>
    <x v="12"/>
    <n v="31"/>
    <n v="16"/>
    <s v="2011"/>
    <n v="5"/>
    <x v="0"/>
    <n v="15"/>
    <n v="0.9375"/>
  </r>
  <r>
    <s v="3465"/>
    <x v="3474"/>
    <n v="28000000"/>
    <x v="8"/>
    <n v="101.5663"/>
    <x v="25"/>
    <n v="278"/>
    <n v="153"/>
    <s v="2004"/>
    <n v="3"/>
    <x v="0"/>
    <n v="125"/>
    <n v="0.81699346405228757"/>
  </r>
  <r>
    <s v="3466"/>
    <x v="3475"/>
    <n v="3300000"/>
    <x v="13"/>
    <n v="101.548"/>
    <x v="9"/>
    <n v="28"/>
    <n v="15"/>
    <s v="2008"/>
    <n v="1"/>
    <x v="0"/>
    <n v="13"/>
    <n v="0.8666666666666667"/>
  </r>
  <r>
    <s v="3467"/>
    <x v="3476"/>
    <n v="16700000"/>
    <x v="32"/>
    <n v="101.46720000000001"/>
    <x v="14"/>
    <n v="32"/>
    <n v="19"/>
    <s v="2008"/>
    <n v="5"/>
    <x v="0"/>
    <n v="13"/>
    <n v="0.68421052631578949"/>
  </r>
  <r>
    <s v="3468"/>
    <x v="3477"/>
    <n v="17200000"/>
    <x v="9"/>
    <n v="101.432"/>
    <x v="7"/>
    <n v="130"/>
    <n v="70"/>
    <s v="2008"/>
    <n v="5"/>
    <x v="0"/>
    <n v="60"/>
    <n v="0.8571428571428571"/>
  </r>
  <r>
    <s v="3469"/>
    <x v="3478"/>
    <n v="3500000"/>
    <x v="13"/>
    <n v="101.3948"/>
    <x v="1"/>
    <n v="62"/>
    <n v="31"/>
    <s v="2009"/>
    <n v="3"/>
    <x v="0"/>
    <n v="31"/>
    <n v="1"/>
  </r>
  <r>
    <s v="3470"/>
    <x v="3479"/>
    <n v="4600000"/>
    <x v="9"/>
    <n v="101.37730000000001"/>
    <x v="3"/>
    <n v="50"/>
    <n v="25"/>
    <s v="2013"/>
    <n v="1"/>
    <x v="0"/>
    <n v="25"/>
    <n v="1"/>
  </r>
  <r>
    <s v="3471"/>
    <x v="3480"/>
    <n v="18900000"/>
    <x v="9"/>
    <n v="101.3326"/>
    <x v="13"/>
    <n v="33"/>
    <n v="22"/>
    <s v="2001"/>
    <n v="4"/>
    <x v="0"/>
    <n v="11"/>
    <n v="0.5"/>
  </r>
  <r>
    <s v="3472"/>
    <x v="3481"/>
    <n v="3400000"/>
    <x v="2"/>
    <n v="101.2561"/>
    <x v="0"/>
    <n v="24"/>
    <n v="16"/>
    <s v="2003"/>
    <n v="3"/>
    <x v="0"/>
    <n v="8"/>
    <n v="0.5"/>
  </r>
  <r>
    <s v="3473"/>
    <x v="3482"/>
    <n v="8200000"/>
    <x v="13"/>
    <n v="101.2261"/>
    <x v="9"/>
    <n v="50"/>
    <n v="23"/>
    <s v="2002"/>
    <n v="6"/>
    <x v="0"/>
    <n v="27"/>
    <n v="1.173913043478261"/>
  </r>
  <r>
    <s v="3474"/>
    <x v="3483"/>
    <n v="2300000"/>
    <x v="18"/>
    <n v="101.1995"/>
    <x v="6"/>
    <n v="11"/>
    <n v="6"/>
    <s v="2005"/>
    <n v="2"/>
    <x v="0"/>
    <n v="5"/>
    <n v="0.83333333333333337"/>
  </r>
  <r>
    <s v="3475"/>
    <x v="3484"/>
    <n v="18900000"/>
    <x v="2"/>
    <n v="101.18640000000001"/>
    <x v="15"/>
    <n v="80"/>
    <n v="36"/>
    <s v="2008"/>
    <n v="8"/>
    <x v="0"/>
    <n v="44"/>
    <n v="1.2222222222222223"/>
  </r>
  <r>
    <s v="3476"/>
    <x v="3485"/>
    <n v="56400000"/>
    <x v="9"/>
    <n v="101.0311"/>
    <x v="9"/>
    <n v="389"/>
    <n v="315"/>
    <s v="2003"/>
    <n v="8"/>
    <x v="0"/>
    <n v="74"/>
    <n v="0.23492063492063492"/>
  </r>
  <r>
    <s v="3477"/>
    <x v="3486"/>
    <n v="355300000"/>
    <x v="23"/>
    <n v="101.02419999999999"/>
    <x v="25"/>
    <n v="2103"/>
    <n v="1203"/>
    <s v="1995"/>
    <n v="12"/>
    <x v="0"/>
    <n v="900"/>
    <n v="0.74812967581047385"/>
  </r>
  <r>
    <s v="3478"/>
    <x v="3487"/>
    <n v="6000000"/>
    <x v="1"/>
    <n v="101.014"/>
    <x v="23"/>
    <n v="32"/>
    <n v="24"/>
    <s v="2011"/>
    <n v="3"/>
    <x v="0"/>
    <n v="8"/>
    <n v="0.33333333333333331"/>
  </r>
  <r>
    <s v="3479"/>
    <x v="3488"/>
    <n v="96600000"/>
    <x v="9"/>
    <n v="101.0076"/>
    <x v="3"/>
    <n v="99"/>
    <n v="55"/>
    <s v="2004"/>
    <n v="2"/>
    <x v="0"/>
    <n v="44"/>
    <n v="0.8"/>
  </r>
  <r>
    <s v="3480"/>
    <x v="3489"/>
    <n v="5000000"/>
    <x v="21"/>
    <n v="100.9632"/>
    <x v="0"/>
    <n v="45"/>
    <n v="23"/>
    <s v="2009"/>
    <n v="5"/>
    <x v="0"/>
    <n v="22"/>
    <n v="0.95652173913043481"/>
  </r>
  <r>
    <s v="3481"/>
    <x v="3490"/>
    <n v="22900000"/>
    <x v="8"/>
    <n v="100.9087"/>
    <x v="23"/>
    <n v="77"/>
    <n v="61"/>
    <s v="1986"/>
    <n v="4"/>
    <x v="0"/>
    <n v="16"/>
    <n v="0.26229508196721313"/>
  </r>
  <r>
    <s v="3482"/>
    <x v="3491"/>
    <n v="5500000"/>
    <x v="40"/>
    <n v="100.84229999999999"/>
    <x v="16"/>
    <n v="36"/>
    <n v="20"/>
    <s v="1997"/>
    <n v="5"/>
    <x v="0"/>
    <n v="16"/>
    <n v="0.8"/>
  </r>
  <r>
    <s v="3483"/>
    <x v="3492"/>
    <n v="51700000"/>
    <x v="27"/>
    <n v="100.8335"/>
    <x v="23"/>
    <n v="225"/>
    <n v="50"/>
    <s v="2008"/>
    <n v="4"/>
    <x v="0"/>
    <n v="175"/>
    <n v="3.5"/>
  </r>
  <r>
    <s v="3484"/>
    <x v="3493"/>
    <n v="117900000"/>
    <x v="18"/>
    <n v="100.8317"/>
    <x v="5"/>
    <n v="318"/>
    <n v="101"/>
    <s v="2001"/>
    <n v="4"/>
    <x v="0"/>
    <n v="217"/>
    <n v="2.1485148514851486"/>
  </r>
  <r>
    <s v="3485"/>
    <x v="3494"/>
    <n v="14500000"/>
    <x v="37"/>
    <n v="100.7959"/>
    <x v="9"/>
    <n v="88"/>
    <n v="54"/>
    <s v="1998"/>
    <n v="5"/>
    <x v="0"/>
    <n v="34"/>
    <n v="0.62962962962962965"/>
  </r>
  <r>
    <s v="3486"/>
    <x v="3495"/>
    <n v="17400000"/>
    <x v="12"/>
    <n v="100.7406"/>
    <x v="5"/>
    <n v="475"/>
    <n v="270"/>
    <s v="2010"/>
    <n v="2"/>
    <x v="0"/>
    <n v="205"/>
    <n v="0.7592592592592593"/>
  </r>
  <r>
    <s v="3487"/>
    <x v="3496"/>
    <n v="37100000"/>
    <x v="9"/>
    <n v="100.7201"/>
    <x v="3"/>
    <n v="54"/>
    <n v="20"/>
    <s v="2006"/>
    <n v="5"/>
    <x v="0"/>
    <n v="34"/>
    <n v="1.7"/>
  </r>
  <r>
    <s v="3488"/>
    <x v="3497"/>
    <n v="8100000"/>
    <x v="17"/>
    <n v="100.6917"/>
    <x v="9"/>
    <n v="96"/>
    <n v="43"/>
    <s v="2007"/>
    <n v="6"/>
    <x v="0"/>
    <n v="53"/>
    <n v="1.2325581395348837"/>
  </r>
  <r>
    <s v="3489"/>
    <x v="3498"/>
    <n v="34500000"/>
    <x v="9"/>
    <n v="100.62179999999999"/>
    <x v="5"/>
    <n v="497"/>
    <n v="304"/>
    <s v="2005"/>
    <n v="3"/>
    <x v="0"/>
    <n v="193"/>
    <n v="0.63486842105263153"/>
  </r>
  <r>
    <s v="3490"/>
    <x v="3499"/>
    <n v="11200000"/>
    <x v="9"/>
    <n v="100.6153"/>
    <x v="0"/>
    <n v="47"/>
    <n v="33"/>
    <s v="2005"/>
    <n v="4"/>
    <x v="0"/>
    <n v="14"/>
    <n v="0.42424242424242425"/>
  </r>
  <r>
    <s v="3491"/>
    <x v="3500"/>
    <n v="6200000"/>
    <x v="9"/>
    <n v="100.5959"/>
    <x v="4"/>
    <n v="10"/>
    <n v="5"/>
    <s v="2009"/>
    <n v="4"/>
    <x v="0"/>
    <n v="5"/>
    <n v="1"/>
  </r>
  <r>
    <s v="3492"/>
    <x v="3501"/>
    <n v="36500000"/>
    <x v="24"/>
    <n v="100.5956"/>
    <x v="19"/>
    <n v="41"/>
    <n v="23"/>
    <s v="2003"/>
    <n v="8"/>
    <x v="0"/>
    <n v="18"/>
    <n v="0.78260869565217395"/>
  </r>
  <r>
    <s v="3493"/>
    <x v="3502"/>
    <n v="26800000"/>
    <x v="23"/>
    <n v="100.5809"/>
    <x v="15"/>
    <n v="105"/>
    <n v="65"/>
    <s v="1978"/>
    <n v="1"/>
    <x v="0"/>
    <n v="40"/>
    <n v="0.61538461538461542"/>
  </r>
  <r>
    <s v="3494"/>
    <x v="3503"/>
    <n v="4400000"/>
    <x v="33"/>
    <n v="100.5645"/>
    <x v="9"/>
    <n v="26"/>
    <n v="11"/>
    <s v="2003"/>
    <n v="1"/>
    <x v="0"/>
    <n v="15"/>
    <n v="1.3636363636363635"/>
  </r>
  <r>
    <s v="3495"/>
    <x v="3504"/>
    <n v="4900000"/>
    <x v="9"/>
    <n v="100.5579"/>
    <x v="3"/>
    <n v="25"/>
    <n v="8"/>
    <s v="2011"/>
    <n v="1"/>
    <x v="0"/>
    <n v="17"/>
    <n v="2.125"/>
  </r>
  <r>
    <s v="3496"/>
    <x v="3505"/>
    <n v="983300000"/>
    <x v="12"/>
    <n v="100.48009999999999"/>
    <x v="22"/>
    <n v="650"/>
    <n v="380"/>
    <s v="2006"/>
    <n v="1"/>
    <x v="0"/>
    <n v="270"/>
    <n v="0.71052631578947367"/>
  </r>
  <r>
    <s v="3497"/>
    <x v="3506"/>
    <n v="3900000"/>
    <x v="12"/>
    <n v="100.4776"/>
    <x v="16"/>
    <n v="27"/>
    <n v="13"/>
    <s v="2012"/>
    <n v="1"/>
    <x v="0"/>
    <n v="14"/>
    <n v="1.0769230769230769"/>
  </r>
  <r>
    <s v="3498"/>
    <x v="3507"/>
    <n v="7700000"/>
    <x v="22"/>
    <n v="100.47669999999999"/>
    <x v="0"/>
    <n v="46"/>
    <n v="25"/>
    <s v="2009"/>
    <n v="3"/>
    <x v="0"/>
    <n v="21"/>
    <n v="0.84"/>
  </r>
  <r>
    <s v="3499"/>
    <x v="3508"/>
    <n v="182300000"/>
    <x v="29"/>
    <n v="100.4319"/>
    <x v="13"/>
    <n v="1036"/>
    <n v="620"/>
    <s v="1988"/>
    <n v="10"/>
    <x v="0"/>
    <n v="416"/>
    <n v="0.67096774193548392"/>
  </r>
  <r>
    <s v="3500"/>
    <x v="3509"/>
    <n v="7100000"/>
    <x v="9"/>
    <n v="100.42100000000001"/>
    <x v="11"/>
    <n v="15"/>
    <n v="10"/>
    <s v="2001"/>
    <n v="1"/>
    <x v="0"/>
    <n v="5"/>
    <n v="0.5"/>
  </r>
  <r>
    <s v="3501"/>
    <x v="3510"/>
    <n v="165600000"/>
    <x v="27"/>
    <n v="100.4066"/>
    <x v="1"/>
    <n v="119"/>
    <n v="102"/>
    <s v="2008"/>
    <n v="7"/>
    <x v="0"/>
    <n v="17"/>
    <n v="0.16666666666666666"/>
  </r>
  <r>
    <s v="3502"/>
    <x v="3511"/>
    <n v="4500000"/>
    <x v="24"/>
    <n v="100.3036"/>
    <x v="24"/>
    <n v="20"/>
    <n v="18"/>
    <s v="2011"/>
    <n v="4"/>
    <x v="0"/>
    <n v="2"/>
    <n v="0.1111111111111111"/>
  </r>
  <r>
    <s v="3503"/>
    <x v="3512"/>
    <n v="4100000"/>
    <x v="9"/>
    <n v="100.1905"/>
    <x v="15"/>
    <n v="11"/>
    <n v="5"/>
    <s v="2007"/>
    <n v="4"/>
    <x v="0"/>
    <n v="6"/>
    <n v="1.2"/>
  </r>
  <r>
    <s v="3504"/>
    <x v="3513"/>
    <n v="5500000"/>
    <x v="18"/>
    <n v="100.1349"/>
    <x v="0"/>
    <n v="22"/>
    <n v="15"/>
    <s v="1996"/>
    <n v="3"/>
    <x v="0"/>
    <n v="7"/>
    <n v="0.46666666666666667"/>
  </r>
  <r>
    <s v="3505"/>
    <x v="3514"/>
    <n v="11600000"/>
    <x v="33"/>
    <n v="100.0959"/>
    <x v="21"/>
    <n v="98"/>
    <n v="59"/>
    <s v="2001"/>
    <n v="2"/>
    <x v="0"/>
    <n v="39"/>
    <n v="0.66101694915254239"/>
  </r>
  <r>
    <s v="3506"/>
    <x v="3515"/>
    <n v="12900000"/>
    <x v="9"/>
    <n v="100.0009"/>
    <x v="23"/>
    <n v="27"/>
    <n v="21"/>
    <s v="2005"/>
    <n v="5"/>
    <x v="0"/>
    <n v="6"/>
    <n v="0.2857142857142857"/>
  </r>
  <r>
    <s v="3507"/>
    <x v="3516"/>
    <n v="18300000"/>
    <x v="2"/>
    <n v="99.968000000000004"/>
    <x v="18"/>
    <n v="55"/>
    <n v="30"/>
    <s v="2002"/>
    <n v="1"/>
    <x v="0"/>
    <n v="25"/>
    <n v="0.83333333333333337"/>
  </r>
  <r>
    <s v="3508"/>
    <x v="3517"/>
    <n v="14400000"/>
    <x v="29"/>
    <n v="99.959699999999998"/>
    <x v="13"/>
    <n v="30"/>
    <n v="20"/>
    <s v="2005"/>
    <n v="3"/>
    <x v="0"/>
    <n v="10"/>
    <n v="0.5"/>
  </r>
  <r>
    <s v="3509"/>
    <x v="3518"/>
    <n v="6200000"/>
    <x v="7"/>
    <n v="99.95"/>
    <x v="23"/>
    <n v="80"/>
    <n v="35"/>
    <s v="2007"/>
    <n v="6"/>
    <x v="0"/>
    <n v="45"/>
    <n v="1.2857142857142858"/>
  </r>
  <r>
    <s v="3510"/>
    <x v="3519"/>
    <n v="3800000"/>
    <x v="24"/>
    <n v="99.901799999999994"/>
    <x v="22"/>
    <n v="32"/>
    <n v="25"/>
    <s v="2010"/>
    <n v="3"/>
    <x v="0"/>
    <n v="7"/>
    <n v="0.28000000000000003"/>
  </r>
  <r>
    <s v="3511"/>
    <x v="3520"/>
    <n v="4000000"/>
    <x v="27"/>
    <n v="99.882800000000003"/>
    <x v="15"/>
    <n v="18"/>
    <n v="5"/>
    <s v="2012"/>
    <n v="3"/>
    <x v="0"/>
    <n v="13"/>
    <n v="2.6"/>
  </r>
  <r>
    <s v="3512"/>
    <x v="3521"/>
    <n v="58300000"/>
    <x v="2"/>
    <n v="99.863200000000006"/>
    <x v="3"/>
    <n v="83"/>
    <n v="55"/>
    <s v="2000"/>
    <n v="3"/>
    <x v="0"/>
    <n v="28"/>
    <n v="0.50909090909090904"/>
  </r>
  <r>
    <s v="3513"/>
    <x v="3522"/>
    <n v="20500000"/>
    <x v="6"/>
    <n v="99.854500000000002"/>
    <x v="16"/>
    <n v="1000"/>
    <n v="446"/>
    <s v="1999"/>
    <n v="1"/>
    <x v="0"/>
    <n v="554"/>
    <n v="1.242152466367713"/>
  </r>
  <r>
    <s v="3514"/>
    <x v="3523"/>
    <n v="3600000"/>
    <x v="13"/>
    <n v="99.787000000000006"/>
    <x v="7"/>
    <n v="12"/>
    <n v="6"/>
    <s v="2013"/>
    <n v="2"/>
    <x v="0"/>
    <n v="6"/>
    <n v="1"/>
  </r>
  <r>
    <s v="3515"/>
    <x v="3524"/>
    <n v="7700000"/>
    <x v="8"/>
    <n v="99.781899999999993"/>
    <x v="5"/>
    <n v="32"/>
    <n v="11"/>
    <s v="2009"/>
    <n v="5"/>
    <x v="0"/>
    <n v="21"/>
    <n v="1.9090909090909092"/>
  </r>
  <r>
    <s v="3516"/>
    <x v="3525"/>
    <n v="6200000"/>
    <x v="32"/>
    <n v="99.754000000000005"/>
    <x v="15"/>
    <n v="13"/>
    <n v="9"/>
    <s v="2011"/>
    <n v="3"/>
    <x v="0"/>
    <n v="4"/>
    <n v="0.44444444444444442"/>
  </r>
  <r>
    <s v="3517"/>
    <x v="3526"/>
    <n v="2100000"/>
    <x v="6"/>
    <n v="99.6995"/>
    <x v="12"/>
    <n v="20"/>
    <n v="5"/>
    <s v="1992"/>
    <n v="1"/>
    <x v="0"/>
    <n v="15"/>
    <n v="3"/>
  </r>
  <r>
    <s v="3518"/>
    <x v="3527"/>
    <n v="2300000"/>
    <x v="11"/>
    <n v="99.646199999999993"/>
    <x v="19"/>
    <n v="50"/>
    <n v="4"/>
    <s v="2014"/>
    <n v="1"/>
    <x v="0"/>
    <n v="46"/>
    <n v="11.5"/>
  </r>
  <r>
    <s v="3519"/>
    <x v="3528"/>
    <n v="30300000"/>
    <x v="37"/>
    <n v="99.632000000000005"/>
    <x v="15"/>
    <n v="69"/>
    <n v="37"/>
    <s v="2009"/>
    <n v="2"/>
    <x v="0"/>
    <n v="32"/>
    <n v="0.86486486486486491"/>
  </r>
  <r>
    <s v="3520"/>
    <x v="3529"/>
    <n v="8700000"/>
    <x v="10"/>
    <n v="99.631500000000003"/>
    <x v="12"/>
    <n v="85"/>
    <n v="35"/>
    <s v="1976"/>
    <n v="1"/>
    <x v="0"/>
    <n v="50"/>
    <n v="1.4285714285714286"/>
  </r>
  <r>
    <s v="3521"/>
    <x v="3530"/>
    <n v="10400000"/>
    <x v="8"/>
    <n v="99.610399999999998"/>
    <x v="20"/>
    <n v="2300"/>
    <n v="940"/>
    <s v="2006"/>
    <n v="1"/>
    <x v="0"/>
    <n v="1360"/>
    <n v="1.446808510638298"/>
  </r>
  <r>
    <s v="3522"/>
    <x v="3531"/>
    <n v="3000000"/>
    <x v="5"/>
    <n v="99.539100000000005"/>
    <x v="12"/>
    <n v="31"/>
    <n v="2"/>
    <s v="2014"/>
    <n v="1"/>
    <x v="0"/>
    <n v="29"/>
    <n v="14.5"/>
  </r>
  <r>
    <s v="3523"/>
    <x v="3532"/>
    <n v="4600000"/>
    <x v="0"/>
    <n v="99.507099999999994"/>
    <x v="13"/>
    <n v="30"/>
    <n v="15"/>
    <s v="2006"/>
    <n v="2"/>
    <x v="0"/>
    <n v="15"/>
    <n v="1"/>
  </r>
  <r>
    <s v="3524"/>
    <x v="3533"/>
    <n v="19600000"/>
    <x v="7"/>
    <n v="99.494699999999995"/>
    <x v="11"/>
    <n v="136"/>
    <n v="144"/>
    <s v="2011"/>
    <n v="4"/>
    <x v="1"/>
    <n v="-8"/>
    <n v="-5.5555555555555552E-2"/>
  </r>
  <r>
    <s v="3525"/>
    <x v="3534"/>
    <n v="320200000"/>
    <x v="9"/>
    <n v="99.489699999999999"/>
    <x v="7"/>
    <n v="404"/>
    <n v="297"/>
    <s v="1999"/>
    <n v="12"/>
    <x v="0"/>
    <n v="107"/>
    <n v="0.36026936026936029"/>
  </r>
  <r>
    <s v="3526"/>
    <x v="3535"/>
    <n v="12200000"/>
    <x v="37"/>
    <n v="99.437600000000003"/>
    <x v="6"/>
    <n v="60"/>
    <n v="28"/>
    <s v="2009"/>
    <n v="4"/>
    <x v="0"/>
    <n v="32"/>
    <n v="1.1428571428571428"/>
  </r>
  <r>
    <s v="3527"/>
    <x v="3536"/>
    <n v="21700000"/>
    <x v="24"/>
    <n v="99.374200000000002"/>
    <x v="15"/>
    <n v="120"/>
    <n v="64"/>
    <s v="1928"/>
    <n v="2"/>
    <x v="0"/>
    <n v="56"/>
    <n v="0.875"/>
  </r>
  <r>
    <s v="3528"/>
    <x v="3537"/>
    <n v="19700000"/>
    <x v="11"/>
    <n v="99.3613"/>
    <x v="23"/>
    <n v="108"/>
    <n v="65"/>
    <s v="2000"/>
    <n v="6"/>
    <x v="0"/>
    <n v="43"/>
    <n v="0.66153846153846152"/>
  </r>
  <r>
    <s v="3529"/>
    <x v="3538"/>
    <n v="4700000"/>
    <x v="7"/>
    <n v="99.301500000000004"/>
    <x v="17"/>
    <n v="5"/>
    <n v="2"/>
    <s v="2008"/>
    <n v="1"/>
    <x v="0"/>
    <n v="3"/>
    <n v="1.5"/>
  </r>
  <r>
    <s v="3530"/>
    <x v="3539"/>
    <n v="4300000"/>
    <x v="0"/>
    <n v="99.251300000000001"/>
    <x v="13"/>
    <n v="28"/>
    <n v="15"/>
    <s v="2009"/>
    <n v="3"/>
    <x v="0"/>
    <n v="13"/>
    <n v="0.8666666666666667"/>
  </r>
  <r>
    <s v="3531"/>
    <x v="3540"/>
    <n v="3000000"/>
    <x v="9"/>
    <n v="99.232500000000002"/>
    <x v="24"/>
    <n v="7"/>
    <n v="1"/>
    <s v="2011"/>
    <n v="2"/>
    <x v="0"/>
    <n v="6"/>
    <n v="6"/>
  </r>
  <r>
    <s v="3532"/>
    <x v="3541"/>
    <n v="5200000"/>
    <x v="9"/>
    <n v="99.227400000000003"/>
    <x v="6"/>
    <n v="4"/>
    <n v="6"/>
    <s v="1997"/>
    <n v="7"/>
    <x v="1"/>
    <n v="-2"/>
    <n v="-0.33333333333333331"/>
  </r>
  <r>
    <s v="3533"/>
    <x v="3542"/>
    <n v="9600000"/>
    <x v="16"/>
    <n v="99.1999"/>
    <x v="7"/>
    <n v="8"/>
    <n v="7"/>
    <s v="2008"/>
    <n v="3"/>
    <x v="0"/>
    <n v="1"/>
    <n v="0.14285714285714285"/>
  </r>
  <r>
    <s v="3534"/>
    <x v="3543"/>
    <n v="84100000"/>
    <x v="8"/>
    <n v="99.174000000000007"/>
    <x v="1"/>
    <n v="71"/>
    <n v="49"/>
    <s v="2009"/>
    <n v="7"/>
    <x v="0"/>
    <n v="22"/>
    <n v="0.44897959183673469"/>
  </r>
  <r>
    <s v="3535"/>
    <x v="3544"/>
    <n v="42300000"/>
    <x v="5"/>
    <n v="99.153000000000006"/>
    <x v="4"/>
    <n v="28"/>
    <n v="28"/>
    <s v="2001"/>
    <n v="2"/>
    <x v="1"/>
    <n v="0"/>
    <n v="0"/>
  </r>
  <r>
    <s v="3536"/>
    <x v="3545"/>
    <n v="87200000"/>
    <x v="2"/>
    <n v="99.073700000000002"/>
    <x v="15"/>
    <n v="60"/>
    <n v="25"/>
    <s v="1979"/>
    <n v="1"/>
    <x v="0"/>
    <n v="35"/>
    <n v="1.4"/>
  </r>
  <r>
    <s v="3537"/>
    <x v="3546"/>
    <n v="3900000"/>
    <x v="2"/>
    <n v="99.019199999999998"/>
    <x v="9"/>
    <n v="9"/>
    <n v="18"/>
    <s v="2010"/>
    <n v="3"/>
    <x v="1"/>
    <n v="-9"/>
    <n v="-0.5"/>
  </r>
  <r>
    <s v="3538"/>
    <x v="3547"/>
    <n v="2500000"/>
    <x v="19"/>
    <n v="99.010800000000003"/>
    <x v="6"/>
    <n v="7"/>
    <n v="3"/>
    <s v="2010"/>
    <n v="1"/>
    <x v="0"/>
    <n v="4"/>
    <n v="1.3333333333333333"/>
  </r>
  <r>
    <s v="3539"/>
    <x v="3548"/>
    <n v="5500000"/>
    <x v="28"/>
    <n v="99.007199999999997"/>
    <x v="19"/>
    <n v="22"/>
    <n v="14"/>
    <s v="2006"/>
    <n v="5"/>
    <x v="0"/>
    <n v="8"/>
    <n v="0.5714285714285714"/>
  </r>
  <r>
    <s v="3540"/>
    <x v="3549"/>
    <n v="3400000"/>
    <x v="7"/>
    <n v="98.971900000000005"/>
    <x v="19"/>
    <n v="16"/>
    <n v="8"/>
    <s v="2009"/>
    <n v="1"/>
    <x v="0"/>
    <n v="8"/>
    <n v="1"/>
  </r>
  <r>
    <s v="3541"/>
    <x v="3550"/>
    <n v="3000000"/>
    <x v="17"/>
    <n v="98.968400000000003"/>
    <x v="5"/>
    <n v="28"/>
    <n v="19"/>
    <s v="2012"/>
    <n v="3"/>
    <x v="0"/>
    <n v="9"/>
    <n v="0.47368421052631576"/>
  </r>
  <r>
    <s v="3542"/>
    <x v="3551"/>
    <n v="11400000"/>
    <x v="2"/>
    <n v="98.966800000000006"/>
    <x v="4"/>
    <n v="25"/>
    <n v="14"/>
    <s v="2008"/>
    <n v="5"/>
    <x v="0"/>
    <n v="11"/>
    <n v="0.7857142857142857"/>
  </r>
  <r>
    <s v="3543"/>
    <x v="3552"/>
    <n v="10500000"/>
    <x v="9"/>
    <n v="98.962699999999998"/>
    <x v="3"/>
    <n v="300"/>
    <n v="180"/>
    <s v="2010"/>
    <n v="3"/>
    <x v="0"/>
    <n v="120"/>
    <n v="0.66666666666666663"/>
  </r>
  <r>
    <s v="3544"/>
    <x v="3553"/>
    <n v="17300000"/>
    <x v="8"/>
    <n v="98.879000000000005"/>
    <x v="7"/>
    <n v="73"/>
    <n v="59"/>
    <s v="1991"/>
    <n v="6"/>
    <x v="0"/>
    <n v="14"/>
    <n v="0.23728813559322035"/>
  </r>
  <r>
    <s v="3545"/>
    <x v="3554"/>
    <n v="7300000"/>
    <x v="14"/>
    <n v="98.820599999999999"/>
    <x v="1"/>
    <n v="14"/>
    <n v="2"/>
    <s v="2013"/>
    <n v="2"/>
    <x v="0"/>
    <n v="12"/>
    <n v="6"/>
  </r>
  <r>
    <s v="3546"/>
    <x v="3555"/>
    <n v="7300000"/>
    <x v="44"/>
    <n v="98.800299999999993"/>
    <x v="25"/>
    <n v="52"/>
    <n v="29"/>
    <s v="1973"/>
    <n v="3"/>
    <x v="0"/>
    <n v="23"/>
    <n v="0.7931034482758621"/>
  </r>
  <r>
    <s v="3547"/>
    <x v="3556"/>
    <n v="7800000"/>
    <x v="34"/>
    <n v="98.717500000000001"/>
    <x v="20"/>
    <n v="38"/>
    <n v="25"/>
    <s v="2000"/>
    <n v="1"/>
    <x v="0"/>
    <n v="13"/>
    <n v="0.52"/>
  </r>
  <r>
    <s v="3548"/>
    <x v="3557"/>
    <n v="20500000"/>
    <x v="21"/>
    <n v="98.679500000000004"/>
    <x v="15"/>
    <n v="23"/>
    <n v="8"/>
    <s v="1991"/>
    <n v="1"/>
    <x v="0"/>
    <n v="15"/>
    <n v="1.875"/>
  </r>
  <r>
    <s v="3549"/>
    <x v="3558"/>
    <n v="9800000"/>
    <x v="25"/>
    <n v="98.656899999999993"/>
    <x v="23"/>
    <n v="110"/>
    <n v="46"/>
    <s v="1999"/>
    <n v="1"/>
    <x v="0"/>
    <n v="64"/>
    <n v="1.3913043478260869"/>
  </r>
  <r>
    <s v="3550"/>
    <x v="3559"/>
    <n v="2300000"/>
    <x v="5"/>
    <n v="98.574799999999996"/>
    <x v="3"/>
    <n v="48"/>
    <n v="21"/>
    <s v="2010"/>
    <n v="10"/>
    <x v="0"/>
    <n v="27"/>
    <n v="1.2857142857142858"/>
  </r>
  <r>
    <s v="3551"/>
    <x v="3560"/>
    <n v="15900000"/>
    <x v="5"/>
    <n v="98.538600000000002"/>
    <x v="22"/>
    <n v="65"/>
    <n v="48"/>
    <s v="2009"/>
    <n v="3"/>
    <x v="0"/>
    <n v="17"/>
    <n v="0.35416666666666669"/>
  </r>
  <r>
    <s v="3552"/>
    <x v="3561"/>
    <n v="20000000"/>
    <x v="10"/>
    <n v="98.457899999999995"/>
    <x v="10"/>
    <n v="155"/>
    <n v="75"/>
    <s v="2010"/>
    <n v="2"/>
    <x v="0"/>
    <n v="80"/>
    <n v="1.0666666666666667"/>
  </r>
  <r>
    <s v="3553"/>
    <x v="3562"/>
    <n v="6100000"/>
    <x v="13"/>
    <n v="98.366799999999998"/>
    <x v="23"/>
    <n v="10"/>
    <n v="5"/>
    <s v="2013"/>
    <n v="1"/>
    <x v="0"/>
    <n v="5"/>
    <n v="1"/>
  </r>
  <r>
    <s v="3554"/>
    <x v="3563"/>
    <n v="8300000"/>
    <x v="28"/>
    <n v="98.3643"/>
    <x v="3"/>
    <n v="23"/>
    <n v="10"/>
    <s v="2004"/>
    <n v="1"/>
    <x v="0"/>
    <n v="13"/>
    <n v="1.3"/>
  </r>
  <r>
    <s v="3555"/>
    <x v="3564"/>
    <n v="11200000"/>
    <x v="18"/>
    <n v="98.337699999999998"/>
    <x v="11"/>
    <n v="108"/>
    <n v="89"/>
    <s v="2008"/>
    <n v="4"/>
    <x v="0"/>
    <n v="19"/>
    <n v="0.21348314606741572"/>
  </r>
  <r>
    <s v="3556"/>
    <x v="3565"/>
    <n v="6500000"/>
    <x v="5"/>
    <n v="98.275499999999994"/>
    <x v="15"/>
    <n v="48"/>
    <n v="43"/>
    <s v="2010"/>
    <n v="5"/>
    <x v="0"/>
    <n v="5"/>
    <n v="0.11627906976744186"/>
  </r>
  <r>
    <s v="3557"/>
    <x v="3566"/>
    <n v="75000000"/>
    <x v="16"/>
    <n v="98.243499999999997"/>
    <x v="1"/>
    <n v="44"/>
    <n v="13"/>
    <s v="2011"/>
    <n v="3"/>
    <x v="0"/>
    <n v="31"/>
    <n v="2.3846153846153846"/>
  </r>
  <r>
    <s v="3558"/>
    <x v="3567"/>
    <n v="138800000"/>
    <x v="37"/>
    <n v="98.234300000000005"/>
    <x v="12"/>
    <n v="79"/>
    <n v="33"/>
    <s v="2009"/>
    <n v="3"/>
    <x v="0"/>
    <n v="46"/>
    <n v="1.393939393939394"/>
  </r>
  <r>
    <s v="3559"/>
    <x v="3568"/>
    <n v="6100000"/>
    <x v="7"/>
    <n v="98.2166"/>
    <x v="23"/>
    <n v="17"/>
    <n v="11"/>
    <s v="2014"/>
    <n v="2"/>
    <x v="0"/>
    <n v="6"/>
    <n v="0.54545454545454541"/>
  </r>
  <r>
    <s v="3560"/>
    <x v="3569"/>
    <n v="30000000"/>
    <x v="8"/>
    <n v="98.182299999999998"/>
    <x v="23"/>
    <n v="101"/>
    <n v="57"/>
    <s v="2006"/>
    <n v="8"/>
    <x v="0"/>
    <n v="44"/>
    <n v="0.77192982456140347"/>
  </r>
  <r>
    <s v="3561"/>
    <x v="3570"/>
    <n v="5800000"/>
    <x v="28"/>
    <n v="98.162300000000002"/>
    <x v="19"/>
    <n v="25"/>
    <n v="7"/>
    <s v="2015"/>
    <n v="2"/>
    <x v="0"/>
    <n v="18"/>
    <n v="2.5714285714285716"/>
  </r>
  <r>
    <s v="3562"/>
    <x v="3571"/>
    <n v="9700000"/>
    <x v="9"/>
    <n v="98.132800000000003"/>
    <x v="4"/>
    <n v="25"/>
    <n v="15"/>
    <s v="1997"/>
    <n v="5"/>
    <x v="0"/>
    <n v="10"/>
    <n v="0.66666666666666663"/>
  </r>
  <r>
    <s v="3563"/>
    <x v="3572"/>
    <n v="4600000"/>
    <x v="32"/>
    <n v="98.114099999999993"/>
    <x v="21"/>
    <n v="23"/>
    <n v="18"/>
    <s v="1983"/>
    <n v="1"/>
    <x v="0"/>
    <n v="5"/>
    <n v="0.27777777777777779"/>
  </r>
  <r>
    <s v="3564"/>
    <x v="3573"/>
    <n v="10600000"/>
    <x v="7"/>
    <n v="98.112499999999997"/>
    <x v="11"/>
    <n v="47"/>
    <n v="55"/>
    <s v="2007"/>
    <n v="4"/>
    <x v="1"/>
    <n v="-8"/>
    <n v="-0.14545454545454545"/>
  </r>
  <r>
    <s v="3565"/>
    <x v="3574"/>
    <n v="30100000"/>
    <x v="9"/>
    <n v="98.095399999999998"/>
    <x v="7"/>
    <n v="260"/>
    <n v="120"/>
    <s v="2004"/>
    <n v="1"/>
    <x v="0"/>
    <n v="140"/>
    <n v="1.1666666666666667"/>
  </r>
  <r>
    <s v="3566"/>
    <x v="3575"/>
    <n v="7800000"/>
    <x v="27"/>
    <n v="98.094099999999997"/>
    <x v="19"/>
    <n v="50"/>
    <n v="38"/>
    <s v="2001"/>
    <n v="1"/>
    <x v="0"/>
    <n v="12"/>
    <n v="0.31578947368421051"/>
  </r>
  <r>
    <s v="3567"/>
    <x v="3576"/>
    <n v="54800000"/>
    <x v="5"/>
    <n v="98.036199999999994"/>
    <x v="15"/>
    <n v="30"/>
    <n v="30"/>
    <s v="2002"/>
    <n v="1"/>
    <x v="1"/>
    <n v="0"/>
    <n v="0"/>
  </r>
  <r>
    <s v="3568"/>
    <x v="3577"/>
    <n v="108400000"/>
    <x v="9"/>
    <n v="97.964100000000002"/>
    <x v="7"/>
    <n v="574"/>
    <n v="367"/>
    <s v="2011"/>
    <n v="5"/>
    <x v="0"/>
    <n v="207"/>
    <n v="0.56403269754768393"/>
  </r>
  <r>
    <s v="3569"/>
    <x v="3578"/>
    <n v="5100000"/>
    <x v="1"/>
    <n v="97.932299999999998"/>
    <x v="25"/>
    <n v="47"/>
    <n v="13"/>
    <s v="2010"/>
    <n v="1"/>
    <x v="0"/>
    <n v="34"/>
    <n v="2.6153846153846154"/>
  </r>
  <r>
    <s v="3570"/>
    <x v="3579"/>
    <n v="84700000"/>
    <x v="12"/>
    <n v="97.866399999999999"/>
    <x v="6"/>
    <n v="79"/>
    <n v="86"/>
    <s v="2004"/>
    <n v="4"/>
    <x v="1"/>
    <n v="-7"/>
    <n v="-8.1395348837209308E-2"/>
  </r>
  <r>
    <s v="3571"/>
    <x v="3580"/>
    <n v="2300000"/>
    <x v="27"/>
    <n v="97.8596"/>
    <x v="15"/>
    <n v="15"/>
    <n v="8"/>
    <s v="1993"/>
    <n v="1"/>
    <x v="0"/>
    <n v="7"/>
    <n v="0.875"/>
  </r>
  <r>
    <s v="3572"/>
    <x v="3581"/>
    <n v="11500000"/>
    <x v="7"/>
    <n v="97.855599999999995"/>
    <x v="11"/>
    <n v="38"/>
    <n v="28"/>
    <s v="2009"/>
    <n v="4"/>
    <x v="0"/>
    <n v="10"/>
    <n v="0.35714285714285715"/>
  </r>
  <r>
    <s v="3573"/>
    <x v="3582"/>
    <n v="15900000"/>
    <x v="14"/>
    <n v="97.841499999999996"/>
    <x v="19"/>
    <n v="82"/>
    <n v="53"/>
    <s v="2004"/>
    <n v="1"/>
    <x v="0"/>
    <n v="29"/>
    <n v="0.54716981132075471"/>
  </r>
  <r>
    <s v="3574"/>
    <x v="3583"/>
    <n v="166500000"/>
    <x v="9"/>
    <n v="97.802499999999995"/>
    <x v="7"/>
    <n v="40"/>
    <n v="30"/>
    <s v="1991"/>
    <n v="5"/>
    <x v="0"/>
    <n v="10"/>
    <n v="0.33333333333333331"/>
  </r>
  <r>
    <s v="3575"/>
    <x v="3584"/>
    <n v="5100000"/>
    <x v="21"/>
    <n v="97.772400000000005"/>
    <x v="23"/>
    <n v="8"/>
    <n v="4"/>
    <s v="2012"/>
    <n v="4"/>
    <x v="0"/>
    <n v="4"/>
    <n v="1"/>
  </r>
  <r>
    <s v="3576"/>
    <x v="3585"/>
    <n v="24900000"/>
    <x v="19"/>
    <n v="97.726399999999998"/>
    <x v="3"/>
    <n v="26"/>
    <n v="13"/>
    <s v="2010"/>
    <n v="3"/>
    <x v="0"/>
    <n v="13"/>
    <n v="1"/>
  </r>
  <r>
    <s v="3577"/>
    <x v="3586"/>
    <n v="5100000"/>
    <x v="13"/>
    <n v="97.726100000000002"/>
    <x v="0"/>
    <n v="12"/>
    <n v="6"/>
    <s v="2012"/>
    <n v="1"/>
    <x v="0"/>
    <n v="6"/>
    <n v="1"/>
  </r>
  <r>
    <s v="3578"/>
    <x v="3587"/>
    <n v="32700000"/>
    <x v="12"/>
    <n v="97.713099999999997"/>
    <x v="23"/>
    <n v="2900"/>
    <n v="1800"/>
    <s v="2012"/>
    <n v="3"/>
    <x v="0"/>
    <n v="1100"/>
    <n v="0.61111111111111116"/>
  </r>
  <r>
    <s v="3579"/>
    <x v="3588"/>
    <n v="3200000"/>
    <x v="16"/>
    <n v="97.678299999999993"/>
    <x v="23"/>
    <n v="52"/>
    <n v="23"/>
    <s v="2009"/>
    <n v="3"/>
    <x v="0"/>
    <n v="29"/>
    <n v="1.2608695652173914"/>
  </r>
  <r>
    <s v="3580"/>
    <x v="3589"/>
    <n v="7300000"/>
    <x v="0"/>
    <n v="97.671000000000006"/>
    <x v="5"/>
    <n v="20"/>
    <n v="13"/>
    <s v="2011"/>
    <n v="4"/>
    <x v="0"/>
    <n v="7"/>
    <n v="0.53846153846153844"/>
  </r>
  <r>
    <s v="3581"/>
    <x v="3590"/>
    <n v="30300000"/>
    <x v="4"/>
    <n v="97.612899999999996"/>
    <x v="13"/>
    <n v="21"/>
    <n v="16"/>
    <s v="1997"/>
    <n v="1"/>
    <x v="0"/>
    <n v="5"/>
    <n v="0.3125"/>
  </r>
  <r>
    <s v="3582"/>
    <x v="3591"/>
    <n v="66300000"/>
    <x v="2"/>
    <n v="97.611599999999996"/>
    <x v="20"/>
    <n v="90"/>
    <n v="70"/>
    <s v="2008"/>
    <n v="6"/>
    <x v="0"/>
    <n v="20"/>
    <n v="0.2857142857142857"/>
  </r>
  <r>
    <s v="3583"/>
    <x v="3592"/>
    <n v="92700000"/>
    <x v="13"/>
    <n v="97.602699999999999"/>
    <x v="7"/>
    <n v="569"/>
    <n v="414"/>
    <s v="2001"/>
    <n v="4"/>
    <x v="0"/>
    <n v="155"/>
    <n v="0.37439613526570048"/>
  </r>
  <r>
    <s v="3584"/>
    <x v="3593"/>
    <n v="21100000"/>
    <x v="11"/>
    <n v="97.580100000000002"/>
    <x v="5"/>
    <n v="93"/>
    <n v="71"/>
    <s v="2010"/>
    <n v="6"/>
    <x v="0"/>
    <n v="22"/>
    <n v="0.30985915492957744"/>
  </r>
  <r>
    <s v="3585"/>
    <x v="3594"/>
    <n v="68500000"/>
    <x v="18"/>
    <n v="97.567700000000002"/>
    <x v="15"/>
    <n v="55"/>
    <n v="20"/>
    <s v="2010"/>
    <n v="6"/>
    <x v="0"/>
    <n v="35"/>
    <n v="1.75"/>
  </r>
  <r>
    <s v="3586"/>
    <x v="3595"/>
    <n v="4500000"/>
    <x v="22"/>
    <n v="97.539299999999997"/>
    <x v="9"/>
    <n v="27"/>
    <n v="16"/>
    <s v="2001"/>
    <n v="4"/>
    <x v="0"/>
    <n v="11"/>
    <n v="0.6875"/>
  </r>
  <r>
    <s v="3587"/>
    <x v="3596"/>
    <n v="10900000"/>
    <x v="5"/>
    <n v="97.508300000000006"/>
    <x v="20"/>
    <n v="56"/>
    <n v="34"/>
    <s v="1996"/>
    <n v="1"/>
    <x v="0"/>
    <n v="22"/>
    <n v="0.6470588235294118"/>
  </r>
  <r>
    <s v="3588"/>
    <x v="3597"/>
    <n v="12700000"/>
    <x v="27"/>
    <n v="97.5077"/>
    <x v="1"/>
    <n v="359"/>
    <n v="105"/>
    <s v="2008"/>
    <n v="3"/>
    <x v="0"/>
    <n v="254"/>
    <n v="2.4190476190476189"/>
  </r>
  <r>
    <s v="3589"/>
    <x v="3598"/>
    <n v="5500000"/>
    <x v="9"/>
    <n v="97.490300000000005"/>
    <x v="11"/>
    <n v="38"/>
    <n v="19"/>
    <s v="2010"/>
    <n v="5"/>
    <x v="0"/>
    <n v="19"/>
    <n v="1"/>
  </r>
  <r>
    <s v="3590"/>
    <x v="3599"/>
    <n v="3000000"/>
    <x v="18"/>
    <n v="97.4559"/>
    <x v="25"/>
    <n v="21"/>
    <n v="10"/>
    <s v="1992"/>
    <n v="2"/>
    <x v="0"/>
    <n v="11"/>
    <n v="1.1000000000000001"/>
  </r>
  <r>
    <s v="3591"/>
    <x v="3600"/>
    <n v="2300000"/>
    <x v="40"/>
    <n v="97.444599999999994"/>
    <x v="4"/>
    <n v="12"/>
    <n v="6"/>
    <s v="2001"/>
    <n v="1"/>
    <x v="0"/>
    <n v="6"/>
    <n v="1"/>
  </r>
  <r>
    <s v="3592"/>
    <x v="3601"/>
    <n v="2200000"/>
    <x v="12"/>
    <n v="97.41"/>
    <x v="5"/>
    <n v="68"/>
    <n v="25"/>
    <s v="2003"/>
    <n v="1"/>
    <x v="0"/>
    <n v="43"/>
    <n v="1.72"/>
  </r>
  <r>
    <s v="3593"/>
    <x v="3602"/>
    <n v="3100000"/>
    <x v="13"/>
    <n v="97.392700000000005"/>
    <x v="0"/>
    <n v="25"/>
    <n v="6"/>
    <s v="2007"/>
    <n v="1"/>
    <x v="0"/>
    <n v="19"/>
    <n v="3.1666666666666665"/>
  </r>
  <r>
    <s v="3594"/>
    <x v="3603"/>
    <n v="21700000"/>
    <x v="9"/>
    <n v="97.364800000000002"/>
    <x v="4"/>
    <n v="104"/>
    <n v="51"/>
    <s v="1959"/>
    <n v="3"/>
    <x v="0"/>
    <n v="53"/>
    <n v="1.0392156862745099"/>
  </r>
  <r>
    <s v="3595"/>
    <x v="3604"/>
    <n v="31200000"/>
    <x v="13"/>
    <n v="97.290499999999994"/>
    <x v="16"/>
    <n v="177"/>
    <n v="100"/>
    <s v="2011"/>
    <n v="5"/>
    <x v="0"/>
    <n v="77"/>
    <n v="0.77"/>
  </r>
  <r>
    <s v="3596"/>
    <x v="3605"/>
    <n v="2300000000"/>
    <x v="18"/>
    <n v="97.267200000000003"/>
    <x v="1"/>
    <n v="486"/>
    <n v="378"/>
    <s v="1999"/>
    <n v="12"/>
    <x v="0"/>
    <n v="108"/>
    <n v="0.2857142857142857"/>
  </r>
  <r>
    <s v="3597"/>
    <x v="3606"/>
    <n v="5900000"/>
    <x v="40"/>
    <n v="97.184399999999997"/>
    <x v="0"/>
    <n v="34"/>
    <n v="20"/>
    <s v="2009"/>
    <n v="4"/>
    <x v="0"/>
    <n v="14"/>
    <n v="0.7"/>
  </r>
  <r>
    <s v="3598"/>
    <x v="3607"/>
    <n v="13000000"/>
    <x v="12"/>
    <n v="97.124799999999993"/>
    <x v="0"/>
    <n v="51"/>
    <n v="27"/>
    <s v="2008"/>
    <n v="7"/>
    <x v="0"/>
    <n v="24"/>
    <n v="0.88888888888888884"/>
  </r>
  <r>
    <s v="3599"/>
    <x v="3608"/>
    <n v="2500000"/>
    <x v="12"/>
    <n v="97.100800000000007"/>
    <x v="0"/>
    <n v="9"/>
    <n v="5"/>
    <s v="2013"/>
    <n v="1"/>
    <x v="0"/>
    <n v="4"/>
    <n v="0.8"/>
  </r>
  <r>
    <s v="3600"/>
    <x v="3609"/>
    <n v="19300000"/>
    <x v="9"/>
    <n v="97.100099999999998"/>
    <x v="7"/>
    <n v="125"/>
    <n v="40"/>
    <s v="2001"/>
    <n v="2"/>
    <x v="0"/>
    <n v="85"/>
    <n v="2.125"/>
  </r>
  <r>
    <s v="3601"/>
    <x v="3610"/>
    <n v="12500000"/>
    <x v="2"/>
    <n v="97.081800000000001"/>
    <x v="7"/>
    <n v="96"/>
    <n v="55"/>
    <s v="2005"/>
    <n v="6"/>
    <x v="0"/>
    <n v="41"/>
    <n v="0.74545454545454548"/>
  </r>
  <r>
    <s v="3602"/>
    <x v="3611"/>
    <n v="15900000"/>
    <x v="2"/>
    <n v="97.054400000000001"/>
    <x v="10"/>
    <n v="29"/>
    <n v="32"/>
    <s v="2011"/>
    <n v="4"/>
    <x v="1"/>
    <n v="-3"/>
    <n v="-9.375E-2"/>
  </r>
  <r>
    <s v="3603"/>
    <x v="3612"/>
    <n v="2200000"/>
    <x v="2"/>
    <n v="97.028199999999998"/>
    <x v="0"/>
    <n v="17"/>
    <n v="13"/>
    <s v="2008"/>
    <n v="2"/>
    <x v="0"/>
    <n v="4"/>
    <n v="0.30769230769230771"/>
  </r>
  <r>
    <s v="3604"/>
    <x v="3613"/>
    <n v="4000000"/>
    <x v="2"/>
    <n v="97.018699999999995"/>
    <x v="11"/>
    <n v="43"/>
    <n v="21"/>
    <s v="2002"/>
    <n v="1"/>
    <x v="0"/>
    <n v="22"/>
    <n v="1.0476190476190477"/>
  </r>
  <r>
    <s v="3605"/>
    <x v="3614"/>
    <n v="10000000"/>
    <x v="20"/>
    <n v="97.004300000000001"/>
    <x v="1"/>
    <n v="20"/>
    <n v="12"/>
    <s v="2009"/>
    <n v="1"/>
    <x v="0"/>
    <n v="8"/>
    <n v="0.66666666666666663"/>
  </r>
  <r>
    <s v="3606"/>
    <x v="3615"/>
    <n v="14200000"/>
    <x v="9"/>
    <n v="96.997799999999998"/>
    <x v="5"/>
    <n v="43"/>
    <n v="21"/>
    <s v="2001"/>
    <n v="4"/>
    <x v="0"/>
    <n v="22"/>
    <n v="1.0476190476190477"/>
  </r>
  <r>
    <s v="3607"/>
    <x v="3616"/>
    <n v="16200000"/>
    <x v="24"/>
    <n v="96.956800000000001"/>
    <x v="23"/>
    <n v="67"/>
    <n v="25"/>
    <s v="2006"/>
    <n v="4"/>
    <x v="0"/>
    <n v="42"/>
    <n v="1.68"/>
  </r>
  <r>
    <s v="3608"/>
    <x v="3617"/>
    <n v="4200000"/>
    <x v="5"/>
    <n v="96.909499999999994"/>
    <x v="0"/>
    <n v="80"/>
    <n v="30"/>
    <s v="2015"/>
    <n v="1"/>
    <x v="0"/>
    <n v="50"/>
    <n v="1.6666666666666667"/>
  </r>
  <r>
    <s v="3609"/>
    <x v="3618"/>
    <n v="33200000"/>
    <x v="12"/>
    <n v="96.805700000000002"/>
    <x v="17"/>
    <n v="76"/>
    <n v="39"/>
    <s v="2007"/>
    <n v="3"/>
    <x v="0"/>
    <n v="37"/>
    <n v="0.94871794871794868"/>
  </r>
  <r>
    <s v="3610"/>
    <x v="3619"/>
    <n v="3900000"/>
    <x v="32"/>
    <n v="96.791499999999999"/>
    <x v="22"/>
    <n v="32"/>
    <n v="25"/>
    <s v="1992"/>
    <n v="7"/>
    <x v="0"/>
    <n v="7"/>
    <n v="0.28000000000000003"/>
  </r>
  <r>
    <s v="3611"/>
    <x v="3620"/>
    <n v="2500000"/>
    <x v="2"/>
    <n v="96.768199999999993"/>
    <x v="16"/>
    <n v="48"/>
    <n v="35"/>
    <s v="1999"/>
    <n v="2"/>
    <x v="0"/>
    <n v="13"/>
    <n v="0.37142857142857144"/>
  </r>
  <r>
    <s v="3612"/>
    <x v="3621"/>
    <n v="3300000"/>
    <x v="2"/>
    <n v="96.764200000000002"/>
    <x v="23"/>
    <n v="48"/>
    <n v="18"/>
    <s v="1945"/>
    <n v="3"/>
    <x v="0"/>
    <n v="30"/>
    <n v="1.6666666666666667"/>
  </r>
  <r>
    <s v="3613"/>
    <x v="3622"/>
    <n v="9400000"/>
    <x v="1"/>
    <n v="96.762699999999995"/>
    <x v="7"/>
    <n v="10"/>
    <n v="14"/>
    <s v="2005"/>
    <n v="2"/>
    <x v="1"/>
    <n v="-4"/>
    <n v="-0.2857142857142857"/>
  </r>
  <r>
    <s v="3614"/>
    <x v="3623"/>
    <n v="9500000"/>
    <x v="2"/>
    <n v="96.640799999999999"/>
    <x v="2"/>
    <n v="128"/>
    <n v="68"/>
    <s v="1980"/>
    <n v="4"/>
    <x v="0"/>
    <n v="60"/>
    <n v="0.88235294117647056"/>
  </r>
  <r>
    <s v="3615"/>
    <x v="3624"/>
    <n v="15200000"/>
    <x v="20"/>
    <n v="96.585700000000003"/>
    <x v="19"/>
    <n v="74"/>
    <n v="44"/>
    <s v="2000"/>
    <n v="8"/>
    <x v="0"/>
    <n v="30"/>
    <n v="0.68181818181818177"/>
  </r>
  <r>
    <s v="3616"/>
    <x v="3625"/>
    <n v="3000000"/>
    <x v="33"/>
    <n v="96.552300000000002"/>
    <x v="15"/>
    <n v="24"/>
    <n v="13"/>
    <s v="2007"/>
    <n v="1"/>
    <x v="0"/>
    <n v="11"/>
    <n v="0.84615384615384615"/>
  </r>
  <r>
    <s v="3617"/>
    <x v="3626"/>
    <n v="31300000"/>
    <x v="45"/>
    <n v="96.552099999999996"/>
    <x v="7"/>
    <n v="70"/>
    <n v="40"/>
    <s v="2013"/>
    <n v="2"/>
    <x v="0"/>
    <n v="30"/>
    <n v="0.75"/>
  </r>
  <r>
    <s v="3618"/>
    <x v="3627"/>
    <n v="91800000"/>
    <x v="9"/>
    <n v="96.530199999999994"/>
    <x v="0"/>
    <n v="227"/>
    <n v="313"/>
    <s v="2008"/>
    <n v="1"/>
    <x v="1"/>
    <n v="-86"/>
    <n v="-0.27476038338658149"/>
  </r>
  <r>
    <s v="3619"/>
    <x v="3628"/>
    <n v="4300000"/>
    <x v="34"/>
    <n v="96.451999999999998"/>
    <x v="3"/>
    <n v="17"/>
    <n v="7"/>
    <s v="2010"/>
    <n v="4"/>
    <x v="0"/>
    <n v="10"/>
    <n v="1.4285714285714286"/>
  </r>
  <r>
    <s v="3620"/>
    <x v="3629"/>
    <n v="7100000"/>
    <x v="9"/>
    <n v="96.414199999999994"/>
    <x v="16"/>
    <n v="55"/>
    <n v="32"/>
    <s v="1999"/>
    <n v="2"/>
    <x v="0"/>
    <n v="23"/>
    <n v="0.71875"/>
  </r>
  <r>
    <s v="3621"/>
    <x v="3630"/>
    <n v="40000000"/>
    <x v="2"/>
    <n v="96.408199999999994"/>
    <x v="12"/>
    <n v="120"/>
    <n v="40"/>
    <s v="2008"/>
    <n v="6"/>
    <x v="0"/>
    <n v="80"/>
    <n v="2"/>
  </r>
  <r>
    <s v="3622"/>
    <x v="3631"/>
    <n v="4400000"/>
    <x v="13"/>
    <n v="96.397800000000004"/>
    <x v="9"/>
    <n v="15"/>
    <n v="12"/>
    <s v="2007"/>
    <n v="1"/>
    <x v="0"/>
    <n v="3"/>
    <n v="0.25"/>
  </r>
  <r>
    <s v="3623"/>
    <x v="3632"/>
    <n v="88400000"/>
    <x v="13"/>
    <n v="96.354500000000002"/>
    <x v="5"/>
    <n v="1102"/>
    <n v="609"/>
    <s v="2003"/>
    <n v="5"/>
    <x v="0"/>
    <n v="493"/>
    <n v="0.80952380952380953"/>
  </r>
  <r>
    <s v="3624"/>
    <x v="3633"/>
    <n v="23700000"/>
    <x v="2"/>
    <n v="96.351699999999994"/>
    <x v="7"/>
    <n v="163"/>
    <n v="80"/>
    <s v="2009"/>
    <n v="4"/>
    <x v="0"/>
    <n v="83"/>
    <n v="1.0375000000000001"/>
  </r>
  <r>
    <s v="3625"/>
    <x v="3634"/>
    <n v="6400000"/>
    <x v="2"/>
    <n v="96.304599999999994"/>
    <x v="13"/>
    <n v="25"/>
    <n v="17"/>
    <s v="2010"/>
    <n v="2"/>
    <x v="0"/>
    <n v="8"/>
    <n v="0.47058823529411764"/>
  </r>
  <r>
    <s v="3626"/>
    <x v="3635"/>
    <n v="9000000"/>
    <x v="31"/>
    <n v="96.282300000000006"/>
    <x v="13"/>
    <n v="38"/>
    <n v="18"/>
    <s v="2009"/>
    <n v="1"/>
    <x v="0"/>
    <n v="20"/>
    <n v="1.1111111111111112"/>
  </r>
  <r>
    <s v="3627"/>
    <x v="3636"/>
    <n v="2100000"/>
    <x v="2"/>
    <n v="96.236999999999995"/>
    <x v="15"/>
    <n v="17"/>
    <n v="6"/>
    <s v="2007"/>
    <n v="1"/>
    <x v="0"/>
    <n v="11"/>
    <n v="1.8333333333333333"/>
  </r>
  <r>
    <s v="3628"/>
    <x v="3637"/>
    <n v="37900000"/>
    <x v="10"/>
    <n v="96.222499999999997"/>
    <x v="9"/>
    <n v="401"/>
    <n v="102"/>
    <s v="2002"/>
    <n v="6"/>
    <x v="0"/>
    <n v="299"/>
    <n v="2.9313725490196076"/>
  </r>
  <r>
    <s v="3629"/>
    <x v="3638"/>
    <n v="219800000"/>
    <x v="16"/>
    <n v="96.152000000000001"/>
    <x v="3"/>
    <n v="315"/>
    <n v="200"/>
    <s v="2011"/>
    <n v="4"/>
    <x v="0"/>
    <n v="115"/>
    <n v="0.57499999999999996"/>
  </r>
  <r>
    <s v="3630"/>
    <x v="3639"/>
    <n v="23700000"/>
    <x v="27"/>
    <n v="96.124899999999997"/>
    <x v="9"/>
    <n v="104"/>
    <n v="24"/>
    <s v="2010"/>
    <n v="2"/>
    <x v="0"/>
    <n v="80"/>
    <n v="3.3333333333333335"/>
  </r>
  <r>
    <s v="3631"/>
    <x v="3640"/>
    <n v="16500000"/>
    <x v="7"/>
    <n v="96.007499999999993"/>
    <x v="9"/>
    <n v="290"/>
    <n v="99"/>
    <s v="2000"/>
    <n v="4"/>
    <x v="0"/>
    <n v="191"/>
    <n v="1.9292929292929293"/>
  </r>
  <r>
    <s v="3632"/>
    <x v="3641"/>
    <n v="22700000"/>
    <x v="2"/>
    <n v="95.967500000000001"/>
    <x v="5"/>
    <n v="470"/>
    <n v="200"/>
    <s v="1999"/>
    <n v="5"/>
    <x v="0"/>
    <n v="270"/>
    <n v="1.35"/>
  </r>
  <r>
    <s v="3633"/>
    <x v="3642"/>
    <n v="2100000"/>
    <x v="9"/>
    <n v="95.905699999999996"/>
    <x v="19"/>
    <n v="11"/>
    <n v="5"/>
    <s v="2009"/>
    <n v="2"/>
    <x v="0"/>
    <n v="6"/>
    <n v="1.2"/>
  </r>
  <r>
    <s v="3634"/>
    <x v="3643"/>
    <n v="54900000"/>
    <x v="7"/>
    <n v="95.877099999999999"/>
    <x v="23"/>
    <n v="68"/>
    <n v="50"/>
    <s v="2006"/>
    <n v="3"/>
    <x v="0"/>
    <n v="18"/>
    <n v="0.36"/>
  </r>
  <r>
    <s v="3635"/>
    <x v="3644"/>
    <n v="73200000"/>
    <x v="7"/>
    <n v="95.834199999999996"/>
    <x v="4"/>
    <n v="300"/>
    <n v="170"/>
    <s v="1991"/>
    <n v="3"/>
    <x v="0"/>
    <n v="130"/>
    <n v="0.76470588235294112"/>
  </r>
  <r>
    <s v="3636"/>
    <x v="3645"/>
    <n v="32300000"/>
    <x v="12"/>
    <n v="95.826300000000003"/>
    <x v="2"/>
    <n v="285"/>
    <n v="166"/>
    <s v="2001"/>
    <n v="4"/>
    <x v="0"/>
    <n v="119"/>
    <n v="0.7168674698795181"/>
  </r>
  <r>
    <s v="3637"/>
    <x v="3646"/>
    <n v="26600000"/>
    <x v="22"/>
    <n v="95.815600000000003"/>
    <x v="20"/>
    <n v="165"/>
    <n v="108"/>
    <s v="2005"/>
    <n v="8"/>
    <x v="0"/>
    <n v="57"/>
    <n v="0.52777777777777779"/>
  </r>
  <r>
    <s v="3638"/>
    <x v="3647"/>
    <n v="4300000"/>
    <x v="10"/>
    <n v="95.786699999999996"/>
    <x v="19"/>
    <n v="26"/>
    <n v="13"/>
    <s v="2001"/>
    <n v="4"/>
    <x v="0"/>
    <n v="13"/>
    <n v="1"/>
  </r>
  <r>
    <s v="3639"/>
    <x v="3648"/>
    <n v="50700000"/>
    <x v="13"/>
    <n v="95.750100000000003"/>
    <x v="2"/>
    <n v="105"/>
    <n v="50"/>
    <s v="1997"/>
    <n v="9"/>
    <x v="0"/>
    <n v="55"/>
    <n v="1.1000000000000001"/>
  </r>
  <r>
    <s v="3640"/>
    <x v="3649"/>
    <n v="5700000"/>
    <x v="24"/>
    <n v="95.737399999999994"/>
    <x v="19"/>
    <n v="22"/>
    <n v="15"/>
    <s v="2007"/>
    <n v="5"/>
    <x v="0"/>
    <n v="7"/>
    <n v="0.46666666666666667"/>
  </r>
  <r>
    <s v="3641"/>
    <x v="3650"/>
    <n v="3800000"/>
    <x v="9"/>
    <n v="95.721100000000007"/>
    <x v="15"/>
    <n v="30"/>
    <n v="11"/>
    <s v="1988"/>
    <n v="2"/>
    <x v="0"/>
    <n v="19"/>
    <n v="1.7272727272727273"/>
  </r>
  <r>
    <s v="3642"/>
    <x v="3651"/>
    <n v="11100000"/>
    <x v="4"/>
    <n v="95.697199999999995"/>
    <x v="2"/>
    <n v="671"/>
    <n v="311"/>
    <s v="2005"/>
    <n v="4"/>
    <x v="0"/>
    <n v="360"/>
    <n v="1.157556270096463"/>
  </r>
  <r>
    <s v="3643"/>
    <x v="3652"/>
    <n v="3000000"/>
    <x v="35"/>
    <n v="95.687399999999997"/>
    <x v="3"/>
    <n v="19"/>
    <n v="10"/>
    <s v="2007"/>
    <n v="1"/>
    <x v="0"/>
    <n v="9"/>
    <n v="0.9"/>
  </r>
  <r>
    <s v="3644"/>
    <x v="3653"/>
    <n v="117600000"/>
    <x v="27"/>
    <n v="95.664000000000001"/>
    <x v="1"/>
    <n v="60"/>
    <n v="20"/>
    <s v="2003"/>
    <n v="9"/>
    <x v="0"/>
    <n v="40"/>
    <n v="2"/>
  </r>
  <r>
    <s v="3645"/>
    <x v="3654"/>
    <n v="17400000"/>
    <x v="12"/>
    <n v="95.595799999999997"/>
    <x v="5"/>
    <n v="365"/>
    <n v="150"/>
    <s v="2008"/>
    <n v="2"/>
    <x v="0"/>
    <n v="215"/>
    <n v="1.4333333333333333"/>
  </r>
  <r>
    <s v="3646"/>
    <x v="3655"/>
    <n v="3900000"/>
    <x v="32"/>
    <n v="95.589600000000004"/>
    <x v="23"/>
    <n v="17"/>
    <n v="9"/>
    <s v="2010"/>
    <n v="3"/>
    <x v="0"/>
    <n v="8"/>
    <n v="0.88888888888888884"/>
  </r>
  <r>
    <s v="3647"/>
    <x v="3656"/>
    <n v="10800000"/>
    <x v="27"/>
    <n v="95.436899999999994"/>
    <x v="23"/>
    <n v="30"/>
    <n v="11"/>
    <s v="2014"/>
    <n v="2"/>
    <x v="0"/>
    <n v="19"/>
    <n v="1.7272727272727273"/>
  </r>
  <r>
    <s v="3648"/>
    <x v="3657"/>
    <n v="11900000"/>
    <x v="19"/>
    <n v="95.428200000000004"/>
    <x v="15"/>
    <n v="42"/>
    <n v="17"/>
    <s v="2006"/>
    <n v="1"/>
    <x v="0"/>
    <n v="25"/>
    <n v="1.4705882352941178"/>
  </r>
  <r>
    <s v="3649"/>
    <x v="3658"/>
    <n v="2000000"/>
    <x v="18"/>
    <n v="95.425799999999995"/>
    <x v="23"/>
    <n v="11"/>
    <n v="8"/>
    <s v="2004"/>
    <n v="1"/>
    <x v="0"/>
    <n v="3"/>
    <n v="0.375"/>
  </r>
  <r>
    <s v="3650"/>
    <x v="3659"/>
    <n v="29500000"/>
    <x v="32"/>
    <n v="95.419899999999998"/>
    <x v="21"/>
    <n v="198"/>
    <n v="103"/>
    <s v="1992"/>
    <n v="1"/>
    <x v="0"/>
    <n v="95"/>
    <n v="0.92233009708737868"/>
  </r>
  <r>
    <s v="3651"/>
    <x v="3660"/>
    <n v="154100000"/>
    <x v="16"/>
    <n v="95.392399999999995"/>
    <x v="20"/>
    <n v="3048"/>
    <n v="2532"/>
    <s v="2010"/>
    <n v="4"/>
    <x v="0"/>
    <n v="516"/>
    <n v="0.20379146919431279"/>
  </r>
  <r>
    <s v="3652"/>
    <x v="3661"/>
    <n v="49900000"/>
    <x v="9"/>
    <n v="95.362399999999994"/>
    <x v="9"/>
    <n v="289"/>
    <n v="122"/>
    <s v="2002"/>
    <n v="8"/>
    <x v="0"/>
    <n v="167"/>
    <n v="1.3688524590163935"/>
  </r>
  <r>
    <s v="3653"/>
    <x v="3662"/>
    <n v="17400000"/>
    <x v="9"/>
    <n v="95.309600000000003"/>
    <x v="12"/>
    <n v="280"/>
    <n v="120"/>
    <s v="2005"/>
    <n v="5"/>
    <x v="0"/>
    <n v="160"/>
    <n v="1.3333333333333333"/>
  </r>
  <r>
    <s v="3654"/>
    <x v="3663"/>
    <n v="257300000"/>
    <x v="9"/>
    <n v="95.290800000000004"/>
    <x v="11"/>
    <n v="39"/>
    <n v="25"/>
    <s v="1997"/>
    <n v="4"/>
    <x v="0"/>
    <n v="14"/>
    <n v="0.56000000000000005"/>
  </r>
  <r>
    <s v="3655"/>
    <x v="3664"/>
    <n v="15300000"/>
    <x v="2"/>
    <n v="95.221699999999998"/>
    <x v="9"/>
    <n v="59"/>
    <n v="35"/>
    <s v="2004"/>
    <n v="2"/>
    <x v="0"/>
    <n v="24"/>
    <n v="0.68571428571428572"/>
  </r>
  <r>
    <s v="3656"/>
    <x v="3665"/>
    <n v="14700000"/>
    <x v="41"/>
    <n v="95.207999999999998"/>
    <x v="25"/>
    <n v="53"/>
    <n v="54"/>
    <s v="1963"/>
    <n v="1"/>
    <x v="1"/>
    <n v="-1"/>
    <n v="-1.8518518518518517E-2"/>
  </r>
  <r>
    <s v="3657"/>
    <x v="3666"/>
    <n v="4000000"/>
    <x v="7"/>
    <n v="95.175399999999996"/>
    <x v="19"/>
    <n v="37"/>
    <n v="13"/>
    <s v="2010"/>
    <n v="5"/>
    <x v="0"/>
    <n v="24"/>
    <n v="1.8461538461538463"/>
  </r>
  <r>
    <s v="3658"/>
    <x v="3667"/>
    <n v="8300000"/>
    <x v="11"/>
    <n v="95.155600000000007"/>
    <x v="15"/>
    <n v="35"/>
    <n v="15"/>
    <s v="2008"/>
    <n v="1"/>
    <x v="0"/>
    <n v="20"/>
    <n v="1.3333333333333333"/>
  </r>
  <r>
    <s v="3659"/>
    <x v="3668"/>
    <n v="2200000"/>
    <x v="20"/>
    <n v="95.141199999999998"/>
    <x v="20"/>
    <n v="25"/>
    <n v="12"/>
    <s v="2013"/>
    <n v="1"/>
    <x v="0"/>
    <n v="13"/>
    <n v="1.0833333333333333"/>
  </r>
  <r>
    <s v="3660"/>
    <x v="3669"/>
    <n v="13800000"/>
    <x v="14"/>
    <n v="95.090100000000007"/>
    <x v="19"/>
    <n v="109"/>
    <n v="65"/>
    <s v="1995"/>
    <n v="1"/>
    <x v="0"/>
    <n v="44"/>
    <n v="0.67692307692307696"/>
  </r>
  <r>
    <s v="3661"/>
    <x v="3670"/>
    <n v="32300000"/>
    <x v="8"/>
    <n v="95.064300000000003"/>
    <x v="11"/>
    <n v="190"/>
    <n v="62"/>
    <s v="2006"/>
    <n v="4"/>
    <x v="0"/>
    <n v="128"/>
    <n v="2.064516129032258"/>
  </r>
  <r>
    <s v="3662"/>
    <x v="3671"/>
    <n v="6300000"/>
    <x v="13"/>
    <n v="95.021100000000004"/>
    <x v="23"/>
    <n v="7"/>
    <n v="4"/>
    <s v="2010"/>
    <n v="4"/>
    <x v="0"/>
    <n v="3"/>
    <n v="0.75"/>
  </r>
  <r>
    <s v="3663"/>
    <x v="3672"/>
    <n v="65100000"/>
    <x v="8"/>
    <n v="94.9131"/>
    <x v="1"/>
    <n v="85"/>
    <n v="35"/>
    <s v="1986"/>
    <n v="6"/>
    <x v="0"/>
    <n v="50"/>
    <n v="1.4285714285714286"/>
  </r>
  <r>
    <s v="3664"/>
    <x v="3673"/>
    <n v="21200000"/>
    <x v="0"/>
    <n v="94.899000000000001"/>
    <x v="18"/>
    <n v="118"/>
    <n v="73"/>
    <s v="2011"/>
    <n v="2"/>
    <x v="0"/>
    <n v="45"/>
    <n v="0.61643835616438358"/>
  </r>
  <r>
    <s v="3665"/>
    <x v="3674"/>
    <n v="8800000"/>
    <x v="21"/>
    <n v="94.894999999999996"/>
    <x v="5"/>
    <n v="190"/>
    <n v="90"/>
    <s v="2005"/>
    <n v="2"/>
    <x v="0"/>
    <n v="100"/>
    <n v="1.1111111111111112"/>
  </r>
  <r>
    <s v="3666"/>
    <x v="3675"/>
    <n v="7500000"/>
    <x v="13"/>
    <n v="94.844700000000003"/>
    <x v="6"/>
    <n v="90"/>
    <n v="50"/>
    <s v="2003"/>
    <n v="1"/>
    <x v="0"/>
    <n v="40"/>
    <n v="0.8"/>
  </r>
  <r>
    <s v="3667"/>
    <x v="3676"/>
    <n v="19800000"/>
    <x v="32"/>
    <n v="94.720799999999997"/>
    <x v="4"/>
    <n v="30"/>
    <n v="12"/>
    <s v="2006"/>
    <n v="5"/>
    <x v="0"/>
    <n v="18"/>
    <n v="1.5"/>
  </r>
  <r>
    <s v="3668"/>
    <x v="3677"/>
    <n v="14100000"/>
    <x v="2"/>
    <n v="94.718900000000005"/>
    <x v="7"/>
    <n v="32"/>
    <n v="19"/>
    <s v="2006"/>
    <n v="2"/>
    <x v="0"/>
    <n v="13"/>
    <n v="0.68421052631578949"/>
  </r>
  <r>
    <s v="3669"/>
    <x v="3678"/>
    <n v="4200000"/>
    <x v="20"/>
    <n v="94.675899999999999"/>
    <x v="9"/>
    <n v="20"/>
    <n v="7"/>
    <s v="2014"/>
    <n v="2"/>
    <x v="0"/>
    <n v="13"/>
    <n v="1.8571428571428572"/>
  </r>
  <r>
    <s v="3670"/>
    <x v="3679"/>
    <n v="25700000"/>
    <x v="24"/>
    <n v="94.649299999999997"/>
    <x v="19"/>
    <n v="100"/>
    <n v="50"/>
    <s v="2006"/>
    <n v="8"/>
    <x v="0"/>
    <n v="50"/>
    <n v="1"/>
  </r>
  <r>
    <s v="3671"/>
    <x v="3680"/>
    <n v="15700000"/>
    <x v="33"/>
    <n v="94.618200000000002"/>
    <x v="3"/>
    <n v="38"/>
    <n v="14"/>
    <s v="1993"/>
    <n v="7"/>
    <x v="0"/>
    <n v="24"/>
    <n v="1.7142857142857142"/>
  </r>
  <r>
    <s v="3672"/>
    <x v="3681"/>
    <n v="8300000"/>
    <x v="6"/>
    <n v="94.593800000000002"/>
    <x v="3"/>
    <n v="13"/>
    <n v="8"/>
    <s v="2008"/>
    <n v="1"/>
    <x v="0"/>
    <n v="5"/>
    <n v="0.625"/>
  </r>
  <r>
    <s v="3673"/>
    <x v="3682"/>
    <n v="32200000"/>
    <x v="9"/>
    <n v="94.567099999999996"/>
    <x v="7"/>
    <n v="86"/>
    <n v="37"/>
    <s v="2004"/>
    <n v="1"/>
    <x v="0"/>
    <n v="49"/>
    <n v="1.3243243243243243"/>
  </r>
  <r>
    <s v="3674"/>
    <x v="3683"/>
    <n v="7800000"/>
    <x v="34"/>
    <n v="94.504300000000001"/>
    <x v="11"/>
    <n v="34"/>
    <n v="30"/>
    <s v="2007"/>
    <n v="7"/>
    <x v="0"/>
    <n v="4"/>
    <n v="0.13333333333333333"/>
  </r>
  <r>
    <s v="3675"/>
    <x v="3684"/>
    <n v="10500000"/>
    <x v="9"/>
    <n v="94.444400000000002"/>
    <x v="2"/>
    <n v="50"/>
    <n v="40"/>
    <s v="2009"/>
    <n v="1"/>
    <x v="0"/>
    <n v="10"/>
    <n v="0.25"/>
  </r>
  <r>
    <s v="3676"/>
    <x v="3685"/>
    <n v="3000000"/>
    <x v="12"/>
    <n v="94.401799999999994"/>
    <x v="0"/>
    <n v="25"/>
    <n v="12"/>
    <s v="2012"/>
    <n v="2"/>
    <x v="0"/>
    <n v="13"/>
    <n v="1.0833333333333333"/>
  </r>
  <r>
    <s v="3677"/>
    <x v="3686"/>
    <n v="262000000"/>
    <x v="14"/>
    <n v="94.359800000000007"/>
    <x v="23"/>
    <n v="324"/>
    <n v="142"/>
    <s v="1999"/>
    <n v="5"/>
    <x v="0"/>
    <n v="182"/>
    <n v="1.2816901408450705"/>
  </r>
  <r>
    <s v="3678"/>
    <x v="3687"/>
    <n v="7400000"/>
    <x v="13"/>
    <n v="94.353899999999996"/>
    <x v="22"/>
    <n v="25"/>
    <n v="23"/>
    <s v="1997"/>
    <n v="1"/>
    <x v="0"/>
    <n v="2"/>
    <n v="8.6956521739130432E-2"/>
  </r>
  <r>
    <s v="3679"/>
    <x v="3688"/>
    <n v="12200000"/>
    <x v="16"/>
    <n v="94.330699999999993"/>
    <x v="17"/>
    <n v="40"/>
    <n v="15"/>
    <s v="2011"/>
    <n v="4"/>
    <x v="0"/>
    <n v="25"/>
    <n v="1.6666666666666667"/>
  </r>
  <r>
    <s v="3680"/>
    <x v="3689"/>
    <n v="5700000"/>
    <x v="15"/>
    <n v="94.314499999999995"/>
    <x v="15"/>
    <n v="35"/>
    <n v="18"/>
    <s v="2000"/>
    <n v="2"/>
    <x v="0"/>
    <n v="17"/>
    <n v="0.94444444444444442"/>
  </r>
  <r>
    <s v="3681"/>
    <x v="3690"/>
    <n v="1000000000"/>
    <x v="28"/>
    <n v="94.258200000000002"/>
    <x v="1"/>
    <n v="2400"/>
    <n v="1"/>
    <s v="2003"/>
    <n v="1"/>
    <x v="0"/>
    <n v="2399"/>
    <n v="2399"/>
  </r>
  <r>
    <s v="3682"/>
    <x v="3691"/>
    <n v="3400000"/>
    <x v="2"/>
    <n v="94.213300000000004"/>
    <x v="0"/>
    <n v="36"/>
    <n v="17"/>
    <s v="2008"/>
    <n v="1"/>
    <x v="0"/>
    <n v="19"/>
    <n v="1.1176470588235294"/>
  </r>
  <r>
    <s v="3683"/>
    <x v="3692"/>
    <n v="45300000"/>
    <x v="33"/>
    <n v="94.16"/>
    <x v="22"/>
    <n v="344"/>
    <n v="168"/>
    <s v="1977"/>
    <n v="6"/>
    <x v="0"/>
    <n v="176"/>
    <n v="1.0476190476190477"/>
  </r>
  <r>
    <s v="3684"/>
    <x v="3693"/>
    <n v="22200000"/>
    <x v="10"/>
    <n v="94.144400000000005"/>
    <x v="3"/>
    <n v="24"/>
    <n v="14"/>
    <s v="2014"/>
    <n v="1"/>
    <x v="0"/>
    <n v="10"/>
    <n v="0.7142857142857143"/>
  </r>
  <r>
    <s v="3685"/>
    <x v="3694"/>
    <n v="30300000"/>
    <x v="9"/>
    <n v="94.081699999999998"/>
    <x v="9"/>
    <n v="84"/>
    <n v="38"/>
    <s v="2005"/>
    <n v="6"/>
    <x v="0"/>
    <n v="46"/>
    <n v="1.2105263157894737"/>
  </r>
  <r>
    <s v="3686"/>
    <x v="3695"/>
    <n v="33000000"/>
    <x v="9"/>
    <n v="94.032300000000006"/>
    <x v="7"/>
    <n v="42"/>
    <n v="30"/>
    <s v="1996"/>
    <n v="1"/>
    <x v="0"/>
    <n v="12"/>
    <n v="0.4"/>
  </r>
  <r>
    <s v="3687"/>
    <x v="3696"/>
    <n v="5200000"/>
    <x v="8"/>
    <n v="94.008099999999999"/>
    <x v="19"/>
    <n v="25"/>
    <n v="20"/>
    <s v="1991"/>
    <n v="1"/>
    <x v="0"/>
    <n v="5"/>
    <n v="0.25"/>
  </r>
  <r>
    <s v="3688"/>
    <x v="3697"/>
    <n v="69300000"/>
    <x v="27"/>
    <n v="93.872699999999995"/>
    <x v="18"/>
    <n v="70"/>
    <n v="40"/>
    <s v="1999"/>
    <n v="4"/>
    <x v="0"/>
    <n v="30"/>
    <n v="0.75"/>
  </r>
  <r>
    <s v="3689"/>
    <x v="3698"/>
    <n v="3200000"/>
    <x v="6"/>
    <n v="93.871099999999998"/>
    <x v="20"/>
    <n v="29"/>
    <n v="6"/>
    <s v="2006"/>
    <n v="1"/>
    <x v="0"/>
    <n v="23"/>
    <n v="3.8333333333333335"/>
  </r>
  <r>
    <s v="3690"/>
    <x v="3699"/>
    <n v="11000000"/>
    <x v="4"/>
    <n v="93.7714"/>
    <x v="19"/>
    <n v="75"/>
    <n v="45"/>
    <s v="2008"/>
    <n v="2"/>
    <x v="0"/>
    <n v="30"/>
    <n v="0.66666666666666663"/>
  </r>
  <r>
    <s v="3691"/>
    <x v="3700"/>
    <n v="2500000"/>
    <x v="12"/>
    <n v="93.754400000000004"/>
    <x v="3"/>
    <n v="13"/>
    <n v="3"/>
    <s v="2012"/>
    <n v="1"/>
    <x v="0"/>
    <n v="10"/>
    <n v="3.3333333333333335"/>
  </r>
  <r>
    <s v="3692"/>
    <x v="3701"/>
    <n v="36900000"/>
    <x v="1"/>
    <n v="93.745800000000003"/>
    <x v="7"/>
    <n v="205"/>
    <n v="74"/>
    <s v="2000"/>
    <n v="10"/>
    <x v="0"/>
    <n v="131"/>
    <n v="1.7702702702702702"/>
  </r>
  <r>
    <s v="3693"/>
    <x v="3702"/>
    <n v="2400000"/>
    <x v="6"/>
    <n v="93.647300000000001"/>
    <x v="16"/>
    <n v="12"/>
    <n v="5"/>
    <s v="2006"/>
    <n v="1"/>
    <x v="0"/>
    <n v="7"/>
    <n v="1.4"/>
  </r>
  <r>
    <s v="3694"/>
    <x v="3703"/>
    <n v="78500000"/>
    <x v="8"/>
    <n v="93.572999999999993"/>
    <x v="20"/>
    <n v="275"/>
    <n v="150"/>
    <s v="1996"/>
    <n v="2"/>
    <x v="0"/>
    <n v="125"/>
    <n v="0.83333333333333337"/>
  </r>
  <r>
    <s v="3695"/>
    <x v="3704"/>
    <n v="69900000"/>
    <x v="12"/>
    <n v="93.508300000000006"/>
    <x v="23"/>
    <n v="100"/>
    <n v="50"/>
    <s v="1999"/>
    <n v="1"/>
    <x v="0"/>
    <n v="50"/>
    <n v="1"/>
  </r>
  <r>
    <s v="3696"/>
    <x v="3705"/>
    <n v="26900000"/>
    <x v="9"/>
    <n v="93.346100000000007"/>
    <x v="24"/>
    <n v="37"/>
    <n v="35"/>
    <s v="2013"/>
    <n v="1"/>
    <x v="0"/>
    <n v="2"/>
    <n v="5.7142857142857141E-2"/>
  </r>
  <r>
    <s v="3697"/>
    <x v="3706"/>
    <n v="8200000"/>
    <x v="10"/>
    <n v="93.34"/>
    <x v="0"/>
    <n v="66"/>
    <n v="34"/>
    <s v="2000"/>
    <n v="6"/>
    <x v="0"/>
    <n v="32"/>
    <n v="0.94117647058823528"/>
  </r>
  <r>
    <s v="3698"/>
    <x v="3707"/>
    <n v="8500000"/>
    <x v="32"/>
    <n v="93.307599999999994"/>
    <x v="7"/>
    <n v="46"/>
    <n v="28"/>
    <s v="2009"/>
    <n v="6"/>
    <x v="0"/>
    <n v="18"/>
    <n v="0.6428571428571429"/>
  </r>
  <r>
    <s v="3699"/>
    <x v="3708"/>
    <n v="4100000"/>
    <x v="5"/>
    <n v="93.165899999999993"/>
    <x v="5"/>
    <n v="17"/>
    <n v="6"/>
    <s v="2014"/>
    <n v="1"/>
    <x v="0"/>
    <n v="11"/>
    <n v="1.8333333333333333"/>
  </r>
  <r>
    <s v="3700"/>
    <x v="3709"/>
    <n v="54500000"/>
    <x v="21"/>
    <n v="93.136600000000001"/>
    <x v="11"/>
    <n v="358"/>
    <n v="215"/>
    <s v="1990"/>
    <n v="4"/>
    <x v="0"/>
    <n v="143"/>
    <n v="0.66511627906976745"/>
  </r>
  <r>
    <s v="3701"/>
    <x v="3710"/>
    <n v="7300000"/>
    <x v="9"/>
    <n v="93.128"/>
    <x v="9"/>
    <n v="1000"/>
    <n v="300"/>
    <s v="2007"/>
    <n v="4"/>
    <x v="0"/>
    <n v="700"/>
    <n v="2.3333333333333335"/>
  </r>
  <r>
    <s v="3702"/>
    <x v="3711"/>
    <n v="64500000"/>
    <x v="9"/>
    <n v="93.064300000000003"/>
    <x v="20"/>
    <n v="342"/>
    <n v="175"/>
    <s v="2000"/>
    <n v="1"/>
    <x v="0"/>
    <n v="167"/>
    <n v="0.95428571428571429"/>
  </r>
  <r>
    <s v="3703"/>
    <x v="3712"/>
    <n v="31800000"/>
    <x v="5"/>
    <n v="93.063599999999994"/>
    <x v="15"/>
    <n v="27"/>
    <n v="15"/>
    <s v="2000"/>
    <n v="5"/>
    <x v="0"/>
    <n v="12"/>
    <n v="0.8"/>
  </r>
  <r>
    <s v="3704"/>
    <x v="3713"/>
    <n v="9200000"/>
    <x v="14"/>
    <n v="93.057000000000002"/>
    <x v="24"/>
    <n v="78"/>
    <n v="62"/>
    <s v="2011"/>
    <n v="5"/>
    <x v="0"/>
    <n v="16"/>
    <n v="0.25806451612903225"/>
  </r>
  <r>
    <s v="3705"/>
    <x v="3714"/>
    <n v="5500000"/>
    <x v="5"/>
    <n v="92.916899999999998"/>
    <x v="23"/>
    <n v="692"/>
    <n v="441"/>
    <s v="2006"/>
    <n v="3"/>
    <x v="0"/>
    <n v="251"/>
    <n v="0.56916099773242634"/>
  </r>
  <r>
    <s v="3706"/>
    <x v="3715"/>
    <n v="30300000"/>
    <x v="4"/>
    <n v="92.879900000000006"/>
    <x v="19"/>
    <n v="130"/>
    <n v="65"/>
    <s v="1970"/>
    <n v="2"/>
    <x v="0"/>
    <n v="65"/>
    <n v="1"/>
  </r>
  <r>
    <s v="3707"/>
    <x v="3716"/>
    <n v="4800000"/>
    <x v="7"/>
    <n v="92.846500000000006"/>
    <x v="12"/>
    <n v="12"/>
    <n v="6"/>
    <s v="2008"/>
    <n v="4"/>
    <x v="0"/>
    <n v="6"/>
    <n v="1"/>
  </r>
  <r>
    <s v="3708"/>
    <x v="3717"/>
    <n v="97800000"/>
    <x v="27"/>
    <n v="92.835800000000006"/>
    <x v="20"/>
    <n v="415"/>
    <n v="175"/>
    <s v="2000"/>
    <n v="1"/>
    <x v="0"/>
    <n v="240"/>
    <n v="1.3714285714285714"/>
  </r>
  <r>
    <s v="3709"/>
    <x v="3718"/>
    <n v="63700000"/>
    <x v="2"/>
    <n v="92.823700000000002"/>
    <x v="13"/>
    <n v="102"/>
    <n v="82"/>
    <s v="2002"/>
    <n v="3"/>
    <x v="0"/>
    <n v="20"/>
    <n v="0.24390243902439024"/>
  </r>
  <r>
    <s v="3710"/>
    <x v="3719"/>
    <n v="83100000"/>
    <x v="26"/>
    <n v="92.775400000000005"/>
    <x v="25"/>
    <n v="646"/>
    <n v="116"/>
    <s v="1972"/>
    <n v="4"/>
    <x v="0"/>
    <n v="530"/>
    <n v="4.568965517241379"/>
  </r>
  <r>
    <s v="3711"/>
    <x v="3720"/>
    <n v="28700000"/>
    <x v="2"/>
    <n v="92.668599999999998"/>
    <x v="12"/>
    <n v="45"/>
    <n v="39"/>
    <s v="1982"/>
    <n v="4"/>
    <x v="0"/>
    <n v="6"/>
    <n v="0.15384615384615385"/>
  </r>
  <r>
    <s v="3712"/>
    <x v="3721"/>
    <n v="11100000"/>
    <x v="4"/>
    <n v="92.643900000000002"/>
    <x v="9"/>
    <n v="75"/>
    <n v="21"/>
    <s v="2012"/>
    <n v="3"/>
    <x v="0"/>
    <n v="54"/>
    <n v="2.5714285714285716"/>
  </r>
  <r>
    <s v="3713"/>
    <x v="3722"/>
    <n v="4300000"/>
    <x v="6"/>
    <n v="92.518799999999999"/>
    <x v="23"/>
    <n v="51"/>
    <n v="11"/>
    <s v="2014"/>
    <n v="2"/>
    <x v="0"/>
    <n v="40"/>
    <n v="3.6363636363636362"/>
  </r>
  <r>
    <s v="3714"/>
    <x v="3723"/>
    <n v="177600000"/>
    <x v="9"/>
    <n v="92.490899999999996"/>
    <x v="0"/>
    <n v="721"/>
    <n v="427"/>
    <s v="2001"/>
    <n v="11"/>
    <x v="0"/>
    <n v="294"/>
    <n v="0.68852459016393441"/>
  </r>
  <r>
    <s v="3715"/>
    <x v="3724"/>
    <n v="34000000"/>
    <x v="11"/>
    <n v="92.400300000000001"/>
    <x v="23"/>
    <n v="182"/>
    <n v="114"/>
    <s v="2005"/>
    <n v="3"/>
    <x v="0"/>
    <n v="68"/>
    <n v="0.59649122807017541"/>
  </r>
  <r>
    <s v="3716"/>
    <x v="3725"/>
    <n v="12000000"/>
    <x v="2"/>
    <n v="92.397900000000007"/>
    <x v="16"/>
    <n v="120"/>
    <n v="35"/>
    <s v="2011"/>
    <n v="5"/>
    <x v="0"/>
    <n v="85"/>
    <n v="2.4285714285714284"/>
  </r>
  <r>
    <s v="3717"/>
    <x v="3726"/>
    <n v="55700000"/>
    <x v="0"/>
    <n v="92.249200000000002"/>
    <x v="1"/>
    <n v="87"/>
    <n v="51"/>
    <s v="2002"/>
    <n v="11"/>
    <x v="0"/>
    <n v="36"/>
    <n v="0.70588235294117652"/>
  </r>
  <r>
    <s v="3718"/>
    <x v="3727"/>
    <n v="5700000"/>
    <x v="9"/>
    <n v="92.159800000000004"/>
    <x v="7"/>
    <n v="22"/>
    <n v="13"/>
    <s v="2002"/>
    <n v="4"/>
    <x v="0"/>
    <n v="9"/>
    <n v="0.69230769230769229"/>
  </r>
  <r>
    <s v="3719"/>
    <x v="3728"/>
    <n v="11600000"/>
    <x v="18"/>
    <n v="92.141999999999996"/>
    <x v="8"/>
    <n v="24"/>
    <n v="10"/>
    <s v="2010"/>
    <n v="4"/>
    <x v="0"/>
    <n v="14"/>
    <n v="1.4"/>
  </r>
  <r>
    <s v="3720"/>
    <x v="3729"/>
    <n v="12600000"/>
    <x v="5"/>
    <n v="92.082499999999996"/>
    <x v="0"/>
    <n v="58"/>
    <n v="29"/>
    <s v="2009"/>
    <n v="6"/>
    <x v="0"/>
    <n v="29"/>
    <n v="1"/>
  </r>
  <r>
    <s v="3721"/>
    <x v="3730"/>
    <n v="4200000"/>
    <x v="11"/>
    <n v="92.0715"/>
    <x v="15"/>
    <n v="22"/>
    <n v="14"/>
    <s v="2009"/>
    <n v="1"/>
    <x v="0"/>
    <n v="8"/>
    <n v="0.5714285714285714"/>
  </r>
  <r>
    <s v="3722"/>
    <x v="3731"/>
    <n v="47000000"/>
    <x v="9"/>
    <n v="92.070899999999995"/>
    <x v="3"/>
    <n v="137"/>
    <n v="91"/>
    <s v="1995"/>
    <n v="8"/>
    <x v="0"/>
    <n v="46"/>
    <n v="0.50549450549450547"/>
  </r>
  <r>
    <s v="3723"/>
    <x v="3732"/>
    <n v="35500000"/>
    <x v="13"/>
    <n v="92.018299999999996"/>
    <x v="5"/>
    <n v="110"/>
    <n v="55"/>
    <s v="1997"/>
    <n v="12"/>
    <x v="0"/>
    <n v="55"/>
    <n v="1"/>
  </r>
  <r>
    <s v="3724"/>
    <x v="3733"/>
    <n v="6500000"/>
    <x v="40"/>
    <n v="91.918899999999994"/>
    <x v="3"/>
    <n v="45"/>
    <n v="35"/>
    <s v="1991"/>
    <n v="1"/>
    <x v="0"/>
    <n v="10"/>
    <n v="0.2857142857142857"/>
  </r>
  <r>
    <s v="3725"/>
    <x v="3734"/>
    <n v="3600000"/>
    <x v="2"/>
    <n v="91.8917"/>
    <x v="2"/>
    <n v="60"/>
    <n v="35"/>
    <s v="2007"/>
    <n v="3"/>
    <x v="0"/>
    <n v="25"/>
    <n v="0.7142857142857143"/>
  </r>
  <r>
    <s v="3726"/>
    <x v="3735"/>
    <n v="4600000"/>
    <x v="9"/>
    <n v="91.816100000000006"/>
    <x v="23"/>
    <n v="25"/>
    <n v="14"/>
    <s v="1999"/>
    <n v="1"/>
    <x v="0"/>
    <n v="11"/>
    <n v="0.7857142857142857"/>
  </r>
  <r>
    <s v="3727"/>
    <x v="3736"/>
    <n v="369400000"/>
    <x v="33"/>
    <n v="91.697000000000003"/>
    <x v="5"/>
    <n v="1799"/>
    <n v="854"/>
    <s v="2004"/>
    <n v="9"/>
    <x v="0"/>
    <n v="945"/>
    <n v="1.1065573770491803"/>
  </r>
  <r>
    <s v="3728"/>
    <x v="3737"/>
    <n v="6000000"/>
    <x v="0"/>
    <n v="91.683199999999999"/>
    <x v="19"/>
    <n v="30"/>
    <n v="25"/>
    <s v="2006"/>
    <n v="5"/>
    <x v="0"/>
    <n v="5"/>
    <n v="0.2"/>
  </r>
  <r>
    <s v="3729"/>
    <x v="3738"/>
    <n v="2900000"/>
    <x v="7"/>
    <n v="91.678200000000004"/>
    <x v="16"/>
    <n v="15"/>
    <n v="8"/>
    <s v="2007"/>
    <n v="3"/>
    <x v="0"/>
    <n v="7"/>
    <n v="0.875"/>
  </r>
  <r>
    <s v="3730"/>
    <x v="3739"/>
    <n v="10800000"/>
    <x v="7"/>
    <n v="91.632400000000004"/>
    <x v="16"/>
    <n v="52"/>
    <n v="30"/>
    <s v="2012"/>
    <n v="4"/>
    <x v="0"/>
    <n v="22"/>
    <n v="0.73333333333333328"/>
  </r>
  <r>
    <s v="3731"/>
    <x v="3740"/>
    <n v="25700000"/>
    <x v="2"/>
    <n v="91.5501"/>
    <x v="23"/>
    <n v="182"/>
    <n v="92"/>
    <s v="2004"/>
    <n v="9"/>
    <x v="0"/>
    <n v="90"/>
    <n v="0.97826086956521741"/>
  </r>
  <r>
    <s v="3732"/>
    <x v="3741"/>
    <n v="15400000"/>
    <x v="7"/>
    <n v="91.520200000000003"/>
    <x v="16"/>
    <n v="65"/>
    <n v="41"/>
    <s v="2009"/>
    <n v="7"/>
    <x v="0"/>
    <n v="24"/>
    <n v="0.58536585365853655"/>
  </r>
  <r>
    <s v="3733"/>
    <x v="3742"/>
    <n v="43700000"/>
    <x v="34"/>
    <n v="91.46"/>
    <x v="9"/>
    <n v="248"/>
    <n v="184"/>
    <s v="1997"/>
    <n v="11"/>
    <x v="0"/>
    <n v="64"/>
    <n v="0.34782608695652173"/>
  </r>
  <r>
    <s v="3734"/>
    <x v="3743"/>
    <n v="9200000"/>
    <x v="47"/>
    <n v="91.378500000000003"/>
    <x v="9"/>
    <n v="49"/>
    <n v="26"/>
    <s v="2006"/>
    <n v="1"/>
    <x v="0"/>
    <n v="23"/>
    <n v="0.88461538461538458"/>
  </r>
  <r>
    <s v="3735"/>
    <x v="3744"/>
    <n v="113400000"/>
    <x v="20"/>
    <n v="91.3202"/>
    <x v="19"/>
    <n v="457"/>
    <n v="277"/>
    <s v="1993"/>
    <n v="11"/>
    <x v="0"/>
    <n v="180"/>
    <n v="0.64981949458483756"/>
  </r>
  <r>
    <s v="3736"/>
    <x v="3745"/>
    <n v="6800000"/>
    <x v="4"/>
    <n v="91.313000000000002"/>
    <x v="9"/>
    <n v="30"/>
    <n v="36"/>
    <s v="2004"/>
    <n v="2"/>
    <x v="1"/>
    <n v="-6"/>
    <n v="-0.16666666666666666"/>
  </r>
  <r>
    <s v="3737"/>
    <x v="3746"/>
    <n v="5400000"/>
    <x v="37"/>
    <n v="91.136700000000005"/>
    <x v="11"/>
    <n v="46"/>
    <n v="26"/>
    <s v="2012"/>
    <n v="3"/>
    <x v="0"/>
    <n v="20"/>
    <n v="0.76923076923076927"/>
  </r>
  <r>
    <s v="3738"/>
    <x v="3747"/>
    <n v="8400000"/>
    <x v="16"/>
    <n v="91.114999999999995"/>
    <x v="0"/>
    <n v="75"/>
    <n v="47"/>
    <s v="2005"/>
    <n v="4"/>
    <x v="0"/>
    <n v="28"/>
    <n v="0.5957446808510638"/>
  </r>
  <r>
    <s v="3739"/>
    <x v="3748"/>
    <n v="4000000"/>
    <x v="11"/>
    <n v="91.061099999999996"/>
    <x v="5"/>
    <n v="22"/>
    <n v="15"/>
    <s v="2012"/>
    <n v="1"/>
    <x v="0"/>
    <n v="7"/>
    <n v="0.46666666666666667"/>
  </r>
  <r>
    <s v="3740"/>
    <x v="3749"/>
    <n v="10400000"/>
    <x v="38"/>
    <n v="91.019499999999994"/>
    <x v="15"/>
    <n v="86"/>
    <n v="55"/>
    <s v="2007"/>
    <n v="1"/>
    <x v="0"/>
    <n v="31"/>
    <n v="0.5636363636363636"/>
  </r>
  <r>
    <s v="3741"/>
    <x v="3750"/>
    <n v="4400000"/>
    <x v="5"/>
    <n v="90.991799999999998"/>
    <x v="9"/>
    <n v="23"/>
    <n v="14"/>
    <s v="2006"/>
    <n v="4"/>
    <x v="0"/>
    <n v="9"/>
    <n v="0.6428571428571429"/>
  </r>
  <r>
    <s v="3742"/>
    <x v="3751"/>
    <n v="282300000"/>
    <x v="27"/>
    <n v="90.9101"/>
    <x v="2"/>
    <n v="4817"/>
    <n v="2884"/>
    <s v="2005"/>
    <n v="7"/>
    <x v="0"/>
    <n v="1933"/>
    <n v="0.67024965325936203"/>
  </r>
  <r>
    <s v="3743"/>
    <x v="3752"/>
    <n v="2200000"/>
    <x v="9"/>
    <n v="90.900099999999995"/>
    <x v="23"/>
    <n v="96000"/>
    <n v="53000"/>
    <s v="1999"/>
    <n v="2"/>
    <x v="0"/>
    <n v="43000"/>
    <n v="0.81132075471698117"/>
  </r>
  <r>
    <s v="3744"/>
    <x v="3753"/>
    <n v="10400000"/>
    <x v="19"/>
    <n v="90.893299999999996"/>
    <x v="11"/>
    <n v="8"/>
    <n v="7"/>
    <s v="2002"/>
    <n v="4"/>
    <x v="0"/>
    <n v="1"/>
    <n v="0.14285714285714285"/>
  </r>
  <r>
    <s v="3745"/>
    <x v="3754"/>
    <n v="5200000"/>
    <x v="13"/>
    <n v="90.881299999999996"/>
    <x v="23"/>
    <n v="25"/>
    <n v="16"/>
    <s v="2010"/>
    <n v="1"/>
    <x v="0"/>
    <n v="9"/>
    <n v="0.5625"/>
  </r>
  <r>
    <s v="3746"/>
    <x v="3755"/>
    <n v="2500000"/>
    <x v="5"/>
    <n v="90.748500000000007"/>
    <x v="3"/>
    <m/>
    <n v="20"/>
    <s v="2008"/>
    <n v="1"/>
    <x v="1"/>
    <n v="-20"/>
    <n v="-1"/>
  </r>
  <r>
    <s v="3747"/>
    <x v="3756"/>
    <n v="11600000"/>
    <x v="37"/>
    <n v="90.723299999999995"/>
    <x v="15"/>
    <n v="63"/>
    <n v="37"/>
    <s v="1992"/>
    <n v="2"/>
    <x v="0"/>
    <n v="26"/>
    <n v="0.70270270270270274"/>
  </r>
  <r>
    <s v="3748"/>
    <x v="3757"/>
    <n v="23100000"/>
    <x v="4"/>
    <n v="90.601399999999998"/>
    <x v="0"/>
    <n v="179"/>
    <n v="102"/>
    <s v="2002"/>
    <n v="5"/>
    <x v="0"/>
    <n v="77"/>
    <n v="0.75490196078431371"/>
  </r>
  <r>
    <s v="3749"/>
    <x v="3758"/>
    <n v="7500000"/>
    <x v="9"/>
    <n v="90.566000000000003"/>
    <x v="7"/>
    <n v="32"/>
    <n v="26"/>
    <s v="2011"/>
    <n v="5"/>
    <x v="0"/>
    <n v="6"/>
    <n v="0.23076923076923078"/>
  </r>
  <r>
    <s v="3750"/>
    <x v="3759"/>
    <n v="70500000"/>
    <x v="28"/>
    <n v="90.552000000000007"/>
    <x v="0"/>
    <n v="334"/>
    <n v="320"/>
    <s v="2008"/>
    <n v="7"/>
    <x v="0"/>
    <n v="14"/>
    <n v="4.3749999999999997E-2"/>
  </r>
  <r>
    <s v="3751"/>
    <x v="3760"/>
    <n v="2100000"/>
    <x v="7"/>
    <n v="90.526899999999998"/>
    <x v="22"/>
    <n v="39"/>
    <n v="12"/>
    <s v="1998"/>
    <n v="1"/>
    <x v="0"/>
    <n v="27"/>
    <n v="2.25"/>
  </r>
  <r>
    <s v="3752"/>
    <x v="3761"/>
    <n v="218100000"/>
    <x v="44"/>
    <n v="90.503600000000006"/>
    <x v="7"/>
    <n v="849"/>
    <n v="513"/>
    <s v="1988"/>
    <n v="5"/>
    <x v="0"/>
    <n v="336"/>
    <n v="0.65497076023391809"/>
  </r>
  <r>
    <s v="3753"/>
    <x v="3762"/>
    <n v="6700000"/>
    <x v="40"/>
    <n v="90.476799999999997"/>
    <x v="19"/>
    <n v="20"/>
    <n v="10"/>
    <s v="1996"/>
    <n v="2"/>
    <x v="0"/>
    <n v="10"/>
    <n v="1"/>
  </r>
  <r>
    <s v="3754"/>
    <x v="3763"/>
    <n v="8800000"/>
    <x v="12"/>
    <n v="90.260499999999993"/>
    <x v="0"/>
    <n v="34"/>
    <n v="25"/>
    <s v="2003"/>
    <n v="5"/>
    <x v="0"/>
    <n v="9"/>
    <n v="0.36"/>
  </r>
  <r>
    <s v="3755"/>
    <x v="3764"/>
    <n v="3800000"/>
    <x v="11"/>
    <n v="90.2119"/>
    <x v="19"/>
    <n v="25"/>
    <n v="18"/>
    <s v="2001"/>
    <n v="1"/>
    <x v="0"/>
    <n v="7"/>
    <n v="0.3888888888888889"/>
  </r>
  <r>
    <s v="3756"/>
    <x v="3765"/>
    <n v="10100000"/>
    <x v="9"/>
    <n v="90.193700000000007"/>
    <x v="7"/>
    <n v="95"/>
    <n v="53"/>
    <s v="2006"/>
    <n v="5"/>
    <x v="0"/>
    <n v="42"/>
    <n v="0.79245283018867929"/>
  </r>
  <r>
    <s v="3757"/>
    <x v="3766"/>
    <n v="2100000"/>
    <x v="9"/>
    <n v="89.919700000000006"/>
    <x v="16"/>
    <n v="200"/>
    <n v="150"/>
    <s v="2007"/>
    <n v="2"/>
    <x v="0"/>
    <n v="50"/>
    <n v="0.33333333333333331"/>
  </r>
  <r>
    <s v="3758"/>
    <x v="3767"/>
    <n v="4000000"/>
    <x v="27"/>
    <n v="89.832599999999999"/>
    <x v="18"/>
    <n v="245"/>
    <n v="150"/>
    <s v="2011"/>
    <n v="2"/>
    <x v="0"/>
    <n v="95"/>
    <n v="0.6333333333333333"/>
  </r>
  <r>
    <s v="3759"/>
    <x v="3768"/>
    <n v="10200000"/>
    <x v="24"/>
    <n v="89.7042"/>
    <x v="5"/>
    <n v="15"/>
    <n v="10"/>
    <s v="2007"/>
    <n v="2"/>
    <x v="0"/>
    <n v="5"/>
    <n v="0.5"/>
  </r>
  <r>
    <s v="3760"/>
    <x v="3769"/>
    <n v="4900000"/>
    <x v="27"/>
    <n v="89.663399999999996"/>
    <x v="0"/>
    <n v="34"/>
    <n v="25"/>
    <s v="2006"/>
    <n v="4"/>
    <x v="0"/>
    <n v="9"/>
    <n v="0.36"/>
  </r>
  <r>
    <s v="3761"/>
    <x v="3770"/>
    <n v="7900000"/>
    <x v="13"/>
    <n v="89.590199999999996"/>
    <x v="11"/>
    <n v="104"/>
    <n v="55"/>
    <s v="2009"/>
    <n v="3"/>
    <x v="0"/>
    <n v="49"/>
    <n v="0.89090909090909087"/>
  </r>
  <r>
    <s v="3762"/>
    <x v="3771"/>
    <n v="4500000"/>
    <x v="9"/>
    <n v="89.583299999999994"/>
    <x v="9"/>
    <n v="21"/>
    <n v="17"/>
    <s v="2000"/>
    <n v="3"/>
    <x v="0"/>
    <n v="4"/>
    <n v="0.23529411764705882"/>
  </r>
  <r>
    <s v="3763"/>
    <x v="3772"/>
    <n v="26400000"/>
    <x v="32"/>
    <n v="89.560699999999997"/>
    <x v="12"/>
    <n v="130"/>
    <n v="60"/>
    <s v="2006"/>
    <n v="2"/>
    <x v="0"/>
    <n v="70"/>
    <n v="1.1666666666666667"/>
  </r>
  <r>
    <s v="3764"/>
    <x v="3773"/>
    <n v="78700000"/>
    <x v="7"/>
    <n v="89.544899999999998"/>
    <x v="11"/>
    <n v="298"/>
    <n v="268"/>
    <s v="2006"/>
    <n v="6"/>
    <x v="0"/>
    <n v="30"/>
    <n v="0.11194029850746269"/>
  </r>
  <r>
    <s v="3765"/>
    <x v="3774"/>
    <n v="6800000"/>
    <x v="5"/>
    <n v="89.482600000000005"/>
    <x v="19"/>
    <n v="18"/>
    <n v="12"/>
    <s v="2009"/>
    <n v="3"/>
    <x v="0"/>
    <n v="6"/>
    <n v="0.5"/>
  </r>
  <r>
    <s v="3766"/>
    <x v="3775"/>
    <n v="24100000"/>
    <x v="22"/>
    <n v="89.465199999999996"/>
    <x v="22"/>
    <n v="23"/>
    <n v="16"/>
    <s v="2000"/>
    <n v="3"/>
    <x v="0"/>
    <n v="7"/>
    <n v="0.4375"/>
  </r>
  <r>
    <s v="3767"/>
    <x v="3776"/>
    <n v="97200000"/>
    <x v="23"/>
    <n v="89.461500000000001"/>
    <x v="12"/>
    <n v="56"/>
    <n v="28"/>
    <s v="2011"/>
    <n v="2"/>
    <x v="0"/>
    <n v="28"/>
    <n v="1"/>
  </r>
  <r>
    <s v="3768"/>
    <x v="3777"/>
    <n v="17300000"/>
    <x v="4"/>
    <n v="89.383700000000005"/>
    <x v="11"/>
    <n v="4"/>
    <n v="3"/>
    <s v="2006"/>
    <n v="2"/>
    <x v="0"/>
    <n v="1"/>
    <n v="0.33333333333333331"/>
  </r>
  <r>
    <s v="3769"/>
    <x v="3778"/>
    <n v="5800000"/>
    <x v="21"/>
    <n v="89.358699999999999"/>
    <x v="11"/>
    <n v="60"/>
    <n v="30"/>
    <s v="2008"/>
    <n v="2"/>
    <x v="0"/>
    <n v="30"/>
    <n v="1"/>
  </r>
  <r>
    <s v="3770"/>
    <x v="3779"/>
    <n v="4000000"/>
    <x v="19"/>
    <n v="89.357100000000003"/>
    <x v="0"/>
    <n v="42"/>
    <n v="25"/>
    <s v="2009"/>
    <n v="4"/>
    <x v="0"/>
    <n v="17"/>
    <n v="0.68"/>
  </r>
  <r>
    <s v="3771"/>
    <x v="3780"/>
    <n v="18300000"/>
    <x v="32"/>
    <n v="89.205699999999993"/>
    <x v="10"/>
    <n v="107"/>
    <n v="83"/>
    <s v="2012"/>
    <n v="4"/>
    <x v="0"/>
    <n v="24"/>
    <n v="0.28915662650602408"/>
  </r>
  <r>
    <s v="3772"/>
    <x v="3781"/>
    <n v="4600000000"/>
    <x v="5"/>
    <n v="89.172799999999995"/>
    <x v="20"/>
    <n v="410"/>
    <n v="332"/>
    <s v="1997"/>
    <n v="4"/>
    <x v="0"/>
    <n v="78"/>
    <n v="0.23493975903614459"/>
  </r>
  <r>
    <s v="3773"/>
    <x v="3782"/>
    <n v="3300000"/>
    <x v="2"/>
    <n v="89.145300000000006"/>
    <x v="5"/>
    <n v="9"/>
    <n v="15"/>
    <s v="2009"/>
    <n v="1"/>
    <x v="1"/>
    <n v="-6"/>
    <n v="-0.4"/>
  </r>
  <r>
    <s v="3774"/>
    <x v="3783"/>
    <n v="21700000"/>
    <x v="5"/>
    <n v="89.145300000000006"/>
    <x v="12"/>
    <n v="205"/>
    <n v="89"/>
    <s v="2010"/>
    <n v="3"/>
    <x v="0"/>
    <n v="116"/>
    <n v="1.303370786516854"/>
  </r>
  <r>
    <s v="3775"/>
    <x v="3784"/>
    <n v="8800000"/>
    <x v="10"/>
    <n v="89.0959"/>
    <x v="0"/>
    <n v="84"/>
    <n v="146"/>
    <s v="2011"/>
    <n v="4"/>
    <x v="1"/>
    <n v="-62"/>
    <n v="-0.42465753424657532"/>
  </r>
  <r>
    <s v="3776"/>
    <x v="3785"/>
    <n v="30000000"/>
    <x v="16"/>
    <n v="89.036699999999996"/>
    <x v="1"/>
    <n v="126"/>
    <n v="50"/>
    <s v="2011"/>
    <n v="2"/>
    <x v="0"/>
    <n v="76"/>
    <n v="1.52"/>
  </r>
  <r>
    <s v="3777"/>
    <x v="3786"/>
    <n v="94200000"/>
    <x v="2"/>
    <n v="89.023399999999995"/>
    <x v="9"/>
    <n v="606"/>
    <n v="375"/>
    <s v="2009"/>
    <n v="6"/>
    <x v="0"/>
    <n v="231"/>
    <n v="0.61599999999999999"/>
  </r>
  <r>
    <s v="3778"/>
    <x v="3787"/>
    <n v="2500000"/>
    <x v="5"/>
    <n v="89.009799999999998"/>
    <x v="19"/>
    <n v="19"/>
    <n v="13"/>
    <s v="2009"/>
    <n v="2"/>
    <x v="0"/>
    <n v="6"/>
    <n v="0.46153846153846156"/>
  </r>
  <r>
    <s v="3779"/>
    <x v="3788"/>
    <n v="8600000"/>
    <x v="10"/>
    <n v="88.952500000000001"/>
    <x v="6"/>
    <n v="15"/>
    <n v="8"/>
    <s v="2006"/>
    <n v="4"/>
    <x v="0"/>
    <n v="7"/>
    <n v="0.875"/>
  </r>
  <r>
    <s v="3780"/>
    <x v="3789"/>
    <n v="4300000"/>
    <x v="8"/>
    <n v="88.859399999999994"/>
    <x v="1"/>
    <n v="55"/>
    <n v="25"/>
    <s v="2001"/>
    <n v="2"/>
    <x v="0"/>
    <n v="30"/>
    <n v="1.2"/>
  </r>
  <r>
    <s v="3781"/>
    <x v="3790"/>
    <n v="23900000"/>
    <x v="27"/>
    <n v="88.793000000000006"/>
    <x v="15"/>
    <n v="24"/>
    <n v="15"/>
    <s v="1998"/>
    <n v="2"/>
    <x v="0"/>
    <n v="9"/>
    <n v="0.6"/>
  </r>
  <r>
    <s v="3782"/>
    <x v="3791"/>
    <n v="3600000"/>
    <x v="7"/>
    <n v="88.790099999999995"/>
    <x v="16"/>
    <n v="28"/>
    <n v="15"/>
    <s v="2011"/>
    <n v="1"/>
    <x v="0"/>
    <n v="13"/>
    <n v="0.8666666666666667"/>
  </r>
  <r>
    <s v="3783"/>
    <x v="3792"/>
    <n v="16800000"/>
    <x v="7"/>
    <n v="88.700800000000001"/>
    <x v="11"/>
    <n v="91"/>
    <n v="45"/>
    <s v="2010"/>
    <n v="6"/>
    <x v="0"/>
    <n v="46"/>
    <n v="1.0222222222222221"/>
  </r>
  <r>
    <s v="3784"/>
    <x v="3793"/>
    <n v="17500000"/>
    <x v="27"/>
    <n v="88.657700000000006"/>
    <x v="12"/>
    <n v="388"/>
    <n v="222"/>
    <s v="2010"/>
    <n v="5"/>
    <x v="0"/>
    <n v="166"/>
    <n v="0.74774774774774777"/>
  </r>
  <r>
    <s v="3785"/>
    <x v="3794"/>
    <n v="12500000"/>
    <x v="20"/>
    <n v="88.651600000000002"/>
    <x v="19"/>
    <n v="160"/>
    <n v="70"/>
    <s v="1998"/>
    <n v="8"/>
    <x v="0"/>
    <n v="90"/>
    <n v="1.2857142857142858"/>
  </r>
  <r>
    <s v="3786"/>
    <x v="3795"/>
    <n v="3100000"/>
    <x v="20"/>
    <n v="88.645600000000002"/>
    <x v="9"/>
    <n v="24"/>
    <n v="12"/>
    <s v="2010"/>
    <n v="3"/>
    <x v="0"/>
    <n v="12"/>
    <n v="1"/>
  </r>
  <r>
    <s v="3787"/>
    <x v="3796"/>
    <n v="12800000"/>
    <x v="38"/>
    <n v="88.583500000000001"/>
    <x v="19"/>
    <n v="70"/>
    <n v="30"/>
    <s v="2001"/>
    <n v="6"/>
    <x v="0"/>
    <n v="40"/>
    <n v="1.3333333333333333"/>
  </r>
  <r>
    <s v="3788"/>
    <x v="3797"/>
    <n v="7600000"/>
    <x v="5"/>
    <n v="88.536600000000007"/>
    <x v="15"/>
    <n v="46"/>
    <n v="29"/>
    <s v="2010"/>
    <n v="3"/>
    <x v="0"/>
    <n v="17"/>
    <n v="0.58620689655172409"/>
  </r>
  <r>
    <s v="3789"/>
    <x v="3798"/>
    <n v="2300000"/>
    <x v="2"/>
    <n v="88.483199999999997"/>
    <x v="3"/>
    <n v="25"/>
    <n v="11"/>
    <s v="2006"/>
    <n v="1"/>
    <x v="0"/>
    <n v="14"/>
    <n v="1.2727272727272727"/>
  </r>
  <r>
    <s v="3790"/>
    <x v="3799"/>
    <n v="3500000"/>
    <x v="14"/>
    <n v="88.459699999999998"/>
    <x v="3"/>
    <n v="50"/>
    <n v="51"/>
    <s v="2011"/>
    <n v="2"/>
    <x v="1"/>
    <n v="-1"/>
    <n v="-1.9607843137254902E-2"/>
  </r>
  <r>
    <s v="3791"/>
    <x v="3800"/>
    <n v="26300000"/>
    <x v="8"/>
    <n v="88.445700000000002"/>
    <x v="20"/>
    <n v="50"/>
    <n v="38"/>
    <s v="2006"/>
    <n v="6"/>
    <x v="0"/>
    <n v="12"/>
    <n v="0.31578947368421051"/>
  </r>
  <r>
    <s v="3792"/>
    <x v="3801"/>
    <n v="16800000"/>
    <x v="8"/>
    <n v="88.410700000000006"/>
    <x v="22"/>
    <n v="59"/>
    <n v="39"/>
    <s v="2003"/>
    <n v="2"/>
    <x v="0"/>
    <n v="20"/>
    <n v="0.51282051282051277"/>
  </r>
  <r>
    <s v="3793"/>
    <x v="3802"/>
    <n v="44300000"/>
    <x v="27"/>
    <n v="88.394499999999994"/>
    <x v="7"/>
    <n v="264"/>
    <n v="124"/>
    <s v="1995"/>
    <n v="3"/>
    <x v="0"/>
    <n v="140"/>
    <n v="1.1290322580645162"/>
  </r>
  <r>
    <s v="3794"/>
    <x v="3803"/>
    <n v="159500000"/>
    <x v="32"/>
    <n v="88.362099999999998"/>
    <x v="1"/>
    <n v="130"/>
    <n v="90"/>
    <s v="1989"/>
    <n v="7"/>
    <x v="0"/>
    <n v="40"/>
    <n v="0.44444444444444442"/>
  </r>
  <r>
    <s v="3795"/>
    <x v="3804"/>
    <n v="19900000"/>
    <x v="4"/>
    <n v="88.279399999999995"/>
    <x v="13"/>
    <n v="35"/>
    <n v="31"/>
    <s v="2002"/>
    <n v="4"/>
    <x v="0"/>
    <n v="4"/>
    <n v="0.12903225806451613"/>
  </r>
  <r>
    <s v="3796"/>
    <x v="3805"/>
    <n v="30300000"/>
    <x v="20"/>
    <n v="88.257800000000003"/>
    <x v="13"/>
    <n v="160"/>
    <n v="69"/>
    <s v="1982"/>
    <n v="2"/>
    <x v="0"/>
    <n v="91"/>
    <n v="1.318840579710145"/>
  </r>
  <r>
    <s v="3797"/>
    <x v="3806"/>
    <n v="2600000"/>
    <x v="5"/>
    <n v="88.250500000000002"/>
    <x v="19"/>
    <n v="25"/>
    <n v="8"/>
    <s v="2011"/>
    <n v="2"/>
    <x v="0"/>
    <n v="17"/>
    <n v="2.125"/>
  </r>
  <r>
    <s v="3798"/>
    <x v="3807"/>
    <n v="22900000"/>
    <x v="4"/>
    <n v="88.248400000000004"/>
    <x v="22"/>
    <n v="34"/>
    <n v="23"/>
    <s v="2005"/>
    <n v="4"/>
    <x v="0"/>
    <n v="11"/>
    <n v="0.47826086956521741"/>
  </r>
  <r>
    <s v="3799"/>
    <x v="3808"/>
    <n v="11200000"/>
    <x v="12"/>
    <n v="88.231200000000001"/>
    <x v="19"/>
    <n v="46"/>
    <n v="28"/>
    <s v="2007"/>
    <n v="7"/>
    <x v="0"/>
    <n v="18"/>
    <n v="0.6428571428571429"/>
  </r>
  <r>
    <s v="3800"/>
    <x v="3809"/>
    <n v="5800000"/>
    <x v="5"/>
    <n v="88.225800000000007"/>
    <x v="19"/>
    <n v="30"/>
    <n v="20"/>
    <s v="2002"/>
    <n v="1"/>
    <x v="0"/>
    <n v="10"/>
    <n v="0.5"/>
  </r>
  <r>
    <s v="3801"/>
    <x v="3810"/>
    <n v="12800000"/>
    <x v="29"/>
    <n v="88.154600000000002"/>
    <x v="23"/>
    <n v="12"/>
    <n v="9"/>
    <s v="2001"/>
    <n v="4"/>
    <x v="0"/>
    <n v="3"/>
    <n v="0.33333333333333331"/>
  </r>
  <r>
    <s v="3802"/>
    <x v="3811"/>
    <n v="38800000"/>
    <x v="2"/>
    <n v="88.103499999999997"/>
    <x v="5"/>
    <n v="1664"/>
    <n v="683"/>
    <s v="2010"/>
    <n v="4"/>
    <x v="0"/>
    <n v="981"/>
    <n v="1.4363103953147878"/>
  </r>
  <r>
    <s v="3803"/>
    <x v="3812"/>
    <n v="14000000"/>
    <x v="5"/>
    <n v="88.102099999999993"/>
    <x v="18"/>
    <n v="35"/>
    <n v="20"/>
    <s v="2009"/>
    <n v="5"/>
    <x v="0"/>
    <n v="15"/>
    <n v="0.75"/>
  </r>
  <r>
    <s v="3804"/>
    <x v="3813"/>
    <n v="3800000"/>
    <x v="7"/>
    <n v="88.042500000000004"/>
    <x v="0"/>
    <n v="7"/>
    <n v="5"/>
    <s v="2010"/>
    <n v="1"/>
    <x v="0"/>
    <n v="2"/>
    <n v="0.4"/>
  </r>
  <r>
    <s v="3805"/>
    <x v="3814"/>
    <n v="42900000"/>
    <x v="13"/>
    <n v="88.038700000000006"/>
    <x v="19"/>
    <n v="75"/>
    <n v="40"/>
    <s v="1987"/>
    <n v="6"/>
    <x v="0"/>
    <n v="35"/>
    <n v="0.875"/>
  </r>
  <r>
    <s v="3806"/>
    <x v="3815"/>
    <n v="42400000"/>
    <x v="5"/>
    <n v="88.010499999999993"/>
    <x v="0"/>
    <n v="230"/>
    <n v="100"/>
    <s v="1986"/>
    <n v="8"/>
    <x v="0"/>
    <n v="130"/>
    <n v="1.3"/>
  </r>
  <r>
    <s v="3807"/>
    <x v="3816"/>
    <n v="2400000"/>
    <x v="18"/>
    <n v="88.006100000000004"/>
    <x v="23"/>
    <n v="7"/>
    <n v="4"/>
    <s v="2011"/>
    <n v="1"/>
    <x v="0"/>
    <n v="3"/>
    <n v="0.75"/>
  </r>
  <r>
    <s v="3808"/>
    <x v="3817"/>
    <n v="35500000"/>
    <x v="9"/>
    <n v="87.880700000000004"/>
    <x v="23"/>
    <n v="47"/>
    <n v="32"/>
    <s v="2004"/>
    <n v="1"/>
    <x v="0"/>
    <n v="15"/>
    <n v="0.46875"/>
  </r>
  <r>
    <s v="3809"/>
    <x v="3818"/>
    <n v="93200000"/>
    <x v="12"/>
    <n v="87.846400000000003"/>
    <x v="22"/>
    <n v="3953"/>
    <n v="2350"/>
    <s v="2003"/>
    <n v="11"/>
    <x v="0"/>
    <n v="1603"/>
    <n v="0.68212765957446808"/>
  </r>
  <r>
    <s v="3810"/>
    <x v="3819"/>
    <n v="9700000"/>
    <x v="8"/>
    <n v="87.840699999999998"/>
    <x v="13"/>
    <n v="26"/>
    <n v="20"/>
    <s v="1983"/>
    <n v="4"/>
    <x v="0"/>
    <n v="6"/>
    <n v="0.3"/>
  </r>
  <r>
    <s v="3811"/>
    <x v="3820"/>
    <n v="10000000"/>
    <x v="9"/>
    <n v="87.829300000000003"/>
    <x v="0"/>
    <n v="45"/>
    <n v="25"/>
    <s v="2004"/>
    <n v="8"/>
    <x v="0"/>
    <n v="20"/>
    <n v="0.8"/>
  </r>
  <r>
    <s v="3812"/>
    <x v="3821"/>
    <n v="9000000"/>
    <x v="15"/>
    <n v="87.819900000000004"/>
    <x v="9"/>
    <n v="37"/>
    <n v="15"/>
    <s v="2009"/>
    <n v="4"/>
    <x v="0"/>
    <n v="22"/>
    <n v="1.4666666666666666"/>
  </r>
  <r>
    <s v="3813"/>
    <x v="3822"/>
    <n v="28500000"/>
    <x v="27"/>
    <n v="87.7791"/>
    <x v="13"/>
    <n v="118"/>
    <n v="61"/>
    <s v="2010"/>
    <n v="3"/>
    <x v="0"/>
    <n v="57"/>
    <n v="0.93442622950819676"/>
  </r>
  <r>
    <s v="3814"/>
    <x v="3823"/>
    <n v="11800000"/>
    <x v="32"/>
    <n v="87.768000000000001"/>
    <x v="19"/>
    <n v="85"/>
    <n v="45"/>
    <s v="2003"/>
    <n v="7"/>
    <x v="0"/>
    <n v="40"/>
    <n v="0.88888888888888884"/>
  </r>
  <r>
    <s v="3815"/>
    <x v="3824"/>
    <n v="20600000"/>
    <x v="5"/>
    <n v="87.749399999999994"/>
    <x v="19"/>
    <n v="120"/>
    <n v="48"/>
    <s v="2000"/>
    <n v="10"/>
    <x v="0"/>
    <n v="72"/>
    <n v="1.5"/>
  </r>
  <r>
    <s v="3816"/>
    <x v="3825"/>
    <n v="424400000"/>
    <x v="32"/>
    <n v="87.689400000000006"/>
    <x v="4"/>
    <n v="1868"/>
    <n v="850"/>
    <s v="1993"/>
    <n v="9"/>
    <x v="0"/>
    <n v="1018"/>
    <n v="1.1976470588235295"/>
  </r>
  <r>
    <s v="3817"/>
    <x v="3826"/>
    <n v="60500000"/>
    <x v="0"/>
    <n v="87.620500000000007"/>
    <x v="15"/>
    <n v="350"/>
    <n v="150"/>
    <s v="1990"/>
    <n v="1"/>
    <x v="0"/>
    <n v="200"/>
    <n v="1.3333333333333333"/>
  </r>
  <r>
    <s v="3818"/>
    <x v="3827"/>
    <n v="2400000"/>
    <x v="8"/>
    <n v="87.611099999999993"/>
    <x v="20"/>
    <n v="18"/>
    <n v="12"/>
    <s v="1995"/>
    <n v="2"/>
    <x v="0"/>
    <n v="6"/>
    <n v="0.5"/>
  </r>
  <r>
    <s v="3819"/>
    <x v="3828"/>
    <n v="46400000"/>
    <x v="22"/>
    <n v="87.5822"/>
    <x v="9"/>
    <n v="920"/>
    <n v="560"/>
    <s v="1995"/>
    <n v="8"/>
    <x v="0"/>
    <n v="360"/>
    <n v="0.6428571428571429"/>
  </r>
  <r>
    <s v="3820"/>
    <x v="3829"/>
    <n v="434300000"/>
    <x v="8"/>
    <n v="87.479299999999995"/>
    <x v="10"/>
    <n v="46"/>
    <n v="30"/>
    <s v="1985"/>
    <n v="6"/>
    <x v="0"/>
    <n v="16"/>
    <n v="0.53333333333333333"/>
  </r>
  <r>
    <s v="3821"/>
    <x v="3830"/>
    <n v="3100000"/>
    <x v="6"/>
    <n v="87.468800000000002"/>
    <x v="0"/>
    <n v="5"/>
    <n v="5"/>
    <s v="2004"/>
    <n v="3"/>
    <x v="1"/>
    <n v="0"/>
    <n v="0"/>
  </r>
  <r>
    <s v="3822"/>
    <x v="3831"/>
    <n v="3500000"/>
    <x v="7"/>
    <n v="87.432199999999995"/>
    <x v="20"/>
    <n v="4"/>
    <n v="4"/>
    <s v="2014"/>
    <n v="1"/>
    <x v="1"/>
    <n v="0"/>
    <n v="0"/>
  </r>
  <r>
    <s v="3823"/>
    <x v="3832"/>
    <n v="3000000"/>
    <x v="41"/>
    <n v="87.289299999999997"/>
    <x v="4"/>
    <n v="14"/>
    <n v="9"/>
    <s v="2012"/>
    <n v="2"/>
    <x v="0"/>
    <n v="5"/>
    <n v="0.55555555555555558"/>
  </r>
  <r>
    <s v="3824"/>
    <x v="3833"/>
    <n v="8600000"/>
    <x v="33"/>
    <n v="87.287999999999997"/>
    <x v="0"/>
    <n v="66"/>
    <n v="42"/>
    <s v="2004"/>
    <n v="6"/>
    <x v="0"/>
    <n v="24"/>
    <n v="0.5714285714285714"/>
  </r>
  <r>
    <s v="3825"/>
    <x v="3834"/>
    <n v="2500000"/>
    <x v="38"/>
    <n v="87.259799999999998"/>
    <x v="25"/>
    <n v="21"/>
    <n v="3"/>
    <s v="2013"/>
    <n v="2"/>
    <x v="0"/>
    <n v="18"/>
    <n v="6"/>
  </r>
  <r>
    <s v="3826"/>
    <x v="3835"/>
    <n v="9300000"/>
    <x v="5"/>
    <n v="87.25"/>
    <x v="12"/>
    <n v="53"/>
    <n v="16"/>
    <s v="2009"/>
    <n v="2"/>
    <x v="0"/>
    <n v="37"/>
    <n v="2.3125"/>
  </r>
  <r>
    <s v="3827"/>
    <x v="3836"/>
    <n v="70500000"/>
    <x v="5"/>
    <n v="87.149000000000001"/>
    <x v="12"/>
    <n v="1500"/>
    <n v="600"/>
    <s v="2004"/>
    <n v="1"/>
    <x v="0"/>
    <n v="900"/>
    <n v="1.5"/>
  </r>
  <r>
    <s v="3828"/>
    <x v="3837"/>
    <n v="6000000"/>
    <x v="12"/>
    <n v="87.142399999999995"/>
    <x v="9"/>
    <n v="33"/>
    <n v="22"/>
    <s v="2007"/>
    <n v="6"/>
    <x v="0"/>
    <n v="11"/>
    <n v="0.5"/>
  </r>
  <r>
    <s v="3829"/>
    <x v="3838"/>
    <n v="3300000"/>
    <x v="1"/>
    <n v="87.132000000000005"/>
    <x v="7"/>
    <n v="19"/>
    <n v="15"/>
    <s v="2003"/>
    <n v="1"/>
    <x v="0"/>
    <n v="4"/>
    <n v="0.26666666666666666"/>
  </r>
  <r>
    <s v="3830"/>
    <x v="3839"/>
    <n v="2800000"/>
    <x v="21"/>
    <n v="87.093999999999994"/>
    <x v="0"/>
    <n v="18"/>
    <n v="14"/>
    <s v="2011"/>
    <n v="3"/>
    <x v="0"/>
    <n v="4"/>
    <n v="0.2857142857142857"/>
  </r>
  <r>
    <s v="3831"/>
    <x v="3840"/>
    <n v="64200000"/>
    <x v="38"/>
    <n v="87.078800000000001"/>
    <x v="15"/>
    <n v="35"/>
    <n v="27"/>
    <s v="2004"/>
    <n v="2"/>
    <x v="0"/>
    <n v="8"/>
    <n v="0.29629629629629628"/>
  </r>
  <r>
    <s v="3832"/>
    <x v="3841"/>
    <n v="3500000"/>
    <x v="27"/>
    <n v="87.078100000000006"/>
    <x v="13"/>
    <n v="21"/>
    <n v="11"/>
    <s v="1983"/>
    <n v="1"/>
    <x v="0"/>
    <n v="10"/>
    <n v="0.90909090909090906"/>
  </r>
  <r>
    <s v="3833"/>
    <x v="3842"/>
    <n v="434000000"/>
    <x v="5"/>
    <n v="87.059100000000001"/>
    <x v="22"/>
    <n v="808"/>
    <n v="692"/>
    <s v="1978"/>
    <n v="2"/>
    <x v="0"/>
    <n v="116"/>
    <n v="0.16763005780346821"/>
  </r>
  <r>
    <s v="3834"/>
    <x v="3843"/>
    <n v="6000000"/>
    <x v="34"/>
    <n v="87.029300000000006"/>
    <x v="0"/>
    <n v="47"/>
    <n v="26"/>
    <s v="1996"/>
    <n v="4"/>
    <x v="0"/>
    <n v="21"/>
    <n v="0.80769230769230771"/>
  </r>
  <r>
    <s v="3835"/>
    <x v="3844"/>
    <n v="7300000"/>
    <x v="24"/>
    <n v="86.930700000000002"/>
    <x v="17"/>
    <n v="23"/>
    <n v="17"/>
    <s v="2007"/>
    <n v="5"/>
    <x v="0"/>
    <n v="6"/>
    <n v="0.35294117647058826"/>
  </r>
  <r>
    <s v="3836"/>
    <x v="3845"/>
    <n v="7300000"/>
    <x v="41"/>
    <n v="86.929500000000004"/>
    <x v="12"/>
    <n v="55"/>
    <n v="45"/>
    <s v="1972"/>
    <n v="2"/>
    <x v="0"/>
    <n v="10"/>
    <n v="0.22222222222222221"/>
  </r>
  <r>
    <s v="3837"/>
    <x v="3846"/>
    <n v="18100000"/>
    <x v="2"/>
    <n v="86.819900000000004"/>
    <x v="9"/>
    <n v="150"/>
    <n v="51"/>
    <s v="1982"/>
    <n v="3"/>
    <x v="0"/>
    <n v="99"/>
    <n v="1.9411764705882353"/>
  </r>
  <r>
    <s v="3838"/>
    <x v="3847"/>
    <n v="64800000"/>
    <x v="9"/>
    <n v="86.799700000000001"/>
    <x v="7"/>
    <n v="180"/>
    <n v="60"/>
    <s v="2010"/>
    <n v="7"/>
    <x v="0"/>
    <n v="120"/>
    <n v="2"/>
  </r>
  <r>
    <s v="3839"/>
    <x v="3848"/>
    <n v="21900000"/>
    <x v="12"/>
    <n v="86.787499999999994"/>
    <x v="2"/>
    <n v="71"/>
    <n v="110"/>
    <s v="2010"/>
    <n v="2"/>
    <x v="1"/>
    <n v="-39"/>
    <n v="-0.35454545454545455"/>
  </r>
  <r>
    <s v="3840"/>
    <x v="3849"/>
    <n v="3800000"/>
    <x v="1"/>
    <n v="86.728899999999996"/>
    <x v="1"/>
    <n v="196"/>
    <n v="50"/>
    <s v="2014"/>
    <n v="1"/>
    <x v="0"/>
    <n v="146"/>
    <n v="2.92"/>
  </r>
  <r>
    <s v="3841"/>
    <x v="3850"/>
    <n v="6400000"/>
    <x v="9"/>
    <n v="86.695800000000006"/>
    <x v="23"/>
    <n v="11"/>
    <n v="9"/>
    <s v="2009"/>
    <n v="6"/>
    <x v="0"/>
    <n v="2"/>
    <n v="0.22222222222222221"/>
  </r>
  <r>
    <s v="3842"/>
    <x v="3851"/>
    <n v="13000000"/>
    <x v="0"/>
    <n v="86.685599999999994"/>
    <x v="19"/>
    <n v="75"/>
    <n v="60"/>
    <s v="2007"/>
    <n v="6"/>
    <x v="0"/>
    <n v="15"/>
    <n v="0.25"/>
  </r>
  <r>
    <s v="3843"/>
    <x v="3852"/>
    <n v="14100000"/>
    <x v="4"/>
    <n v="86.631100000000004"/>
    <x v="23"/>
    <n v="72"/>
    <n v="32"/>
    <s v="2011"/>
    <n v="1"/>
    <x v="0"/>
    <n v="40"/>
    <n v="1.25"/>
  </r>
  <r>
    <s v="3844"/>
    <x v="3853"/>
    <n v="11500000"/>
    <x v="7"/>
    <n v="86.609399999999994"/>
    <x v="2"/>
    <n v="100"/>
    <n v="70"/>
    <s v="1992"/>
    <n v="2"/>
    <x v="0"/>
    <n v="30"/>
    <n v="0.42857142857142855"/>
  </r>
  <r>
    <s v="3845"/>
    <x v="3854"/>
    <n v="6000000"/>
    <x v="1"/>
    <n v="86.598600000000005"/>
    <x v="0"/>
    <n v="20"/>
    <n v="7"/>
    <s v="1981"/>
    <n v="1"/>
    <x v="0"/>
    <n v="13"/>
    <n v="1.8571428571428572"/>
  </r>
  <r>
    <s v="3846"/>
    <x v="3855"/>
    <n v="2800000"/>
    <x v="9"/>
    <n v="86.541200000000003"/>
    <x v="3"/>
    <n v="18"/>
    <n v="11"/>
    <s v="2014"/>
    <n v="1"/>
    <x v="0"/>
    <n v="7"/>
    <n v="0.63636363636363635"/>
  </r>
  <r>
    <s v="3847"/>
    <x v="3856"/>
    <n v="5400000000"/>
    <x v="7"/>
    <n v="86.517399999999995"/>
    <x v="11"/>
    <n v="1000"/>
    <n v="538"/>
    <s v="2004"/>
    <n v="12"/>
    <x v="0"/>
    <n v="462"/>
    <n v="0.85873605947955389"/>
  </r>
  <r>
    <s v="3848"/>
    <x v="3857"/>
    <n v="5400000"/>
    <x v="4"/>
    <n v="86.499899999999997"/>
    <x v="14"/>
    <n v="35"/>
    <n v="15"/>
    <s v="2001"/>
    <n v="1"/>
    <x v="0"/>
    <n v="20"/>
    <n v="1.3333333333333333"/>
  </r>
  <r>
    <s v="3849"/>
    <x v="3858"/>
    <n v="2600000"/>
    <x v="26"/>
    <n v="86.436199999999999"/>
    <x v="19"/>
    <n v="21"/>
    <n v="9"/>
    <s v="2003"/>
    <n v="1"/>
    <x v="0"/>
    <n v="12"/>
    <n v="1.3333333333333333"/>
  </r>
  <r>
    <s v="3850"/>
    <x v="3859"/>
    <n v="12400000"/>
    <x v="7"/>
    <n v="86.382800000000003"/>
    <x v="11"/>
    <n v="33"/>
    <n v="19"/>
    <s v="2010"/>
    <n v="4"/>
    <x v="0"/>
    <n v="14"/>
    <n v="0.73684210526315785"/>
  </r>
  <r>
    <s v="3851"/>
    <x v="3860"/>
    <n v="22100000"/>
    <x v="12"/>
    <n v="86.376400000000004"/>
    <x v="3"/>
    <n v="215"/>
    <n v="130"/>
    <s v="2008"/>
    <n v="2"/>
    <x v="0"/>
    <n v="85"/>
    <n v="0.65384615384615385"/>
  </r>
  <r>
    <s v="3852"/>
    <x v="3861"/>
    <n v="18800000"/>
    <x v="18"/>
    <n v="86.364099999999993"/>
    <x v="1"/>
    <n v="25"/>
    <n v="14"/>
    <s v="2010"/>
    <n v="2"/>
    <x v="0"/>
    <n v="11"/>
    <n v="0.7857142857142857"/>
  </r>
  <r>
    <s v="3853"/>
    <x v="3862"/>
    <n v="9100000"/>
    <x v="7"/>
    <n v="86.332300000000004"/>
    <x v="16"/>
    <n v="68"/>
    <n v="45"/>
    <s v="2011"/>
    <n v="4"/>
    <x v="0"/>
    <n v="23"/>
    <n v="0.51111111111111107"/>
  </r>
  <r>
    <s v="3854"/>
    <x v="3863"/>
    <n v="12000000"/>
    <x v="7"/>
    <n v="86.324200000000005"/>
    <x v="23"/>
    <n v="140"/>
    <n v="90"/>
    <s v="2002"/>
    <n v="7"/>
    <x v="0"/>
    <n v="50"/>
    <n v="0.55555555555555558"/>
  </r>
  <r>
    <s v="3855"/>
    <x v="3864"/>
    <n v="36400000"/>
    <x v="14"/>
    <n v="86.229799999999997"/>
    <x v="23"/>
    <n v="182"/>
    <n v="156"/>
    <s v="2002"/>
    <n v="13"/>
    <x v="0"/>
    <n v="26"/>
    <n v="0.16666666666666666"/>
  </r>
  <r>
    <s v="3856"/>
    <x v="3865"/>
    <n v="104100000"/>
    <x v="0"/>
    <n v="86.203800000000001"/>
    <x v="19"/>
    <n v="120"/>
    <n v="25"/>
    <s v="2010"/>
    <n v="1"/>
    <x v="0"/>
    <n v="95"/>
    <n v="3.8"/>
  </r>
  <r>
    <s v="3857"/>
    <x v="3866"/>
    <n v="704400000"/>
    <x v="8"/>
    <n v="86.137299999999996"/>
    <x v="15"/>
    <n v="2075"/>
    <n v="1235"/>
    <s v="1994"/>
    <n v="3"/>
    <x v="0"/>
    <n v="840"/>
    <n v="0.68016194331983804"/>
  </r>
  <r>
    <s v="3858"/>
    <x v="3867"/>
    <n v="192400000"/>
    <x v="7"/>
    <n v="86.135999999999996"/>
    <x v="19"/>
    <n v="1011"/>
    <n v="549"/>
    <s v="1997"/>
    <n v="13"/>
    <x v="0"/>
    <n v="462"/>
    <n v="0.84153005464480879"/>
  </r>
  <r>
    <s v="3859"/>
    <x v="3868"/>
    <n v="3600000"/>
    <x v="50"/>
    <n v="86.106999999999999"/>
    <x v="10"/>
    <n v="24"/>
    <n v="4"/>
    <s v="2010"/>
    <n v="3"/>
    <x v="0"/>
    <n v="20"/>
    <n v="5"/>
  </r>
  <r>
    <s v="3860"/>
    <x v="3869"/>
    <n v="15400000"/>
    <x v="21"/>
    <n v="86.091300000000004"/>
    <x v="5"/>
    <n v="115"/>
    <n v="80"/>
    <s v="1997"/>
    <n v="4"/>
    <x v="0"/>
    <n v="35"/>
    <n v="0.4375"/>
  </r>
  <r>
    <s v="3861"/>
    <x v="3870"/>
    <n v="3700000"/>
    <x v="8"/>
    <n v="86.066000000000003"/>
    <x v="5"/>
    <n v="10"/>
    <n v="5"/>
    <s v="2008"/>
    <n v="2"/>
    <x v="0"/>
    <n v="5"/>
    <n v="1"/>
  </r>
  <r>
    <s v="3862"/>
    <x v="3871"/>
    <n v="3300000"/>
    <x v="9"/>
    <n v="86.058599999999998"/>
    <x v="23"/>
    <n v="14"/>
    <n v="7"/>
    <s v="1998"/>
    <n v="2"/>
    <x v="0"/>
    <n v="7"/>
    <n v="1"/>
  </r>
  <r>
    <s v="3863"/>
    <x v="3872"/>
    <n v="6200000"/>
    <x v="38"/>
    <n v="86.035200000000003"/>
    <x v="0"/>
    <n v="26"/>
    <n v="17"/>
    <s v="2003"/>
    <n v="4"/>
    <x v="0"/>
    <n v="9"/>
    <n v="0.52941176470588236"/>
  </r>
  <r>
    <s v="3864"/>
    <x v="3873"/>
    <n v="17400000"/>
    <x v="30"/>
    <n v="86.008399999999995"/>
    <x v="9"/>
    <n v="79"/>
    <n v="63"/>
    <s v="2004"/>
    <n v="8"/>
    <x v="0"/>
    <n v="16"/>
    <n v="0.25396825396825395"/>
  </r>
  <r>
    <s v="3865"/>
    <x v="3874"/>
    <n v="2300000"/>
    <x v="7"/>
    <n v="85.933099999999996"/>
    <x v="19"/>
    <n v="18"/>
    <n v="13"/>
    <s v="2010"/>
    <n v="1"/>
    <x v="0"/>
    <n v="5"/>
    <n v="0.38461538461538464"/>
  </r>
  <r>
    <s v="3866"/>
    <x v="3875"/>
    <n v="10900000"/>
    <x v="5"/>
    <n v="85.932199999999995"/>
    <x v="17"/>
    <n v="46"/>
    <n v="27"/>
    <s v="2009"/>
    <n v="2"/>
    <x v="0"/>
    <n v="19"/>
    <n v="0.70370370370370372"/>
  </r>
  <r>
    <s v="3867"/>
    <x v="3876"/>
    <n v="23700000"/>
    <x v="12"/>
    <n v="85.863799999999998"/>
    <x v="23"/>
    <n v="97"/>
    <n v="52"/>
    <s v="2007"/>
    <n v="8"/>
    <x v="0"/>
    <n v="45"/>
    <n v="0.86538461538461542"/>
  </r>
  <r>
    <s v="3868"/>
    <x v="3877"/>
    <n v="30200000"/>
    <x v="11"/>
    <n v="85.831199999999995"/>
    <x v="5"/>
    <n v="198"/>
    <n v="85"/>
    <s v="2001"/>
    <n v="4"/>
    <x v="0"/>
    <n v="113"/>
    <n v="1.3294117647058823"/>
  </r>
  <r>
    <s v="3869"/>
    <x v="3878"/>
    <n v="8200000"/>
    <x v="9"/>
    <n v="85.818100000000001"/>
    <x v="19"/>
    <n v="75"/>
    <n v="25"/>
    <s v="2001"/>
    <n v="6"/>
    <x v="0"/>
    <n v="50"/>
    <n v="2"/>
  </r>
  <r>
    <s v="3870"/>
    <x v="3879"/>
    <n v="2900000"/>
    <x v="9"/>
    <n v="85.695999999999998"/>
    <x v="7"/>
    <n v="20"/>
    <n v="8"/>
    <s v="2013"/>
    <n v="2"/>
    <x v="0"/>
    <n v="12"/>
    <n v="1.5"/>
  </r>
  <r>
    <s v="3871"/>
    <x v="3880"/>
    <n v="5800000"/>
    <x v="2"/>
    <n v="85.686700000000002"/>
    <x v="21"/>
    <n v="65"/>
    <n v="15"/>
    <s v="2002"/>
    <n v="6"/>
    <x v="0"/>
    <n v="50"/>
    <n v="3.3333333333333335"/>
  </r>
  <r>
    <s v="3872"/>
    <x v="3881"/>
    <n v="16200000"/>
    <x v="24"/>
    <n v="85.652600000000007"/>
    <x v="15"/>
    <n v="19"/>
    <n v="14"/>
    <s v="2011"/>
    <n v="3"/>
    <x v="0"/>
    <n v="5"/>
    <n v="0.35714285714285715"/>
  </r>
  <r>
    <s v="3873"/>
    <x v="3882"/>
    <n v="25000000"/>
    <x v="2"/>
    <n v="85.635199999999998"/>
    <x v="21"/>
    <n v="62"/>
    <n v="36"/>
    <s v="2009"/>
    <n v="1"/>
    <x v="0"/>
    <n v="26"/>
    <n v="0.72222222222222221"/>
  </r>
  <r>
    <s v="3874"/>
    <x v="3883"/>
    <n v="3500000"/>
    <x v="26"/>
    <n v="85.631299999999996"/>
    <x v="6"/>
    <n v="25"/>
    <n v="20"/>
    <s v="1999"/>
    <n v="6"/>
    <x v="0"/>
    <n v="5"/>
    <n v="0.25"/>
  </r>
  <r>
    <s v="3875"/>
    <x v="3884"/>
    <n v="15500000"/>
    <x v="20"/>
    <n v="85.540700000000001"/>
    <x v="9"/>
    <n v="75"/>
    <n v="49"/>
    <s v="1999"/>
    <n v="9"/>
    <x v="0"/>
    <n v="26"/>
    <n v="0.53061224489795922"/>
  </r>
  <r>
    <s v="3876"/>
    <x v="3885"/>
    <n v="3700000"/>
    <x v="20"/>
    <n v="85.538799999999995"/>
    <x v="4"/>
    <n v="23"/>
    <n v="2"/>
    <s v="2014"/>
    <n v="1"/>
    <x v="0"/>
    <n v="21"/>
    <n v="10.5"/>
  </r>
  <r>
    <s v="3877"/>
    <x v="3886"/>
    <n v="2900000"/>
    <x v="7"/>
    <n v="85.522499999999994"/>
    <x v="7"/>
    <n v="7"/>
    <n v="6"/>
    <s v="2011"/>
    <n v="2"/>
    <x v="0"/>
    <n v="1"/>
    <n v="0.16666666666666666"/>
  </r>
  <r>
    <s v="3878"/>
    <x v="3887"/>
    <n v="105300000"/>
    <x v="8"/>
    <n v="85.419300000000007"/>
    <x v="20"/>
    <n v="210"/>
    <n v="80"/>
    <s v="2001"/>
    <n v="7"/>
    <x v="0"/>
    <n v="130"/>
    <n v="1.625"/>
  </r>
  <r>
    <s v="3879"/>
    <x v="3888"/>
    <n v="24000000"/>
    <x v="2"/>
    <n v="85.406499999999994"/>
    <x v="16"/>
    <n v="230"/>
    <n v="100"/>
    <s v="2002"/>
    <n v="2"/>
    <x v="0"/>
    <n v="130"/>
    <n v="1.3"/>
  </r>
  <r>
    <s v="3880"/>
    <x v="3889"/>
    <n v="8300000"/>
    <x v="14"/>
    <n v="85.393900000000002"/>
    <x v="15"/>
    <n v="150"/>
    <n v="80"/>
    <s v="2004"/>
    <n v="2"/>
    <x v="0"/>
    <n v="70"/>
    <n v="0.875"/>
  </r>
  <r>
    <s v="3881"/>
    <x v="3890"/>
    <n v="418900000"/>
    <x v="5"/>
    <n v="85.349299999999999"/>
    <x v="15"/>
    <n v="180"/>
    <n v="95"/>
    <s v="1996"/>
    <n v="4"/>
    <x v="0"/>
    <n v="85"/>
    <n v="0.89473684210526316"/>
  </r>
  <r>
    <s v="3882"/>
    <x v="3891"/>
    <n v="17600000"/>
    <x v="27"/>
    <n v="85.315700000000007"/>
    <x v="21"/>
    <n v="55"/>
    <n v="39"/>
    <s v="2008"/>
    <n v="7"/>
    <x v="0"/>
    <n v="16"/>
    <n v="0.41025641025641024"/>
  </r>
  <r>
    <s v="3883"/>
    <x v="3892"/>
    <n v="5800000"/>
    <x v="27"/>
    <n v="85.312600000000003"/>
    <x v="9"/>
    <n v="41"/>
    <n v="26"/>
    <s v="2000"/>
    <n v="1"/>
    <x v="0"/>
    <n v="15"/>
    <n v="0.57692307692307687"/>
  </r>
  <r>
    <s v="3884"/>
    <x v="3893"/>
    <n v="7400000"/>
    <x v="4"/>
    <n v="85.310699999999997"/>
    <x v="3"/>
    <n v="25"/>
    <n v="15"/>
    <s v="1999"/>
    <n v="6"/>
    <x v="0"/>
    <n v="10"/>
    <n v="0.66666666666666663"/>
  </r>
  <r>
    <s v="3885"/>
    <x v="3894"/>
    <n v="21900000"/>
    <x v="9"/>
    <n v="85.281099999999995"/>
    <x v="7"/>
    <n v="60"/>
    <n v="38"/>
    <s v="2007"/>
    <n v="6"/>
    <x v="0"/>
    <n v="22"/>
    <n v="0.57894736842105265"/>
  </r>
  <r>
    <s v="3886"/>
    <x v="3895"/>
    <n v="75600000"/>
    <x v="2"/>
    <n v="85.270300000000006"/>
    <x v="13"/>
    <n v="530"/>
    <n v="237"/>
    <s v="1999"/>
    <n v="8"/>
    <x v="0"/>
    <n v="293"/>
    <n v="1.2362869198312236"/>
  </r>
  <r>
    <s v="3887"/>
    <x v="3896"/>
    <n v="2000000"/>
    <x v="2"/>
    <n v="85.2102"/>
    <x v="12"/>
    <n v="26"/>
    <n v="5"/>
    <s v="2011"/>
    <n v="1"/>
    <x v="0"/>
    <n v="21"/>
    <n v="4.2"/>
  </r>
  <r>
    <s v="3888"/>
    <x v="3897"/>
    <n v="21100000"/>
    <x v="5"/>
    <n v="85.1417"/>
    <x v="17"/>
    <n v="150"/>
    <n v="75"/>
    <s v="2008"/>
    <n v="3"/>
    <x v="0"/>
    <n v="75"/>
    <n v="1"/>
  </r>
  <r>
    <s v="3889"/>
    <x v="3898"/>
    <n v="3600000"/>
    <x v="16"/>
    <n v="85.138800000000003"/>
    <x v="9"/>
    <n v="23"/>
    <n v="11"/>
    <s v="2011"/>
    <n v="2"/>
    <x v="0"/>
    <n v="12"/>
    <n v="1.0909090909090908"/>
  </r>
  <r>
    <s v="3890"/>
    <x v="3899"/>
    <n v="5800000"/>
    <x v="2"/>
    <n v="85.101799999999997"/>
    <x v="23"/>
    <n v="54"/>
    <n v="40"/>
    <s v="2004"/>
    <n v="4"/>
    <x v="0"/>
    <n v="14"/>
    <n v="0.35"/>
  </r>
  <r>
    <s v="3891"/>
    <x v="3900"/>
    <n v="3500000"/>
    <x v="2"/>
    <n v="85.047700000000006"/>
    <x v="9"/>
    <n v="14"/>
    <n v="7"/>
    <s v="2009"/>
    <n v="2"/>
    <x v="0"/>
    <n v="7"/>
    <n v="1"/>
  </r>
  <r>
    <s v="3892"/>
    <x v="3901"/>
    <n v="11100000"/>
    <x v="2"/>
    <n v="85.016800000000003"/>
    <x v="22"/>
    <n v="60"/>
    <n v="50"/>
    <s v="2003"/>
    <n v="1"/>
    <x v="0"/>
    <n v="10"/>
    <n v="0.2"/>
  </r>
  <r>
    <s v="3893"/>
    <x v="3902"/>
    <n v="4200000"/>
    <x v="5"/>
    <n v="84.939300000000003"/>
    <x v="12"/>
    <n v="40"/>
    <n v="20"/>
    <s v="2014"/>
    <n v="2"/>
    <x v="0"/>
    <n v="20"/>
    <n v="1"/>
  </r>
  <r>
    <s v="3894"/>
    <x v="3903"/>
    <n v="7600000"/>
    <x v="2"/>
    <n v="84.935500000000005"/>
    <x v="15"/>
    <n v="43"/>
    <n v="18"/>
    <s v="2012"/>
    <n v="1"/>
    <x v="0"/>
    <n v="25"/>
    <n v="1.3888888888888888"/>
  </r>
  <r>
    <s v="3895"/>
    <x v="3904"/>
    <n v="4800000"/>
    <x v="9"/>
    <n v="84.894400000000005"/>
    <x v="23"/>
    <n v="14"/>
    <n v="5"/>
    <s v="1979"/>
    <n v="2"/>
    <x v="0"/>
    <n v="9"/>
    <n v="1.8"/>
  </r>
  <r>
    <s v="3896"/>
    <x v="3905"/>
    <n v="2400000"/>
    <x v="9"/>
    <n v="84.877499999999998"/>
    <x v="5"/>
    <n v="42"/>
    <n v="14"/>
    <s v="2014"/>
    <n v="1"/>
    <x v="0"/>
    <n v="28"/>
    <n v="2"/>
  </r>
  <r>
    <s v="3897"/>
    <x v="3906"/>
    <n v="11400000"/>
    <x v="37"/>
    <n v="84.860100000000003"/>
    <x v="23"/>
    <n v="165"/>
    <n v="55"/>
    <s v="2011"/>
    <n v="1"/>
    <x v="0"/>
    <n v="110"/>
    <n v="2"/>
  </r>
  <r>
    <s v="3898"/>
    <x v="3907"/>
    <n v="30200000"/>
    <x v="7"/>
    <n v="84.833200000000005"/>
    <x v="9"/>
    <n v="152"/>
    <n v="83"/>
    <s v="1988"/>
    <n v="2"/>
    <x v="0"/>
    <n v="69"/>
    <n v="0.83132530120481929"/>
  </r>
  <r>
    <s v="3899"/>
    <x v="3908"/>
    <n v="29400000"/>
    <x v="10"/>
    <n v="84.830699999999993"/>
    <x v="2"/>
    <n v="750"/>
    <n v="420"/>
    <s v="1998"/>
    <n v="2"/>
    <x v="0"/>
    <n v="330"/>
    <n v="0.7857142857142857"/>
  </r>
  <r>
    <s v="3900"/>
    <x v="3909"/>
    <n v="20000000"/>
    <x v="24"/>
    <n v="84.820499999999996"/>
    <x v="2"/>
    <n v="125"/>
    <n v="65"/>
    <s v="1999"/>
    <n v="2"/>
    <x v="0"/>
    <n v="60"/>
    <n v="0.92307692307692313"/>
  </r>
  <r>
    <s v="3901"/>
    <x v="3910"/>
    <n v="107500000"/>
    <x v="2"/>
    <n v="84.737899999999996"/>
    <x v="13"/>
    <n v="320"/>
    <n v="185"/>
    <s v="2002"/>
    <n v="5"/>
    <x v="0"/>
    <n v="135"/>
    <n v="0.72972972972972971"/>
  </r>
  <r>
    <s v="3902"/>
    <x v="3911"/>
    <n v="2600000"/>
    <x v="12"/>
    <n v="84.727900000000005"/>
    <x v="15"/>
    <n v="3"/>
    <n v="1"/>
    <s v="2001"/>
    <n v="1"/>
    <x v="0"/>
    <n v="2"/>
    <n v="2"/>
  </r>
  <r>
    <s v="3903"/>
    <x v="3912"/>
    <n v="7000000"/>
    <x v="50"/>
    <n v="84.702100000000002"/>
    <x v="0"/>
    <n v="63"/>
    <n v="29"/>
    <s v="2010"/>
    <n v="4"/>
    <x v="0"/>
    <n v="34"/>
    <n v="1.1724137931034482"/>
  </r>
  <r>
    <s v="3904"/>
    <x v="3913"/>
    <n v="7000000"/>
    <x v="40"/>
    <n v="84.676000000000002"/>
    <x v="20"/>
    <n v="57"/>
    <n v="44"/>
    <s v="2001"/>
    <n v="1"/>
    <x v="0"/>
    <n v="13"/>
    <n v="0.29545454545454547"/>
  </r>
  <r>
    <s v="3905"/>
    <x v="3914"/>
    <n v="36500000"/>
    <x v="9"/>
    <n v="84.672200000000004"/>
    <x v="19"/>
    <n v="703"/>
    <n v="217"/>
    <s v="2003"/>
    <n v="9"/>
    <x v="0"/>
    <n v="486"/>
    <n v="2.2396313364055298"/>
  </r>
  <r>
    <s v="3906"/>
    <x v="3915"/>
    <n v="11000000"/>
    <x v="2"/>
    <n v="84.654899999999998"/>
    <x v="5"/>
    <n v="328"/>
    <n v="202"/>
    <s v="2011"/>
    <n v="5"/>
    <x v="0"/>
    <n v="126"/>
    <n v="0.62376237623762376"/>
  </r>
  <r>
    <s v="3907"/>
    <x v="3916"/>
    <n v="7100000"/>
    <x v="19"/>
    <n v="84.647800000000004"/>
    <x v="15"/>
    <n v="50"/>
    <n v="35"/>
    <s v="1956"/>
    <n v="3"/>
    <x v="0"/>
    <n v="15"/>
    <n v="0.42857142857142855"/>
  </r>
  <r>
    <s v="3908"/>
    <x v="3917"/>
    <n v="109700000"/>
    <x v="22"/>
    <n v="84.579300000000003"/>
    <x v="9"/>
    <n v="541"/>
    <n v="369"/>
    <s v="2001"/>
    <n v="9"/>
    <x v="0"/>
    <n v="172"/>
    <n v="0.46612466124661245"/>
  </r>
  <r>
    <s v="3909"/>
    <x v="3918"/>
    <n v="4600000"/>
    <x v="41"/>
    <n v="84.565799999999996"/>
    <x v="25"/>
    <n v="35"/>
    <n v="26"/>
    <s v="2008"/>
    <n v="2"/>
    <x v="0"/>
    <n v="9"/>
    <n v="0.34615384615384615"/>
  </r>
  <r>
    <s v="3910"/>
    <x v="3919"/>
    <n v="71000000"/>
    <x v="2"/>
    <n v="84.511099999999999"/>
    <x v="4"/>
    <n v="908"/>
    <n v="530"/>
    <s v="2009"/>
    <n v="2"/>
    <x v="0"/>
    <n v="378"/>
    <n v="0.71320754716981127"/>
  </r>
  <r>
    <s v="3911"/>
    <x v="3920"/>
    <n v="15900000"/>
    <x v="5"/>
    <n v="84.476500000000001"/>
    <x v="17"/>
    <n v="38"/>
    <n v="36"/>
    <s v="2007"/>
    <n v="2"/>
    <x v="0"/>
    <n v="2"/>
    <n v="5.5555555555555552E-2"/>
  </r>
  <r>
    <s v="3912"/>
    <x v="3921"/>
    <n v="10000000"/>
    <x v="7"/>
    <n v="84.421099999999996"/>
    <x v="11"/>
    <n v="68"/>
    <n v="40"/>
    <s v="2005"/>
    <n v="1"/>
    <x v="0"/>
    <n v="28"/>
    <n v="0.7"/>
  </r>
  <r>
    <s v="3913"/>
    <x v="3922"/>
    <n v="9300000"/>
    <x v="7"/>
    <n v="84.389200000000002"/>
    <x v="19"/>
    <n v="64"/>
    <n v="60"/>
    <s v="2013"/>
    <n v="2"/>
    <x v="0"/>
    <n v="4"/>
    <n v="6.6666666666666666E-2"/>
  </r>
  <r>
    <s v="3914"/>
    <x v="3923"/>
    <n v="43100000"/>
    <x v="2"/>
    <n v="84.367900000000006"/>
    <x v="5"/>
    <n v="48"/>
    <n v="37"/>
    <s v="2003"/>
    <n v="4"/>
    <x v="0"/>
    <n v="11"/>
    <n v="0.29729729729729731"/>
  </r>
  <r>
    <s v="3915"/>
    <x v="3924"/>
    <n v="2600000000"/>
    <x v="2"/>
    <n v="84.367099999999994"/>
    <x v="3"/>
    <n v="3750"/>
    <n v="2150"/>
    <s v="2008"/>
    <n v="6"/>
    <x v="0"/>
    <n v="1600"/>
    <n v="0.7441860465116279"/>
  </r>
  <r>
    <s v="3916"/>
    <x v="3925"/>
    <n v="4200000"/>
    <x v="21"/>
    <n v="84.352900000000005"/>
    <x v="5"/>
    <n v="40"/>
    <n v="14"/>
    <s v="2013"/>
    <n v="3"/>
    <x v="0"/>
    <n v="26"/>
    <n v="1.8571428571428572"/>
  </r>
  <r>
    <s v="3917"/>
    <x v="3926"/>
    <n v="2900000"/>
    <x v="1"/>
    <n v="84.281599999999997"/>
    <x v="23"/>
    <n v="10"/>
    <n v="8"/>
    <s v="1988"/>
    <n v="1"/>
    <x v="0"/>
    <n v="2"/>
    <n v="0.25"/>
  </r>
  <r>
    <s v="3918"/>
    <x v="3927"/>
    <n v="4800000"/>
    <x v="33"/>
    <n v="84.267799999999994"/>
    <x v="18"/>
    <n v="40"/>
    <n v="28"/>
    <s v="2004"/>
    <n v="5"/>
    <x v="0"/>
    <n v="12"/>
    <n v="0.42857142857142855"/>
  </r>
  <r>
    <s v="3919"/>
    <x v="3928"/>
    <n v="33000000"/>
    <x v="13"/>
    <n v="84.255899999999997"/>
    <x v="19"/>
    <n v="1002"/>
    <n v="602"/>
    <s v="2009"/>
    <n v="6"/>
    <x v="0"/>
    <n v="400"/>
    <n v="0.66445182724252494"/>
  </r>
  <r>
    <s v="3920"/>
    <x v="3929"/>
    <n v="111400000"/>
    <x v="18"/>
    <n v="84.212199999999996"/>
    <x v="22"/>
    <n v="55"/>
    <n v="41"/>
    <s v="1994"/>
    <n v="1"/>
    <x v="0"/>
    <n v="14"/>
    <n v="0.34146341463414637"/>
  </r>
  <r>
    <s v="3921"/>
    <x v="3930"/>
    <n v="28200000"/>
    <x v="23"/>
    <n v="84.199200000000005"/>
    <x v="7"/>
    <n v="93"/>
    <n v="61"/>
    <s v="2008"/>
    <n v="3"/>
    <x v="0"/>
    <n v="32"/>
    <n v="0.52459016393442626"/>
  </r>
  <r>
    <s v="3922"/>
    <x v="3931"/>
    <n v="4200000"/>
    <x v="9"/>
    <n v="84.174000000000007"/>
    <x v="0"/>
    <n v="23"/>
    <n v="17"/>
    <s v="2010"/>
    <n v="2"/>
    <x v="0"/>
    <n v="6"/>
    <n v="0.35294117647058826"/>
  </r>
  <r>
    <s v="3923"/>
    <x v="3932"/>
    <n v="9700000"/>
    <x v="18"/>
    <n v="84.165099999999995"/>
    <x v="17"/>
    <n v="38"/>
    <n v="28"/>
    <s v="2005"/>
    <n v="6"/>
    <x v="0"/>
    <n v="10"/>
    <n v="0.35714285714285715"/>
  </r>
  <r>
    <s v="3924"/>
    <x v="3933"/>
    <n v="46100000"/>
    <x v="4"/>
    <n v="84.154200000000003"/>
    <x v="2"/>
    <n v="105"/>
    <n v="77"/>
    <s v="1914"/>
    <n v="5"/>
    <x v="0"/>
    <n v="28"/>
    <n v="0.36363636363636365"/>
  </r>
  <r>
    <s v="3925"/>
    <x v="3934"/>
    <n v="4500000"/>
    <x v="7"/>
    <n v="84.152199999999993"/>
    <x v="11"/>
    <n v="46"/>
    <n v="37"/>
    <s v="2006"/>
    <n v="3"/>
    <x v="0"/>
    <n v="9"/>
    <n v="0.24324324324324326"/>
  </r>
  <r>
    <s v="3926"/>
    <x v="3935"/>
    <n v="3200000"/>
    <x v="27"/>
    <n v="84.136200000000002"/>
    <x v="0"/>
    <n v="15"/>
    <n v="10"/>
    <s v="2009"/>
    <n v="1"/>
    <x v="0"/>
    <n v="5"/>
    <n v="0.5"/>
  </r>
  <r>
    <s v="3927"/>
    <x v="3936"/>
    <n v="8400000"/>
    <x v="8"/>
    <n v="84.126499999999993"/>
    <x v="16"/>
    <n v="70"/>
    <n v="37"/>
    <s v="2007"/>
    <n v="8"/>
    <x v="0"/>
    <n v="33"/>
    <n v="0.89189189189189189"/>
  </r>
  <r>
    <s v="3928"/>
    <x v="3937"/>
    <n v="46100000"/>
    <x v="21"/>
    <n v="84.119299999999996"/>
    <x v="19"/>
    <n v="95"/>
    <n v="78"/>
    <s v="1994"/>
    <n v="4"/>
    <x v="0"/>
    <n v="17"/>
    <n v="0.21794871794871795"/>
  </r>
  <r>
    <s v="3929"/>
    <x v="3938"/>
    <n v="4300000"/>
    <x v="6"/>
    <n v="83.941900000000004"/>
    <x v="22"/>
    <n v="80"/>
    <n v="25"/>
    <s v="1997"/>
    <n v="1"/>
    <x v="0"/>
    <n v="55"/>
    <n v="2.2000000000000002"/>
  </r>
  <r>
    <s v="3930"/>
    <x v="3939"/>
    <n v="4200000"/>
    <x v="10"/>
    <n v="83.844700000000003"/>
    <x v="17"/>
    <n v="14"/>
    <n v="8"/>
    <s v="2008"/>
    <n v="3"/>
    <x v="0"/>
    <n v="6"/>
    <n v="0.75"/>
  </r>
  <r>
    <s v="3931"/>
    <x v="3940"/>
    <n v="5800000"/>
    <x v="10"/>
    <n v="83.828599999999994"/>
    <x v="0"/>
    <n v="15"/>
    <n v="12"/>
    <s v="2010"/>
    <n v="5"/>
    <x v="0"/>
    <n v="3"/>
    <n v="0.25"/>
  </r>
  <r>
    <s v="3932"/>
    <x v="3941"/>
    <n v="53000000"/>
    <x v="9"/>
    <n v="83.811700000000002"/>
    <x v="0"/>
    <n v="27"/>
    <n v="18"/>
    <s v="2009"/>
    <n v="1"/>
    <x v="0"/>
    <n v="9"/>
    <n v="0.5"/>
  </r>
  <r>
    <s v="3933"/>
    <x v="3942"/>
    <n v="13900000"/>
    <x v="17"/>
    <n v="83.664599999999993"/>
    <x v="9"/>
    <n v="68"/>
    <n v="16"/>
    <s v="2010"/>
    <n v="2"/>
    <x v="0"/>
    <n v="52"/>
    <n v="3.25"/>
  </r>
  <r>
    <s v="3934"/>
    <x v="3943"/>
    <n v="16800000"/>
    <x v="6"/>
    <n v="83.652199999999993"/>
    <x v="15"/>
    <n v="48"/>
    <n v="30"/>
    <s v="2007"/>
    <n v="1"/>
    <x v="0"/>
    <n v="18"/>
    <n v="0.6"/>
  </r>
  <r>
    <s v="3935"/>
    <x v="3944"/>
    <n v="13600000"/>
    <x v="2"/>
    <n v="83.630200000000002"/>
    <x v="23"/>
    <n v="245"/>
    <n v="125"/>
    <s v="2012"/>
    <n v="4"/>
    <x v="0"/>
    <n v="120"/>
    <n v="0.96"/>
  </r>
  <r>
    <s v="3936"/>
    <x v="3945"/>
    <n v="18500000"/>
    <x v="34"/>
    <n v="83.608999999999995"/>
    <x v="23"/>
    <n v="104"/>
    <n v="46"/>
    <s v="2007"/>
    <n v="6"/>
    <x v="0"/>
    <n v="58"/>
    <n v="1.2608695652173914"/>
  </r>
  <r>
    <s v="3937"/>
    <x v="3946"/>
    <n v="54500000"/>
    <x v="6"/>
    <n v="83.577500000000001"/>
    <x v="3"/>
    <n v="1286"/>
    <n v="637"/>
    <s v="1997"/>
    <n v="1"/>
    <x v="0"/>
    <n v="649"/>
    <n v="1.0188383045525902"/>
  </r>
  <r>
    <s v="3938"/>
    <x v="3947"/>
    <n v="8800000"/>
    <x v="29"/>
    <n v="83.546099999999996"/>
    <x v="23"/>
    <n v="27"/>
    <n v="15"/>
    <s v="2013"/>
    <n v="2"/>
    <x v="0"/>
    <n v="12"/>
    <n v="0.8"/>
  </r>
  <r>
    <s v="3939"/>
    <x v="3948"/>
    <n v="11200000"/>
    <x v="19"/>
    <n v="83.532799999999995"/>
    <x v="23"/>
    <n v="52"/>
    <n v="46"/>
    <s v="1884"/>
    <n v="5"/>
    <x v="0"/>
    <n v="6"/>
    <n v="0.13043478260869565"/>
  </r>
  <r>
    <s v="3940"/>
    <x v="3949"/>
    <n v="5700000"/>
    <x v="7"/>
    <n v="83.3613"/>
    <x v="12"/>
    <n v="25"/>
    <n v="8"/>
    <s v="2012"/>
    <n v="1"/>
    <x v="0"/>
    <n v="17"/>
    <n v="2.125"/>
  </r>
  <r>
    <s v="3941"/>
    <x v="3950"/>
    <n v="38000000"/>
    <x v="4"/>
    <n v="83.36"/>
    <x v="23"/>
    <n v="112"/>
    <n v="85"/>
    <s v="1994"/>
    <n v="7"/>
    <x v="0"/>
    <n v="27"/>
    <n v="0.31764705882352939"/>
  </r>
  <r>
    <s v="3942"/>
    <x v="3951"/>
    <n v="4300000"/>
    <x v="41"/>
    <n v="83.259100000000004"/>
    <x v="3"/>
    <n v="35"/>
    <n v="15"/>
    <s v="2005"/>
    <n v="2"/>
    <x v="0"/>
    <n v="20"/>
    <n v="1.3333333333333333"/>
  </r>
  <r>
    <s v="3943"/>
    <x v="3952"/>
    <n v="9800000"/>
    <x v="12"/>
    <n v="83.169700000000006"/>
    <x v="3"/>
    <n v="24"/>
    <n v="8"/>
    <s v="2009"/>
    <n v="1"/>
    <x v="0"/>
    <n v="16"/>
    <n v="2"/>
  </r>
  <r>
    <s v="3944"/>
    <x v="3953"/>
    <n v="2600000"/>
    <x v="9"/>
    <n v="83.099900000000005"/>
    <x v="0"/>
    <n v="17"/>
    <n v="11"/>
    <s v="2009"/>
    <n v="2"/>
    <x v="0"/>
    <n v="6"/>
    <n v="0.54545454545454541"/>
  </r>
  <r>
    <s v="3945"/>
    <x v="3954"/>
    <n v="2700000"/>
    <x v="13"/>
    <n v="83.091700000000003"/>
    <x v="0"/>
    <n v="21"/>
    <n v="12"/>
    <s v="2007"/>
    <n v="3"/>
    <x v="0"/>
    <n v="9"/>
    <n v="0.75"/>
  </r>
  <r>
    <s v="3946"/>
    <x v="3955"/>
    <n v="9800000"/>
    <x v="7"/>
    <n v="83.080399999999997"/>
    <x v="26"/>
    <n v="24"/>
    <n v="7"/>
    <s v="2012"/>
    <n v="1"/>
    <x v="0"/>
    <n v="17"/>
    <n v="2.4285714285714284"/>
  </r>
  <r>
    <s v="3947"/>
    <x v="3956"/>
    <n v="12100000"/>
    <x v="6"/>
    <n v="83.078500000000005"/>
    <x v="23"/>
    <n v="50"/>
    <n v="20"/>
    <s v="2000"/>
    <n v="6"/>
    <x v="0"/>
    <n v="30"/>
    <n v="1.5"/>
  </r>
  <r>
    <s v="3948"/>
    <x v="3957"/>
    <n v="4400000"/>
    <x v="6"/>
    <n v="82.997500000000002"/>
    <x v="17"/>
    <n v="28"/>
    <n v="19"/>
    <s v="2002"/>
    <n v="4"/>
    <x v="0"/>
    <n v="9"/>
    <n v="0.47368421052631576"/>
  </r>
  <r>
    <s v="3949"/>
    <x v="3958"/>
    <n v="3600000"/>
    <x v="11"/>
    <n v="82.849400000000003"/>
    <x v="0"/>
    <n v="29"/>
    <n v="22"/>
    <s v="2010"/>
    <n v="1"/>
    <x v="0"/>
    <n v="7"/>
    <n v="0.31818181818181818"/>
  </r>
  <r>
    <s v="3950"/>
    <x v="3959"/>
    <n v="21900000"/>
    <x v="3"/>
    <n v="82.838499999999996"/>
    <x v="11"/>
    <n v="130"/>
    <n v="75"/>
    <s v="2006"/>
    <n v="6"/>
    <x v="0"/>
    <n v="55"/>
    <n v="0.73333333333333328"/>
  </r>
  <r>
    <s v="3951"/>
    <x v="3960"/>
    <n v="197200000"/>
    <x v="16"/>
    <n v="82.832700000000003"/>
    <x v="12"/>
    <n v="1777"/>
    <n v="1196"/>
    <s v="2000"/>
    <n v="12"/>
    <x v="0"/>
    <n v="581"/>
    <n v="0.48578595317725753"/>
  </r>
  <r>
    <s v="3952"/>
    <x v="3961"/>
    <n v="17800000"/>
    <x v="4"/>
    <n v="82.785399999999996"/>
    <x v="23"/>
    <n v="114"/>
    <n v="52"/>
    <s v="2007"/>
    <n v="7"/>
    <x v="0"/>
    <n v="62"/>
    <n v="1.1923076923076923"/>
  </r>
  <r>
    <s v="3953"/>
    <x v="3962"/>
    <n v="9300000"/>
    <x v="31"/>
    <n v="82.755700000000004"/>
    <x v="15"/>
    <n v="78"/>
    <n v="40"/>
    <s v="2002"/>
    <n v="1"/>
    <x v="0"/>
    <n v="38"/>
    <n v="0.95"/>
  </r>
  <r>
    <s v="3954"/>
    <x v="3963"/>
    <n v="5300000"/>
    <x v="2"/>
    <n v="82.699299999999994"/>
    <x v="5"/>
    <n v="38"/>
    <n v="7"/>
    <s v="2011"/>
    <n v="4"/>
    <x v="0"/>
    <n v="31"/>
    <n v="4.4285714285714288"/>
  </r>
  <r>
    <s v="3955"/>
    <x v="3964"/>
    <n v="23500000"/>
    <x v="12"/>
    <n v="82.684799999999996"/>
    <x v="5"/>
    <n v="51"/>
    <n v="20"/>
    <s v="2012"/>
    <n v="2"/>
    <x v="0"/>
    <n v="31"/>
    <n v="1.55"/>
  </r>
  <r>
    <s v="3956"/>
    <x v="3965"/>
    <n v="292100000"/>
    <x v="6"/>
    <n v="82.605199999999996"/>
    <x v="15"/>
    <n v="150"/>
    <n v="94"/>
    <s v="2004"/>
    <n v="7"/>
    <x v="0"/>
    <n v="56"/>
    <n v="0.5957446808510638"/>
  </r>
  <r>
    <s v="3957"/>
    <x v="3966"/>
    <n v="4000000"/>
    <x v="2"/>
    <n v="82.587199999999996"/>
    <x v="13"/>
    <n v="16"/>
    <n v="16"/>
    <s v="2007"/>
    <n v="3"/>
    <x v="1"/>
    <n v="0"/>
    <n v="0"/>
  </r>
  <r>
    <s v="3958"/>
    <x v="3967"/>
    <n v="62100000"/>
    <x v="35"/>
    <n v="82.555300000000003"/>
    <x v="5"/>
    <n v="79"/>
    <n v="48"/>
    <s v="2001"/>
    <n v="5"/>
    <x v="0"/>
    <n v="31"/>
    <n v="0.64583333333333337"/>
  </r>
  <r>
    <s v="3959"/>
    <x v="3968"/>
    <n v="2300000"/>
    <x v="8"/>
    <n v="82.510499999999993"/>
    <x v="20"/>
    <n v="18"/>
    <n v="13"/>
    <s v="1995"/>
    <n v="1"/>
    <x v="0"/>
    <n v="5"/>
    <n v="0.38461538461538464"/>
  </r>
  <r>
    <s v="3960"/>
    <x v="3969"/>
    <n v="6800000"/>
    <x v="26"/>
    <n v="82.494799999999998"/>
    <x v="19"/>
    <n v="41"/>
    <n v="20"/>
    <s v="2001"/>
    <n v="2"/>
    <x v="0"/>
    <n v="21"/>
    <n v="1.05"/>
  </r>
  <r>
    <s v="3961"/>
    <x v="3970"/>
    <n v="15300000"/>
    <x v="5"/>
    <n v="82.468100000000007"/>
    <x v="9"/>
    <n v="103"/>
    <n v="73"/>
    <s v="2001"/>
    <n v="9"/>
    <x v="0"/>
    <n v="30"/>
    <n v="0.41095890410958902"/>
  </r>
  <r>
    <s v="3962"/>
    <x v="3971"/>
    <n v="2700000"/>
    <x v="28"/>
    <n v="82.429699999999997"/>
    <x v="0"/>
    <n v="12"/>
    <n v="6"/>
    <s v="1997"/>
    <n v="1"/>
    <x v="0"/>
    <n v="6"/>
    <n v="1"/>
  </r>
  <r>
    <s v="3963"/>
    <x v="3972"/>
    <n v="12400000"/>
    <x v="9"/>
    <n v="82.417500000000004"/>
    <x v="0"/>
    <n v="51"/>
    <n v="32"/>
    <s v="1999"/>
    <n v="1"/>
    <x v="0"/>
    <n v="19"/>
    <n v="0.59375"/>
  </r>
  <r>
    <s v="3964"/>
    <x v="3973"/>
    <n v="16400000"/>
    <x v="2"/>
    <n v="82.407399999999996"/>
    <x v="10"/>
    <n v="42"/>
    <n v="31"/>
    <s v="2007"/>
    <n v="1"/>
    <x v="0"/>
    <n v="11"/>
    <n v="0.35483870967741937"/>
  </r>
  <r>
    <s v="3965"/>
    <x v="3974"/>
    <n v="10900000"/>
    <x v="27"/>
    <n v="82.378699999999995"/>
    <x v="25"/>
    <n v="49"/>
    <n v="23"/>
    <s v="1997"/>
    <n v="2"/>
    <x v="0"/>
    <n v="26"/>
    <n v="1.1304347826086956"/>
  </r>
  <r>
    <s v="3966"/>
    <x v="3975"/>
    <n v="5200000"/>
    <x v="12"/>
    <n v="82.373199999999997"/>
    <x v="23"/>
    <n v="27"/>
    <n v="14"/>
    <s v="2013"/>
    <n v="3"/>
    <x v="0"/>
    <n v="13"/>
    <n v="0.9285714285714286"/>
  </r>
  <r>
    <s v="3967"/>
    <x v="3976"/>
    <n v="14900000"/>
    <x v="1"/>
    <n v="82.360900000000001"/>
    <x v="20"/>
    <n v="128"/>
    <n v="78"/>
    <s v="2011"/>
    <n v="4"/>
    <x v="0"/>
    <n v="50"/>
    <n v="0.64102564102564108"/>
  </r>
  <r>
    <s v="3968"/>
    <x v="3977"/>
    <n v="6200000"/>
    <x v="5"/>
    <n v="82.3262"/>
    <x v="15"/>
    <n v="50"/>
    <n v="30"/>
    <s v="1993"/>
    <n v="1"/>
    <x v="0"/>
    <n v="20"/>
    <n v="0.66666666666666663"/>
  </r>
  <r>
    <s v="3969"/>
    <x v="3978"/>
    <n v="210400000"/>
    <x v="18"/>
    <n v="82.295699999999997"/>
    <x v="20"/>
    <n v="6195"/>
    <n v="3228"/>
    <s v="2011"/>
    <n v="1"/>
    <x v="0"/>
    <n v="2967"/>
    <n v="0.91914498141263945"/>
  </r>
  <r>
    <s v="3970"/>
    <x v="3979"/>
    <n v="15100000"/>
    <x v="4"/>
    <n v="82.188800000000001"/>
    <x v="7"/>
    <n v="74"/>
    <n v="42"/>
    <s v="2000"/>
    <n v="3"/>
    <x v="0"/>
    <n v="32"/>
    <n v="0.76190476190476186"/>
  </r>
  <r>
    <s v="3971"/>
    <x v="3980"/>
    <n v="2700000"/>
    <x v="4"/>
    <n v="82.137900000000002"/>
    <x v="0"/>
    <n v="48"/>
    <n v="25"/>
    <s v="2010"/>
    <n v="3"/>
    <x v="0"/>
    <n v="23"/>
    <n v="0.92"/>
  </r>
  <r>
    <s v="3972"/>
    <x v="3981"/>
    <n v="58800000"/>
    <x v="30"/>
    <n v="82.113799999999998"/>
    <x v="15"/>
    <n v="30"/>
    <n v="21"/>
    <s v="2007"/>
    <n v="3"/>
    <x v="0"/>
    <n v="9"/>
    <n v="0.42857142857142855"/>
  </r>
  <r>
    <s v="3973"/>
    <x v="3982"/>
    <n v="57100000"/>
    <x v="12"/>
    <n v="82.069699999999997"/>
    <x v="5"/>
    <n v="150"/>
    <n v="42"/>
    <s v="1993"/>
    <n v="1"/>
    <x v="0"/>
    <n v="108"/>
    <n v="2.5714285714285716"/>
  </r>
  <r>
    <s v="3974"/>
    <x v="3983"/>
    <n v="374500000"/>
    <x v="6"/>
    <n v="82.005600000000001"/>
    <x v="5"/>
    <n v="793"/>
    <n v="576"/>
    <s v="2001"/>
    <n v="9"/>
    <x v="0"/>
    <n v="217"/>
    <n v="0.3767361111111111"/>
  </r>
  <r>
    <s v="3975"/>
    <x v="3984"/>
    <n v="3400000"/>
    <x v="2"/>
    <n v="81.939400000000006"/>
    <x v="7"/>
    <n v="20"/>
    <n v="17"/>
    <s v="2007"/>
    <n v="3"/>
    <x v="0"/>
    <n v="3"/>
    <n v="0.17647058823529413"/>
  </r>
  <r>
    <s v="3976"/>
    <x v="3985"/>
    <n v="41300000"/>
    <x v="7"/>
    <n v="81.936700000000002"/>
    <x v="11"/>
    <n v="230"/>
    <n v="72"/>
    <s v="2004"/>
    <n v="8"/>
    <x v="0"/>
    <n v="158"/>
    <n v="2.1944444444444446"/>
  </r>
  <r>
    <s v="3977"/>
    <x v="3986"/>
    <n v="27000000"/>
    <x v="9"/>
    <n v="81.922200000000004"/>
    <x v="11"/>
    <n v="80"/>
    <n v="50"/>
    <s v="2002"/>
    <n v="8"/>
    <x v="0"/>
    <n v="30"/>
    <n v="0.6"/>
  </r>
  <r>
    <s v="3978"/>
    <x v="3987"/>
    <n v="23700000"/>
    <x v="2"/>
    <n v="81.914699999999996"/>
    <x v="16"/>
    <n v="292"/>
    <n v="150"/>
    <s v="2000"/>
    <n v="4"/>
    <x v="0"/>
    <n v="142"/>
    <n v="0.94666666666666666"/>
  </r>
  <r>
    <s v="3979"/>
    <x v="3988"/>
    <n v="2900000"/>
    <x v="9"/>
    <n v="81.901399999999995"/>
    <x v="23"/>
    <n v="9"/>
    <n v="5"/>
    <s v="2012"/>
    <n v="2"/>
    <x v="0"/>
    <n v="4"/>
    <n v="0.8"/>
  </r>
  <r>
    <s v="3980"/>
    <x v="3989"/>
    <n v="66700000"/>
    <x v="12"/>
    <n v="81.878900000000002"/>
    <x v="2"/>
    <n v="1400"/>
    <n v="730"/>
    <s v="2007"/>
    <n v="4"/>
    <x v="0"/>
    <n v="670"/>
    <n v="0.9178082191780822"/>
  </r>
  <r>
    <s v="3981"/>
    <x v="3990"/>
    <n v="2600000"/>
    <x v="24"/>
    <n v="81.853200000000001"/>
    <x v="7"/>
    <n v="17"/>
    <n v="6"/>
    <s v="2014"/>
    <n v="1"/>
    <x v="0"/>
    <n v="11"/>
    <n v="1.8333333333333333"/>
  </r>
  <r>
    <s v="3982"/>
    <x v="3991"/>
    <n v="2300000"/>
    <x v="8"/>
    <n v="81.827500000000001"/>
    <x v="21"/>
    <n v="28"/>
    <n v="19"/>
    <s v="2003"/>
    <n v="1"/>
    <x v="0"/>
    <n v="9"/>
    <n v="0.47368421052631576"/>
  </r>
  <r>
    <s v="3983"/>
    <x v="3992"/>
    <n v="38100000"/>
    <x v="13"/>
    <n v="81.772599999999997"/>
    <x v="26"/>
    <n v="17"/>
    <n v="19"/>
    <s v="2013"/>
    <n v="2"/>
    <x v="1"/>
    <n v="-2"/>
    <n v="-0.10526315789473684"/>
  </r>
  <r>
    <s v="3984"/>
    <x v="3993"/>
    <n v="35100000"/>
    <x v="21"/>
    <n v="81.726799999999997"/>
    <x v="9"/>
    <n v="171"/>
    <n v="116"/>
    <s v="2000"/>
    <n v="5"/>
    <x v="0"/>
    <n v="55"/>
    <n v="0.47413793103448276"/>
  </r>
  <r>
    <s v="3985"/>
    <x v="3994"/>
    <n v="5200000"/>
    <x v="28"/>
    <n v="81.690600000000003"/>
    <x v="15"/>
    <n v="42"/>
    <n v="11"/>
    <s v="2009"/>
    <n v="1"/>
    <x v="0"/>
    <n v="31"/>
    <n v="2.8181818181818183"/>
  </r>
  <r>
    <s v="3986"/>
    <x v="3995"/>
    <n v="30600000"/>
    <x v="8"/>
    <n v="81.613799999999998"/>
    <x v="1"/>
    <n v="20"/>
    <n v="15"/>
    <s v="2009"/>
    <n v="4"/>
    <x v="0"/>
    <n v="5"/>
    <n v="0.33333333333333331"/>
  </r>
  <r>
    <s v="3987"/>
    <x v="3996"/>
    <n v="11500000"/>
    <x v="4"/>
    <n v="81.572500000000005"/>
    <x v="5"/>
    <n v="36"/>
    <n v="41"/>
    <s v="2003"/>
    <n v="3"/>
    <x v="1"/>
    <n v="-5"/>
    <n v="-0.12195121951219512"/>
  </r>
  <r>
    <s v="3988"/>
    <x v="3997"/>
    <n v="109600000"/>
    <x v="19"/>
    <n v="81.560199999999995"/>
    <x v="13"/>
    <n v="560"/>
    <n v="280"/>
    <s v="1910"/>
    <n v="1"/>
    <x v="0"/>
    <n v="280"/>
    <n v="1"/>
  </r>
  <r>
    <s v="3989"/>
    <x v="3998"/>
    <n v="2500000"/>
    <x v="32"/>
    <n v="81.539199999999994"/>
    <x v="12"/>
    <n v="20"/>
    <n v="8"/>
    <s v="2005"/>
    <n v="1"/>
    <x v="0"/>
    <n v="12"/>
    <n v="1.5"/>
  </r>
  <r>
    <s v="3990"/>
    <x v="3999"/>
    <n v="2000000"/>
    <x v="16"/>
    <n v="81.454099999999997"/>
    <x v="23"/>
    <n v="27"/>
    <n v="15"/>
    <s v="2007"/>
    <n v="1"/>
    <x v="0"/>
    <n v="12"/>
    <n v="0.8"/>
  </r>
  <r>
    <s v="3991"/>
    <x v="4000"/>
    <n v="4100000"/>
    <x v="10"/>
    <n v="81.443600000000004"/>
    <x v="23"/>
    <n v="6"/>
    <n v="6"/>
    <s v="2004"/>
    <n v="1"/>
    <x v="1"/>
    <n v="0"/>
    <n v="0"/>
  </r>
  <r>
    <s v="3992"/>
    <x v="4001"/>
    <n v="82800000"/>
    <x v="35"/>
    <n v="81.333799999999997"/>
    <x v="5"/>
    <n v="657"/>
    <n v="333"/>
    <s v="2006"/>
    <n v="4"/>
    <x v="0"/>
    <n v="324"/>
    <n v="0.97297297297297303"/>
  </r>
  <r>
    <s v="3993"/>
    <x v="4002"/>
    <n v="2800000"/>
    <x v="2"/>
    <n v="81.324299999999994"/>
    <x v="26"/>
    <n v="10"/>
    <n v="7"/>
    <s v="2004"/>
    <n v="1"/>
    <x v="0"/>
    <n v="3"/>
    <n v="0.42857142857142855"/>
  </r>
  <r>
    <s v="3994"/>
    <x v="4003"/>
    <n v="4300000"/>
    <x v="12"/>
    <n v="81.303200000000004"/>
    <x v="7"/>
    <n v="32"/>
    <n v="12"/>
    <s v="2009"/>
    <n v="1"/>
    <x v="0"/>
    <n v="20"/>
    <n v="1.6666666666666667"/>
  </r>
  <r>
    <s v="3995"/>
    <x v="4004"/>
    <n v="76100000"/>
    <x v="2"/>
    <n v="81.244100000000003"/>
    <x v="10"/>
    <n v="225"/>
    <n v="117"/>
    <s v="2008"/>
    <n v="3"/>
    <x v="0"/>
    <n v="108"/>
    <n v="0.92307692307692313"/>
  </r>
  <r>
    <s v="3996"/>
    <x v="4005"/>
    <n v="11700000"/>
    <x v="24"/>
    <n v="81.220500000000001"/>
    <x v="9"/>
    <n v="600"/>
    <n v="500"/>
    <s v="1993"/>
    <n v="4"/>
    <x v="0"/>
    <n v="100"/>
    <n v="0.2"/>
  </r>
  <r>
    <s v="3997"/>
    <x v="4006"/>
    <n v="11100000"/>
    <x v="10"/>
    <n v="81.2059"/>
    <x v="2"/>
    <n v="22"/>
    <n v="10"/>
    <s v="2010"/>
    <n v="5"/>
    <x v="0"/>
    <n v="12"/>
    <n v="1.2"/>
  </r>
  <r>
    <s v="3998"/>
    <x v="4007"/>
    <n v="2200000"/>
    <x v="38"/>
    <n v="81.196899999999999"/>
    <x v="25"/>
    <n v="11"/>
    <n v="7"/>
    <s v="2006"/>
    <n v="1"/>
    <x v="0"/>
    <n v="4"/>
    <n v="0.5714285714285714"/>
  </r>
  <r>
    <s v="3999"/>
    <x v="4008"/>
    <n v="2500000"/>
    <x v="8"/>
    <n v="81.193799999999996"/>
    <x v="0"/>
    <n v="23"/>
    <n v="15"/>
    <s v="2002"/>
    <n v="2"/>
    <x v="0"/>
    <n v="8"/>
    <n v="0.53333333333333333"/>
  </r>
  <r>
    <s v="4000"/>
    <x v="4009"/>
    <n v="348100000"/>
    <x v="24"/>
    <n v="81.154700000000005"/>
    <x v="19"/>
    <n v="2144"/>
    <n v="1355"/>
    <s v="2004"/>
    <n v="11"/>
    <x v="0"/>
    <n v="789"/>
    <n v="0.58228782287822878"/>
  </r>
  <r>
    <s v="4001"/>
    <x v="4010"/>
    <n v="2000000000"/>
    <x v="6"/>
    <n v="81.140699999999995"/>
    <x v="1"/>
    <n v="10600"/>
    <n v="8100"/>
    <s v="1932"/>
    <n v="1"/>
    <x v="0"/>
    <n v="2500"/>
    <n v="0.30864197530864196"/>
  </r>
  <r>
    <s v="4002"/>
    <x v="4011"/>
    <n v="32300000"/>
    <x v="9"/>
    <n v="81.133099999999999"/>
    <x v="12"/>
    <n v="140"/>
    <n v="95"/>
    <s v="2005"/>
    <n v="2"/>
    <x v="0"/>
    <n v="45"/>
    <n v="0.47368421052631576"/>
  </r>
  <r>
    <s v="4003"/>
    <x v="4012"/>
    <n v="8500000"/>
    <x v="21"/>
    <n v="81.132300000000001"/>
    <x v="9"/>
    <n v="76"/>
    <n v="48"/>
    <s v="2002"/>
    <n v="7"/>
    <x v="0"/>
    <n v="28"/>
    <n v="0.58333333333333337"/>
  </r>
  <r>
    <s v="4004"/>
    <x v="4013"/>
    <n v="23400000"/>
    <x v="5"/>
    <n v="81.118700000000004"/>
    <x v="10"/>
    <n v="28"/>
    <n v="21"/>
    <s v="2009"/>
    <n v="6"/>
    <x v="0"/>
    <n v="7"/>
    <n v="0.33333333333333331"/>
  </r>
  <r>
    <s v="4005"/>
    <x v="4014"/>
    <n v="4000000"/>
    <x v="23"/>
    <n v="81.069500000000005"/>
    <x v="14"/>
    <n v="32"/>
    <n v="17"/>
    <s v="2008"/>
    <n v="4"/>
    <x v="0"/>
    <n v="15"/>
    <n v="0.88235294117647056"/>
  </r>
  <r>
    <s v="4006"/>
    <x v="4015"/>
    <n v="2600000"/>
    <x v="9"/>
    <n v="81.057100000000005"/>
    <x v="9"/>
    <n v="35"/>
    <n v="17"/>
    <s v="2012"/>
    <n v="2"/>
    <x v="0"/>
    <n v="18"/>
    <n v="1.0588235294117647"/>
  </r>
  <r>
    <s v="4007"/>
    <x v="4016"/>
    <n v="3300000"/>
    <x v="27"/>
    <n v="81.054500000000004"/>
    <x v="19"/>
    <n v="19"/>
    <n v="10"/>
    <s v="2013"/>
    <n v="2"/>
    <x v="0"/>
    <n v="9"/>
    <n v="0.9"/>
  </r>
  <r>
    <s v="4008"/>
    <x v="4017"/>
    <n v="9000000"/>
    <x v="7"/>
    <n v="81.023300000000006"/>
    <x v="16"/>
    <n v="100"/>
    <n v="60"/>
    <s v="2004"/>
    <n v="2"/>
    <x v="0"/>
    <n v="40"/>
    <n v="0.66666666666666663"/>
  </r>
  <r>
    <s v="4009"/>
    <x v="4018"/>
    <n v="37700000"/>
    <x v="27"/>
    <n v="81.022599999999997"/>
    <x v="1"/>
    <n v="50"/>
    <n v="32"/>
    <s v="2009"/>
    <n v="4"/>
    <x v="0"/>
    <n v="18"/>
    <n v="0.5625"/>
  </r>
  <r>
    <s v="4010"/>
    <x v="4019"/>
    <n v="67000000"/>
    <x v="22"/>
    <n v="81.000600000000006"/>
    <x v="6"/>
    <n v="40"/>
    <n v="20"/>
    <s v="2001"/>
    <n v="9"/>
    <x v="0"/>
    <n v="20"/>
    <n v="1"/>
  </r>
  <r>
    <s v="4011"/>
    <x v="4020"/>
    <n v="57700000"/>
    <x v="24"/>
    <n v="80.971400000000003"/>
    <x v="8"/>
    <n v="350"/>
    <n v="148"/>
    <s v="1980"/>
    <n v="6"/>
    <x v="0"/>
    <n v="202"/>
    <n v="1.3648648648648649"/>
  </r>
  <r>
    <s v="4012"/>
    <x v="4021"/>
    <n v="3700000"/>
    <x v="35"/>
    <n v="80.959800000000001"/>
    <x v="18"/>
    <n v="25"/>
    <n v="14"/>
    <s v="2006"/>
    <n v="3"/>
    <x v="0"/>
    <n v="11"/>
    <n v="0.7857142857142857"/>
  </r>
  <r>
    <s v="4013"/>
    <x v="4022"/>
    <n v="24200000"/>
    <x v="6"/>
    <n v="80.923900000000003"/>
    <x v="26"/>
    <n v="185"/>
    <n v="90"/>
    <s v="2006"/>
    <n v="1"/>
    <x v="0"/>
    <n v="95"/>
    <n v="1.0555555555555556"/>
  </r>
  <r>
    <s v="4014"/>
    <x v="4023"/>
    <n v="7200000"/>
    <x v="24"/>
    <n v="80.786600000000007"/>
    <x v="9"/>
    <n v="55"/>
    <n v="41"/>
    <s v="2007"/>
    <n v="3"/>
    <x v="0"/>
    <n v="14"/>
    <n v="0.34146341463414637"/>
  </r>
  <r>
    <s v="4015"/>
    <x v="4024"/>
    <n v="21600000"/>
    <x v="8"/>
    <n v="80.781599999999997"/>
    <x v="12"/>
    <n v="50"/>
    <n v="26"/>
    <s v="2011"/>
    <n v="4"/>
    <x v="0"/>
    <n v="24"/>
    <n v="0.92307692307692313"/>
  </r>
  <r>
    <s v="4016"/>
    <x v="4025"/>
    <n v="7500000"/>
    <x v="12"/>
    <n v="80.78"/>
    <x v="13"/>
    <n v="57"/>
    <n v="35"/>
    <s v="2013"/>
    <n v="1"/>
    <x v="0"/>
    <n v="22"/>
    <n v="0.62857142857142856"/>
  </r>
  <r>
    <s v="4017"/>
    <x v="4026"/>
    <n v="108400000"/>
    <x v="27"/>
    <n v="80.766900000000007"/>
    <x v="5"/>
    <n v="2123"/>
    <n v="1227"/>
    <s v="1999"/>
    <n v="3"/>
    <x v="0"/>
    <n v="896"/>
    <n v="0.73023634881825594"/>
  </r>
  <r>
    <s v="4018"/>
    <x v="4027"/>
    <n v="106000000"/>
    <x v="4"/>
    <n v="80.759"/>
    <x v="16"/>
    <n v="400"/>
    <n v="207"/>
    <s v="2007"/>
    <n v="7"/>
    <x v="0"/>
    <n v="193"/>
    <n v="0.93236714975845414"/>
  </r>
  <r>
    <s v="4019"/>
    <x v="4028"/>
    <n v="3300000"/>
    <x v="12"/>
    <n v="80.752300000000005"/>
    <x v="14"/>
    <n v="10"/>
    <n v="12"/>
    <s v="2004"/>
    <n v="1"/>
    <x v="1"/>
    <n v="-2"/>
    <n v="-0.16666666666666666"/>
  </r>
  <r>
    <s v="4020"/>
    <x v="4029"/>
    <n v="7800000"/>
    <x v="5"/>
    <n v="80.723699999999994"/>
    <x v="0"/>
    <n v="100"/>
    <n v="57"/>
    <s v="2012"/>
    <n v="2"/>
    <x v="0"/>
    <n v="43"/>
    <n v="0.75438596491228072"/>
  </r>
  <r>
    <s v="4021"/>
    <x v="4030"/>
    <n v="51500000"/>
    <x v="13"/>
    <n v="80.691800000000001"/>
    <x v="18"/>
    <n v="476"/>
    <n v="232"/>
    <s v="2007"/>
    <n v="3"/>
    <x v="0"/>
    <n v="244"/>
    <n v="1.0517241379310345"/>
  </r>
  <r>
    <s v="4022"/>
    <x v="4031"/>
    <n v="6200000"/>
    <x v="20"/>
    <n v="80.657600000000002"/>
    <x v="15"/>
    <n v="56"/>
    <n v="40"/>
    <s v="1994"/>
    <n v="3"/>
    <x v="0"/>
    <n v="16"/>
    <n v="0.4"/>
  </r>
  <r>
    <s v="4023"/>
    <x v="4032"/>
    <n v="2600000"/>
    <x v="12"/>
    <n v="80.610299999999995"/>
    <x v="23"/>
    <n v="10"/>
    <n v="6"/>
    <s v="2008"/>
    <n v="1"/>
    <x v="0"/>
    <n v="4"/>
    <n v="0.66666666666666663"/>
  </r>
  <r>
    <s v="4024"/>
    <x v="4033"/>
    <n v="2900000"/>
    <x v="47"/>
    <n v="80.576499999999996"/>
    <x v="5"/>
    <n v="9"/>
    <n v="6"/>
    <s v="2010"/>
    <n v="1"/>
    <x v="0"/>
    <n v="3"/>
    <n v="0.5"/>
  </r>
  <r>
    <s v="4025"/>
    <x v="4034"/>
    <n v="27700000"/>
    <x v="27"/>
    <n v="80.562399999999997"/>
    <x v="16"/>
    <n v="150"/>
    <n v="105"/>
    <s v="2004"/>
    <n v="7"/>
    <x v="0"/>
    <n v="45"/>
    <n v="0.42857142857142855"/>
  </r>
  <r>
    <s v="4026"/>
    <x v="4035"/>
    <n v="12800000"/>
    <x v="7"/>
    <n v="80.526499999999999"/>
    <x v="20"/>
    <n v="99"/>
    <n v="53"/>
    <s v="2003"/>
    <n v="1"/>
    <x v="0"/>
    <n v="46"/>
    <n v="0.86792452830188682"/>
  </r>
  <r>
    <s v="4027"/>
    <x v="4036"/>
    <n v="11600000"/>
    <x v="2"/>
    <n v="80.520899999999997"/>
    <x v="17"/>
    <n v="90"/>
    <n v="45"/>
    <s v="1987"/>
    <n v="7"/>
    <x v="0"/>
    <n v="45"/>
    <n v="1"/>
  </r>
  <r>
    <s v="4028"/>
    <x v="4037"/>
    <n v="34000000"/>
    <x v="7"/>
    <n v="80.5137"/>
    <x v="11"/>
    <n v="221"/>
    <n v="122"/>
    <s v="2005"/>
    <n v="3"/>
    <x v="0"/>
    <n v="99"/>
    <n v="0.81147540983606559"/>
  </r>
  <r>
    <s v="4029"/>
    <x v="4038"/>
    <n v="40700000"/>
    <x v="41"/>
    <n v="80.510400000000004"/>
    <x v="1"/>
    <n v="75"/>
    <n v="43"/>
    <s v="2013"/>
    <n v="3"/>
    <x v="0"/>
    <n v="32"/>
    <n v="0.7441860465116279"/>
  </r>
  <r>
    <s v="4030"/>
    <x v="4039"/>
    <n v="7500000"/>
    <x v="42"/>
    <n v="80.454999999999998"/>
    <x v="19"/>
    <n v="46"/>
    <n v="33"/>
    <s v="1998"/>
    <n v="2"/>
    <x v="0"/>
    <n v="13"/>
    <n v="0.39393939393939392"/>
  </r>
  <r>
    <s v="4031"/>
    <x v="4040"/>
    <n v="6500000"/>
    <x v="5"/>
    <n v="80.389099999999999"/>
    <x v="8"/>
    <n v="17"/>
    <n v="10"/>
    <s v="1989"/>
    <n v="2"/>
    <x v="0"/>
    <n v="7"/>
    <n v="0.7"/>
  </r>
  <r>
    <s v="4032"/>
    <x v="4041"/>
    <n v="119400000"/>
    <x v="8"/>
    <n v="80.310699999999997"/>
    <x v="1"/>
    <n v="131"/>
    <n v="77"/>
    <s v="1999"/>
    <n v="14"/>
    <x v="0"/>
    <n v="54"/>
    <n v="0.70129870129870131"/>
  </r>
  <r>
    <s v="4033"/>
    <x v="4042"/>
    <n v="3300000"/>
    <x v="28"/>
    <n v="80.282899999999998"/>
    <x v="10"/>
    <n v="26"/>
    <n v="10"/>
    <s v="2012"/>
    <n v="1"/>
    <x v="0"/>
    <n v="16"/>
    <n v="1.6"/>
  </r>
  <r>
    <s v="4034"/>
    <x v="4043"/>
    <n v="10900000"/>
    <x v="7"/>
    <n v="80.232799999999997"/>
    <x v="16"/>
    <n v="20"/>
    <n v="13"/>
    <s v="2010"/>
    <n v="2"/>
    <x v="0"/>
    <n v="7"/>
    <n v="0.53846153846153844"/>
  </r>
  <r>
    <s v="4035"/>
    <x v="4044"/>
    <n v="38800000"/>
    <x v="9"/>
    <n v="80.228899999999996"/>
    <x v="2"/>
    <n v="180"/>
    <n v="135"/>
    <s v="1973"/>
    <n v="1"/>
    <x v="0"/>
    <n v="45"/>
    <n v="0.33333333333333331"/>
  </r>
  <r>
    <s v="4036"/>
    <x v="4045"/>
    <n v="33800000"/>
    <x v="16"/>
    <n v="80.211100000000002"/>
    <x v="5"/>
    <n v="47"/>
    <n v="27"/>
    <s v="2000"/>
    <n v="6"/>
    <x v="0"/>
    <n v="20"/>
    <n v="0.7407407407407407"/>
  </r>
  <r>
    <s v="4037"/>
    <x v="4046"/>
    <n v="14700000"/>
    <x v="40"/>
    <n v="80.122299999999996"/>
    <x v="23"/>
    <n v="104"/>
    <n v="56"/>
    <s v="2007"/>
    <n v="1"/>
    <x v="0"/>
    <n v="48"/>
    <n v="0.8571428571428571"/>
  </r>
  <r>
    <s v="4038"/>
    <x v="4047"/>
    <n v="5500000"/>
    <x v="9"/>
    <n v="80.110900000000001"/>
    <x v="23"/>
    <n v="91"/>
    <n v="55"/>
    <s v="1982"/>
    <n v="1"/>
    <x v="0"/>
    <n v="36"/>
    <n v="0.65454545454545454"/>
  </r>
  <r>
    <s v="4039"/>
    <x v="4048"/>
    <n v="4400000"/>
    <x v="2"/>
    <n v="80.066199999999995"/>
    <x v="12"/>
    <n v="13"/>
    <n v="10"/>
    <s v="2010"/>
    <n v="5"/>
    <x v="0"/>
    <n v="3"/>
    <n v="0.3"/>
  </r>
  <r>
    <s v="4040"/>
    <x v="4049"/>
    <n v="10300000"/>
    <x v="32"/>
    <n v="80.058400000000006"/>
    <x v="23"/>
    <n v="142"/>
    <n v="87"/>
    <s v="2013"/>
    <n v="2"/>
    <x v="0"/>
    <n v="55"/>
    <n v="0.63218390804597702"/>
  </r>
  <r>
    <s v="4041"/>
    <x v="4050"/>
    <n v="10300000"/>
    <x v="9"/>
    <n v="80.050299999999993"/>
    <x v="23"/>
    <n v="22"/>
    <n v="11"/>
    <s v="2006"/>
    <n v="6"/>
    <x v="0"/>
    <n v="11"/>
    <n v="1"/>
  </r>
  <r>
    <s v="4042"/>
    <x v="4051"/>
    <n v="85300000"/>
    <x v="12"/>
    <n v="80.028400000000005"/>
    <x v="1"/>
    <n v="700"/>
    <n v="450"/>
    <s v="1962"/>
    <n v="1"/>
    <x v="0"/>
    <n v="250"/>
    <n v="0.55555555555555558"/>
  </r>
  <r>
    <s v="4043"/>
    <x v="4052"/>
    <n v="27000000"/>
    <x v="12"/>
    <n v="80"/>
    <x v="3"/>
    <n v="56"/>
    <n v="38"/>
    <s v="2013"/>
    <n v="1"/>
    <x v="0"/>
    <n v="18"/>
    <n v="0.47368421052631576"/>
  </r>
  <r>
    <s v="4044"/>
    <x v="4053"/>
    <n v="110900000"/>
    <x v="24"/>
    <n v="79.998699999999999"/>
    <x v="1"/>
    <n v="570"/>
    <n v="340"/>
    <s v="1941"/>
    <n v="11"/>
    <x v="0"/>
    <n v="230"/>
    <n v="0.67647058823529416"/>
  </r>
  <r>
    <s v="4045"/>
    <x v="4054"/>
    <n v="4100000"/>
    <x v="7"/>
    <n v="79.998099999999994"/>
    <x v="12"/>
    <n v="19"/>
    <n v="16"/>
    <s v="2010"/>
    <n v="3"/>
    <x v="0"/>
    <n v="3"/>
    <n v="0.1875"/>
  </r>
  <r>
    <s v="4046"/>
    <x v="4055"/>
    <n v="52600000"/>
    <x v="23"/>
    <n v="79.978300000000004"/>
    <x v="11"/>
    <n v="316"/>
    <n v="196"/>
    <s v="1992"/>
    <n v="8"/>
    <x v="0"/>
    <n v="120"/>
    <n v="0.61224489795918369"/>
  </r>
  <r>
    <s v="4047"/>
    <x v="4056"/>
    <n v="6100000"/>
    <x v="9"/>
    <n v="79.970600000000005"/>
    <x v="15"/>
    <n v="30"/>
    <n v="15"/>
    <s v="1998"/>
    <n v="3"/>
    <x v="0"/>
    <n v="15"/>
    <n v="1"/>
  </r>
  <r>
    <s v="4048"/>
    <x v="4057"/>
    <n v="8600000"/>
    <x v="10"/>
    <n v="79.900099999999995"/>
    <x v="19"/>
    <n v="49"/>
    <n v="32"/>
    <s v="2012"/>
    <n v="2"/>
    <x v="0"/>
    <n v="17"/>
    <n v="0.53125"/>
  </r>
  <r>
    <s v="4049"/>
    <x v="4058"/>
    <n v="4600000"/>
    <x v="4"/>
    <n v="79.798100000000005"/>
    <x v="9"/>
    <n v="50"/>
    <n v="27"/>
    <s v="2008"/>
    <n v="1"/>
    <x v="0"/>
    <n v="23"/>
    <n v="0.85185185185185186"/>
  </r>
  <r>
    <s v="4050"/>
    <x v="4059"/>
    <n v="97700000"/>
    <x v="4"/>
    <n v="79.758899999999997"/>
    <x v="26"/>
    <n v="123"/>
    <n v="127"/>
    <s v="1992"/>
    <n v="4"/>
    <x v="1"/>
    <n v="-4"/>
    <n v="-3.1496062992125984E-2"/>
  </r>
  <r>
    <s v="4051"/>
    <x v="4060"/>
    <n v="10900000"/>
    <x v="5"/>
    <n v="79.739199999999997"/>
    <x v="23"/>
    <n v="53"/>
    <n v="25"/>
    <s v="2004"/>
    <n v="1"/>
    <x v="0"/>
    <n v="28"/>
    <n v="1.1200000000000001"/>
  </r>
  <r>
    <s v="4052"/>
    <x v="4061"/>
    <n v="50200000"/>
    <x v="4"/>
    <n v="79.6661"/>
    <x v="23"/>
    <n v="203"/>
    <n v="101"/>
    <s v="2000"/>
    <n v="6"/>
    <x v="0"/>
    <n v="102"/>
    <n v="1.0099009900990099"/>
  </r>
  <r>
    <s v="4053"/>
    <x v="4062"/>
    <n v="60900000"/>
    <x v="27"/>
    <n v="79.617999999999995"/>
    <x v="23"/>
    <n v="254"/>
    <n v="134"/>
    <s v="2003"/>
    <n v="5"/>
    <x v="0"/>
    <n v="120"/>
    <n v="0.89552238805970152"/>
  </r>
  <r>
    <s v="4054"/>
    <x v="4063"/>
    <n v="6000000"/>
    <x v="27"/>
    <n v="79.559399999999997"/>
    <x v="20"/>
    <n v="70"/>
    <n v="31"/>
    <s v="2007"/>
    <n v="1"/>
    <x v="0"/>
    <n v="39"/>
    <n v="1.2580645161290323"/>
  </r>
  <r>
    <s v="4055"/>
    <x v="4064"/>
    <n v="3500000"/>
    <x v="34"/>
    <n v="79.523399999999995"/>
    <x v="26"/>
    <n v="21"/>
    <n v="13"/>
    <s v="2007"/>
    <n v="1"/>
    <x v="0"/>
    <n v="8"/>
    <n v="0.61538461538461542"/>
  </r>
  <r>
    <s v="4056"/>
    <x v="4065"/>
    <n v="59400000"/>
    <x v="2"/>
    <n v="79.4572"/>
    <x v="3"/>
    <n v="74"/>
    <n v="48"/>
    <s v="2007"/>
    <n v="5"/>
    <x v="0"/>
    <n v="26"/>
    <n v="0.54166666666666663"/>
  </r>
  <r>
    <s v="4057"/>
    <x v="4066"/>
    <n v="10400000"/>
    <x v="9"/>
    <n v="79.4465"/>
    <x v="9"/>
    <n v="79"/>
    <n v="67"/>
    <s v="2005"/>
    <n v="1"/>
    <x v="0"/>
    <n v="12"/>
    <n v="0.17910447761194029"/>
  </r>
  <r>
    <s v="4058"/>
    <x v="4067"/>
    <n v="2700000"/>
    <x v="5"/>
    <n v="79.370599999999996"/>
    <x v="3"/>
    <n v="35"/>
    <n v="15"/>
    <s v="2010"/>
    <n v="2"/>
    <x v="0"/>
    <n v="20"/>
    <n v="1.3333333333333333"/>
  </r>
  <r>
    <s v="4059"/>
    <x v="4068"/>
    <n v="26700000"/>
    <x v="12"/>
    <n v="79.3583"/>
    <x v="13"/>
    <n v="30"/>
    <n v="16"/>
    <s v="2014"/>
    <n v="1"/>
    <x v="0"/>
    <n v="14"/>
    <n v="0.875"/>
  </r>
  <r>
    <s v="4060"/>
    <x v="4069"/>
    <n v="50700000"/>
    <x v="10"/>
    <n v="79.358000000000004"/>
    <x v="23"/>
    <n v="324"/>
    <n v="108"/>
    <s v="1992"/>
    <n v="2"/>
    <x v="0"/>
    <n v="216"/>
    <n v="2"/>
  </r>
  <r>
    <s v="4061"/>
    <x v="4070"/>
    <n v="10000000"/>
    <x v="27"/>
    <n v="79.318299999999994"/>
    <x v="3"/>
    <n v="39"/>
    <n v="15"/>
    <s v="2012"/>
    <n v="1"/>
    <x v="0"/>
    <n v="24"/>
    <n v="1.6"/>
  </r>
  <r>
    <s v="4062"/>
    <x v="4071"/>
    <n v="77900000"/>
    <x v="4"/>
    <n v="79.269199999999998"/>
    <x v="0"/>
    <n v="298"/>
    <n v="135"/>
    <s v="1996"/>
    <n v="12"/>
    <x v="0"/>
    <n v="163"/>
    <n v="1.2074074074074075"/>
  </r>
  <r>
    <s v="4063"/>
    <x v="4072"/>
    <n v="2100000"/>
    <x v="21"/>
    <n v="79.138199999999998"/>
    <x v="3"/>
    <n v="8"/>
    <n v="6"/>
    <s v="2005"/>
    <n v="1"/>
    <x v="0"/>
    <n v="2"/>
    <n v="0.33333333333333331"/>
  </r>
  <r>
    <s v="4064"/>
    <x v="4073"/>
    <n v="26000000"/>
    <x v="32"/>
    <n v="79.124499999999998"/>
    <x v="7"/>
    <n v="30"/>
    <n v="21"/>
    <s v="2005"/>
    <n v="1"/>
    <x v="0"/>
    <n v="9"/>
    <n v="0.42857142857142855"/>
  </r>
  <r>
    <s v="4065"/>
    <x v="4074"/>
    <n v="21300000"/>
    <x v="13"/>
    <n v="79.103099999999998"/>
    <x v="19"/>
    <n v="72"/>
    <n v="28"/>
    <s v="2012"/>
    <n v="5"/>
    <x v="0"/>
    <n v="44"/>
    <n v="1.5714285714285714"/>
  </r>
  <r>
    <s v="4066"/>
    <x v="4075"/>
    <n v="28500000"/>
    <x v="13"/>
    <n v="79.053200000000004"/>
    <x v="12"/>
    <n v="1265"/>
    <n v="760"/>
    <s v="2007"/>
    <n v="8"/>
    <x v="0"/>
    <n v="505"/>
    <n v="0.66447368421052633"/>
  </r>
  <r>
    <s v="4067"/>
    <x v="4076"/>
    <n v="3000000"/>
    <x v="12"/>
    <n v="78.945800000000006"/>
    <x v="13"/>
    <n v="14"/>
    <n v="9"/>
    <s v="1995"/>
    <n v="1"/>
    <x v="0"/>
    <n v="5"/>
    <n v="0.55555555555555558"/>
  </r>
  <r>
    <s v="4068"/>
    <x v="4077"/>
    <n v="2300000"/>
    <x v="10"/>
    <n v="78.929900000000004"/>
    <x v="13"/>
    <n v="8"/>
    <n v="5"/>
    <s v="2012"/>
    <n v="1"/>
    <x v="0"/>
    <n v="3"/>
    <n v="0.6"/>
  </r>
  <r>
    <s v="4069"/>
    <x v="4078"/>
    <n v="9900000"/>
    <x v="27"/>
    <n v="78.794499999999999"/>
    <x v="19"/>
    <n v="55"/>
    <n v="33"/>
    <s v="2003"/>
    <n v="5"/>
    <x v="0"/>
    <n v="22"/>
    <n v="0.66666666666666663"/>
  </r>
  <r>
    <s v="4070"/>
    <x v="4079"/>
    <n v="110600000"/>
    <x v="1"/>
    <n v="78.754499999999993"/>
    <x v="5"/>
    <n v="469"/>
    <n v="274"/>
    <s v="2004"/>
    <n v="11"/>
    <x v="0"/>
    <n v="195"/>
    <n v="0.71167883211678828"/>
  </r>
  <r>
    <s v="4071"/>
    <x v="4080"/>
    <n v="13400000"/>
    <x v="2"/>
    <n v="78.734499999999997"/>
    <x v="19"/>
    <n v="139"/>
    <n v="50"/>
    <s v="2011"/>
    <n v="5"/>
    <x v="0"/>
    <n v="89"/>
    <n v="1.78"/>
  </r>
  <r>
    <s v="4072"/>
    <x v="4081"/>
    <n v="8600000"/>
    <x v="4"/>
    <n v="78.653499999999994"/>
    <x v="26"/>
    <n v="9"/>
    <n v="9"/>
    <s v="2003"/>
    <n v="2"/>
    <x v="1"/>
    <n v="0"/>
    <n v="0"/>
  </r>
  <r>
    <s v="4073"/>
    <x v="4082"/>
    <n v="7000000"/>
    <x v="7"/>
    <n v="78.580200000000005"/>
    <x v="24"/>
    <n v="19"/>
    <n v="11"/>
    <s v="2010"/>
    <n v="3"/>
    <x v="0"/>
    <n v="8"/>
    <n v="0.72727272727272729"/>
  </r>
  <r>
    <s v="4074"/>
    <x v="4083"/>
    <n v="167600000"/>
    <x v="12"/>
    <n v="78.569299999999998"/>
    <x v="15"/>
    <n v="95"/>
    <n v="56"/>
    <s v="1967"/>
    <n v="3"/>
    <x v="0"/>
    <n v="39"/>
    <n v="0.6964285714285714"/>
  </r>
  <r>
    <s v="4075"/>
    <x v="4084"/>
    <n v="7900000"/>
    <x v="5"/>
    <n v="78.535600000000002"/>
    <x v="13"/>
    <n v="20"/>
    <n v="10"/>
    <s v="2002"/>
    <n v="1"/>
    <x v="0"/>
    <n v="10"/>
    <n v="1"/>
  </r>
  <r>
    <s v="4076"/>
    <x v="4085"/>
    <n v="22300000"/>
    <x v="19"/>
    <n v="78.441900000000004"/>
    <x v="25"/>
    <n v="135"/>
    <n v="105"/>
    <s v="1999"/>
    <n v="2"/>
    <x v="0"/>
    <n v="30"/>
    <n v="0.2857142857142857"/>
  </r>
  <r>
    <s v="4077"/>
    <x v="4086"/>
    <n v="5300000"/>
    <x v="13"/>
    <n v="78.438699999999997"/>
    <x v="7"/>
    <n v="32"/>
    <n v="27"/>
    <s v="2015"/>
    <n v="1"/>
    <x v="0"/>
    <n v="5"/>
    <n v="0.18518518518518517"/>
  </r>
  <r>
    <s v="4078"/>
    <x v="4087"/>
    <n v="7800000"/>
    <x v="0"/>
    <n v="78.421300000000002"/>
    <x v="26"/>
    <n v="27"/>
    <n v="20"/>
    <s v="2005"/>
    <n v="5"/>
    <x v="0"/>
    <n v="7"/>
    <n v="0.35"/>
  </r>
  <r>
    <s v="4079"/>
    <x v="4088"/>
    <n v="85500000"/>
    <x v="8"/>
    <n v="78.399100000000004"/>
    <x v="18"/>
    <n v="168"/>
    <n v="65"/>
    <s v="2007"/>
    <n v="4"/>
    <x v="0"/>
    <n v="103"/>
    <n v="1.5846153846153845"/>
  </r>
  <r>
    <s v="4080"/>
    <x v="4089"/>
    <n v="6100000"/>
    <x v="2"/>
    <n v="78.397300000000001"/>
    <x v="19"/>
    <n v="85"/>
    <n v="45"/>
    <s v="2006"/>
    <n v="2"/>
    <x v="0"/>
    <n v="40"/>
    <n v="0.88888888888888884"/>
  </r>
  <r>
    <s v="4081"/>
    <x v="4090"/>
    <n v="15800000"/>
    <x v="24"/>
    <n v="78.393699999999995"/>
    <x v="23"/>
    <n v="12"/>
    <n v="5"/>
    <s v="2000"/>
    <n v="4"/>
    <x v="0"/>
    <n v="7"/>
    <n v="1.4"/>
  </r>
  <r>
    <s v="4082"/>
    <x v="4091"/>
    <n v="72900000"/>
    <x v="16"/>
    <n v="78.382900000000006"/>
    <x v="10"/>
    <n v="420"/>
    <n v="220"/>
    <s v="2013"/>
    <n v="3"/>
    <x v="0"/>
    <n v="200"/>
    <n v="0.90909090909090906"/>
  </r>
  <r>
    <s v="4083"/>
    <x v="4092"/>
    <n v="42300000"/>
    <x v="9"/>
    <n v="78.307699999999997"/>
    <x v="4"/>
    <n v="18"/>
    <n v="10"/>
    <s v="2001"/>
    <n v="2"/>
    <x v="0"/>
    <n v="8"/>
    <n v="0.8"/>
  </r>
  <r>
    <s v="4084"/>
    <x v="4093"/>
    <n v="2600000"/>
    <x v="10"/>
    <n v="78.290400000000005"/>
    <x v="15"/>
    <n v="15"/>
    <n v="3"/>
    <s v="2008"/>
    <n v="1"/>
    <x v="0"/>
    <n v="12"/>
    <n v="4"/>
  </r>
  <r>
    <s v="4085"/>
    <x v="4094"/>
    <n v="56200000"/>
    <x v="10"/>
    <n v="78.265500000000003"/>
    <x v="8"/>
    <n v="34"/>
    <n v="30"/>
    <s v="2004"/>
    <n v="8"/>
    <x v="0"/>
    <n v="4"/>
    <n v="0.13333333333333333"/>
  </r>
  <r>
    <s v="4086"/>
    <x v="4095"/>
    <n v="37200000"/>
    <x v="42"/>
    <n v="78.240200000000002"/>
    <x v="13"/>
    <n v="164"/>
    <n v="108"/>
    <s v="1995"/>
    <n v="1"/>
    <x v="0"/>
    <n v="56"/>
    <n v="0.51851851851851849"/>
  </r>
  <r>
    <s v="4087"/>
    <x v="4096"/>
    <n v="3600000"/>
    <x v="5"/>
    <n v="78.199799999999996"/>
    <x v="0"/>
    <n v="17"/>
    <n v="14"/>
    <s v="2004"/>
    <n v="1"/>
    <x v="0"/>
    <n v="3"/>
    <n v="0.21428571428571427"/>
  </r>
  <r>
    <s v="4088"/>
    <x v="4097"/>
    <n v="14600000"/>
    <x v="10"/>
    <n v="78.173400000000001"/>
    <x v="15"/>
    <n v="108"/>
    <n v="74"/>
    <s v="1976"/>
    <n v="5"/>
    <x v="0"/>
    <n v="34"/>
    <n v="0.45945945945945948"/>
  </r>
  <r>
    <s v="4089"/>
    <x v="4098"/>
    <n v="7000000"/>
    <x v="10"/>
    <n v="78.117400000000004"/>
    <x v="25"/>
    <n v="37"/>
    <n v="24"/>
    <s v="2011"/>
    <n v="1"/>
    <x v="0"/>
    <n v="13"/>
    <n v="0.54166666666666663"/>
  </r>
  <r>
    <s v="4090"/>
    <x v="4099"/>
    <n v="6300000"/>
    <x v="9"/>
    <n v="78.09"/>
    <x v="4"/>
    <n v="30"/>
    <n v="19"/>
    <s v="2008"/>
    <n v="6"/>
    <x v="0"/>
    <n v="11"/>
    <n v="0.57894736842105265"/>
  </r>
  <r>
    <s v="4091"/>
    <x v="4100"/>
    <n v="250500000"/>
    <x v="26"/>
    <n v="78.079400000000007"/>
    <x v="23"/>
    <n v="900"/>
    <n v="500"/>
    <s v="2001"/>
    <n v="2"/>
    <x v="0"/>
    <n v="400"/>
    <n v="0.8"/>
  </r>
  <r>
    <s v="4092"/>
    <x v="4101"/>
    <n v="17300000"/>
    <x v="6"/>
    <n v="78.032899999999998"/>
    <x v="5"/>
    <n v="135"/>
    <n v="80"/>
    <s v="2010"/>
    <n v="2"/>
    <x v="0"/>
    <n v="55"/>
    <n v="0.6875"/>
  </r>
  <r>
    <s v="4093"/>
    <x v="4102"/>
    <n v="23300000"/>
    <x v="14"/>
    <n v="78.026799999999994"/>
    <x v="15"/>
    <n v="166"/>
    <n v="115"/>
    <s v="1982"/>
    <n v="1"/>
    <x v="0"/>
    <n v="51"/>
    <n v="0.44347826086956521"/>
  </r>
  <r>
    <s v="4094"/>
    <x v="4103"/>
    <n v="43100000"/>
    <x v="2"/>
    <n v="77.986999999999995"/>
    <x v="5"/>
    <n v="156"/>
    <n v="89"/>
    <s v="2003"/>
    <n v="3"/>
    <x v="0"/>
    <n v="67"/>
    <n v="0.7528089887640449"/>
  </r>
  <r>
    <s v="4095"/>
    <x v="4104"/>
    <n v="37300000"/>
    <x v="41"/>
    <n v="77.983699999999999"/>
    <x v="1"/>
    <n v="33"/>
    <n v="20"/>
    <s v="1969"/>
    <n v="1"/>
    <x v="0"/>
    <n v="13"/>
    <n v="0.65"/>
  </r>
  <r>
    <s v="4096"/>
    <x v="4105"/>
    <n v="3800000"/>
    <x v="9"/>
    <n v="77.880799999999994"/>
    <x v="13"/>
    <n v="38"/>
    <n v="30"/>
    <s v="2004"/>
    <n v="3"/>
    <x v="0"/>
    <n v="8"/>
    <n v="0.26666666666666666"/>
  </r>
  <r>
    <s v="4097"/>
    <x v="4106"/>
    <n v="7800000"/>
    <x v="18"/>
    <n v="77.854799999999997"/>
    <x v="19"/>
    <n v="68"/>
    <n v="33"/>
    <s v="2010"/>
    <n v="6"/>
    <x v="0"/>
    <n v="35"/>
    <n v="1.0606060606060606"/>
  </r>
  <r>
    <s v="4098"/>
    <x v="4107"/>
    <n v="10600000"/>
    <x v="2"/>
    <n v="77.844399999999993"/>
    <x v="4"/>
    <n v="35"/>
    <n v="10"/>
    <s v="2010"/>
    <n v="5"/>
    <x v="0"/>
    <n v="25"/>
    <n v="2.5"/>
  </r>
  <r>
    <s v="4099"/>
    <x v="4108"/>
    <n v="81500000"/>
    <x v="22"/>
    <n v="77.836600000000004"/>
    <x v="26"/>
    <n v="648"/>
    <n v="314"/>
    <s v="2009"/>
    <n v="3"/>
    <x v="0"/>
    <n v="334"/>
    <n v="1.0636942675159236"/>
  </r>
  <r>
    <s v="4100"/>
    <x v="4109"/>
    <n v="16800000"/>
    <x v="9"/>
    <n v="77.8048"/>
    <x v="0"/>
    <n v="24"/>
    <n v="20"/>
    <s v="2007"/>
    <n v="6"/>
    <x v="0"/>
    <n v="4"/>
    <n v="0.2"/>
  </r>
  <r>
    <s v="4101"/>
    <x v="4110"/>
    <n v="474700000"/>
    <x v="26"/>
    <n v="77.752499999999998"/>
    <x v="2"/>
    <n v="13751"/>
    <n v="7257"/>
    <s v="2002"/>
    <n v="8"/>
    <x v="0"/>
    <n v="6494"/>
    <n v="0.89486013504202844"/>
  </r>
  <r>
    <s v="4102"/>
    <x v="4111"/>
    <n v="2700000"/>
    <x v="1"/>
    <n v="77.716399999999993"/>
    <x v="3"/>
    <n v="45"/>
    <n v="25"/>
    <s v="2012"/>
    <n v="1"/>
    <x v="0"/>
    <n v="20"/>
    <n v="0.8"/>
  </r>
  <r>
    <s v="4103"/>
    <x v="4112"/>
    <n v="15200000"/>
    <x v="9"/>
    <n v="77.657499999999999"/>
    <x v="19"/>
    <n v="85"/>
    <n v="44"/>
    <s v="2004"/>
    <n v="5"/>
    <x v="0"/>
    <n v="41"/>
    <n v="0.93181818181818177"/>
  </r>
  <r>
    <s v="4104"/>
    <x v="4113"/>
    <n v="2900000"/>
    <x v="4"/>
    <n v="77.638099999999994"/>
    <x v="24"/>
    <n v="20"/>
    <n v="11"/>
    <s v="1987"/>
    <n v="2"/>
    <x v="0"/>
    <n v="9"/>
    <n v="0.81818181818181823"/>
  </r>
  <r>
    <s v="4105"/>
    <x v="4114"/>
    <n v="10200000"/>
    <x v="34"/>
    <n v="77.637799999999999"/>
    <x v="12"/>
    <n v="23"/>
    <n v="12"/>
    <s v="2009"/>
    <n v="3"/>
    <x v="0"/>
    <n v="11"/>
    <n v="0.91666666666666663"/>
  </r>
  <r>
    <s v="4106"/>
    <x v="4115"/>
    <n v="4100000"/>
    <x v="8"/>
    <n v="77.632099999999994"/>
    <x v="6"/>
    <n v="103"/>
    <n v="34"/>
    <s v="1959"/>
    <n v="1"/>
    <x v="0"/>
    <n v="69"/>
    <n v="2.0294117647058822"/>
  </r>
  <r>
    <s v="4107"/>
    <x v="4116"/>
    <n v="4400000"/>
    <x v="13"/>
    <n v="77.629900000000006"/>
    <x v="23"/>
    <n v="27"/>
    <n v="16"/>
    <s v="2007"/>
    <n v="1"/>
    <x v="0"/>
    <n v="11"/>
    <n v="0.6875"/>
  </r>
  <r>
    <s v="4108"/>
    <x v="4117"/>
    <n v="41300000"/>
    <x v="2"/>
    <n v="77.611800000000002"/>
    <x v="4"/>
    <n v="200"/>
    <n v="116"/>
    <s v="2008"/>
    <n v="2"/>
    <x v="0"/>
    <n v="84"/>
    <n v="0.72413793103448276"/>
  </r>
  <r>
    <s v="4109"/>
    <x v="4118"/>
    <n v="2400000"/>
    <x v="2"/>
    <n v="77.579899999999995"/>
    <x v="26"/>
    <n v="15"/>
    <n v="8"/>
    <s v="2005"/>
    <n v="1"/>
    <x v="0"/>
    <n v="7"/>
    <n v="0.875"/>
  </r>
  <r>
    <s v="4110"/>
    <x v="4119"/>
    <n v="11700000"/>
    <x v="34"/>
    <n v="77.571100000000001"/>
    <x v="23"/>
    <n v="31"/>
    <n v="24"/>
    <s v="2001"/>
    <n v="2"/>
    <x v="0"/>
    <n v="7"/>
    <n v="0.29166666666666669"/>
  </r>
  <r>
    <s v="4111"/>
    <x v="4120"/>
    <n v="9300000"/>
    <x v="21"/>
    <n v="77.528199999999998"/>
    <x v="0"/>
    <n v="65"/>
    <n v="33"/>
    <s v="2008"/>
    <n v="8"/>
    <x v="0"/>
    <n v="32"/>
    <n v="0.96969696969696972"/>
  </r>
  <r>
    <s v="4112"/>
    <x v="4121"/>
    <n v="31800000"/>
    <x v="6"/>
    <n v="77.506699999999995"/>
    <x v="21"/>
    <n v="250"/>
    <n v="120"/>
    <s v="2003"/>
    <n v="5"/>
    <x v="0"/>
    <n v="130"/>
    <n v="1.0833333333333333"/>
  </r>
  <r>
    <s v="4113"/>
    <x v="4122"/>
    <n v="9000000"/>
    <x v="12"/>
    <n v="77.505700000000004"/>
    <x v="12"/>
    <n v="28"/>
    <n v="22"/>
    <s v="2011"/>
    <n v="4"/>
    <x v="0"/>
    <n v="6"/>
    <n v="0.27272727272727271"/>
  </r>
  <r>
    <s v="4114"/>
    <x v="4123"/>
    <n v="40400000"/>
    <x v="2"/>
    <n v="77.494299999999996"/>
    <x v="0"/>
    <n v="21"/>
    <n v="5"/>
    <s v="2013"/>
    <n v="1"/>
    <x v="0"/>
    <n v="16"/>
    <n v="3.2"/>
  </r>
  <r>
    <s v="4115"/>
    <x v="4124"/>
    <n v="2700000"/>
    <x v="6"/>
    <n v="77.483599999999996"/>
    <x v="1"/>
    <n v="35"/>
    <n v="20"/>
    <s v="2009"/>
    <n v="1"/>
    <x v="0"/>
    <n v="15"/>
    <n v="0.75"/>
  </r>
  <r>
    <s v="4116"/>
    <x v="4125"/>
    <n v="5700000"/>
    <x v="8"/>
    <n v="77.474500000000006"/>
    <x v="13"/>
    <n v="35"/>
    <n v="25"/>
    <s v="1974"/>
    <n v="1"/>
    <x v="0"/>
    <n v="10"/>
    <n v="0.4"/>
  </r>
  <r>
    <s v="4117"/>
    <x v="4126"/>
    <n v="2400000"/>
    <x v="9"/>
    <n v="77.455299999999994"/>
    <x v="0"/>
    <n v="11"/>
    <n v="4"/>
    <s v="2007"/>
    <n v="1"/>
    <x v="0"/>
    <n v="7"/>
    <n v="1.75"/>
  </r>
  <r>
    <s v="4118"/>
    <x v="4127"/>
    <n v="11300000"/>
    <x v="13"/>
    <n v="77.403800000000004"/>
    <x v="19"/>
    <n v="85"/>
    <n v="28"/>
    <s v="1980"/>
    <n v="2"/>
    <x v="0"/>
    <n v="57"/>
    <n v="2.0357142857142856"/>
  </r>
  <r>
    <s v="4119"/>
    <x v="4128"/>
    <n v="11200000"/>
    <x v="2"/>
    <n v="77.4024"/>
    <x v="15"/>
    <n v="88"/>
    <n v="50"/>
    <s v="1996"/>
    <n v="4"/>
    <x v="0"/>
    <n v="38"/>
    <n v="0.76"/>
  </r>
  <r>
    <s v="4120"/>
    <x v="4129"/>
    <n v="7400000"/>
    <x v="12"/>
    <n v="77.392099999999999"/>
    <x v="9"/>
    <n v="113"/>
    <n v="77"/>
    <s v="2009"/>
    <n v="2"/>
    <x v="0"/>
    <n v="36"/>
    <n v="0.46753246753246752"/>
  </r>
  <r>
    <s v="4121"/>
    <x v="4130"/>
    <n v="516800000"/>
    <x v="1"/>
    <n v="77.3797"/>
    <x v="20"/>
    <n v="6294"/>
    <n v="3272"/>
    <s v="2002"/>
    <n v="13"/>
    <x v="0"/>
    <n v="3022"/>
    <n v="0.92359413202933982"/>
  </r>
  <r>
    <s v="4122"/>
    <x v="4131"/>
    <n v="55700000"/>
    <x v="7"/>
    <n v="77.3613"/>
    <x v="19"/>
    <n v="727"/>
    <n v="565"/>
    <s v="2010"/>
    <n v="4"/>
    <x v="0"/>
    <n v="162"/>
    <n v="0.28672566371681418"/>
  </r>
  <r>
    <s v="4123"/>
    <x v="4132"/>
    <n v="14000000"/>
    <x v="2"/>
    <n v="77.333200000000005"/>
    <x v="24"/>
    <n v="103"/>
    <n v="58"/>
    <s v="2003"/>
    <n v="7"/>
    <x v="0"/>
    <n v="45"/>
    <n v="0.77586206896551724"/>
  </r>
  <r>
    <s v="4124"/>
    <x v="4133"/>
    <n v="33000000"/>
    <x v="8"/>
    <n v="77.266400000000004"/>
    <x v="7"/>
    <n v="23"/>
    <n v="21"/>
    <s v="2000"/>
    <n v="3"/>
    <x v="0"/>
    <n v="2"/>
    <n v="9.5238095238095233E-2"/>
  </r>
  <r>
    <s v="4125"/>
    <x v="4134"/>
    <n v="11900000"/>
    <x v="33"/>
    <n v="77.2376"/>
    <x v="0"/>
    <n v="65"/>
    <n v="45"/>
    <s v="2006"/>
    <n v="6"/>
    <x v="0"/>
    <n v="20"/>
    <n v="0.44444444444444442"/>
  </r>
  <r>
    <s v="4126"/>
    <x v="4135"/>
    <n v="126200000"/>
    <x v="9"/>
    <n v="77.168300000000002"/>
    <x v="18"/>
    <n v="653"/>
    <n v="256"/>
    <s v="2008"/>
    <n v="5"/>
    <x v="0"/>
    <n v="397"/>
    <n v="1.55078125"/>
  </r>
  <r>
    <s v="4127"/>
    <x v="4136"/>
    <n v="783900000"/>
    <x v="2"/>
    <n v="77.127600000000001"/>
    <x v="7"/>
    <n v="1001"/>
    <n v="1244"/>
    <s v="1990"/>
    <n v="2"/>
    <x v="1"/>
    <n v="-243"/>
    <n v="-0.19533762057877813"/>
  </r>
  <r>
    <s v="4128"/>
    <x v="4137"/>
    <n v="3700000"/>
    <x v="2"/>
    <n v="77.017499999999998"/>
    <x v="13"/>
    <n v="24"/>
    <n v="12"/>
    <s v="2010"/>
    <n v="1"/>
    <x v="0"/>
    <n v="12"/>
    <n v="1"/>
  </r>
  <r>
    <s v="4129"/>
    <x v="4138"/>
    <n v="33600000"/>
    <x v="5"/>
    <n v="76.966099999999997"/>
    <x v="4"/>
    <n v="280"/>
    <n v="190"/>
    <s v="1982"/>
    <n v="5"/>
    <x v="0"/>
    <n v="90"/>
    <n v="0.47368421052631576"/>
  </r>
  <r>
    <s v="4130"/>
    <x v="4139"/>
    <n v="10700000"/>
    <x v="9"/>
    <n v="76.961399999999998"/>
    <x v="23"/>
    <n v="7"/>
    <n v="4"/>
    <s v="2009"/>
    <n v="1"/>
    <x v="0"/>
    <n v="3"/>
    <n v="0.75"/>
  </r>
  <r>
    <s v="4131"/>
    <x v="4140"/>
    <n v="5900000"/>
    <x v="9"/>
    <n v="76.925600000000003"/>
    <x v="15"/>
    <n v="48"/>
    <n v="50"/>
    <s v="2004"/>
    <n v="6"/>
    <x v="1"/>
    <n v="-2"/>
    <n v="-0.04"/>
  </r>
  <r>
    <s v="4132"/>
    <x v="4141"/>
    <n v="649100000"/>
    <x v="4"/>
    <n v="76.890600000000006"/>
    <x v="15"/>
    <n v="2480"/>
    <n v="1610"/>
    <s v="1992"/>
    <n v="10"/>
    <x v="0"/>
    <n v="870"/>
    <n v="0.54037267080745344"/>
  </r>
  <r>
    <s v="4133"/>
    <x v="4142"/>
    <n v="6200000"/>
    <x v="27"/>
    <n v="76.857900000000001"/>
    <x v="24"/>
    <n v="40"/>
    <n v="18"/>
    <s v="2010"/>
    <n v="2"/>
    <x v="0"/>
    <n v="22"/>
    <n v="1.2222222222222223"/>
  </r>
  <r>
    <s v="4134"/>
    <x v="4143"/>
    <n v="7900000"/>
    <x v="7"/>
    <n v="76.838300000000004"/>
    <x v="11"/>
    <n v="64"/>
    <n v="30"/>
    <s v="2003"/>
    <n v="4"/>
    <x v="0"/>
    <n v="34"/>
    <n v="1.1333333333333333"/>
  </r>
  <r>
    <s v="4135"/>
    <x v="4144"/>
    <n v="65800000"/>
    <x v="13"/>
    <n v="76.8005"/>
    <x v="12"/>
    <n v="1229"/>
    <n v="697"/>
    <s v="2009"/>
    <n v="6"/>
    <x v="0"/>
    <n v="532"/>
    <n v="0.76327116212338597"/>
  </r>
  <r>
    <s v="4136"/>
    <x v="4145"/>
    <n v="7500000"/>
    <x v="20"/>
    <n v="76.753100000000003"/>
    <x v="16"/>
    <n v="110"/>
    <n v="50"/>
    <s v="2006"/>
    <n v="7"/>
    <x v="0"/>
    <n v="60"/>
    <n v="1.2"/>
  </r>
  <r>
    <s v="4137"/>
    <x v="4146"/>
    <n v="15900000"/>
    <x v="4"/>
    <n v="76.751199999999997"/>
    <x v="23"/>
    <n v="114"/>
    <n v="125"/>
    <s v="2012"/>
    <n v="3"/>
    <x v="1"/>
    <n v="-11"/>
    <n v="-8.7999999999999995E-2"/>
  </r>
  <r>
    <s v="4138"/>
    <x v="4147"/>
    <n v="8400000"/>
    <x v="9"/>
    <n v="76.745199999999997"/>
    <x v="0"/>
    <n v="21"/>
    <n v="10"/>
    <s v="2009"/>
    <n v="1"/>
    <x v="0"/>
    <n v="11"/>
    <n v="1.1000000000000001"/>
  </r>
  <r>
    <s v="4139"/>
    <x v="4148"/>
    <n v="66500000"/>
    <x v="4"/>
    <n v="76.721400000000003"/>
    <x v="1"/>
    <n v="92"/>
    <n v="66"/>
    <s v="1999"/>
    <n v="7"/>
    <x v="0"/>
    <n v="26"/>
    <n v="0.39393939393939392"/>
  </r>
  <r>
    <s v="4140"/>
    <x v="4149"/>
    <n v="3400000"/>
    <x v="34"/>
    <n v="76.6982"/>
    <x v="14"/>
    <n v="15"/>
    <n v="10"/>
    <s v="2009"/>
    <n v="3"/>
    <x v="0"/>
    <n v="5"/>
    <n v="0.5"/>
  </r>
  <r>
    <s v="4141"/>
    <x v="4150"/>
    <n v="8900000"/>
    <x v="12"/>
    <n v="76.671000000000006"/>
    <x v="15"/>
    <n v="8"/>
    <n v="16"/>
    <s v="2011"/>
    <n v="4"/>
    <x v="1"/>
    <n v="-8"/>
    <n v="-0.5"/>
  </r>
  <r>
    <s v="4142"/>
    <x v="4151"/>
    <n v="102900000"/>
    <x v="20"/>
    <n v="76.603700000000003"/>
    <x v="15"/>
    <n v="383"/>
    <n v="290"/>
    <s v="1989"/>
    <n v="1"/>
    <x v="0"/>
    <n v="93"/>
    <n v="0.32068965517241377"/>
  </r>
  <r>
    <s v="4143"/>
    <x v="4152"/>
    <n v="4100000"/>
    <x v="22"/>
    <n v="76.479299999999995"/>
    <x v="15"/>
    <n v="23"/>
    <n v="15"/>
    <s v="2009"/>
    <n v="1"/>
    <x v="0"/>
    <n v="8"/>
    <n v="0.53333333333333333"/>
  </r>
  <r>
    <s v="4144"/>
    <x v="4153"/>
    <n v="114600000"/>
    <x v="9"/>
    <n v="76.45"/>
    <x v="9"/>
    <n v="211"/>
    <n v="338"/>
    <s v="2004"/>
    <n v="6"/>
    <x v="1"/>
    <n v="-127"/>
    <n v="-0.37573964497041418"/>
  </r>
  <r>
    <s v="4145"/>
    <x v="4154"/>
    <n v="21300000"/>
    <x v="13"/>
    <n v="76.399900000000002"/>
    <x v="7"/>
    <n v="220"/>
    <n v="250"/>
    <s v="2006"/>
    <n v="8"/>
    <x v="1"/>
    <n v="-30"/>
    <n v="-0.12"/>
  </r>
  <r>
    <s v="4146"/>
    <x v="4155"/>
    <n v="17200000"/>
    <x v="34"/>
    <n v="76.387"/>
    <x v="11"/>
    <n v="19"/>
    <n v="14"/>
    <s v="1997"/>
    <n v="3"/>
    <x v="0"/>
    <n v="5"/>
    <n v="0.35714285714285715"/>
  </r>
  <r>
    <s v="4147"/>
    <x v="4156"/>
    <n v="21900000"/>
    <x v="16"/>
    <n v="76.371799999999993"/>
    <x v="23"/>
    <n v="50"/>
    <n v="14"/>
    <s v="2009"/>
    <n v="2"/>
    <x v="0"/>
    <n v="36"/>
    <n v="2.5714285714285716"/>
  </r>
  <r>
    <s v="4148"/>
    <x v="4157"/>
    <n v="3500000"/>
    <x v="12"/>
    <n v="76.340100000000007"/>
    <x v="19"/>
    <n v="17"/>
    <n v="12"/>
    <s v="2003"/>
    <n v="2"/>
    <x v="0"/>
    <n v="5"/>
    <n v="0.41666666666666669"/>
  </r>
  <r>
    <s v="4149"/>
    <x v="4158"/>
    <n v="38000000"/>
    <x v="27"/>
    <n v="76.311099999999996"/>
    <x v="7"/>
    <n v="64"/>
    <n v="47"/>
    <s v="2006"/>
    <n v="1"/>
    <x v="0"/>
    <n v="17"/>
    <n v="0.36170212765957449"/>
  </r>
  <r>
    <s v="4150"/>
    <x v="4159"/>
    <n v="162400000"/>
    <x v="9"/>
    <n v="76.282600000000002"/>
    <x v="19"/>
    <n v="128"/>
    <n v="102"/>
    <s v="1988"/>
    <n v="8"/>
    <x v="0"/>
    <n v="26"/>
    <n v="0.25490196078431371"/>
  </r>
  <r>
    <s v="4151"/>
    <x v="4160"/>
    <n v="10500000"/>
    <x v="20"/>
    <n v="76.182699999999997"/>
    <x v="24"/>
    <n v="58"/>
    <n v="32"/>
    <s v="2008"/>
    <n v="1"/>
    <x v="0"/>
    <n v="26"/>
    <n v="0.8125"/>
  </r>
  <r>
    <s v="4152"/>
    <x v="4161"/>
    <n v="18500000"/>
    <x v="9"/>
    <n v="76.137699999999995"/>
    <x v="20"/>
    <n v="115"/>
    <n v="72"/>
    <s v="2006"/>
    <n v="6"/>
    <x v="0"/>
    <n v="43"/>
    <n v="0.59722222222222221"/>
  </r>
  <r>
    <s v="4153"/>
    <x v="4162"/>
    <n v="11400000"/>
    <x v="13"/>
    <n v="76.098200000000006"/>
    <x v="11"/>
    <n v="99"/>
    <n v="93"/>
    <s v="2010"/>
    <n v="4"/>
    <x v="0"/>
    <n v="6"/>
    <n v="6.4516129032258063E-2"/>
  </r>
  <r>
    <s v="4154"/>
    <x v="4163"/>
    <n v="6400000"/>
    <x v="8"/>
    <n v="75.994500000000002"/>
    <x v="26"/>
    <n v="25"/>
    <n v="15"/>
    <s v="2011"/>
    <n v="1"/>
    <x v="0"/>
    <n v="10"/>
    <n v="0.66666666666666663"/>
  </r>
  <r>
    <s v="4155"/>
    <x v="4164"/>
    <n v="3200000"/>
    <x v="21"/>
    <n v="75.887200000000007"/>
    <x v="1"/>
    <n v="40"/>
    <n v="20"/>
    <s v="2009"/>
    <n v="1"/>
    <x v="0"/>
    <n v="20"/>
    <n v="1"/>
  </r>
  <r>
    <s v="4156"/>
    <x v="4165"/>
    <n v="61200000"/>
    <x v="5"/>
    <n v="75.838899999999995"/>
    <x v="2"/>
    <n v="250"/>
    <n v="150"/>
    <s v="1989"/>
    <n v="3"/>
    <x v="0"/>
    <n v="100"/>
    <n v="0.66666666666666663"/>
  </r>
  <r>
    <s v="4157"/>
    <x v="4166"/>
    <n v="4100000"/>
    <x v="9"/>
    <n v="75.789100000000005"/>
    <x v="9"/>
    <n v="34"/>
    <n v="26"/>
    <s v="2007"/>
    <n v="3"/>
    <x v="0"/>
    <n v="8"/>
    <n v="0.30769230769230771"/>
  </r>
  <r>
    <s v="4158"/>
    <x v="4167"/>
    <n v="10700000"/>
    <x v="9"/>
    <n v="75.788700000000006"/>
    <x v="9"/>
    <n v="76"/>
    <n v="98"/>
    <s v="2012"/>
    <n v="1"/>
    <x v="1"/>
    <n v="-22"/>
    <n v="-0.22448979591836735"/>
  </r>
  <r>
    <s v="4159"/>
    <x v="4168"/>
    <n v="7300000"/>
    <x v="22"/>
    <n v="75.780199999999994"/>
    <x v="19"/>
    <n v="24"/>
    <n v="13"/>
    <s v="2005"/>
    <n v="6"/>
    <x v="0"/>
    <n v="11"/>
    <n v="0.84615384615384615"/>
  </r>
  <r>
    <s v="4160"/>
    <x v="4169"/>
    <n v="5800000"/>
    <x v="12"/>
    <n v="75.730699999999999"/>
    <x v="14"/>
    <n v="28"/>
    <n v="22"/>
    <s v="2010"/>
    <n v="1"/>
    <x v="0"/>
    <n v="6"/>
    <n v="0.27272727272727271"/>
  </r>
  <r>
    <s v="4161"/>
    <x v="4170"/>
    <n v="10700000"/>
    <x v="16"/>
    <n v="75.715299999999999"/>
    <x v="24"/>
    <n v="80"/>
    <n v="40"/>
    <s v="1984"/>
    <n v="1"/>
    <x v="0"/>
    <n v="40"/>
    <n v="1"/>
  </r>
  <r>
    <s v="4162"/>
    <x v="4171"/>
    <n v="2800000"/>
    <x v="2"/>
    <n v="75.706199999999995"/>
    <x v="23"/>
    <n v="21"/>
    <n v="14"/>
    <s v="2005"/>
    <n v="2"/>
    <x v="0"/>
    <n v="7"/>
    <n v="0.5"/>
  </r>
  <r>
    <s v="4163"/>
    <x v="4172"/>
    <n v="4400000"/>
    <x v="19"/>
    <n v="75.675700000000006"/>
    <x v="15"/>
    <n v="20"/>
    <n v="8"/>
    <s v="2008"/>
    <n v="4"/>
    <x v="0"/>
    <n v="12"/>
    <n v="1.5"/>
  </r>
  <r>
    <s v="4164"/>
    <x v="4173"/>
    <n v="15400000"/>
    <x v="34"/>
    <n v="75.569100000000006"/>
    <x v="10"/>
    <n v="49"/>
    <n v="26"/>
    <s v="2008"/>
    <n v="5"/>
    <x v="0"/>
    <n v="23"/>
    <n v="0.88461538461538458"/>
  </r>
  <r>
    <s v="4165"/>
    <x v="4174"/>
    <n v="164900000"/>
    <x v="6"/>
    <n v="75.453800000000001"/>
    <x v="15"/>
    <n v="147"/>
    <n v="72"/>
    <s v="2005"/>
    <n v="2"/>
    <x v="0"/>
    <n v="75"/>
    <n v="1.0416666666666667"/>
  </r>
  <r>
    <s v="4166"/>
    <x v="4175"/>
    <n v="23700000"/>
    <x v="5"/>
    <n v="75.408100000000005"/>
    <x v="5"/>
    <n v="72"/>
    <n v="4"/>
    <s v="2004"/>
    <n v="4"/>
    <x v="0"/>
    <n v="68"/>
    <n v="17"/>
  </r>
  <r>
    <s v="4167"/>
    <x v="4176"/>
    <n v="3800000"/>
    <x v="2"/>
    <n v="75.3446"/>
    <x v="23"/>
    <n v="24"/>
    <n v="14"/>
    <s v="2010"/>
    <n v="4"/>
    <x v="0"/>
    <n v="10"/>
    <n v="0.7142857142857143"/>
  </r>
  <r>
    <s v="4168"/>
    <x v="4177"/>
    <n v="4900000"/>
    <x v="7"/>
    <n v="75.324700000000007"/>
    <x v="15"/>
    <n v="45"/>
    <n v="21"/>
    <s v="1989"/>
    <n v="1"/>
    <x v="0"/>
    <n v="24"/>
    <n v="1.1428571428571428"/>
  </r>
  <r>
    <s v="4169"/>
    <x v="4178"/>
    <n v="2300000"/>
    <x v="1"/>
    <n v="75.246300000000005"/>
    <x v="1"/>
    <n v="11"/>
    <n v="2"/>
    <s v="2014"/>
    <n v="1"/>
    <x v="0"/>
    <n v="9"/>
    <n v="4.5"/>
  </r>
  <r>
    <s v="4170"/>
    <x v="4179"/>
    <n v="27800000"/>
    <x v="18"/>
    <n v="75.122799999999998"/>
    <x v="19"/>
    <n v="146"/>
    <n v="84"/>
    <s v="2007"/>
    <n v="3"/>
    <x v="0"/>
    <n v="62"/>
    <n v="0.73809523809523814"/>
  </r>
  <r>
    <s v="4171"/>
    <x v="4180"/>
    <n v="57300000"/>
    <x v="42"/>
    <n v="75.091300000000004"/>
    <x v="19"/>
    <n v="188"/>
    <n v="138"/>
    <s v="1996"/>
    <n v="11"/>
    <x v="0"/>
    <n v="50"/>
    <n v="0.36231884057971014"/>
  </r>
  <r>
    <s v="4172"/>
    <x v="4181"/>
    <n v="8400000"/>
    <x v="2"/>
    <n v="75.075299999999999"/>
    <x v="11"/>
    <n v="200"/>
    <n v="110"/>
    <s v="2006"/>
    <n v="1"/>
    <x v="0"/>
    <n v="90"/>
    <n v="0.81818181818181823"/>
  </r>
  <r>
    <s v="4173"/>
    <x v="4182"/>
    <n v="116300000"/>
    <x v="22"/>
    <n v="75.064999999999998"/>
    <x v="4"/>
    <n v="1500"/>
    <n v="800"/>
    <s v="2004"/>
    <n v="1"/>
    <x v="0"/>
    <n v="700"/>
    <n v="0.875"/>
  </r>
  <r>
    <s v="4174"/>
    <x v="4183"/>
    <n v="2000000"/>
    <x v="21"/>
    <n v="75.043999999999997"/>
    <x v="9"/>
    <n v="20"/>
    <n v="9"/>
    <s v="2004"/>
    <n v="1"/>
    <x v="0"/>
    <n v="11"/>
    <n v="1.2222222222222223"/>
  </r>
  <r>
    <s v="4175"/>
    <x v="4184"/>
    <n v="6300000"/>
    <x v="12"/>
    <n v="75.036199999999994"/>
    <x v="19"/>
    <n v="40"/>
    <n v="27"/>
    <s v="2003"/>
    <n v="4"/>
    <x v="0"/>
    <n v="13"/>
    <n v="0.48148148148148145"/>
  </r>
  <r>
    <s v="4176"/>
    <x v="4185"/>
    <n v="4600000"/>
    <x v="6"/>
    <n v="75.026899999999998"/>
    <x v="0"/>
    <n v="33"/>
    <n v="25"/>
    <s v="2011"/>
    <n v="2"/>
    <x v="0"/>
    <n v="8"/>
    <n v="0.32"/>
  </r>
  <r>
    <s v="4177"/>
    <x v="4186"/>
    <n v="3600000"/>
    <x v="20"/>
    <n v="74.990300000000005"/>
    <x v="0"/>
    <n v="13"/>
    <n v="6"/>
    <s v="2012"/>
    <n v="3"/>
    <x v="0"/>
    <n v="7"/>
    <n v="1.1666666666666667"/>
  </r>
  <r>
    <s v="4178"/>
    <x v="4187"/>
    <n v="4000000"/>
    <x v="9"/>
    <n v="74.927800000000005"/>
    <x v="0"/>
    <n v="19"/>
    <n v="24"/>
    <s v="2013"/>
    <n v="1"/>
    <x v="1"/>
    <n v="-5"/>
    <n v="-0.20833333333333334"/>
  </r>
  <r>
    <s v="4179"/>
    <x v="4188"/>
    <n v="9400000"/>
    <x v="2"/>
    <n v="74.920699999999997"/>
    <x v="3"/>
    <n v="211"/>
    <n v="110"/>
    <s v="2006"/>
    <n v="7"/>
    <x v="0"/>
    <n v="101"/>
    <n v="0.91818181818181821"/>
  </r>
  <r>
    <s v="4180"/>
    <x v="4189"/>
    <n v="67400000"/>
    <x v="4"/>
    <n v="74.915999999999997"/>
    <x v="1"/>
    <n v="56"/>
    <n v="37"/>
    <s v="2007"/>
    <n v="7"/>
    <x v="0"/>
    <n v="19"/>
    <n v="0.51351351351351349"/>
  </r>
  <r>
    <s v="4181"/>
    <x v="4190"/>
    <n v="6600000"/>
    <x v="4"/>
    <n v="74.907300000000006"/>
    <x v="12"/>
    <n v="125"/>
    <n v="59"/>
    <s v="1975"/>
    <n v="1"/>
    <x v="0"/>
    <n v="66"/>
    <n v="1.1186440677966101"/>
  </r>
  <r>
    <s v="4182"/>
    <x v="4191"/>
    <n v="4800000"/>
    <x v="12"/>
    <n v="74.8797"/>
    <x v="9"/>
    <n v="50"/>
    <n v="10"/>
    <s v="2014"/>
    <n v="1"/>
    <x v="0"/>
    <n v="40"/>
    <n v="4"/>
  </r>
  <r>
    <s v="4183"/>
    <x v="4192"/>
    <n v="15400000"/>
    <x v="2"/>
    <n v="74.874099999999999"/>
    <x v="3"/>
    <n v="40"/>
    <n v="15"/>
    <s v="2010"/>
    <n v="5"/>
    <x v="0"/>
    <n v="25"/>
    <n v="1.6666666666666667"/>
  </r>
  <r>
    <s v="4184"/>
    <x v="4193"/>
    <n v="161400000"/>
    <x v="9"/>
    <n v="74.870500000000007"/>
    <x v="4"/>
    <n v="150"/>
    <n v="111"/>
    <s v="1996"/>
    <n v="8"/>
    <x v="0"/>
    <n v="39"/>
    <n v="0.35135135135135137"/>
  </r>
  <r>
    <s v="4185"/>
    <x v="4194"/>
    <n v="6500000"/>
    <x v="27"/>
    <n v="74.826300000000003"/>
    <x v="1"/>
    <n v="15"/>
    <n v="5"/>
    <s v="2010"/>
    <n v="3"/>
    <x v="0"/>
    <n v="10"/>
    <n v="2"/>
  </r>
  <r>
    <s v="4186"/>
    <x v="4195"/>
    <n v="23300000"/>
    <x v="22"/>
    <n v="74.761600000000001"/>
    <x v="3"/>
    <n v="32"/>
    <n v="32"/>
    <s v="1987"/>
    <n v="3"/>
    <x v="1"/>
    <n v="0"/>
    <n v="0"/>
  </r>
  <r>
    <s v="4187"/>
    <x v="4196"/>
    <n v="16900000"/>
    <x v="5"/>
    <n v="74.750100000000003"/>
    <x v="15"/>
    <n v="99"/>
    <n v="59"/>
    <s v="2003"/>
    <n v="4"/>
    <x v="0"/>
    <n v="40"/>
    <n v="0.67796610169491522"/>
  </r>
  <r>
    <s v="4187"/>
    <x v="4197"/>
    <n v="105800000"/>
    <x v="2"/>
    <n v="74.712599999999995"/>
    <x v="12"/>
    <n v="604"/>
    <n v="460"/>
    <s v="1987"/>
    <n v="7"/>
    <x v="0"/>
    <n v="144"/>
    <n v="0.31304347826086959"/>
  </r>
  <r>
    <s v="4188"/>
    <x v="4198"/>
    <n v="36300000"/>
    <x v="26"/>
    <n v="74.641400000000004"/>
    <x v="11"/>
    <n v="324"/>
    <n v="191"/>
    <s v="2001"/>
    <n v="9"/>
    <x v="0"/>
    <n v="133"/>
    <n v="0.69633507853403143"/>
  </r>
  <r>
    <s v="4189"/>
    <x v="4199"/>
    <n v="4700000"/>
    <x v="7"/>
    <n v="74.611199999999997"/>
    <x v="20"/>
    <n v="12"/>
    <n v="7"/>
    <s v="2003"/>
    <n v="1"/>
    <x v="0"/>
    <n v="5"/>
    <n v="0.7142857142857143"/>
  </r>
  <r>
    <s v="4190"/>
    <x v="4200"/>
    <n v="7600000"/>
    <x v="18"/>
    <n v="74.562899999999999"/>
    <x v="26"/>
    <n v="50"/>
    <n v="33"/>
    <s v="2001"/>
    <n v="6"/>
    <x v="0"/>
    <n v="17"/>
    <n v="0.51515151515151514"/>
  </r>
  <r>
    <s v="4191"/>
    <x v="4201"/>
    <n v="61800000"/>
    <x v="9"/>
    <n v="74.534800000000004"/>
    <x v="11"/>
    <n v="604"/>
    <n v="286"/>
    <s v="1999"/>
    <n v="2"/>
    <x v="0"/>
    <n v="318"/>
    <n v="1.1118881118881119"/>
  </r>
  <r>
    <s v="4192"/>
    <x v="4202"/>
    <n v="3800000"/>
    <x v="33"/>
    <n v="74.462299999999999"/>
    <x v="15"/>
    <n v="23"/>
    <n v="16"/>
    <s v="1998"/>
    <n v="4"/>
    <x v="0"/>
    <n v="7"/>
    <n v="0.4375"/>
  </r>
  <r>
    <s v="4193"/>
    <x v="4203"/>
    <n v="20000000"/>
    <x v="9"/>
    <n v="74.385400000000004"/>
    <x v="13"/>
    <n v="30"/>
    <n v="20"/>
    <s v="2012"/>
    <n v="3"/>
    <x v="0"/>
    <n v="10"/>
    <n v="0.5"/>
  </r>
  <r>
    <s v="4194"/>
    <x v="4204"/>
    <n v="4200000"/>
    <x v="0"/>
    <n v="74.334400000000002"/>
    <x v="5"/>
    <n v="250"/>
    <n v="150"/>
    <s v="2009"/>
    <n v="4"/>
    <x v="0"/>
    <n v="100"/>
    <n v="0.66666666666666663"/>
  </r>
  <r>
    <s v="4195"/>
    <x v="4205"/>
    <n v="5700000"/>
    <x v="2"/>
    <n v="74.313999999999993"/>
    <x v="23"/>
    <n v="58"/>
    <n v="34"/>
    <s v="2006"/>
    <n v="1"/>
    <x v="0"/>
    <n v="24"/>
    <n v="0.70588235294117652"/>
  </r>
  <r>
    <s v="4196"/>
    <x v="4206"/>
    <n v="2400000"/>
    <x v="40"/>
    <n v="74.247600000000006"/>
    <x v="3"/>
    <n v="19"/>
    <n v="11"/>
    <s v="2010"/>
    <n v="1"/>
    <x v="0"/>
    <n v="8"/>
    <n v="0.72727272727272729"/>
  </r>
  <r>
    <s v="4197"/>
    <x v="4207"/>
    <n v="31400000"/>
    <x v="10"/>
    <n v="74.215199999999996"/>
    <x v="19"/>
    <n v="2000"/>
    <n v="1600"/>
    <s v="1998"/>
    <n v="4"/>
    <x v="0"/>
    <n v="400"/>
    <n v="0.25"/>
  </r>
  <r>
    <s v="4198"/>
    <x v="4208"/>
    <n v="47200000"/>
    <x v="9"/>
    <n v="74.200699999999998"/>
    <x v="9"/>
    <n v="230"/>
    <n v="84"/>
    <s v="2007"/>
    <n v="9"/>
    <x v="0"/>
    <n v="146"/>
    <n v="1.7380952380952381"/>
  </r>
  <r>
    <s v="4199"/>
    <x v="4209"/>
    <n v="11300000"/>
    <x v="0"/>
    <n v="74.200199999999995"/>
    <x v="9"/>
    <n v="60"/>
    <n v="36"/>
    <s v="1999"/>
    <n v="7"/>
    <x v="0"/>
    <n v="24"/>
    <n v="0.66666666666666663"/>
  </r>
  <r>
    <s v="4200"/>
    <x v="4210"/>
    <n v="405400000"/>
    <x v="23"/>
    <n v="74.179400000000001"/>
    <x v="11"/>
    <n v="975"/>
    <n v="445"/>
    <s v="2002"/>
    <n v="13"/>
    <x v="0"/>
    <n v="530"/>
    <n v="1.1910112359550562"/>
  </r>
  <r>
    <s v="4201"/>
    <x v="4211"/>
    <n v="5400000"/>
    <x v="13"/>
    <n v="74.155699999999996"/>
    <x v="3"/>
    <n v="25"/>
    <n v="5"/>
    <s v="2011"/>
    <n v="5"/>
    <x v="0"/>
    <n v="20"/>
    <n v="4"/>
  </r>
  <r>
    <s v="4202"/>
    <x v="4212"/>
    <n v="15300000"/>
    <x v="7"/>
    <n v="74.064400000000006"/>
    <x v="23"/>
    <n v="21"/>
    <n v="16"/>
    <s v="2006"/>
    <n v="7"/>
    <x v="0"/>
    <n v="5"/>
    <n v="0.3125"/>
  </r>
  <r>
    <s v="4203"/>
    <x v="4213"/>
    <n v="13800000"/>
    <x v="9"/>
    <n v="74.049499999999995"/>
    <x v="2"/>
    <n v="230"/>
    <n v="120"/>
    <s v="2009"/>
    <n v="1"/>
    <x v="0"/>
    <n v="110"/>
    <n v="0.91666666666666663"/>
  </r>
  <r>
    <s v="4204"/>
    <x v="4214"/>
    <n v="60300000"/>
    <x v="4"/>
    <n v="74.035399999999996"/>
    <x v="0"/>
    <n v="300"/>
    <n v="100"/>
    <s v="1999"/>
    <n v="6"/>
    <x v="0"/>
    <n v="200"/>
    <n v="2"/>
  </r>
  <r>
    <s v="4205"/>
    <x v="4215"/>
    <n v="7200000"/>
    <x v="28"/>
    <n v="73.987700000000004"/>
    <x v="26"/>
    <n v="33"/>
    <n v="22"/>
    <s v="2002"/>
    <n v="6"/>
    <x v="0"/>
    <n v="11"/>
    <n v="0.5"/>
  </r>
  <r>
    <s v="4206"/>
    <x v="4216"/>
    <n v="2900000"/>
    <x v="7"/>
    <n v="73.966300000000004"/>
    <x v="0"/>
    <n v="8"/>
    <n v="4"/>
    <s v="2008"/>
    <n v="1"/>
    <x v="0"/>
    <n v="4"/>
    <n v="1"/>
  </r>
  <r>
    <s v="4207"/>
    <x v="4217"/>
    <n v="46900000"/>
    <x v="2"/>
    <n v="73.940399999999997"/>
    <x v="5"/>
    <n v="205"/>
    <n v="96"/>
    <s v="2009"/>
    <n v="7"/>
    <x v="0"/>
    <n v="109"/>
    <n v="1.1354166666666667"/>
  </r>
  <r>
    <s v="4208"/>
    <x v="4218"/>
    <n v="7400000"/>
    <x v="6"/>
    <n v="73.938999999999993"/>
    <x v="21"/>
    <n v="23"/>
    <n v="15"/>
    <s v="1997"/>
    <n v="2"/>
    <x v="0"/>
    <n v="8"/>
    <n v="0.53333333333333333"/>
  </r>
  <r>
    <s v="4209"/>
    <x v="4219"/>
    <n v="6100000"/>
    <x v="9"/>
    <n v="73.932199999999995"/>
    <x v="9"/>
    <n v="43"/>
    <n v="35"/>
    <s v="1996"/>
    <n v="5"/>
    <x v="0"/>
    <n v="8"/>
    <n v="0.22857142857142856"/>
  </r>
  <r>
    <s v="4210"/>
    <x v="4220"/>
    <n v="4200000"/>
    <x v="18"/>
    <n v="73.813400000000001"/>
    <x v="9"/>
    <n v="18"/>
    <n v="14"/>
    <s v="2005"/>
    <n v="4"/>
    <x v="0"/>
    <n v="4"/>
    <n v="0.2857142857142857"/>
  </r>
  <r>
    <s v="4211"/>
    <x v="4221"/>
    <n v="2400000"/>
    <x v="20"/>
    <n v="73.675399999999996"/>
    <x v="20"/>
    <n v="100"/>
    <n v="49"/>
    <s v="1987"/>
    <n v="1"/>
    <x v="0"/>
    <n v="51"/>
    <n v="1.0408163265306123"/>
  </r>
  <r>
    <s v="4212"/>
    <x v="4222"/>
    <n v="3400000"/>
    <x v="2"/>
    <n v="73.6036"/>
    <x v="4"/>
    <n v="49"/>
    <n v="27"/>
    <s v="2005"/>
    <n v="2"/>
    <x v="0"/>
    <n v="22"/>
    <n v="0.81481481481481477"/>
  </r>
  <r>
    <s v="4213"/>
    <x v="4223"/>
    <n v="5200000"/>
    <x v="5"/>
    <n v="73.591399999999993"/>
    <x v="24"/>
    <n v="41"/>
    <n v="25"/>
    <s v="1991"/>
    <n v="5"/>
    <x v="0"/>
    <n v="16"/>
    <n v="0.64"/>
  </r>
  <r>
    <s v="4214"/>
    <x v="4224"/>
    <n v="5200000"/>
    <x v="6"/>
    <n v="73.570099999999996"/>
    <x v="7"/>
    <n v="20"/>
    <n v="15"/>
    <s v="2002"/>
    <n v="1"/>
    <x v="0"/>
    <n v="5"/>
    <n v="0.33333333333333331"/>
  </r>
  <r>
    <s v="4215"/>
    <x v="4225"/>
    <n v="5200000"/>
    <x v="16"/>
    <n v="73.524799999999999"/>
    <x v="0"/>
    <n v="55"/>
    <n v="20"/>
    <s v="2006"/>
    <n v="2"/>
    <x v="0"/>
    <n v="35"/>
    <n v="1.75"/>
  </r>
  <r>
    <s v="4216"/>
    <x v="4226"/>
    <n v="226800000"/>
    <x v="37"/>
    <n v="73.509500000000003"/>
    <x v="5"/>
    <n v="940"/>
    <n v="792"/>
    <s v="2006"/>
    <n v="7"/>
    <x v="0"/>
    <n v="148"/>
    <n v="0.18686868686868688"/>
  </r>
  <r>
    <s v="4217"/>
    <x v="4227"/>
    <n v="23600000"/>
    <x v="13"/>
    <n v="73.445800000000006"/>
    <x v="23"/>
    <n v="111"/>
    <n v="73"/>
    <s v="2003"/>
    <n v="11"/>
    <x v="0"/>
    <n v="38"/>
    <n v="0.52054794520547942"/>
  </r>
  <r>
    <s v="4218"/>
    <x v="4228"/>
    <n v="9000000"/>
    <x v="2"/>
    <n v="73.399500000000003"/>
    <x v="3"/>
    <n v="210"/>
    <n v="140"/>
    <s v="2006"/>
    <n v="9"/>
    <x v="0"/>
    <n v="70"/>
    <n v="0.5"/>
  </r>
  <r>
    <s v="4219"/>
    <x v="4229"/>
    <n v="14500000"/>
    <x v="13"/>
    <n v="73.386600000000001"/>
    <x v="0"/>
    <n v="70"/>
    <n v="45"/>
    <s v="2005"/>
    <n v="5"/>
    <x v="0"/>
    <n v="25"/>
    <n v="0.55555555555555558"/>
  </r>
  <r>
    <s v="4220"/>
    <x v="4230"/>
    <n v="2800000"/>
    <x v="12"/>
    <n v="73.330600000000004"/>
    <x v="3"/>
    <n v="31"/>
    <n v="15"/>
    <s v="2009"/>
    <n v="3"/>
    <x v="0"/>
    <n v="16"/>
    <n v="1.0666666666666667"/>
  </r>
  <r>
    <s v="4221"/>
    <x v="4231"/>
    <n v="13500000"/>
    <x v="18"/>
    <n v="73.290499999999994"/>
    <x v="9"/>
    <n v="63"/>
    <n v="39"/>
    <s v="2004"/>
    <n v="9"/>
    <x v="0"/>
    <n v="24"/>
    <n v="0.61538461538461542"/>
  </r>
  <r>
    <s v="4222"/>
    <x v="4232"/>
    <n v="16300000"/>
    <x v="5"/>
    <n v="73.283600000000007"/>
    <x v="1"/>
    <n v="154"/>
    <n v="31"/>
    <s v="2006"/>
    <n v="1"/>
    <x v="0"/>
    <n v="123"/>
    <n v="3.967741935483871"/>
  </r>
  <r>
    <s v="4223"/>
    <x v="4233"/>
    <n v="24400000"/>
    <x v="1"/>
    <n v="73.265500000000003"/>
    <x v="2"/>
    <n v="400"/>
    <n v="250"/>
    <s v="1999"/>
    <n v="7"/>
    <x v="0"/>
    <n v="150"/>
    <n v="0.6"/>
  </r>
  <r>
    <s v="4224"/>
    <x v="4234"/>
    <n v="5000000"/>
    <x v="42"/>
    <n v="73.245099999999994"/>
    <x v="0"/>
    <n v="17"/>
    <n v="15"/>
    <s v="2001"/>
    <n v="5"/>
    <x v="0"/>
    <n v="2"/>
    <n v="0.13333333333333333"/>
  </r>
  <r>
    <s v="4225"/>
    <x v="4235"/>
    <n v="12300000"/>
    <x v="16"/>
    <n v="73.188599999999994"/>
    <x v="20"/>
    <n v="120"/>
    <n v="62"/>
    <s v="2006"/>
    <n v="7"/>
    <x v="0"/>
    <n v="58"/>
    <n v="0.93548387096774188"/>
  </r>
  <r>
    <s v="4226"/>
    <x v="4236"/>
    <n v="99000000"/>
    <x v="20"/>
    <n v="73.177400000000006"/>
    <x v="9"/>
    <n v="136"/>
    <n v="87"/>
    <s v="2009"/>
    <n v="1"/>
    <x v="0"/>
    <n v="49"/>
    <n v="0.56321839080459768"/>
  </r>
  <r>
    <s v="4227"/>
    <x v="4237"/>
    <n v="29400000"/>
    <x v="42"/>
    <n v="73.173599999999993"/>
    <x v="13"/>
    <n v="42"/>
    <n v="33"/>
    <s v="1951"/>
    <n v="5"/>
    <x v="0"/>
    <n v="9"/>
    <n v="0.27272727272727271"/>
  </r>
  <r>
    <s v="4228"/>
    <x v="4238"/>
    <n v="446500000"/>
    <x v="27"/>
    <n v="73.132599999999996"/>
    <x v="11"/>
    <n v="266"/>
    <n v="148"/>
    <s v="1987"/>
    <n v="9"/>
    <x v="0"/>
    <n v="118"/>
    <n v="0.79729729729729726"/>
  </r>
  <r>
    <s v="4229"/>
    <x v="4239"/>
    <n v="65600000"/>
    <x v="7"/>
    <n v="73.056899999999999"/>
    <x v="11"/>
    <n v="293"/>
    <n v="195"/>
    <s v="2004"/>
    <n v="10"/>
    <x v="0"/>
    <n v="98"/>
    <n v="0.50256410256410255"/>
  </r>
  <r>
    <s v="4230"/>
    <x v="4240"/>
    <n v="11600000"/>
    <x v="6"/>
    <n v="73.029399999999995"/>
    <x v="5"/>
    <n v="110"/>
    <n v="50"/>
    <s v="2002"/>
    <n v="2"/>
    <x v="0"/>
    <n v="60"/>
    <n v="1.2"/>
  </r>
  <r>
    <s v="4231"/>
    <x v="4241"/>
    <n v="2600000"/>
    <x v="4"/>
    <n v="72.994799999999998"/>
    <x v="0"/>
    <n v="21"/>
    <n v="13"/>
    <s v="2004"/>
    <n v="1"/>
    <x v="0"/>
    <n v="8"/>
    <n v="0.61538461538461542"/>
  </r>
  <r>
    <s v="4232"/>
    <x v="4242"/>
    <n v="59500000"/>
    <x v="10"/>
    <n v="72.991100000000003"/>
    <x v="3"/>
    <n v="760"/>
    <n v="475"/>
    <s v="1995"/>
    <n v="9"/>
    <x v="0"/>
    <n v="285"/>
    <n v="0.6"/>
  </r>
  <r>
    <s v="4233"/>
    <x v="4243"/>
    <n v="2000000"/>
    <x v="1"/>
    <n v="72.942899999999995"/>
    <x v="9"/>
    <n v="55"/>
    <n v="30"/>
    <s v="2009"/>
    <n v="1"/>
    <x v="0"/>
    <n v="25"/>
    <n v="0.83333333333333337"/>
  </r>
  <r>
    <s v="4234"/>
    <x v="4244"/>
    <n v="11500000"/>
    <x v="0"/>
    <n v="72.938599999999994"/>
    <x v="7"/>
    <n v="25"/>
    <n v="10"/>
    <s v="2007"/>
    <n v="1"/>
    <x v="0"/>
    <n v="15"/>
    <n v="1.5"/>
  </r>
  <r>
    <s v="4235"/>
    <x v="4245"/>
    <n v="2500000"/>
    <x v="22"/>
    <n v="72.912599999999998"/>
    <x v="0"/>
    <n v="23"/>
    <n v="14"/>
    <s v="2010"/>
    <n v="2"/>
    <x v="0"/>
    <n v="9"/>
    <n v="0.6428571428571429"/>
  </r>
  <r>
    <s v="4236"/>
    <x v="4246"/>
    <n v="69900000"/>
    <x v="21"/>
    <n v="72.892399999999995"/>
    <x v="7"/>
    <n v="418"/>
    <n v="288"/>
    <s v="2014"/>
    <n v="2"/>
    <x v="0"/>
    <n v="130"/>
    <n v="0.4513888888888889"/>
  </r>
  <r>
    <s v="4237"/>
    <x v="4247"/>
    <n v="50300000"/>
    <x v="32"/>
    <n v="72.827699999999993"/>
    <x v="15"/>
    <n v="198"/>
    <n v="107"/>
    <s v="2010"/>
    <n v="2"/>
    <x v="0"/>
    <n v="91"/>
    <n v="0.85046728971962615"/>
  </r>
  <r>
    <s v="4238"/>
    <x v="4248"/>
    <n v="22500000"/>
    <x v="5"/>
    <n v="72.748599999999996"/>
    <x v="6"/>
    <n v="81"/>
    <n v="48"/>
    <s v="2002"/>
    <n v="9"/>
    <x v="0"/>
    <n v="33"/>
    <n v="0.6875"/>
  </r>
  <r>
    <s v="4239"/>
    <x v="4249"/>
    <n v="26100000"/>
    <x v="21"/>
    <n v="72.737799999999993"/>
    <x v="22"/>
    <n v="19"/>
    <n v="11"/>
    <s v="1869"/>
    <n v="5"/>
    <x v="0"/>
    <n v="8"/>
    <n v="0.72727272727272729"/>
  </r>
  <r>
    <s v="4240"/>
    <x v="4250"/>
    <n v="3500000"/>
    <x v="8"/>
    <n v="72.706400000000002"/>
    <x v="23"/>
    <n v="18"/>
    <n v="9"/>
    <s v="2008"/>
    <n v="4"/>
    <x v="0"/>
    <n v="9"/>
    <n v="1"/>
  </r>
  <r>
    <s v="4241"/>
    <x v="4251"/>
    <n v="7200000"/>
    <x v="2"/>
    <n v="72.698899999999995"/>
    <x v="13"/>
    <n v="19"/>
    <n v="10"/>
    <s v="1984"/>
    <n v="1"/>
    <x v="0"/>
    <n v="9"/>
    <n v="0.9"/>
  </r>
  <r>
    <s v="4242"/>
    <x v="4252"/>
    <n v="7500000"/>
    <x v="9"/>
    <n v="72.697599999999994"/>
    <x v="9"/>
    <n v="39"/>
    <n v="28"/>
    <s v="2008"/>
    <n v="6"/>
    <x v="0"/>
    <n v="11"/>
    <n v="0.39285714285714285"/>
  </r>
  <r>
    <s v="4243"/>
    <x v="4253"/>
    <n v="2700000"/>
    <x v="42"/>
    <n v="72.629000000000005"/>
    <x v="15"/>
    <n v="15"/>
    <n v="11"/>
    <s v="2011"/>
    <n v="1"/>
    <x v="0"/>
    <n v="4"/>
    <n v="0.36363636363636365"/>
  </r>
  <r>
    <s v="4244"/>
    <x v="4254"/>
    <n v="2600000"/>
    <x v="6"/>
    <n v="72.617699999999999"/>
    <x v="23"/>
    <n v="28"/>
    <n v="15"/>
    <s v="2006"/>
    <n v="1"/>
    <x v="0"/>
    <n v="13"/>
    <n v="0.8666666666666667"/>
  </r>
  <r>
    <s v="4245"/>
    <x v="4255"/>
    <n v="17300000"/>
    <x v="42"/>
    <n v="72.616699999999994"/>
    <x v="12"/>
    <n v="16"/>
    <n v="14"/>
    <s v="2006"/>
    <n v="1"/>
    <x v="0"/>
    <n v="2"/>
    <n v="0.14285714285714285"/>
  </r>
  <r>
    <s v="4246"/>
    <x v="4256"/>
    <n v="12200000"/>
    <x v="42"/>
    <n v="72.565600000000003"/>
    <x v="0"/>
    <n v="46"/>
    <n v="38"/>
    <s v="2003"/>
    <n v="9"/>
    <x v="0"/>
    <n v="8"/>
    <n v="0.21052631578947367"/>
  </r>
  <r>
    <s v="4247"/>
    <x v="4257"/>
    <n v="3200000"/>
    <x v="32"/>
    <n v="72.557900000000004"/>
    <x v="9"/>
    <n v="12"/>
    <n v="5"/>
    <s v="2011"/>
    <n v="3"/>
    <x v="0"/>
    <n v="7"/>
    <n v="1.4"/>
  </r>
  <r>
    <s v="4248"/>
    <x v="4258"/>
    <n v="10100000"/>
    <x v="45"/>
    <n v="72.554500000000004"/>
    <x v="7"/>
    <n v="71"/>
    <n v="72"/>
    <s v="2004"/>
    <n v="7"/>
    <x v="1"/>
    <n v="-1"/>
    <n v="-1.3888888888888888E-2"/>
  </r>
  <r>
    <s v="4249"/>
    <x v="4259"/>
    <n v="10600000"/>
    <x v="27"/>
    <n v="72.527199999999993"/>
    <x v="1"/>
    <n v="74"/>
    <n v="50"/>
    <s v="2009"/>
    <n v="1"/>
    <x v="0"/>
    <n v="24"/>
    <n v="0.48"/>
  </r>
  <r>
    <s v="4250"/>
    <x v="4260"/>
    <n v="4600000"/>
    <x v="21"/>
    <n v="72.504599999999996"/>
    <x v="0"/>
    <n v="13"/>
    <n v="9"/>
    <s v="2008"/>
    <n v="2"/>
    <x v="0"/>
    <n v="4"/>
    <n v="0.44444444444444442"/>
  </r>
  <r>
    <s v="4251"/>
    <x v="4261"/>
    <n v="2000000"/>
    <x v="26"/>
    <n v="72.471100000000007"/>
    <x v="6"/>
    <n v="15"/>
    <n v="6"/>
    <s v="1965"/>
    <n v="1"/>
    <x v="0"/>
    <n v="9"/>
    <n v="1.5"/>
  </r>
  <r>
    <s v="4252"/>
    <x v="4262"/>
    <n v="91400000"/>
    <x v="9"/>
    <n v="72.4542"/>
    <x v="19"/>
    <n v="213"/>
    <n v="85"/>
    <s v="2003"/>
    <n v="5"/>
    <x v="0"/>
    <n v="128"/>
    <n v="1.5058823529411764"/>
  </r>
  <r>
    <s v="4253"/>
    <x v="4263"/>
    <n v="28800000"/>
    <x v="7"/>
    <n v="72.446299999999994"/>
    <x v="23"/>
    <n v="161"/>
    <n v="116"/>
    <s v="1990"/>
    <n v="2"/>
    <x v="0"/>
    <n v="45"/>
    <n v="0.38793103448275862"/>
  </r>
  <r>
    <s v="4254"/>
    <x v="4264"/>
    <n v="31100000"/>
    <x v="13"/>
    <n v="72.342200000000005"/>
    <x v="23"/>
    <n v="130"/>
    <n v="60"/>
    <s v="2001"/>
    <n v="4"/>
    <x v="0"/>
    <n v="70"/>
    <n v="1.1666666666666667"/>
  </r>
  <r>
    <s v="4255"/>
    <x v="4265"/>
    <n v="36000000"/>
    <x v="5"/>
    <n v="72.322400000000002"/>
    <x v="15"/>
    <n v="52"/>
    <n v="56"/>
    <s v="2004"/>
    <n v="2"/>
    <x v="1"/>
    <n v="-4"/>
    <n v="-7.1428571428571425E-2"/>
  </r>
  <r>
    <s v="4256"/>
    <x v="4266"/>
    <n v="10400000"/>
    <x v="7"/>
    <n v="72.315600000000003"/>
    <x v="13"/>
    <n v="15"/>
    <n v="13"/>
    <s v="2003"/>
    <n v="4"/>
    <x v="0"/>
    <n v="2"/>
    <n v="0.15384615384615385"/>
  </r>
  <r>
    <s v="4257"/>
    <x v="4267"/>
    <n v="4200000"/>
    <x v="8"/>
    <n v="72.2911"/>
    <x v="23"/>
    <n v="15"/>
    <n v="8"/>
    <s v="1995"/>
    <n v="1"/>
    <x v="0"/>
    <n v="7"/>
    <n v="0.875"/>
  </r>
  <r>
    <s v="4258"/>
    <x v="4268"/>
    <n v="2200000"/>
    <x v="10"/>
    <n v="72.280600000000007"/>
    <x v="24"/>
    <n v="36"/>
    <n v="24"/>
    <s v="1995"/>
    <n v="1"/>
    <x v="0"/>
    <n v="12"/>
    <n v="0.5"/>
  </r>
  <r>
    <s v="4259"/>
    <x v="4269"/>
    <n v="3300000"/>
    <x v="9"/>
    <n v="72.28"/>
    <x v="9"/>
    <n v="26"/>
    <n v="20"/>
    <s v="2000"/>
    <n v="2"/>
    <x v="0"/>
    <n v="6"/>
    <n v="0.3"/>
  </r>
  <r>
    <s v="4260"/>
    <x v="4270"/>
    <n v="19300000"/>
    <x v="24"/>
    <n v="72.240600000000001"/>
    <x v="23"/>
    <n v="100"/>
    <n v="250"/>
    <s v="2008"/>
    <n v="6"/>
    <x v="1"/>
    <n v="-150"/>
    <n v="-0.6"/>
  </r>
  <r>
    <s v="4261"/>
    <x v="4271"/>
    <n v="2200000"/>
    <x v="22"/>
    <n v="72.236999999999995"/>
    <x v="7"/>
    <n v="7"/>
    <n v="4"/>
    <s v="2013"/>
    <n v="1"/>
    <x v="0"/>
    <n v="3"/>
    <n v="0.75"/>
  </r>
  <r>
    <s v="4262"/>
    <x v="4272"/>
    <n v="22500000"/>
    <x v="13"/>
    <n v="72.230699999999999"/>
    <x v="20"/>
    <n v="190"/>
    <n v="124"/>
    <s v="2010"/>
    <n v="6"/>
    <x v="0"/>
    <n v="66"/>
    <n v="0.532258064516129"/>
  </r>
  <r>
    <s v="4263"/>
    <x v="4273"/>
    <n v="10200000"/>
    <x v="9"/>
    <n v="72.221699999999998"/>
    <x v="9"/>
    <n v="48"/>
    <n v="25"/>
    <s v="2003"/>
    <n v="2"/>
    <x v="0"/>
    <n v="23"/>
    <n v="0.92"/>
  </r>
  <r>
    <s v="4264"/>
    <x v="4274"/>
    <n v="29200000"/>
    <x v="27"/>
    <n v="72.204599999999999"/>
    <x v="5"/>
    <n v="218"/>
    <n v="202"/>
    <s v="2008"/>
    <n v="6"/>
    <x v="0"/>
    <n v="16"/>
    <n v="7.9207920792079209E-2"/>
  </r>
  <r>
    <s v="4265"/>
    <x v="4275"/>
    <n v="2700000"/>
    <x v="1"/>
    <n v="72.143799999999999"/>
    <x v="6"/>
    <n v="11"/>
    <n v="10"/>
    <s v="2004"/>
    <n v="1"/>
    <x v="0"/>
    <n v="1"/>
    <n v="0.1"/>
  </r>
  <r>
    <s v="4266"/>
    <x v="4276"/>
    <n v="87500000"/>
    <x v="38"/>
    <n v="72.121499999999997"/>
    <x v="15"/>
    <n v="162"/>
    <n v="120"/>
    <s v="2002"/>
    <n v="6"/>
    <x v="0"/>
    <n v="42"/>
    <n v="0.35"/>
  </r>
  <r>
    <s v="4267"/>
    <x v="4277"/>
    <n v="3000000"/>
    <x v="6"/>
    <n v="72.091099999999997"/>
    <x v="23"/>
    <n v="70"/>
    <n v="15"/>
    <s v="1982"/>
    <n v="2"/>
    <x v="0"/>
    <n v="55"/>
    <n v="3.6666666666666665"/>
  </r>
  <r>
    <s v="4268"/>
    <x v="4278"/>
    <n v="7800000"/>
    <x v="19"/>
    <n v="72.082800000000006"/>
    <x v="13"/>
    <n v="40"/>
    <n v="27"/>
    <s v="2001"/>
    <n v="8"/>
    <x v="0"/>
    <n v="13"/>
    <n v="0.48148148148148145"/>
  </r>
  <r>
    <s v="4269"/>
    <x v="4279"/>
    <n v="10000000"/>
    <x v="18"/>
    <n v="72.055099999999996"/>
    <x v="9"/>
    <n v="70"/>
    <n v="57"/>
    <s v="2005"/>
    <n v="1"/>
    <x v="0"/>
    <n v="13"/>
    <n v="0.22807017543859648"/>
  </r>
  <r>
    <s v="4269"/>
    <x v="4280"/>
    <n v="8500000"/>
    <x v="6"/>
    <n v="72.035600000000002"/>
    <x v="23"/>
    <n v="705"/>
    <n v="410"/>
    <s v="2006"/>
    <n v="5"/>
    <x v="0"/>
    <n v="295"/>
    <n v="0.71951219512195119"/>
  </r>
  <r>
    <s v="4270"/>
    <x v="4281"/>
    <n v="5100000"/>
    <x v="8"/>
    <n v="72.004800000000003"/>
    <x v="0"/>
    <n v="12"/>
    <n v="13"/>
    <s v="2006"/>
    <n v="3"/>
    <x v="1"/>
    <n v="-1"/>
    <n v="-7.6923076923076927E-2"/>
  </r>
  <r>
    <s v="4271"/>
    <x v="4282"/>
    <n v="76300000"/>
    <x v="7"/>
    <n v="71.983599999999996"/>
    <x v="23"/>
    <n v="341"/>
    <n v="117"/>
    <s v="2011"/>
    <n v="4"/>
    <x v="0"/>
    <n v="224"/>
    <n v="1.9145299145299146"/>
  </r>
  <r>
    <s v="4272"/>
    <x v="4283"/>
    <n v="10600000"/>
    <x v="1"/>
    <n v="71.9328"/>
    <x v="23"/>
    <n v="15"/>
    <n v="8"/>
    <s v="1993"/>
    <n v="3"/>
    <x v="0"/>
    <n v="7"/>
    <n v="0.875"/>
  </r>
  <r>
    <s v="4273"/>
    <x v="4284"/>
    <n v="10100000"/>
    <x v="24"/>
    <n v="71.910899999999998"/>
    <x v="12"/>
    <n v="45"/>
    <n v="20"/>
    <s v="2003"/>
    <n v="1"/>
    <x v="0"/>
    <n v="25"/>
    <n v="1.25"/>
  </r>
  <r>
    <s v="4274"/>
    <x v="4285"/>
    <n v="319500000"/>
    <x v="12"/>
    <n v="71.837199999999996"/>
    <x v="6"/>
    <n v="1500"/>
    <n v="650"/>
    <s v="2006"/>
    <n v="1"/>
    <x v="0"/>
    <n v="850"/>
    <n v="1.3076923076923077"/>
  </r>
  <r>
    <s v="4275"/>
    <x v="4286"/>
    <n v="5200000"/>
    <x v="7"/>
    <n v="71.736800000000002"/>
    <x v="5"/>
    <n v="17"/>
    <n v="9"/>
    <s v="2008"/>
    <n v="1"/>
    <x v="0"/>
    <n v="8"/>
    <n v="0.88888888888888884"/>
  </r>
  <r>
    <s v="4276"/>
    <x v="4287"/>
    <n v="6000000"/>
    <x v="32"/>
    <n v="71.693700000000007"/>
    <x v="20"/>
    <n v="38"/>
    <n v="23"/>
    <s v="2001"/>
    <n v="4"/>
    <x v="0"/>
    <n v="15"/>
    <n v="0.65217391304347827"/>
  </r>
  <r>
    <s v="4277"/>
    <x v="4288"/>
    <n v="11900000"/>
    <x v="7"/>
    <n v="71.6785"/>
    <x v="11"/>
    <n v="113"/>
    <n v="44"/>
    <s v="2009"/>
    <n v="2"/>
    <x v="0"/>
    <n v="69"/>
    <n v="1.5681818181818181"/>
  </r>
  <r>
    <s v="4278"/>
    <x v="4289"/>
    <n v="5600000"/>
    <x v="12"/>
    <n v="71.659099999999995"/>
    <x v="22"/>
    <n v="18"/>
    <n v="7"/>
    <s v="2004"/>
    <n v="1"/>
    <x v="0"/>
    <n v="11"/>
    <n v="1.5714285714285714"/>
  </r>
  <r>
    <s v="4279"/>
    <x v="4290"/>
    <n v="9100000"/>
    <x v="4"/>
    <n v="71.651499999999999"/>
    <x v="9"/>
    <n v="62"/>
    <n v="70"/>
    <s v="2009"/>
    <n v="3"/>
    <x v="1"/>
    <n v="-8"/>
    <n v="-0.11428571428571428"/>
  </r>
  <r>
    <s v="4280"/>
    <x v="4291"/>
    <n v="7900000"/>
    <x v="5"/>
    <n v="71.591200000000001"/>
    <x v="22"/>
    <n v="84"/>
    <n v="49"/>
    <s v="2003"/>
    <n v="6"/>
    <x v="0"/>
    <n v="35"/>
    <n v="0.7142857142857143"/>
  </r>
  <r>
    <s v="4281"/>
    <x v="4292"/>
    <n v="5000000"/>
    <x v="16"/>
    <n v="71.581800000000001"/>
    <x v="20"/>
    <n v="159"/>
    <n v="145"/>
    <s v="2010"/>
    <n v="2"/>
    <x v="0"/>
    <n v="14"/>
    <n v="9.6551724137931033E-2"/>
  </r>
  <r>
    <s v="4282"/>
    <x v="4293"/>
    <n v="110200000"/>
    <x v="23"/>
    <n v="71.531300000000002"/>
    <x v="2"/>
    <n v="224"/>
    <n v="101"/>
    <s v="1946"/>
    <n v="1"/>
    <x v="0"/>
    <n v="123"/>
    <n v="1.2178217821782178"/>
  </r>
  <r>
    <s v="4283"/>
    <x v="4294"/>
    <n v="67100000"/>
    <x v="40"/>
    <n v="71.503600000000006"/>
    <x v="18"/>
    <n v="325"/>
    <n v="210"/>
    <s v="2002"/>
    <n v="1"/>
    <x v="0"/>
    <n v="115"/>
    <n v="0.54761904761904767"/>
  </r>
  <r>
    <s v="4284"/>
    <x v="4295"/>
    <n v="6800000"/>
    <x v="9"/>
    <n v="71.499600000000001"/>
    <x v="20"/>
    <n v="43"/>
    <n v="48"/>
    <s v="2003"/>
    <n v="2"/>
    <x v="1"/>
    <n v="-5"/>
    <n v="-0.10416666666666667"/>
  </r>
  <r>
    <s v="4285"/>
    <x v="4296"/>
    <n v="20300000"/>
    <x v="9"/>
    <n v="71.495599999999996"/>
    <x v="3"/>
    <n v="88"/>
    <n v="55"/>
    <s v="2007"/>
    <n v="1"/>
    <x v="0"/>
    <n v="33"/>
    <n v="0.6"/>
  </r>
  <r>
    <s v="4286"/>
    <x v="4297"/>
    <n v="13800000"/>
    <x v="40"/>
    <n v="71.446899999999999"/>
    <x v="20"/>
    <n v="21"/>
    <n v="14"/>
    <s v="2010"/>
    <n v="4"/>
    <x v="0"/>
    <n v="7"/>
    <n v="0.5"/>
  </r>
  <r>
    <s v="4287"/>
    <x v="4298"/>
    <n v="85600000"/>
    <x v="24"/>
    <n v="71.412599999999998"/>
    <x v="5"/>
    <n v="1352"/>
    <n v="1016"/>
    <s v="2004"/>
    <n v="3"/>
    <x v="0"/>
    <n v="336"/>
    <n v="0.33070866141732286"/>
  </r>
  <r>
    <s v="4288"/>
    <x v="4299"/>
    <n v="4100000"/>
    <x v="22"/>
    <n v="71.381399999999999"/>
    <x v="26"/>
    <n v="20"/>
    <n v="12"/>
    <s v="2002"/>
    <n v="1"/>
    <x v="0"/>
    <n v="8"/>
    <n v="0.66666666666666663"/>
  </r>
  <r>
    <s v="4289"/>
    <x v="4300"/>
    <n v="9600000"/>
    <x v="7"/>
    <n v="71.381299999999996"/>
    <x v="11"/>
    <n v="45"/>
    <n v="25"/>
    <s v="2010"/>
    <n v="4"/>
    <x v="0"/>
    <n v="20"/>
    <n v="0.8"/>
  </r>
  <r>
    <s v="4290"/>
    <x v="4301"/>
    <n v="4400000"/>
    <x v="8"/>
    <n v="71.371200000000002"/>
    <x v="15"/>
    <n v="37"/>
    <n v="22"/>
    <s v="2006"/>
    <n v="1"/>
    <x v="0"/>
    <n v="15"/>
    <n v="0.68181818181818177"/>
  </r>
  <r>
    <s v="4291"/>
    <x v="4302"/>
    <n v="11700000"/>
    <x v="18"/>
    <n v="71.361599999999996"/>
    <x v="7"/>
    <n v="78"/>
    <n v="72"/>
    <s v="1987"/>
    <n v="6"/>
    <x v="0"/>
    <n v="6"/>
    <n v="8.3333333333333329E-2"/>
  </r>
  <r>
    <s v="4292"/>
    <x v="4303"/>
    <n v="14500000"/>
    <x v="12"/>
    <n v="71.346400000000003"/>
    <x v="23"/>
    <n v="33"/>
    <n v="28"/>
    <s v="1992"/>
    <n v="2"/>
    <x v="0"/>
    <n v="5"/>
    <n v="0.17857142857142858"/>
  </r>
  <r>
    <s v="4293"/>
    <x v="4304"/>
    <n v="7800000"/>
    <x v="2"/>
    <n v="71.345500000000001"/>
    <x v="19"/>
    <n v="44"/>
    <n v="27"/>
    <s v="2005"/>
    <n v="3"/>
    <x v="0"/>
    <n v="17"/>
    <n v="0.62962962962962965"/>
  </r>
  <r>
    <s v="4294"/>
    <x v="4305"/>
    <n v="2300000"/>
    <x v="13"/>
    <n v="71.317800000000005"/>
    <x v="0"/>
    <n v="10"/>
    <n v="2"/>
    <s v="2008"/>
    <n v="1"/>
    <x v="0"/>
    <n v="8"/>
    <n v="4"/>
  </r>
  <r>
    <s v="4295"/>
    <x v="4306"/>
    <n v="11900000"/>
    <x v="16"/>
    <n v="71.305300000000003"/>
    <x v="3"/>
    <n v="65"/>
    <n v="34"/>
    <s v="1992"/>
    <n v="1"/>
    <x v="0"/>
    <n v="31"/>
    <n v="0.91176470588235292"/>
  </r>
  <r>
    <s v="4296"/>
    <x v="4307"/>
    <n v="6000000"/>
    <x v="27"/>
    <n v="71.179199999999994"/>
    <x v="22"/>
    <n v="65"/>
    <n v="20"/>
    <s v="2004"/>
    <n v="2"/>
    <x v="0"/>
    <n v="45"/>
    <n v="2.25"/>
  </r>
  <r>
    <s v="4297"/>
    <x v="4308"/>
    <n v="10800000"/>
    <x v="4"/>
    <n v="71.173599999999993"/>
    <x v="18"/>
    <n v="28"/>
    <n v="14"/>
    <s v="2010"/>
    <n v="3"/>
    <x v="0"/>
    <n v="14"/>
    <n v="1"/>
  </r>
  <r>
    <s v="4298"/>
    <x v="4309"/>
    <n v="14900000"/>
    <x v="2"/>
    <n v="71.168000000000006"/>
    <x v="15"/>
    <n v="125"/>
    <n v="90"/>
    <s v="1989"/>
    <n v="4"/>
    <x v="0"/>
    <n v="35"/>
    <n v="0.3888888888888889"/>
  </r>
  <r>
    <s v="4299"/>
    <x v="4310"/>
    <n v="8000000"/>
    <x v="5"/>
    <n v="71.147599999999997"/>
    <x v="25"/>
    <n v="27"/>
    <n v="22"/>
    <s v="1990"/>
    <n v="3"/>
    <x v="0"/>
    <n v="5"/>
    <n v="0.22727272727272727"/>
  </r>
  <r>
    <s v="4300"/>
    <x v="4311"/>
    <n v="44800000"/>
    <x v="7"/>
    <n v="71.115899999999996"/>
    <x v="11"/>
    <n v="259"/>
    <n v="180"/>
    <s v="2001"/>
    <n v="4"/>
    <x v="0"/>
    <n v="79"/>
    <n v="0.43888888888888888"/>
  </r>
  <r>
    <s v="4301"/>
    <x v="4312"/>
    <n v="23400000"/>
    <x v="11"/>
    <n v="71.088999999999999"/>
    <x v="0"/>
    <n v="108"/>
    <n v="70"/>
    <s v="2002"/>
    <n v="3"/>
    <x v="0"/>
    <n v="38"/>
    <n v="0.54285714285714282"/>
  </r>
  <r>
    <s v="4302"/>
    <x v="4313"/>
    <n v="4400000"/>
    <x v="9"/>
    <n v="71.082800000000006"/>
    <x v="15"/>
    <n v="9"/>
    <n v="4"/>
    <s v="1991"/>
    <n v="3"/>
    <x v="0"/>
    <n v="5"/>
    <n v="1.25"/>
  </r>
  <r>
    <s v="4303"/>
    <x v="4314"/>
    <n v="15100000"/>
    <x v="11"/>
    <n v="71.081100000000006"/>
    <x v="0"/>
    <n v="45"/>
    <n v="20"/>
    <s v="2005"/>
    <n v="2"/>
    <x v="0"/>
    <n v="25"/>
    <n v="1.25"/>
  </r>
  <r>
    <s v="4304"/>
    <x v="4315"/>
    <n v="2600000"/>
    <x v="22"/>
    <n v="71.0702"/>
    <x v="24"/>
    <n v="50"/>
    <n v="8"/>
    <s v="2005"/>
    <n v="1"/>
    <x v="0"/>
    <n v="42"/>
    <n v="5.25"/>
  </r>
  <r>
    <s v="4305"/>
    <x v="4316"/>
    <n v="4100000"/>
    <x v="7"/>
    <n v="71.012"/>
    <x v="19"/>
    <n v="34"/>
    <n v="26"/>
    <s v="1997"/>
    <n v="3"/>
    <x v="0"/>
    <n v="8"/>
    <n v="0.30769230769230771"/>
  </r>
  <r>
    <s v="4306"/>
    <x v="4317"/>
    <n v="23000000"/>
    <x v="20"/>
    <n v="70.996899999999997"/>
    <x v="26"/>
    <n v="290"/>
    <n v="132"/>
    <s v="2011"/>
    <n v="1"/>
    <x v="0"/>
    <n v="158"/>
    <n v="1.196969696969697"/>
  </r>
  <r>
    <s v="4307"/>
    <x v="4318"/>
    <n v="21900000"/>
    <x v="22"/>
    <n v="70.916499999999999"/>
    <x v="13"/>
    <n v="102"/>
    <n v="48"/>
    <s v="1985"/>
    <n v="8"/>
    <x v="0"/>
    <n v="54"/>
    <n v="1.125"/>
  </r>
  <r>
    <s v="4308"/>
    <x v="4319"/>
    <n v="15000000"/>
    <x v="8"/>
    <n v="70.912199999999999"/>
    <x v="16"/>
    <n v="120"/>
    <n v="80"/>
    <s v="2004"/>
    <n v="6"/>
    <x v="0"/>
    <n v="40"/>
    <n v="0.5"/>
  </r>
  <r>
    <s v="4309"/>
    <x v="4320"/>
    <n v="124800000"/>
    <x v="33"/>
    <n v="70.905799999999999"/>
    <x v="20"/>
    <n v="144"/>
    <n v="49"/>
    <s v="2003"/>
    <n v="5"/>
    <x v="0"/>
    <n v="95"/>
    <n v="1.9387755102040816"/>
  </r>
  <r>
    <s v="4310"/>
    <x v="4321"/>
    <n v="8600000"/>
    <x v="9"/>
    <n v="70.862799999999993"/>
    <x v="3"/>
    <n v="22"/>
    <n v="12"/>
    <s v="2004"/>
    <n v="1"/>
    <x v="0"/>
    <n v="10"/>
    <n v="0.83333333333333337"/>
  </r>
  <r>
    <s v="4311"/>
    <x v="4322"/>
    <n v="3400000"/>
    <x v="5"/>
    <n v="70.825699999999998"/>
    <x v="23"/>
    <n v="13"/>
    <n v="7"/>
    <s v="2007"/>
    <n v="1"/>
    <x v="0"/>
    <n v="6"/>
    <n v="0.8571428571428571"/>
  </r>
  <r>
    <s v="4312"/>
    <x v="4323"/>
    <n v="10400000"/>
    <x v="16"/>
    <n v="70.815600000000003"/>
    <x v="0"/>
    <n v="36"/>
    <n v="23"/>
    <s v="2013"/>
    <n v="1"/>
    <x v="0"/>
    <n v="13"/>
    <n v="0.56521739130434778"/>
  </r>
  <r>
    <s v="4313"/>
    <x v="4324"/>
    <n v="10800000"/>
    <x v="10"/>
    <n v="70.803600000000003"/>
    <x v="15"/>
    <n v="15"/>
    <n v="7"/>
    <s v="2006"/>
    <n v="1"/>
    <x v="0"/>
    <n v="8"/>
    <n v="1.1428571428571428"/>
  </r>
  <r>
    <s v="4314"/>
    <x v="4325"/>
    <n v="203400000"/>
    <x v="8"/>
    <n v="70.797899999999998"/>
    <x v="5"/>
    <n v="438"/>
    <n v="253"/>
    <s v="2009"/>
    <n v="6"/>
    <x v="0"/>
    <n v="185"/>
    <n v="0.73122529644268774"/>
  </r>
  <r>
    <s v="4315"/>
    <x v="4326"/>
    <n v="73500000"/>
    <x v="7"/>
    <n v="70.783799999999999"/>
    <x v="6"/>
    <n v="256"/>
    <n v="125"/>
    <s v="1969"/>
    <n v="1"/>
    <x v="0"/>
    <n v="131"/>
    <n v="1.048"/>
  </r>
  <r>
    <s v="4316"/>
    <x v="4327"/>
    <n v="4600000"/>
    <x v="23"/>
    <n v="70.773300000000006"/>
    <x v="7"/>
    <n v="36"/>
    <n v="24"/>
    <s v="2002"/>
    <n v="1"/>
    <x v="0"/>
    <n v="12"/>
    <n v="0.5"/>
  </r>
  <r>
    <s v="4317"/>
    <x v="4328"/>
    <n v="51200000"/>
    <x v="19"/>
    <n v="70.720399999999998"/>
    <x v="5"/>
    <n v="250"/>
    <n v="40"/>
    <s v="2012"/>
    <n v="3"/>
    <x v="0"/>
    <n v="210"/>
    <n v="5.25"/>
  </r>
  <r>
    <s v="4318"/>
    <x v="4329"/>
    <n v="11300000"/>
    <x v="16"/>
    <n v="70.535899999999998"/>
    <x v="13"/>
    <n v="72"/>
    <n v="41"/>
    <s v="2005"/>
    <n v="1"/>
    <x v="0"/>
    <n v="31"/>
    <n v="0.75609756097560976"/>
  </r>
  <r>
    <s v="4319"/>
    <x v="4330"/>
    <n v="2700000"/>
    <x v="35"/>
    <n v="70.494699999999995"/>
    <x v="23"/>
    <n v="10"/>
    <n v="7"/>
    <s v="2010"/>
    <n v="1"/>
    <x v="0"/>
    <n v="3"/>
    <n v="0.42857142857142855"/>
  </r>
  <r>
    <s v="4320"/>
    <x v="4331"/>
    <n v="13100000"/>
    <x v="0"/>
    <n v="70.481899999999996"/>
    <x v="0"/>
    <n v="90"/>
    <n v="41"/>
    <s v="2013"/>
    <n v="3"/>
    <x v="0"/>
    <n v="49"/>
    <n v="1.1951219512195121"/>
  </r>
  <r>
    <s v="4321"/>
    <x v="4332"/>
    <n v="20800000"/>
    <x v="28"/>
    <n v="70.471400000000003"/>
    <x v="23"/>
    <n v="95"/>
    <n v="70"/>
    <s v="1984"/>
    <n v="5"/>
    <x v="0"/>
    <n v="25"/>
    <n v="0.35714285714285715"/>
  </r>
  <r>
    <s v="4322"/>
    <x v="4333"/>
    <n v="18700000"/>
    <x v="14"/>
    <n v="70.421300000000002"/>
    <x v="8"/>
    <n v="100"/>
    <n v="40"/>
    <s v="2005"/>
    <n v="1"/>
    <x v="0"/>
    <n v="60"/>
    <n v="1.5"/>
  </r>
  <r>
    <s v="4323"/>
    <x v="4334"/>
    <n v="12900000"/>
    <x v="13"/>
    <n v="70.420400000000001"/>
    <x v="4"/>
    <n v="35"/>
    <n v="14"/>
    <s v="1980"/>
    <n v="2"/>
    <x v="0"/>
    <n v="21"/>
    <n v="1.5"/>
  </r>
  <r>
    <s v="4324"/>
    <x v="4335"/>
    <n v="2400000"/>
    <x v="1"/>
    <n v="70.400400000000005"/>
    <x v="19"/>
    <n v="17"/>
    <n v="13"/>
    <s v="2011"/>
    <n v="3"/>
    <x v="0"/>
    <n v="4"/>
    <n v="0.30769230769230771"/>
  </r>
  <r>
    <s v="4325"/>
    <x v="4336"/>
    <n v="27300000"/>
    <x v="9"/>
    <n v="70.393199999999993"/>
    <x v="5"/>
    <n v="55"/>
    <n v="33"/>
    <s v="2010"/>
    <n v="1"/>
    <x v="0"/>
    <n v="22"/>
    <n v="0.66666666666666663"/>
  </r>
  <r>
    <s v="4326"/>
    <x v="4337"/>
    <n v="46500000"/>
    <x v="9"/>
    <n v="70.372600000000006"/>
    <x v="23"/>
    <n v="108"/>
    <n v="48"/>
    <s v="2011"/>
    <n v="2"/>
    <x v="0"/>
    <n v="60"/>
    <n v="1.25"/>
  </r>
  <r>
    <s v="4327"/>
    <x v="4338"/>
    <n v="11600000"/>
    <x v="12"/>
    <n v="70.372"/>
    <x v="9"/>
    <n v="291"/>
    <n v="170"/>
    <s v="2005"/>
    <n v="7"/>
    <x v="0"/>
    <n v="121"/>
    <n v="0.71176470588235297"/>
  </r>
  <r>
    <s v="4328"/>
    <x v="4339"/>
    <n v="2700000"/>
    <x v="9"/>
    <n v="70.371899999999997"/>
    <x v="19"/>
    <n v="19"/>
    <n v="13"/>
    <s v="1997"/>
    <n v="1"/>
    <x v="0"/>
    <n v="6"/>
    <n v="0.46153846153846156"/>
  </r>
  <r>
    <s v="4329"/>
    <x v="4340"/>
    <n v="6600000"/>
    <x v="2"/>
    <n v="70.343000000000004"/>
    <x v="19"/>
    <n v="42"/>
    <n v="26"/>
    <s v="1993"/>
    <n v="4"/>
    <x v="0"/>
    <n v="16"/>
    <n v="0.61538461538461542"/>
  </r>
  <r>
    <s v="4330"/>
    <x v="4341"/>
    <n v="11700000"/>
    <x v="18"/>
    <n v="70.270399999999995"/>
    <x v="15"/>
    <n v="69"/>
    <n v="45"/>
    <s v="1968"/>
    <n v="2"/>
    <x v="0"/>
    <n v="24"/>
    <n v="0.53333333333333333"/>
  </r>
  <r>
    <s v="4331"/>
    <x v="4342"/>
    <n v="2800000"/>
    <x v="5"/>
    <n v="70.254499999999993"/>
    <x v="22"/>
    <n v="40"/>
    <n v="19"/>
    <s v="2000"/>
    <n v="1"/>
    <x v="0"/>
    <n v="21"/>
    <n v="1.1052631578947369"/>
  </r>
  <r>
    <s v="4332"/>
    <x v="4343"/>
    <n v="3700000"/>
    <x v="7"/>
    <n v="70.216700000000003"/>
    <x v="7"/>
    <n v="17"/>
    <n v="8"/>
    <s v="2013"/>
    <n v="1"/>
    <x v="0"/>
    <n v="9"/>
    <n v="1.125"/>
  </r>
  <r>
    <s v="4333"/>
    <x v="4344"/>
    <n v="3000000"/>
    <x v="7"/>
    <n v="70.155100000000004"/>
    <x v="15"/>
    <n v="39"/>
    <n v="27"/>
    <s v="2002"/>
    <n v="1"/>
    <x v="0"/>
    <n v="12"/>
    <n v="0.44444444444444442"/>
  </r>
  <r>
    <s v="4334"/>
    <x v="4345"/>
    <n v="60300000"/>
    <x v="9"/>
    <n v="70.095799999999997"/>
    <x v="6"/>
    <n v="134"/>
    <n v="110"/>
    <s v="2006"/>
    <n v="10"/>
    <x v="0"/>
    <n v="24"/>
    <n v="0.21818181818181817"/>
  </r>
  <r>
    <s v="4335"/>
    <x v="4346"/>
    <n v="3500000"/>
    <x v="27"/>
    <n v="70.043800000000005"/>
    <x v="19"/>
    <n v="21"/>
    <n v="11"/>
    <s v="2007"/>
    <n v="4"/>
    <x v="0"/>
    <n v="10"/>
    <n v="0.90909090909090906"/>
  </r>
  <r>
    <s v="4336"/>
    <x v="4347"/>
    <n v="4900000"/>
    <x v="21"/>
    <n v="69.999700000000004"/>
    <x v="13"/>
    <n v="5"/>
    <n v="4"/>
    <s v="2013"/>
    <n v="1"/>
    <x v="0"/>
    <n v="1"/>
    <n v="0.25"/>
  </r>
  <r>
    <s v="4337"/>
    <x v="4348"/>
    <n v="2200000000"/>
    <x v="2"/>
    <n v="69.997299999999996"/>
    <x v="20"/>
    <n v="291"/>
    <n v="160"/>
    <s v="1995"/>
    <n v="14"/>
    <x v="0"/>
    <n v="131"/>
    <n v="0.81874999999999998"/>
  </r>
  <r>
    <s v="4338"/>
    <x v="4349"/>
    <n v="10600000"/>
    <x v="5"/>
    <n v="69.985699999999994"/>
    <x v="23"/>
    <n v="48"/>
    <n v="18"/>
    <s v="2010"/>
    <n v="6"/>
    <x v="0"/>
    <n v="30"/>
    <n v="1.6666666666666667"/>
  </r>
  <r>
    <s v="4339"/>
    <x v="4350"/>
    <n v="2700000"/>
    <x v="5"/>
    <n v="69.953199999999995"/>
    <x v="22"/>
    <n v="65"/>
    <n v="50"/>
    <s v="2007"/>
    <n v="3"/>
    <x v="0"/>
    <n v="15"/>
    <n v="0.3"/>
  </r>
  <r>
    <s v="4340"/>
    <x v="4351"/>
    <n v="36000000"/>
    <x v="9"/>
    <n v="69.896799999999999"/>
    <x v="22"/>
    <n v="89"/>
    <n v="67"/>
    <s v="1995"/>
    <n v="7"/>
    <x v="0"/>
    <n v="22"/>
    <n v="0.32835820895522388"/>
  </r>
  <r>
    <s v="4341"/>
    <x v="4352"/>
    <n v="5100000"/>
    <x v="18"/>
    <n v="69.832700000000003"/>
    <x v="5"/>
    <n v="29"/>
    <n v="9"/>
    <s v="2013"/>
    <n v="2"/>
    <x v="0"/>
    <n v="20"/>
    <n v="2.2222222222222223"/>
  </r>
  <r>
    <s v="4342"/>
    <x v="4353"/>
    <n v="23000000"/>
    <x v="20"/>
    <n v="69.830200000000005"/>
    <x v="9"/>
    <n v="184"/>
    <n v="120"/>
    <s v="2000"/>
    <n v="9"/>
    <x v="0"/>
    <n v="64"/>
    <n v="0.53333333333333333"/>
  </r>
  <r>
    <s v="4343"/>
    <x v="4354"/>
    <n v="8600000"/>
    <x v="32"/>
    <n v="69.770099999999999"/>
    <x v="7"/>
    <n v="42"/>
    <n v="28"/>
    <s v="2005"/>
    <n v="7"/>
    <x v="0"/>
    <n v="14"/>
    <n v="0.5"/>
  </r>
  <r>
    <s v="4344"/>
    <x v="4355"/>
    <n v="2800000"/>
    <x v="2"/>
    <n v="69.689700000000002"/>
    <x v="23"/>
    <n v="95"/>
    <n v="60"/>
    <s v="2007"/>
    <n v="1"/>
    <x v="0"/>
    <n v="35"/>
    <n v="0.58333333333333337"/>
  </r>
  <r>
    <s v="4345"/>
    <x v="4356"/>
    <n v="191100000"/>
    <x v="6"/>
    <n v="69.635099999999994"/>
    <x v="20"/>
    <n v="2278"/>
    <n v="1150"/>
    <s v="1994"/>
    <n v="9"/>
    <x v="0"/>
    <n v="1128"/>
    <n v="0.98086956521739133"/>
  </r>
  <r>
    <s v="4346"/>
    <x v="4357"/>
    <n v="15000000"/>
    <x v="35"/>
    <n v="69.615099999999998"/>
    <x v="19"/>
    <n v="200"/>
    <n v="120"/>
    <s v="1998"/>
    <n v="3"/>
    <x v="0"/>
    <n v="80"/>
    <n v="0.66666666666666663"/>
  </r>
  <r>
    <s v="4347"/>
    <x v="4358"/>
    <n v="64500000"/>
    <x v="29"/>
    <n v="69.583500000000001"/>
    <x v="23"/>
    <n v="165"/>
    <n v="128"/>
    <s v="1999"/>
    <n v="6"/>
    <x v="0"/>
    <n v="37"/>
    <n v="0.2890625"/>
  </r>
  <r>
    <s v="4348"/>
    <x v="4359"/>
    <n v="56700000"/>
    <x v="5"/>
    <n v="69.579099999999997"/>
    <x v="23"/>
    <n v="246"/>
    <n v="144"/>
    <s v="2005"/>
    <n v="1"/>
    <x v="0"/>
    <n v="102"/>
    <n v="0.70833333333333337"/>
  </r>
  <r>
    <s v="4349"/>
    <x v="4360"/>
    <n v="2500000"/>
    <x v="31"/>
    <n v="69.5227"/>
    <x v="7"/>
    <n v="15"/>
    <n v="10"/>
    <s v="2012"/>
    <n v="2"/>
    <x v="0"/>
    <n v="5"/>
    <n v="0.5"/>
  </r>
  <r>
    <s v="4350"/>
    <x v="4361"/>
    <n v="6100000"/>
    <x v="9"/>
    <n v="69.517099999999999"/>
    <x v="23"/>
    <n v="135"/>
    <n v="80"/>
    <s v="2001"/>
    <n v="4"/>
    <x v="0"/>
    <n v="55"/>
    <n v="0.6875"/>
  </r>
  <r>
    <s v="4351"/>
    <x v="4362"/>
    <n v="2000000"/>
    <x v="27"/>
    <n v="69.492999999999995"/>
    <x v="3"/>
    <n v="19"/>
    <n v="13"/>
    <s v="1973"/>
    <n v="1"/>
    <x v="0"/>
    <n v="6"/>
    <n v="0.46153846153846156"/>
  </r>
  <r>
    <s v="4352"/>
    <x v="4363"/>
    <n v="15000000"/>
    <x v="13"/>
    <n v="69.473600000000005"/>
    <x v="9"/>
    <n v="92"/>
    <n v="62"/>
    <s v="1998"/>
    <n v="8"/>
    <x v="0"/>
    <n v="30"/>
    <n v="0.4838709677419355"/>
  </r>
  <r>
    <s v="4353"/>
    <x v="4364"/>
    <n v="69000000"/>
    <x v="12"/>
    <n v="69.448899999999995"/>
    <x v="26"/>
    <n v="65"/>
    <n v="54"/>
    <s v="2002"/>
    <n v="1"/>
    <x v="0"/>
    <n v="11"/>
    <n v="0.20370370370370369"/>
  </r>
  <r>
    <s v="4354"/>
    <x v="4365"/>
    <n v="2700000"/>
    <x v="7"/>
    <n v="69.414500000000004"/>
    <x v="11"/>
    <n v="23"/>
    <n v="15"/>
    <s v="2010"/>
    <n v="2"/>
    <x v="0"/>
    <n v="8"/>
    <n v="0.53333333333333333"/>
  </r>
  <r>
    <s v="4355"/>
    <x v="4366"/>
    <n v="12200000"/>
    <x v="0"/>
    <n v="69.406199999999998"/>
    <x v="15"/>
    <n v="90"/>
    <n v="50"/>
    <s v="1969"/>
    <n v="1"/>
    <x v="0"/>
    <n v="40"/>
    <n v="0.8"/>
  </r>
  <r>
    <s v="4356"/>
    <x v="4367"/>
    <n v="109500000"/>
    <x v="27"/>
    <n v="69.388300000000001"/>
    <x v="7"/>
    <n v="281"/>
    <n v="285"/>
    <s v="1964"/>
    <n v="2"/>
    <x v="1"/>
    <n v="-4"/>
    <n v="-1.4035087719298246E-2"/>
  </r>
  <r>
    <s v="4357"/>
    <x v="4368"/>
    <n v="7600000"/>
    <x v="1"/>
    <n v="69.363"/>
    <x v="15"/>
    <n v="24"/>
    <n v="12"/>
    <s v="2013"/>
    <n v="3"/>
    <x v="0"/>
    <n v="12"/>
    <n v="1"/>
  </r>
  <r>
    <s v="4358"/>
    <x v="4369"/>
    <n v="20500000"/>
    <x v="22"/>
    <n v="69.272900000000007"/>
    <x v="9"/>
    <n v="170"/>
    <n v="117"/>
    <s v="2010"/>
    <n v="5"/>
    <x v="0"/>
    <n v="53"/>
    <n v="0.45299145299145299"/>
  </r>
  <r>
    <s v="4359"/>
    <x v="4370"/>
    <n v="6600000"/>
    <x v="8"/>
    <n v="69.271699999999996"/>
    <x v="23"/>
    <n v="41"/>
    <n v="23"/>
    <s v="2009"/>
    <n v="3"/>
    <x v="0"/>
    <n v="18"/>
    <n v="0.78260869565217395"/>
  </r>
  <r>
    <s v="4360"/>
    <x v="4371"/>
    <n v="2500000"/>
    <x v="5"/>
    <n v="69.251499999999993"/>
    <x v="9"/>
    <n v="15"/>
    <n v="8"/>
    <s v="2004"/>
    <n v="1"/>
    <x v="0"/>
    <n v="7"/>
    <n v="0.875"/>
  </r>
  <r>
    <s v="4361"/>
    <x v="4372"/>
    <n v="52500000"/>
    <x v="27"/>
    <n v="69.226299999999995"/>
    <x v="1"/>
    <n v="296"/>
    <n v="180"/>
    <s v="2011"/>
    <n v="1"/>
    <x v="0"/>
    <n v="116"/>
    <n v="0.64444444444444449"/>
  </r>
  <r>
    <s v="4362"/>
    <x v="4373"/>
    <n v="29300000"/>
    <x v="6"/>
    <n v="69.155600000000007"/>
    <x v="21"/>
    <n v="154"/>
    <n v="112"/>
    <s v="1985"/>
    <n v="1"/>
    <x v="0"/>
    <n v="42"/>
    <n v="0.375"/>
  </r>
  <r>
    <s v="4363"/>
    <x v="4374"/>
    <n v="2300000"/>
    <x v="0"/>
    <n v="69.039500000000004"/>
    <x v="3"/>
    <n v="25"/>
    <n v="4"/>
    <s v="2008"/>
    <n v="1"/>
    <x v="0"/>
    <n v="21"/>
    <n v="5.25"/>
  </r>
  <r>
    <s v="4364"/>
    <x v="4375"/>
    <n v="2900000"/>
    <x v="6"/>
    <n v="69.018699999999995"/>
    <x v="9"/>
    <n v="24"/>
    <n v="4"/>
    <s v="2007"/>
    <n v="2"/>
    <x v="0"/>
    <n v="20"/>
    <n v="5"/>
  </r>
  <r>
    <s v="4365"/>
    <x v="4376"/>
    <n v="20000000"/>
    <x v="27"/>
    <n v="69.003200000000007"/>
    <x v="5"/>
    <n v="60"/>
    <n v="17"/>
    <s v="2009"/>
    <n v="3"/>
    <x v="0"/>
    <n v="43"/>
    <n v="2.5294117647058822"/>
  </r>
  <r>
    <s v="4366"/>
    <x v="4377"/>
    <n v="1000000000"/>
    <x v="40"/>
    <n v="68.988900000000001"/>
    <x v="6"/>
    <n v="1866"/>
    <n v="1276"/>
    <s v="1995"/>
    <n v="11"/>
    <x v="0"/>
    <n v="590"/>
    <n v="0.46238244514106586"/>
  </r>
  <r>
    <s v="4367"/>
    <x v="4378"/>
    <n v="123900000"/>
    <x v="2"/>
    <n v="68.964500000000001"/>
    <x v="23"/>
    <n v="885"/>
    <n v="600"/>
    <s v="2008"/>
    <n v="7"/>
    <x v="0"/>
    <n v="285"/>
    <n v="0.47499999999999998"/>
  </r>
  <r>
    <s v="4368"/>
    <x v="4379"/>
    <n v="114200000"/>
    <x v="6"/>
    <n v="68.955299999999994"/>
    <x v="4"/>
    <n v="414"/>
    <n v="298"/>
    <s v="1997"/>
    <n v="4"/>
    <x v="0"/>
    <n v="116"/>
    <n v="0.38926174496644295"/>
  </r>
  <r>
    <s v="4369"/>
    <x v="4380"/>
    <n v="52200000"/>
    <x v="37"/>
    <n v="68.900400000000005"/>
    <x v="15"/>
    <n v="27"/>
    <n v="17"/>
    <s v="2005"/>
    <n v="1"/>
    <x v="0"/>
    <n v="10"/>
    <n v="0.58823529411764708"/>
  </r>
  <r>
    <s v="4370"/>
    <x v="4381"/>
    <n v="19300000"/>
    <x v="2"/>
    <n v="68.876999999999995"/>
    <x v="3"/>
    <n v="320"/>
    <n v="210"/>
    <s v="2006"/>
    <n v="10"/>
    <x v="0"/>
    <n v="110"/>
    <n v="0.52380952380952384"/>
  </r>
  <r>
    <s v="4371"/>
    <x v="4382"/>
    <n v="27800000"/>
    <x v="11"/>
    <n v="68.8703"/>
    <x v="4"/>
    <n v="57"/>
    <n v="50"/>
    <s v="2005"/>
    <n v="6"/>
    <x v="0"/>
    <n v="7"/>
    <n v="0.14000000000000001"/>
  </r>
  <r>
    <s v="4372"/>
    <x v="4383"/>
    <n v="3700000"/>
    <x v="4"/>
    <n v="68.825900000000004"/>
    <x v="19"/>
    <n v="21"/>
    <n v="12"/>
    <s v="2013"/>
    <n v="2"/>
    <x v="0"/>
    <n v="9"/>
    <n v="0.75"/>
  </r>
  <r>
    <s v="4373"/>
    <x v="4384"/>
    <n v="8500000"/>
    <x v="20"/>
    <n v="68.825299999999999"/>
    <x v="3"/>
    <n v="56"/>
    <n v="38"/>
    <s v="1978"/>
    <n v="5"/>
    <x v="0"/>
    <n v="18"/>
    <n v="0.47368421052631576"/>
  </r>
  <r>
    <s v="4374"/>
    <x v="4385"/>
    <n v="17200000"/>
    <x v="20"/>
    <n v="68.813400000000001"/>
    <x v="23"/>
    <n v="68"/>
    <n v="43"/>
    <s v="1976"/>
    <n v="1"/>
    <x v="0"/>
    <n v="25"/>
    <n v="0.58139534883720934"/>
  </r>
  <r>
    <s v="4375"/>
    <x v="4386"/>
    <n v="14900000"/>
    <x v="21"/>
    <n v="68.805599999999998"/>
    <x v="23"/>
    <n v="98"/>
    <n v="50"/>
    <s v="1997"/>
    <n v="10"/>
    <x v="0"/>
    <n v="48"/>
    <n v="0.96"/>
  </r>
  <r>
    <s v="4376"/>
    <x v="4387"/>
    <n v="5100000"/>
    <x v="9"/>
    <n v="68.761499999999998"/>
    <x v="6"/>
    <n v="17"/>
    <n v="12"/>
    <s v="2003"/>
    <n v="3"/>
    <x v="0"/>
    <n v="5"/>
    <n v="0.41666666666666669"/>
  </r>
  <r>
    <s v="4377"/>
    <x v="4388"/>
    <n v="8500000"/>
    <x v="2"/>
    <n v="68.742900000000006"/>
    <x v="9"/>
    <n v="358"/>
    <n v="264"/>
    <s v="2004"/>
    <n v="4"/>
    <x v="0"/>
    <n v="94"/>
    <n v="0.35606060606060608"/>
  </r>
  <r>
    <s v="4378"/>
    <x v="4389"/>
    <n v="2900000"/>
    <x v="9"/>
    <n v="68.655199999999994"/>
    <x v="26"/>
    <n v="8"/>
    <n v="6"/>
    <s v="2005"/>
    <n v="3"/>
    <x v="0"/>
    <n v="2"/>
    <n v="0.33333333333333331"/>
  </r>
  <r>
    <s v="4379"/>
    <x v="4390"/>
    <n v="4700000"/>
    <x v="21"/>
    <n v="68.624099999999999"/>
    <x v="0"/>
    <n v="27"/>
    <n v="16"/>
    <s v="1998"/>
    <n v="2"/>
    <x v="0"/>
    <n v="11"/>
    <n v="0.6875"/>
  </r>
  <r>
    <s v="4380"/>
    <x v="4391"/>
    <n v="11400000"/>
    <x v="24"/>
    <n v="68.589500000000001"/>
    <x v="20"/>
    <n v="70"/>
    <n v="40"/>
    <s v="2003"/>
    <n v="6"/>
    <x v="0"/>
    <n v="30"/>
    <n v="0.75"/>
  </r>
  <r>
    <s v="4381"/>
    <x v="4392"/>
    <n v="19200000"/>
    <x v="9"/>
    <n v="68.583799999999997"/>
    <x v="23"/>
    <n v="90"/>
    <n v="71"/>
    <s v="2001"/>
    <n v="9"/>
    <x v="0"/>
    <n v="19"/>
    <n v="0.26760563380281688"/>
  </r>
  <r>
    <s v="4382"/>
    <x v="4393"/>
    <n v="2400000"/>
    <x v="16"/>
    <n v="68.565799999999996"/>
    <x v="9"/>
    <n v="57"/>
    <n v="39"/>
    <s v="2015"/>
    <n v="1"/>
    <x v="0"/>
    <n v="18"/>
    <n v="0.46153846153846156"/>
  </r>
  <r>
    <s v="4383"/>
    <x v="4394"/>
    <n v="7600000"/>
    <x v="9"/>
    <n v="68.559799999999996"/>
    <x v="14"/>
    <n v="24"/>
    <n v="19"/>
    <s v="2010"/>
    <n v="2"/>
    <x v="0"/>
    <n v="5"/>
    <n v="0.26315789473684209"/>
  </r>
  <r>
    <s v="4384"/>
    <x v="4395"/>
    <n v="94800000"/>
    <x v="34"/>
    <n v="68.550700000000006"/>
    <x v="10"/>
    <n v="71"/>
    <n v="30"/>
    <s v="2012"/>
    <n v="3"/>
    <x v="0"/>
    <n v="41"/>
    <n v="1.3666666666666667"/>
  </r>
  <r>
    <s v="4385"/>
    <x v="4396"/>
    <n v="19700000"/>
    <x v="7"/>
    <n v="68.549599999999998"/>
    <x v="23"/>
    <n v="55"/>
    <n v="35"/>
    <s v="1996"/>
    <n v="7"/>
    <x v="0"/>
    <n v="20"/>
    <n v="0.5714285714285714"/>
  </r>
  <r>
    <s v="4386"/>
    <x v="4397"/>
    <n v="5100000"/>
    <x v="9"/>
    <n v="68.504300000000001"/>
    <x v="19"/>
    <n v="20"/>
    <n v="10"/>
    <s v="2004"/>
    <n v="3"/>
    <x v="0"/>
    <n v="10"/>
    <n v="1"/>
  </r>
  <r>
    <s v="4387"/>
    <x v="4398"/>
    <n v="19300000"/>
    <x v="4"/>
    <n v="68.495800000000003"/>
    <x v="7"/>
    <n v="102"/>
    <n v="69"/>
    <s v="2001"/>
    <n v="12"/>
    <x v="0"/>
    <n v="33"/>
    <n v="0.47826086956521741"/>
  </r>
  <r>
    <s v="4388"/>
    <x v="4399"/>
    <n v="79700000"/>
    <x v="9"/>
    <n v="68.400499999999994"/>
    <x v="5"/>
    <n v="210"/>
    <n v="143"/>
    <s v="2008"/>
    <n v="7"/>
    <x v="0"/>
    <n v="67"/>
    <n v="0.46853146853146854"/>
  </r>
  <r>
    <s v="4389"/>
    <x v="4400"/>
    <n v="242500000"/>
    <x v="9"/>
    <n v="68.372299999999996"/>
    <x v="12"/>
    <n v="80"/>
    <n v="77"/>
    <s v="1997"/>
    <n v="1"/>
    <x v="0"/>
    <n v="3"/>
    <n v="3.896103896103896E-2"/>
  </r>
  <r>
    <s v="4390"/>
    <x v="4401"/>
    <n v="10300000"/>
    <x v="27"/>
    <n v="68.3309"/>
    <x v="13"/>
    <n v="40"/>
    <n v="20"/>
    <s v="1983"/>
    <n v="2"/>
    <x v="0"/>
    <n v="20"/>
    <n v="1"/>
  </r>
  <r>
    <s v="4391"/>
    <x v="4402"/>
    <n v="8100000"/>
    <x v="9"/>
    <n v="68.322199999999995"/>
    <x v="9"/>
    <n v="23"/>
    <n v="25"/>
    <s v="2009"/>
    <n v="6"/>
    <x v="1"/>
    <n v="-2"/>
    <n v="-0.08"/>
  </r>
  <r>
    <s v="4392"/>
    <x v="4403"/>
    <n v="5500000"/>
    <x v="26"/>
    <n v="68.310900000000004"/>
    <x v="15"/>
    <n v="30"/>
    <n v="20"/>
    <s v="1999"/>
    <n v="5"/>
    <x v="0"/>
    <n v="10"/>
    <n v="0.5"/>
  </r>
  <r>
    <s v="4393"/>
    <x v="4404"/>
    <n v="10700000"/>
    <x v="7"/>
    <n v="68.305499999999995"/>
    <x v="11"/>
    <n v="70"/>
    <n v="50"/>
    <s v="1999"/>
    <n v="5"/>
    <x v="0"/>
    <n v="20"/>
    <n v="0.4"/>
  </r>
  <r>
    <s v="4394"/>
    <x v="4405"/>
    <n v="19400000"/>
    <x v="2"/>
    <n v="68.258700000000005"/>
    <x v="5"/>
    <n v="25"/>
    <n v="15"/>
    <s v="2012"/>
    <n v="4"/>
    <x v="0"/>
    <n v="10"/>
    <n v="0.66666666666666663"/>
  </r>
  <r>
    <s v="4395"/>
    <x v="4406"/>
    <n v="83500000"/>
    <x v="12"/>
    <n v="68.252300000000005"/>
    <x v="7"/>
    <n v="639"/>
    <n v="237"/>
    <s v="1976"/>
    <n v="6"/>
    <x v="0"/>
    <n v="402"/>
    <n v="1.6962025316455696"/>
  </r>
  <r>
    <s v="4396"/>
    <x v="4407"/>
    <n v="39300000"/>
    <x v="4"/>
    <n v="68.218400000000003"/>
    <x v="0"/>
    <n v="198"/>
    <n v="122"/>
    <s v="2004"/>
    <n v="4"/>
    <x v="0"/>
    <n v="76"/>
    <n v="0.62295081967213117"/>
  </r>
  <r>
    <s v="4397"/>
    <x v="4408"/>
    <n v="5000000"/>
    <x v="12"/>
    <n v="68.162599999999998"/>
    <x v="1"/>
    <n v="110"/>
    <n v="55"/>
    <s v="2011"/>
    <n v="2"/>
    <x v="0"/>
    <n v="55"/>
    <n v="1"/>
  </r>
  <r>
    <s v="4398"/>
    <x v="4409"/>
    <n v="39300000"/>
    <x v="2"/>
    <n v="68.118499999999997"/>
    <x v="23"/>
    <n v="350"/>
    <n v="650"/>
    <s v="2003"/>
    <n v="4"/>
    <x v="1"/>
    <n v="-300"/>
    <n v="-0.46153846153846156"/>
  </r>
  <r>
    <s v="4399"/>
    <x v="4410"/>
    <n v="5700000"/>
    <x v="27"/>
    <n v="68.106800000000007"/>
    <x v="19"/>
    <n v="29"/>
    <n v="21"/>
    <s v="2006"/>
    <n v="3"/>
    <x v="0"/>
    <n v="8"/>
    <n v="0.38095238095238093"/>
  </r>
  <r>
    <s v="4400"/>
    <x v="4411"/>
    <n v="16100000"/>
    <x v="12"/>
    <n v="68.0916"/>
    <x v="2"/>
    <n v="40"/>
    <n v="3"/>
    <s v="2014"/>
    <n v="1"/>
    <x v="0"/>
    <n v="37"/>
    <n v="12.333333333333334"/>
  </r>
  <r>
    <s v="4401"/>
    <x v="4412"/>
    <n v="63000000"/>
    <x v="9"/>
    <n v="68.034599999999998"/>
    <x v="3"/>
    <n v="68"/>
    <n v="60"/>
    <s v="1995"/>
    <n v="10"/>
    <x v="0"/>
    <n v="8"/>
    <n v="0.13333333333333333"/>
  </r>
  <r>
    <s v="4402"/>
    <x v="4413"/>
    <n v="35300000"/>
    <x v="24"/>
    <n v="68.007999999999996"/>
    <x v="2"/>
    <n v="387"/>
    <n v="240"/>
    <s v="2009"/>
    <n v="1"/>
    <x v="0"/>
    <n v="147"/>
    <n v="0.61250000000000004"/>
  </r>
  <r>
    <s v="4403"/>
    <x v="4414"/>
    <n v="4000000"/>
    <x v="2"/>
    <n v="67.992599999999996"/>
    <x v="7"/>
    <n v="21"/>
    <n v="11"/>
    <s v="2011"/>
    <n v="1"/>
    <x v="0"/>
    <n v="10"/>
    <n v="0.90909090909090906"/>
  </r>
  <r>
    <s v="4404"/>
    <x v="4415"/>
    <n v="27700000"/>
    <x v="23"/>
    <n v="67.992000000000004"/>
    <x v="11"/>
    <n v="202"/>
    <n v="115"/>
    <s v="2005"/>
    <n v="7"/>
    <x v="0"/>
    <n v="87"/>
    <n v="0.75652173913043474"/>
  </r>
  <r>
    <s v="4405"/>
    <x v="4416"/>
    <n v="120100000"/>
    <x v="14"/>
    <n v="67.984399999999994"/>
    <x v="19"/>
    <n v="993"/>
    <n v="591"/>
    <s v="1997"/>
    <n v="12"/>
    <x v="0"/>
    <n v="402"/>
    <n v="0.68020304568527923"/>
  </r>
  <r>
    <s v="4406"/>
    <x v="4417"/>
    <n v="20700000"/>
    <x v="22"/>
    <n v="67.949100000000001"/>
    <x v="9"/>
    <n v="115"/>
    <n v="75"/>
    <s v="2000"/>
    <n v="5"/>
    <x v="0"/>
    <n v="40"/>
    <n v="0.53333333333333333"/>
  </r>
  <r>
    <s v="4407"/>
    <x v="4418"/>
    <n v="7600000"/>
    <x v="24"/>
    <n v="67.920500000000004"/>
    <x v="0"/>
    <n v="51"/>
    <n v="30"/>
    <s v="2005"/>
    <n v="5"/>
    <x v="0"/>
    <n v="21"/>
    <n v="0.7"/>
  </r>
  <r>
    <s v="4408"/>
    <x v="4419"/>
    <n v="7000000"/>
    <x v="38"/>
    <n v="67.900999999999996"/>
    <x v="24"/>
    <n v="125"/>
    <n v="100"/>
    <s v="2010"/>
    <n v="4"/>
    <x v="0"/>
    <n v="25"/>
    <n v="0.25"/>
  </r>
  <r>
    <s v="4409"/>
    <x v="4420"/>
    <n v="7900000"/>
    <x v="2"/>
    <n v="67.817700000000002"/>
    <x v="0"/>
    <n v="35"/>
    <n v="25"/>
    <s v="2006"/>
    <n v="3"/>
    <x v="0"/>
    <n v="10"/>
    <n v="0.4"/>
  </r>
  <r>
    <s v="4410"/>
    <x v="4421"/>
    <n v="692500000"/>
    <x v="4"/>
    <n v="67.768600000000006"/>
    <x v="12"/>
    <n v="1216"/>
    <n v="406"/>
    <s v="1985"/>
    <n v="2"/>
    <x v="0"/>
    <n v="810"/>
    <n v="1.9950738916256157"/>
  </r>
  <r>
    <s v="4411"/>
    <x v="4422"/>
    <n v="11900000"/>
    <x v="18"/>
    <n v="67.736500000000007"/>
    <x v="1"/>
    <n v="1"/>
    <n v="1"/>
    <s v="2008"/>
    <n v="6"/>
    <x v="1"/>
    <n v="0"/>
    <n v="0"/>
  </r>
  <r>
    <s v="4412"/>
    <x v="4423"/>
    <n v="19200000"/>
    <x v="21"/>
    <n v="67.701400000000007"/>
    <x v="0"/>
    <n v="180"/>
    <n v="130"/>
    <s v="2002"/>
    <n v="1"/>
    <x v="0"/>
    <n v="50"/>
    <n v="0.38461538461538464"/>
  </r>
  <r>
    <s v="4413"/>
    <x v="4424"/>
    <n v="28300000"/>
    <x v="10"/>
    <n v="67.699700000000007"/>
    <x v="2"/>
    <n v="396"/>
    <n v="295"/>
    <s v="1995"/>
    <n v="2"/>
    <x v="0"/>
    <n v="101"/>
    <n v="0.34237288135593219"/>
  </r>
  <r>
    <s v="4414"/>
    <x v="4425"/>
    <n v="13800000"/>
    <x v="7"/>
    <n v="67.606300000000005"/>
    <x v="0"/>
    <n v="103"/>
    <n v="60"/>
    <s v="1999"/>
    <n v="3"/>
    <x v="0"/>
    <n v="43"/>
    <n v="0.71666666666666667"/>
  </r>
  <r>
    <s v="4415"/>
    <x v="4426"/>
    <n v="2200000"/>
    <x v="9"/>
    <n v="67.568200000000004"/>
    <x v="22"/>
    <n v="9"/>
    <n v="5"/>
    <s v="2008"/>
    <n v="1"/>
    <x v="0"/>
    <n v="4"/>
    <n v="0.8"/>
  </r>
  <r>
    <s v="4416"/>
    <x v="4427"/>
    <n v="16400000"/>
    <x v="27"/>
    <n v="67.563800000000001"/>
    <x v="23"/>
    <n v="82"/>
    <n v="46"/>
    <s v="1983"/>
    <n v="1"/>
    <x v="0"/>
    <n v="36"/>
    <n v="0.78260869565217395"/>
  </r>
  <r>
    <s v="4417"/>
    <x v="4428"/>
    <n v="7300000"/>
    <x v="32"/>
    <n v="67.518100000000004"/>
    <x v="0"/>
    <n v="82"/>
    <n v="68"/>
    <s v="2011"/>
    <n v="4"/>
    <x v="0"/>
    <n v="14"/>
    <n v="0.20588235294117646"/>
  </r>
  <r>
    <s v="4418"/>
    <x v="4429"/>
    <n v="48800000"/>
    <x v="24"/>
    <n v="67.513900000000007"/>
    <x v="5"/>
    <n v="210"/>
    <n v="135"/>
    <s v="2008"/>
    <n v="7"/>
    <x v="0"/>
    <n v="75"/>
    <n v="0.55555555555555558"/>
  </r>
  <r>
    <s v="4419"/>
    <x v="4430"/>
    <n v="9900000"/>
    <x v="2"/>
    <n v="67.441999999999993"/>
    <x v="5"/>
    <n v="135"/>
    <n v="60"/>
    <s v="2007"/>
    <n v="6"/>
    <x v="0"/>
    <n v="75"/>
    <n v="1.25"/>
  </r>
  <r>
    <s v="4420"/>
    <x v="4431"/>
    <n v="66000000"/>
    <x v="13"/>
    <n v="67.429299999999998"/>
    <x v="19"/>
    <n v="127"/>
    <n v="99"/>
    <s v="2004"/>
    <n v="9"/>
    <x v="0"/>
    <n v="28"/>
    <n v="0.28282828282828282"/>
  </r>
  <r>
    <s v="4421"/>
    <x v="4432"/>
    <n v="4300000"/>
    <x v="2"/>
    <n v="67.428299999999993"/>
    <x v="23"/>
    <n v="40"/>
    <n v="28"/>
    <s v="2000"/>
    <n v="1"/>
    <x v="0"/>
    <n v="12"/>
    <n v="0.42857142857142855"/>
  </r>
  <r>
    <s v="4422"/>
    <x v="4433"/>
    <n v="97600000"/>
    <x v="13"/>
    <n v="67.420500000000004"/>
    <x v="6"/>
    <n v="384"/>
    <n v="395"/>
    <s v="2001"/>
    <n v="4"/>
    <x v="1"/>
    <n v="-11"/>
    <n v="-2.7848101265822784E-2"/>
  </r>
  <r>
    <s v="4423"/>
    <x v="4434"/>
    <n v="492600000"/>
    <x v="13"/>
    <n v="67.408500000000004"/>
    <x v="4"/>
    <n v="833"/>
    <n v="543"/>
    <s v="1976"/>
    <n v="5"/>
    <x v="0"/>
    <n v="290"/>
    <n v="0.53406998158379371"/>
  </r>
  <r>
    <s v="4424"/>
    <x v="4435"/>
    <n v="3600000"/>
    <x v="2"/>
    <n v="67.388999999999996"/>
    <x v="20"/>
    <n v="20"/>
    <n v="20"/>
    <s v="2006"/>
    <n v="4"/>
    <x v="1"/>
    <n v="0"/>
    <n v="0"/>
  </r>
  <r>
    <s v="4425"/>
    <x v="4436"/>
    <n v="3000000"/>
    <x v="9"/>
    <n v="67.353499999999997"/>
    <x v="0"/>
    <n v="4"/>
    <n v="2"/>
    <s v="2003"/>
    <n v="2"/>
    <x v="0"/>
    <n v="2"/>
    <n v="1"/>
  </r>
  <r>
    <s v="4426"/>
    <x v="4437"/>
    <n v="2200000"/>
    <x v="9"/>
    <n v="67.350300000000004"/>
    <x v="8"/>
    <n v="9"/>
    <n v="4"/>
    <s v="2012"/>
    <n v="2"/>
    <x v="0"/>
    <n v="5"/>
    <n v="1.25"/>
  </r>
  <r>
    <s v="4427"/>
    <x v="4438"/>
    <n v="4200000"/>
    <x v="6"/>
    <n v="67.344399999999993"/>
    <x v="6"/>
    <n v="28"/>
    <n v="25"/>
    <s v="1988"/>
    <n v="1"/>
    <x v="0"/>
    <n v="3"/>
    <n v="0.12"/>
  </r>
  <r>
    <s v="4428"/>
    <x v="4439"/>
    <n v="132900000"/>
    <x v="13"/>
    <n v="67.341200000000001"/>
    <x v="19"/>
    <n v="753"/>
    <n v="389"/>
    <s v="2007"/>
    <n v="7"/>
    <x v="0"/>
    <n v="364"/>
    <n v="0.93573264781491006"/>
  </r>
  <r>
    <s v="4429"/>
    <x v="4440"/>
    <n v="4900000"/>
    <x v="9"/>
    <n v="67.242199999999997"/>
    <x v="13"/>
    <n v="22"/>
    <n v="46"/>
    <s v="2014"/>
    <n v="1"/>
    <x v="1"/>
    <n v="-24"/>
    <n v="-0.52173913043478259"/>
  </r>
  <r>
    <s v="4430"/>
    <x v="4441"/>
    <n v="2800000"/>
    <x v="10"/>
    <n v="67.217200000000005"/>
    <x v="24"/>
    <n v="13"/>
    <n v="8"/>
    <s v="2010"/>
    <n v="1"/>
    <x v="0"/>
    <n v="5"/>
    <n v="0.625"/>
  </r>
  <r>
    <s v="4431"/>
    <x v="4442"/>
    <n v="4100000"/>
    <x v="8"/>
    <n v="67.205100000000002"/>
    <x v="1"/>
    <n v="9"/>
    <n v="3"/>
    <s v="2012"/>
    <n v="1"/>
    <x v="0"/>
    <n v="6"/>
    <n v="2"/>
  </r>
  <r>
    <s v="4432"/>
    <x v="4443"/>
    <n v="7500000"/>
    <x v="0"/>
    <n v="67.192999999999998"/>
    <x v="23"/>
    <n v="122"/>
    <n v="74"/>
    <s v="2012"/>
    <n v="3"/>
    <x v="0"/>
    <n v="48"/>
    <n v="0.64864864864864868"/>
  </r>
  <r>
    <s v="4433"/>
    <x v="4444"/>
    <n v="25300000"/>
    <x v="5"/>
    <n v="67.118300000000005"/>
    <x v="13"/>
    <n v="72"/>
    <n v="49"/>
    <s v="2004"/>
    <n v="1"/>
    <x v="0"/>
    <n v="23"/>
    <n v="0.46938775510204084"/>
  </r>
  <r>
    <s v="4434"/>
    <x v="4445"/>
    <n v="84800000"/>
    <x v="27"/>
    <n v="67.084500000000006"/>
    <x v="5"/>
    <n v="223"/>
    <n v="162"/>
    <s v="2007"/>
    <n v="5"/>
    <x v="0"/>
    <n v="61"/>
    <n v="0.37654320987654322"/>
  </r>
  <r>
    <s v="4435"/>
    <x v="4446"/>
    <n v="4500000"/>
    <x v="10"/>
    <n v="67.073899999999995"/>
    <x v="23"/>
    <n v="31"/>
    <n v="31"/>
    <s v="2010"/>
    <n v="1"/>
    <x v="1"/>
    <n v="0"/>
    <n v="0"/>
  </r>
  <r>
    <s v="4436"/>
    <x v="4447"/>
    <n v="68600000"/>
    <x v="19"/>
    <n v="67.036500000000004"/>
    <x v="13"/>
    <n v="256"/>
    <n v="209"/>
    <s v="1986"/>
    <n v="1"/>
    <x v="0"/>
    <n v="47"/>
    <n v="0.22488038277511962"/>
  </r>
  <r>
    <s v="4437"/>
    <x v="4448"/>
    <n v="4900000"/>
    <x v="7"/>
    <n v="66.979799999999997"/>
    <x v="5"/>
    <n v="42"/>
    <n v="12"/>
    <s v="2010"/>
    <n v="1"/>
    <x v="0"/>
    <n v="30"/>
    <n v="2.5"/>
  </r>
  <r>
    <s v="4438"/>
    <x v="4449"/>
    <n v="10900000"/>
    <x v="24"/>
    <n v="66.970699999999994"/>
    <x v="0"/>
    <n v="70"/>
    <n v="45"/>
    <s v="1997"/>
    <n v="9"/>
    <x v="0"/>
    <n v="25"/>
    <n v="0.55555555555555558"/>
  </r>
  <r>
    <s v="4439"/>
    <x v="4450"/>
    <n v="25700000"/>
    <x v="12"/>
    <n v="66.956800000000001"/>
    <x v="15"/>
    <n v="105"/>
    <n v="70"/>
    <s v="1986"/>
    <n v="6"/>
    <x v="0"/>
    <n v="35"/>
    <n v="0.5"/>
  </r>
  <r>
    <s v="4440"/>
    <x v="4451"/>
    <n v="12700000"/>
    <x v="12"/>
    <n v="66.924499999999995"/>
    <x v="23"/>
    <n v="13"/>
    <n v="13"/>
    <s v="2012"/>
    <n v="4"/>
    <x v="1"/>
    <n v="0"/>
    <n v="0"/>
  </r>
  <r>
    <s v="4441"/>
    <x v="4452"/>
    <n v="42300000"/>
    <x v="13"/>
    <n v="66.865099999999998"/>
    <x v="17"/>
    <n v="32"/>
    <n v="28"/>
    <s v="2007"/>
    <n v="1"/>
    <x v="0"/>
    <n v="4"/>
    <n v="0.14285714285714285"/>
  </r>
  <r>
    <s v="4442"/>
    <x v="4453"/>
    <n v="103800000"/>
    <x v="9"/>
    <n v="66.842699999999994"/>
    <x v="25"/>
    <n v="522"/>
    <n v="303"/>
    <s v="1972"/>
    <n v="2"/>
    <x v="0"/>
    <n v="219"/>
    <n v="0.72277227722772275"/>
  </r>
  <r>
    <s v="4443"/>
    <x v="4454"/>
    <n v="43100000"/>
    <x v="7"/>
    <n v="66.842299999999994"/>
    <x v="9"/>
    <n v="101"/>
    <n v="81"/>
    <s v="2008"/>
    <n v="7"/>
    <x v="0"/>
    <n v="20"/>
    <n v="0.24691358024691357"/>
  </r>
  <r>
    <s v="4444"/>
    <x v="4455"/>
    <n v="16300000"/>
    <x v="4"/>
    <n v="66.834299999999999"/>
    <x v="13"/>
    <n v="97"/>
    <n v="64"/>
    <s v="2006"/>
    <n v="1"/>
    <x v="0"/>
    <n v="33"/>
    <n v="0.515625"/>
  </r>
  <r>
    <s v="4445"/>
    <x v="4456"/>
    <n v="26100000"/>
    <x v="4"/>
    <n v="66.834199999999996"/>
    <x v="19"/>
    <n v="80"/>
    <n v="36"/>
    <s v="2004"/>
    <n v="2"/>
    <x v="0"/>
    <n v="44"/>
    <n v="1.2222222222222223"/>
  </r>
  <r>
    <s v="4446"/>
    <x v="4457"/>
    <n v="5800000"/>
    <x v="9"/>
    <n v="66.833399999999997"/>
    <x v="22"/>
    <n v="46"/>
    <n v="25"/>
    <s v="2008"/>
    <n v="2"/>
    <x v="0"/>
    <n v="21"/>
    <n v="0.84"/>
  </r>
  <r>
    <s v="4447"/>
    <x v="4458"/>
    <n v="2100000"/>
    <x v="12"/>
    <n v="66.794300000000007"/>
    <x v="0"/>
    <n v="1"/>
    <n v="1"/>
    <s v="2010"/>
    <n v="2"/>
    <x v="1"/>
    <n v="0"/>
    <n v="0"/>
  </r>
  <r>
    <s v="4448"/>
    <x v="4459"/>
    <n v="2400000"/>
    <x v="4"/>
    <n v="66.7941"/>
    <x v="10"/>
    <n v="13"/>
    <n v="4"/>
    <s v="2005"/>
    <n v="3"/>
    <x v="0"/>
    <n v="9"/>
    <n v="2.25"/>
  </r>
  <r>
    <s v="4449"/>
    <x v="4460"/>
    <n v="2000000"/>
    <x v="10"/>
    <n v="66.787700000000001"/>
    <x v="0"/>
    <n v="19"/>
    <n v="9"/>
    <s v="2011"/>
    <n v="1"/>
    <x v="0"/>
    <n v="10"/>
    <n v="1.1111111111111112"/>
  </r>
  <r>
    <s v="4450"/>
    <x v="4461"/>
    <n v="70700000"/>
    <x v="4"/>
    <n v="66.772300000000001"/>
    <x v="23"/>
    <n v="86"/>
    <n v="38"/>
    <s v="2009"/>
    <n v="6"/>
    <x v="0"/>
    <n v="48"/>
    <n v="1.263157894736842"/>
  </r>
  <r>
    <s v="4451"/>
    <x v="4462"/>
    <n v="18100000"/>
    <x v="7"/>
    <n v="66.714399999999998"/>
    <x v="0"/>
    <n v="31"/>
    <n v="23"/>
    <s v="2003"/>
    <n v="12"/>
    <x v="0"/>
    <n v="8"/>
    <n v="0.34782608695652173"/>
  </r>
  <r>
    <s v="4452"/>
    <x v="4463"/>
    <n v="10500000"/>
    <x v="24"/>
    <n v="66.667699999999996"/>
    <x v="23"/>
    <n v="21"/>
    <n v="16"/>
    <s v="2004"/>
    <n v="4"/>
    <x v="0"/>
    <n v="5"/>
    <n v="0.3125"/>
  </r>
  <r>
    <s v="4453"/>
    <x v="4464"/>
    <n v="8700000"/>
    <x v="5"/>
    <n v="66.581999999999994"/>
    <x v="3"/>
    <n v="22"/>
    <n v="18"/>
    <s v="2009"/>
    <n v="2"/>
    <x v="0"/>
    <n v="4"/>
    <n v="0.22222222222222221"/>
  </r>
  <r>
    <s v="4454"/>
    <x v="4465"/>
    <n v="12700000"/>
    <x v="12"/>
    <n v="66.578100000000006"/>
    <x v="25"/>
    <n v="43"/>
    <n v="38"/>
    <s v="1997"/>
    <n v="2"/>
    <x v="0"/>
    <n v="5"/>
    <n v="0.13157894736842105"/>
  </r>
  <r>
    <s v="4455"/>
    <x v="4466"/>
    <n v="125700000"/>
    <x v="33"/>
    <n v="66.569900000000004"/>
    <x v="17"/>
    <n v="517"/>
    <n v="430"/>
    <s v="2011"/>
    <n v="1"/>
    <x v="0"/>
    <n v="87"/>
    <n v="0.20232558139534884"/>
  </r>
  <r>
    <s v="4456"/>
    <x v="4467"/>
    <n v="7400000"/>
    <x v="12"/>
    <n v="66.566299999999998"/>
    <x v="26"/>
    <n v="50"/>
    <n v="26"/>
    <s v="2010"/>
    <n v="3"/>
    <x v="0"/>
    <n v="24"/>
    <n v="0.92307692307692313"/>
  </r>
  <r>
    <s v="4457"/>
    <x v="4468"/>
    <n v="2300000"/>
    <x v="2"/>
    <n v="66.564099999999996"/>
    <x v="4"/>
    <n v="7"/>
    <n v="7"/>
    <s v="2009"/>
    <n v="1"/>
    <x v="1"/>
    <n v="0"/>
    <n v="0"/>
  </r>
  <r>
    <s v="4458"/>
    <x v="4469"/>
    <n v="29300000"/>
    <x v="5"/>
    <n v="66.542500000000004"/>
    <x v="19"/>
    <n v="165"/>
    <n v="105"/>
    <s v="2002"/>
    <n v="4"/>
    <x v="0"/>
    <n v="60"/>
    <n v="0.5714285714285714"/>
  </r>
  <r>
    <s v="4459"/>
    <x v="4470"/>
    <n v="53100000"/>
    <x v="21"/>
    <n v="66.529700000000005"/>
    <x v="5"/>
    <n v="429"/>
    <n v="189"/>
    <s v="2002"/>
    <n v="5"/>
    <x v="0"/>
    <n v="240"/>
    <n v="1.2698412698412698"/>
  </r>
  <r>
    <s v="4460"/>
    <x v="4471"/>
    <n v="7300000"/>
    <x v="4"/>
    <n v="66.516900000000007"/>
    <x v="0"/>
    <n v="43"/>
    <n v="24"/>
    <s v="1989"/>
    <n v="3"/>
    <x v="0"/>
    <n v="19"/>
    <n v="0.79166666666666663"/>
  </r>
  <r>
    <s v="4461"/>
    <x v="4472"/>
    <n v="123600000"/>
    <x v="21"/>
    <n v="66.454400000000007"/>
    <x v="12"/>
    <n v="18"/>
    <n v="3"/>
    <s v="2014"/>
    <n v="2"/>
    <x v="0"/>
    <n v="15"/>
    <n v="5"/>
  </r>
  <r>
    <s v="4462"/>
    <x v="4473"/>
    <n v="570000000"/>
    <x v="4"/>
    <n v="66.391900000000007"/>
    <x v="5"/>
    <n v="841"/>
    <n v="582"/>
    <s v="1994"/>
    <n v="13"/>
    <x v="0"/>
    <n v="259"/>
    <n v="0.44501718213058417"/>
  </r>
  <r>
    <s v="4463"/>
    <x v="4474"/>
    <n v="11100000"/>
    <x v="2"/>
    <n v="66.3626"/>
    <x v="20"/>
    <n v="50"/>
    <n v="40"/>
    <s v="2011"/>
    <n v="4"/>
    <x v="0"/>
    <n v="10"/>
    <n v="0.25"/>
  </r>
  <r>
    <s v="4464"/>
    <x v="4475"/>
    <n v="16600000"/>
    <x v="5"/>
    <n v="66.348699999999994"/>
    <x v="25"/>
    <n v="55"/>
    <n v="43"/>
    <s v="2007"/>
    <n v="8"/>
    <x v="0"/>
    <n v="12"/>
    <n v="0.27906976744186046"/>
  </r>
  <r>
    <s v="4465"/>
    <x v="4476"/>
    <n v="7700000"/>
    <x v="10"/>
    <n v="66.325900000000004"/>
    <x v="20"/>
    <n v="122"/>
    <n v="70"/>
    <s v="2010"/>
    <n v="1"/>
    <x v="0"/>
    <n v="52"/>
    <n v="0.74285714285714288"/>
  </r>
  <r>
    <s v="4466"/>
    <x v="4477"/>
    <n v="13900000"/>
    <x v="7"/>
    <n v="66.302400000000006"/>
    <x v="11"/>
    <n v="85"/>
    <n v="45"/>
    <s v="2002"/>
    <n v="1"/>
    <x v="0"/>
    <n v="40"/>
    <n v="0.88888888888888884"/>
  </r>
  <r>
    <s v="4467"/>
    <x v="4478"/>
    <n v="3600000"/>
    <x v="2"/>
    <n v="66.292500000000004"/>
    <x v="5"/>
    <n v="25"/>
    <n v="15"/>
    <s v="2002"/>
    <n v="2"/>
    <x v="0"/>
    <n v="10"/>
    <n v="0.66666666666666663"/>
  </r>
  <r>
    <s v="4468"/>
    <x v="4479"/>
    <n v="106500000"/>
    <x v="27"/>
    <n v="66.222099999999998"/>
    <x v="5"/>
    <n v="235"/>
    <n v="136"/>
    <s v="1994"/>
    <n v="4"/>
    <x v="0"/>
    <n v="99"/>
    <n v="0.7279411764705882"/>
  </r>
  <r>
    <s v="4469"/>
    <x v="4480"/>
    <n v="3600000"/>
    <x v="4"/>
    <n v="66.197299999999998"/>
    <x v="13"/>
    <n v="20"/>
    <n v="14"/>
    <s v="1989"/>
    <n v="2"/>
    <x v="0"/>
    <n v="6"/>
    <n v="0.42857142857142855"/>
  </r>
  <r>
    <s v="4470"/>
    <x v="4481"/>
    <n v="5400000"/>
    <x v="38"/>
    <n v="66.168300000000002"/>
    <x v="17"/>
    <n v="75"/>
    <n v="60"/>
    <s v="2002"/>
    <n v="1"/>
    <x v="0"/>
    <n v="15"/>
    <n v="0.25"/>
  </r>
  <r>
    <s v="4471"/>
    <x v="4482"/>
    <n v="13600000"/>
    <x v="27"/>
    <n v="66.158600000000007"/>
    <x v="19"/>
    <n v="84"/>
    <n v="53"/>
    <s v="2002"/>
    <n v="4"/>
    <x v="0"/>
    <n v="31"/>
    <n v="0.58490566037735847"/>
  </r>
  <r>
    <s v="4472"/>
    <x v="4483"/>
    <n v="6000000"/>
    <x v="4"/>
    <n v="66.054400000000001"/>
    <x v="20"/>
    <n v="163"/>
    <n v="129"/>
    <s v="2010"/>
    <n v="4"/>
    <x v="0"/>
    <n v="34"/>
    <n v="0.26356589147286824"/>
  </r>
  <r>
    <s v="4473"/>
    <x v="4484"/>
    <n v="22500000"/>
    <x v="12"/>
    <n v="66.028000000000006"/>
    <x v="5"/>
    <n v="246"/>
    <n v="167"/>
    <s v="2006"/>
    <n v="3"/>
    <x v="0"/>
    <n v="79"/>
    <n v="0.47305389221556887"/>
  </r>
  <r>
    <s v="4474"/>
    <x v="4485"/>
    <n v="4500000"/>
    <x v="24"/>
    <n v="65.996300000000005"/>
    <x v="23"/>
    <n v="20"/>
    <n v="10"/>
    <s v="2004"/>
    <n v="1"/>
    <x v="0"/>
    <n v="10"/>
    <n v="1"/>
  </r>
  <r>
    <s v="4475"/>
    <x v="4486"/>
    <n v="2000000"/>
    <x v="27"/>
    <n v="65.984399999999994"/>
    <x v="14"/>
    <n v="8"/>
    <n v="2"/>
    <s v="2011"/>
    <n v="1"/>
    <x v="0"/>
    <n v="6"/>
    <n v="3"/>
  </r>
  <r>
    <s v="4476"/>
    <x v="4487"/>
    <n v="27900000"/>
    <x v="6"/>
    <n v="65.982100000000003"/>
    <x v="2"/>
    <n v="129"/>
    <n v="80"/>
    <s v="1996"/>
    <n v="8"/>
    <x v="0"/>
    <n v="49"/>
    <n v="0.61250000000000004"/>
  </r>
  <r>
    <s v="4477"/>
    <x v="4488"/>
    <n v="6200000"/>
    <x v="5"/>
    <n v="65.972300000000004"/>
    <x v="0"/>
    <n v="31"/>
    <n v="16"/>
    <s v="2009"/>
    <n v="1"/>
    <x v="0"/>
    <n v="15"/>
    <n v="0.9375"/>
  </r>
  <r>
    <s v="4478"/>
    <x v="4489"/>
    <n v="11700000"/>
    <x v="6"/>
    <n v="65.971699999999998"/>
    <x v="19"/>
    <n v="52"/>
    <n v="30"/>
    <s v="2009"/>
    <n v="2"/>
    <x v="0"/>
    <n v="22"/>
    <n v="0.73333333333333328"/>
  </r>
  <r>
    <s v="4479"/>
    <x v="4490"/>
    <n v="12000000"/>
    <x v="0"/>
    <n v="65.946700000000007"/>
    <x v="20"/>
    <n v="222"/>
    <n v="136"/>
    <s v="2010"/>
    <n v="4"/>
    <x v="0"/>
    <n v="86"/>
    <n v="0.63235294117647056"/>
  </r>
  <r>
    <s v="4480"/>
    <x v="4491"/>
    <n v="24000000"/>
    <x v="32"/>
    <n v="65.926000000000002"/>
    <x v="15"/>
    <n v="110"/>
    <n v="45"/>
    <s v="1990"/>
    <n v="1"/>
    <x v="0"/>
    <n v="65"/>
    <n v="1.4444444444444444"/>
  </r>
  <r>
    <s v="4481"/>
    <x v="4492"/>
    <n v="32700000"/>
    <x v="9"/>
    <n v="65.907200000000003"/>
    <x v="7"/>
    <n v="26"/>
    <n v="13"/>
    <s v="2007"/>
    <n v="5"/>
    <x v="0"/>
    <n v="13"/>
    <n v="1"/>
  </r>
  <r>
    <s v="4482"/>
    <x v="4493"/>
    <n v="4900000"/>
    <x v="5"/>
    <n v="65.897300000000001"/>
    <x v="5"/>
    <n v="31"/>
    <n v="33"/>
    <s v="2008"/>
    <n v="1"/>
    <x v="1"/>
    <n v="-2"/>
    <n v="-6.0606060606060608E-2"/>
  </r>
  <r>
    <s v="4483"/>
    <x v="4494"/>
    <n v="89300000"/>
    <x v="9"/>
    <n v="65.882300000000001"/>
    <x v="15"/>
    <n v="54"/>
    <n v="37"/>
    <s v="2010"/>
    <n v="1"/>
    <x v="0"/>
    <n v="17"/>
    <n v="0.45945945945945948"/>
  </r>
  <r>
    <s v="4484"/>
    <x v="4495"/>
    <n v="9000000"/>
    <x v="2"/>
    <n v="65.877200000000002"/>
    <x v="7"/>
    <n v="65"/>
    <n v="50"/>
    <s v="2011"/>
    <n v="5"/>
    <x v="0"/>
    <n v="15"/>
    <n v="0.3"/>
  </r>
  <r>
    <s v="4485"/>
    <x v="4496"/>
    <n v="3200000"/>
    <x v="10"/>
    <n v="65.864599999999996"/>
    <x v="7"/>
    <n v="9"/>
    <n v="3"/>
    <s v="2011"/>
    <n v="1"/>
    <x v="0"/>
    <n v="6"/>
    <n v="2"/>
  </r>
  <r>
    <s v="4486"/>
    <x v="4497"/>
    <n v="23700000"/>
    <x v="7"/>
    <n v="65.8416"/>
    <x v="25"/>
    <n v="152"/>
    <n v="108"/>
    <s v="1897"/>
    <n v="1"/>
    <x v="0"/>
    <n v="44"/>
    <n v="0.40740740740740738"/>
  </r>
  <r>
    <s v="4487"/>
    <x v="4498"/>
    <n v="23000000"/>
    <x v="9"/>
    <n v="65.828400000000002"/>
    <x v="7"/>
    <n v="95"/>
    <n v="50"/>
    <s v="1996"/>
    <n v="1"/>
    <x v="0"/>
    <n v="45"/>
    <n v="0.9"/>
  </r>
  <r>
    <s v="4488"/>
    <x v="4499"/>
    <n v="5000000"/>
    <x v="12"/>
    <n v="65.781000000000006"/>
    <x v="25"/>
    <n v="28"/>
    <n v="18"/>
    <s v="2005"/>
    <n v="3"/>
    <x v="0"/>
    <n v="10"/>
    <n v="0.55555555555555558"/>
  </r>
  <r>
    <s v="4489"/>
    <x v="4500"/>
    <n v="7300000"/>
    <x v="41"/>
    <n v="65.770700000000005"/>
    <x v="12"/>
    <n v="10"/>
    <n v="6"/>
    <s v="2003"/>
    <n v="5"/>
    <x v="0"/>
    <n v="4"/>
    <n v="0.66666666666666663"/>
  </r>
  <r>
    <s v="4490"/>
    <x v="4501"/>
    <n v="11700000"/>
    <x v="0"/>
    <n v="65.645700000000005"/>
    <x v="23"/>
    <n v="91"/>
    <n v="68"/>
    <s v="2004"/>
    <n v="2"/>
    <x v="0"/>
    <n v="23"/>
    <n v="0.33823529411764708"/>
  </r>
  <r>
    <s v="4491"/>
    <x v="4502"/>
    <n v="8000000"/>
    <x v="9"/>
    <n v="65.610900000000001"/>
    <x v="3"/>
    <n v="30"/>
    <n v="30"/>
    <s v="2004"/>
    <n v="6"/>
    <x v="1"/>
    <n v="0"/>
    <n v="0"/>
  </r>
  <r>
    <s v="4492"/>
    <x v="4503"/>
    <n v="7000000"/>
    <x v="16"/>
    <n v="65.593400000000003"/>
    <x v="7"/>
    <n v="40"/>
    <n v="27"/>
    <s v="2009"/>
    <n v="2"/>
    <x v="0"/>
    <n v="13"/>
    <n v="0.48148148148148145"/>
  </r>
  <r>
    <s v="4493"/>
    <x v="4504"/>
    <n v="872100000"/>
    <x v="14"/>
    <n v="65.575599999999994"/>
    <x v="13"/>
    <n v="3087"/>
    <n v="1957"/>
    <s v="1998"/>
    <n v="9"/>
    <x v="0"/>
    <n v="1130"/>
    <n v="0.57741440981093506"/>
  </r>
  <r>
    <s v="4494"/>
    <x v="4505"/>
    <n v="13300000"/>
    <x v="20"/>
    <n v="65.569199999999995"/>
    <x v="23"/>
    <n v="160"/>
    <n v="90"/>
    <s v="1997"/>
    <n v="1"/>
    <x v="0"/>
    <n v="70"/>
    <n v="0.77777777777777779"/>
  </r>
  <r>
    <s v="4495"/>
    <x v="4506"/>
    <n v="12300000"/>
    <x v="27"/>
    <n v="65.550399999999996"/>
    <x v="26"/>
    <n v="52"/>
    <n v="32"/>
    <s v="2004"/>
    <n v="1"/>
    <x v="0"/>
    <n v="20"/>
    <n v="0.625"/>
  </r>
  <r>
    <s v="4496"/>
    <x v="4507"/>
    <n v="43400000"/>
    <x v="21"/>
    <n v="65.544600000000003"/>
    <x v="11"/>
    <n v="252"/>
    <n v="150"/>
    <s v="2005"/>
    <n v="10"/>
    <x v="0"/>
    <n v="102"/>
    <n v="0.68"/>
  </r>
  <r>
    <s v="4497"/>
    <x v="4508"/>
    <n v="275400000"/>
    <x v="6"/>
    <n v="65.521199999999993"/>
    <x v="10"/>
    <n v="1581"/>
    <n v="882"/>
    <s v="1994"/>
    <n v="6"/>
    <x v="0"/>
    <n v="699"/>
    <n v="0.79251700680272108"/>
  </r>
  <r>
    <s v="4498"/>
    <x v="4509"/>
    <n v="2400000"/>
    <x v="9"/>
    <n v="65.518699999999995"/>
    <x v="23"/>
    <n v="3"/>
    <n v="2"/>
    <s v="2014"/>
    <n v="1"/>
    <x v="0"/>
    <n v="1"/>
    <n v="0.5"/>
  </r>
  <r>
    <s v="4499"/>
    <x v="4510"/>
    <n v="28300000"/>
    <x v="13"/>
    <n v="65.508099999999999"/>
    <x v="7"/>
    <n v="185"/>
    <n v="161"/>
    <s v="2001"/>
    <n v="3"/>
    <x v="0"/>
    <n v="24"/>
    <n v="0.14906832298136646"/>
  </r>
  <r>
    <s v="4500"/>
    <x v="4511"/>
    <n v="3800000"/>
    <x v="32"/>
    <n v="65.507999999999996"/>
    <x v="23"/>
    <n v="25"/>
    <n v="15"/>
    <s v="2003"/>
    <n v="1"/>
    <x v="0"/>
    <n v="10"/>
    <n v="0.66666666666666663"/>
  </r>
  <r>
    <s v="4501"/>
    <x v="4512"/>
    <n v="20300000"/>
    <x v="8"/>
    <n v="65.460499999999996"/>
    <x v="11"/>
    <n v="120"/>
    <n v="75"/>
    <s v="2001"/>
    <n v="4"/>
    <x v="0"/>
    <n v="45"/>
    <n v="0.6"/>
  </r>
  <r>
    <s v="4502"/>
    <x v="4513"/>
    <n v="8400000"/>
    <x v="7"/>
    <n v="65.435000000000002"/>
    <x v="16"/>
    <n v="72"/>
    <n v="51"/>
    <s v="2009"/>
    <n v="6"/>
    <x v="0"/>
    <n v="21"/>
    <n v="0.41176470588235292"/>
  </r>
  <r>
    <s v="4503"/>
    <x v="4514"/>
    <n v="7100000"/>
    <x v="1"/>
    <n v="65.405900000000003"/>
    <x v="20"/>
    <n v="75"/>
    <n v="68"/>
    <s v="2006"/>
    <n v="3"/>
    <x v="0"/>
    <n v="7"/>
    <n v="0.10294117647058823"/>
  </r>
  <r>
    <s v="4504"/>
    <x v="4515"/>
    <n v="9200000"/>
    <x v="10"/>
    <n v="65.396500000000003"/>
    <x v="7"/>
    <n v="55"/>
    <n v="40"/>
    <s v="2002"/>
    <n v="2"/>
    <x v="0"/>
    <n v="15"/>
    <n v="0.375"/>
  </r>
  <r>
    <s v="4505"/>
    <x v="4516"/>
    <n v="45100000"/>
    <x v="19"/>
    <n v="65.339699999999993"/>
    <x v="8"/>
    <n v="42"/>
    <n v="28"/>
    <s v="2006"/>
    <n v="6"/>
    <x v="0"/>
    <n v="14"/>
    <n v="0.5"/>
  </r>
  <r>
    <s v="4506"/>
    <x v="4517"/>
    <n v="11200000"/>
    <x v="12"/>
    <n v="65.297300000000007"/>
    <x v="0"/>
    <n v="57"/>
    <n v="34"/>
    <s v="2006"/>
    <n v="4"/>
    <x v="0"/>
    <n v="23"/>
    <n v="0.67647058823529416"/>
  </r>
  <r>
    <s v="4507"/>
    <x v="4518"/>
    <n v="8600000"/>
    <x v="27"/>
    <n v="65.288799999999995"/>
    <x v="9"/>
    <n v="428"/>
    <n v="307"/>
    <s v="2007"/>
    <n v="6"/>
    <x v="0"/>
    <n v="121"/>
    <n v="0.39413680781758959"/>
  </r>
  <r>
    <s v="4508"/>
    <x v="4519"/>
    <n v="69300000"/>
    <x v="2"/>
    <n v="65.265799999999999"/>
    <x v="7"/>
    <n v="356"/>
    <n v="215"/>
    <s v="2010"/>
    <n v="3"/>
    <x v="0"/>
    <n v="141"/>
    <n v="0.65581395348837213"/>
  </r>
  <r>
    <s v="4509"/>
    <x v="4520"/>
    <n v="5500000"/>
    <x v="12"/>
    <n v="65.2393"/>
    <x v="1"/>
    <n v="15"/>
    <n v="10"/>
    <s v="2013"/>
    <n v="3"/>
    <x v="0"/>
    <n v="5"/>
    <n v="0.5"/>
  </r>
  <r>
    <s v="4510"/>
    <x v="4521"/>
    <n v="22300000"/>
    <x v="4"/>
    <n v="65.233900000000006"/>
    <x v="25"/>
    <n v="110"/>
    <n v="90"/>
    <s v="2001"/>
    <n v="1"/>
    <x v="0"/>
    <n v="20"/>
    <n v="0.22222222222222221"/>
  </r>
  <r>
    <s v="4511"/>
    <x v="4522"/>
    <n v="15500000"/>
    <x v="27"/>
    <n v="65.220600000000005"/>
    <x v="1"/>
    <n v="22"/>
    <n v="13"/>
    <s v="2010"/>
    <n v="3"/>
    <x v="0"/>
    <n v="9"/>
    <n v="0.69230769230769229"/>
  </r>
  <r>
    <s v="4512"/>
    <x v="4523"/>
    <n v="23400000"/>
    <x v="9"/>
    <n v="65.187600000000003"/>
    <x v="9"/>
    <n v="65"/>
    <n v="26"/>
    <s v="2007"/>
    <n v="5"/>
    <x v="0"/>
    <n v="39"/>
    <n v="1.5"/>
  </r>
  <r>
    <s v="4513"/>
    <x v="4524"/>
    <n v="802600000"/>
    <x v="27"/>
    <n v="65.186400000000006"/>
    <x v="7"/>
    <n v="4642"/>
    <n v="2885"/>
    <s v="2000"/>
    <n v="10"/>
    <x v="0"/>
    <n v="1757"/>
    <n v="0.60901213171577118"/>
  </r>
  <r>
    <s v="4514"/>
    <x v="4525"/>
    <n v="3700000"/>
    <x v="2"/>
    <n v="65.101900000000001"/>
    <x v="9"/>
    <n v="28"/>
    <n v="36"/>
    <s v="2007"/>
    <n v="4"/>
    <x v="1"/>
    <n v="-8"/>
    <n v="-0.22222222222222221"/>
  </r>
  <r>
    <s v="4515"/>
    <x v="4526"/>
    <n v="19500000"/>
    <x v="9"/>
    <n v="65.060199999999995"/>
    <x v="2"/>
    <n v="143"/>
    <n v="82"/>
    <s v="1995"/>
    <n v="6"/>
    <x v="0"/>
    <n v="61"/>
    <n v="0.74390243902439024"/>
  </r>
  <r>
    <s v="4516"/>
    <x v="4527"/>
    <n v="99300000"/>
    <x v="13"/>
    <n v="65.032499999999999"/>
    <x v="23"/>
    <n v="22"/>
    <n v="15"/>
    <s v="1988"/>
    <n v="7"/>
    <x v="0"/>
    <n v="7"/>
    <n v="0.46666666666666667"/>
  </r>
  <r>
    <s v="4517"/>
    <x v="4528"/>
    <n v="6000000"/>
    <x v="11"/>
    <n v="65.024699999999996"/>
    <x v="20"/>
    <n v="35"/>
    <n v="18"/>
    <s v="2013"/>
    <n v="2"/>
    <x v="0"/>
    <n v="17"/>
    <n v="0.94444444444444442"/>
  </r>
  <r>
    <s v="4518"/>
    <x v="4529"/>
    <n v="41500000"/>
    <x v="32"/>
    <n v="65.0214"/>
    <x v="12"/>
    <n v="95"/>
    <n v="92"/>
    <s v="1925"/>
    <n v="4"/>
    <x v="0"/>
    <n v="3"/>
    <n v="3.2608695652173912E-2"/>
  </r>
  <r>
    <s v="4519"/>
    <x v="4530"/>
    <n v="22800000"/>
    <x v="24"/>
    <n v="64.998599999999996"/>
    <x v="15"/>
    <n v="40"/>
    <n v="32"/>
    <s v="1993"/>
    <n v="1"/>
    <x v="0"/>
    <n v="8"/>
    <n v="0.25"/>
  </r>
  <r>
    <s v="4520"/>
    <x v="4531"/>
    <n v="23000000"/>
    <x v="9"/>
    <n v="64.9542"/>
    <x v="5"/>
    <n v="680"/>
    <n v="500"/>
    <s v="1979"/>
    <n v="3"/>
    <x v="0"/>
    <n v="180"/>
    <n v="0.36"/>
  </r>
  <r>
    <s v="4521"/>
    <x v="4532"/>
    <n v="3100000"/>
    <x v="36"/>
    <n v="64.944599999999994"/>
    <x v="11"/>
    <n v="38"/>
    <n v="8"/>
    <s v="2011"/>
    <n v="1"/>
    <x v="0"/>
    <n v="30"/>
    <n v="3.75"/>
  </r>
  <r>
    <s v="4522"/>
    <x v="4533"/>
    <n v="4900000"/>
    <x v="31"/>
    <n v="64.897900000000007"/>
    <x v="13"/>
    <n v="8"/>
    <n v="11"/>
    <s v="1991"/>
    <n v="3"/>
    <x v="1"/>
    <n v="-3"/>
    <n v="-0.27272727272727271"/>
  </r>
  <r>
    <s v="4523"/>
    <x v="4534"/>
    <n v="14500000"/>
    <x v="10"/>
    <n v="64.885599999999997"/>
    <x v="25"/>
    <n v="80"/>
    <n v="25"/>
    <s v="2007"/>
    <n v="3"/>
    <x v="0"/>
    <n v="55"/>
    <n v="2.2000000000000002"/>
  </r>
  <r>
    <s v="4524"/>
    <x v="4535"/>
    <n v="36600000"/>
    <x v="14"/>
    <n v="64.856899999999996"/>
    <x v="1"/>
    <n v="32"/>
    <n v="32"/>
    <s v="2008"/>
    <n v="1"/>
    <x v="1"/>
    <n v="0"/>
    <n v="0"/>
  </r>
  <r>
    <s v="4525"/>
    <x v="4536"/>
    <n v="10300000"/>
    <x v="9"/>
    <n v="64.853700000000003"/>
    <x v="0"/>
    <n v="24"/>
    <n v="12"/>
    <s v="1993"/>
    <n v="2"/>
    <x v="0"/>
    <n v="12"/>
    <n v="1"/>
  </r>
  <r>
    <s v="4526"/>
    <x v="4537"/>
    <n v="62500000"/>
    <x v="8"/>
    <n v="64.839200000000005"/>
    <x v="1"/>
    <n v="200"/>
    <n v="157"/>
    <s v="2007"/>
    <n v="4"/>
    <x v="0"/>
    <n v="43"/>
    <n v="0.27388535031847133"/>
  </r>
  <r>
    <s v="4527"/>
    <x v="4538"/>
    <n v="6700000"/>
    <x v="2"/>
    <n v="64.834699999999998"/>
    <x v="5"/>
    <n v="2000"/>
    <n v="1500"/>
    <s v="2003"/>
    <n v="4"/>
    <x v="0"/>
    <n v="500"/>
    <n v="0.33333333333333331"/>
  </r>
  <r>
    <s v="4528"/>
    <x v="4539"/>
    <n v="18900000"/>
    <x v="5"/>
    <n v="64.815100000000001"/>
    <x v="15"/>
    <n v="120"/>
    <n v="66"/>
    <s v="1982"/>
    <n v="1"/>
    <x v="0"/>
    <n v="54"/>
    <n v="0.81818181818181823"/>
  </r>
  <r>
    <s v="4529"/>
    <x v="4540"/>
    <n v="151400000"/>
    <x v="12"/>
    <n v="64.803100000000001"/>
    <x v="19"/>
    <n v="93"/>
    <n v="96"/>
    <s v="2003"/>
    <n v="11"/>
    <x v="1"/>
    <n v="-3"/>
    <n v="-3.125E-2"/>
  </r>
  <r>
    <s v="4530"/>
    <x v="4541"/>
    <n v="9800000"/>
    <x v="20"/>
    <n v="64.767700000000005"/>
    <x v="3"/>
    <n v="51"/>
    <n v="27"/>
    <s v="2001"/>
    <n v="2"/>
    <x v="0"/>
    <n v="24"/>
    <n v="0.88888888888888884"/>
  </r>
  <r>
    <s v="4531"/>
    <x v="4542"/>
    <n v="10200000"/>
    <x v="2"/>
    <n v="64.759699999999995"/>
    <x v="6"/>
    <n v="38"/>
    <n v="38"/>
    <s v="2002"/>
    <n v="9"/>
    <x v="1"/>
    <n v="0"/>
    <n v="0"/>
  </r>
  <r>
    <s v="4532"/>
    <x v="4543"/>
    <n v="2300000"/>
    <x v="32"/>
    <n v="64.755600000000001"/>
    <x v="0"/>
    <n v="16"/>
    <n v="16"/>
    <s v="2008"/>
    <n v="3"/>
    <x v="1"/>
    <n v="0"/>
    <n v="0"/>
  </r>
  <r>
    <s v="4533"/>
    <x v="4544"/>
    <n v="18800000"/>
    <x v="5"/>
    <n v="64.733199999999997"/>
    <x v="12"/>
    <n v="40"/>
    <n v="36"/>
    <s v="2006"/>
    <n v="1"/>
    <x v="0"/>
    <n v="4"/>
    <n v="0.1111111111111111"/>
  </r>
  <r>
    <s v="4534"/>
    <x v="4545"/>
    <n v="4700000"/>
    <x v="11"/>
    <n v="64.629000000000005"/>
    <x v="5"/>
    <n v="130"/>
    <n v="85"/>
    <s v="2003"/>
    <n v="4"/>
    <x v="0"/>
    <n v="45"/>
    <n v="0.52941176470588236"/>
  </r>
  <r>
    <s v="4535"/>
    <x v="4546"/>
    <n v="4100000"/>
    <x v="9"/>
    <n v="64.606999999999999"/>
    <x v="23"/>
    <n v="25"/>
    <n v="20"/>
    <s v="2001"/>
    <n v="4"/>
    <x v="0"/>
    <n v="5"/>
    <n v="0.25"/>
  </r>
  <r>
    <s v="4536"/>
    <x v="4547"/>
    <n v="52600000"/>
    <x v="41"/>
    <n v="64.596199999999996"/>
    <x v="19"/>
    <n v="245"/>
    <n v="185"/>
    <s v="2007"/>
    <n v="7"/>
    <x v="0"/>
    <n v="60"/>
    <n v="0.32432432432432434"/>
  </r>
  <r>
    <s v="4537"/>
    <x v="4548"/>
    <n v="12300000"/>
    <x v="14"/>
    <n v="64.588800000000006"/>
    <x v="18"/>
    <n v="19"/>
    <n v="14"/>
    <s v="1996"/>
    <n v="5"/>
    <x v="0"/>
    <n v="5"/>
    <n v="0.35714285714285715"/>
  </r>
  <r>
    <s v="4538"/>
    <x v="4549"/>
    <n v="21600000"/>
    <x v="5"/>
    <n v="64.553100000000001"/>
    <x v="3"/>
    <n v="75"/>
    <n v="45"/>
    <s v="2005"/>
    <n v="2"/>
    <x v="0"/>
    <n v="30"/>
    <n v="0.66666666666666663"/>
  </r>
  <r>
    <s v="4539"/>
    <x v="4550"/>
    <n v="53700000"/>
    <x v="7"/>
    <n v="64.538700000000006"/>
    <x v="9"/>
    <n v="899"/>
    <n v="657"/>
    <s v="2006"/>
    <n v="8"/>
    <x v="0"/>
    <n v="242"/>
    <n v="0.36834094368340942"/>
  </r>
  <r>
    <s v="4540"/>
    <x v="4551"/>
    <n v="15300000"/>
    <x v="27"/>
    <n v="64.515600000000006"/>
    <x v="2"/>
    <n v="54"/>
    <n v="30"/>
    <s v="1998"/>
    <n v="12"/>
    <x v="0"/>
    <n v="24"/>
    <n v="0.8"/>
  </r>
  <r>
    <s v="4541"/>
    <x v="4552"/>
    <n v="73700000"/>
    <x v="16"/>
    <n v="64.482600000000005"/>
    <x v="20"/>
    <n v="131"/>
    <n v="79"/>
    <s v="1969"/>
    <n v="1"/>
    <x v="0"/>
    <n v="52"/>
    <n v="0.65822784810126578"/>
  </r>
  <r>
    <s v="4542"/>
    <x v="4553"/>
    <n v="6500000"/>
    <x v="6"/>
    <n v="64.377300000000005"/>
    <x v="26"/>
    <n v="28"/>
    <n v="24"/>
    <s v="1994"/>
    <n v="1"/>
    <x v="0"/>
    <n v="4"/>
    <n v="0.16666666666666666"/>
  </r>
  <r>
    <s v="4543"/>
    <x v="4554"/>
    <n v="10700000"/>
    <x v="9"/>
    <n v="64.345100000000002"/>
    <x v="13"/>
    <n v="76"/>
    <n v="41"/>
    <s v="1985"/>
    <n v="1"/>
    <x v="0"/>
    <n v="35"/>
    <n v="0.85365853658536583"/>
  </r>
  <r>
    <s v="4544"/>
    <x v="4555"/>
    <n v="17700000"/>
    <x v="5"/>
    <n v="64.325900000000004"/>
    <x v="19"/>
    <n v="89"/>
    <n v="55"/>
    <s v="2002"/>
    <n v="10"/>
    <x v="0"/>
    <n v="34"/>
    <n v="0.61818181818181817"/>
  </r>
  <r>
    <s v="4545"/>
    <x v="4556"/>
    <n v="2000000"/>
    <x v="13"/>
    <n v="64.313900000000004"/>
    <x v="18"/>
    <n v="25"/>
    <n v="4"/>
    <s v="2013"/>
    <n v="1"/>
    <x v="0"/>
    <n v="21"/>
    <n v="5.25"/>
  </r>
  <r>
    <s v="4546"/>
    <x v="4557"/>
    <n v="9900000"/>
    <x v="29"/>
    <n v="64.303299999999993"/>
    <x v="3"/>
    <n v="25"/>
    <n v="10"/>
    <s v="2010"/>
    <n v="1"/>
    <x v="0"/>
    <n v="15"/>
    <n v="1.5"/>
  </r>
  <r>
    <s v="4547"/>
    <x v="4558"/>
    <n v="8200000"/>
    <x v="4"/>
    <n v="64.283699999999996"/>
    <x v="5"/>
    <n v="400"/>
    <n v="150"/>
    <s v="2011"/>
    <n v="4"/>
    <x v="0"/>
    <n v="250"/>
    <n v="1.6666666666666667"/>
  </r>
  <r>
    <s v="4548"/>
    <x v="4559"/>
    <n v="4000000"/>
    <x v="0"/>
    <n v="64.215500000000006"/>
    <x v="15"/>
    <n v="33"/>
    <n v="19"/>
    <s v="1998"/>
    <n v="1"/>
    <x v="0"/>
    <n v="14"/>
    <n v="0.73684210526315785"/>
  </r>
  <r>
    <s v="4549"/>
    <x v="4560"/>
    <n v="14900000"/>
    <x v="4"/>
    <n v="64.1511"/>
    <x v="18"/>
    <n v="76"/>
    <n v="47"/>
    <s v="1993"/>
    <n v="5"/>
    <x v="0"/>
    <n v="29"/>
    <n v="0.61702127659574468"/>
  </r>
  <r>
    <s v="4550"/>
    <x v="4561"/>
    <n v="17800000"/>
    <x v="27"/>
    <n v="64.138900000000007"/>
    <x v="23"/>
    <n v="49"/>
    <n v="40"/>
    <s v="1999"/>
    <n v="1"/>
    <x v="0"/>
    <n v="9"/>
    <n v="0.22500000000000001"/>
  </r>
  <r>
    <s v="4551"/>
    <x v="4562"/>
    <n v="8300000"/>
    <x v="5"/>
    <n v="64.122299999999996"/>
    <x v="1"/>
    <n v="45"/>
    <n v="26"/>
    <s v="2010"/>
    <n v="2"/>
    <x v="0"/>
    <n v="19"/>
    <n v="0.73076923076923073"/>
  </r>
  <r>
    <s v="4552"/>
    <x v="4563"/>
    <n v="28500000"/>
    <x v="12"/>
    <n v="64.119100000000003"/>
    <x v="26"/>
    <n v="107"/>
    <n v="88"/>
    <s v="2008"/>
    <n v="2"/>
    <x v="0"/>
    <n v="19"/>
    <n v="0.21590909090909091"/>
  </r>
  <r>
    <s v="4553"/>
    <x v="4564"/>
    <n v="8100000"/>
    <x v="4"/>
    <n v="64.113900000000001"/>
    <x v="24"/>
    <n v="31"/>
    <n v="20"/>
    <s v="2002"/>
    <n v="8"/>
    <x v="0"/>
    <n v="11"/>
    <n v="0.55000000000000004"/>
  </r>
  <r>
    <s v="4554"/>
    <x v="4565"/>
    <n v="22100000"/>
    <x v="2"/>
    <n v="64.107299999999995"/>
    <x v="16"/>
    <n v="700"/>
    <n v="550"/>
    <s v="2000"/>
    <n v="7"/>
    <x v="0"/>
    <n v="150"/>
    <n v="0.27272727272727271"/>
  </r>
  <r>
    <s v="4555"/>
    <x v="4566"/>
    <n v="17200000"/>
    <x v="4"/>
    <n v="64.078800000000001"/>
    <x v="13"/>
    <n v="107"/>
    <n v="81"/>
    <s v="2008"/>
    <n v="4"/>
    <x v="0"/>
    <n v="26"/>
    <n v="0.32098765432098764"/>
  </r>
  <r>
    <s v="4556"/>
    <x v="4567"/>
    <n v="44700000"/>
    <x v="7"/>
    <n v="64.043599999999998"/>
    <x v="11"/>
    <n v="0"/>
    <n v="682"/>
    <s v="2006"/>
    <n v="3"/>
    <x v="1"/>
    <n v="-682"/>
    <n v="-1"/>
  </r>
  <r>
    <s v="4557"/>
    <x v="4568"/>
    <n v="2200000"/>
    <x v="9"/>
    <n v="64.032399999999996"/>
    <x v="14"/>
    <n v="13"/>
    <n v="11"/>
    <s v="2011"/>
    <n v="1"/>
    <x v="0"/>
    <n v="2"/>
    <n v="0.18181818181818182"/>
  </r>
  <r>
    <s v="4558"/>
    <x v="4569"/>
    <n v="26700000"/>
    <x v="21"/>
    <n v="63.9893"/>
    <x v="11"/>
    <n v="140"/>
    <n v="110"/>
    <s v="1999"/>
    <n v="5"/>
    <x v="0"/>
    <n v="30"/>
    <n v="0.27272727272727271"/>
  </r>
  <r>
    <s v="4559"/>
    <x v="4570"/>
    <n v="17600000"/>
    <x v="6"/>
    <n v="63.933"/>
    <x v="26"/>
    <n v="53"/>
    <n v="34"/>
    <s v="2010"/>
    <n v="1"/>
    <x v="0"/>
    <n v="19"/>
    <n v="0.55882352941176472"/>
  </r>
  <r>
    <s v="4560"/>
    <x v="4571"/>
    <n v="74100000"/>
    <x v="18"/>
    <n v="63.925600000000003"/>
    <x v="0"/>
    <n v="184"/>
    <n v="238"/>
    <s v="2009"/>
    <n v="7"/>
    <x v="1"/>
    <n v="-54"/>
    <n v="-0.22689075630252101"/>
  </r>
  <r>
    <s v="4561"/>
    <x v="4572"/>
    <n v="22100000"/>
    <x v="21"/>
    <n v="63.921700000000001"/>
    <x v="15"/>
    <n v="20"/>
    <n v="7"/>
    <s v="2014"/>
    <n v="1"/>
    <x v="0"/>
    <n v="13"/>
    <n v="1.8571428571428572"/>
  </r>
  <r>
    <s v="4562"/>
    <x v="4573"/>
    <n v="55600000"/>
    <x v="2"/>
    <n v="63.878599999999999"/>
    <x v="15"/>
    <n v="38"/>
    <n v="17"/>
    <s v="2010"/>
    <n v="2"/>
    <x v="0"/>
    <n v="21"/>
    <n v="1.2352941176470589"/>
  </r>
  <r>
    <s v="4563"/>
    <x v="4574"/>
    <n v="3600000"/>
    <x v="9"/>
    <n v="63.8688"/>
    <x v="21"/>
    <n v="32"/>
    <n v="16"/>
    <s v="2002"/>
    <n v="2"/>
    <x v="0"/>
    <n v="16"/>
    <n v="1"/>
  </r>
  <r>
    <s v="4564"/>
    <x v="4575"/>
    <n v="16700000"/>
    <x v="22"/>
    <n v="63.8643"/>
    <x v="1"/>
    <n v="10"/>
    <n v="8"/>
    <s v="1990"/>
    <n v="3"/>
    <x v="0"/>
    <n v="2"/>
    <n v="0.25"/>
  </r>
  <r>
    <s v="4565"/>
    <x v="4576"/>
    <n v="54600000"/>
    <x v="13"/>
    <n v="63.826799999999999"/>
    <x v="0"/>
    <n v="105"/>
    <n v="98"/>
    <s v="2007"/>
    <n v="10"/>
    <x v="0"/>
    <n v="7"/>
    <n v="7.1428571428571425E-2"/>
  </r>
  <r>
    <s v="4566"/>
    <x v="4577"/>
    <n v="5400000"/>
    <x v="2"/>
    <n v="63.8155"/>
    <x v="26"/>
    <n v="42"/>
    <n v="30"/>
    <s v="2000"/>
    <n v="1"/>
    <x v="0"/>
    <n v="12"/>
    <n v="0.4"/>
  </r>
  <r>
    <s v="4567"/>
    <x v="4578"/>
    <n v="3200000"/>
    <x v="2"/>
    <n v="63.757300000000001"/>
    <x v="13"/>
    <n v="8"/>
    <n v="9"/>
    <s v="2005"/>
    <n v="2"/>
    <x v="1"/>
    <n v="-1"/>
    <n v="-0.1111111111111111"/>
  </r>
  <r>
    <s v="4568"/>
    <x v="4579"/>
    <n v="9400000"/>
    <x v="2"/>
    <n v="63.753100000000003"/>
    <x v="15"/>
    <n v="44"/>
    <n v="38"/>
    <s v="1998"/>
    <n v="2"/>
    <x v="0"/>
    <n v="6"/>
    <n v="0.15789473684210525"/>
  </r>
  <r>
    <s v="4569"/>
    <x v="4580"/>
    <n v="19000000"/>
    <x v="11"/>
    <n v="63.742899999999999"/>
    <x v="5"/>
    <n v="22"/>
    <n v="18"/>
    <s v="2011"/>
    <n v="5"/>
    <x v="0"/>
    <n v="4"/>
    <n v="0.22222222222222221"/>
  </r>
  <r>
    <s v="4570"/>
    <x v="4581"/>
    <n v="42600000"/>
    <x v="4"/>
    <n v="63.718000000000004"/>
    <x v="10"/>
    <n v="170"/>
    <n v="120"/>
    <s v="1998"/>
    <n v="11"/>
    <x v="0"/>
    <n v="50"/>
    <n v="0.41666666666666669"/>
  </r>
  <r>
    <s v="4571"/>
    <x v="4582"/>
    <n v="3500000"/>
    <x v="2"/>
    <n v="63.713999999999999"/>
    <x v="12"/>
    <n v="7"/>
    <n v="5"/>
    <s v="2010"/>
    <n v="2"/>
    <x v="0"/>
    <n v="2"/>
    <n v="0.4"/>
  </r>
  <r>
    <s v="4572"/>
    <x v="4583"/>
    <n v="15200000"/>
    <x v="9"/>
    <n v="63.650500000000001"/>
    <x v="13"/>
    <n v="70"/>
    <n v="150"/>
    <s v="2011"/>
    <n v="4"/>
    <x v="1"/>
    <n v="-80"/>
    <n v="-0.53333333333333333"/>
  </r>
  <r>
    <s v="4573"/>
    <x v="4584"/>
    <n v="2300000"/>
    <x v="9"/>
    <n v="63.615000000000002"/>
    <x v="0"/>
    <n v="15"/>
    <n v="9"/>
    <s v="1990"/>
    <n v="1"/>
    <x v="0"/>
    <n v="6"/>
    <n v="0.66666666666666663"/>
  </r>
  <r>
    <s v="4574"/>
    <x v="4585"/>
    <n v="34300000"/>
    <x v="13"/>
    <n v="63.581600000000002"/>
    <x v="7"/>
    <n v="151"/>
    <n v="63"/>
    <s v="2003"/>
    <n v="8"/>
    <x v="0"/>
    <n v="88"/>
    <n v="1.3968253968253967"/>
  </r>
  <r>
    <s v="4575"/>
    <x v="4586"/>
    <n v="12800000"/>
    <x v="7"/>
    <n v="63.5428"/>
    <x v="19"/>
    <n v="173"/>
    <n v="122"/>
    <s v="2006"/>
    <n v="5"/>
    <x v="0"/>
    <n v="51"/>
    <n v="0.41803278688524592"/>
  </r>
  <r>
    <s v="4576"/>
    <x v="4587"/>
    <n v="7600000"/>
    <x v="5"/>
    <n v="63.534500000000001"/>
    <x v="14"/>
    <n v="49"/>
    <n v="30"/>
    <s v="2008"/>
    <n v="4"/>
    <x v="0"/>
    <n v="19"/>
    <n v="0.6333333333333333"/>
  </r>
  <r>
    <s v="4577"/>
    <x v="4588"/>
    <n v="8500000"/>
    <x v="18"/>
    <n v="63.511800000000001"/>
    <x v="23"/>
    <n v="25"/>
    <n v="18"/>
    <s v="2013"/>
    <n v="2"/>
    <x v="0"/>
    <n v="7"/>
    <n v="0.3888888888888889"/>
  </r>
  <r>
    <s v="4578"/>
    <x v="4589"/>
    <n v="5400000"/>
    <x v="27"/>
    <n v="63.3568"/>
    <x v="25"/>
    <n v="100"/>
    <n v="30"/>
    <s v="2008"/>
    <n v="1"/>
    <x v="0"/>
    <n v="70"/>
    <n v="2.3333333333333335"/>
  </r>
  <r>
    <s v="4579"/>
    <x v="4590"/>
    <n v="16600000"/>
    <x v="21"/>
    <n v="63.330800000000004"/>
    <x v="13"/>
    <n v="23"/>
    <n v="17"/>
    <s v="2007"/>
    <n v="5"/>
    <x v="0"/>
    <n v="6"/>
    <n v="0.35294117647058826"/>
  </r>
  <r>
    <s v="4580"/>
    <x v="4591"/>
    <n v="25400000"/>
    <x v="4"/>
    <n v="63.323999999999998"/>
    <x v="3"/>
    <n v="34"/>
    <n v="22"/>
    <s v="1985"/>
    <n v="1"/>
    <x v="0"/>
    <n v="12"/>
    <n v="0.54545454545454541"/>
  </r>
  <r>
    <s v="4581"/>
    <x v="4592"/>
    <n v="5700000"/>
    <x v="8"/>
    <n v="63.305199999999999"/>
    <x v="3"/>
    <n v="48"/>
    <n v="36"/>
    <s v="1996"/>
    <n v="5"/>
    <x v="0"/>
    <n v="12"/>
    <n v="0.33333333333333331"/>
  </r>
  <r>
    <s v="4582"/>
    <x v="4593"/>
    <n v="10300000"/>
    <x v="13"/>
    <n v="63.287399999999998"/>
    <x v="9"/>
    <n v="56"/>
    <n v="20"/>
    <s v="2008"/>
    <n v="6"/>
    <x v="0"/>
    <n v="36"/>
    <n v="1.8"/>
  </r>
  <r>
    <s v="4583"/>
    <x v="4594"/>
    <n v="10300000"/>
    <x v="27"/>
    <n v="63.258200000000002"/>
    <x v="19"/>
    <n v="80"/>
    <n v="35"/>
    <s v="2004"/>
    <n v="5"/>
    <x v="0"/>
    <n v="45"/>
    <n v="1.2857142857142858"/>
  </r>
  <r>
    <s v="4584"/>
    <x v="4595"/>
    <n v="16200000"/>
    <x v="7"/>
    <n v="63.235500000000002"/>
    <x v="26"/>
    <n v="402"/>
    <n v="25"/>
    <s v="2004"/>
    <n v="1"/>
    <x v="0"/>
    <n v="377"/>
    <n v="15.08"/>
  </r>
  <r>
    <s v="4585"/>
    <x v="4596"/>
    <n v="96400000"/>
    <x v="0"/>
    <n v="63.224499999999999"/>
    <x v="4"/>
    <n v="125"/>
    <n v="75"/>
    <s v="1999"/>
    <n v="4"/>
    <x v="0"/>
    <n v="50"/>
    <n v="0.66666666666666663"/>
  </r>
  <r>
    <s v="4586"/>
    <x v="4597"/>
    <n v="41600000"/>
    <x v="2"/>
    <n v="63.198"/>
    <x v="15"/>
    <n v="100"/>
    <n v="80"/>
    <s v="1982"/>
    <n v="6"/>
    <x v="0"/>
    <n v="20"/>
    <n v="0.25"/>
  </r>
  <r>
    <s v="4587"/>
    <x v="4598"/>
    <n v="3900000"/>
    <x v="17"/>
    <n v="63.189100000000003"/>
    <x v="25"/>
    <n v="24"/>
    <n v="19"/>
    <s v="1994"/>
    <n v="2"/>
    <x v="0"/>
    <n v="5"/>
    <n v="0.26315789473684209"/>
  </r>
  <r>
    <s v="4588"/>
    <x v="4599"/>
    <n v="4200000"/>
    <x v="0"/>
    <n v="63.183799999999998"/>
    <x v="12"/>
    <n v="21"/>
    <n v="16"/>
    <s v="2012"/>
    <n v="2"/>
    <x v="0"/>
    <n v="5"/>
    <n v="0.3125"/>
  </r>
  <r>
    <s v="4589"/>
    <x v="4600"/>
    <n v="2800000"/>
    <x v="27"/>
    <n v="63.1646"/>
    <x v="12"/>
    <n v="9"/>
    <n v="5"/>
    <s v="1978"/>
    <n v="4"/>
    <x v="0"/>
    <n v="4"/>
    <n v="0.8"/>
  </r>
  <r>
    <s v="4590"/>
    <x v="4601"/>
    <n v="2000000"/>
    <x v="9"/>
    <n v="63.146900000000002"/>
    <x v="15"/>
    <n v="5"/>
    <n v="4"/>
    <s v="2003"/>
    <n v="1"/>
    <x v="0"/>
    <n v="1"/>
    <n v="0.25"/>
  </r>
  <r>
    <s v="4591"/>
    <x v="4602"/>
    <n v="2700000"/>
    <x v="22"/>
    <n v="63.106999999999999"/>
    <x v="14"/>
    <n v="10"/>
    <n v="5"/>
    <s v="2008"/>
    <n v="1"/>
    <x v="0"/>
    <n v="5"/>
    <n v="1"/>
  </r>
  <r>
    <s v="4592"/>
    <x v="4603"/>
    <n v="8800000"/>
    <x v="27"/>
    <n v="63.090600000000002"/>
    <x v="0"/>
    <n v="27"/>
    <n v="15"/>
    <s v="2001"/>
    <n v="2"/>
    <x v="0"/>
    <n v="12"/>
    <n v="0.8"/>
  </r>
  <r>
    <s v="4593"/>
    <x v="4604"/>
    <n v="22200000"/>
    <x v="5"/>
    <n v="63.031700000000001"/>
    <x v="23"/>
    <n v="92"/>
    <n v="48"/>
    <s v="2003"/>
    <n v="3"/>
    <x v="0"/>
    <n v="44"/>
    <n v="0.91666666666666663"/>
  </r>
  <r>
    <s v="4594"/>
    <x v="4605"/>
    <n v="8600000"/>
    <x v="5"/>
    <n v="63.017000000000003"/>
    <x v="1"/>
    <n v="30"/>
    <n v="8"/>
    <s v="2007"/>
    <n v="1"/>
    <x v="0"/>
    <n v="22"/>
    <n v="2.75"/>
  </r>
  <r>
    <s v="4595"/>
    <x v="4606"/>
    <n v="2300000"/>
    <x v="22"/>
    <n v="62.992800000000003"/>
    <x v="9"/>
    <n v="19"/>
    <n v="9"/>
    <s v="1986"/>
    <n v="1"/>
    <x v="0"/>
    <n v="10"/>
    <n v="1.1111111111111112"/>
  </r>
  <r>
    <s v="4596"/>
    <x v="4607"/>
    <n v="113400000"/>
    <x v="20"/>
    <n v="62.976799999999997"/>
    <x v="19"/>
    <n v="531"/>
    <n v="449"/>
    <s v="1997"/>
    <n v="12"/>
    <x v="0"/>
    <n v="82"/>
    <n v="0.18262806236080179"/>
  </r>
  <r>
    <s v="4597"/>
    <x v="4608"/>
    <n v="20200000"/>
    <x v="10"/>
    <n v="62.967700000000001"/>
    <x v="4"/>
    <n v="21"/>
    <n v="16"/>
    <s v="2009"/>
    <n v="7"/>
    <x v="0"/>
    <n v="5"/>
    <n v="0.3125"/>
  </r>
  <r>
    <s v="4598"/>
    <x v="4609"/>
    <n v="52000000"/>
    <x v="9"/>
    <n v="62.860599999999998"/>
    <x v="15"/>
    <n v="500"/>
    <n v="300"/>
    <s v="2002"/>
    <n v="4"/>
    <x v="0"/>
    <n v="200"/>
    <n v="0.66666666666666663"/>
  </r>
  <r>
    <s v="4599"/>
    <x v="4610"/>
    <n v="11500000"/>
    <x v="9"/>
    <n v="62.857300000000002"/>
    <x v="2"/>
    <n v="35"/>
    <n v="24"/>
    <s v="1987"/>
    <n v="2"/>
    <x v="0"/>
    <n v="11"/>
    <n v="0.45833333333333331"/>
  </r>
  <r>
    <s v="4600"/>
    <x v="4611"/>
    <n v="17900000"/>
    <x v="9"/>
    <n v="62.8264"/>
    <x v="0"/>
    <n v="74"/>
    <n v="55"/>
    <s v="2008"/>
    <n v="7"/>
    <x v="0"/>
    <n v="19"/>
    <n v="0.34545454545454546"/>
  </r>
  <r>
    <s v="4601"/>
    <x v="4612"/>
    <n v="4000000"/>
    <x v="5"/>
    <n v="62.822000000000003"/>
    <x v="13"/>
    <n v="15"/>
    <n v="9"/>
    <s v="1999"/>
    <n v="2"/>
    <x v="0"/>
    <n v="6"/>
    <n v="0.66666666666666663"/>
  </r>
  <r>
    <s v="4602"/>
    <x v="4613"/>
    <n v="34700000"/>
    <x v="7"/>
    <n v="62.793300000000002"/>
    <x v="7"/>
    <n v="155"/>
    <n v="113"/>
    <s v="2001"/>
    <n v="5"/>
    <x v="0"/>
    <n v="42"/>
    <n v="0.37168141592920356"/>
  </r>
  <r>
    <s v="4603"/>
    <x v="4614"/>
    <n v="18400000"/>
    <x v="32"/>
    <n v="62.768999999999998"/>
    <x v="5"/>
    <n v="160"/>
    <n v="90"/>
    <s v="1994"/>
    <n v="2"/>
    <x v="0"/>
    <n v="70"/>
    <n v="0.77777777777777779"/>
  </r>
  <r>
    <s v="4604"/>
    <x v="4615"/>
    <n v="14100000"/>
    <x v="12"/>
    <n v="62.752800000000001"/>
    <x v="18"/>
    <n v="60"/>
    <n v="55"/>
    <s v="2004"/>
    <n v="7"/>
    <x v="0"/>
    <n v="5"/>
    <n v="9.0909090909090912E-2"/>
  </r>
  <r>
    <s v="4605"/>
    <x v="4616"/>
    <n v="12100000"/>
    <x v="34"/>
    <n v="62.713099999999997"/>
    <x v="23"/>
    <n v="19"/>
    <n v="13"/>
    <s v="2007"/>
    <n v="1"/>
    <x v="0"/>
    <n v="6"/>
    <n v="0.46153846153846156"/>
  </r>
  <r>
    <s v="4606"/>
    <x v="4617"/>
    <n v="18100000"/>
    <x v="9"/>
    <n v="62.678400000000003"/>
    <x v="0"/>
    <n v="71"/>
    <n v="79"/>
    <s v="1998"/>
    <n v="9"/>
    <x v="1"/>
    <n v="-8"/>
    <n v="-0.10126582278481013"/>
  </r>
  <r>
    <s v="4607"/>
    <x v="4618"/>
    <n v="11500000"/>
    <x v="12"/>
    <n v="62.677999999999997"/>
    <x v="20"/>
    <n v="61"/>
    <n v="50"/>
    <s v="2007"/>
    <n v="4"/>
    <x v="0"/>
    <n v="11"/>
    <n v="0.22"/>
  </r>
  <r>
    <s v="4608"/>
    <x v="4619"/>
    <n v="30600000"/>
    <x v="33"/>
    <n v="62.668900000000001"/>
    <x v="23"/>
    <n v="190"/>
    <n v="139"/>
    <s v="1991"/>
    <n v="6"/>
    <x v="0"/>
    <n v="51"/>
    <n v="0.36690647482014388"/>
  </r>
  <r>
    <s v="4609"/>
    <x v="4620"/>
    <n v="3600000000"/>
    <x v="8"/>
    <n v="62.646799999999999"/>
    <x v="1"/>
    <n v="5493"/>
    <n v="3791"/>
    <s v="1997"/>
    <n v="14"/>
    <x v="0"/>
    <n v="1702"/>
    <n v="0.44895805855974674"/>
  </r>
  <r>
    <s v="4610"/>
    <x v="4621"/>
    <n v="21700000"/>
    <x v="9"/>
    <n v="62.641300000000001"/>
    <x v="7"/>
    <n v="71"/>
    <n v="50"/>
    <s v="2007"/>
    <n v="5"/>
    <x v="0"/>
    <n v="21"/>
    <n v="0.42"/>
  </r>
  <r>
    <s v="4611"/>
    <x v="4622"/>
    <n v="98900000"/>
    <x v="10"/>
    <n v="62.5901"/>
    <x v="6"/>
    <n v="482"/>
    <n v="312"/>
    <s v="2003"/>
    <n v="8"/>
    <x v="0"/>
    <n v="170"/>
    <n v="0.54487179487179482"/>
  </r>
  <r>
    <s v="4612"/>
    <x v="4623"/>
    <n v="20900000"/>
    <x v="12"/>
    <n v="62.5227"/>
    <x v="15"/>
    <n v="101"/>
    <n v="79"/>
    <s v="2001"/>
    <n v="2"/>
    <x v="0"/>
    <n v="22"/>
    <n v="0.27848101265822783"/>
  </r>
  <r>
    <s v="4613"/>
    <x v="4624"/>
    <n v="3100000"/>
    <x v="13"/>
    <n v="62.515900000000002"/>
    <x v="5"/>
    <n v="27"/>
    <n v="16"/>
    <s v="2011"/>
    <n v="1"/>
    <x v="0"/>
    <n v="11"/>
    <n v="0.6875"/>
  </r>
  <r>
    <s v="4614"/>
    <x v="4625"/>
    <n v="6500000"/>
    <x v="9"/>
    <n v="62.503799999999998"/>
    <x v="23"/>
    <n v="25"/>
    <n v="18"/>
    <s v="1991"/>
    <n v="1"/>
    <x v="0"/>
    <n v="7"/>
    <n v="0.3888888888888889"/>
  </r>
  <r>
    <s v="4615"/>
    <x v="4626"/>
    <n v="3800000"/>
    <x v="4"/>
    <n v="62.497500000000002"/>
    <x v="20"/>
    <n v="12"/>
    <n v="6"/>
    <s v="2006"/>
    <n v="3"/>
    <x v="0"/>
    <n v="6"/>
    <n v="1"/>
  </r>
  <r>
    <s v="4616"/>
    <x v="4627"/>
    <n v="49500000"/>
    <x v="19"/>
    <n v="62.463299999999997"/>
    <x v="15"/>
    <n v="135"/>
    <n v="110"/>
    <s v="2007"/>
    <n v="1"/>
    <x v="0"/>
    <n v="25"/>
    <n v="0.22727272727272727"/>
  </r>
  <r>
    <s v="4617"/>
    <x v="4628"/>
    <n v="50700000"/>
    <x v="0"/>
    <n v="62.455100000000002"/>
    <x v="15"/>
    <n v="286"/>
    <n v="185"/>
    <s v="1990"/>
    <n v="1"/>
    <x v="0"/>
    <n v="101"/>
    <n v="0.54594594594594592"/>
  </r>
  <r>
    <s v="4618"/>
    <x v="4629"/>
    <n v="8400000"/>
    <x v="9"/>
    <n v="62.445"/>
    <x v="19"/>
    <n v="126"/>
    <n v="52"/>
    <s v="2005"/>
    <n v="3"/>
    <x v="0"/>
    <n v="74"/>
    <n v="1.4230769230769231"/>
  </r>
  <r>
    <s v="4619"/>
    <x v="4630"/>
    <n v="18700000"/>
    <x v="16"/>
    <n v="62.412799999999997"/>
    <x v="9"/>
    <n v="97"/>
    <n v="51"/>
    <s v="1999"/>
    <n v="9"/>
    <x v="0"/>
    <n v="46"/>
    <n v="0.90196078431372551"/>
  </r>
  <r>
    <s v="4620"/>
    <x v="4631"/>
    <n v="25300000"/>
    <x v="7"/>
    <n v="62.404699999999998"/>
    <x v="19"/>
    <n v="106"/>
    <n v="70"/>
    <s v="2004"/>
    <n v="6"/>
    <x v="0"/>
    <n v="36"/>
    <n v="0.51428571428571423"/>
  </r>
  <r>
    <s v="4621"/>
    <x v="4632"/>
    <n v="10800000"/>
    <x v="5"/>
    <n v="62.369500000000002"/>
    <x v="15"/>
    <n v="81"/>
    <n v="27"/>
    <s v="2008"/>
    <n v="2"/>
    <x v="0"/>
    <n v="54"/>
    <n v="2"/>
  </r>
  <r>
    <s v="4622"/>
    <x v="4633"/>
    <n v="10900000"/>
    <x v="35"/>
    <n v="62.354500000000002"/>
    <x v="9"/>
    <n v="66"/>
    <n v="30"/>
    <s v="2002"/>
    <n v="6"/>
    <x v="0"/>
    <n v="36"/>
    <n v="1.2"/>
  </r>
  <r>
    <s v="4623"/>
    <x v="4634"/>
    <n v="4800000"/>
    <x v="25"/>
    <n v="62.339100000000002"/>
    <x v="11"/>
    <n v="10"/>
    <n v="7"/>
    <s v="2008"/>
    <n v="5"/>
    <x v="0"/>
    <n v="3"/>
    <n v="0.42857142857142855"/>
  </r>
  <r>
    <s v="4624"/>
    <x v="4635"/>
    <n v="25200000"/>
    <x v="27"/>
    <n v="62.279699999999998"/>
    <x v="20"/>
    <n v="6000"/>
    <n v="5500"/>
    <s v="2007"/>
    <n v="1"/>
    <x v="0"/>
    <n v="500"/>
    <n v="9.0909090909090912E-2"/>
  </r>
  <r>
    <s v="4625"/>
    <x v="4636"/>
    <n v="8200000"/>
    <x v="0"/>
    <n v="62.209299999999999"/>
    <x v="13"/>
    <n v="30"/>
    <n v="27"/>
    <s v="2001"/>
    <n v="1"/>
    <x v="0"/>
    <n v="3"/>
    <n v="0.1111111111111111"/>
  </r>
  <r>
    <s v="4626"/>
    <x v="4637"/>
    <n v="10700000"/>
    <x v="6"/>
    <n v="62.118000000000002"/>
    <x v="3"/>
    <n v="65"/>
    <n v="46"/>
    <s v="2009"/>
    <n v="6"/>
    <x v="0"/>
    <n v="19"/>
    <n v="0.41304347826086957"/>
  </r>
  <r>
    <s v="4627"/>
    <x v="4638"/>
    <n v="28400000"/>
    <x v="19"/>
    <n v="62.075899999999997"/>
    <x v="5"/>
    <n v="275"/>
    <n v="258"/>
    <s v="1964"/>
    <n v="11"/>
    <x v="0"/>
    <n v="17"/>
    <n v="6.589147286821706E-2"/>
  </r>
  <r>
    <s v="4628"/>
    <x v="4639"/>
    <n v="203700000"/>
    <x v="9"/>
    <n v="62.057400000000001"/>
    <x v="3"/>
    <n v="69"/>
    <n v="57"/>
    <s v="1993"/>
    <n v="4"/>
    <x v="0"/>
    <n v="12"/>
    <n v="0.21052631578947367"/>
  </r>
  <r>
    <s v="4629"/>
    <x v="4640"/>
    <n v="166400000"/>
    <x v="9"/>
    <n v="62.052799999999998"/>
    <x v="15"/>
    <n v="750"/>
    <n v="400"/>
    <s v="1996"/>
    <n v="3"/>
    <x v="0"/>
    <n v="350"/>
    <n v="0.875"/>
  </r>
  <r>
    <s v="4630"/>
    <x v="4641"/>
    <n v="10800000"/>
    <x v="10"/>
    <n v="62.0379"/>
    <x v="17"/>
    <n v="21"/>
    <n v="15"/>
    <s v="2012"/>
    <n v="4"/>
    <x v="0"/>
    <n v="6"/>
    <n v="0.4"/>
  </r>
  <r>
    <s v="4631"/>
    <x v="4642"/>
    <n v="27100000"/>
    <x v="6"/>
    <n v="62.036200000000001"/>
    <x v="23"/>
    <n v="210"/>
    <n v="140"/>
    <s v="1997"/>
    <n v="6"/>
    <x v="0"/>
    <n v="70"/>
    <n v="0.5"/>
  </r>
  <r>
    <s v="4632"/>
    <x v="4643"/>
    <n v="2100000"/>
    <x v="9"/>
    <n v="62.028300000000002"/>
    <x v="18"/>
    <n v="16"/>
    <n v="6"/>
    <s v="2009"/>
    <n v="1"/>
    <x v="0"/>
    <n v="10"/>
    <n v="1.6666666666666667"/>
  </r>
  <r>
    <s v="4633"/>
    <x v="4644"/>
    <n v="7800000"/>
    <x v="5"/>
    <n v="61.977699999999999"/>
    <x v="0"/>
    <n v="25"/>
    <n v="15"/>
    <s v="1987"/>
    <n v="5"/>
    <x v="0"/>
    <n v="10"/>
    <n v="0.66666666666666663"/>
  </r>
  <r>
    <s v="4634"/>
    <x v="4645"/>
    <n v="21200000"/>
    <x v="27"/>
    <n v="61.954999999999998"/>
    <x v="15"/>
    <n v="100"/>
    <n v="85"/>
    <s v="1982"/>
    <n v="3"/>
    <x v="0"/>
    <n v="15"/>
    <n v="0.17647058823529413"/>
  </r>
  <r>
    <s v="4635"/>
    <x v="4646"/>
    <n v="2100000"/>
    <x v="24"/>
    <n v="61.9375"/>
    <x v="4"/>
    <n v="5"/>
    <n v="4"/>
    <s v="2004"/>
    <n v="1"/>
    <x v="0"/>
    <n v="1"/>
    <n v="0.25"/>
  </r>
  <r>
    <s v="4636"/>
    <x v="4647"/>
    <n v="41700000"/>
    <x v="23"/>
    <n v="61.898600000000002"/>
    <x v="21"/>
    <n v="332"/>
    <n v="324"/>
    <s v="1984"/>
    <n v="1"/>
    <x v="0"/>
    <n v="8"/>
    <n v="2.4691358024691357E-2"/>
  </r>
  <r>
    <s v="4637"/>
    <x v="4648"/>
    <n v="6800000"/>
    <x v="9"/>
    <n v="61.880400000000002"/>
    <x v="23"/>
    <n v="16"/>
    <n v="10"/>
    <s v="2001"/>
    <n v="1"/>
    <x v="0"/>
    <n v="6"/>
    <n v="0.6"/>
  </r>
  <r>
    <s v="4638"/>
    <x v="4649"/>
    <n v="9200000"/>
    <x v="10"/>
    <n v="61.863700000000001"/>
    <x v="23"/>
    <n v="44"/>
    <n v="22"/>
    <s v="1985"/>
    <n v="5"/>
    <x v="0"/>
    <n v="22"/>
    <n v="1"/>
  </r>
  <r>
    <s v="4639"/>
    <x v="4650"/>
    <n v="3900000"/>
    <x v="2"/>
    <n v="61.841200000000001"/>
    <x v="3"/>
    <n v="18"/>
    <n v="12"/>
    <s v="1997"/>
    <n v="1"/>
    <x v="0"/>
    <n v="6"/>
    <n v="0.5"/>
  </r>
  <r>
    <s v="4640"/>
    <x v="4651"/>
    <n v="141400000"/>
    <x v="22"/>
    <n v="61.823799999999999"/>
    <x v="23"/>
    <n v="285"/>
    <n v="175"/>
    <s v="2001"/>
    <n v="11"/>
    <x v="0"/>
    <n v="110"/>
    <n v="0.62857142857142856"/>
  </r>
  <r>
    <s v="4641"/>
    <x v="4652"/>
    <n v="349900000"/>
    <x v="9"/>
    <n v="61.799399999999999"/>
    <x v="6"/>
    <n v="85"/>
    <n v="50"/>
    <s v="2001"/>
    <n v="1"/>
    <x v="0"/>
    <n v="35"/>
    <n v="0.7"/>
  </r>
  <r>
    <s v="4642"/>
    <x v="4653"/>
    <n v="16300000"/>
    <x v="13"/>
    <n v="61.795499999999997"/>
    <x v="20"/>
    <n v="285"/>
    <n v="162"/>
    <s v="1998"/>
    <n v="4"/>
    <x v="0"/>
    <n v="123"/>
    <n v="0.7592592592592593"/>
  </r>
  <r>
    <s v="4643"/>
    <x v="4654"/>
    <n v="10900000"/>
    <x v="8"/>
    <n v="61.746299999999998"/>
    <x v="23"/>
    <n v="12"/>
    <n v="9"/>
    <s v="2007"/>
    <n v="3"/>
    <x v="0"/>
    <n v="3"/>
    <n v="0.33333333333333331"/>
  </r>
  <r>
    <s v="4644"/>
    <x v="4655"/>
    <n v="15700000"/>
    <x v="33"/>
    <n v="61.7196"/>
    <x v="3"/>
    <n v="120"/>
    <n v="40"/>
    <s v="1986"/>
    <n v="1"/>
    <x v="0"/>
    <n v="80"/>
    <n v="2"/>
  </r>
  <r>
    <s v="4645"/>
    <x v="4656"/>
    <n v="29000000"/>
    <x v="0"/>
    <n v="61.6907"/>
    <x v="5"/>
    <n v="20"/>
    <n v="27"/>
    <s v="1998"/>
    <n v="1"/>
    <x v="1"/>
    <n v="-7"/>
    <n v="-0.25925925925925924"/>
  </r>
  <r>
    <s v="4646"/>
    <x v="4657"/>
    <n v="4500000"/>
    <x v="2"/>
    <n v="61.603700000000003"/>
    <x v="23"/>
    <n v="17"/>
    <n v="18"/>
    <s v="2009"/>
    <n v="1"/>
    <x v="1"/>
    <n v="-1"/>
    <n v="-5.5555555555555552E-2"/>
  </r>
  <r>
    <s v="4647"/>
    <x v="4658"/>
    <n v="11200000"/>
    <x v="5"/>
    <n v="61.601500000000001"/>
    <x v="13"/>
    <n v="70"/>
    <n v="45"/>
    <s v="2004"/>
    <n v="2"/>
    <x v="0"/>
    <n v="25"/>
    <n v="0.55555555555555558"/>
  </r>
  <r>
    <s v="4648"/>
    <x v="4659"/>
    <n v="5000000"/>
    <x v="8"/>
    <n v="61.565600000000003"/>
    <x v="19"/>
    <n v="30"/>
    <n v="17"/>
    <s v="2001"/>
    <n v="3"/>
    <x v="0"/>
    <n v="13"/>
    <n v="0.76470588235294112"/>
  </r>
  <r>
    <s v="4649"/>
    <x v="4660"/>
    <n v="2000000"/>
    <x v="6"/>
    <n v="61.544699999999999"/>
    <x v="2"/>
    <n v="40"/>
    <n v="10"/>
    <s v="2012"/>
    <n v="2"/>
    <x v="0"/>
    <n v="30"/>
    <n v="3"/>
  </r>
  <r>
    <s v="4650"/>
    <x v="4661"/>
    <n v="3700000"/>
    <x v="13"/>
    <n v="61.541899999999998"/>
    <x v="4"/>
    <n v="26"/>
    <n v="18"/>
    <s v="1953"/>
    <n v="1"/>
    <x v="0"/>
    <n v="8"/>
    <n v="0.44444444444444442"/>
  </r>
  <r>
    <s v="4651"/>
    <x v="4662"/>
    <n v="4400000"/>
    <x v="33"/>
    <n v="61.5413"/>
    <x v="13"/>
    <n v="47"/>
    <n v="31"/>
    <s v="1941"/>
    <n v="3"/>
    <x v="0"/>
    <n v="16"/>
    <n v="0.5161290322580645"/>
  </r>
  <r>
    <s v="4652"/>
    <x v="4663"/>
    <n v="84300000"/>
    <x v="24"/>
    <n v="61.516399999999997"/>
    <x v="20"/>
    <n v="130"/>
    <n v="75"/>
    <s v="1993"/>
    <n v="5"/>
    <x v="0"/>
    <n v="55"/>
    <n v="0.73333333333333328"/>
  </r>
  <r>
    <s v="4653"/>
    <x v="4664"/>
    <n v="37700000"/>
    <x v="9"/>
    <n v="61.487400000000001"/>
    <x v="20"/>
    <n v="180"/>
    <n v="99"/>
    <s v="1999"/>
    <n v="8"/>
    <x v="0"/>
    <n v="81"/>
    <n v="0.81818181818181823"/>
  </r>
  <r>
    <s v="4654"/>
    <x v="4665"/>
    <n v="22700000"/>
    <x v="27"/>
    <n v="61.471699999999998"/>
    <x v="23"/>
    <n v="95"/>
    <n v="61"/>
    <s v="2003"/>
    <n v="6"/>
    <x v="0"/>
    <n v="34"/>
    <n v="0.55737704918032782"/>
  </r>
  <r>
    <s v="4655"/>
    <x v="4666"/>
    <n v="19200000"/>
    <x v="2"/>
    <n v="61.446100000000001"/>
    <x v="5"/>
    <n v="69"/>
    <n v="36"/>
    <s v="2007"/>
    <n v="5"/>
    <x v="0"/>
    <n v="33"/>
    <n v="0.91666666666666663"/>
  </r>
  <r>
    <s v="4656"/>
    <x v="4667"/>
    <n v="29500000"/>
    <x v="2"/>
    <n v="61.434399999999997"/>
    <x v="5"/>
    <n v="115"/>
    <n v="75"/>
    <s v="1997"/>
    <n v="7"/>
    <x v="0"/>
    <n v="40"/>
    <n v="0.53333333333333333"/>
  </r>
  <r>
    <s v="4657"/>
    <x v="4668"/>
    <n v="7700000"/>
    <x v="9"/>
    <n v="61.432200000000002"/>
    <x v="19"/>
    <n v="61"/>
    <n v="31"/>
    <s v="2003"/>
    <n v="6"/>
    <x v="0"/>
    <n v="30"/>
    <n v="0.967741935483871"/>
  </r>
  <r>
    <s v="4658"/>
    <x v="4669"/>
    <n v="201100000"/>
    <x v="9"/>
    <n v="61.401200000000003"/>
    <x v="19"/>
    <n v="67"/>
    <n v="58"/>
    <s v="1991"/>
    <n v="9"/>
    <x v="0"/>
    <n v="9"/>
    <n v="0.15517241379310345"/>
  </r>
  <r>
    <s v="4659"/>
    <x v="4670"/>
    <n v="8800000"/>
    <x v="33"/>
    <n v="61.359000000000002"/>
    <x v="5"/>
    <n v="55"/>
    <n v="30"/>
    <s v="2012"/>
    <n v="2"/>
    <x v="0"/>
    <n v="25"/>
    <n v="0.83333333333333337"/>
  </r>
  <r>
    <s v="4660"/>
    <x v="4671"/>
    <n v="11300000"/>
    <x v="24"/>
    <n v="61.301900000000003"/>
    <x v="19"/>
    <n v="45"/>
    <n v="25"/>
    <s v="1989"/>
    <n v="3"/>
    <x v="0"/>
    <n v="20"/>
    <n v="0.8"/>
  </r>
  <r>
    <s v="4661"/>
    <x v="4672"/>
    <n v="45800000"/>
    <x v="41"/>
    <n v="61.298099999999998"/>
    <x v="3"/>
    <n v="173"/>
    <n v="145"/>
    <s v="2005"/>
    <n v="10"/>
    <x v="0"/>
    <n v="28"/>
    <n v="0.19310344827586207"/>
  </r>
  <r>
    <s v="4662"/>
    <x v="4673"/>
    <n v="5600000"/>
    <x v="9"/>
    <n v="61.298099999999998"/>
    <x v="7"/>
    <n v="12"/>
    <n v="8"/>
    <s v="1994"/>
    <n v="1"/>
    <x v="0"/>
    <n v="4"/>
    <n v="0.5"/>
  </r>
  <r>
    <s v="4663"/>
    <x v="4674"/>
    <n v="7900000"/>
    <x v="6"/>
    <n v="61.234200000000001"/>
    <x v="9"/>
    <n v="45"/>
    <n v="30"/>
    <s v="1996"/>
    <n v="7"/>
    <x v="0"/>
    <n v="15"/>
    <n v="0.5"/>
  </r>
  <r>
    <s v="4664"/>
    <x v="4675"/>
    <n v="5600000"/>
    <x v="12"/>
    <n v="61.212699999999998"/>
    <x v="9"/>
    <n v="42"/>
    <n v="96"/>
    <s v="2012"/>
    <n v="1"/>
    <x v="1"/>
    <n v="-54"/>
    <n v="-0.5625"/>
  </r>
  <r>
    <s v="4665"/>
    <x v="4676"/>
    <n v="3900000"/>
    <x v="17"/>
    <n v="61.131500000000003"/>
    <x v="9"/>
    <n v="18"/>
    <n v="18"/>
    <s v="1998"/>
    <n v="1"/>
    <x v="1"/>
    <n v="0"/>
    <n v="0"/>
  </r>
  <r>
    <s v="4666"/>
    <x v="4677"/>
    <n v="22900000"/>
    <x v="1"/>
    <n v="61.099800000000002"/>
    <x v="16"/>
    <n v="109"/>
    <n v="88"/>
    <s v="1997"/>
    <n v="4"/>
    <x v="0"/>
    <n v="21"/>
    <n v="0.23863636363636365"/>
  </r>
  <r>
    <s v="4667"/>
    <x v="4678"/>
    <n v="10400000"/>
    <x v="11"/>
    <n v="61.093400000000003"/>
    <x v="23"/>
    <n v="86"/>
    <n v="39"/>
    <s v="2013"/>
    <n v="1"/>
    <x v="0"/>
    <n v="47"/>
    <n v="1.2051282051282051"/>
  </r>
  <r>
    <s v="4668"/>
    <x v="4679"/>
    <n v="24800000"/>
    <x v="13"/>
    <n v="61.043799999999997"/>
    <x v="15"/>
    <n v="22"/>
    <n v="18"/>
    <s v="1991"/>
    <n v="6"/>
    <x v="0"/>
    <n v="4"/>
    <n v="0.22222222222222221"/>
  </r>
  <r>
    <s v="4669"/>
    <x v="4680"/>
    <n v="3400000"/>
    <x v="20"/>
    <n v="60.966299999999997"/>
    <x v="26"/>
    <n v="20"/>
    <n v="13"/>
    <s v="2012"/>
    <n v="1"/>
    <x v="0"/>
    <n v="7"/>
    <n v="0.53846153846153844"/>
  </r>
  <r>
    <s v="4670"/>
    <x v="4681"/>
    <n v="7000000"/>
    <x v="5"/>
    <n v="60.959699999999998"/>
    <x v="3"/>
    <n v="14"/>
    <n v="8"/>
    <s v="2003"/>
    <n v="1"/>
    <x v="0"/>
    <n v="6"/>
    <n v="0.75"/>
  </r>
  <r>
    <s v="4671"/>
    <x v="4682"/>
    <n v="18000000"/>
    <x v="19"/>
    <n v="60.944099999999999"/>
    <x v="7"/>
    <n v="70"/>
    <n v="44"/>
    <s v="2001"/>
    <n v="2"/>
    <x v="0"/>
    <n v="26"/>
    <n v="0.59090909090909094"/>
  </r>
  <r>
    <s v="4672"/>
    <x v="4683"/>
    <n v="213200000"/>
    <x v="7"/>
    <n v="60.941800000000001"/>
    <x v="25"/>
    <n v="1000"/>
    <n v="600"/>
    <s v="1993"/>
    <n v="9"/>
    <x v="0"/>
    <n v="400"/>
    <n v="0.66666666666666663"/>
  </r>
  <r>
    <s v="4673"/>
    <x v="4684"/>
    <n v="15100000"/>
    <x v="18"/>
    <n v="60.930900000000001"/>
    <x v="26"/>
    <n v="68"/>
    <n v="57"/>
    <s v="1996"/>
    <n v="1"/>
    <x v="0"/>
    <n v="11"/>
    <n v="0.19298245614035087"/>
  </r>
  <r>
    <s v="4674"/>
    <x v="4685"/>
    <n v="53000000"/>
    <x v="18"/>
    <n v="60.930599999999998"/>
    <x v="9"/>
    <n v="90"/>
    <n v="65"/>
    <s v="2005"/>
    <n v="8"/>
    <x v="0"/>
    <n v="25"/>
    <n v="0.38461538461538464"/>
  </r>
  <r>
    <s v="4675"/>
    <x v="4686"/>
    <n v="11300000"/>
    <x v="27"/>
    <n v="60.9268"/>
    <x v="6"/>
    <n v="25"/>
    <n v="15"/>
    <s v="1988"/>
    <n v="1"/>
    <x v="0"/>
    <n v="10"/>
    <n v="0.66666666666666663"/>
  </r>
  <r>
    <s v="4676"/>
    <x v="4687"/>
    <n v="178700000"/>
    <x v="5"/>
    <n v="60.902900000000002"/>
    <x v="15"/>
    <n v="135"/>
    <n v="90"/>
    <s v="1984"/>
    <n v="3"/>
    <x v="0"/>
    <n v="45"/>
    <n v="0.5"/>
  </r>
  <r>
    <s v="4677"/>
    <x v="4688"/>
    <n v="64900000"/>
    <x v="1"/>
    <n v="60.814300000000003"/>
    <x v="12"/>
    <n v="1012"/>
    <n v="485"/>
    <s v="2006"/>
    <n v="5"/>
    <x v="0"/>
    <n v="527"/>
    <n v="1.0865979381443298"/>
  </r>
  <r>
    <s v="4678"/>
    <x v="4689"/>
    <n v="22800000"/>
    <x v="2"/>
    <n v="60.811999999999998"/>
    <x v="20"/>
    <n v="188"/>
    <n v="149"/>
    <s v="1996"/>
    <n v="3"/>
    <x v="0"/>
    <n v="39"/>
    <n v="0.26174496644295303"/>
  </r>
  <r>
    <s v="4679"/>
    <x v="4690"/>
    <n v="82600000"/>
    <x v="5"/>
    <n v="60.811799999999998"/>
    <x v="12"/>
    <n v="50"/>
    <n v="40"/>
    <s v="1986"/>
    <n v="1"/>
    <x v="0"/>
    <n v="10"/>
    <n v="0.25"/>
  </r>
  <r>
    <s v="4680"/>
    <x v="4691"/>
    <n v="8100000"/>
    <x v="27"/>
    <n v="60.793500000000002"/>
    <x v="1"/>
    <n v="16"/>
    <n v="12"/>
    <s v="2010"/>
    <n v="4"/>
    <x v="0"/>
    <n v="4"/>
    <n v="0.33333333333333331"/>
  </r>
  <r>
    <s v="4681"/>
    <x v="4692"/>
    <n v="24400000"/>
    <x v="9"/>
    <n v="60.753999999999998"/>
    <x v="13"/>
    <n v="150"/>
    <n v="115"/>
    <s v="1987"/>
    <n v="1"/>
    <x v="0"/>
    <n v="35"/>
    <n v="0.30434782608695654"/>
  </r>
  <r>
    <s v="4682"/>
    <x v="4693"/>
    <n v="3900000"/>
    <x v="5"/>
    <n v="60.7438"/>
    <x v="24"/>
    <n v="7"/>
    <n v="5"/>
    <s v="2008"/>
    <n v="2"/>
    <x v="0"/>
    <n v="2"/>
    <n v="0.4"/>
  </r>
  <r>
    <s v="4683"/>
    <x v="4694"/>
    <n v="4600000"/>
    <x v="8"/>
    <n v="60.7395"/>
    <x v="7"/>
    <n v="17"/>
    <n v="12"/>
    <s v="2011"/>
    <n v="1"/>
    <x v="0"/>
    <n v="5"/>
    <n v="0.41666666666666669"/>
  </r>
  <r>
    <s v="4684"/>
    <x v="4695"/>
    <n v="5300000"/>
    <x v="5"/>
    <n v="60.6922"/>
    <x v="2"/>
    <n v="25"/>
    <n v="6"/>
    <s v="2010"/>
    <n v="3"/>
    <x v="0"/>
    <n v="19"/>
    <n v="3.1666666666666665"/>
  </r>
  <r>
    <s v="4685"/>
    <x v="4696"/>
    <n v="2500000"/>
    <x v="5"/>
    <n v="60.680700000000002"/>
    <x v="3"/>
    <n v="25"/>
    <n v="15"/>
    <s v="2009"/>
    <n v="1"/>
    <x v="0"/>
    <n v="10"/>
    <n v="0.66666666666666663"/>
  </r>
  <r>
    <s v="4686"/>
    <x v="4697"/>
    <n v="10600000"/>
    <x v="9"/>
    <n v="60.674300000000002"/>
    <x v="15"/>
    <n v="72"/>
    <n v="42"/>
    <s v="1989"/>
    <n v="6"/>
    <x v="0"/>
    <n v="30"/>
    <n v="0.7142857142857143"/>
  </r>
  <r>
    <s v="4687"/>
    <x v="4698"/>
    <n v="8600000"/>
    <x v="29"/>
    <n v="60.667999999999999"/>
    <x v="0"/>
    <n v="3"/>
    <n v="4"/>
    <s v="2000"/>
    <n v="1"/>
    <x v="1"/>
    <n v="-1"/>
    <n v="-0.25"/>
  </r>
  <r>
    <s v="4688"/>
    <x v="4699"/>
    <n v="9400000"/>
    <x v="9"/>
    <n v="60.6282"/>
    <x v="7"/>
    <n v="38"/>
    <n v="24"/>
    <s v="2012"/>
    <n v="1"/>
    <x v="0"/>
    <n v="14"/>
    <n v="0.58333333333333337"/>
  </r>
  <r>
    <s v="4689"/>
    <x v="4700"/>
    <n v="28000000"/>
    <x v="9"/>
    <n v="60.618000000000002"/>
    <x v="23"/>
    <n v="89"/>
    <n v="25"/>
    <s v="2014"/>
    <n v="2"/>
    <x v="0"/>
    <n v="64"/>
    <n v="2.56"/>
  </r>
  <r>
    <s v="4690"/>
    <x v="4701"/>
    <n v="5800000"/>
    <x v="33"/>
    <n v="60.552399999999999"/>
    <x v="13"/>
    <n v="54"/>
    <n v="43"/>
    <s v="1990"/>
    <n v="1"/>
    <x v="0"/>
    <n v="11"/>
    <n v="0.2558139534883721"/>
  </r>
  <r>
    <s v="4691"/>
    <x v="4702"/>
    <n v="11700000"/>
    <x v="14"/>
    <n v="60.514699999999998"/>
    <x v="23"/>
    <n v="100"/>
    <n v="65"/>
    <s v="2004"/>
    <n v="10"/>
    <x v="0"/>
    <n v="35"/>
    <n v="0.53846153846153844"/>
  </r>
  <r>
    <s v="4692"/>
    <x v="4703"/>
    <n v="48900000"/>
    <x v="8"/>
    <n v="60.511499999999998"/>
    <x v="20"/>
    <n v="1200"/>
    <n v="800"/>
    <s v="1994"/>
    <n v="1"/>
    <x v="0"/>
    <n v="400"/>
    <n v="0.5"/>
  </r>
  <r>
    <s v="4693"/>
    <x v="4704"/>
    <n v="4100000"/>
    <x v="5"/>
    <n v="60.497599999999998"/>
    <x v="0"/>
    <n v="28"/>
    <n v="20"/>
    <s v="2011"/>
    <n v="4"/>
    <x v="0"/>
    <n v="8"/>
    <n v="0.4"/>
  </r>
  <r>
    <s v="4694"/>
    <x v="4705"/>
    <n v="28400000"/>
    <x v="20"/>
    <n v="60.494100000000003"/>
    <x v="3"/>
    <n v="307"/>
    <n v="230"/>
    <s v="2001"/>
    <n v="9"/>
    <x v="0"/>
    <n v="77"/>
    <n v="0.33478260869565218"/>
  </r>
  <r>
    <s v="4695"/>
    <x v="4706"/>
    <n v="50100000"/>
    <x v="11"/>
    <n v="60.445599999999999"/>
    <x v="23"/>
    <n v="238"/>
    <n v="162"/>
    <s v="2007"/>
    <n v="8"/>
    <x v="0"/>
    <n v="76"/>
    <n v="0.46913580246913578"/>
  </r>
  <r>
    <s v="4696"/>
    <x v="4707"/>
    <n v="5900000"/>
    <x v="12"/>
    <n v="60.439100000000003"/>
    <x v="5"/>
    <n v="27"/>
    <n v="20"/>
    <s v="2007"/>
    <n v="2"/>
    <x v="0"/>
    <n v="7"/>
    <n v="0.35"/>
  </r>
  <r>
    <s v="4697"/>
    <x v="4708"/>
    <n v="3800000"/>
    <x v="6"/>
    <n v="60.4373"/>
    <x v="23"/>
    <n v="100"/>
    <n v="50"/>
    <s v="2003"/>
    <n v="3"/>
    <x v="0"/>
    <n v="50"/>
    <n v="1"/>
  </r>
  <r>
    <s v="4698"/>
    <x v="4709"/>
    <n v="68300000"/>
    <x v="2"/>
    <n v="60.432299999999998"/>
    <x v="19"/>
    <n v="390"/>
    <n v="286"/>
    <s v="2007"/>
    <n v="10"/>
    <x v="0"/>
    <n v="104"/>
    <n v="0.36363636363636365"/>
  </r>
  <r>
    <s v="4699"/>
    <x v="4710"/>
    <n v="19300000"/>
    <x v="9"/>
    <n v="60.4161"/>
    <x v="0"/>
    <n v="82"/>
    <n v="46"/>
    <s v="2005"/>
    <n v="4"/>
    <x v="0"/>
    <n v="36"/>
    <n v="0.78260869565217395"/>
  </r>
  <r>
    <s v="4700"/>
    <x v="4711"/>
    <n v="31400000"/>
    <x v="2"/>
    <n v="60.3996"/>
    <x v="17"/>
    <n v="45"/>
    <n v="24"/>
    <s v="2008"/>
    <n v="2"/>
    <x v="0"/>
    <n v="21"/>
    <n v="0.875"/>
  </r>
  <r>
    <s v="4701"/>
    <x v="4712"/>
    <n v="4300000"/>
    <x v="13"/>
    <n v="60.386800000000001"/>
    <x v="5"/>
    <n v="36"/>
    <n v="21"/>
    <s v="2007"/>
    <n v="2"/>
    <x v="0"/>
    <n v="15"/>
    <n v="0.7142857142857143"/>
  </r>
  <r>
    <s v="4702"/>
    <x v="4713"/>
    <n v="4500000"/>
    <x v="9"/>
    <n v="60.346200000000003"/>
    <x v="23"/>
    <n v="15"/>
    <n v="8"/>
    <s v="2012"/>
    <n v="3"/>
    <x v="0"/>
    <n v="7"/>
    <n v="0.875"/>
  </r>
  <r>
    <s v="4703"/>
    <x v="4714"/>
    <n v="2500000"/>
    <x v="1"/>
    <n v="60.330800000000004"/>
    <x v="5"/>
    <n v="9"/>
    <n v="5"/>
    <s v="2007"/>
    <n v="1"/>
    <x v="0"/>
    <n v="4"/>
    <n v="0.8"/>
  </r>
  <r>
    <s v="4704"/>
    <x v="4715"/>
    <n v="49300000"/>
    <x v="2"/>
    <n v="60.282800000000002"/>
    <x v="2"/>
    <n v="101"/>
    <n v="24"/>
    <s v="1973"/>
    <n v="1"/>
    <x v="0"/>
    <n v="77"/>
    <n v="3.2083333333333335"/>
  </r>
  <r>
    <s v="4705"/>
    <x v="4716"/>
    <n v="22100000"/>
    <x v="12"/>
    <n v="60.254899999999999"/>
    <x v="5"/>
    <n v="367"/>
    <n v="223"/>
    <s v="2003"/>
    <n v="1"/>
    <x v="0"/>
    <n v="144"/>
    <n v="0.64573991031390132"/>
  </r>
  <r>
    <s v="4706"/>
    <x v="4717"/>
    <n v="33100000"/>
    <x v="13"/>
    <n v="60.194299999999998"/>
    <x v="0"/>
    <n v="120"/>
    <n v="80"/>
    <s v="1994"/>
    <n v="3"/>
    <x v="0"/>
    <n v="40"/>
    <n v="0.5"/>
  </r>
  <r>
    <s v="4707"/>
    <x v="4718"/>
    <n v="4400000"/>
    <x v="22"/>
    <n v="60.175400000000003"/>
    <x v="9"/>
    <n v="24"/>
    <n v="12"/>
    <s v="2010"/>
    <n v="2"/>
    <x v="0"/>
    <n v="12"/>
    <n v="1"/>
  </r>
  <r>
    <s v="4708"/>
    <x v="4719"/>
    <n v="2600000"/>
    <x v="9"/>
    <n v="60.169899999999998"/>
    <x v="13"/>
    <n v="22"/>
    <n v="10"/>
    <s v="1999"/>
    <n v="1"/>
    <x v="0"/>
    <n v="12"/>
    <n v="1.2"/>
  </r>
  <r>
    <s v="4709"/>
    <x v="4720"/>
    <n v="738200000"/>
    <x v="8"/>
    <n v="60.151000000000003"/>
    <x v="13"/>
    <n v="1269"/>
    <n v="792"/>
    <s v="1895"/>
    <n v="9"/>
    <x v="0"/>
    <n v="477"/>
    <n v="0.60227272727272729"/>
  </r>
  <r>
    <s v="4710"/>
    <x v="4721"/>
    <n v="7200000"/>
    <x v="24"/>
    <n v="60.098599999999998"/>
    <x v="0"/>
    <n v="22"/>
    <n v="15"/>
    <s v="2008"/>
    <n v="7"/>
    <x v="0"/>
    <n v="7"/>
    <n v="0.46666666666666667"/>
  </r>
  <r>
    <s v="4711"/>
    <x v="4722"/>
    <n v="3700000"/>
    <x v="4"/>
    <n v="60.054400000000001"/>
    <x v="0"/>
    <n v="34"/>
    <n v="34"/>
    <s v="2002"/>
    <n v="2"/>
    <x v="1"/>
    <n v="0"/>
    <n v="0"/>
  </r>
  <r>
    <s v="4712"/>
    <x v="4723"/>
    <n v="12500000"/>
    <x v="2"/>
    <n v="60.043599999999998"/>
    <x v="3"/>
    <n v="82"/>
    <n v="46"/>
    <s v="1999"/>
    <n v="1"/>
    <x v="0"/>
    <n v="36"/>
    <n v="0.78260869565217395"/>
  </r>
  <r>
    <s v="4713"/>
    <x v="4724"/>
    <n v="193300000"/>
    <x v="31"/>
    <n v="60.0349"/>
    <x v="5"/>
    <n v="310"/>
    <n v="211"/>
    <s v="2014"/>
    <n v="4"/>
    <x v="0"/>
    <n v="99"/>
    <n v="0.46919431279620855"/>
  </r>
  <r>
    <s v="4714"/>
    <x v="4725"/>
    <n v="11000000"/>
    <x v="12"/>
    <n v="59.993400000000001"/>
    <x v="23"/>
    <n v="30"/>
    <n v="6"/>
    <s v="0"/>
    <n v="6"/>
    <x v="0"/>
    <n v="24"/>
    <n v="4"/>
  </r>
  <r>
    <s v="4715"/>
    <x v="4726"/>
    <n v="2600000"/>
    <x v="5"/>
    <n v="59.991199999999999"/>
    <x v="2"/>
    <n v="34"/>
    <n v="27"/>
    <s v="2011"/>
    <n v="2"/>
    <x v="0"/>
    <n v="7"/>
    <n v="0.25925925925925924"/>
  </r>
  <r>
    <s v="4716"/>
    <x v="4727"/>
    <n v="2800000"/>
    <x v="27"/>
    <n v="59.955100000000002"/>
    <x v="12"/>
    <n v="4"/>
    <n v="7"/>
    <s v="2004"/>
    <n v="2"/>
    <x v="1"/>
    <n v="-3"/>
    <n v="-0.42857142857142855"/>
  </r>
  <r>
    <s v="4717"/>
    <x v="4728"/>
    <n v="37600000"/>
    <x v="26"/>
    <n v="59.943899999999999"/>
    <x v="23"/>
    <n v="225"/>
    <n v="158"/>
    <s v="1993"/>
    <n v="5"/>
    <x v="0"/>
    <n v="67"/>
    <n v="0.42405063291139239"/>
  </r>
  <r>
    <s v="4718"/>
    <x v="4729"/>
    <n v="12500000"/>
    <x v="18"/>
    <n v="59.919499999999999"/>
    <x v="15"/>
    <n v="156"/>
    <n v="100"/>
    <s v="2015"/>
    <n v="1"/>
    <x v="0"/>
    <n v="56"/>
    <n v="0.56000000000000005"/>
  </r>
  <r>
    <s v="4719"/>
    <x v="4730"/>
    <n v="8200000"/>
    <x v="9"/>
    <n v="59.861499999999999"/>
    <x v="23"/>
    <n v="55"/>
    <n v="35"/>
    <s v="2010"/>
    <n v="4"/>
    <x v="0"/>
    <n v="20"/>
    <n v="0.5714285714285714"/>
  </r>
  <r>
    <s v="4720"/>
    <x v="4731"/>
    <n v="2600000"/>
    <x v="7"/>
    <n v="59.840899999999998"/>
    <x v="2"/>
    <n v="13"/>
    <n v="7"/>
    <s v="2010"/>
    <n v="1"/>
    <x v="0"/>
    <n v="6"/>
    <n v="0.8571428571428571"/>
  </r>
  <r>
    <s v="4721"/>
    <x v="4732"/>
    <n v="29200000"/>
    <x v="2"/>
    <n v="59.7791"/>
    <x v="1"/>
    <n v="76"/>
    <n v="55"/>
    <s v="2002"/>
    <n v="11"/>
    <x v="0"/>
    <n v="21"/>
    <n v="0.38181818181818183"/>
  </r>
  <r>
    <s v="4722"/>
    <x v="4733"/>
    <n v="155500000"/>
    <x v="32"/>
    <n v="59.7682"/>
    <x v="13"/>
    <n v="1020"/>
    <n v="580"/>
    <s v="1949"/>
    <n v="1"/>
    <x v="0"/>
    <n v="440"/>
    <n v="0.75862068965517238"/>
  </r>
  <r>
    <s v="4723"/>
    <x v="4734"/>
    <n v="4200000"/>
    <x v="6"/>
    <n v="59.746299999999998"/>
    <x v="26"/>
    <n v="20"/>
    <n v="14"/>
    <s v="2005"/>
    <n v="2"/>
    <x v="0"/>
    <n v="6"/>
    <n v="0.42857142857142855"/>
  </r>
  <r>
    <s v="4724"/>
    <x v="4735"/>
    <n v="2000000"/>
    <x v="40"/>
    <n v="59.740200000000002"/>
    <x v="26"/>
    <n v="11"/>
    <n v="7"/>
    <s v="1994"/>
    <n v="1"/>
    <x v="0"/>
    <n v="4"/>
    <n v="0.5714285714285714"/>
  </r>
  <r>
    <s v="4725"/>
    <x v="4736"/>
    <n v="3300000"/>
    <x v="19"/>
    <n v="59.725499999999997"/>
    <x v="15"/>
    <n v="31"/>
    <n v="22"/>
    <s v="2011"/>
    <n v="1"/>
    <x v="0"/>
    <n v="9"/>
    <n v="0.40909090909090912"/>
  </r>
  <r>
    <s v="4726"/>
    <x v="4737"/>
    <n v="4200000"/>
    <x v="6"/>
    <n v="59.716999999999999"/>
    <x v="5"/>
    <n v="20"/>
    <n v="7"/>
    <s v="2010"/>
    <n v="2"/>
    <x v="0"/>
    <n v="13"/>
    <n v="1.8571428571428572"/>
  </r>
  <r>
    <s v="4727"/>
    <x v="4738"/>
    <n v="49000000"/>
    <x v="8"/>
    <n v="59.6952"/>
    <x v="1"/>
    <n v="60"/>
    <n v="40"/>
    <s v="2007"/>
    <n v="8"/>
    <x v="0"/>
    <n v="20"/>
    <n v="0.5"/>
  </r>
  <r>
    <s v="4728"/>
    <x v="4739"/>
    <n v="13500000"/>
    <x v="32"/>
    <n v="59.690600000000003"/>
    <x v="25"/>
    <n v="70"/>
    <n v="55"/>
    <s v="2008"/>
    <n v="5"/>
    <x v="0"/>
    <n v="15"/>
    <n v="0.27272727272727271"/>
  </r>
  <r>
    <s v="4729"/>
    <x v="4740"/>
    <n v="5600000"/>
    <x v="7"/>
    <n v="59.596400000000003"/>
    <x v="11"/>
    <n v="40"/>
    <n v="18"/>
    <s v="2010"/>
    <n v="4"/>
    <x v="0"/>
    <n v="22"/>
    <n v="1.2222222222222223"/>
  </r>
  <r>
    <s v="4730"/>
    <x v="4741"/>
    <n v="7900000"/>
    <x v="12"/>
    <n v="59.591700000000003"/>
    <x v="14"/>
    <n v="22"/>
    <n v="20"/>
    <s v="2007"/>
    <n v="5"/>
    <x v="0"/>
    <n v="2"/>
    <n v="0.1"/>
  </r>
  <r>
    <s v="4731"/>
    <x v="4742"/>
    <n v="17000000"/>
    <x v="7"/>
    <n v="59.581800000000001"/>
    <x v="11"/>
    <n v="105"/>
    <n v="93"/>
    <s v="2003"/>
    <n v="5"/>
    <x v="0"/>
    <n v="12"/>
    <n v="0.12903225806451613"/>
  </r>
  <r>
    <s v="4732"/>
    <x v="4743"/>
    <n v="12800000"/>
    <x v="16"/>
    <n v="59.549900000000001"/>
    <x v="3"/>
    <n v="26"/>
    <n v="20"/>
    <s v="2008"/>
    <n v="5"/>
    <x v="0"/>
    <n v="6"/>
    <n v="0.3"/>
  </r>
  <r>
    <s v="4733"/>
    <x v="4744"/>
    <n v="17600000"/>
    <x v="9"/>
    <n v="59.536999999999999"/>
    <x v="9"/>
    <n v="105"/>
    <n v="93"/>
    <s v="2003"/>
    <n v="7"/>
    <x v="0"/>
    <n v="12"/>
    <n v="0.12903225806451613"/>
  </r>
  <r>
    <s v="4734"/>
    <x v="4745"/>
    <n v="4600000"/>
    <x v="9"/>
    <n v="59.517699999999998"/>
    <x v="15"/>
    <n v="45"/>
    <n v="25"/>
    <s v="2013"/>
    <n v="3"/>
    <x v="0"/>
    <n v="20"/>
    <n v="0.8"/>
  </r>
  <r>
    <s v="4735"/>
    <x v="4746"/>
    <n v="20000000"/>
    <x v="13"/>
    <n v="59.508899999999997"/>
    <x v="0"/>
    <n v="111"/>
    <n v="46"/>
    <s v="1995"/>
    <n v="7"/>
    <x v="0"/>
    <n v="65"/>
    <n v="1.4130434782608696"/>
  </r>
  <r>
    <s v="4736"/>
    <x v="4747"/>
    <n v="113300000"/>
    <x v="11"/>
    <n v="59.4968"/>
    <x v="12"/>
    <n v="30"/>
    <n v="20"/>
    <s v="2009"/>
    <n v="4"/>
    <x v="0"/>
    <n v="10"/>
    <n v="0.5"/>
  </r>
  <r>
    <s v="4737"/>
    <x v="4748"/>
    <n v="91800000"/>
    <x v="20"/>
    <n v="59.477899999999998"/>
    <x v="23"/>
    <n v="401"/>
    <n v="241"/>
    <s v="1987"/>
    <n v="1"/>
    <x v="0"/>
    <n v="160"/>
    <n v="0.66390041493775931"/>
  </r>
  <r>
    <s v="4738"/>
    <x v="4749"/>
    <n v="2900000"/>
    <x v="29"/>
    <n v="59.477899999999998"/>
    <x v="5"/>
    <n v="12"/>
    <n v="15"/>
    <s v="1993"/>
    <n v="1"/>
    <x v="1"/>
    <n v="-3"/>
    <n v="-0.2"/>
  </r>
  <r>
    <s v="4739"/>
    <x v="4750"/>
    <n v="427600000"/>
    <x v="5"/>
    <n v="59.448099999999997"/>
    <x v="22"/>
    <n v="700"/>
    <n v="410"/>
    <s v="2004"/>
    <n v="4"/>
    <x v="0"/>
    <n v="290"/>
    <n v="0.70731707317073167"/>
  </r>
  <r>
    <s v="4740"/>
    <x v="4751"/>
    <n v="11800000"/>
    <x v="16"/>
    <n v="59.424999999999997"/>
    <x v="0"/>
    <n v="70"/>
    <n v="25"/>
    <s v="2008"/>
    <n v="4"/>
    <x v="0"/>
    <n v="45"/>
    <n v="1.8"/>
  </r>
  <r>
    <s v="4741"/>
    <x v="4752"/>
    <n v="37800000"/>
    <x v="33"/>
    <n v="59.367100000000001"/>
    <x v="23"/>
    <n v="230"/>
    <n v="185"/>
    <s v="1993"/>
    <n v="1"/>
    <x v="0"/>
    <n v="45"/>
    <n v="0.24324324324324326"/>
  </r>
  <r>
    <s v="4742"/>
    <x v="4753"/>
    <n v="257200000"/>
    <x v="2"/>
    <n v="59.363300000000002"/>
    <x v="2"/>
    <n v="5350"/>
    <n v="3375"/>
    <s v="1998"/>
    <n v="4"/>
    <x v="0"/>
    <n v="1975"/>
    <n v="0.58518518518518514"/>
  </r>
  <r>
    <s v="4743"/>
    <x v="4754"/>
    <n v="82900000"/>
    <x v="9"/>
    <n v="59.356299999999997"/>
    <x v="15"/>
    <n v="371"/>
    <n v="237"/>
    <s v="2000"/>
    <n v="10"/>
    <x v="0"/>
    <n v="134"/>
    <n v="0.56540084388185652"/>
  </r>
  <r>
    <s v="4744"/>
    <x v="4755"/>
    <n v="12500000"/>
    <x v="27"/>
    <n v="59.353099999999998"/>
    <x v="23"/>
    <n v="52"/>
    <n v="35"/>
    <s v="1973"/>
    <n v="1"/>
    <x v="0"/>
    <n v="17"/>
    <n v="0.48571428571428571"/>
  </r>
  <r>
    <s v="4745"/>
    <x v="4756"/>
    <n v="13300000"/>
    <x v="7"/>
    <n v="59.327500000000001"/>
    <x v="9"/>
    <n v="101"/>
    <n v="70"/>
    <s v="1999"/>
    <n v="7"/>
    <x v="0"/>
    <n v="31"/>
    <n v="0.44285714285714284"/>
  </r>
  <r>
    <s v="4746"/>
    <x v="4757"/>
    <n v="61400000"/>
    <x v="27"/>
    <n v="59.296399999999998"/>
    <x v="14"/>
    <n v="5799"/>
    <n v="4537"/>
    <s v="1995"/>
    <n v="13"/>
    <x v="0"/>
    <n v="1262"/>
    <n v="0.27815737271324664"/>
  </r>
  <r>
    <s v="4747"/>
    <x v="4758"/>
    <n v="113500000"/>
    <x v="38"/>
    <n v="59.296300000000002"/>
    <x v="3"/>
    <n v="244"/>
    <n v="140"/>
    <s v="1998"/>
    <n v="1"/>
    <x v="0"/>
    <n v="104"/>
    <n v="0.74285714285714288"/>
  </r>
  <r>
    <s v="4748"/>
    <x v="4759"/>
    <n v="24200000"/>
    <x v="2"/>
    <n v="59.279400000000003"/>
    <x v="13"/>
    <n v="114"/>
    <n v="94"/>
    <s v="1973"/>
    <n v="1"/>
    <x v="0"/>
    <n v="20"/>
    <n v="0.21276595744680851"/>
  </r>
  <r>
    <s v="4749"/>
    <x v="4760"/>
    <n v="2700000"/>
    <x v="2"/>
    <n v="59.252499999999998"/>
    <x v="25"/>
    <n v="12"/>
    <n v="8"/>
    <s v="2011"/>
    <n v="1"/>
    <x v="0"/>
    <n v="4"/>
    <n v="0.5"/>
  </r>
  <r>
    <s v="4750"/>
    <x v="4761"/>
    <n v="2300000"/>
    <x v="2"/>
    <n v="59.249600000000001"/>
    <x v="0"/>
    <n v="17"/>
    <n v="14"/>
    <s v="1998"/>
    <n v="1"/>
    <x v="0"/>
    <n v="3"/>
    <n v="0.21428571428571427"/>
  </r>
  <r>
    <s v="4751"/>
    <x v="4762"/>
    <n v="2600000"/>
    <x v="27"/>
    <n v="59.246600000000001"/>
    <x v="15"/>
    <n v="16"/>
    <n v="6"/>
    <s v="2011"/>
    <n v="1"/>
    <x v="0"/>
    <n v="10"/>
    <n v="1.6666666666666667"/>
  </r>
  <r>
    <s v="4752"/>
    <x v="4763"/>
    <n v="3800000"/>
    <x v="1"/>
    <n v="59.206499999999998"/>
    <x v="5"/>
    <n v="79"/>
    <n v="50"/>
    <s v="2009"/>
    <n v="4"/>
    <x v="0"/>
    <n v="29"/>
    <n v="0.57999999999999996"/>
  </r>
  <r>
    <s v="4753"/>
    <x v="4764"/>
    <n v="37300000"/>
    <x v="9"/>
    <n v="59.196800000000003"/>
    <x v="13"/>
    <n v="97"/>
    <n v="62"/>
    <s v="2011"/>
    <n v="1"/>
    <x v="0"/>
    <n v="35"/>
    <n v="0.56451612903225812"/>
  </r>
  <r>
    <s v="4754"/>
    <x v="4765"/>
    <n v="4500000"/>
    <x v="7"/>
    <n v="59.1462"/>
    <x v="11"/>
    <n v="20"/>
    <n v="12"/>
    <s v="2013"/>
    <n v="1"/>
    <x v="0"/>
    <n v="8"/>
    <n v="0.66666666666666663"/>
  </r>
  <r>
    <s v="4755"/>
    <x v="4766"/>
    <n v="62200000"/>
    <x v="8"/>
    <n v="59.131799999999998"/>
    <x v="4"/>
    <n v="47"/>
    <n v="38"/>
    <s v="1987"/>
    <n v="5"/>
    <x v="0"/>
    <n v="9"/>
    <n v="0.23684210526315788"/>
  </r>
  <r>
    <s v="4756"/>
    <x v="4767"/>
    <n v="10700000"/>
    <x v="8"/>
    <n v="59.094200000000001"/>
    <x v="3"/>
    <n v="59"/>
    <n v="29"/>
    <s v="1928"/>
    <n v="2"/>
    <x v="0"/>
    <n v="30"/>
    <n v="1.0344827586206897"/>
  </r>
  <r>
    <s v="4757"/>
    <x v="4768"/>
    <n v="2600000"/>
    <x v="27"/>
    <n v="59.050400000000003"/>
    <x v="23"/>
    <n v="19"/>
    <n v="13"/>
    <s v="2005"/>
    <n v="1"/>
    <x v="0"/>
    <n v="6"/>
    <n v="0.46153846153846156"/>
  </r>
  <r>
    <s v="4758"/>
    <x v="4769"/>
    <n v="9700000"/>
    <x v="27"/>
    <n v="59.040100000000002"/>
    <x v="23"/>
    <n v="60"/>
    <n v="30"/>
    <s v="2005"/>
    <n v="2"/>
    <x v="0"/>
    <n v="30"/>
    <n v="1"/>
  </r>
  <r>
    <s v="4759"/>
    <x v="4770"/>
    <n v="522600000"/>
    <x v="2"/>
    <n v="59.032899999999998"/>
    <x v="15"/>
    <n v="2336"/>
    <n v="1579"/>
    <s v="1986"/>
    <n v="8"/>
    <x v="0"/>
    <n v="757"/>
    <n v="0.47941735275490815"/>
  </r>
  <r>
    <s v="4760"/>
    <x v="4771"/>
    <n v="15200000"/>
    <x v="1"/>
    <n v="59.0137"/>
    <x v="11"/>
    <n v="68"/>
    <n v="24"/>
    <s v="2007"/>
    <n v="1"/>
    <x v="0"/>
    <n v="44"/>
    <n v="1.8333333333333333"/>
  </r>
  <r>
    <s v="4761"/>
    <x v="4772"/>
    <n v="15900000"/>
    <x v="41"/>
    <n v="58.999200000000002"/>
    <x v="8"/>
    <n v="40"/>
    <n v="23"/>
    <s v="2003"/>
    <n v="6"/>
    <x v="0"/>
    <n v="17"/>
    <n v="0.73913043478260865"/>
  </r>
  <r>
    <s v="4762"/>
    <x v="4773"/>
    <n v="6800000"/>
    <x v="20"/>
    <n v="58.987200000000001"/>
    <x v="3"/>
    <n v="21"/>
    <n v="17"/>
    <s v="1969"/>
    <n v="3"/>
    <x v="0"/>
    <n v="4"/>
    <n v="0.23529411764705882"/>
  </r>
  <r>
    <s v="4763"/>
    <x v="4774"/>
    <n v="29500000"/>
    <x v="23"/>
    <n v="58.979500000000002"/>
    <x v="20"/>
    <n v="137"/>
    <n v="81"/>
    <s v="1994"/>
    <n v="13"/>
    <x v="0"/>
    <n v="56"/>
    <n v="0.69135802469135799"/>
  </r>
  <r>
    <s v="4764"/>
    <x v="4775"/>
    <n v="41400000"/>
    <x v="40"/>
    <n v="58.949300000000001"/>
    <x v="23"/>
    <n v="170"/>
    <n v="100"/>
    <s v="1996"/>
    <n v="8"/>
    <x v="0"/>
    <n v="70"/>
    <n v="0.7"/>
  </r>
  <r>
    <s v="4765"/>
    <x v="4776"/>
    <n v="8000000"/>
    <x v="27"/>
    <n v="58.945999999999998"/>
    <x v="19"/>
    <n v="72"/>
    <n v="52"/>
    <s v="2000"/>
    <n v="8"/>
    <x v="0"/>
    <n v="20"/>
    <n v="0.38461538461538464"/>
  </r>
  <r>
    <s v="4766"/>
    <x v="4777"/>
    <n v="2800000"/>
    <x v="5"/>
    <n v="58.935699999999997"/>
    <x v="18"/>
    <n v="21"/>
    <n v="8"/>
    <s v="2010"/>
    <n v="1"/>
    <x v="0"/>
    <n v="13"/>
    <n v="1.625"/>
  </r>
  <r>
    <s v="4767"/>
    <x v="4778"/>
    <n v="2500000"/>
    <x v="0"/>
    <n v="58.917299999999997"/>
    <x v="5"/>
    <n v="12"/>
    <n v="6"/>
    <s v="2002"/>
    <n v="1"/>
    <x v="0"/>
    <n v="6"/>
    <n v="1"/>
  </r>
  <r>
    <s v="4768"/>
    <x v="4779"/>
    <n v="2600000"/>
    <x v="9"/>
    <n v="58.905999999999999"/>
    <x v="7"/>
    <n v="12"/>
    <n v="3"/>
    <s v="2006"/>
    <n v="3"/>
    <x v="0"/>
    <n v="9"/>
    <n v="3"/>
  </r>
  <r>
    <s v="4769"/>
    <x v="4780"/>
    <n v="101100000"/>
    <x v="28"/>
    <n v="58.888100000000001"/>
    <x v="9"/>
    <n v="136"/>
    <n v="108"/>
    <s v="2007"/>
    <n v="7"/>
    <x v="0"/>
    <n v="28"/>
    <n v="0.25925925925925924"/>
  </r>
  <r>
    <s v="4770"/>
    <x v="4781"/>
    <n v="24300000"/>
    <x v="9"/>
    <n v="58.860999999999997"/>
    <x v="8"/>
    <n v="10"/>
    <n v="6"/>
    <s v="2005"/>
    <n v="4"/>
    <x v="0"/>
    <n v="4"/>
    <n v="0.66666666666666663"/>
  </r>
  <r>
    <s v="4771"/>
    <x v="4782"/>
    <n v="183300000"/>
    <x v="10"/>
    <n v="58.860900000000001"/>
    <x v="5"/>
    <n v="1300"/>
    <n v="770"/>
    <s v="2008"/>
    <n v="5"/>
    <x v="0"/>
    <n v="530"/>
    <n v="0.68831168831168832"/>
  </r>
  <r>
    <s v="4772"/>
    <x v="4783"/>
    <n v="4000000"/>
    <x v="7"/>
    <n v="58.826900000000002"/>
    <x v="5"/>
    <n v="72"/>
    <n v="35"/>
    <s v="1993"/>
    <n v="1"/>
    <x v="0"/>
    <n v="37"/>
    <n v="1.0571428571428572"/>
  </r>
  <r>
    <s v="4773"/>
    <x v="4784"/>
    <n v="13100000"/>
    <x v="9"/>
    <n v="58.7498"/>
    <x v="5"/>
    <n v="180"/>
    <n v="105"/>
    <s v="2004"/>
    <n v="6"/>
    <x v="0"/>
    <n v="75"/>
    <n v="0.7142857142857143"/>
  </r>
  <r>
    <s v="4774"/>
    <x v="4785"/>
    <n v="3700000"/>
    <x v="14"/>
    <n v="58.7288"/>
    <x v="21"/>
    <n v="37"/>
    <n v="25"/>
    <s v="2005"/>
    <n v="3"/>
    <x v="0"/>
    <n v="12"/>
    <n v="0.48"/>
  </r>
  <r>
    <s v="4775"/>
    <x v="4786"/>
    <n v="2400000"/>
    <x v="0"/>
    <n v="58.720999999999997"/>
    <x v="4"/>
    <n v="3"/>
    <n v="2"/>
    <s v="2014"/>
    <n v="1"/>
    <x v="0"/>
    <n v="1"/>
    <n v="0.5"/>
  </r>
  <r>
    <s v="4776"/>
    <x v="4787"/>
    <n v="5300000"/>
    <x v="1"/>
    <n v="58.708599999999997"/>
    <x v="23"/>
    <n v="50"/>
    <n v="35"/>
    <s v="2001"/>
    <n v="2"/>
    <x v="0"/>
    <n v="15"/>
    <n v="0.42857142857142855"/>
  </r>
  <r>
    <s v="4777"/>
    <x v="4788"/>
    <n v="5900000"/>
    <x v="1"/>
    <n v="58.667000000000002"/>
    <x v="15"/>
    <n v="13"/>
    <n v="12"/>
    <s v="2007"/>
    <n v="4"/>
    <x v="0"/>
    <n v="1"/>
    <n v="8.3333333333333329E-2"/>
  </r>
  <r>
    <s v="4778"/>
    <x v="4789"/>
    <n v="21100000"/>
    <x v="37"/>
    <n v="58.656300000000002"/>
    <x v="13"/>
    <n v="48"/>
    <n v="39"/>
    <s v="2002"/>
    <n v="8"/>
    <x v="0"/>
    <n v="9"/>
    <n v="0.23076923076923078"/>
  </r>
  <r>
    <s v="4779"/>
    <x v="4790"/>
    <n v="3000000"/>
    <x v="22"/>
    <n v="58.625900000000001"/>
    <x v="19"/>
    <n v="11"/>
    <n v="8"/>
    <s v="2004"/>
    <n v="3"/>
    <x v="0"/>
    <n v="3"/>
    <n v="0.375"/>
  </r>
  <r>
    <s v="4780"/>
    <x v="4791"/>
    <n v="10900000"/>
    <x v="8"/>
    <n v="58.592500000000001"/>
    <x v="23"/>
    <n v="65"/>
    <n v="53"/>
    <s v="1990"/>
    <n v="1"/>
    <x v="0"/>
    <n v="12"/>
    <n v="0.22641509433962265"/>
  </r>
  <r>
    <s v="4781"/>
    <x v="4792"/>
    <n v="20400000"/>
    <x v="21"/>
    <n v="58.5807"/>
    <x v="0"/>
    <n v="132"/>
    <n v="106"/>
    <s v="1999"/>
    <n v="4"/>
    <x v="0"/>
    <n v="26"/>
    <n v="0.24528301886792453"/>
  </r>
  <r>
    <s v="4782"/>
    <x v="4793"/>
    <n v="28800000"/>
    <x v="2"/>
    <n v="58.533799999999999"/>
    <x v="13"/>
    <n v="44"/>
    <n v="23"/>
    <s v="2005"/>
    <n v="5"/>
    <x v="0"/>
    <n v="21"/>
    <n v="0.91304347826086951"/>
  </r>
  <r>
    <s v="4783"/>
    <x v="4794"/>
    <n v="4900000"/>
    <x v="1"/>
    <n v="58.454700000000003"/>
    <x v="0"/>
    <n v="45"/>
    <n v="28"/>
    <s v="2010"/>
    <n v="5"/>
    <x v="0"/>
    <n v="17"/>
    <n v="0.6071428571428571"/>
  </r>
  <r>
    <s v="4784"/>
    <x v="4795"/>
    <n v="4500000"/>
    <x v="2"/>
    <n v="58.434199999999997"/>
    <x v="26"/>
    <n v="16"/>
    <n v="17"/>
    <s v="2004"/>
    <n v="2"/>
    <x v="1"/>
    <n v="-1"/>
    <n v="-5.8823529411764705E-2"/>
  </r>
  <r>
    <s v="4785"/>
    <x v="4796"/>
    <n v="2800000"/>
    <x v="9"/>
    <n v="58.403300000000002"/>
    <x v="7"/>
    <n v="17"/>
    <n v="9"/>
    <s v="2006"/>
    <n v="3"/>
    <x v="0"/>
    <n v="8"/>
    <n v="0.88888888888888884"/>
  </r>
  <r>
    <s v="4786"/>
    <x v="4797"/>
    <n v="10300000"/>
    <x v="16"/>
    <n v="58.360799999999998"/>
    <x v="8"/>
    <n v="48"/>
    <n v="13"/>
    <s v="2014"/>
    <n v="1"/>
    <x v="0"/>
    <n v="35"/>
    <n v="2.6923076923076925"/>
  </r>
  <r>
    <s v="4787"/>
    <x v="4798"/>
    <n v="49000000"/>
    <x v="5"/>
    <n v="58.314300000000003"/>
    <x v="9"/>
    <n v="170"/>
    <n v="130"/>
    <s v="1982"/>
    <n v="1"/>
    <x v="0"/>
    <n v="40"/>
    <n v="0.30769230769230771"/>
  </r>
  <r>
    <s v="4788"/>
    <x v="4799"/>
    <n v="35200000"/>
    <x v="22"/>
    <n v="58.313699999999997"/>
    <x v="19"/>
    <n v="46"/>
    <n v="29"/>
    <s v="2001"/>
    <n v="7"/>
    <x v="0"/>
    <n v="17"/>
    <n v="0.58620689655172409"/>
  </r>
  <r>
    <s v="4789"/>
    <x v="4800"/>
    <n v="7100000"/>
    <x v="13"/>
    <n v="58.291499999999999"/>
    <x v="19"/>
    <n v="44"/>
    <n v="32"/>
    <s v="1996"/>
    <n v="2"/>
    <x v="0"/>
    <n v="12"/>
    <n v="0.375"/>
  </r>
  <r>
    <s v="4790"/>
    <x v="4801"/>
    <n v="27700000"/>
    <x v="8"/>
    <n v="58.254399999999997"/>
    <x v="1"/>
    <n v="73"/>
    <n v="42"/>
    <s v="1976"/>
    <n v="2"/>
    <x v="0"/>
    <n v="31"/>
    <n v="0.73809523809523814"/>
  </r>
  <r>
    <s v="4791"/>
    <x v="4802"/>
    <n v="134800000"/>
    <x v="2"/>
    <n v="58.229500000000002"/>
    <x v="19"/>
    <n v="646"/>
    <n v="451"/>
    <s v="2003"/>
    <n v="11"/>
    <x v="0"/>
    <n v="195"/>
    <n v="0.43237250554323725"/>
  </r>
  <r>
    <s v="4792"/>
    <x v="4803"/>
    <n v="11400000"/>
    <x v="1"/>
    <n v="58.224899999999998"/>
    <x v="18"/>
    <n v="465"/>
    <n v="310"/>
    <s v="2009"/>
    <n v="5"/>
    <x v="0"/>
    <n v="155"/>
    <n v="0.5"/>
  </r>
  <r>
    <s v="4793"/>
    <x v="4804"/>
    <n v="1500000000"/>
    <x v="16"/>
    <n v="58.221299999999999"/>
    <x v="15"/>
    <n v="1423"/>
    <n v="1082"/>
    <s v="1967"/>
    <n v="1"/>
    <x v="0"/>
    <n v="341"/>
    <n v="0.31515711645101663"/>
  </r>
  <r>
    <s v="4794"/>
    <x v="4805"/>
    <n v="15800000"/>
    <x v="10"/>
    <n v="58.2087"/>
    <x v="20"/>
    <n v="34"/>
    <n v="24"/>
    <s v="1998"/>
    <n v="8"/>
    <x v="0"/>
    <n v="10"/>
    <n v="0.41666666666666669"/>
  </r>
  <r>
    <s v="4795"/>
    <x v="4806"/>
    <n v="76600000"/>
    <x v="6"/>
    <n v="58.196399999999997"/>
    <x v="23"/>
    <n v="44"/>
    <n v="35"/>
    <s v="2000"/>
    <n v="4"/>
    <x v="0"/>
    <n v="9"/>
    <n v="0.25714285714285712"/>
  </r>
  <r>
    <s v="4796"/>
    <x v="4807"/>
    <n v="10200000"/>
    <x v="4"/>
    <n v="58.1526"/>
    <x v="23"/>
    <n v="70"/>
    <n v="20"/>
    <s v="2014"/>
    <n v="1"/>
    <x v="0"/>
    <n v="50"/>
    <n v="2.5"/>
  </r>
  <r>
    <s v="4797"/>
    <x v="4808"/>
    <n v="17100000"/>
    <x v="12"/>
    <n v="58.141800000000003"/>
    <x v="0"/>
    <n v="65"/>
    <n v="39"/>
    <s v="2013"/>
    <n v="1"/>
    <x v="0"/>
    <n v="26"/>
    <n v="0.66666666666666663"/>
  </r>
  <r>
    <s v="4798"/>
    <x v="4809"/>
    <n v="3400000"/>
    <x v="4"/>
    <n v="58.119300000000003"/>
    <x v="23"/>
    <n v="21"/>
    <n v="12"/>
    <s v="2012"/>
    <n v="3"/>
    <x v="0"/>
    <n v="9"/>
    <n v="0.75"/>
  </r>
  <r>
    <s v="4799"/>
    <x v="4810"/>
    <n v="17900000"/>
    <x v="41"/>
    <n v="58.092100000000002"/>
    <x v="4"/>
    <n v="24"/>
    <n v="13"/>
    <s v="2015"/>
    <n v="1"/>
    <x v="0"/>
    <n v="11"/>
    <n v="0.84615384615384615"/>
  </r>
  <r>
    <s v="4800"/>
    <x v="4811"/>
    <n v="42300000"/>
    <x v="28"/>
    <n v="58.056399999999996"/>
    <x v="3"/>
    <n v="31"/>
    <n v="27"/>
    <s v="2010"/>
    <n v="3"/>
    <x v="0"/>
    <n v="4"/>
    <n v="0.14814814814814814"/>
  </r>
  <r>
    <s v="4801"/>
    <x v="4812"/>
    <n v="1100000000"/>
    <x v="27"/>
    <n v="58.026000000000003"/>
    <x v="3"/>
    <n v="1200"/>
    <n v="700"/>
    <s v="2011"/>
    <n v="2"/>
    <x v="0"/>
    <n v="500"/>
    <n v="0.7142857142857143"/>
  </r>
  <r>
    <s v="4802"/>
    <x v="4813"/>
    <n v="4600000"/>
    <x v="8"/>
    <n v="57.991999999999997"/>
    <x v="13"/>
    <n v="13"/>
    <n v="11"/>
    <s v="2003"/>
    <n v="1"/>
    <x v="0"/>
    <n v="2"/>
    <n v="0.18181818181818182"/>
  </r>
  <r>
    <s v="4803"/>
    <x v="4814"/>
    <n v="10300000"/>
    <x v="21"/>
    <n v="57.980200000000004"/>
    <x v="3"/>
    <n v="26"/>
    <n v="18"/>
    <s v="2007"/>
    <n v="2"/>
    <x v="0"/>
    <n v="8"/>
    <n v="0.44444444444444442"/>
  </r>
  <r>
    <s v="4804"/>
    <x v="4815"/>
    <n v="25400000"/>
    <x v="4"/>
    <n v="57.978900000000003"/>
    <x v="18"/>
    <n v="114"/>
    <n v="98"/>
    <s v="2005"/>
    <n v="6"/>
    <x v="0"/>
    <n v="16"/>
    <n v="0.16326530612244897"/>
  </r>
  <r>
    <s v="4805"/>
    <x v="4816"/>
    <n v="157500000"/>
    <x v="4"/>
    <n v="57.963799999999999"/>
    <x v="9"/>
    <n v="700"/>
    <n v="475"/>
    <s v="1995"/>
    <n v="11"/>
    <x v="0"/>
    <n v="225"/>
    <n v="0.47368421052631576"/>
  </r>
  <r>
    <s v="4806"/>
    <x v="4817"/>
    <n v="21500000"/>
    <x v="19"/>
    <n v="57.948399999999999"/>
    <x v="23"/>
    <n v="106"/>
    <n v="73"/>
    <s v="2009"/>
    <n v="4"/>
    <x v="0"/>
    <n v="33"/>
    <n v="0.45205479452054792"/>
  </r>
  <r>
    <s v="4807"/>
    <x v="4818"/>
    <n v="4900000"/>
    <x v="9"/>
    <n v="57.929299999999998"/>
    <x v="0"/>
    <n v="65"/>
    <n v="35"/>
    <s v="2009"/>
    <n v="1"/>
    <x v="0"/>
    <n v="30"/>
    <n v="0.8571428571428571"/>
  </r>
  <r>
    <s v="4808"/>
    <x v="4819"/>
    <n v="8000000"/>
    <x v="9"/>
    <n v="57.897500000000001"/>
    <x v="23"/>
    <n v="49"/>
    <n v="27"/>
    <s v="2004"/>
    <n v="5"/>
    <x v="0"/>
    <n v="22"/>
    <n v="0.81481481481481477"/>
  </r>
  <r>
    <s v="4809"/>
    <x v="4820"/>
    <n v="32300000"/>
    <x v="27"/>
    <n v="57.8917"/>
    <x v="23"/>
    <n v="124"/>
    <n v="27"/>
    <s v="2003"/>
    <n v="4"/>
    <x v="0"/>
    <n v="97"/>
    <n v="3.5925925925925926"/>
  </r>
  <r>
    <s v="4810"/>
    <x v="4821"/>
    <n v="5000000"/>
    <x v="4"/>
    <n v="57.850499999999997"/>
    <x v="12"/>
    <n v="33"/>
    <n v="14"/>
    <s v="2009"/>
    <n v="4"/>
    <x v="0"/>
    <n v="19"/>
    <n v="1.3571428571428572"/>
  </r>
  <r>
    <s v="4811"/>
    <x v="4822"/>
    <n v="520100000"/>
    <x v="45"/>
    <n v="57.8489"/>
    <x v="11"/>
    <n v="180"/>
    <n v="140"/>
    <s v="1996"/>
    <n v="8"/>
    <x v="0"/>
    <n v="40"/>
    <n v="0.2857142857142857"/>
  </r>
  <r>
    <s v="4812"/>
    <x v="4823"/>
    <n v="14500000"/>
    <x v="21"/>
    <n v="57.845199999999998"/>
    <x v="11"/>
    <n v="85"/>
    <n v="69"/>
    <s v="2002"/>
    <n v="5"/>
    <x v="0"/>
    <n v="16"/>
    <n v="0.2318840579710145"/>
  </r>
  <r>
    <s v="4813"/>
    <x v="4824"/>
    <n v="17000000"/>
    <x v="9"/>
    <n v="57.826799999999999"/>
    <x v="7"/>
    <n v="57"/>
    <n v="46"/>
    <s v="2002"/>
    <n v="8"/>
    <x v="0"/>
    <n v="11"/>
    <n v="0.2391304347826087"/>
  </r>
  <r>
    <s v="4814"/>
    <x v="4825"/>
    <n v="3200000"/>
    <x v="40"/>
    <n v="57.819400000000002"/>
    <x v="7"/>
    <n v="27"/>
    <n v="21"/>
    <s v="1982"/>
    <n v="3"/>
    <x v="0"/>
    <n v="6"/>
    <n v="0.2857142857142857"/>
  </r>
  <r>
    <s v="4815"/>
    <x v="4826"/>
    <n v="7000000"/>
    <x v="22"/>
    <n v="57.794699999999999"/>
    <x v="0"/>
    <n v="52"/>
    <n v="46"/>
    <s v="2005"/>
    <n v="4"/>
    <x v="0"/>
    <n v="6"/>
    <n v="0.13043478260869565"/>
  </r>
  <r>
    <s v="4816"/>
    <x v="4827"/>
    <n v="6800000"/>
    <x v="10"/>
    <n v="57.791699999999999"/>
    <x v="3"/>
    <n v="45"/>
    <n v="35"/>
    <s v="2006"/>
    <n v="3"/>
    <x v="0"/>
    <n v="10"/>
    <n v="0.2857142857142857"/>
  </r>
  <r>
    <s v="4817"/>
    <x v="4828"/>
    <n v="2800000"/>
    <x v="10"/>
    <n v="57.785600000000002"/>
    <x v="0"/>
    <n v="17"/>
    <n v="12"/>
    <s v="2009"/>
    <n v="3"/>
    <x v="0"/>
    <n v="5"/>
    <n v="0.41666666666666669"/>
  </r>
  <r>
    <s v="4818"/>
    <x v="4829"/>
    <n v="2400000"/>
    <x v="7"/>
    <n v="57.781100000000002"/>
    <x v="11"/>
    <n v="12"/>
    <n v="8"/>
    <s v="2012"/>
    <n v="1"/>
    <x v="0"/>
    <n v="4"/>
    <n v="0.5"/>
  </r>
  <r>
    <s v="4819"/>
    <x v="4830"/>
    <n v="2500000"/>
    <x v="5"/>
    <n v="57.764200000000002"/>
    <x v="26"/>
    <n v="34"/>
    <n v="15"/>
    <s v="2011"/>
    <n v="1"/>
    <x v="0"/>
    <n v="19"/>
    <n v="1.2666666666666666"/>
  </r>
  <r>
    <s v="4820"/>
    <x v="4831"/>
    <n v="9900000"/>
    <x v="2"/>
    <n v="57.762999999999998"/>
    <x v="12"/>
    <n v="200"/>
    <n v="90"/>
    <s v="2006"/>
    <n v="3"/>
    <x v="0"/>
    <n v="110"/>
    <n v="1.2222222222222223"/>
  </r>
  <r>
    <s v="4821"/>
    <x v="4832"/>
    <n v="26500000"/>
    <x v="4"/>
    <n v="57.634"/>
    <x v="25"/>
    <n v="160"/>
    <n v="101"/>
    <s v="1986"/>
    <n v="11"/>
    <x v="0"/>
    <n v="59"/>
    <n v="0.58415841584158412"/>
  </r>
  <r>
    <s v="4822"/>
    <x v="4833"/>
    <n v="10500000"/>
    <x v="5"/>
    <n v="57.530999999999999"/>
    <x v="11"/>
    <n v="51"/>
    <n v="20"/>
    <s v="2011"/>
    <n v="3"/>
    <x v="0"/>
    <n v="31"/>
    <n v="1.55"/>
  </r>
  <r>
    <s v="4823"/>
    <x v="4834"/>
    <n v="19700000"/>
    <x v="7"/>
    <n v="57.506"/>
    <x v="7"/>
    <n v="49"/>
    <n v="36"/>
    <s v="1993"/>
    <n v="8"/>
    <x v="0"/>
    <n v="13"/>
    <n v="0.3611111111111111"/>
  </r>
  <r>
    <s v="4824"/>
    <x v="4835"/>
    <n v="4100000"/>
    <x v="23"/>
    <n v="57.4938"/>
    <x v="26"/>
    <n v="38"/>
    <n v="29"/>
    <s v="2001"/>
    <n v="2"/>
    <x v="0"/>
    <n v="9"/>
    <n v="0.31034482758620691"/>
  </r>
  <r>
    <s v="4825"/>
    <x v="4836"/>
    <n v="8400000"/>
    <x v="32"/>
    <n v="57.470300000000002"/>
    <x v="23"/>
    <n v="36"/>
    <n v="30"/>
    <s v="2004"/>
    <n v="3"/>
    <x v="0"/>
    <n v="6"/>
    <n v="0.2"/>
  </r>
  <r>
    <s v="4826"/>
    <x v="4837"/>
    <n v="13100000"/>
    <x v="9"/>
    <n v="57.445799999999998"/>
    <x v="19"/>
    <n v="71"/>
    <n v="54"/>
    <s v="2002"/>
    <n v="2"/>
    <x v="0"/>
    <n v="17"/>
    <n v="0.31481481481481483"/>
  </r>
  <r>
    <s v="4827"/>
    <x v="4838"/>
    <n v="2100000"/>
    <x v="13"/>
    <n v="57.360300000000002"/>
    <x v="26"/>
    <n v="10"/>
    <n v="6"/>
    <s v="2008"/>
    <n v="1"/>
    <x v="0"/>
    <n v="4"/>
    <n v="0.66666666666666663"/>
  </r>
  <r>
    <s v="4828"/>
    <x v="4839"/>
    <n v="2500000"/>
    <x v="9"/>
    <n v="57.231999999999999"/>
    <x v="13"/>
    <n v="6"/>
    <n v="8"/>
    <s v="2010"/>
    <n v="1"/>
    <x v="1"/>
    <n v="-2"/>
    <n v="-0.25"/>
  </r>
  <r>
    <s v="4829"/>
    <x v="4840"/>
    <n v="152500000"/>
    <x v="9"/>
    <n v="57.2258"/>
    <x v="21"/>
    <n v="751"/>
    <n v="564"/>
    <s v="2007"/>
    <n v="5"/>
    <x v="0"/>
    <n v="187"/>
    <n v="0.33156028368794327"/>
  </r>
  <r>
    <s v="4830"/>
    <x v="4841"/>
    <n v="4800000"/>
    <x v="9"/>
    <n v="57.214500000000001"/>
    <x v="26"/>
    <n v="33"/>
    <n v="28"/>
    <s v="2009"/>
    <n v="3"/>
    <x v="0"/>
    <n v="5"/>
    <n v="0.17857142857142858"/>
  </r>
  <r>
    <s v="4831"/>
    <x v="4842"/>
    <n v="20700000"/>
    <x v="4"/>
    <n v="57.204000000000001"/>
    <x v="25"/>
    <n v="150"/>
    <n v="95"/>
    <s v="1989"/>
    <n v="5"/>
    <x v="0"/>
    <n v="55"/>
    <n v="0.57894736842105265"/>
  </r>
  <r>
    <s v="4832"/>
    <x v="4843"/>
    <n v="21700000"/>
    <x v="4"/>
    <n v="57.186799999999998"/>
    <x v="0"/>
    <n v="131"/>
    <n v="94"/>
    <s v="1989"/>
    <n v="4"/>
    <x v="0"/>
    <n v="37"/>
    <n v="0.39361702127659576"/>
  </r>
  <r>
    <s v="4833"/>
    <x v="4844"/>
    <n v="4300000"/>
    <x v="5"/>
    <n v="57.116100000000003"/>
    <x v="9"/>
    <n v="19"/>
    <n v="8"/>
    <s v="2011"/>
    <n v="2"/>
    <x v="0"/>
    <n v="11"/>
    <n v="1.375"/>
  </r>
  <r>
    <s v="4834"/>
    <x v="4845"/>
    <n v="21200000"/>
    <x v="9"/>
    <n v="57.113999999999997"/>
    <x v="23"/>
    <n v="195"/>
    <n v="45"/>
    <s v="2007"/>
    <n v="2"/>
    <x v="0"/>
    <n v="150"/>
    <n v="3.3333333333333335"/>
  </r>
  <r>
    <s v="4835"/>
    <x v="4846"/>
    <n v="50600000"/>
    <x v="2"/>
    <n v="57.092500000000001"/>
    <x v="7"/>
    <n v="105"/>
    <n v="72"/>
    <s v="2011"/>
    <n v="1"/>
    <x v="0"/>
    <n v="33"/>
    <n v="0.45833333333333331"/>
  </r>
  <r>
    <s v="4836"/>
    <x v="4847"/>
    <n v="201100000"/>
    <x v="24"/>
    <n v="57.091200000000001"/>
    <x v="9"/>
    <n v="880"/>
    <n v="730"/>
    <s v="2007"/>
    <n v="8"/>
    <x v="0"/>
    <n v="150"/>
    <n v="0.20547945205479451"/>
  </r>
  <r>
    <s v="4837"/>
    <x v="4848"/>
    <n v="4200000"/>
    <x v="9"/>
    <n v="57.021599999999999"/>
    <x v="3"/>
    <n v="17"/>
    <n v="10"/>
    <s v="1977"/>
    <n v="1"/>
    <x v="0"/>
    <n v="7"/>
    <n v="0.7"/>
  </r>
  <r>
    <s v="4838"/>
    <x v="4849"/>
    <n v="11600000"/>
    <x v="22"/>
    <n v="57.016300000000001"/>
    <x v="19"/>
    <n v="210"/>
    <n v="146"/>
    <s v="2000"/>
    <n v="2"/>
    <x v="0"/>
    <n v="64"/>
    <n v="0.43835616438356162"/>
  </r>
  <r>
    <s v="4839"/>
    <x v="4850"/>
    <n v="3100000"/>
    <x v="13"/>
    <n v="57"/>
    <x v="20"/>
    <n v="21"/>
    <n v="13"/>
    <s v="2003"/>
    <n v="3"/>
    <x v="0"/>
    <n v="8"/>
    <n v="0.61538461538461542"/>
  </r>
  <r>
    <s v="4840"/>
    <x v="4851"/>
    <n v="8300000"/>
    <x v="7"/>
    <n v="57"/>
    <x v="11"/>
    <n v="49"/>
    <n v="26"/>
    <s v="2006"/>
    <n v="6"/>
    <x v="0"/>
    <n v="23"/>
    <n v="0.88461538461538458"/>
  </r>
  <r>
    <s v="4841"/>
    <x v="4852"/>
    <n v="4400000"/>
    <x v="20"/>
    <n v="56.999099999999999"/>
    <x v="9"/>
    <n v="31"/>
    <n v="23"/>
    <s v="2001"/>
    <n v="1"/>
    <x v="0"/>
    <n v="8"/>
    <n v="0.34782608695652173"/>
  </r>
  <r>
    <s v="4842"/>
    <x v="4853"/>
    <n v="285600000"/>
    <x v="9"/>
    <n v="56.989100000000001"/>
    <x v="15"/>
    <n v="1170"/>
    <n v="776"/>
    <s v="1989"/>
    <n v="10"/>
    <x v="0"/>
    <n v="394"/>
    <n v="0.50773195876288657"/>
  </r>
  <r>
    <s v="4843"/>
    <x v="4854"/>
    <n v="81200000"/>
    <x v="8"/>
    <n v="56.973700000000001"/>
    <x v="13"/>
    <n v="254"/>
    <n v="178"/>
    <s v="1986"/>
    <n v="8"/>
    <x v="0"/>
    <n v="76"/>
    <n v="0.42696629213483145"/>
  </r>
  <r>
    <s v="4844"/>
    <x v="4855"/>
    <n v="33100000"/>
    <x v="21"/>
    <n v="56.930199999999999"/>
    <x v="11"/>
    <n v="235"/>
    <n v="146"/>
    <s v="2005"/>
    <n v="1"/>
    <x v="0"/>
    <n v="89"/>
    <n v="0.6095890410958904"/>
  </r>
  <r>
    <s v="4845"/>
    <x v="4856"/>
    <n v="8500000"/>
    <x v="5"/>
    <n v="56.895600000000002"/>
    <x v="23"/>
    <n v="21"/>
    <n v="21"/>
    <s v="2009"/>
    <n v="2"/>
    <x v="1"/>
    <n v="0"/>
    <n v="0"/>
  </r>
  <r>
    <s v="4846"/>
    <x v="4857"/>
    <n v="14200000"/>
    <x v="24"/>
    <n v="56.8658"/>
    <x v="22"/>
    <n v="79"/>
    <n v="59"/>
    <s v="1974"/>
    <n v="1"/>
    <x v="0"/>
    <n v="20"/>
    <n v="0.33898305084745761"/>
  </r>
  <r>
    <s v="4847"/>
    <x v="4858"/>
    <n v="2900000"/>
    <x v="34"/>
    <n v="56.839300000000001"/>
    <x v="0"/>
    <n v="20"/>
    <n v="15"/>
    <s v="2012"/>
    <n v="1"/>
    <x v="0"/>
    <n v="5"/>
    <n v="0.33333333333333331"/>
  </r>
  <r>
    <s v="4848"/>
    <x v="4859"/>
    <n v="5000000"/>
    <x v="0"/>
    <n v="56.838299999999997"/>
    <x v="15"/>
    <n v="31"/>
    <n v="12"/>
    <s v="1990"/>
    <n v="1"/>
    <x v="0"/>
    <n v="19"/>
    <n v="1.5833333333333333"/>
  </r>
  <r>
    <s v="4849"/>
    <x v="4860"/>
    <n v="11100000"/>
    <x v="24"/>
    <n v="56.832799999999999"/>
    <x v="0"/>
    <n v="42"/>
    <n v="25"/>
    <s v="1991"/>
    <n v="5"/>
    <x v="0"/>
    <n v="17"/>
    <n v="0.68"/>
  </r>
  <r>
    <s v="4850"/>
    <x v="4861"/>
    <n v="30400000"/>
    <x v="10"/>
    <n v="56.8324"/>
    <x v="9"/>
    <n v="178"/>
    <n v="85"/>
    <s v="1999"/>
    <n v="10"/>
    <x v="0"/>
    <n v="93"/>
    <n v="1.0941176470588236"/>
  </r>
  <r>
    <s v="4851"/>
    <x v="4862"/>
    <n v="10000000"/>
    <x v="9"/>
    <n v="56.775700000000001"/>
    <x v="5"/>
    <n v="28"/>
    <n v="13"/>
    <s v="1998"/>
    <n v="8"/>
    <x v="0"/>
    <n v="15"/>
    <n v="1.1538461538461537"/>
  </r>
  <r>
    <s v="4852"/>
    <x v="4863"/>
    <n v="12200000"/>
    <x v="22"/>
    <n v="56.774799999999999"/>
    <x v="0"/>
    <n v="85"/>
    <n v="45"/>
    <s v="2005"/>
    <n v="7"/>
    <x v="0"/>
    <n v="40"/>
    <n v="0.88888888888888884"/>
  </r>
  <r>
    <s v="4853"/>
    <x v="4864"/>
    <n v="3200000"/>
    <x v="8"/>
    <n v="56.763300000000001"/>
    <x v="23"/>
    <n v="30"/>
    <n v="25"/>
    <s v="2010"/>
    <n v="4"/>
    <x v="0"/>
    <n v="5"/>
    <n v="0.2"/>
  </r>
  <r>
    <s v="4854"/>
    <x v="4865"/>
    <n v="34700000"/>
    <x v="45"/>
    <n v="56.728999999999999"/>
    <x v="5"/>
    <n v="149"/>
    <n v="83"/>
    <s v="2013"/>
    <n v="1"/>
    <x v="0"/>
    <n v="66"/>
    <n v="0.79518072289156627"/>
  </r>
  <r>
    <s v="4855"/>
    <x v="4866"/>
    <n v="51400000"/>
    <x v="13"/>
    <n v="56.727400000000003"/>
    <x v="6"/>
    <n v="300"/>
    <n v="216"/>
    <s v="1987"/>
    <n v="2"/>
    <x v="0"/>
    <n v="84"/>
    <n v="0.3888888888888889"/>
  </r>
  <r>
    <s v="4856"/>
    <x v="4867"/>
    <n v="15000000"/>
    <x v="4"/>
    <n v="56.722499999999997"/>
    <x v="19"/>
    <n v="90"/>
    <n v="95"/>
    <s v="2010"/>
    <n v="5"/>
    <x v="1"/>
    <n v="-5"/>
    <n v="-5.2631578947368418E-2"/>
  </r>
  <r>
    <s v="4857"/>
    <x v="4868"/>
    <n v="6000000"/>
    <x v="22"/>
    <n v="56.717199999999998"/>
    <x v="11"/>
    <n v="47"/>
    <n v="38"/>
    <s v="2003"/>
    <n v="2"/>
    <x v="0"/>
    <n v="9"/>
    <n v="0.23684210526315788"/>
  </r>
  <r>
    <s v="4858"/>
    <x v="4869"/>
    <n v="15700000"/>
    <x v="2"/>
    <n v="56.706800000000001"/>
    <x v="5"/>
    <n v="400"/>
    <n v="200"/>
    <s v="2011"/>
    <n v="2"/>
    <x v="0"/>
    <n v="200"/>
    <n v="1"/>
  </r>
  <r>
    <s v="4859"/>
    <x v="4870"/>
    <n v="3100000"/>
    <x v="12"/>
    <n v="56.705199999999998"/>
    <x v="19"/>
    <n v="45"/>
    <n v="38"/>
    <s v="2006"/>
    <n v="3"/>
    <x v="0"/>
    <n v="7"/>
    <n v="0.18421052631578946"/>
  </r>
  <r>
    <s v="4860"/>
    <x v="4871"/>
    <n v="19900000"/>
    <x v="9"/>
    <n v="56.656599999999997"/>
    <x v="23"/>
    <n v="7"/>
    <n v="6"/>
    <s v="2004"/>
    <n v="4"/>
    <x v="0"/>
    <n v="1"/>
    <n v="0.16666666666666666"/>
  </r>
  <r>
    <s v="4861"/>
    <x v="4872"/>
    <n v="8600000"/>
    <x v="1"/>
    <n v="56.6492"/>
    <x v="0"/>
    <n v="45"/>
    <n v="32"/>
    <s v="2001"/>
    <n v="7"/>
    <x v="0"/>
    <n v="13"/>
    <n v="0.40625"/>
  </r>
  <r>
    <s v="4862"/>
    <x v="4873"/>
    <n v="101400000"/>
    <x v="24"/>
    <n v="56.639000000000003"/>
    <x v="15"/>
    <n v="185"/>
    <n v="125"/>
    <s v="1972"/>
    <n v="6"/>
    <x v="0"/>
    <n v="60"/>
    <n v="0.48"/>
  </r>
  <r>
    <s v="4863"/>
    <x v="4874"/>
    <n v="151600000"/>
    <x v="8"/>
    <n v="56.5625"/>
    <x v="1"/>
    <n v="30"/>
    <n v="13"/>
    <s v="2007"/>
    <n v="4"/>
    <x v="0"/>
    <n v="17"/>
    <n v="1.3076923076923077"/>
  </r>
  <r>
    <s v="4864"/>
    <x v="4875"/>
    <n v="7700000"/>
    <x v="20"/>
    <n v="56.406599999999997"/>
    <x v="16"/>
    <n v="90"/>
    <n v="75"/>
    <s v="1998"/>
    <n v="5"/>
    <x v="0"/>
    <n v="15"/>
    <n v="0.2"/>
  </r>
  <r>
    <s v="4865"/>
    <x v="4876"/>
    <n v="4000000"/>
    <x v="7"/>
    <n v="56.352899999999998"/>
    <x v="18"/>
    <n v="31"/>
    <n v="22"/>
    <s v="2008"/>
    <n v="2"/>
    <x v="0"/>
    <n v="9"/>
    <n v="0.40909090909090912"/>
  </r>
  <r>
    <s v="4866"/>
    <x v="4877"/>
    <n v="16900000"/>
    <x v="35"/>
    <n v="56.339599999999997"/>
    <x v="15"/>
    <n v="100"/>
    <n v="80"/>
    <s v="1984"/>
    <n v="4"/>
    <x v="0"/>
    <n v="20"/>
    <n v="0.25"/>
  </r>
  <r>
    <s v="4867"/>
    <x v="4878"/>
    <n v="35600000"/>
    <x v="18"/>
    <n v="56.333399999999997"/>
    <x v="20"/>
    <n v="2531"/>
    <n v="1600"/>
    <s v="1986"/>
    <n v="1"/>
    <x v="0"/>
    <n v="931"/>
    <n v="0.58187500000000003"/>
  </r>
  <r>
    <s v="4868"/>
    <x v="4879"/>
    <n v="21100000"/>
    <x v="32"/>
    <n v="56.314399999999999"/>
    <x v="13"/>
    <n v="80"/>
    <n v="60"/>
    <s v="2011"/>
    <n v="2"/>
    <x v="0"/>
    <n v="20"/>
    <n v="0.33333333333333331"/>
  </r>
  <r>
    <s v="4869"/>
    <x v="4880"/>
    <n v="199800000"/>
    <x v="11"/>
    <n v="56.241900000000001"/>
    <x v="12"/>
    <n v="765"/>
    <n v="522"/>
    <s v="1969"/>
    <n v="6"/>
    <x v="0"/>
    <n v="243"/>
    <n v="0.46551724137931033"/>
  </r>
  <r>
    <s v="4870"/>
    <x v="4881"/>
    <n v="2900000"/>
    <x v="10"/>
    <n v="56.240900000000003"/>
    <x v="20"/>
    <n v="26"/>
    <n v="18"/>
    <s v="2010"/>
    <n v="2"/>
    <x v="0"/>
    <n v="8"/>
    <n v="0.44444444444444442"/>
  </r>
  <r>
    <s v="4871"/>
    <x v="4882"/>
    <n v="4700000"/>
    <x v="0"/>
    <n v="56.192799999999998"/>
    <x v="1"/>
    <n v="75"/>
    <n v="40"/>
    <s v="2008"/>
    <n v="1"/>
    <x v="0"/>
    <n v="35"/>
    <n v="0.875"/>
  </r>
  <r>
    <s v="4872"/>
    <x v="4883"/>
    <n v="7900000"/>
    <x v="33"/>
    <n v="56.172400000000003"/>
    <x v="5"/>
    <n v="275"/>
    <n v="150"/>
    <s v="2006"/>
    <n v="7"/>
    <x v="0"/>
    <n v="125"/>
    <n v="0.83333333333333337"/>
  </r>
  <r>
    <s v="4873"/>
    <x v="4884"/>
    <n v="6500000"/>
    <x v="7"/>
    <n v="56.168300000000002"/>
    <x v="16"/>
    <n v="18"/>
    <n v="12"/>
    <s v="2003"/>
    <n v="4"/>
    <x v="0"/>
    <n v="6"/>
    <n v="0.5"/>
  </r>
  <r>
    <s v="4874"/>
    <x v="4885"/>
    <n v="7400000"/>
    <x v="5"/>
    <n v="56.166600000000003"/>
    <x v="0"/>
    <n v="32"/>
    <n v="24"/>
    <s v="2002"/>
    <n v="1"/>
    <x v="0"/>
    <n v="8"/>
    <n v="0.33333333333333331"/>
  </r>
  <r>
    <s v="4875"/>
    <x v="4886"/>
    <n v="11100000"/>
    <x v="19"/>
    <n v="56.138399999999997"/>
    <x v="20"/>
    <n v="34"/>
    <n v="26"/>
    <s v="2002"/>
    <n v="1"/>
    <x v="0"/>
    <n v="8"/>
    <n v="0.30769230769230771"/>
  </r>
  <r>
    <s v="4876"/>
    <x v="4887"/>
    <n v="19200000"/>
    <x v="9"/>
    <n v="56.115900000000003"/>
    <x v="7"/>
    <n v="83"/>
    <n v="41"/>
    <s v="2005"/>
    <n v="7"/>
    <x v="0"/>
    <n v="42"/>
    <n v="1.024390243902439"/>
  </r>
  <r>
    <s v="4877"/>
    <x v="4888"/>
    <n v="18300000"/>
    <x v="26"/>
    <n v="56.091799999999999"/>
    <x v="26"/>
    <n v="81"/>
    <n v="60"/>
    <s v="2006"/>
    <n v="1"/>
    <x v="0"/>
    <n v="21"/>
    <n v="0.35"/>
  </r>
  <r>
    <s v="4878"/>
    <x v="4889"/>
    <n v="2200000"/>
    <x v="5"/>
    <n v="55.965699999999998"/>
    <x v="23"/>
    <n v="16"/>
    <n v="12"/>
    <s v="2008"/>
    <n v="1"/>
    <x v="0"/>
    <n v="4"/>
    <n v="0.33333333333333331"/>
  </r>
  <r>
    <s v="4879"/>
    <x v="4890"/>
    <n v="5200000"/>
    <x v="20"/>
    <n v="55.954000000000001"/>
    <x v="0"/>
    <n v="45"/>
    <n v="20"/>
    <s v="2009"/>
    <n v="3"/>
    <x v="0"/>
    <n v="25"/>
    <n v="1.25"/>
  </r>
  <r>
    <s v="4880"/>
    <x v="4891"/>
    <n v="7700000"/>
    <x v="12"/>
    <n v="55.9313"/>
    <x v="9"/>
    <n v="43"/>
    <n v="34"/>
    <s v="2010"/>
    <n v="4"/>
    <x v="0"/>
    <n v="9"/>
    <n v="0.26470588235294118"/>
  </r>
  <r>
    <s v="4881"/>
    <x v="4892"/>
    <n v="22000000"/>
    <x v="12"/>
    <n v="55.898000000000003"/>
    <x v="26"/>
    <n v="82"/>
    <n v="60"/>
    <s v="2001"/>
    <n v="10"/>
    <x v="0"/>
    <n v="22"/>
    <n v="0.36666666666666664"/>
  </r>
  <r>
    <s v="4882"/>
    <x v="4893"/>
    <n v="2500000"/>
    <x v="10"/>
    <n v="55.807000000000002"/>
    <x v="23"/>
    <n v="18"/>
    <n v="10"/>
    <s v="2008"/>
    <n v="2"/>
    <x v="0"/>
    <n v="8"/>
    <n v="0.8"/>
  </r>
  <r>
    <s v="4883"/>
    <x v="4894"/>
    <n v="9400000"/>
    <x v="27"/>
    <n v="55.7941"/>
    <x v="0"/>
    <n v="41"/>
    <n v="38"/>
    <s v="2015"/>
    <n v="1"/>
    <x v="0"/>
    <n v="3"/>
    <n v="7.8947368421052627E-2"/>
  </r>
  <r>
    <s v="4884"/>
    <x v="4895"/>
    <n v="42500000"/>
    <x v="9"/>
    <n v="55.790900000000001"/>
    <x v="2"/>
    <n v="69"/>
    <n v="66"/>
    <s v="1996"/>
    <n v="8"/>
    <x v="0"/>
    <n v="3"/>
    <n v="4.5454545454545456E-2"/>
  </r>
  <r>
    <s v="4885"/>
    <x v="4896"/>
    <n v="60400000"/>
    <x v="38"/>
    <n v="55.752899999999997"/>
    <x v="7"/>
    <n v="285"/>
    <n v="126"/>
    <s v="1990"/>
    <n v="2"/>
    <x v="0"/>
    <n v="159"/>
    <n v="1.2619047619047619"/>
  </r>
  <r>
    <s v="4886"/>
    <x v="4897"/>
    <n v="2200000"/>
    <x v="2"/>
    <n v="55.745899999999999"/>
    <x v="20"/>
    <n v="40"/>
    <n v="25"/>
    <s v="2003"/>
    <n v="1"/>
    <x v="0"/>
    <n v="15"/>
    <n v="0.6"/>
  </r>
  <r>
    <s v="4887"/>
    <x v="4898"/>
    <n v="7800000"/>
    <x v="5"/>
    <n v="55.698099999999997"/>
    <x v="4"/>
    <n v="63"/>
    <n v="40"/>
    <s v="2006"/>
    <n v="3"/>
    <x v="0"/>
    <n v="23"/>
    <n v="0.57499999999999996"/>
  </r>
  <r>
    <s v="4888"/>
    <x v="4899"/>
    <n v="6000000"/>
    <x v="1"/>
    <n v="55.693199999999997"/>
    <x v="3"/>
    <n v="45"/>
    <n v="33"/>
    <s v="1961"/>
    <n v="1"/>
    <x v="0"/>
    <n v="12"/>
    <n v="0.36363636363636365"/>
  </r>
  <r>
    <s v="4889"/>
    <x v="4900"/>
    <n v="86400000"/>
    <x v="7"/>
    <n v="55.686399999999999"/>
    <x v="25"/>
    <n v="541"/>
    <n v="381"/>
    <s v="1953"/>
    <n v="4"/>
    <x v="0"/>
    <n v="160"/>
    <n v="0.41994750656167978"/>
  </r>
  <r>
    <s v="4890"/>
    <x v="4901"/>
    <n v="3700000"/>
    <x v="22"/>
    <n v="55.662500000000001"/>
    <x v="23"/>
    <n v="4"/>
    <n v="4"/>
    <s v="1977"/>
    <n v="1"/>
    <x v="1"/>
    <n v="0"/>
    <n v="0"/>
  </r>
  <r>
    <s v="4891"/>
    <x v="4902"/>
    <n v="7800000"/>
    <x v="2"/>
    <n v="55.596699999999998"/>
    <x v="7"/>
    <n v="40"/>
    <n v="32"/>
    <s v="2002"/>
    <n v="1"/>
    <x v="0"/>
    <n v="8"/>
    <n v="0.25"/>
  </r>
  <r>
    <s v="4892"/>
    <x v="4903"/>
    <n v="27100000"/>
    <x v="9"/>
    <n v="55.590499999999999"/>
    <x v="23"/>
    <n v="54"/>
    <n v="32"/>
    <s v="2006"/>
    <n v="7"/>
    <x v="0"/>
    <n v="22"/>
    <n v="0.6875"/>
  </r>
  <r>
    <s v="4893"/>
    <x v="4904"/>
    <n v="12600000"/>
    <x v="10"/>
    <n v="55.524799999999999"/>
    <x v="5"/>
    <n v="30"/>
    <n v="9"/>
    <s v="2001"/>
    <n v="6"/>
    <x v="0"/>
    <n v="21"/>
    <n v="2.3333333333333335"/>
  </r>
  <r>
    <s v="4894"/>
    <x v="4905"/>
    <n v="10200000"/>
    <x v="4"/>
    <n v="55.493099999999998"/>
    <x v="0"/>
    <n v="52"/>
    <n v="30"/>
    <s v="2007"/>
    <n v="4"/>
    <x v="0"/>
    <n v="22"/>
    <n v="0.73333333333333328"/>
  </r>
  <r>
    <s v="4895"/>
    <x v="4906"/>
    <n v="2100000"/>
    <x v="5"/>
    <n v="55.476199999999999"/>
    <x v="16"/>
    <n v="16"/>
    <n v="11"/>
    <s v="2004"/>
    <n v="2"/>
    <x v="0"/>
    <n v="5"/>
    <n v="0.45454545454545453"/>
  </r>
  <r>
    <s v="4896"/>
    <x v="4907"/>
    <n v="7200000"/>
    <x v="27"/>
    <n v="55.462200000000003"/>
    <x v="3"/>
    <n v="34"/>
    <n v="16"/>
    <s v="2008"/>
    <n v="5"/>
    <x v="0"/>
    <n v="18"/>
    <n v="1.125"/>
  </r>
  <r>
    <s v="4897"/>
    <x v="4908"/>
    <n v="3200000"/>
    <x v="20"/>
    <n v="55.423000000000002"/>
    <x v="16"/>
    <n v="25"/>
    <n v="15"/>
    <s v="2009"/>
    <n v="4"/>
    <x v="0"/>
    <n v="10"/>
    <n v="0.66666666666666663"/>
  </r>
  <r>
    <s v="4898"/>
    <x v="4909"/>
    <n v="101600000"/>
    <x v="22"/>
    <n v="55.395299999999999"/>
    <x v="19"/>
    <n v="710"/>
    <n v="403"/>
    <s v="2003"/>
    <n v="11"/>
    <x v="0"/>
    <n v="307"/>
    <n v="0.76178660049627789"/>
  </r>
  <r>
    <s v="4899"/>
    <x v="4910"/>
    <n v="23100000"/>
    <x v="9"/>
    <n v="55.333799999999997"/>
    <x v="0"/>
    <n v="23"/>
    <n v="14"/>
    <s v="2010"/>
    <n v="3"/>
    <x v="0"/>
    <n v="9"/>
    <n v="0.6428571428571429"/>
  </r>
  <r>
    <s v="4900"/>
    <x v="4911"/>
    <n v="4000000"/>
    <x v="26"/>
    <n v="55.290300000000002"/>
    <x v="7"/>
    <n v="34"/>
    <n v="25"/>
    <s v="1994"/>
    <n v="3"/>
    <x v="0"/>
    <n v="9"/>
    <n v="0.36"/>
  </r>
  <r>
    <s v="4901"/>
    <x v="4912"/>
    <n v="36600000"/>
    <x v="7"/>
    <n v="55.2804"/>
    <x v="11"/>
    <n v="235"/>
    <n v="208"/>
    <s v="1987"/>
    <n v="8"/>
    <x v="0"/>
    <n v="27"/>
    <n v="0.12980769230769232"/>
  </r>
  <r>
    <s v="4902"/>
    <x v="4913"/>
    <n v="15200000"/>
    <x v="27"/>
    <n v="55.257800000000003"/>
    <x v="20"/>
    <n v="110"/>
    <n v="50"/>
    <s v="2001"/>
    <n v="7"/>
    <x v="0"/>
    <n v="60"/>
    <n v="1.2"/>
  </r>
  <r>
    <s v="4903"/>
    <x v="4914"/>
    <n v="20300000"/>
    <x v="9"/>
    <n v="55.181399999999996"/>
    <x v="1"/>
    <n v="744"/>
    <n v="481"/>
    <s v="1997"/>
    <n v="8"/>
    <x v="0"/>
    <n v="263"/>
    <n v="0.54677754677754675"/>
  </r>
  <r>
    <s v="4904"/>
    <x v="4915"/>
    <n v="4100000"/>
    <x v="5"/>
    <n v="55.1646"/>
    <x v="11"/>
    <n v="25"/>
    <n v="17"/>
    <s v="2003"/>
    <n v="3"/>
    <x v="0"/>
    <n v="8"/>
    <n v="0.47058823529411764"/>
  </r>
  <r>
    <s v="4905"/>
    <x v="4916"/>
    <n v="7400000"/>
    <x v="28"/>
    <n v="55.155799999999999"/>
    <x v="0"/>
    <n v="25"/>
    <n v="8"/>
    <s v="2006"/>
    <n v="1"/>
    <x v="0"/>
    <n v="17"/>
    <n v="2.125"/>
  </r>
  <r>
    <s v="4906"/>
    <x v="4917"/>
    <n v="2200000"/>
    <x v="10"/>
    <n v="55.0625"/>
    <x v="9"/>
    <n v="14"/>
    <n v="10"/>
    <s v="2003"/>
    <n v="1"/>
    <x v="0"/>
    <n v="4"/>
    <n v="0.4"/>
  </r>
  <r>
    <s v="4907"/>
    <x v="4918"/>
    <n v="3100000"/>
    <x v="9"/>
    <n v="55.041600000000003"/>
    <x v="20"/>
    <n v="38"/>
    <n v="11"/>
    <s v="2006"/>
    <n v="1"/>
    <x v="0"/>
    <n v="27"/>
    <n v="2.4545454545454546"/>
  </r>
  <r>
    <s v="4908"/>
    <x v="4919"/>
    <n v="15200000"/>
    <x v="50"/>
    <n v="55.007399999999997"/>
    <x v="0"/>
    <n v="62"/>
    <n v="44"/>
    <s v="1989"/>
    <n v="11"/>
    <x v="0"/>
    <n v="18"/>
    <n v="0.40909090909090912"/>
  </r>
  <r>
    <s v="4909"/>
    <x v="4920"/>
    <n v="3100000"/>
    <x v="9"/>
    <n v="54.985900000000001"/>
    <x v="0"/>
    <n v="46"/>
    <n v="21"/>
    <s v="2011"/>
    <n v="1"/>
    <x v="0"/>
    <n v="25"/>
    <n v="1.1904761904761905"/>
  </r>
  <r>
    <s v="4910"/>
    <x v="4921"/>
    <n v="7500000"/>
    <x v="2"/>
    <n v="54.978499999999997"/>
    <x v="13"/>
    <n v="64"/>
    <n v="56"/>
    <s v="2001"/>
    <n v="4"/>
    <x v="0"/>
    <n v="8"/>
    <n v="0.14285714285714285"/>
  </r>
  <r>
    <s v="4911"/>
    <x v="4922"/>
    <n v="3300000"/>
    <x v="0"/>
    <n v="54.95"/>
    <x v="23"/>
    <n v="10"/>
    <n v="9"/>
    <s v="2004"/>
    <n v="4"/>
    <x v="0"/>
    <n v="1"/>
    <n v="0.1111111111111111"/>
  </r>
  <r>
    <s v="4912"/>
    <x v="4923"/>
    <n v="3100000"/>
    <x v="2"/>
    <n v="54.890099999999997"/>
    <x v="0"/>
    <n v="25"/>
    <n v="13"/>
    <s v="2007"/>
    <n v="1"/>
    <x v="0"/>
    <n v="12"/>
    <n v="0.92307692307692313"/>
  </r>
  <r>
    <s v="4913"/>
    <x v="4924"/>
    <n v="33200000"/>
    <x v="11"/>
    <n v="54.885100000000001"/>
    <x v="17"/>
    <n v="326"/>
    <n v="242"/>
    <s v="1999"/>
    <n v="1"/>
    <x v="0"/>
    <n v="84"/>
    <n v="0.34710743801652894"/>
  </r>
  <r>
    <s v="4914"/>
    <x v="4925"/>
    <n v="28100000"/>
    <x v="13"/>
    <n v="54.879800000000003"/>
    <x v="4"/>
    <n v="42"/>
    <n v="26"/>
    <s v="1999"/>
    <n v="2"/>
    <x v="0"/>
    <n v="16"/>
    <n v="0.61538461538461542"/>
  </r>
  <r>
    <s v="4915"/>
    <x v="4926"/>
    <n v="2200000"/>
    <x v="27"/>
    <n v="54.824599999999997"/>
    <x v="0"/>
    <n v="18"/>
    <n v="14"/>
    <s v="2013"/>
    <n v="2"/>
    <x v="0"/>
    <n v="4"/>
    <n v="0.2857142857142857"/>
  </r>
  <r>
    <s v="4916"/>
    <x v="4927"/>
    <n v="19300000"/>
    <x v="31"/>
    <n v="54.793399999999998"/>
    <x v="8"/>
    <n v="35"/>
    <n v="12"/>
    <s v="2003"/>
    <n v="1"/>
    <x v="0"/>
    <n v="23"/>
    <n v="1.9166666666666667"/>
  </r>
  <r>
    <s v="4917"/>
    <x v="4928"/>
    <n v="19900000"/>
    <x v="13"/>
    <n v="54.771900000000002"/>
    <x v="3"/>
    <n v="65"/>
    <n v="24"/>
    <s v="2005"/>
    <n v="2"/>
    <x v="0"/>
    <n v="41"/>
    <n v="1.7083333333333333"/>
  </r>
  <r>
    <s v="4918"/>
    <x v="4929"/>
    <n v="5300000"/>
    <x v="18"/>
    <n v="54.752600000000001"/>
    <x v="1"/>
    <n v="40"/>
    <n v="23"/>
    <s v="2006"/>
    <n v="3"/>
    <x v="0"/>
    <n v="17"/>
    <n v="0.73913043478260865"/>
  </r>
  <r>
    <s v="4919"/>
    <x v="4930"/>
    <n v="30200000"/>
    <x v="7"/>
    <n v="54.732500000000002"/>
    <x v="16"/>
    <n v="130"/>
    <n v="92"/>
    <s v="2007"/>
    <n v="4"/>
    <x v="0"/>
    <n v="38"/>
    <n v="0.41304347826086957"/>
  </r>
  <r>
    <s v="4920"/>
    <x v="4931"/>
    <n v="13200000"/>
    <x v="26"/>
    <n v="54.666400000000003"/>
    <x v="0"/>
    <n v="23"/>
    <n v="13"/>
    <s v="2010"/>
    <n v="6"/>
    <x v="0"/>
    <n v="10"/>
    <n v="0.76923076923076927"/>
  </r>
  <r>
    <s v="4921"/>
    <x v="4932"/>
    <n v="14500000"/>
    <x v="27"/>
    <n v="54.633899999999997"/>
    <x v="5"/>
    <n v="79"/>
    <n v="50"/>
    <s v="1990"/>
    <n v="1"/>
    <x v="0"/>
    <n v="29"/>
    <n v="0.57999999999999996"/>
  </r>
  <r>
    <s v="4922"/>
    <x v="4933"/>
    <n v="16600000"/>
    <x v="8"/>
    <n v="54.606200000000001"/>
    <x v="14"/>
    <n v="71"/>
    <n v="43"/>
    <s v="2006"/>
    <n v="9"/>
    <x v="0"/>
    <n v="28"/>
    <n v="0.65116279069767447"/>
  </r>
  <r>
    <s v="4923"/>
    <x v="4934"/>
    <n v="5200000"/>
    <x v="5"/>
    <n v="54.573"/>
    <x v="26"/>
    <n v="40"/>
    <n v="25"/>
    <s v="2007"/>
    <n v="1"/>
    <x v="0"/>
    <n v="15"/>
    <n v="0.6"/>
  </r>
  <r>
    <s v="4924"/>
    <x v="4935"/>
    <n v="13600000"/>
    <x v="13"/>
    <n v="54.518300000000004"/>
    <x v="13"/>
    <n v="45"/>
    <n v="42"/>
    <s v="1965"/>
    <n v="1"/>
    <x v="0"/>
    <n v="3"/>
    <n v="7.1428571428571425E-2"/>
  </r>
  <r>
    <s v="4925"/>
    <x v="4936"/>
    <n v="6600000"/>
    <x v="9"/>
    <n v="54.454599999999999"/>
    <x v="23"/>
    <n v="44"/>
    <n v="24"/>
    <s v="2005"/>
    <n v="3"/>
    <x v="0"/>
    <n v="20"/>
    <n v="0.83333333333333337"/>
  </r>
  <r>
    <s v="4926"/>
    <x v="4937"/>
    <n v="17600000"/>
    <x v="4"/>
    <n v="54.430399999999999"/>
    <x v="0"/>
    <n v="84"/>
    <n v="65"/>
    <s v="1992"/>
    <n v="1"/>
    <x v="0"/>
    <n v="19"/>
    <n v="0.29230769230769232"/>
  </r>
  <r>
    <s v="4927"/>
    <x v="4938"/>
    <n v="3900000000"/>
    <x v="4"/>
    <n v="54.397100000000002"/>
    <x v="15"/>
    <n v="5537"/>
    <n v="4650"/>
    <s v="1956"/>
    <n v="1"/>
    <x v="0"/>
    <n v="887"/>
    <n v="0.19075268817204302"/>
  </r>
  <r>
    <s v="4928"/>
    <x v="4939"/>
    <n v="360800000"/>
    <x v="24"/>
    <n v="54.369399999999999"/>
    <x v="2"/>
    <n v="790"/>
    <n v="550"/>
    <s v="1946"/>
    <n v="7"/>
    <x v="0"/>
    <n v="240"/>
    <n v="0.43636363636363634"/>
  </r>
  <r>
    <s v="4929"/>
    <x v="4940"/>
    <n v="5100000"/>
    <x v="9"/>
    <n v="54.339700000000001"/>
    <x v="23"/>
    <n v="16"/>
    <n v="8"/>
    <s v="1998"/>
    <n v="3"/>
    <x v="0"/>
    <n v="8"/>
    <n v="1"/>
  </r>
  <r>
    <s v="4930"/>
    <x v="4941"/>
    <n v="101400000"/>
    <x v="40"/>
    <n v="54.320300000000003"/>
    <x v="3"/>
    <n v="49"/>
    <n v="36"/>
    <s v="1927"/>
    <n v="1"/>
    <x v="0"/>
    <n v="13"/>
    <n v="0.3611111111111111"/>
  </r>
  <r>
    <s v="4931"/>
    <x v="4942"/>
    <n v="21600000"/>
    <x v="1"/>
    <n v="54.204700000000003"/>
    <x v="1"/>
    <n v="0"/>
    <n v="48"/>
    <s v="1999"/>
    <n v="3"/>
    <x v="1"/>
    <n v="-48"/>
    <n v="-1"/>
  </r>
  <r>
    <s v="4932"/>
    <x v="4943"/>
    <n v="7400000"/>
    <x v="12"/>
    <n v="54.183100000000003"/>
    <x v="0"/>
    <n v="55"/>
    <n v="35"/>
    <s v="2009"/>
    <n v="1"/>
    <x v="0"/>
    <n v="20"/>
    <n v="0.5714285714285714"/>
  </r>
  <r>
    <s v="4933"/>
    <x v="4944"/>
    <n v="74500000"/>
    <x v="27"/>
    <n v="54.1402"/>
    <x v="20"/>
    <n v="218"/>
    <n v="136"/>
    <s v="1998"/>
    <n v="12"/>
    <x v="0"/>
    <n v="82"/>
    <n v="0.6029411764705882"/>
  </r>
  <r>
    <s v="4934"/>
    <x v="4945"/>
    <n v="120500000"/>
    <x v="7"/>
    <n v="54.097700000000003"/>
    <x v="0"/>
    <n v="267"/>
    <n v="221"/>
    <s v="2005"/>
    <n v="6"/>
    <x v="0"/>
    <n v="46"/>
    <n v="0.20814479638009051"/>
  </r>
  <r>
    <s v="4935"/>
    <x v="4946"/>
    <n v="73000000"/>
    <x v="4"/>
    <n v="54.084800000000001"/>
    <x v="9"/>
    <n v="220"/>
    <n v="200"/>
    <s v="1981"/>
    <n v="11"/>
    <x v="0"/>
    <n v="20"/>
    <n v="0.1"/>
  </r>
  <r>
    <s v="4936"/>
    <x v="4947"/>
    <n v="24400000"/>
    <x v="13"/>
    <n v="54.047199999999997"/>
    <x v="26"/>
    <n v="118"/>
    <n v="73"/>
    <s v="2007"/>
    <n v="1"/>
    <x v="0"/>
    <n v="45"/>
    <n v="0.61643835616438358"/>
  </r>
  <r>
    <s v="4937"/>
    <x v="4948"/>
    <n v="17800000"/>
    <x v="27"/>
    <n v="53.9758"/>
    <x v="12"/>
    <n v="23"/>
    <n v="15"/>
    <s v="1976"/>
    <n v="5"/>
    <x v="0"/>
    <n v="8"/>
    <n v="0.53333333333333333"/>
  </r>
  <r>
    <s v="4938"/>
    <x v="4949"/>
    <n v="7300000"/>
    <x v="5"/>
    <n v="53.939500000000002"/>
    <x v="13"/>
    <n v="26"/>
    <n v="22"/>
    <s v="1994"/>
    <n v="1"/>
    <x v="0"/>
    <n v="4"/>
    <n v="0.18181818181818182"/>
  </r>
  <r>
    <s v="4939"/>
    <x v="4950"/>
    <n v="2700000"/>
    <x v="5"/>
    <n v="53.840299999999999"/>
    <x v="15"/>
    <n v="15"/>
    <n v="5"/>
    <s v="2009"/>
    <n v="1"/>
    <x v="0"/>
    <n v="10"/>
    <n v="2"/>
  </r>
  <r>
    <s v="4940"/>
    <x v="4951"/>
    <n v="27100000"/>
    <x v="7"/>
    <n v="53.830599999999997"/>
    <x v="11"/>
    <n v="120"/>
    <n v="68"/>
    <s v="1995"/>
    <n v="1"/>
    <x v="0"/>
    <n v="52"/>
    <n v="0.76470588235294112"/>
  </r>
  <r>
    <s v="4941"/>
    <x v="4952"/>
    <n v="9700000"/>
    <x v="7"/>
    <n v="53.825899999999997"/>
    <x v="16"/>
    <n v="32"/>
    <n v="15"/>
    <s v="2008"/>
    <n v="4"/>
    <x v="0"/>
    <n v="17"/>
    <n v="1.1333333333333333"/>
  </r>
  <r>
    <s v="4942"/>
    <x v="4953"/>
    <n v="15700000"/>
    <x v="4"/>
    <n v="53.820999999999998"/>
    <x v="3"/>
    <n v="132"/>
    <n v="85"/>
    <s v="2004"/>
    <n v="7"/>
    <x v="0"/>
    <n v="47"/>
    <n v="0.55294117647058827"/>
  </r>
  <r>
    <s v="4943"/>
    <x v="4954"/>
    <n v="4500000"/>
    <x v="5"/>
    <n v="53.695"/>
    <x v="26"/>
    <n v="25"/>
    <n v="24"/>
    <s v="1997"/>
    <n v="4"/>
    <x v="0"/>
    <n v="1"/>
    <n v="4.1666666666666664E-2"/>
  </r>
  <r>
    <s v="4944"/>
    <x v="4955"/>
    <n v="62100000"/>
    <x v="24"/>
    <n v="53.6875"/>
    <x v="0"/>
    <n v="160"/>
    <n v="110"/>
    <s v="1985"/>
    <n v="1"/>
    <x v="0"/>
    <n v="50"/>
    <n v="0.45454545454545453"/>
  </r>
  <r>
    <s v="4945"/>
    <x v="4956"/>
    <n v="46800000"/>
    <x v="33"/>
    <n v="53.624600000000001"/>
    <x v="7"/>
    <n v="90"/>
    <n v="70"/>
    <s v="1999"/>
    <n v="3"/>
    <x v="0"/>
    <n v="20"/>
    <n v="0.2857142857142857"/>
  </r>
  <r>
    <s v="4946"/>
    <x v="4957"/>
    <n v="6500000"/>
    <x v="4"/>
    <n v="53.565399999999997"/>
    <x v="13"/>
    <n v="30"/>
    <n v="9"/>
    <s v="1994"/>
    <n v="3"/>
    <x v="0"/>
    <n v="21"/>
    <n v="2.3333333333333335"/>
  </r>
  <r>
    <s v="4947"/>
    <x v="4958"/>
    <n v="22500000"/>
    <x v="21"/>
    <n v="53.551499999999997"/>
    <x v="9"/>
    <n v="125"/>
    <n v="71"/>
    <s v="2004"/>
    <n v="9"/>
    <x v="0"/>
    <n v="54"/>
    <n v="0.76056338028169013"/>
  </r>
  <r>
    <s v="4948"/>
    <x v="4959"/>
    <n v="54900000"/>
    <x v="20"/>
    <n v="53.544899999999998"/>
    <x v="7"/>
    <n v="64"/>
    <n v="48"/>
    <s v="1988"/>
    <n v="5"/>
    <x v="0"/>
    <n v="16"/>
    <n v="0.33333333333333331"/>
  </r>
  <r>
    <s v="4949"/>
    <x v="4960"/>
    <n v="220300000"/>
    <x v="5"/>
    <n v="53.537300000000002"/>
    <x v="7"/>
    <n v="400"/>
    <n v="260"/>
    <s v="2001"/>
    <n v="13"/>
    <x v="0"/>
    <n v="140"/>
    <n v="0.53846153846153844"/>
  </r>
  <r>
    <s v="4950"/>
    <x v="4961"/>
    <n v="38100000"/>
    <x v="20"/>
    <n v="53.514299999999999"/>
    <x v="13"/>
    <n v="166"/>
    <n v="86"/>
    <s v="1983"/>
    <n v="3"/>
    <x v="0"/>
    <n v="80"/>
    <n v="0.93023255813953487"/>
  </r>
  <r>
    <s v="4951"/>
    <x v="4962"/>
    <n v="27400000"/>
    <x v="6"/>
    <n v="53.499000000000002"/>
    <x v="26"/>
    <n v="781"/>
    <n v="155"/>
    <s v="1997"/>
    <n v="5"/>
    <x v="0"/>
    <n v="626"/>
    <n v="4.0387096774193552"/>
  </r>
  <r>
    <s v="4952"/>
    <x v="4963"/>
    <n v="2300000"/>
    <x v="33"/>
    <n v="53.480400000000003"/>
    <x v="12"/>
    <n v="22"/>
    <n v="15"/>
    <s v="2013"/>
    <n v="1"/>
    <x v="0"/>
    <n v="7"/>
    <n v="0.46666666666666667"/>
  </r>
  <r>
    <s v="4953"/>
    <x v="4964"/>
    <n v="9400000"/>
    <x v="9"/>
    <n v="53.434399999999997"/>
    <x v="26"/>
    <n v="52"/>
    <n v="27"/>
    <s v="2005"/>
    <n v="7"/>
    <x v="0"/>
    <n v="25"/>
    <n v="0.92592592592592593"/>
  </r>
  <r>
    <s v="4954"/>
    <x v="4965"/>
    <n v="4200000"/>
    <x v="7"/>
    <n v="53.388800000000003"/>
    <x v="11"/>
    <n v="43"/>
    <n v="21"/>
    <s v="2000"/>
    <n v="2"/>
    <x v="0"/>
    <n v="22"/>
    <n v="1.0476190476190477"/>
  </r>
  <r>
    <s v="4955"/>
    <x v="4966"/>
    <n v="119100000"/>
    <x v="2"/>
    <n v="53.3429"/>
    <x v="5"/>
    <n v="1308"/>
    <n v="1277"/>
    <s v="2004"/>
    <n v="4"/>
    <x v="0"/>
    <n v="31"/>
    <n v="2.4275646045418951E-2"/>
  </r>
  <r>
    <s v="4956"/>
    <x v="4967"/>
    <n v="4200000"/>
    <x v="37"/>
    <n v="53.307400000000001"/>
    <x v="21"/>
    <n v="23"/>
    <n v="17"/>
    <s v="1998"/>
    <n v="1"/>
    <x v="0"/>
    <n v="6"/>
    <n v="0.35294117647058826"/>
  </r>
  <r>
    <s v="4957"/>
    <x v="4968"/>
    <n v="35700000"/>
    <x v="13"/>
    <n v="53.302199999999999"/>
    <x v="23"/>
    <n v="240"/>
    <n v="161"/>
    <s v="1983"/>
    <n v="8"/>
    <x v="0"/>
    <n v="79"/>
    <n v="0.49068322981366458"/>
  </r>
  <r>
    <s v="4958"/>
    <x v="4969"/>
    <n v="509900000"/>
    <x v="33"/>
    <n v="53.286999999999999"/>
    <x v="5"/>
    <n v="1422"/>
    <n v="1275"/>
    <s v="1987"/>
    <n v="10"/>
    <x v="0"/>
    <n v="147"/>
    <n v="0.11529411764705882"/>
  </r>
  <r>
    <s v="4959"/>
    <x v="4970"/>
    <n v="7700000"/>
    <x v="16"/>
    <n v="53.284700000000001"/>
    <x v="13"/>
    <n v="39"/>
    <n v="28"/>
    <s v="2009"/>
    <n v="3"/>
    <x v="0"/>
    <n v="11"/>
    <n v="0.39285714285714285"/>
  </r>
  <r>
    <s v="4960"/>
    <x v="4971"/>
    <n v="15000000"/>
    <x v="27"/>
    <n v="53.279699999999998"/>
    <x v="0"/>
    <n v="111"/>
    <n v="100"/>
    <s v="2001"/>
    <n v="8"/>
    <x v="0"/>
    <n v="11"/>
    <n v="0.11"/>
  </r>
  <r>
    <s v="4961"/>
    <x v="4972"/>
    <n v="3300000"/>
    <x v="18"/>
    <n v="53.210999999999999"/>
    <x v="9"/>
    <n v="15"/>
    <n v="8"/>
    <s v="2008"/>
    <n v="4"/>
    <x v="0"/>
    <n v="7"/>
    <n v="0.875"/>
  </r>
  <r>
    <s v="4962"/>
    <x v="4973"/>
    <n v="22700000"/>
    <x v="13"/>
    <n v="53.2104"/>
    <x v="19"/>
    <n v="60"/>
    <n v="24"/>
    <s v="2007"/>
    <n v="6"/>
    <x v="0"/>
    <n v="36"/>
    <n v="1.5"/>
  </r>
  <r>
    <s v="4963"/>
    <x v="4974"/>
    <n v="660500000"/>
    <x v="1"/>
    <n v="53.188899999999997"/>
    <x v="2"/>
    <n v="2850"/>
    <n v="2100"/>
    <s v="2004"/>
    <n v="11"/>
    <x v="0"/>
    <n v="750"/>
    <n v="0.35714285714285715"/>
  </r>
  <r>
    <s v="4964"/>
    <x v="4975"/>
    <n v="100900000"/>
    <x v="20"/>
    <n v="53.173400000000001"/>
    <x v="9"/>
    <n v="550"/>
    <n v="500"/>
    <s v="1999"/>
    <n v="10"/>
    <x v="0"/>
    <n v="50"/>
    <n v="0.1"/>
  </r>
  <r>
    <s v="4965"/>
    <x v="4976"/>
    <n v="3900000"/>
    <x v="11"/>
    <n v="53.143099999999997"/>
    <x v="3"/>
    <n v="13"/>
    <n v="8"/>
    <s v="1986"/>
    <n v="2"/>
    <x v="0"/>
    <n v="5"/>
    <n v="0.625"/>
  </r>
  <r>
    <s v="4966"/>
    <x v="4977"/>
    <n v="180500000"/>
    <x v="19"/>
    <n v="53.125599999999999"/>
    <x v="15"/>
    <n v="379"/>
    <n v="240"/>
    <s v="1985"/>
    <n v="9"/>
    <x v="0"/>
    <n v="139"/>
    <n v="0.57916666666666672"/>
  </r>
  <r>
    <s v="4967"/>
    <x v="4978"/>
    <n v="4400000"/>
    <x v="11"/>
    <n v="53.118099999999998"/>
    <x v="23"/>
    <n v="30"/>
    <n v="15"/>
    <s v="1987"/>
    <n v="1"/>
    <x v="0"/>
    <n v="15"/>
    <n v="1"/>
  </r>
  <r>
    <s v="4968"/>
    <x v="4979"/>
    <n v="1100000000"/>
    <x v="20"/>
    <n v="53.016100000000002"/>
    <x v="10"/>
    <n v="538"/>
    <n v="611"/>
    <s v="1985"/>
    <n v="6"/>
    <x v="1"/>
    <n v="-73"/>
    <n v="-0.11947626841243862"/>
  </r>
  <r>
    <s v="4969"/>
    <x v="4980"/>
    <n v="4100000"/>
    <x v="40"/>
    <n v="52.9602"/>
    <x v="9"/>
    <n v="33"/>
    <n v="15"/>
    <s v="2003"/>
    <n v="1"/>
    <x v="0"/>
    <n v="18"/>
    <n v="1.2"/>
  </r>
  <r>
    <s v="4970"/>
    <x v="4981"/>
    <n v="60700000"/>
    <x v="27"/>
    <n v="52.933500000000002"/>
    <x v="23"/>
    <n v="425"/>
    <n v="316"/>
    <s v="1978"/>
    <n v="6"/>
    <x v="0"/>
    <n v="109"/>
    <n v="0.3449367088607595"/>
  </r>
  <r>
    <s v="4971"/>
    <x v="4982"/>
    <n v="23400000"/>
    <x v="5"/>
    <n v="52.929400000000001"/>
    <x v="3"/>
    <n v="288"/>
    <n v="169"/>
    <s v="1989"/>
    <n v="5"/>
    <x v="0"/>
    <n v="119"/>
    <n v="0.70414201183431957"/>
  </r>
  <r>
    <s v="4972"/>
    <x v="4983"/>
    <n v="5400000"/>
    <x v="27"/>
    <n v="52.928199999999997"/>
    <x v="26"/>
    <n v="30"/>
    <n v="25"/>
    <s v="2010"/>
    <n v="3"/>
    <x v="0"/>
    <n v="5"/>
    <n v="0.2"/>
  </r>
  <r>
    <s v="4973"/>
    <x v="4984"/>
    <n v="13900000"/>
    <x v="2"/>
    <n v="52.919199999999996"/>
    <x v="0"/>
    <n v="89"/>
    <n v="63"/>
    <s v="2010"/>
    <n v="2"/>
    <x v="0"/>
    <n v="26"/>
    <n v="0.41269841269841268"/>
  </r>
  <r>
    <s v="4974"/>
    <x v="4985"/>
    <n v="1400000000"/>
    <x v="9"/>
    <n v="52.910499999999999"/>
    <x v="5"/>
    <n v="10392"/>
    <n v="7036"/>
    <s v="1994"/>
    <n v="14"/>
    <x v="0"/>
    <n v="3356"/>
    <n v="0.4769755542922115"/>
  </r>
  <r>
    <s v="4975"/>
    <x v="4986"/>
    <n v="18000000"/>
    <x v="9"/>
    <n v="52.871099999999998"/>
    <x v="5"/>
    <n v="285"/>
    <n v="200"/>
    <s v="1999"/>
    <n v="1"/>
    <x v="0"/>
    <n v="85"/>
    <n v="0.42499999999999999"/>
  </r>
  <r>
    <s v="4976"/>
    <x v="4987"/>
    <n v="34900000"/>
    <x v="23"/>
    <n v="52.856200000000001"/>
    <x v="20"/>
    <n v="4803"/>
    <n v="3248"/>
    <s v="2008"/>
    <n v="8"/>
    <x v="0"/>
    <n v="1555"/>
    <n v="0.47875615763546797"/>
  </r>
  <r>
    <s v="4977"/>
    <x v="4988"/>
    <n v="48300000"/>
    <x v="2"/>
    <n v="52.842199999999998"/>
    <x v="1"/>
    <n v="225"/>
    <n v="150"/>
    <s v="2006"/>
    <n v="3"/>
    <x v="0"/>
    <n v="75"/>
    <n v="0.5"/>
  </r>
  <r>
    <s v="4978"/>
    <x v="4989"/>
    <n v="6500000"/>
    <x v="1"/>
    <n v="52.795499999999997"/>
    <x v="17"/>
    <n v="17"/>
    <n v="9"/>
    <s v="2010"/>
    <n v="6"/>
    <x v="0"/>
    <n v="8"/>
    <n v="0.88888888888888884"/>
  </r>
  <r>
    <s v="4979"/>
    <x v="4990"/>
    <n v="21300000"/>
    <x v="9"/>
    <n v="52.7881"/>
    <x v="15"/>
    <n v="62"/>
    <n v="48"/>
    <s v="1989"/>
    <n v="10"/>
    <x v="0"/>
    <n v="14"/>
    <n v="0.29166666666666669"/>
  </r>
  <r>
    <s v="4980"/>
    <x v="4991"/>
    <n v="16500000"/>
    <x v="11"/>
    <n v="52.741300000000003"/>
    <x v="23"/>
    <n v="467"/>
    <n v="357"/>
    <s v="1995"/>
    <n v="9"/>
    <x v="0"/>
    <n v="110"/>
    <n v="0.3081232492997199"/>
  </r>
  <r>
    <s v="4981"/>
    <x v="4992"/>
    <n v="8000000"/>
    <x v="9"/>
    <n v="52.717399999999998"/>
    <x v="4"/>
    <n v="23"/>
    <n v="16"/>
    <s v="2007"/>
    <n v="4"/>
    <x v="0"/>
    <n v="7"/>
    <n v="0.4375"/>
  </r>
  <r>
    <s v="4982"/>
    <x v="4993"/>
    <n v="57700000"/>
    <x v="9"/>
    <n v="52.670900000000003"/>
    <x v="7"/>
    <n v="31"/>
    <n v="18"/>
    <s v="2014"/>
    <n v="1"/>
    <x v="0"/>
    <n v="13"/>
    <n v="0.72222222222222221"/>
  </r>
  <r>
    <s v="4983"/>
    <x v="4994"/>
    <n v="7400000"/>
    <x v="9"/>
    <n v="52.649099999999997"/>
    <x v="9"/>
    <n v="47"/>
    <n v="29"/>
    <s v="2006"/>
    <n v="2"/>
    <x v="0"/>
    <n v="18"/>
    <n v="0.62068965517241381"/>
  </r>
  <r>
    <s v="4984"/>
    <x v="4995"/>
    <n v="104000000"/>
    <x v="28"/>
    <n v="52.634399999999999"/>
    <x v="13"/>
    <n v="377"/>
    <n v="274"/>
    <s v="1980"/>
    <n v="9"/>
    <x v="0"/>
    <n v="103"/>
    <n v="0.37591240875912407"/>
  </r>
  <r>
    <s v="4985"/>
    <x v="4996"/>
    <n v="2200000"/>
    <x v="37"/>
    <n v="52.609200000000001"/>
    <x v="15"/>
    <n v="19"/>
    <n v="11"/>
    <s v="1981"/>
    <n v="3"/>
    <x v="0"/>
    <n v="8"/>
    <n v="0.72727272727272729"/>
  </r>
  <r>
    <s v="4986"/>
    <x v="4997"/>
    <n v="33800000"/>
    <x v="12"/>
    <n v="52.594700000000003"/>
    <x v="10"/>
    <n v="147"/>
    <n v="72"/>
    <s v="2001"/>
    <n v="4"/>
    <x v="0"/>
    <n v="75"/>
    <n v="1.0416666666666667"/>
  </r>
  <r>
    <s v="4987"/>
    <x v="4998"/>
    <n v="4800000"/>
    <x v="48"/>
    <n v="52.569699999999997"/>
    <x v="0"/>
    <n v="40"/>
    <n v="23"/>
    <s v="2010"/>
    <n v="5"/>
    <x v="0"/>
    <n v="17"/>
    <n v="0.73913043478260865"/>
  </r>
  <r>
    <s v="4988"/>
    <x v="4999"/>
    <n v="2100000"/>
    <x v="13"/>
    <n v="52.568399999999997"/>
    <x v="19"/>
    <n v="13"/>
    <n v="9"/>
    <s v="2008"/>
    <n v="1"/>
    <x v="0"/>
    <n v="4"/>
    <n v="0.44444444444444442"/>
  </r>
  <r>
    <s v="4989"/>
    <x v="5000"/>
    <n v="3600000"/>
    <x v="9"/>
    <n v="52.540999999999997"/>
    <x v="0"/>
    <n v="14"/>
    <n v="6"/>
    <s v="2013"/>
    <n v="1"/>
    <x v="0"/>
    <n v="8"/>
    <n v="1.3333333333333333"/>
  </r>
  <r>
    <s v="4990"/>
    <x v="5001"/>
    <n v="20500000"/>
    <x v="11"/>
    <n v="52.5381"/>
    <x v="10"/>
    <n v="65"/>
    <n v="92"/>
    <s v="2012"/>
    <n v="6"/>
    <x v="1"/>
    <n v="-27"/>
    <n v="-0.29347826086956524"/>
  </r>
  <r>
    <s v="4991"/>
    <x v="5002"/>
    <n v="6100000"/>
    <x v="9"/>
    <n v="52.523200000000003"/>
    <x v="9"/>
    <n v="11"/>
    <n v="13"/>
    <s v="2012"/>
    <n v="3"/>
    <x v="1"/>
    <n v="-2"/>
    <n v="-0.15384615384615385"/>
  </r>
  <r>
    <s v="4992"/>
    <x v="5003"/>
    <n v="9300000"/>
    <x v="2"/>
    <n v="52.4803"/>
    <x v="15"/>
    <n v="19"/>
    <n v="12"/>
    <s v="1998"/>
    <n v="1"/>
    <x v="0"/>
    <n v="7"/>
    <n v="0.58333333333333337"/>
  </r>
  <r>
    <s v="4993"/>
    <x v="5004"/>
    <n v="2000000"/>
    <x v="38"/>
    <n v="52.444200000000002"/>
    <x v="0"/>
    <n v="16"/>
    <n v="8"/>
    <s v="2009"/>
    <n v="1"/>
    <x v="0"/>
    <n v="8"/>
    <n v="1"/>
  </r>
  <r>
    <s v="4994"/>
    <x v="5005"/>
    <n v="93000000"/>
    <x v="5"/>
    <n v="52.43"/>
    <x v="6"/>
    <n v="35"/>
    <n v="20"/>
    <s v="2000"/>
    <n v="1"/>
    <x v="0"/>
    <n v="15"/>
    <n v="0.75"/>
  </r>
  <r>
    <s v="4995"/>
    <x v="5006"/>
    <n v="154400000"/>
    <x v="9"/>
    <n v="52.346699999999998"/>
    <x v="26"/>
    <n v="99"/>
    <n v="70"/>
    <s v="1985"/>
    <n v="5"/>
    <x v="0"/>
    <n v="29"/>
    <n v="0.41428571428571431"/>
  </r>
  <r>
    <s v="4996"/>
    <x v="5007"/>
    <n v="15800000"/>
    <x v="2"/>
    <n v="52.237699999999997"/>
    <x v="3"/>
    <n v="88"/>
    <n v="62"/>
    <s v="1946"/>
    <n v="3"/>
    <x v="0"/>
    <n v="26"/>
    <n v="0.41935483870967744"/>
  </r>
  <r>
    <s v="4997"/>
    <x v="5008"/>
    <n v="11600000"/>
    <x v="27"/>
    <n v="52.212699999999998"/>
    <x v="15"/>
    <n v="380"/>
    <n v="220"/>
    <s v="2011"/>
    <n v="1"/>
    <x v="0"/>
    <n v="160"/>
    <n v="0.72727272727272729"/>
  </r>
  <r>
    <s v="4998"/>
    <x v="5009"/>
    <n v="29700000"/>
    <x v="21"/>
    <n v="52.203699999999998"/>
    <x v="11"/>
    <n v="187"/>
    <n v="127"/>
    <s v="2004"/>
    <n v="1"/>
    <x v="0"/>
    <n v="60"/>
    <n v="0.47244094488188976"/>
  </r>
  <r>
    <s v="4999"/>
    <x v="5010"/>
    <n v="8800000"/>
    <x v="9"/>
    <n v="52.191899999999997"/>
    <x v="6"/>
    <n v="132"/>
    <n v="47"/>
    <s v="2011"/>
    <n v="1"/>
    <x v="0"/>
    <n v="85"/>
    <n v="1.8085106382978724"/>
  </r>
  <r>
    <s v="5000"/>
    <x v="5011"/>
    <n v="4500000"/>
    <x v="35"/>
    <n v="52.1691"/>
    <x v="23"/>
    <n v="27"/>
    <n v="22"/>
    <s v="2006"/>
    <n v="4"/>
    <x v="0"/>
    <n v="5"/>
    <n v="0.227272727272727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EEAAE-8D4F-4271-8AE6-157D01BC0C8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I2:I3" firstHeaderRow="1" firstDataRow="1" firstDataCol="0"/>
  <pivotFields count="13">
    <pivotField showAll="0"/>
    <pivotField showAll="0">
      <items count="5013">
        <item x="3693"/>
        <item x="4919"/>
        <item x="3660"/>
        <item x="736"/>
        <item x="4595"/>
        <item x="1369"/>
        <item x="68"/>
        <item x="2000"/>
        <item x="703"/>
        <item x="1673"/>
        <item x="4589"/>
        <item x="1259"/>
        <item x="182"/>
        <item x="3499"/>
        <item x="1281"/>
        <item x="4301"/>
        <item x="3949"/>
        <item x="4225"/>
        <item x="3955"/>
        <item x="1839"/>
        <item x="1006"/>
        <item x="4399"/>
        <item x="4940"/>
        <item x="1492"/>
        <item x="2104"/>
        <item x="4819"/>
        <item x="1321"/>
        <item x="4260"/>
        <item x="3897"/>
        <item x="973"/>
        <item x="3758"/>
        <item x="1145"/>
        <item x="4923"/>
        <item x="314"/>
        <item x="3012"/>
        <item x="3716"/>
        <item x="1801"/>
        <item x="1664"/>
        <item x="983"/>
        <item x="1439"/>
        <item x="4734"/>
        <item x="4550"/>
        <item x="3516"/>
        <item x="4722"/>
        <item x="4164"/>
        <item x="3541"/>
        <item x="4891"/>
        <item x="3708"/>
        <item x="69"/>
        <item x="3611"/>
        <item x="116"/>
        <item x="3600"/>
        <item x="1623"/>
        <item x="1688"/>
        <item x="633"/>
        <item x="1734"/>
        <item x="4817"/>
        <item x="1287"/>
        <item x="4938"/>
        <item x="3706"/>
        <item x="3513"/>
        <item x="3747"/>
        <item x="4495"/>
        <item x="2207"/>
        <item x="3636"/>
        <item x="2550"/>
        <item x="2630"/>
        <item x="4539"/>
        <item x="1594"/>
        <item x="2440"/>
        <item x="3178"/>
        <item x="2316"/>
        <item x="1047"/>
        <item x="2717"/>
        <item x="3492"/>
        <item x="4563"/>
        <item x="4824"/>
        <item x="3834"/>
        <item x="3238"/>
        <item x="2977"/>
        <item x="3610"/>
        <item x="2390"/>
        <item x="2830"/>
        <item x="453"/>
        <item x="2203"/>
        <item x="2387"/>
        <item x="2157"/>
        <item x="3966"/>
        <item x="495"/>
        <item x="1638"/>
        <item x="4154"/>
        <item x="2094"/>
        <item x="3831"/>
        <item x="4659"/>
        <item x="3116"/>
        <item x="4009"/>
        <item x="4342"/>
        <item x="4716"/>
        <item x="4955"/>
        <item x="4247"/>
        <item x="1740"/>
        <item x="2506"/>
        <item x="2953"/>
        <item x="3331"/>
        <item x="3735"/>
        <item x="4098"/>
        <item x="1756"/>
        <item x="2310"/>
        <item x="695"/>
        <item x="2112"/>
        <item x="1420"/>
        <item x="4847"/>
        <item x="2842"/>
        <item x="4934"/>
        <item x="4754"/>
        <item x="3098"/>
        <item x="3123"/>
        <item x="719"/>
        <item x="4043"/>
        <item x="2394"/>
        <item x="168"/>
        <item x="2314"/>
        <item x="694"/>
        <item x="2258"/>
        <item x="3153"/>
        <item x="3992"/>
        <item x="784"/>
        <item x="4967"/>
        <item x="1848"/>
        <item x="361"/>
        <item x="4450"/>
        <item x="511"/>
        <item x="1427"/>
        <item x="2300"/>
        <item x="1897"/>
        <item x="3219"/>
        <item x="2556"/>
        <item x="3877"/>
        <item x="1855"/>
        <item x="1437"/>
        <item x="418"/>
        <item x="3669"/>
        <item x="1381"/>
        <item x="4479"/>
        <item x="985"/>
        <item x="4598"/>
        <item x="2928"/>
        <item x="2590"/>
        <item x="405"/>
        <item x="3074"/>
        <item x="4162"/>
        <item x="4063"/>
        <item x="4300"/>
        <item x="1383"/>
        <item x="1604"/>
        <item x="4993"/>
        <item x="1359"/>
        <item x="2451"/>
        <item x="4707"/>
        <item x="1717"/>
        <item x="425"/>
        <item x="4751"/>
        <item x="281"/>
        <item x="615"/>
        <item x="199"/>
        <item x="2669"/>
        <item x="4059"/>
        <item x="4511"/>
        <item x="1527"/>
        <item x="2421"/>
        <item x="3493"/>
        <item x="1372"/>
        <item x="2741"/>
        <item x="3421"/>
        <item x="1200"/>
        <item x="3070"/>
        <item x="2467"/>
        <item x="1804"/>
        <item x="2644"/>
        <item x="2481"/>
        <item x="1532"/>
        <item x="1461"/>
        <item x="1086"/>
        <item x="1245"/>
        <item x="2132"/>
        <item x="2373"/>
        <item x="4920"/>
        <item x="4452"/>
        <item x="2989"/>
        <item x="3640"/>
        <item x="2581"/>
        <item x="2330"/>
        <item x="1877"/>
        <item x="647"/>
        <item x="4178"/>
        <item x="1081"/>
        <item x="4859"/>
        <item x="3962"/>
        <item x="2345"/>
        <item x="4409"/>
        <item x="2246"/>
        <item x="153"/>
        <item x="4213"/>
        <item x="3276"/>
        <item x="2807"/>
        <item x="629"/>
        <item x="1282"/>
        <item x="541"/>
        <item x="3141"/>
        <item x="285"/>
        <item x="448"/>
        <item x="2414"/>
        <item x="1341"/>
        <item x="1895"/>
        <item x="3011"/>
        <item x="3874"/>
        <item x="1170"/>
        <item x="300"/>
        <item x="469"/>
        <item x="1650"/>
        <item x="2720"/>
        <item x="4067"/>
        <item x="2478"/>
        <item x="3291"/>
        <item x="2025"/>
        <item x="3152"/>
        <item x="3216"/>
        <item x="2753"/>
        <item x="4548"/>
        <item x="4899"/>
        <item x="39"/>
        <item x="3031"/>
        <item x="980"/>
        <item x="4978"/>
        <item x="3252"/>
        <item x="2010"/>
        <item x="4295"/>
        <item x="4082"/>
        <item x="1621"/>
        <item x="3062"/>
        <item x="577"/>
        <item x="1939"/>
        <item x="3578"/>
        <item x="120"/>
        <item x="3449"/>
        <item x="3752"/>
        <item x="143"/>
        <item x="2912"/>
        <item x="2966"/>
        <item x="1762"/>
        <item x="578"/>
        <item x="3889"/>
        <item x="3678"/>
        <item x="3839"/>
        <item x="1806"/>
        <item x="3766"/>
        <item x="4241"/>
        <item x="3227"/>
        <item x="2805"/>
        <item x="294"/>
        <item x="1044"/>
        <item x="3623"/>
        <item x="2468"/>
        <item x="4518"/>
        <item x="96"/>
        <item x="3377"/>
        <item x="898"/>
        <item x="4901"/>
        <item x="1729"/>
        <item x="2907"/>
        <item x="4679"/>
        <item x="979"/>
        <item x="4969"/>
        <item x="4853"/>
        <item x="5003"/>
        <item x="4981"/>
        <item x="3420"/>
        <item x="4638"/>
        <item x="2092"/>
        <item x="4600"/>
        <item x="772"/>
        <item x="2885"/>
        <item x="819"/>
        <item x="3399"/>
        <item x="27"/>
        <item x="2322"/>
        <item x="1423"/>
        <item x="2410"/>
        <item x="1499"/>
        <item x="1195"/>
        <item x="3346"/>
        <item x="1239"/>
        <item x="3601"/>
        <item x="2502"/>
        <item x="3919"/>
        <item x="3988"/>
        <item x="4195"/>
        <item x="758"/>
        <item x="15"/>
        <item x="892"/>
        <item x="2518"/>
        <item x="1444"/>
        <item x="4807"/>
        <item x="461"/>
        <item x="4573"/>
        <item x="403"/>
        <item x="4682"/>
        <item x="4023"/>
        <item x="2403"/>
        <item x="3437"/>
        <item x="584"/>
        <item x="589"/>
        <item x="4712"/>
        <item x="2591"/>
        <item x="3875"/>
        <item x="2438"/>
        <item x="975"/>
        <item x="1105"/>
        <item x="1481"/>
        <item x="665"/>
        <item x="4202"/>
        <item x="2106"/>
        <item x="3667"/>
        <item x="4593"/>
        <item x="1827"/>
        <item x="3905"/>
        <item x="2987"/>
        <item x="400"/>
        <item x="3398"/>
        <item x="848"/>
        <item x="4235"/>
        <item x="3608"/>
        <item x="1021"/>
        <item x="4113"/>
        <item x="4748"/>
        <item x="1854"/>
        <item x="2782"/>
        <item x="4288"/>
        <item x="2777"/>
        <item x="3344"/>
        <item x="2725"/>
        <item x="2571"/>
        <item x="730"/>
        <item x="1010"/>
        <item x="2809"/>
        <item x="2023"/>
        <item x="3085"/>
        <item x="3323"/>
        <item x="3008"/>
        <item x="3657"/>
        <item x="1286"/>
        <item x="2836"/>
        <item x="149"/>
        <item x="1274"/>
        <item x="3207"/>
        <item x="3979"/>
        <item x="3312"/>
        <item x="3616"/>
        <item x="4128"/>
        <item x="2491"/>
        <item x="3303"/>
        <item x="3293"/>
        <item x="333"/>
        <item x="1563"/>
        <item x="4303"/>
        <item x="681"/>
        <item x="4653"/>
        <item x="4896"/>
        <item x="3236"/>
        <item x="2312"/>
        <item x="1770"/>
        <item x="3638"/>
        <item x="2391"/>
        <item x="4229"/>
        <item x="462"/>
        <item x="2206"/>
        <item x="4832"/>
        <item x="413"/>
        <item x="144"/>
        <item x="4742"/>
        <item x="1695"/>
        <item x="4602"/>
        <item x="2238"/>
        <item x="2215"/>
        <item x="1352"/>
        <item x="4552"/>
        <item x="1395"/>
        <item x="4317"/>
        <item x="565"/>
        <item x="3356"/>
        <item x="3327"/>
        <item x="2737"/>
        <item x="3185"/>
        <item x="2537"/>
        <item x="3329"/>
        <item x="82"/>
        <item x="1821"/>
        <item x="3263"/>
        <item x="66"/>
        <item x="1387"/>
        <item x="436"/>
        <item x="3230"/>
        <item x="4574"/>
        <item x="4500"/>
        <item x="4719"/>
        <item x="2383"/>
        <item x="2360"/>
        <item x="4049"/>
        <item x="4144"/>
        <item x="993"/>
        <item x="4578"/>
        <item x="2544"/>
        <item x="4218"/>
        <item x="3206"/>
        <item x="3775"/>
        <item x="1489"/>
        <item x="4979"/>
        <item x="2419"/>
        <item x="1491"/>
        <item x="3698"/>
        <item x="4958"/>
        <item x="970"/>
        <item x="416"/>
        <item x="4924"/>
        <item x="1576"/>
        <item x="1339"/>
        <item x="683"/>
        <item x="2148"/>
        <item x="3857"/>
        <item x="2064"/>
        <item x="113"/>
        <item x="4255"/>
        <item x="3814"/>
        <item x="2174"/>
        <item x="3935"/>
        <item x="1080"/>
        <item x="1523"/>
        <item x="1463"/>
        <item x="3084"/>
        <item x="3249"/>
        <item x="1714"/>
        <item x="1095"/>
        <item x="1862"/>
        <item x="2646"/>
        <item x="228"/>
        <item x="2951"/>
        <item x="4931"/>
        <item x="3241"/>
        <item x="4507"/>
        <item x="2248"/>
        <item x="3239"/>
        <item x="739"/>
        <item x="3646"/>
        <item x="4577"/>
        <item x="4623"/>
        <item x="1142"/>
        <item x="24"/>
        <item x="1629"/>
        <item x="2490"/>
        <item x="770"/>
        <item x="2962"/>
        <item x="1085"/>
        <item x="201"/>
        <item x="3581"/>
        <item x="3094"/>
        <item x="1120"/>
        <item x="1375"/>
        <item x="433"/>
        <item x="2294"/>
        <item x="599"/>
        <item x="4512"/>
        <item x="4501"/>
        <item x="354"/>
        <item x="876"/>
        <item x="2698"/>
        <item x="1548"/>
        <item x="4209"/>
        <item x="109"/>
        <item x="1486"/>
        <item x="1989"/>
        <item x="2035"/>
        <item x="3243"/>
        <item x="3855"/>
        <item x="1820"/>
        <item x="428"/>
        <item x="561"/>
        <item x="1810"/>
        <item x="3394"/>
        <item x="4193"/>
        <item x="121"/>
        <item x="3179"/>
        <item x="4960"/>
        <item x="1893"/>
        <item x="1293"/>
        <item x="3789"/>
        <item x="2799"/>
        <item x="1626"/>
        <item x="968"/>
        <item x="4829"/>
        <item x="4307"/>
        <item x="2588"/>
        <item x="1121"/>
        <item x="4053"/>
        <item x="1851"/>
        <item x="866"/>
        <item x="312"/>
        <item x="3571"/>
        <item x="4497"/>
        <item x="4856"/>
        <item x="1213"/>
        <item x="2384"/>
        <item x="256"/>
        <item x="3037"/>
        <item x="3040"/>
        <item x="524"/>
        <item x="552"/>
        <item x="2628"/>
        <item x="2854"/>
        <item x="2679"/>
        <item x="3697"/>
        <item x="441"/>
        <item x="2486"/>
        <item x="2699"/>
        <item x="1858"/>
        <item x="677"/>
        <item x="4133"/>
        <item x="803"/>
        <item x="3059"/>
        <item x="6"/>
        <item x="2105"/>
        <item x="814"/>
        <item x="1096"/>
        <item x="527"/>
        <item x="1146"/>
        <item x="809"/>
        <item x="4296"/>
        <item x="3902"/>
        <item x="1600"/>
        <item x="2249"/>
        <item x="2658"/>
        <item x="1389"/>
        <item x="3260"/>
        <item x="990"/>
        <item x="935"/>
        <item x="45"/>
        <item x="1168"/>
        <item x="2522"/>
        <item x="2541"/>
        <item x="2849"/>
        <item x="2233"/>
        <item x="1962"/>
        <item x="4747"/>
        <item x="1221"/>
        <item x="4688"/>
        <item x="3200"/>
        <item x="29"/>
        <item x="1875"/>
        <item x="305"/>
        <item x="2054"/>
        <item x="1949"/>
        <item x="4203"/>
        <item x="2195"/>
        <item x="4514"/>
        <item x="2708"/>
        <item x="1578"/>
        <item x="2822"/>
        <item x="3868"/>
        <item x="1067"/>
        <item x="318"/>
        <item x="965"/>
        <item x="2647"/>
        <item x="2862"/>
        <item x="1017"/>
        <item x="4055"/>
        <item x="1748"/>
        <item x="3737"/>
        <item x="3720"/>
        <item x="341"/>
        <item x="1879"/>
        <item x="4437"/>
        <item x="2014"/>
        <item x="1641"/>
        <item x="1151"/>
        <item x="1346"/>
        <item x="4123"/>
        <item x="1587"/>
        <item x="3786"/>
        <item x="4804"/>
        <item x="2047"/>
        <item x="1271"/>
        <item x="2301"/>
        <item x="3468"/>
        <item x="865"/>
        <item x="3465"/>
        <item x="1365"/>
        <item x="3258"/>
        <item x="1971"/>
        <item x="1808"/>
        <item x="2728"/>
        <item x="3321"/>
        <item x="4614"/>
        <item x="1473"/>
        <item x="2894"/>
        <item x="4228"/>
        <item x="2535"/>
        <item x="3446"/>
        <item x="4852"/>
        <item x="4532"/>
        <item x="1206"/>
        <item x="1883"/>
        <item x="4743"/>
        <item x="4208"/>
        <item x="601"/>
        <item x="1518"/>
        <item x="3916"/>
        <item x="822"/>
        <item x="1435"/>
        <item x="2660"/>
        <item x="4333"/>
        <item x="793"/>
        <item x="3972"/>
        <item x="509"/>
        <item x="330"/>
        <item x="1517"/>
        <item x="4423"/>
        <item x="2742"/>
        <item x="3537"/>
        <item x="1143"/>
        <item x="2146"/>
        <item x="4939"/>
        <item x="743"/>
        <item x="894"/>
        <item x="3136"/>
        <item x="3714"/>
        <item x="4120"/>
        <item x="3269"/>
        <item x="84"/>
        <item x="1279"/>
        <item x="585"/>
        <item x="4412"/>
        <item x="258"/>
        <item x="1986"/>
        <item x="2515"/>
        <item x="4150"/>
        <item x="1141"/>
        <item x="829"/>
        <item x="1466"/>
        <item x="1873"/>
        <item x="1074"/>
        <item x="131"/>
        <item x="1849"/>
        <item x="4482"/>
        <item x="4328"/>
        <item x="945"/>
        <item x="487"/>
        <item x="4535"/>
        <item x="644"/>
        <item x="2756"/>
        <item x="2340"/>
        <item x="4257"/>
        <item x="2202"/>
        <item x="4223"/>
        <item x="827"/>
        <item x="4898"/>
        <item x="3277"/>
        <item x="2334"/>
        <item x="2943"/>
        <item x="847"/>
        <item x="2691"/>
        <item x="1790"/>
        <item x="165"/>
        <item x="998"/>
        <item x="846"/>
        <item x="482"/>
        <item x="2213"/>
        <item x="211"/>
        <item x="1377"/>
        <item x="1898"/>
        <item x="423"/>
        <item x="1482"/>
        <item x="2893"/>
        <item x="4003"/>
        <item x="402"/>
        <item x="627"/>
        <item x="2657"/>
        <item x="3554"/>
        <item x="4771"/>
        <item x="642"/>
        <item x="4486"/>
        <item x="2800"/>
        <item x="1564"/>
        <item x="2810"/>
        <item x="376"/>
        <item x="2352"/>
        <item x="590"/>
        <item x="1725"/>
        <item x="3426"/>
        <item x="785"/>
        <item x="2219"/>
        <item x="3352"/>
        <item x="1924"/>
        <item x="2333"/>
        <item x="4129"/>
        <item x="1403"/>
        <item x="1003"/>
        <item x="4689"/>
        <item x="579"/>
        <item x="1062"/>
        <item x="4599"/>
        <item x="4628"/>
        <item x="75"/>
        <item x="191"/>
        <item x="2149"/>
        <item x="4706"/>
        <item x="3254"/>
        <item x="422"/>
        <item x="251"/>
        <item x="2142"/>
        <item x="4375"/>
        <item x="4032"/>
        <item x="2136"/>
        <item x="155"/>
        <item x="3061"/>
        <item x="4289"/>
        <item x="2386"/>
        <item x="930"/>
        <item x="1721"/>
        <item x="1303"/>
        <item x="733"/>
        <item x="3314"/>
        <item x="2776"/>
        <item x="2476"/>
        <item x="225"/>
        <item x="2645"/>
        <item x="4044"/>
        <item x="1938"/>
        <item x="1568"/>
        <item x="2881"/>
        <item x="1959"/>
        <item x="4773"/>
        <item x="2847"/>
        <item x="2141"/>
        <item x="445"/>
        <item x="3233"/>
        <item x="3298"/>
        <item x="3816"/>
        <item x="3235"/>
        <item x="1127"/>
        <item x="2516"/>
        <item x="3132"/>
        <item x="3251"/>
        <item x="923"/>
        <item x="3959"/>
        <item x="4351"/>
        <item x="3018"/>
        <item x="3073"/>
        <item x="3349"/>
        <item x="628"/>
        <item x="4690"/>
        <item x="2596"/>
        <item x="3952"/>
        <item x="2955"/>
        <item x="106"/>
        <item x="4152"/>
        <item x="675"/>
        <item x="1242"/>
        <item x="4612"/>
        <item x="3953"/>
        <item x="2423"/>
        <item x="4250"/>
        <item x="3542"/>
        <item x="3168"/>
        <item x="4042"/>
        <item x="3450"/>
        <item x="2393"/>
        <item x="2201"/>
        <item x="1896"/>
        <item x="2606"/>
        <item x="2845"/>
        <item x="2901"/>
        <item x="4115"/>
        <item x="1343"/>
        <item x="1639"/>
        <item x="1082"/>
        <item x="1326"/>
        <item x="1702"/>
        <item x="3119"/>
        <item x="2729"/>
        <item x="1632"/>
        <item x="3552"/>
        <item x="175"/>
        <item x="1072"/>
        <item x="3886"/>
        <item x="4394"/>
        <item x="4074"/>
        <item x="5"/>
        <item x="701"/>
        <item x="2851"/>
        <item x="1932"/>
        <item x="2517"/>
        <item x="4813"/>
        <item x="1350"/>
        <item x="2281"/>
        <item x="2039"/>
        <item x="145"/>
        <item x="3859"/>
        <item x="2579"/>
        <item x="4197"/>
        <item x="1390"/>
        <item x="91"/>
        <item x="2615"/>
        <item x="4357"/>
        <item x="2030"/>
        <item x="4184"/>
        <item x="689"/>
        <item x="2183"/>
        <item x="3867"/>
        <item x="2329"/>
        <item x="3713"/>
        <item x="3856"/>
        <item x="3617"/>
        <item x="909"/>
        <item x="4703"/>
        <item x="2976"/>
        <item x="1784"/>
        <item x="2557"/>
        <item x="4783"/>
        <item x="2463"/>
        <item x="4355"/>
        <item x="435"/>
        <item x="1969"/>
        <item x="107"/>
        <item x="4684"/>
        <item x="4681"/>
        <item x="849"/>
        <item x="1238"/>
        <item x="3459"/>
        <item x="3603"/>
        <item x="351"/>
        <item x="2271"/>
        <item x="4834"/>
        <item x="3822"/>
        <item x="1163"/>
        <item x="3305"/>
        <item x="2107"/>
        <item x="1976"/>
        <item x="4016"/>
        <item x="2"/>
        <item x="507"/>
        <item x="133"/>
        <item x="4061"/>
        <item x="132"/>
        <item x="1445"/>
        <item x="2819"/>
        <item x="1236"/>
        <item x="1906"/>
        <item x="2029"/>
        <item x="903"/>
        <item x="4153"/>
        <item x="4963"/>
        <item x="3193"/>
        <item x="4800"/>
        <item x="1036"/>
        <item x="2255"/>
        <item x="3390"/>
        <item x="3745"/>
        <item x="1119"/>
        <item x="3661"/>
        <item x="4775"/>
        <item x="1298"/>
        <item x="2115"/>
        <item x="2443"/>
        <item x="871"/>
        <item x="817"/>
        <item x="3642"/>
        <item x="463"/>
        <item x="924"/>
        <item x="2607"/>
        <item x="2061"/>
        <item x="1019"/>
        <item x="3753"/>
        <item x="329"/>
        <item x="867"/>
        <item x="1084"/>
        <item x="962"/>
        <item x="2503"/>
        <item x="3548"/>
        <item x="4284"/>
        <item x="3908"/>
        <item x="3574"/>
        <item x="279"/>
        <item x="1667"/>
        <item x="3704"/>
        <item x="3363"/>
        <item x="3001"/>
        <item x="938"/>
        <item x="1020"/>
        <item x="3099"/>
        <item x="1480"/>
        <item x="605"/>
        <item x="2621"/>
        <item x="4111"/>
        <item x="4124"/>
        <item x="2083"/>
        <item x="2835"/>
        <item x="130"/>
        <item x="606"/>
        <item x="2752"/>
        <item x="61"/>
        <item x="986"/>
        <item x="4845"/>
        <item x="3066"/>
        <item x="693"/>
        <item x="253"/>
        <item x="2868"/>
        <item x="992"/>
        <item x="112"/>
        <item x="3159"/>
        <item x="2569"/>
        <item x="617"/>
        <item x="2780"/>
        <item x="756"/>
        <item x="2171"/>
        <item x="3086"/>
        <item x="1336"/>
        <item x="1573"/>
        <item x="1472"/>
        <item x="88"/>
        <item x="3071"/>
        <item x="207"/>
        <item x="4100"/>
        <item x="3989"/>
        <item x="65"/>
        <item x="4918"/>
        <item x="4198"/>
        <item x="4917"/>
        <item x="3035"/>
        <item x="4343"/>
        <item x="4803"/>
        <item x="4034"/>
        <item x="4780"/>
        <item x="2739"/>
        <item x="3155"/>
        <item x="4455"/>
        <item x="3156"/>
        <item x="4935"/>
        <item x="3301"/>
        <item x="3514"/>
        <item x="431"/>
        <item x="4395"/>
        <item x="2838"/>
        <item x="3778"/>
        <item x="856"/>
        <item x="1902"/>
        <item x="2549"/>
        <item x="3695"/>
        <item x="4980"/>
        <item x="2272"/>
        <item x="1153"/>
        <item x="4078"/>
        <item x="2804"/>
        <item x="440"/>
        <item x="4672"/>
        <item x="2305"/>
        <item x="3658"/>
        <item x="910"/>
        <item x="3964"/>
        <item x="3431"/>
        <item x="238"/>
        <item x="1393"/>
        <item x="3226"/>
        <item x="4106"/>
        <item x="1177"/>
        <item x="323"/>
        <item x="1002"/>
        <item x="595"/>
        <item x="3333"/>
        <item x="2180"/>
        <item x="2277"/>
        <item x="794"/>
        <item x="2026"/>
        <item x="1593"/>
        <item x="4838"/>
        <item x="773"/>
        <item x="2539"/>
        <item x="3665"/>
        <item x="755"/>
        <item x="229"/>
        <item x="3892"/>
        <item x="637"/>
        <item x="3374"/>
        <item x="2155"/>
        <item x="3418"/>
        <item x="3781"/>
        <item x="1955"/>
        <item x="4406"/>
        <item x="3712"/>
        <item x="3145"/>
        <item x="2204"/>
        <item x="3917"/>
        <item x="4292"/>
        <item x="1434"/>
        <item x="953"/>
        <item x="2461"/>
        <item x="2813"/>
        <item x="4965"/>
        <item x="108"/>
        <item x="2056"/>
        <item x="3114"/>
        <item x="3828"/>
        <item x="660"/>
        <item x="3335"/>
        <item x="4854"/>
        <item x="2347"/>
        <item x="3359"/>
        <item x="2985"/>
        <item x="2348"/>
        <item x="4408"/>
        <item x="2693"/>
        <item x="1134"/>
        <item x="2631"/>
        <item x="1174"/>
        <item x="316"/>
        <item x="3429"/>
        <item x="4591"/>
        <item x="4860"/>
        <item x="4167"/>
        <item x="1280"/>
        <item x="4680"/>
        <item x="322"/>
        <item x="2431"/>
        <item x="4190"/>
        <item x="4537"/>
        <item x="2570"/>
        <item x="3080"/>
        <item x="443"/>
        <item x="3177"/>
        <item x="1371"/>
        <item x="163"/>
        <item x="4105"/>
        <item x="4414"/>
        <item x="4090"/>
        <item x="4356"/>
        <item x="3809"/>
        <item x="3212"/>
        <item x="2788"/>
        <item x="4870"/>
        <item x="4438"/>
        <item x="688"/>
        <item x="3630"/>
        <item x="3366"/>
        <item x="548"/>
        <item x="4086"/>
        <item x="80"/>
        <item x="3701"/>
        <item x="508"/>
        <item x="3978"/>
        <item x="1131"/>
        <item x="7"/>
        <item x="3994"/>
        <item x="4474"/>
        <item x="2924"/>
        <item x="4470"/>
        <item x="2404"/>
        <item x="1358"/>
        <item x="1930"/>
        <item x="2103"/>
        <item x="3960"/>
        <item x="4498"/>
        <item x="4685"/>
        <item x="4281"/>
        <item x="4823"/>
        <item x="1132"/>
        <item x="1640"/>
        <item x="2379"/>
        <item x="4377"/>
        <item x="1690"/>
        <item x="3076"/>
        <item x="2217"/>
        <item x="4085"/>
        <item x="3528"/>
        <item x="3934"/>
        <item x="2469"/>
        <item x="2385"/>
        <item x="4555"/>
        <item x="3268"/>
        <item x="2477"/>
        <item x="1946"/>
        <item x="587"/>
        <item x="879"/>
        <item x="3328"/>
        <item x="22"/>
        <item x="3941"/>
        <item x="3232"/>
        <item x="4294"/>
        <item x="1541"/>
        <item x="3684"/>
        <item x="3751"/>
        <item x="1718"/>
        <item x="115"/>
        <item x="3579"/>
        <item x="4326"/>
        <item x="2479"/>
        <item x="1111"/>
        <item x="3164"/>
        <item x="73"/>
        <item x="4710"/>
        <item x="3679"/>
        <item x="4972"/>
        <item x="1216"/>
        <item x="1704"/>
        <item x="3683"/>
        <item x="4073"/>
        <item x="3904"/>
        <item x="4487"/>
        <item x="1659"/>
        <item x="2794"/>
        <item x="1557"/>
        <item x="4107"/>
        <item x="842"/>
        <item x="1788"/>
        <item x="391"/>
        <item x="4502"/>
        <item x="503"/>
        <item x="1841"/>
        <item x="412"/>
        <item x="1011"/>
        <item x="4784"/>
        <item x="303"/>
        <item x="4353"/>
        <item x="367"/>
        <item x="1941"/>
        <item x="3956"/>
        <item x="4327"/>
        <item x="1215"/>
        <item x="4881"/>
        <item x="2193"/>
        <item x="2561"/>
        <item x="384"/>
        <item x="4186"/>
        <item x="1771"/>
        <item x="2489"/>
        <item x="1581"/>
        <item x="3993"/>
        <item x="1857"/>
        <item x="1264"/>
        <item x="1094"/>
        <item x="4146"/>
        <item x="4603"/>
        <item x="3567"/>
        <item x="3027"/>
        <item x="1261"/>
        <item x="988"/>
        <item x="307"/>
        <item x="2612"/>
        <item x="1448"/>
        <item x="4465"/>
        <item x="857"/>
        <item x="4191"/>
        <item x="3842"/>
        <item x="3375"/>
        <item x="4282"/>
        <item x="1991"/>
        <item x="885"/>
        <item x="727"/>
        <item x="4335"/>
        <item x="4762"/>
        <item x="1881"/>
        <item x="1302"/>
        <item x="2747"/>
        <item x="1254"/>
        <item x="3538"/>
        <item x="2899"/>
        <item x="4583"/>
        <item x="2137"/>
        <item x="662"/>
        <item x="2296"/>
        <item x="3799"/>
        <item x="2992"/>
        <item x="3985"/>
        <item x="2065"/>
        <item x="1950"/>
        <item x="280"/>
        <item x="2801"/>
        <item x="3295"/>
        <item x="4079"/>
        <item x="4640"/>
        <item x="3034"/>
        <item x="320"/>
        <item x="1166"/>
        <item x="1289"/>
        <item x="3279"/>
        <item x="1319"/>
        <item x="2020"/>
        <item x="4403"/>
        <item x="4581"/>
        <item x="646"/>
        <item x="2950"/>
        <item x="2620"/>
        <item x="2527"/>
        <item x="3879"/>
        <item x="2186"/>
        <item x="4131"/>
        <item x="2307"/>
        <item x="2889"/>
        <item x="241"/>
        <item x="763"/>
        <item x="3364"/>
        <item x="4660"/>
        <item x="2402"/>
        <item x="4429"/>
        <item x="3793"/>
        <item x="3133"/>
        <item x="989"/>
        <item x="3378"/>
        <item x="2057"/>
        <item x="4964"/>
        <item x="2342"/>
        <item x="1099"/>
        <item x="3451"/>
        <item x="4884"/>
        <item x="3143"/>
        <item x="1795"/>
        <item x="4799"/>
        <item x="4028"/>
        <item x="194"/>
        <item x="3125"/>
        <item x="1960"/>
        <item x="3884"/>
        <item x="3503"/>
        <item x="4243"/>
        <item x="4741"/>
        <item x="3167"/>
        <item x="244"/>
        <item x="2709"/>
        <item x="3890"/>
        <item x="4779"/>
        <item x="3255"/>
        <item x="1249"/>
        <item x="164"/>
        <item x="3039"/>
        <item x="974"/>
        <item x="2685"/>
        <item x="3117"/>
        <item x="2122"/>
        <item x="1022"/>
        <item x="2760"/>
        <item x="4796"/>
        <item x="393"/>
        <item x="2916"/>
        <item x="2781"/>
        <item x="2573"/>
        <item x="4480"/>
        <item x="4494"/>
        <item x="2156"/>
        <item x="1246"/>
        <item x="2060"/>
        <item x="4101"/>
        <item x="381"/>
        <item x="2435"/>
        <item x="1970"/>
        <item x="2787"/>
        <item x="3275"/>
        <item x="4104"/>
        <item x="2942"/>
        <item x="3424"/>
        <item x="345"/>
        <item x="4279"/>
        <item x="1498"/>
        <item x="2917"/>
        <item x="3629"/>
        <item x="2210"/>
        <item x="3294"/>
        <item x="2802"/>
        <item x="1295"/>
        <item x="3388"/>
        <item x="3787"/>
        <item x="1687"/>
        <item x="3443"/>
        <item x="1161"/>
        <item x="563"/>
        <item x="2139"/>
        <item x="2743"/>
        <item x="1228"/>
        <item x="334"/>
        <item x="117"/>
        <item x="89"/>
        <item x="1440"/>
        <item x="576"/>
        <item x="2577"/>
        <item x="4728"/>
        <item x="1675"/>
        <item x="1990"/>
        <item x="653"/>
        <item x="468"/>
        <item x="1240"/>
        <item x="1278"/>
        <item x="1753"/>
        <item x="4274"/>
        <item x="296"/>
        <item x="420"/>
        <item x="1503"/>
        <item x="5002"/>
        <item x="3316"/>
        <item x="3052"/>
        <item x="1580"/>
        <item x="2078"/>
        <item x="3160"/>
        <item x="3686"/>
        <item x="2073"/>
        <item x="1374"/>
        <item x="3154"/>
        <item x="1313"/>
        <item x="911"/>
        <item x="1109"/>
        <item x="969"/>
        <item x="1360"/>
        <item x="3006"/>
        <item x="4871"/>
        <item x="1276"/>
        <item x="891"/>
        <item x="1468"/>
        <item x="2936"/>
        <item x="1288"/>
        <item x="3101"/>
        <item x="2200"/>
        <item x="2724"/>
        <item x="2066"/>
        <item x="297"/>
        <item x="3284"/>
        <item x="1218"/>
        <item x="3287"/>
        <item x="298"/>
        <item x="3870"/>
        <item x="1908"/>
        <item x="2462"/>
        <item x="4052"/>
        <item x="2084"/>
        <item x="4551"/>
        <item x="397"/>
        <item x="1835"/>
        <item x="1485"/>
        <item x="1934"/>
        <item x="2683"/>
        <item x="2938"/>
        <item x="3826"/>
        <item x="762"/>
        <item x="569"/>
        <item x="1506"/>
        <item x="3108"/>
        <item x="4545"/>
        <item x="3425"/>
        <item x="3383"/>
        <item x="4977"/>
        <item x="2108"/>
        <item x="645"/>
        <item x="1057"/>
        <item x="54"/>
        <item x="331"/>
        <item x="1033"/>
        <item x="4239"/>
        <item x="4189"/>
        <item x="3417"/>
        <item x="781"/>
        <item x="2831"/>
        <item x="3832"/>
        <item x="4726"/>
        <item x="4995"/>
        <item x="81"/>
        <item x="2119"/>
        <item x="3585"/>
        <item x="4669"/>
        <item x="192"/>
        <item x="3173"/>
        <item x="4319"/>
        <item x="779"/>
        <item x="575"/>
        <item x="947"/>
        <item x="1452"/>
        <item x="424"/>
        <item x="1027"/>
        <item x="3523"/>
        <item x="656"/>
        <item x="2194"/>
        <item x="98"/>
        <item x="1653"/>
        <item x="4341"/>
        <item x="3477"/>
        <item x="987"/>
        <item x="1345"/>
        <item x="4782"/>
        <item x="450"/>
        <item x="2580"/>
        <item x="4825"/>
        <item x="2978"/>
        <item x="1533"/>
        <item x="4286"/>
        <item x="2554"/>
        <item x="1648"/>
        <item x="3561"/>
        <item x="937"/>
        <item x="4322"/>
        <item x="2649"/>
        <item x="74"/>
        <item x="3016"/>
        <item x="2282"/>
        <item x="4499"/>
        <item x="2965"/>
        <item x="2378"/>
        <item x="3609"/>
        <item x="919"/>
        <item x="2609"/>
        <item x="2401"/>
        <item x="4564"/>
        <item x="609"/>
        <item x="395"/>
        <item x="3933"/>
        <item x="4386"/>
        <item x="301"/>
        <item x="1204"/>
        <item x="3691"/>
        <item x="179"/>
        <item x="2353"/>
        <item x="2005"/>
        <item x="4064"/>
        <item x="4484"/>
        <item x="3384"/>
        <item x="2803"/>
        <item x="1972"/>
        <item x="2413"/>
        <item x="1628"/>
        <item x="4836"/>
        <item x="3120"/>
        <item x="2593"/>
        <item x="1757"/>
        <item x="4134"/>
        <item x="355"/>
        <item x="2869"/>
        <item x="2714"/>
        <item x="1886"/>
        <item x="952"/>
        <item x="1272"/>
        <item x="2542"/>
        <item x="3531"/>
        <item x="3452"/>
        <item x="3307"/>
        <item x="2050"/>
        <item x="4089"/>
        <item x="549"/>
        <item x="2459"/>
        <item x="2659"/>
        <item x="573"/>
        <item x="3463"/>
        <item x="2695"/>
        <item x="1060"/>
        <item x="3192"/>
        <item x="684"/>
        <item x="2289"/>
        <item x="686"/>
        <item x="4205"/>
        <item x="3973"/>
        <item x="726"/>
        <item x="4609"/>
        <item x="4776"/>
        <item x="560"/>
        <item x="4774"/>
        <item x="210"/>
        <item x="2639"/>
        <item x="1113"/>
        <item x="1112"/>
        <item x="1743"/>
        <item x="4112"/>
        <item x="1478"/>
        <item x="2164"/>
        <item x="209"/>
        <item x="3134"/>
        <item x="1927"/>
        <item x="240"/>
        <item x="1012"/>
        <item x="2915"/>
        <item x="1077"/>
        <item x="915"/>
        <item x="2981"/>
        <item x="2969"/>
        <item x="2388"/>
        <item x="3438"/>
        <item x="3573"/>
        <item x="3785"/>
        <item x="2970"/>
        <item x="2399"/>
        <item x="607"/>
        <item x="3876"/>
        <item x="3575"/>
        <item x="2417"/>
        <item x="3717"/>
        <item x="2212"/>
        <item x="4159"/>
        <item x="1952"/>
        <item x="2398"/>
        <item x="3447"/>
        <item x="4903"/>
        <item x="3991"/>
        <item x="2472"/>
        <item x="3659"/>
        <item x="2954"/>
        <item x="3951"/>
        <item x="4492"/>
        <item x="3731"/>
        <item x="3682"/>
        <item x="3300"/>
        <item x="3380"/>
        <item x="2961"/>
        <item x="749"/>
        <item x="1588"/>
        <item x="276"/>
        <item x="2602"/>
        <item x="3220"/>
        <item x="4526"/>
        <item x="3736"/>
        <item x="4996"/>
        <item x="2400"/>
        <item x="1769"/>
        <item x="128"/>
        <item x="4861"/>
        <item x="438"/>
        <item x="2884"/>
        <item x="3382"/>
        <item x="1798"/>
        <item x="624"/>
        <item x="1553"/>
        <item x="2952"/>
        <item x="158"/>
        <item x="2562"/>
        <item x="1526"/>
        <item x="1661"/>
        <item x="2173"/>
        <item x="2295"/>
        <item x="2051"/>
        <item x="883"/>
        <item x="4594"/>
        <item x="4339"/>
        <item x="929"/>
        <item x="2941"/>
        <item x="720"/>
        <item x="1198"/>
        <item x="2267"/>
        <item x="4182"/>
        <item x="621"/>
        <item x="4360"/>
        <item x="496"/>
        <item x="3742"/>
        <item x="2145"/>
        <item x="960"/>
        <item x="4885"/>
        <item x="3779"/>
        <item x="690"/>
        <item x="4027"/>
        <item x="2812"/>
        <item x="3082"/>
        <item x="134"/>
        <item x="4971"/>
        <item x="4459"/>
        <item x="4325"/>
        <item x="4417"/>
        <item x="3764"/>
        <item x="4315"/>
        <item x="927"/>
        <item x="2948"/>
        <item x="742"/>
        <item x="2902"/>
        <item x="4449"/>
        <item x="2546"/>
        <item x="1856"/>
        <item x="4283"/>
        <item x="3597"/>
        <item x="4717"/>
        <item x="4040"/>
        <item x="3626"/>
        <item x="1155"/>
        <item x="2702"/>
        <item x="1477"/>
        <item x="4118"/>
        <item x="1651"/>
        <item x="4625"/>
        <item x="2520"/>
        <item x="4711"/>
        <item x="4038"/>
        <item x="1257"/>
        <item x="3439"/>
        <item x="4886"/>
        <item x="3365"/>
        <item x="1188"/>
        <item x="2114"/>
        <item x="868"/>
        <item x="1816"/>
        <item x="3075"/>
        <item x="1892"/>
        <item x="3077"/>
        <item x="447"/>
        <item x="269"/>
        <item x="4596"/>
        <item x="220"/>
        <item x="1685"/>
        <item x="4505"/>
        <item x="1494"/>
        <item x="40"/>
        <item x="1162"/>
        <item x="997"/>
        <item x="2058"/>
        <item x="897"/>
        <item x="1016"/>
        <item x="1411"/>
        <item x="3694"/>
        <item x="2572"/>
        <item x="3131"/>
        <item x="3746"/>
        <item x="2392"/>
        <item x="217"/>
        <item x="4402"/>
        <item x="4309"/>
        <item x="2766"/>
        <item x="3025"/>
        <item x="1008"/>
        <item x="2963"/>
        <item x="1207"/>
        <item x="3643"/>
        <item x="146"/>
        <item x="95"/>
        <item x="1928"/>
        <item x="67"/>
        <item x="2748"/>
        <item x="934"/>
        <item x="3613"/>
        <item x="4364"/>
        <item x="1231"/>
        <item x="3456"/>
        <item x="1910"/>
        <item x="604"/>
        <item x="804"/>
        <item x="4808"/>
        <item x="1812"/>
        <item x="4994"/>
        <item x="2929"/>
        <item x="4562"/>
        <item x="3280"/>
        <item x="1052"/>
        <item x="3536"/>
        <item x="1754"/>
        <item x="886"/>
        <item x="1183"/>
        <item x="3853"/>
        <item x="3909"/>
        <item x="3652"/>
        <item x="4136"/>
        <item x="3802"/>
        <item x="4422"/>
        <item x="2118"/>
        <item x="4266"/>
        <item x="2886"/>
        <item x="375"/>
        <item x="3015"/>
        <item x="3524"/>
        <item x="3566"/>
        <item x="1255"/>
        <item x="2721"/>
        <item x="180"/>
        <item x="474"/>
        <item x="26"/>
        <item x="1598"/>
        <item x="3458"/>
        <item x="4864"/>
        <item x="4393"/>
        <item x="4697"/>
        <item x="1219"/>
        <item x="831"/>
        <item x="618"/>
        <item x="1314"/>
        <item x="2082"/>
        <item x="287"/>
        <item x="1516"/>
        <item x="925"/>
        <item x="1711"/>
        <item x="233"/>
        <item x="2167"/>
        <item x="1524"/>
        <item x="1654"/>
        <item x="4047"/>
        <item x="2883"/>
        <item x="493"/>
        <item x="4559"/>
        <item x="1405"/>
        <item x="4401"/>
        <item x="2598"/>
        <item x="1493"/>
        <item x="855"/>
        <item x="3854"/>
        <item x="3622"/>
        <item x="572"/>
        <item x="2930"/>
        <item x="2676"/>
        <item x="3190"/>
        <item x="3404"/>
        <item x="4576"/>
        <item x="4618"/>
        <item x="967"/>
        <item x="4869"/>
        <item x="800"/>
        <item x="3309"/>
        <item x="1616"/>
        <item x="1436"/>
        <item x="3362"/>
        <item x="4176"/>
        <item x="2931"/>
        <item x="3385"/>
        <item x="2458"/>
        <item x="4420"/>
        <item x="2336"/>
        <item x="2664"/>
        <item x="3345"/>
        <item x="3718"/>
        <item x="1826"/>
        <item x="760"/>
        <item x="2510"/>
        <item x="3497"/>
        <item x="700"/>
        <item x="1125"/>
        <item x="1092"/>
        <item x="1985"/>
        <item x="2927"/>
        <item x="479"/>
        <item x="724"/>
        <item x="4029"/>
        <item x="2834"/>
        <item x="3370"/>
        <item x="1607"/>
        <item x="2563"/>
        <item x="4110"/>
        <item x="582"/>
        <item x="732"/>
        <item x="4982"/>
        <item x="2806"/>
        <item x="142"/>
        <item x="1750"/>
        <item x="4915"/>
        <item x="943"/>
        <item x="4277"/>
        <item x="3289"/>
        <item x="0"/>
        <item x="1108"/>
        <item x="4232"/>
        <item x="4442"/>
        <item x="844"/>
        <item x="1"/>
        <item x="4610"/>
        <item x="1034"/>
        <item x="1101"/>
        <item x="4835"/>
        <item x="2196"/>
        <item x="912"/>
        <item x="4921"/>
        <item x="3371"/>
        <item x="1037"/>
        <item x="999"/>
        <item x="1775"/>
        <item x="3593"/>
        <item x="4528"/>
        <item x="1464"/>
        <item x="3522"/>
        <item x="544"/>
        <item x="2446"/>
        <item x="4851"/>
        <item x="1544"/>
        <item x="2634"/>
        <item x="1609"/>
        <item x="41"/>
        <item x="2169"/>
        <item x="614"/>
        <item x="2133"/>
        <item x="1438"/>
        <item x="712"/>
        <item x="1981"/>
        <item x="1844"/>
        <item x="556"/>
        <item x="1766"/>
        <item x="223"/>
        <item x="2427"/>
        <item x="2036"/>
        <item x="818"/>
        <item x="1266"/>
        <item x="2857"/>
        <item x="1888"/>
        <item x="4348"/>
        <item x="2311"/>
        <item x="3519"/>
        <item x="408"/>
        <item x="1158"/>
        <item x="3891"/>
        <item x="1308"/>
        <item x="3823"/>
        <item x="455"/>
        <item x="2891"/>
        <item x="4839"/>
        <item x="748"/>
        <item x="1572"/>
        <item x="1379"/>
        <item x="4457"/>
        <item x="236"/>
        <item x="3240"/>
        <item x="1521"/>
        <item x="722"/>
        <item x="715"/>
        <item x="2245"/>
        <item x="3161"/>
        <item x="386"/>
        <item x="3677"/>
        <item x="3710"/>
        <item x="2687"/>
        <item x="659"/>
        <item x="2250"/>
        <item x="5005"/>
        <item x="4181"/>
        <item x="4905"/>
        <item x="3796"/>
        <item x="3671"/>
        <item x="3211"/>
        <item x="1510"/>
        <item x="1208"/>
        <item x="955"/>
        <item x="1515"/>
        <item x="3334"/>
        <item x="1615"/>
        <item x="2509"/>
        <item x="1865"/>
        <item x="4019"/>
        <item x="90"/>
        <item x="1745"/>
        <item x="3931"/>
        <item x="3858"/>
        <item x="3237"/>
        <item x="869"/>
        <item x="267"/>
        <item x="335"/>
        <item x="1601"/>
        <item x="4224"/>
        <item x="4002"/>
        <item x="1720"/>
        <item x="936"/>
        <item x="3885"/>
        <item x="2181"/>
        <item x="581"/>
        <item x="249"/>
        <item x="2732"/>
        <item x="4488"/>
        <item x="4265"/>
        <item x="4397"/>
        <item x="104"/>
        <item x="1799"/>
        <item x="2152"/>
        <item x="3201"/>
        <item x="3474"/>
        <item x="1968"/>
        <item x="2354"/>
        <item x="1747"/>
        <item x="3051"/>
        <item x="5006"/>
        <item x="4676"/>
        <item x="1589"/>
        <item x="4242"/>
        <item x="1227"/>
        <item x="2500"/>
        <item x="3813"/>
        <item x="2839"/>
        <item x="3637"/>
        <item x="277"/>
        <item x="2704"/>
        <item x="3198"/>
        <item x="568"/>
        <item x="2521"/>
        <item x="1983"/>
        <item x="2324"/>
        <item x="2055"/>
        <item x="1116"/>
        <item x="939"/>
        <item x="2337"/>
        <item x="661"/>
        <item x="1502"/>
        <item x="1837"/>
        <item x="4841"/>
        <item x="4099"/>
        <item x="4219"/>
        <item x="3048"/>
        <item x="302"/>
        <item x="126"/>
        <item x="3606"/>
        <item x="2075"/>
        <item x="2072"/>
        <item x="2471"/>
        <item x="2994"/>
        <item x="2764"/>
        <item x="820"/>
        <item x="1267"/>
        <item x="359"/>
        <item x="1872"/>
        <item x="4953"/>
        <item x="4942"/>
        <item x="586"/>
        <item x="2511"/>
        <item x="620"/>
        <item x="674"/>
        <item x="2913"/>
        <item x="1043"/>
        <item x="854"/>
        <item x="2786"/>
        <item x="1674"/>
        <item x="3306"/>
        <item x="70"/>
        <item x="1382"/>
        <item x="3257"/>
        <item x="3734"/>
        <item x="2706"/>
        <item x="3563"/>
        <item x="1599"/>
        <item x="1749"/>
        <item x="1056"/>
        <item x="558"/>
        <item x="811"/>
        <item x="2224"/>
        <item x="4699"/>
        <item x="4432"/>
        <item x="407"/>
        <item x="4441"/>
        <item x="2232"/>
        <item x="311"/>
        <item x="3619"/>
        <item x="3703"/>
        <item x="87"/>
        <item x="2668"/>
        <item x="1716"/>
        <item x="3440"/>
        <item x="2256"/>
        <item x="3899"/>
        <item x="2560"/>
        <item x="3996"/>
        <item x="1948"/>
        <item x="1378"/>
        <item x="4524"/>
        <item x="3621"/>
        <item x="2131"/>
        <item x="1763"/>
        <item x="4795"/>
        <item x="554"/>
        <item x="36"/>
        <item x="150"/>
        <item x="3078"/>
        <item x="1793"/>
        <item x="3833"/>
        <item x="2455"/>
        <item x="317"/>
        <item x="4122"/>
        <item x="2680"/>
        <item x="545"/>
        <item x="506"/>
        <item x="3486"/>
        <item x="4765"/>
        <item x="884"/>
        <item x="977"/>
        <item x="4906"/>
        <item x="4440"/>
        <item x="893"/>
        <item x="2110"/>
        <item x="2358"/>
        <item x="3529"/>
        <item x="1501"/>
        <item x="4642"/>
        <item x="2513"/>
        <item x="3550"/>
        <item x="808"/>
        <item x="2551"/>
        <item x="2306"/>
        <item x="4312"/>
        <item x="1891"/>
        <item x="799"/>
        <item x="907"/>
        <item x="1547"/>
        <item x="2816"/>
        <item x="1652"/>
        <item x="583"/>
        <item x="603"/>
        <item x="1840"/>
        <item x="371"/>
        <item x="3231"/>
        <item x="2086"/>
        <item x="2983"/>
        <item x="1597"/>
        <item x="3324"/>
        <item x="264"/>
        <item x="290"/>
        <item x="2424"/>
        <item x="3576"/>
        <item x="3412"/>
        <item x="1579"/>
        <item x="2852"/>
        <item x="4188"/>
        <item x="1194"/>
        <item x="2168"/>
        <item x="4890"/>
        <item x="1050"/>
        <item x="1920"/>
        <item x="3056"/>
        <item x="4519"/>
        <item x="3829"/>
        <item x="4611"/>
        <item x="2012"/>
        <item x="2175"/>
        <item x="4373"/>
        <item x="1963"/>
        <item x="3273"/>
        <item x="863"/>
        <item x="4913"/>
        <item x="3053"/>
        <item x="1843"/>
        <item x="2214"/>
        <item x="4466"/>
        <item x="2933"/>
        <item x="4468"/>
        <item x="5010"/>
        <item x="3965"/>
        <item x="2172"/>
        <item x="1606"/>
        <item x="917"/>
        <item x="3304"/>
        <item x="3469"/>
        <item x="1230"/>
        <item x="1429"/>
        <item x="44"/>
        <item x="1001"/>
        <item x="2879"/>
        <item x="2718"/>
        <item x="4211"/>
        <item x="4246"/>
        <item x="3442"/>
        <item x="37"/>
        <item x="4031"/>
        <item x="2389"/>
        <item x="3592"/>
        <item x="1304"/>
        <item x="3296"/>
        <item x="861"/>
        <item x="2001"/>
        <item x="741"/>
        <item x="4572"/>
        <item x="4909"/>
        <item x="2815"/>
        <item x="2308"/>
        <item x="4039"/>
        <item x="698"/>
        <item x="1457"/>
        <item x="1347"/>
        <item x="2903"/>
        <item x="3547"/>
        <item x="845"/>
        <item x="3668"/>
        <item x="4805"/>
        <item x="2798"/>
        <item x="826"/>
        <item x="852"/>
        <item x="4785"/>
        <item x="2567"/>
        <item x="2671"/>
        <item x="3467"/>
        <item x="3444"/>
        <item x="2074"/>
        <item x="3265"/>
        <item x="2629"/>
        <item x="539"/>
        <item x="346"/>
        <item x="148"/>
        <item x="1860"/>
        <item x="1783"/>
        <item x="2826"/>
        <item x="1251"/>
        <item x="806"/>
        <item x="699"/>
        <item x="3539"/>
        <item x="4096"/>
        <item x="3274"/>
        <item x="1211"/>
        <item x="537"/>
        <item x="4954"/>
        <item x="672"/>
        <item x="1509"/>
        <item x="3883"/>
        <item x="4567"/>
        <item x="766"/>
        <item x="246"/>
        <item x="1106"/>
        <item x="3372"/>
        <item x="2872"/>
        <item x="4424"/>
        <item x="4485"/>
        <item x="3466"/>
        <item x="4212"/>
        <item x="4769"/>
        <item x="3971"/>
        <item x="3121"/>
        <item x="2129"/>
        <item x="4998"/>
        <item x="4390"/>
        <item x="4285"/>
        <item x="4445"/>
        <item x="263"/>
        <item x="1761"/>
        <item x="3423"/>
        <item x="4015"/>
        <item x="4755"/>
        <item x="4388"/>
        <item x="4709"/>
        <item x="3950"/>
        <item x="4916"/>
        <item x="3821"/>
        <item x="2080"/>
        <item x="4436"/>
        <item x="3286"/>
        <item x="3313"/>
        <item x="2640"/>
        <item x="1079"/>
        <item x="678"/>
        <item x="2109"/>
        <item x="3618"/>
        <item x="2473"/>
        <item x="796"/>
        <item x="1154"/>
        <item x="1388"/>
        <item x="4092"/>
        <item x="1380"/>
        <item x="1193"/>
        <item x="1622"/>
        <item x="1484"/>
        <item x="1433"/>
        <item x="3922"/>
        <item x="4632"/>
        <item x="3403"/>
        <item x="218"/>
        <item x="337"/>
        <item x="4428"/>
        <item x="2769"/>
        <item x="4021"/>
        <item x="3794"/>
        <item x="3795"/>
        <item x="3432"/>
        <item x="1859"/>
        <item x="2028"/>
        <item x="4677"/>
        <item x="2998"/>
        <item x="272"/>
        <item x="4820"/>
        <item x="432"/>
        <item x="4510"/>
        <item x="608"/>
        <item x="801"/>
        <item x="2498"/>
        <item x="1697"/>
        <item x="1610"/>
        <item x="3788"/>
        <item x="1838"/>
        <item x="4050"/>
        <item x="4396"/>
        <item x="4651"/>
        <item x="2184"/>
        <item x="1181"/>
        <item x="3462"/>
        <item x="636"/>
        <item x="3976"/>
        <item x="1922"/>
        <item x="4171"/>
        <item x="1025"/>
        <item x="3852"/>
        <item x="1904"/>
        <item x="4109"/>
        <item x="3138"/>
        <item x="4569"/>
        <item x="3569"/>
        <item x="3759"/>
        <item x="110"/>
        <item x="4132"/>
        <item x="2154"/>
        <item x="2722"/>
        <item x="680"/>
        <item x="1608"/>
        <item x="4426"/>
        <item x="4350"/>
        <item x="2860"/>
        <item x="3937"/>
        <item x="2719"/>
        <item x="2344"/>
        <item x="4354"/>
        <item x="833"/>
        <item x="2568"/>
        <item x="414"/>
        <item x="1700"/>
        <item x="4270"/>
        <item x="3806"/>
        <item x="4477"/>
        <item x="769"/>
        <item x="3151"/>
        <item x="4739"/>
        <item x="1864"/>
        <item x="4732"/>
        <item x="2257"/>
        <item x="1328"/>
        <item x="4037"/>
        <item x="2363"/>
        <item x="3340"/>
        <item x="3264"/>
        <item x="4956"/>
        <item x="4531"/>
        <item x="3292"/>
        <item x="4127"/>
        <item x="4444"/>
        <item x="613"/>
        <item x="2770"/>
        <item x="4163"/>
        <item x="265"/>
        <item x="3224"/>
        <item x="1292"/>
        <item x="4142"/>
        <item x="4605"/>
        <item x="3957"/>
        <item x="4674"/>
        <item x="4989"/>
        <item x="3144"/>
        <item x="951"/>
        <item x="4180"/>
        <item x="3400"/>
        <item x="1698"/>
        <item x="4615"/>
        <item x="3175"/>
        <item x="1562"/>
        <item x="4616"/>
        <item x="4254"/>
        <item x="1299"/>
        <item x="356"/>
        <item x="103"/>
        <item x="4308"/>
        <item x="4547"/>
        <item x="3898"/>
        <item x="4894"/>
        <item x="4091"/>
        <item x="834"/>
        <item x="4816"/>
        <item x="3774"/>
        <item x="43"/>
        <item x="2603"/>
        <item x="1936"/>
        <item x="4304"/>
        <item x="2460"/>
        <item x="2069"/>
        <item x="3435"/>
        <item x="3620"/>
        <item x="2374"/>
        <item x="2153"/>
        <item x="4087"/>
        <item x="2218"/>
        <item x="1671"/>
        <item x="4215"/>
        <item x="3100"/>
        <item x="3096"/>
        <item x="2947"/>
        <item x="1937"/>
        <item x="1496"/>
        <item x="1710"/>
        <item x="4346"/>
        <item x="3411"/>
        <item x="2270"/>
        <item x="4311"/>
        <item x="2784"/>
        <item x="1396"/>
        <item x="4207"/>
        <item x="3726"/>
        <item x="310"/>
        <item x="3649"/>
        <item x="1967"/>
        <item x="3824"/>
        <item x="4431"/>
        <item x="1727"/>
        <item x="3147"/>
        <item x="2242"/>
        <item x="4701"/>
        <item x="4645"/>
        <item x="3580"/>
        <item x="2044"/>
        <item x="2076"/>
        <item x="1197"/>
        <item x="2967"/>
        <item x="4231"/>
        <item x="4990"/>
        <item x="3980"/>
        <item x="3914"/>
        <item x="2240"/>
        <item x="2285"/>
        <item x="3625"/>
        <item x="3506"/>
        <item x="3414"/>
        <item x="3068"/>
        <item x="2416"/>
        <item x="2971"/>
        <item x="4041"/>
        <item x="3368"/>
        <item x="1150"/>
        <item x="2565"/>
        <item x="588"/>
        <item x="4290"/>
        <item x="1474"/>
        <item x="1490"/>
        <item x="594"/>
        <item x="1306"/>
        <item x="3559"/>
        <item x="2317"/>
        <item x="1475"/>
        <item x="1677"/>
        <item x="1212"/>
        <item x="2583"/>
        <item x="1330"/>
        <item x="2335"/>
        <item x="1311"/>
        <item x="4988"/>
        <item x="4305"/>
        <item x="4786"/>
        <item x="745"/>
        <item x="2681"/>
        <item x="4461"/>
        <item x="2288"/>
        <item x="4948"/>
        <item x="3246"/>
        <item x="1065"/>
        <item x="4949"/>
        <item x="166"/>
        <item x="4233"/>
        <item x="4234"/>
        <item x="3997"/>
        <item x="4763"/>
        <item x="2673"/>
        <item x="1853"/>
        <item x="1005"/>
        <item x="505"/>
        <item x="792"/>
        <item x="4843"/>
        <item x="2439"/>
        <item x="2828"/>
        <item x="4646"/>
        <item x="4483"/>
        <item x="4411"/>
        <item x="4137"/>
        <item x="4695"/>
        <item x="4530"/>
        <item x="1845"/>
        <item x="4368"/>
        <item x="4693"/>
        <item x="751"/>
        <item x="1738"/>
        <item x="2723"/>
        <item x="780"/>
        <item x="858"/>
        <item x="1646"/>
        <item x="2530"/>
        <item x="3360"/>
        <item x="1394"/>
        <item x="4005"/>
        <item x="4857"/>
        <item x="4447"/>
        <item x="3555"/>
        <item x="2531"/>
        <item x="908"/>
        <item x="543"/>
        <item x="2365"/>
        <item x="2874"/>
        <item x="744"/>
        <item x="1818"/>
        <item x="4024"/>
        <item x="3702"/>
        <item x="1223"/>
        <item x="4875"/>
        <item x="3918"/>
        <item x="4809"/>
        <item x="3229"/>
        <item x="2878"/>
        <item x="3369"/>
        <item x="1782"/>
        <item x="3003"/>
        <item x="4072"/>
        <item x="434"/>
        <item x="1603"/>
        <item x="4151"/>
        <item x="1407"/>
        <item x="92"/>
        <item x="4506"/>
        <item x="2534"/>
        <item x="1657"/>
        <item x="639"/>
        <item x="3488"/>
        <item x="2642"/>
        <item x="824"/>
        <item x="457"/>
        <item x="2949"/>
        <item x="1262"/>
        <item x="1093"/>
        <item x="4597"/>
        <item x="4880"/>
        <item x="825"/>
        <item x="1618"/>
        <item x="3958"/>
        <item x="19"/>
        <item x="162"/>
        <item x="4560"/>
        <item x="3196"/>
        <item x="3672"/>
        <item x="1605"/>
        <item x="580"/>
        <item x="135"/>
        <item x="746"/>
        <item x="421"/>
        <item x="2762"/>
        <item x="1836"/>
        <item x="2758"/>
        <item x="4657"/>
        <item x="1982"/>
        <item x="1728"/>
        <item x="3928"/>
        <item x="526"/>
        <item x="3140"/>
        <item x="161"/>
        <item x="1846"/>
        <item x="3509"/>
        <item x="328"/>
        <item x="2730"/>
        <item x="838"/>
        <item x="187"/>
        <item x="3920"/>
        <item x="1467"/>
        <item x="3009"/>
        <item x="1823"/>
        <item x="928"/>
        <item x="255"/>
        <item x="2493"/>
        <item x="1329"/>
        <item x="4427"/>
        <item x="4262"/>
        <item x="3707"/>
        <item x="710"/>
        <item x="480"/>
        <item x="532"/>
        <item x="2972"/>
        <item x="3848"/>
        <item x="1356"/>
        <item x="3836"/>
        <item x="3634"/>
        <item x="3570"/>
        <item x="2956"/>
        <item x="278"/>
        <item x="4760"/>
        <item x="197"/>
        <item x="3947"/>
        <item x="2261"/>
        <item x="3007"/>
        <item x="3645"/>
        <item x="3"/>
        <item x="1558"/>
        <item x="390"/>
        <item x="2499"/>
        <item x="3090"/>
        <item x="3109"/>
        <item x="2610"/>
        <item x="3911"/>
        <item x="4000"/>
        <item x="4206"/>
        <item x="2185"/>
        <item x="4647"/>
        <item x="1555"/>
        <item x="2243"/>
        <item x="3189"/>
        <item x="4944"/>
        <item x="1176"/>
        <item x="3588"/>
        <item x="4549"/>
        <item x="4302"/>
        <item x="3475"/>
        <item x="4126"/>
        <item x="1943"/>
        <item x="3936"/>
        <item x="1441"/>
        <item x="409"/>
        <item x="4060"/>
        <item x="705"/>
        <item x="1157"/>
        <item x="546"/>
        <item x="3162"/>
        <item x="1026"/>
        <item x="1534"/>
        <item x="1283"/>
        <item x="3901"/>
        <item x="1984"/>
        <item x="4240"/>
        <item x="4046"/>
        <item x="1172"/>
        <item x="4727"/>
        <item x="502"/>
        <item x="1731"/>
        <item x="101"/>
        <item x="16"/>
        <item x="2882"/>
        <item x="2263"/>
        <item x="1104"/>
        <item x="1384"/>
        <item x="2533"/>
        <item x="214"/>
        <item x="2356"/>
        <item x="2130"/>
        <item x="2900"/>
        <item x="2328"/>
        <item x="823"/>
        <item x="1138"/>
        <item x="3148"/>
        <item x="559"/>
        <item x="4035"/>
        <item x="3387"/>
        <item x="1148"/>
        <item x="1992"/>
        <item x="1222"/>
        <item x="3495"/>
        <item x="336"/>
        <item x="2749"/>
        <item x="1024"/>
        <item x="533"/>
        <item x="4097"/>
        <item x="3476"/>
        <item x="3103"/>
        <item x="1811"/>
        <item x="3946"/>
        <item x="1561"/>
        <item x="3225"/>
        <item x="4352"/>
        <item x="1917"/>
        <item x="1209"/>
        <item x="3381"/>
        <item x="33"/>
        <item x="3767"/>
        <item x="3319"/>
        <item x="3005"/>
        <item x="4858"/>
        <item x="2529"/>
        <item x="521"/>
        <item x="4622"/>
        <item x="2236"/>
        <item x="1114"/>
        <item x="4892"/>
        <item x="4607"/>
        <item x="4746"/>
        <item x="4418"/>
        <item x="4214"/>
        <item x="3866"/>
        <item x="4358"/>
        <item x="1953"/>
        <item x="1686"/>
        <item x="1459"/>
        <item x="3790"/>
        <item x="3208"/>
        <item x="3128"/>
        <item x="904"/>
        <item x="1305"/>
        <item x="3510"/>
        <item x="118"/>
        <item x="85"/>
        <item x="510"/>
        <item x="2964"/>
        <item x="2940"/>
        <item x="1165"/>
        <item x="2135"/>
        <item x="3419"/>
        <item x="3724"/>
        <item x="3769"/>
        <item x="1160"/>
        <item x="2231"/>
        <item x="2865"/>
        <item x="1100"/>
        <item x="4149"/>
        <item x="3422"/>
        <item x="1842"/>
        <item x="2339"/>
        <item x="3582"/>
        <item x="140"/>
        <item x="1525"/>
        <item x="2128"/>
        <item x="3107"/>
        <item x="2302"/>
        <item x="2283"/>
        <item x="4702"/>
        <item x="4404"/>
        <item x="1894"/>
        <item x="28"/>
        <item x="3069"/>
        <item x="4606"/>
        <item x="4475"/>
        <item x="2829"/>
        <item x="922"/>
        <item x="2053"/>
        <item x="299"/>
        <item x="366"/>
        <item x="1397"/>
        <item x="859"/>
        <item x="3926"/>
        <item x="4143"/>
        <item x="2437"/>
        <item x="360"/>
        <item x="370"/>
        <item x="4973"/>
        <item x="3045"/>
        <item x="3283"/>
        <item x="2090"/>
        <item x="3647"/>
        <item x="1672"/>
        <item x="1332"/>
        <item x="283"/>
        <item x="339"/>
        <item x="2089"/>
        <item x="650"/>
        <item x="1322"/>
        <item x="1918"/>
        <item x="1554"/>
        <item x="1528"/>
        <item x="2262"/>
        <item x="3270"/>
        <item x="3205"/>
        <item x="523"/>
        <item x="3689"/>
        <item x="4068"/>
        <item x="284"/>
        <item x="1586"/>
        <item x="4984"/>
        <item x="4135"/>
        <item x="3913"/>
        <item x="3869"/>
        <item x="1354"/>
        <item x="4837"/>
        <item x="2284"/>
        <item x="2627"/>
        <item x="4910"/>
        <item x="3358"/>
        <item x="3755"/>
        <item x="2694"/>
        <item x="4084"/>
        <item x="464"/>
        <item x="2040"/>
        <item x="3033"/>
        <item x="1425"/>
        <item x="1078"/>
        <item x="1954"/>
        <item x="2470"/>
        <item x="2710"/>
        <item x="2041"/>
        <item x="875"/>
        <item x="873"/>
        <item x="4018"/>
        <item x="2946"/>
        <item x="1691"/>
        <item x="2827"/>
        <item x="1595"/>
        <item x="2205"/>
        <item x="4472"/>
        <item x="1692"/>
        <item x="1296"/>
        <item x="3267"/>
        <item x="2705"/>
        <item x="4419"/>
        <item x="2538"/>
        <item x="2637"/>
        <item x="4297"/>
        <item x="1362"/>
        <item x="1412"/>
        <item x="1210"/>
        <item x="4116"/>
        <item x="3095"/>
        <item x="2774"/>
        <item x="2032"/>
        <item x="1519"/>
        <item x="254"/>
        <item x="4387"/>
        <item x="2501"/>
        <item x="1229"/>
        <item x="2159"/>
        <item x="2738"/>
        <item x="1220"/>
        <item x="205"/>
        <item x="2797"/>
        <item x="4075"/>
        <item x="3393"/>
        <item x="517"/>
        <item x="2908"/>
        <item x="687"/>
        <item x="3407"/>
        <item x="3903"/>
        <item x="2636"/>
        <item x="4604"/>
        <item x="1957"/>
        <item x="4877"/>
        <item x="452"/>
        <item x="3106"/>
        <item x="3594"/>
        <item x="439"/>
        <item x="4721"/>
        <item x="4686"/>
        <item x="888"/>
        <item x="2226"/>
        <item x="48"/>
        <item x="4914"/>
        <item x="2585"/>
        <item x="1462"/>
        <item x="4160"/>
        <item x="2290"/>
        <item x="3050"/>
        <item x="737"/>
        <item x="4245"/>
        <item x="2220"/>
        <item x="1128"/>
        <item x="3256"/>
        <item x="2341"/>
        <item x="3135"/>
        <item x="1410"/>
        <item x="3058"/>
        <item x="2859"/>
        <item x="4376"/>
        <item x="3641"/>
        <item x="4724"/>
        <item x="2292"/>
        <item x="2445"/>
        <item x="2323"/>
        <item x="242"/>
        <item x="127"/>
        <item x="4473"/>
        <item x="4667"/>
        <item x="4026"/>
        <item x="702"/>
        <item x="4665"/>
        <item x="2452"/>
        <item x="291"/>
        <item x="219"/>
        <item x="3863"/>
        <item x="1584"/>
        <item x="3353"/>
        <item x="616"/>
        <item x="3310"/>
        <item x="1926"/>
        <item x="4844"/>
        <item x="2052"/>
        <item x="843"/>
        <item x="2867"/>
        <item x="3583"/>
        <item x="3872"/>
        <item x="905"/>
        <item x="2376"/>
        <item x="1634"/>
        <item x="2397"/>
        <item x="2740"/>
        <item x="3533"/>
        <item x="1046"/>
        <item x="2034"/>
        <item x="1633"/>
        <item x="4088"/>
        <item x="4730"/>
        <item x="4244"/>
        <item x="2519"/>
        <item x="4912"/>
        <item x="2558"/>
        <item x="3044"/>
        <item x="3253"/>
        <item x="1469"/>
        <item x="4491"/>
        <item x="449"/>
        <item x="202"/>
        <item x="4278"/>
        <item x="4172"/>
        <item x="4166"/>
        <item x="2070"/>
        <item x="3139"/>
        <item x="3029"/>
        <item x="2494"/>
        <item x="222"/>
        <item x="2974"/>
        <item x="4962"/>
        <item x="4381"/>
        <item x="3460"/>
        <item x="2381"/>
        <item x="2038"/>
        <item x="1460"/>
        <item x="2266"/>
        <item x="4293"/>
        <item x="4787"/>
        <item x="2690"/>
        <item x="4012"/>
        <item x="1832"/>
        <item x="3330"/>
        <item x="4066"/>
        <item x="721"/>
        <item x="2713"/>
        <item x="2320"/>
        <item x="1014"/>
        <item x="2880"/>
        <item x="1701"/>
        <item x="260"/>
        <item x="2176"/>
        <item x="950"/>
        <item x="3115"/>
        <item x="2814"/>
        <item x="4961"/>
        <item x="348"/>
        <item x="612"/>
        <item x="4781"/>
        <item x="2744"/>
        <item x="1327"/>
        <item x="3448"/>
        <item x="399"/>
        <item x="4772"/>
        <item x="2850"/>
        <item x="3741"/>
        <item x="1018"/>
        <item x="3517"/>
        <item x="3102"/>
        <item x="332"/>
        <item x="2425"/>
        <item x="1913"/>
        <item x="1258"/>
        <item x="4683"/>
        <item x="2275"/>
        <item x="3954"/>
        <item x="2712"/>
        <item x="622"/>
        <item x="2980"/>
        <item x="2619"/>
        <item x="4469"/>
        <item x="3546"/>
        <item x="215"/>
        <item x="2767"/>
        <item x="4433"/>
        <item x="3157"/>
        <item x="4846"/>
        <item x="3782"/>
        <item x="173"/>
        <item x="4761"/>
        <item x="4974"/>
        <item x="2726"/>
        <item x="4713"/>
        <item x="4323"/>
        <item x="1248"/>
        <item x="2002"/>
        <item x="4320"/>
        <item x="2832"/>
        <item x="4421"/>
        <item x="456"/>
        <item x="4976"/>
        <item x="4624"/>
        <item x="4392"/>
        <item x="1643"/>
        <item x="4586"/>
        <item x="3408"/>
        <item x="4855"/>
        <item x="3673"/>
        <item x="3445"/>
        <item x="4410"/>
        <item x="1398"/>
        <item x="198"/>
        <item x="4678"/>
        <item x="949"/>
        <item x="4324"/>
        <item x="3072"/>
        <item x="1520"/>
        <item x="3662"/>
        <item x="1536"/>
        <item x="1552"/>
        <item x="1815"/>
        <item x="3881"/>
        <item x="1285"/>
        <item x="3326"/>
        <item x="4650"/>
        <item x="4991"/>
        <item x="2216"/>
        <item x="3749"/>
        <item x="3894"/>
        <item x="4768"/>
        <item x="3777"/>
        <item x="4634"/>
        <item x="2273"/>
        <item x="2654"/>
        <item x="4882"/>
        <item x="3354"/>
        <item x="14"/>
        <item x="4155"/>
        <item x="735"/>
        <item x="4196"/>
        <item x="3041"/>
        <item x="1867"/>
        <item x="184"/>
        <item x="4340"/>
        <item x="4451"/>
        <item x="1585"/>
        <item x="1061"/>
        <item x="2523"/>
        <item x="4540"/>
        <item x="2594"/>
        <item x="243"/>
        <item x="896"/>
        <item x="4366"/>
        <item x="1543"/>
        <item x="1907"/>
        <item x="364"/>
        <item x="4725"/>
        <item x="4165"/>
        <item x="1735"/>
        <item x="1529"/>
        <item x="1471"/>
        <item x="3395"/>
        <item x="667"/>
        <item x="1889"/>
        <item x="2367"/>
        <item x="1577"/>
        <item x="1997"/>
        <item x="50"/>
        <item x="141"/>
        <item x="3473"/>
        <item x="1805"/>
        <item x="542"/>
        <item x="655"/>
        <item x="795"/>
        <item x="3798"/>
        <item x="931"/>
        <item x="623"/>
        <item x="5009"/>
        <item x="1829"/>
        <item x="4314"/>
        <item x="1201"/>
        <item x="2715"/>
        <item x="1901"/>
        <item x="2716"/>
        <item x="1678"/>
        <item x="2825"/>
        <item x="1268"/>
        <item x="1715"/>
        <item x="958"/>
        <item x="3436"/>
        <item x="1256"/>
        <item x="3150"/>
        <item x="1776"/>
        <item x="2618"/>
        <item x="1760"/>
        <item x="4664"/>
        <item x="4740"/>
        <item x="2408"/>
        <item x="2666"/>
        <item x="4806"/>
        <item x="3664"/>
        <item x="1794"/>
        <item x="46"/>
        <item x="4866"/>
        <item x="3771"/>
        <item x="4383"/>
        <item x="4927"/>
        <item x="4735"/>
        <item x="2625"/>
        <item x="3430"/>
        <item x="4571"/>
        <item x="2192"/>
        <item x="3318"/>
        <item x="3428"/>
        <item x="2701"/>
        <item x="2495"/>
        <item x="4259"/>
        <item x="401"/>
        <item x="491"/>
        <item x="3540"/>
        <item x="2199"/>
        <item x="1778"/>
        <item x="3663"/>
        <item x="2727"/>
        <item x="4114"/>
        <item x="1979"/>
        <item x="406"/>
        <item x="4400"/>
        <item x="1090"/>
        <item x="3351"/>
        <item x="775"/>
        <item x="4200"/>
        <item x="4413"/>
        <item x="547"/>
        <item x="4639"/>
        <item x="4814"/>
        <item x="1707"/>
        <item x="315"/>
        <item x="1900"/>
        <item x="1133"/>
        <item x="574"/>
        <item x="4756"/>
        <item x="654"/>
        <item x="4248"/>
        <item x="1039"/>
        <item x="4010"/>
        <item x="2450"/>
        <item x="529"/>
        <item x="4430"/>
        <item x="2113"/>
        <item x="1035"/>
        <item x="4863"/>
        <item x="648"/>
        <item x="2225"/>
        <item x="2935"/>
        <item x="1431"/>
        <item x="4902"/>
        <item x="1791"/>
        <item x="2111"/>
        <item x="1317"/>
        <item x="9"/>
        <item x="2420"/>
        <item x="3002"/>
        <item x="3939"/>
        <item x="996"/>
        <item x="3556"/>
        <item x="212"/>
        <item x="926"/>
        <item x="3498"/>
        <item x="3129"/>
        <item x="4125"/>
        <item x="2746"/>
        <item x="2791"/>
        <item x="3998"/>
        <item x="2555"/>
        <item x="4661"/>
        <item x="4736"/>
        <item x="2022"/>
        <item x="3733"/>
        <item x="1574"/>
        <item x="1179"/>
        <item x="2087"/>
        <item x="1942"/>
        <item x="2264"/>
        <item x="1376"/>
        <item x="3756"/>
        <item x="2665"/>
        <item x="2298"/>
        <item x="4013"/>
        <item x="4631"/>
        <item x="159"/>
        <item x="10"/>
        <item x="3142"/>
        <item x="12"/>
        <item x="2138"/>
        <item x="2543"/>
        <item x="1124"/>
        <item x="2444"/>
        <item x="598"/>
        <item x="2672"/>
        <item x="657"/>
        <item x="2991"/>
        <item x="2293"/>
        <item x="3930"/>
        <item x="4592"/>
        <item x="2048"/>
        <item x="4226"/>
        <item x="3187"/>
        <item x="3000"/>
        <item x="1224"/>
        <item x="1684"/>
        <item x="3584"/>
        <item x="3572"/>
        <item x="4966"/>
        <item x="2597"/>
        <item x="789"/>
        <item x="160"/>
        <item x="226"/>
        <item x="3543"/>
        <item x="3690"/>
        <item x="3122"/>
        <item x="224"/>
        <item x="881"/>
        <item x="716"/>
        <item x="4237"/>
        <item x="1214"/>
        <item x="1353"/>
        <item x="816"/>
        <item x="864"/>
        <item x="2276"/>
        <item x="2422"/>
        <item x="2254"/>
        <item x="3800"/>
        <item x="2428"/>
        <item x="2505"/>
        <item x="4220"/>
        <item x="1736"/>
        <item x="2641"/>
        <item x="2375"/>
        <item x="3472"/>
        <item x="4378"/>
        <item x="111"/>
        <item x="2208"/>
        <item x="666"/>
        <item x="1852"/>
        <item x="124"/>
        <item x="964"/>
        <item x="3386"/>
        <item x="2291"/>
        <item x="2626"/>
        <item x="3817"/>
        <item x="3849"/>
        <item x="2366"/>
        <item x="57"/>
        <item x="4587"/>
        <item x="4236"/>
        <item x="2100"/>
        <item x="1723"/>
        <item x="4929"/>
        <item x="3088"/>
        <item x="2575"/>
        <item x="3183"/>
        <item x="4867"/>
        <item x="2856"/>
        <item x="3631"/>
        <item x="1424"/>
        <item x="1884"/>
        <item x="1647"/>
        <item x="321"/>
        <item x="2237"/>
        <item x="1559"/>
        <item x="4156"/>
        <item x="3271"/>
        <item x="2187"/>
        <item x="3577"/>
        <item x="3974"/>
        <item x="3699"/>
        <item x="3248"/>
        <item x="1449"/>
        <item x="723"/>
        <item x="3900"/>
        <item x="1630"/>
        <item x="3247"/>
        <item x="2024"/>
        <item x="3762"/>
        <item x="4670"/>
        <item x="3512"/>
        <item x="2021"/>
        <item x="1834"/>
        <item x="2525"/>
        <item x="2488"/>
        <item x="663"/>
        <item x="1447"/>
        <item x="4557"/>
        <item x="1662"/>
        <item x="901"/>
        <item x="3635"/>
        <item x="4310"/>
        <item x="2095"/>
        <item x="4749"/>
        <item x="1830"/>
        <item x="186"/>
        <item x="3653"/>
        <item x="1409"/>
        <item x="1964"/>
        <item x="540"/>
        <item x="3932"/>
        <item x="2898"/>
        <item x="1284"/>
        <item x="3104"/>
        <item x="1670"/>
        <item x="4613"/>
        <item x="2999"/>
        <item x="1999"/>
        <item x="136"/>
        <item x="102"/>
        <item x="4338"/>
        <item x="3416"/>
        <item x="4827"/>
        <item x="3805"/>
        <item x="4251"/>
        <item x="2382"/>
        <item x="1432"/>
        <item x="1880"/>
        <item x="3615"/>
        <item x="4985"/>
        <item x="3126"/>
        <item x="2474"/>
        <item x="2125"/>
        <item x="4140"/>
        <item x="1570"/>
        <item x="4922"/>
        <item x="4584"/>
        <item x="451"/>
        <item x="268"/>
        <item x="38"/>
        <item x="4943"/>
        <item x="2013"/>
        <item x="2582"/>
        <item x="3655"/>
        <item x="3046"/>
        <item x="1404"/>
        <item x="2466"/>
        <item x="4802"/>
        <item x="252"/>
        <item x="2623"/>
        <item x="4687"/>
        <item x="4434"/>
        <item x="2871"/>
        <item x="880"/>
        <item x="4496"/>
        <item x="123"/>
        <item x="4840"/>
        <item x="2170"/>
        <item x="2482"/>
        <item x="1705"/>
        <item x="832"/>
        <item x="4517"/>
        <item x="1013"/>
        <item x="427"/>
        <item x="691"/>
        <item x="266"/>
        <item x="125"/>
        <item x="2613"/>
        <item x="3838"/>
        <item x="2937"/>
        <item x="404"/>
        <item x="76"/>
        <item x="4937"/>
        <item x="257"/>
        <item x="3984"/>
        <item x="59"/>
        <item x="97"/>
        <item x="2775"/>
        <item x="1164"/>
        <item x="3379"/>
        <item x="2993"/>
        <item x="3149"/>
        <item x="498"/>
        <item x="2361"/>
        <item x="176"/>
        <item x="2553"/>
        <item x="1270"/>
        <item x="1683"/>
        <item x="2045"/>
        <item x="631"/>
        <item x="534"/>
        <item x="3943"/>
        <item x="1294"/>
        <item x="3402"/>
        <item x="3811"/>
        <item x="1260"/>
        <item x="3873"/>
        <item x="3680"/>
        <item x="2343"/>
        <item x="2464"/>
        <item x="2599"/>
        <item x="25"/>
        <item x="1196"/>
        <item x="454"/>
        <item x="1083"/>
        <item x="72"/>
        <item x="1007"/>
        <item x="1028"/>
        <item x="551"/>
        <item x="4546"/>
        <item x="3845"/>
        <item x="3165"/>
        <item x="2457"/>
        <item x="1455"/>
        <item x="3830"/>
        <item x="2768"/>
        <item x="203"/>
        <item x="1833"/>
        <item x="3373"/>
        <item x="4952"/>
        <item x="3396"/>
        <item x="2576"/>
        <item x="890"/>
        <item x="365"/>
        <item x="1565"/>
        <item x="4"/>
        <item x="2004"/>
        <item x="3502"/>
        <item x="3146"/>
        <item x="4655"/>
        <item x="1764"/>
        <item x="2711"/>
        <item x="1413"/>
        <item x="2370"/>
        <item x="4103"/>
        <item x="4391"/>
        <item x="1919"/>
        <item x="47"/>
        <item x="4349"/>
        <item x="2761"/>
        <item x="1825"/>
        <item x="1058"/>
        <item x="2821"/>
        <item x="566"/>
        <item x="708"/>
        <item x="1512"/>
        <item x="1772"/>
        <item x="4553"/>
        <item x="1742"/>
        <item x="1773"/>
        <item x="3042"/>
        <item x="4271"/>
        <item x="1366"/>
        <item x="1995"/>
        <item x="4641"/>
        <item x="2228"/>
        <item x="2453"/>
        <item x="4194"/>
        <item x="2504"/>
        <item x="2280"/>
        <item x="2286"/>
        <item x="4095"/>
        <item x="1774"/>
        <item x="411"/>
        <item x="3719"/>
        <item x="1408"/>
        <item x="4458"/>
        <item x="3203"/>
        <item x="4273"/>
        <item x="4759"/>
        <item x="3508"/>
        <item x="227"/>
        <item x="2820"/>
        <item x="325"/>
        <item x="2858"/>
        <item x="2622"/>
        <item x="2251"/>
        <item x="4704"/>
        <item x="2327"/>
        <item x="4169"/>
        <item x="1847"/>
        <item x="1042"/>
        <item x="3222"/>
        <item x="3308"/>
        <item x="4536"/>
        <item x="4862"/>
        <item x="3656"/>
        <item x="4183"/>
        <item x="1822"/>
        <item x="51"/>
        <item x="4525"/>
        <item x="3846"/>
        <item x="467"/>
        <item x="1911"/>
        <item x="195"/>
        <item x="1797"/>
        <item x="3214"/>
        <item x="1115"/>
        <item x="3590"/>
        <item x="2926"/>
        <item x="4065"/>
        <item x="4464"/>
        <item x="2369"/>
        <item x="1620"/>
        <item x="1470"/>
        <item x="2988"/>
        <item x="3644"/>
        <item x="1730"/>
        <item x="304"/>
        <item x="557"/>
        <item x="2015"/>
        <item x="122"/>
        <item x="3272"/>
        <item x="3163"/>
        <item x="1191"/>
        <item x="4141"/>
        <item x="340"/>
        <item x="4329"/>
        <item x="3970"/>
        <item x="475"/>
        <item x="100"/>
        <item x="382"/>
        <item x="2939"/>
        <item x="1416"/>
        <item x="4590"/>
        <item x="4081"/>
        <item x="1178"/>
        <item x="4481"/>
        <item x="2407"/>
        <item x="2259"/>
        <item x="1301"/>
        <item x="2123"/>
        <item x="1613"/>
        <item x="3709"/>
        <item x="4662"/>
        <item x="4957"/>
        <item x="3188"/>
        <item x="4336"/>
        <item x="2808"/>
        <item x="2178"/>
        <item x="991"/>
        <item x="4521"/>
        <item x="1903"/>
        <item x="4332"/>
        <item x="262"/>
        <item x="2027"/>
        <item x="3083"/>
        <item x="3218"/>
        <item x="3166"/>
        <item x="2429"/>
        <item x="1190"/>
        <item x="3511"/>
        <item x="1428"/>
        <item x="709"/>
        <item x="4405"/>
        <item x="1458"/>
        <item x="4635"/>
        <item x="3763"/>
        <item x="478"/>
        <item x="538"/>
        <item x="1076"/>
        <item x="2406"/>
        <item x="4585"/>
        <item x="3054"/>
        <item x="3343"/>
        <item x="564"/>
        <item x="23"/>
        <item x="1658"/>
        <item x="4791"/>
        <item x="2411"/>
        <item x="1751"/>
        <item x="2162"/>
        <item x="535"/>
        <item x="295"/>
        <item x="171"/>
        <item x="4504"/>
        <item x="3808"/>
        <item x="476"/>
        <item x="3674"/>
        <item x="4930"/>
        <item x="4083"/>
        <item x="2796"/>
        <item x="3596"/>
        <item x="900"/>
        <item x="1507"/>
        <item x="4398"/>
        <item x="3064"/>
        <item x="372"/>
        <item x="512"/>
        <item x="3483"/>
        <item x="4911"/>
        <item x="1935"/>
        <item x="4267"/>
        <item x="1504"/>
        <item x="1619"/>
        <item x="3810"/>
        <item x="2600"/>
        <item x="902"/>
        <item x="1335"/>
        <item x="3878"/>
        <item x="4757"/>
        <item x="3729"/>
        <item x="2432"/>
        <item x="2304"/>
        <item x="58"/>
        <item x="4344"/>
        <item x="2614"/>
        <item x="1590"/>
        <item x="4968"/>
        <item x="2707"/>
        <item x="1994"/>
        <item x="3137"/>
        <item x="2778"/>
        <item x="2925"/>
        <item x="2418"/>
        <item x="2380"/>
        <item x="419"/>
        <item x="2586"/>
        <item x="2247"/>
        <item x="3320"/>
        <item x="1451"/>
        <item x="2016"/>
        <item x="3281"/>
        <item x="1004"/>
        <item x="515"/>
        <item x="2997"/>
        <item x="466"/>
        <item x="3355"/>
        <item x="2667"/>
        <item x="3019"/>
        <item x="4062"/>
        <item x="3176"/>
        <item x="8"/>
        <item x="2077"/>
        <item x="2007"/>
        <item x="815"/>
        <item x="189"/>
        <item x="3632"/>
        <item x="1689"/>
        <item x="1592"/>
        <item x="1149"/>
        <item x="3376"/>
        <item x="4621"/>
        <item x="3505"/>
        <item x="1232"/>
        <item x="1391"/>
        <item x="1929"/>
        <item x="338"/>
        <item x="4448"/>
        <item x="4636"/>
        <item x="2674"/>
        <item x="4520"/>
        <item x="2151"/>
        <item x="2085"/>
        <item x="53"/>
        <item x="1596"/>
        <item x="3065"/>
        <item x="3685"/>
        <item x="327"/>
        <item x="183"/>
        <item x="4733"/>
        <item x="2877"/>
        <item x="4745"/>
        <item x="525"/>
        <item x="2071"/>
        <item x="4633"/>
        <item x="714"/>
        <item x="3819"/>
        <item x="4889"/>
        <item x="470"/>
        <item x="2528"/>
        <item x="652"/>
        <item x="2134"/>
        <item x="230"/>
        <item x="177"/>
        <item x="1140"/>
        <item x="2166"/>
        <item x="3020"/>
        <item x="3478"/>
        <item x="1655"/>
        <item x="2616"/>
        <item x="3194"/>
        <item x="62"/>
        <item x="362"/>
        <item x="4723"/>
        <item x="216"/>
        <item x="916"/>
        <item x="2785"/>
        <item x="1635"/>
        <item x="1611"/>
        <item x="2274"/>
        <item x="2587"/>
        <item x="2979"/>
        <item x="1370"/>
        <item x="4698"/>
        <item x="3812"/>
        <item x="1315"/>
        <item x="3464"/>
        <item x="2239"/>
        <item x="1682"/>
        <item x="4818"/>
        <item x="1497"/>
        <item x="1068"/>
        <item x="32"/>
        <item x="4821"/>
        <item x="4826"/>
        <item x="4812"/>
        <item x="4170"/>
        <item x="444"/>
        <item x="2920"/>
        <item x="200"/>
        <item x="5008"/>
        <item x="2318"/>
        <item x="3835"/>
        <item x="394"/>
        <item x="640"/>
        <item x="1696"/>
        <item x="4675"/>
        <item x="282"/>
        <item x="344"/>
        <item x="3982"/>
        <item x="4926"/>
        <item x="4007"/>
        <item x="1796"/>
        <item x="1465"/>
        <item x="343"/>
        <item x="5004"/>
        <item x="3455"/>
        <item x="2303"/>
        <item x="3113"/>
        <item x="4872"/>
        <item x="231"/>
        <item x="4744"/>
        <item x="734"/>
        <item x="2944"/>
        <item x="4291"/>
        <item x="4011"/>
        <item x="2990"/>
        <item x="2230"/>
        <item x="3325"/>
        <item x="2817"/>
        <item x="3507"/>
        <item x="4509"/>
        <item x="4714"/>
        <item x="1737"/>
        <item x="3530"/>
        <item x="1023"/>
        <item x="4895"/>
        <item x="3847"/>
        <item x="1925"/>
        <item x="682"/>
        <item x="3111"/>
        <item x="1307"/>
        <item x="2182"/>
        <item x="4407"/>
        <item x="2449"/>
        <item x="1625"/>
        <item x="2870"/>
        <item x="4556"/>
        <item x="1320"/>
        <item x="3063"/>
        <item x="389"/>
        <item x="3181"/>
        <item x="2268"/>
        <item x="4020"/>
        <item x="3896"/>
        <item x="2223"/>
        <item x="2456"/>
        <item x="1089"/>
        <item x="4367"/>
        <item x="1965"/>
        <item x="2846"/>
        <item x="2140"/>
        <item x="1422"/>
        <item x="1719"/>
        <item x="247"/>
        <item x="3730"/>
        <item x="1110"/>
        <item x="1171"/>
        <item x="2241"/>
        <item x="4454"/>
        <item x="4275"/>
        <item x="3339"/>
        <item x="488"/>
        <item x="3818"/>
        <item x="1909"/>
        <item x="1419"/>
        <item x="3880"/>
        <item x="2653"/>
        <item x="2031"/>
        <item x="2144"/>
        <item x="536"/>
        <item x="697"/>
        <item x="2008"/>
        <item x="3482"/>
        <item x="4460"/>
        <item x="3244"/>
        <item x="326"/>
        <item x="2436"/>
        <item x="2235"/>
        <item x="3639"/>
        <item x="956"/>
        <item x="2595"/>
        <item x="765"/>
        <item x="3060"/>
        <item x="1045"/>
        <item x="754"/>
        <item x="2063"/>
        <item x="4828"/>
        <item x="4798"/>
        <item x="2656"/>
        <item x="1915"/>
        <item x="3738"/>
        <item x="4789"/>
        <item x="3110"/>
        <item x="978"/>
        <item x="129"/>
        <item x="1234"/>
        <item x="4533"/>
        <item x="4365"/>
        <item x="2887"/>
        <item x="2165"/>
        <item x="1508"/>
        <item x="2299"/>
        <item x="3490"/>
        <item x="1453"/>
        <item x="2848"/>
        <item x="948"/>
        <item x="3397"/>
        <item x="946"/>
        <item x="2011"/>
        <item x="2773"/>
        <item x="2750"/>
        <item x="3860"/>
        <item x="4253"/>
        <item x="4627"/>
        <item x="3285"/>
        <item x="2433"/>
        <item x="156"/>
        <item x="481"/>
        <item x="3332"/>
        <item x="3055"/>
        <item x="2837"/>
        <item x="4199"/>
        <item x="4831"/>
        <item x="2897"/>
        <item x="152"/>
        <item x="3032"/>
        <item x="2652"/>
        <item x="2918"/>
        <item x="1871"/>
        <item x="3801"/>
        <item x="1923"/>
        <item x="3454"/>
        <item x="4764"/>
        <item x="2875"/>
        <item x="2559"/>
        <item x="1500"/>
        <item x="783"/>
        <item x="2552"/>
        <item x="2042"/>
        <item x="3967"/>
        <item x="3337"/>
        <item x="731"/>
        <item x="3036"/>
        <item x="1569"/>
        <item x="3532"/>
        <item x="3217"/>
        <item x="3825"/>
        <item x="1244"/>
        <item x="1531"/>
        <item x="4570"/>
        <item x="2973"/>
        <item x="1180"/>
        <item x="3840"/>
        <item x="1940"/>
        <item x="4692"/>
        <item x="3299"/>
        <item x="2454"/>
        <item x="3986"/>
        <item x="4201"/>
        <item x="1088"/>
        <item x="836"/>
        <item x="3391"/>
        <item x="4648"/>
        <item x="2338"/>
        <item x="3927"/>
        <item x="4619"/>
        <item x="4811"/>
        <item x="1780"/>
        <item x="2190"/>
        <item x="2475"/>
        <item x="2755"/>
        <item x="2945"/>
        <item x="2359"/>
        <item x="1645"/>
        <item x="625"/>
        <item x="1809"/>
        <item x="2412"/>
        <item x="308"/>
        <item x="2968"/>
        <item x="471"/>
        <item x="4094"/>
        <item x="3199"/>
        <item x="1075"/>
        <item x="170"/>
        <item x="489"/>
        <item x="499"/>
        <item x="664"/>
        <item x="4145"/>
        <item x="1624"/>
        <item x="963"/>
        <item x="459"/>
        <item x="2096"/>
        <item x="1392"/>
        <item x="1539"/>
        <item x="1722"/>
        <item x="3392"/>
        <item x="3651"/>
        <item x="3987"/>
        <item x="4256"/>
        <item x="1241"/>
        <item x="4601"/>
        <item x="550"/>
        <item x="4258"/>
        <item x="4503"/>
        <item x="4700"/>
        <item x="1961"/>
        <item x="4036"/>
        <item x="2957"/>
        <item x="2349"/>
        <item x="3841"/>
        <item x="4767"/>
        <item x="3850"/>
        <item x="1368"/>
        <item x="1744"/>
        <item x="289"/>
        <item x="4737"/>
        <item x="172"/>
        <item x="2986"/>
        <item x="1669"/>
        <item x="2037"/>
        <item x="3197"/>
        <item x="982"/>
        <item x="1768"/>
        <item x="3172"/>
        <item x="1169"/>
        <item x="4718"/>
        <item x="21"/>
        <item x="3401"/>
        <item x="3558"/>
        <item x="83"/>
        <item x="1699"/>
        <item x="2442"/>
        <item x="4752"/>
        <item x="485"/>
        <item x="3079"/>
        <item x="2866"/>
        <item x="4382"/>
        <item x="1252"/>
        <item x="3948"/>
        <item x="4280"/>
        <item x="1885"/>
        <item x="4777"/>
        <item x="4656"/>
        <item x="3170"/>
        <item x="3092"/>
        <item x="4876"/>
        <item x="4778"/>
        <item x="994"/>
        <item x="3245"/>
        <item x="4580"/>
        <item x="369"/>
        <item x="3757"/>
        <item x="768"/>
        <item x="853"/>
        <item x="1324"/>
        <item x="2779"/>
        <item x="3906"/>
        <item x="1373"/>
        <item x="2919"/>
        <item x="1487"/>
        <item x="1676"/>
        <item x="2492"/>
        <item x="3784"/>
        <item x="3521"/>
        <item x="2662"/>
        <item x="2688"/>
        <item x="1802"/>
        <item x="3067"/>
        <item x="3740"/>
        <item x="610"/>
        <item x="1993"/>
        <item x="1030"/>
        <item x="1831"/>
        <item x="4883"/>
        <item x="2605"/>
        <item x="4643"/>
        <item x="2584"/>
        <item x="2101"/>
        <item x="3553"/>
        <item x="3739"/>
        <item x="1666"/>
        <item x="3727"/>
        <item x="3317"/>
        <item x="3744"/>
        <item x="4384"/>
        <item x="486"/>
        <item x="4080"/>
        <item x="147"/>
        <item x="196"/>
        <item x="713"/>
        <item x="841"/>
        <item x="658"/>
        <item x="1029"/>
        <item x="3127"/>
        <item x="3017"/>
        <item x="2524"/>
        <item x="1182"/>
        <item x="2441"/>
        <item x="93"/>
        <item x="2480"/>
        <item x="3692"/>
        <item x="813"/>
        <item x="3696"/>
        <item x="99"/>
        <item x="787"/>
        <item x="154"/>
        <item x="4904"/>
        <item x="1483"/>
        <item x="1053"/>
        <item x="350"/>
        <item x="4758"/>
        <item x="3347"/>
        <item x="2279"/>
        <item x="679"/>
        <item x="52"/>
        <item x="3676"/>
        <item x="2018"/>
        <item x="1139"/>
        <item x="188"/>
        <item x="1430"/>
        <item x="1975"/>
        <item x="1665"/>
        <item x="4158"/>
        <item x="1882"/>
        <item x="1277"/>
        <item x="4565"/>
        <item x="4192"/>
        <item x="1247"/>
        <item x="2485"/>
        <item x="520"/>
        <item x="1706"/>
        <item x="1813"/>
        <item x="2982"/>
        <item x="204"/>
        <item x="4030"/>
        <item x="3410"/>
        <item x="2861"/>
        <item x="490"/>
        <item x="429"/>
        <item x="357"/>
        <item x="2033"/>
        <item x="383"/>
        <item x="2368"/>
        <item x="234"/>
        <item x="611"/>
        <item x="3250"/>
        <item x="1958"/>
        <item x="2914"/>
        <item x="3338"/>
        <item x="3024"/>
        <item x="3022"/>
        <item x="2735"/>
        <item x="771"/>
        <item x="2922"/>
        <item x="1890"/>
        <item x="119"/>
        <item x="2019"/>
        <item x="31"/>
        <item x="966"/>
        <item x="2252"/>
        <item x="2179"/>
        <item x="71"/>
        <item x="1779"/>
        <item x="3228"/>
        <item x="2265"/>
        <item x="889"/>
        <item x="921"/>
        <item x="4830"/>
        <item x="430"/>
        <item x="1947"/>
        <item x="3589"/>
        <item x="2540"/>
        <item x="2545"/>
        <item x="1443"/>
        <item x="2975"/>
        <item x="1263"/>
        <item x="2097"/>
        <item x="4004"/>
        <item x="670"/>
        <item x="5001"/>
        <item x="626"/>
        <item x="2099"/>
        <item x="3940"/>
        <item x="2855"/>
        <item x="2326"/>
        <item x="2863"/>
        <item x="4033"/>
        <item x="2198"/>
        <item x="4715"/>
        <item x="2331"/>
        <item x="1567"/>
        <item x="3783"/>
        <item x="292"/>
        <item x="352"/>
        <item x="2906"/>
        <item x="3014"/>
        <item x="738"/>
        <item x="4907"/>
        <item x="1107"/>
        <item x="4794"/>
        <item x="1787"/>
        <item x="3893"/>
        <item x="417"/>
        <item x="591"/>
        <item x="513"/>
        <item x="959"/>
        <item x="2127"/>
        <item x="4629"/>
        <item x="4849"/>
        <item x="3494"/>
        <item x="1505"/>
        <item x="4946"/>
        <item x="3427"/>
        <item x="887"/>
        <item x="4663"/>
        <item x="1185"/>
        <item x="895"/>
        <item x="4173"/>
        <item x="3750"/>
        <item x="3565"/>
        <item x="2601"/>
        <item x="4316"/>
        <item x="668"/>
        <item x="139"/>
        <item x="2697"/>
        <item x="1709"/>
        <item x="18"/>
        <item x="4051"/>
        <item x="3026"/>
        <item x="1944"/>
        <item x="1235"/>
        <item x="2512"/>
        <item x="2405"/>
        <item x="1694"/>
        <item x="4522"/>
        <item x="1792"/>
        <item x="1703"/>
        <item x="2733"/>
        <item x="2958"/>
        <item x="3434"/>
        <item x="835"/>
        <item x="4334"/>
        <item x="2006"/>
        <item x="286"/>
        <item x="3105"/>
        <item x="1186"/>
        <item x="3650"/>
        <item x="1137"/>
        <item x="4887"/>
        <item x="4766"/>
        <item x="2351"/>
        <item x="3457"/>
        <item x="704"/>
        <item x="1817"/>
        <item x="522"/>
        <item x="2081"/>
        <item x="55"/>
        <item x="802"/>
        <item x="1807"/>
        <item x="1819"/>
        <item x="4534"/>
        <item x="2638"/>
        <item x="2188"/>
        <item x="3815"/>
        <item x="1752"/>
        <item x="1479"/>
        <item x="426"/>
        <item x="1136"/>
        <item x="516"/>
        <item x="1073"/>
        <item x="2960"/>
        <item x="1130"/>
        <item x="4543"/>
        <item x="4371"/>
        <item x="3500"/>
        <item x="1996"/>
        <item x="1878"/>
        <item x="477"/>
        <item x="1546"/>
        <item x="759"/>
        <item x="531"/>
        <item x="669"/>
        <item x="4987"/>
        <item x="274"/>
        <item x="2297"/>
        <item x="4513"/>
        <item x="1951"/>
        <item x="3924"/>
        <item x="2116"/>
        <item x="2191"/>
        <item x="4566"/>
        <item x="2350"/>
        <item x="1583"/>
        <item x="4337"/>
        <item x="379"/>
        <item x="718"/>
        <item x="4490"/>
        <item x="353"/>
        <item x="1418"/>
        <item x="1649"/>
        <item x="4076"/>
        <item x="1945"/>
        <item x="3093"/>
        <item x="2465"/>
        <item x="4147"/>
        <item x="643"/>
        <item x="2147"/>
        <item x="1476"/>
        <item x="4221"/>
        <item x="460"/>
        <item x="4992"/>
        <item x="4014"/>
        <item x="3549"/>
        <item x="3097"/>
        <item x="1693"/>
        <item x="3261"/>
        <item x="1032"/>
        <item x="2789"/>
        <item x="293"/>
        <item x="368"/>
        <item x="1899"/>
        <item x="3545"/>
        <item x="4822"/>
        <item x="3262"/>
        <item x="3963"/>
        <item x="3348"/>
        <item x="555"/>
        <item x="729"/>
        <item x="1921"/>
        <item x="3357"/>
        <item x="3342"/>
        <item x="2484"/>
        <item x="2396"/>
        <item x="4230"/>
        <item x="1202"/>
        <item x="4272"/>
        <item x="2143"/>
        <item x="4868"/>
        <item x="2818"/>
        <item x="4139"/>
        <item x="2415"/>
        <item x="4467"/>
        <item x="2160"/>
        <item x="2532"/>
        <item x="2120"/>
        <item x="1789"/>
        <item x="373"/>
        <item x="638"/>
        <item x="4792"/>
        <item x="3827"/>
        <item x="1290"/>
        <item x="2222"/>
        <item x="1914"/>
        <item x="740"/>
        <item x="237"/>
        <item x="3715"/>
        <item x="3169"/>
        <item x="882"/>
        <item x="4071"/>
        <item x="3030"/>
        <item x="2754"/>
        <item x="954"/>
        <item x="4644"/>
        <item x="1066"/>
        <item x="1189"/>
        <item x="4361"/>
        <item x="1660"/>
        <item x="2793"/>
        <item x="1205"/>
        <item x="2377"/>
        <item x="3925"/>
        <item x="1535"/>
        <item x="2079"/>
        <item x="1401"/>
        <item x="3525"/>
        <item x="2731"/>
        <item x="2315"/>
        <item x="1765"/>
        <item x="4753"/>
        <item x="2892"/>
        <item x="764"/>
        <item x="3942"/>
        <item x="3174"/>
        <item x="1348"/>
        <item x="971"/>
        <item x="2536"/>
        <item x="2632"/>
        <item x="4515"/>
        <item x="1905"/>
        <item x="1000"/>
        <item x="692"/>
        <item x="3780"/>
        <item x="4997"/>
        <item x="4658"/>
        <item x="1071"/>
        <item x="4558"/>
        <item x="2059"/>
        <item x="3004"/>
        <item x="1876"/>
        <item x="3803"/>
        <item x="4093"/>
        <item x="2496"/>
        <item x="3614"/>
        <item x="2017"/>
        <item x="2355"/>
        <item x="193"/>
        <item x="2617"/>
        <item x="3722"/>
        <item x="3515"/>
        <item x="4238"/>
        <item x="810"/>
        <item x="86"/>
        <item x="4527"/>
        <item x="2548"/>
        <item x="3480"/>
        <item x="2578"/>
        <item x="2823"/>
        <item x="1063"/>
        <item x="2909"/>
        <item x="4608"/>
        <item x="3586"/>
        <item x="3535"/>
        <item x="4022"/>
        <item x="34"/>
        <item x="2824"/>
        <item x="3612"/>
        <item x="114"/>
        <item x="2497"/>
        <item x="388"/>
        <item x="1055"/>
        <item x="3405"/>
        <item x="3043"/>
        <item x="1103"/>
        <item x="4630"/>
        <item x="2043"/>
        <item x="4321"/>
        <item x="77"/>
        <item x="306"/>
        <item x="4057"/>
        <item x="1399"/>
        <item x="2395"/>
        <item x="1973"/>
        <item x="2692"/>
        <item x="4476"/>
        <item x="3861"/>
        <item x="4008"/>
        <item x="3915"/>
        <item x="3807"/>
        <item x="782"/>
        <item x="3322"/>
        <item x="347"/>
        <item x="2684"/>
        <item x="374"/>
        <item x="3180"/>
        <item x="2678"/>
        <item x="2682"/>
        <item x="3670"/>
        <item x="3725"/>
        <item x="5000"/>
        <item x="3705"/>
        <item x="20"/>
        <item x="1342"/>
        <item x="275"/>
        <item x="2689"/>
        <item x="2091"/>
        <item x="2319"/>
        <item x="696"/>
        <item x="2651"/>
        <item x="3887"/>
        <item x="49"/>
        <item x="567"/>
        <item x="2677"/>
        <item x="757"/>
        <item x="2371"/>
        <item x="3591"/>
        <item x="3862"/>
        <item x="3595"/>
        <item x="167"/>
        <item x="3184"/>
        <item x="1386"/>
        <item x="3843"/>
        <item x="4369"/>
        <item x="4187"/>
        <item x="4815"/>
        <item x="1318"/>
        <item x="4462"/>
        <item x="3210"/>
        <item x="2635"/>
        <item x="4617"/>
        <item x="1513"/>
        <item x="4157"/>
        <item x="1118"/>
        <item x="2448"/>
        <item x="1636"/>
        <item x="1602"/>
        <item x="4362"/>
        <item x="4928"/>
        <item x="319"/>
        <item x="1966"/>
        <item x="2996"/>
        <item x="273"/>
        <item x="778"/>
        <item x="2650"/>
        <item x="1511"/>
        <item x="1217"/>
        <item x="4945"/>
        <item x="3336"/>
        <item x="1549"/>
        <item x="2663"/>
        <item x="4790"/>
        <item x="933"/>
        <item x="619"/>
        <item x="2197"/>
        <item x="4227"/>
        <item x="2795"/>
        <item x="4489"/>
        <item x="3038"/>
        <item x="4668"/>
        <item x="1758"/>
        <item x="138"/>
        <item x="3921"/>
        <item x="3888"/>
        <item x="2564"/>
        <item x="2287"/>
        <item x="3728"/>
        <item x="1102"/>
        <item x="1530"/>
        <item x="4908"/>
        <item x="4951"/>
        <item x="530"/>
        <item x="3604"/>
        <item x="1887"/>
        <item x="1364"/>
        <item x="1998"/>
        <item x="3213"/>
        <item x="1980"/>
        <item x="837"/>
        <item x="3562"/>
        <item x="1291"/>
        <item x="3681"/>
        <item x="4025"/>
        <item x="3047"/>
        <item x="3406"/>
        <item x="4006"/>
        <item x="1861"/>
        <item x="1713"/>
        <item x="4542"/>
        <item x="3844"/>
        <item x="4478"/>
        <item x="2309"/>
        <item x="60"/>
        <item x="1591"/>
        <item x="4121"/>
        <item x="1040"/>
        <item x="850"/>
        <item x="2686"/>
        <item x="3315"/>
        <item x="2895"/>
        <item x="1978"/>
        <item x="288"/>
        <item x="1642"/>
        <item x="2751"/>
        <item x="3765"/>
        <item x="4446"/>
        <item x="1064"/>
        <item x="3441"/>
        <item x="3389"/>
        <item x="4306"/>
        <item x="3182"/>
        <item x="862"/>
        <item x="501"/>
        <item x="2253"/>
        <item x="3221"/>
        <item x="1187"/>
        <item x="711"/>
        <item x="2357"/>
        <item x="2904"/>
        <item x="2088"/>
        <item x="2508"/>
        <item x="3551"/>
        <item x="3568"/>
        <item x="3760"/>
        <item x="472"/>
        <item x="671"/>
        <item x="1759"/>
        <item x="3945"/>
        <item x="4268"/>
        <item x="4671"/>
        <item x="4637"/>
        <item x="3021"/>
        <item x="4161"/>
        <item x="3195"/>
        <item x="4626"/>
        <item x="3711"/>
        <item x="571"/>
        <item x="4313"/>
        <item x="1681"/>
        <item x="4893"/>
        <item x="1310"/>
        <item x="4493"/>
        <item x="484"/>
        <item x="4330"/>
        <item x="2098"/>
        <item x="774"/>
        <item x="4720"/>
        <item x="437"/>
        <item x="1637"/>
        <item x="4878"/>
        <item x="3049"/>
        <item x="2434"/>
        <item x="1977"/>
        <item x="3288"/>
        <item x="4048"/>
        <item x="1454"/>
        <item x="767"/>
        <item x="972"/>
        <item x="4264"/>
        <item x="1323"/>
        <item x="3023"/>
        <item x="1824"/>
        <item x="1334"/>
        <item x="2833"/>
        <item x="2003"/>
        <item x="4788"/>
        <item x="1070"/>
        <item x="2592"/>
        <item x="358"/>
        <item x="790"/>
        <item x="798"/>
        <item x="2604"/>
        <item x="1551"/>
        <item x="3112"/>
        <item x="2661"/>
        <item x="2736"/>
        <item x="2932"/>
        <item x="4298"/>
        <item x="2278"/>
        <item x="1644"/>
        <item x="4287"/>
        <item x="4986"/>
        <item x="906"/>
        <item x="3171"/>
        <item x="3969"/>
        <item x="3526"/>
        <item x="4363"/>
        <item x="2313"/>
        <item x="899"/>
        <item x="1309"/>
        <item x="821"/>
        <item x="1265"/>
        <item x="788"/>
        <item x="1956"/>
        <item x="2853"/>
        <item x="2910"/>
        <item x="596"/>
        <item x="3761"/>
        <item x="4544"/>
        <item x="4983"/>
        <item x="473"/>
        <item x="1275"/>
        <item x="3234"/>
        <item x="3975"/>
        <item x="2589"/>
        <item x="2046"/>
        <item x="1556"/>
        <item x="30"/>
        <item x="2483"/>
        <item x="4379"/>
        <item x="4538"/>
        <item x="4554"/>
        <item x="458"/>
        <item x="1184"/>
        <item x="3961"/>
        <item x="2124"/>
        <item x="3491"/>
        <item x="641"/>
        <item x="2896"/>
        <item x="1450"/>
        <item x="3981"/>
        <item x="3599"/>
        <item x="3999"/>
        <item x="3186"/>
        <item x="497"/>
        <item x="4850"/>
        <item x="3470"/>
        <item x="2745"/>
        <item x="2633"/>
        <item x="3479"/>
        <item x="1785"/>
        <item x="4108"/>
        <item x="4897"/>
        <item x="2189"/>
        <item x="1225"/>
        <item x="3754"/>
        <item x="1203"/>
        <item x="4299"/>
        <item x="261"/>
        <item x="4380"/>
        <item x="1545"/>
        <item x="4523"/>
        <item x="514"/>
        <item x="1069"/>
        <item x="3057"/>
        <item x="2923"/>
        <item x="3864"/>
        <item x="1786"/>
        <item x="245"/>
        <item x="570"/>
        <item x="1874"/>
        <item x="1402"/>
        <item x="1777"/>
        <item x="4347"/>
        <item x="1560"/>
        <item x="4900"/>
        <item x="4056"/>
        <item x="2624"/>
        <item x="4138"/>
        <item x="1312"/>
        <item x="1199"/>
        <item x="957"/>
        <item x="1367"/>
        <item x="3820"/>
        <item x="363"/>
        <item x="3242"/>
        <item x="3770"/>
        <item x="4216"/>
        <item x="1087"/>
        <item x="2811"/>
        <item x="4582"/>
        <item x="4185"/>
        <item x="1351"/>
        <item x="4102"/>
        <item x="3191"/>
        <item x="392"/>
        <item x="349"/>
        <item x="271"/>
        <item x="4374"/>
        <item x="3602"/>
        <item x="2121"/>
        <item x="4210"/>
        <item x="3158"/>
        <item x="797"/>
        <item x="2227"/>
        <item x="1488"/>
        <item x="313"/>
        <item x="4204"/>
        <item x="105"/>
        <item x="4708"/>
        <item x="4620"/>
        <item x="1550"/>
        <item x="1152"/>
        <item x="4649"/>
        <item x="2759"/>
        <item x="1233"/>
        <item x="1091"/>
        <item x="3633"/>
        <item x="4261"/>
        <item x="4370"/>
        <item x="3130"/>
        <item x="3598"/>
        <item x="602"/>
        <item x="1933"/>
        <item x="3700"/>
        <item x="4263"/>
        <item x="63"/>
        <item x="4561"/>
        <item x="1828"/>
        <item x="4842"/>
        <item x="3804"/>
        <item x="446"/>
        <item x="597"/>
        <item x="3748"/>
        <item x="232"/>
        <item x="248"/>
        <item x="504"/>
        <item x="3471"/>
        <item x="4575"/>
        <item x="4801"/>
        <item x="2864"/>
        <item x="2763"/>
        <item x="3605"/>
        <item x="2209"/>
        <item x="728"/>
        <item x="3851"/>
        <item x="961"/>
        <item x="2221"/>
        <item x="1726"/>
        <item x="1009"/>
        <item x="4443"/>
        <item x="840"/>
        <item x="2117"/>
        <item x="1739"/>
        <item x="1733"/>
        <item x="270"/>
        <item x="4947"/>
        <item x="3091"/>
        <item x="1656"/>
        <item x="2364"/>
        <item x="4001"/>
        <item x="4588"/>
        <item x="3792"/>
        <item x="3912"/>
        <item x="2700"/>
        <item x="178"/>
        <item x="157"/>
        <item x="483"/>
        <item x="4415"/>
        <item x="2566"/>
        <item x="239"/>
        <item x="4666"/>
        <item x="4017"/>
        <item x="1123"/>
        <item x="1269"/>
        <item x="2608"/>
        <item x="1767"/>
        <item x="4508"/>
        <item x="592"/>
        <item x="1355"/>
        <item x="2696"/>
        <item x="2346"/>
        <item x="4148"/>
        <item x="2321"/>
        <item x="3557"/>
        <item x="1300"/>
        <item x="4077"/>
        <item x="562"/>
        <item x="1361"/>
        <item x="1385"/>
        <item x="1708"/>
        <item x="1344"/>
        <item x="1048"/>
        <item x="2890"/>
        <item x="3648"/>
        <item x="3773"/>
        <item x="2260"/>
        <item x="3797"/>
        <item x="3968"/>
        <item x="2703"/>
        <item x="56"/>
        <item x="1059"/>
        <item x="2921"/>
        <item x="1612"/>
        <item x="3776"/>
        <item x="941"/>
        <item x="2675"/>
        <item x="791"/>
        <item x="1988"/>
        <item x="3654"/>
        <item x="4654"/>
        <item x="3666"/>
        <item x="3223"/>
        <item x="2772"/>
        <item x="2765"/>
        <item x="1746"/>
        <item x="3923"/>
        <item x="1250"/>
        <item x="1668"/>
        <item x="3990"/>
        <item x="2888"/>
        <item x="3433"/>
        <item x="528"/>
        <item x="2150"/>
        <item x="4117"/>
        <item x="1243"/>
        <item x="1617"/>
        <item x="914"/>
        <item x="3587"/>
        <item x="1167"/>
        <item x="1192"/>
        <item x="1456"/>
        <item x="4385"/>
        <item x="2547"/>
        <item x="3496"/>
        <item x="2068"/>
        <item x="3907"/>
        <item x="2362"/>
        <item x="1325"/>
        <item x="4705"/>
        <item x="777"/>
        <item x="2426"/>
        <item x="2995"/>
        <item x="1415"/>
        <item x="1038"/>
        <item x="1117"/>
        <item x="4359"/>
        <item x="3628"/>
        <item x="1916"/>
        <item x="4175"/>
        <item x="4529"/>
        <item x="4729"/>
        <item x="2648"/>
        <item x="1442"/>
        <item x="2734"/>
        <item x="2067"/>
        <item x="3977"/>
        <item x="4770"/>
        <item x="500"/>
        <item x="870"/>
        <item x="190"/>
        <item x="3415"/>
        <item x="3081"/>
        <item x="1912"/>
        <item x="221"/>
        <item x="3837"/>
        <item x="2447"/>
        <item x="396"/>
        <item x="2959"/>
        <item x="4389"/>
        <item x="4936"/>
        <item x="174"/>
        <item x="442"/>
        <item x="4168"/>
        <item x="4222"/>
        <item x="747"/>
        <item x="649"/>
        <item x="385"/>
        <item x="11"/>
        <item x="3028"/>
        <item x="839"/>
        <item x="786"/>
        <item x="805"/>
        <item x="3995"/>
        <item x="4874"/>
        <item x="4217"/>
        <item x="94"/>
        <item x="2934"/>
        <item x="4959"/>
        <item x="2332"/>
        <item x="1870"/>
        <item x="2670"/>
        <item x="3204"/>
        <item x="1041"/>
        <item x="1814"/>
        <item x="3688"/>
        <item x="4331"/>
        <item x="752"/>
        <item x="1495"/>
        <item x="4130"/>
        <item x="830"/>
        <item x="3413"/>
        <item x="2790"/>
        <item x="169"/>
        <item x="2234"/>
        <item x="4696"/>
        <item x="398"/>
        <item x="4865"/>
        <item x="3087"/>
        <item x="3938"/>
        <item x="4579"/>
        <item x="4932"/>
        <item x="1417"/>
        <item x="4516"/>
        <item x="1363"/>
        <item x="518"/>
        <item x="494"/>
        <item x="4471"/>
        <item x="634"/>
        <item x="3865"/>
        <item x="4439"/>
        <item x="1931"/>
        <item x="4999"/>
        <item x="3607"/>
        <item x="492"/>
        <item x="2409"/>
        <item x="185"/>
        <item x="181"/>
        <item x="4119"/>
        <item x="3302"/>
        <item x="1414"/>
        <item x="1237"/>
        <item x="1522"/>
        <item x="1803"/>
        <item x="4888"/>
        <item x="1135"/>
        <item x="3259"/>
        <item x="1049"/>
        <item x="1297"/>
        <item x="3743"/>
        <item x="4174"/>
        <item x="1331"/>
        <item x="2269"/>
        <item x="4054"/>
        <item x="2211"/>
        <item x="1253"/>
        <item x="2062"/>
        <item x="3487"/>
        <item x="250"/>
        <item x="984"/>
        <item x="35"/>
        <item x="1869"/>
        <item x="324"/>
        <item x="1421"/>
        <item x="593"/>
        <item x="1863"/>
        <item x="1537"/>
        <item x="4652"/>
        <item x="1098"/>
        <item x="4833"/>
        <item x="3278"/>
        <item x="387"/>
        <item x="378"/>
        <item x="1582"/>
        <item x="410"/>
        <item x="2840"/>
        <item x="5007"/>
        <item x="676"/>
        <item x="42"/>
        <item x="1129"/>
        <item x="2757"/>
        <item x="3350"/>
        <item x="3895"/>
        <item x="235"/>
        <item x="4941"/>
        <item x="976"/>
        <item x="3013"/>
        <item x="920"/>
        <item x="3675"/>
        <item x="3485"/>
        <item x="753"/>
        <item x="1147"/>
        <item x="2843"/>
        <item x="3367"/>
        <item x="3791"/>
        <item x="1781"/>
        <item x="4045"/>
        <item x="2771"/>
        <item x="3484"/>
        <item x="2163"/>
        <item x="3124"/>
        <item x="5011"/>
        <item x="673"/>
        <item x="1575"/>
        <item x="3341"/>
        <item x="2873"/>
        <item x="940"/>
        <item x="944"/>
        <item x="465"/>
        <item x="981"/>
        <item x="2655"/>
        <item x="4345"/>
        <item x="1126"/>
        <item x="872"/>
        <item x="4372"/>
        <item x="717"/>
        <item x="4416"/>
        <item x="2487"/>
        <item x="600"/>
        <item x="685"/>
        <item x="3732"/>
        <item x="3290"/>
        <item x="4873"/>
        <item x="4694"/>
        <item x="3723"/>
        <item x="942"/>
        <item x="151"/>
        <item x="1316"/>
        <item x="874"/>
        <item x="4435"/>
        <item x="3282"/>
        <item x="3564"/>
        <item x="3520"/>
        <item x="1566"/>
        <item x="1540"/>
        <item x="79"/>
        <item x="4453"/>
        <item x="776"/>
        <item x="1337"/>
        <item x="1338"/>
        <item x="3910"/>
        <item x="4925"/>
        <item x="3266"/>
        <item x="1273"/>
        <item x="1542"/>
        <item x="342"/>
        <item x="750"/>
        <item x="3560"/>
        <item x="1159"/>
        <item x="377"/>
        <item x="4673"/>
        <item x="761"/>
        <item x="208"/>
        <item x="3544"/>
        <item x="4269"/>
        <item x="3215"/>
        <item x="2844"/>
        <item x="3489"/>
        <item x="2514"/>
        <item x="878"/>
        <item x="2229"/>
        <item x="2244"/>
        <item x="3453"/>
        <item x="2905"/>
        <item x="4731"/>
        <item x="1631"/>
        <item x="2372"/>
        <item x="860"/>
        <item x="3311"/>
        <item x="1357"/>
        <item x="1175"/>
        <item x="1868"/>
        <item x="3118"/>
        <item x="1679"/>
        <item x="64"/>
        <item x="1144"/>
        <item x="4970"/>
        <item x="2009"/>
        <item x="4249"/>
        <item x="1663"/>
        <item x="4793"/>
        <item x="4456"/>
        <item x="1226"/>
        <item x="2911"/>
        <item x="1349"/>
        <item x="630"/>
        <item x="3518"/>
        <item x="4425"/>
        <item x="3944"/>
        <item x="1514"/>
        <item x="1866"/>
        <item x="1627"/>
        <item x="1800"/>
        <item x="2792"/>
        <item x="2049"/>
        <item x="1680"/>
        <item x="651"/>
        <item x="1724"/>
        <item x="4750"/>
        <item x="2325"/>
        <item x="4276"/>
        <item x="4568"/>
        <item x="1755"/>
        <item x="4950"/>
        <item x="137"/>
        <item x="3501"/>
        <item x="4177"/>
        <item x="415"/>
        <item x="918"/>
        <item x="17"/>
        <item x="1974"/>
        <item x="1987"/>
        <item x="4058"/>
        <item x="2876"/>
        <item x="3202"/>
        <item x="2507"/>
        <item x="3721"/>
        <item x="3297"/>
        <item x="3504"/>
        <item x="4848"/>
        <item x="2574"/>
        <item x="4252"/>
        <item x="259"/>
        <item x="3772"/>
        <item x="4975"/>
        <item x="3361"/>
        <item x="3481"/>
        <item x="3624"/>
        <item x="206"/>
        <item x="1538"/>
        <item x="4810"/>
        <item x="1051"/>
        <item x="3929"/>
        <item x="1741"/>
        <item x="2161"/>
        <item x="309"/>
        <item x="932"/>
        <item x="78"/>
        <item x="4933"/>
        <item x="1015"/>
        <item x="707"/>
        <item x="828"/>
        <item x="4318"/>
        <item x="4797"/>
        <item x="4691"/>
        <item x="2841"/>
        <item x="1712"/>
        <item x="4069"/>
        <item x="1426"/>
        <item x="4070"/>
        <item x="380"/>
        <item x="553"/>
        <item x="2984"/>
        <item x="725"/>
        <item x="1446"/>
        <item x="3534"/>
        <item x="1333"/>
        <item x="2158"/>
        <item x="2177"/>
        <item x="2102"/>
        <item x="3871"/>
        <item x="3010"/>
        <item x="13"/>
        <item x="807"/>
        <item x="3687"/>
        <item x="3409"/>
        <item x="995"/>
        <item x="1340"/>
        <item x="2126"/>
        <item x="2643"/>
        <item x="2611"/>
        <item x="1406"/>
        <item x="519"/>
        <item x="2093"/>
        <item x="3461"/>
        <item x="812"/>
        <item x="1054"/>
        <item x="1173"/>
        <item x="3627"/>
        <item x="3983"/>
        <item x="3209"/>
        <item x="213"/>
        <item x="4179"/>
        <item x="632"/>
        <item x="3527"/>
        <item x="1732"/>
        <item x="1850"/>
        <item x="851"/>
        <item x="1571"/>
        <item x="1400"/>
        <item x="877"/>
        <item x="4738"/>
        <item x="1031"/>
        <item x="1122"/>
        <item x="2526"/>
        <item x="2783"/>
        <item x="1614"/>
        <item x="3768"/>
        <item x="635"/>
        <item x="4879"/>
        <item x="4463"/>
        <item x="706"/>
        <item x="2430"/>
        <item x="913"/>
        <item x="1097"/>
        <item x="3882"/>
        <item x="1156"/>
        <item x="3089"/>
        <item x="4541"/>
        <item t="default"/>
      </items>
    </pivotField>
    <pivotField showAll="0"/>
    <pivotField showAll="0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  <pivotField showAll="0"/>
    <pivotField showAll="0" sortType="a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</pivotFields>
  <rowItems count="1">
    <i/>
  </rowItems>
  <colItems count="1">
    <i/>
  </colItems>
  <dataFields count="1">
    <dataField name="Avg Employee Number" fld="6" subtotal="average" baseField="0" baseItem="0" numFmtId="1"/>
  </dataFields>
  <formats count="24">
    <format dxfId="2">
      <pivotArea field="5" type="button" dataOnly="0" labelOnly="1" outline="0"/>
    </format>
    <format dxfId="3">
      <pivotArea dataOnly="0" labelOnly="1" outline="0" axis="axisValues" fieldPosition="0"/>
    </format>
    <format dxfId="4">
      <pivotArea field="5" type="button" dataOnly="0" labelOnly="1" outline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5" type="button" dataOnly="0" labelOnly="1" outline="0"/>
    </format>
    <format dxfId="9">
      <pivotArea dataOnly="0" labelOnly="1" outline="0" axis="axisValues" fieldPosition="0"/>
    </format>
    <format dxfId="10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axis="axisValues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outline="0" axis="axisValues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dataOnly="0" labelOnly="1" outline="0" axis="axisValues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outline="0" collapsedLevelsAreSubtotals="1" fieldPosition="0"/>
    </format>
    <format dxfId="23">
      <pivotArea dataOnly="0" labelOnly="1" outline="0" axis="axisValues" fieldPosition="0"/>
    </format>
    <format dxfId="24">
      <pivotArea dataOnly="0" labelOnly="1" outline="0" axis="axisValues" fieldPosition="0"/>
    </format>
    <format dxfId="25">
      <pivotArea outline="0" collapsedLevelsAreSubtotals="1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738F7-C0C3-4CA5-B98C-C734B21069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K17:L28" firstHeaderRow="1" firstDataRow="1" firstDataCol="1"/>
  <pivotFields count="13">
    <pivotField showAll="0"/>
    <pivotField dataField="1" showAll="0">
      <items count="5013">
        <item x="3693"/>
        <item x="4919"/>
        <item x="3660"/>
        <item x="736"/>
        <item x="4595"/>
        <item x="1369"/>
        <item x="68"/>
        <item x="2000"/>
        <item x="703"/>
        <item x="1673"/>
        <item x="4589"/>
        <item x="1259"/>
        <item x="182"/>
        <item x="3499"/>
        <item x="1281"/>
        <item x="4301"/>
        <item x="3949"/>
        <item x="4225"/>
        <item x="3955"/>
        <item x="1839"/>
        <item x="1006"/>
        <item x="4399"/>
        <item x="4940"/>
        <item x="1492"/>
        <item x="2104"/>
        <item x="4819"/>
        <item x="1321"/>
        <item x="4260"/>
        <item x="3897"/>
        <item x="973"/>
        <item x="3758"/>
        <item x="1145"/>
        <item x="4923"/>
        <item x="314"/>
        <item x="3012"/>
        <item x="3716"/>
        <item x="1801"/>
        <item x="1664"/>
        <item x="983"/>
        <item x="1439"/>
        <item x="4734"/>
        <item x="4550"/>
        <item x="3516"/>
        <item x="4722"/>
        <item x="4164"/>
        <item x="3541"/>
        <item x="4891"/>
        <item x="3708"/>
        <item x="69"/>
        <item x="3611"/>
        <item x="116"/>
        <item x="3600"/>
        <item x="1623"/>
        <item x="1688"/>
        <item x="633"/>
        <item x="1734"/>
        <item x="4817"/>
        <item x="1287"/>
        <item x="4938"/>
        <item x="3706"/>
        <item x="3513"/>
        <item x="3747"/>
        <item x="4495"/>
        <item x="2207"/>
        <item x="3636"/>
        <item x="2550"/>
        <item x="2630"/>
        <item x="4539"/>
        <item x="1594"/>
        <item x="2440"/>
        <item x="3178"/>
        <item x="2316"/>
        <item x="1047"/>
        <item x="2717"/>
        <item x="3492"/>
        <item x="4563"/>
        <item x="4824"/>
        <item x="3834"/>
        <item x="3238"/>
        <item x="2977"/>
        <item x="3610"/>
        <item x="2390"/>
        <item x="2830"/>
        <item x="453"/>
        <item x="2203"/>
        <item x="2387"/>
        <item x="2157"/>
        <item x="3966"/>
        <item x="495"/>
        <item x="1638"/>
        <item x="4154"/>
        <item x="2094"/>
        <item x="3831"/>
        <item x="4659"/>
        <item x="3116"/>
        <item x="4009"/>
        <item x="4342"/>
        <item x="4716"/>
        <item x="4955"/>
        <item x="4247"/>
        <item x="1740"/>
        <item x="2506"/>
        <item x="2953"/>
        <item x="3331"/>
        <item x="3735"/>
        <item x="4098"/>
        <item x="1756"/>
        <item x="2310"/>
        <item x="695"/>
        <item x="2112"/>
        <item x="1420"/>
        <item x="4847"/>
        <item x="2842"/>
        <item x="4934"/>
        <item x="4754"/>
        <item x="3098"/>
        <item x="3123"/>
        <item x="719"/>
        <item x="4043"/>
        <item x="2394"/>
        <item x="168"/>
        <item x="2314"/>
        <item x="694"/>
        <item x="2258"/>
        <item x="3153"/>
        <item x="3992"/>
        <item x="784"/>
        <item x="4967"/>
        <item x="1848"/>
        <item x="361"/>
        <item x="4450"/>
        <item x="511"/>
        <item x="1427"/>
        <item x="2300"/>
        <item x="1897"/>
        <item x="3219"/>
        <item x="2556"/>
        <item x="3877"/>
        <item x="1855"/>
        <item x="1437"/>
        <item x="418"/>
        <item x="3669"/>
        <item x="1381"/>
        <item x="4479"/>
        <item x="985"/>
        <item x="4598"/>
        <item x="2928"/>
        <item x="2590"/>
        <item x="405"/>
        <item x="3074"/>
        <item x="4162"/>
        <item x="4063"/>
        <item x="4300"/>
        <item x="1383"/>
        <item x="1604"/>
        <item x="4993"/>
        <item x="1359"/>
        <item x="2451"/>
        <item x="4707"/>
        <item x="1717"/>
        <item x="425"/>
        <item x="4751"/>
        <item x="281"/>
        <item x="615"/>
        <item x="199"/>
        <item x="2669"/>
        <item x="4059"/>
        <item x="4511"/>
        <item x="1527"/>
        <item x="2421"/>
        <item x="3493"/>
        <item x="1372"/>
        <item x="2741"/>
        <item x="3421"/>
        <item x="1200"/>
        <item x="3070"/>
        <item x="2467"/>
        <item x="1804"/>
        <item x="2644"/>
        <item x="2481"/>
        <item x="1532"/>
        <item x="1461"/>
        <item x="1086"/>
        <item x="1245"/>
        <item x="2132"/>
        <item x="2373"/>
        <item x="4920"/>
        <item x="4452"/>
        <item x="2989"/>
        <item x="3640"/>
        <item x="2581"/>
        <item x="2330"/>
        <item x="1877"/>
        <item x="647"/>
        <item x="4178"/>
        <item x="1081"/>
        <item x="4859"/>
        <item x="3962"/>
        <item x="2345"/>
        <item x="4409"/>
        <item x="2246"/>
        <item x="153"/>
        <item x="4213"/>
        <item x="3276"/>
        <item x="2807"/>
        <item x="629"/>
        <item x="1282"/>
        <item x="541"/>
        <item x="3141"/>
        <item x="285"/>
        <item x="448"/>
        <item x="2414"/>
        <item x="1341"/>
        <item x="1895"/>
        <item x="3011"/>
        <item x="3874"/>
        <item x="1170"/>
        <item x="300"/>
        <item x="469"/>
        <item x="1650"/>
        <item x="2720"/>
        <item x="4067"/>
        <item x="2478"/>
        <item x="3291"/>
        <item x="2025"/>
        <item x="3152"/>
        <item x="3216"/>
        <item x="2753"/>
        <item x="4548"/>
        <item x="4899"/>
        <item x="39"/>
        <item x="3031"/>
        <item x="980"/>
        <item x="4978"/>
        <item x="3252"/>
        <item x="2010"/>
        <item x="4295"/>
        <item x="4082"/>
        <item x="1621"/>
        <item x="3062"/>
        <item x="577"/>
        <item x="1939"/>
        <item x="3578"/>
        <item x="120"/>
        <item x="3449"/>
        <item x="3752"/>
        <item x="143"/>
        <item x="2912"/>
        <item x="2966"/>
        <item x="1762"/>
        <item x="578"/>
        <item x="3889"/>
        <item x="3678"/>
        <item x="3839"/>
        <item x="1806"/>
        <item x="3766"/>
        <item x="4241"/>
        <item x="3227"/>
        <item x="2805"/>
        <item x="294"/>
        <item x="1044"/>
        <item x="3623"/>
        <item x="2468"/>
        <item x="4518"/>
        <item x="96"/>
        <item x="3377"/>
        <item x="898"/>
        <item x="4901"/>
        <item x="1729"/>
        <item x="2907"/>
        <item x="4679"/>
        <item x="979"/>
        <item x="4969"/>
        <item x="4853"/>
        <item x="5003"/>
        <item x="4981"/>
        <item x="3420"/>
        <item x="4638"/>
        <item x="2092"/>
        <item x="4600"/>
        <item x="772"/>
        <item x="2885"/>
        <item x="819"/>
        <item x="3399"/>
        <item x="27"/>
        <item x="2322"/>
        <item x="1423"/>
        <item x="2410"/>
        <item x="1499"/>
        <item x="1195"/>
        <item x="3346"/>
        <item x="1239"/>
        <item x="3601"/>
        <item x="2502"/>
        <item x="3919"/>
        <item x="3988"/>
        <item x="4195"/>
        <item x="758"/>
        <item x="15"/>
        <item x="892"/>
        <item x="2518"/>
        <item x="1444"/>
        <item x="4807"/>
        <item x="461"/>
        <item x="4573"/>
        <item x="403"/>
        <item x="4682"/>
        <item x="4023"/>
        <item x="2403"/>
        <item x="3437"/>
        <item x="584"/>
        <item x="589"/>
        <item x="4712"/>
        <item x="2591"/>
        <item x="3875"/>
        <item x="2438"/>
        <item x="975"/>
        <item x="1105"/>
        <item x="1481"/>
        <item x="665"/>
        <item x="4202"/>
        <item x="2106"/>
        <item x="3667"/>
        <item x="4593"/>
        <item x="1827"/>
        <item x="3905"/>
        <item x="2987"/>
        <item x="400"/>
        <item x="3398"/>
        <item x="848"/>
        <item x="4235"/>
        <item x="3608"/>
        <item x="1021"/>
        <item x="4113"/>
        <item x="4748"/>
        <item x="1854"/>
        <item x="2782"/>
        <item x="4288"/>
        <item x="2777"/>
        <item x="3344"/>
        <item x="2725"/>
        <item x="2571"/>
        <item x="730"/>
        <item x="1010"/>
        <item x="2809"/>
        <item x="2023"/>
        <item x="3085"/>
        <item x="3323"/>
        <item x="3008"/>
        <item x="3657"/>
        <item x="1286"/>
        <item x="2836"/>
        <item x="149"/>
        <item x="1274"/>
        <item x="3207"/>
        <item x="3979"/>
        <item x="3312"/>
        <item x="3616"/>
        <item x="4128"/>
        <item x="2491"/>
        <item x="3303"/>
        <item x="3293"/>
        <item x="333"/>
        <item x="1563"/>
        <item x="4303"/>
        <item x="681"/>
        <item x="4653"/>
        <item x="4896"/>
        <item x="3236"/>
        <item x="2312"/>
        <item x="1770"/>
        <item x="3638"/>
        <item x="2391"/>
        <item x="4229"/>
        <item x="462"/>
        <item x="2206"/>
        <item x="4832"/>
        <item x="413"/>
        <item x="144"/>
        <item x="4742"/>
        <item x="1695"/>
        <item x="4602"/>
        <item x="2238"/>
        <item x="2215"/>
        <item x="1352"/>
        <item x="4552"/>
        <item x="1395"/>
        <item x="4317"/>
        <item x="565"/>
        <item x="3356"/>
        <item x="3327"/>
        <item x="2737"/>
        <item x="3185"/>
        <item x="2537"/>
        <item x="3329"/>
        <item x="82"/>
        <item x="1821"/>
        <item x="3263"/>
        <item x="66"/>
        <item x="1387"/>
        <item x="436"/>
        <item x="3230"/>
        <item x="4574"/>
        <item x="4500"/>
        <item x="4719"/>
        <item x="2383"/>
        <item x="2360"/>
        <item x="4049"/>
        <item x="4144"/>
        <item x="993"/>
        <item x="4578"/>
        <item x="2544"/>
        <item x="4218"/>
        <item x="3206"/>
        <item x="3775"/>
        <item x="1489"/>
        <item x="4979"/>
        <item x="2419"/>
        <item x="1491"/>
        <item x="3698"/>
        <item x="4958"/>
        <item x="970"/>
        <item x="416"/>
        <item x="4924"/>
        <item x="1576"/>
        <item x="1339"/>
        <item x="683"/>
        <item x="2148"/>
        <item x="3857"/>
        <item x="2064"/>
        <item x="113"/>
        <item x="4255"/>
        <item x="3814"/>
        <item x="2174"/>
        <item x="3935"/>
        <item x="1080"/>
        <item x="1523"/>
        <item x="1463"/>
        <item x="3084"/>
        <item x="3249"/>
        <item x="1714"/>
        <item x="1095"/>
        <item x="1862"/>
        <item x="2646"/>
        <item x="228"/>
        <item x="2951"/>
        <item x="4931"/>
        <item x="3241"/>
        <item x="4507"/>
        <item x="2248"/>
        <item x="3239"/>
        <item x="739"/>
        <item x="3646"/>
        <item x="4577"/>
        <item x="4623"/>
        <item x="1142"/>
        <item x="24"/>
        <item x="1629"/>
        <item x="2490"/>
        <item x="770"/>
        <item x="2962"/>
        <item x="1085"/>
        <item x="201"/>
        <item x="3581"/>
        <item x="3094"/>
        <item x="1120"/>
        <item x="1375"/>
        <item x="433"/>
        <item x="2294"/>
        <item x="599"/>
        <item x="4512"/>
        <item x="4501"/>
        <item x="354"/>
        <item x="876"/>
        <item x="2698"/>
        <item x="1548"/>
        <item x="4209"/>
        <item x="109"/>
        <item x="1486"/>
        <item x="1989"/>
        <item x="2035"/>
        <item x="3243"/>
        <item x="3855"/>
        <item x="1820"/>
        <item x="428"/>
        <item x="561"/>
        <item x="1810"/>
        <item x="3394"/>
        <item x="4193"/>
        <item x="121"/>
        <item x="3179"/>
        <item x="4960"/>
        <item x="1893"/>
        <item x="1293"/>
        <item x="3789"/>
        <item x="2799"/>
        <item x="1626"/>
        <item x="968"/>
        <item x="4829"/>
        <item x="4307"/>
        <item x="2588"/>
        <item x="1121"/>
        <item x="4053"/>
        <item x="1851"/>
        <item x="866"/>
        <item x="312"/>
        <item x="3571"/>
        <item x="4497"/>
        <item x="4856"/>
        <item x="1213"/>
        <item x="2384"/>
        <item x="256"/>
        <item x="3037"/>
        <item x="3040"/>
        <item x="524"/>
        <item x="552"/>
        <item x="2628"/>
        <item x="2854"/>
        <item x="2679"/>
        <item x="3697"/>
        <item x="441"/>
        <item x="2486"/>
        <item x="2699"/>
        <item x="1858"/>
        <item x="677"/>
        <item x="4133"/>
        <item x="803"/>
        <item x="3059"/>
        <item x="6"/>
        <item x="2105"/>
        <item x="814"/>
        <item x="1096"/>
        <item x="527"/>
        <item x="1146"/>
        <item x="809"/>
        <item x="4296"/>
        <item x="3902"/>
        <item x="1600"/>
        <item x="2249"/>
        <item x="2658"/>
        <item x="1389"/>
        <item x="3260"/>
        <item x="990"/>
        <item x="935"/>
        <item x="45"/>
        <item x="1168"/>
        <item x="2522"/>
        <item x="2541"/>
        <item x="2849"/>
        <item x="2233"/>
        <item x="1962"/>
        <item x="4747"/>
        <item x="1221"/>
        <item x="4688"/>
        <item x="3200"/>
        <item x="29"/>
        <item x="1875"/>
        <item x="305"/>
        <item x="2054"/>
        <item x="1949"/>
        <item x="4203"/>
        <item x="2195"/>
        <item x="4514"/>
        <item x="2708"/>
        <item x="1578"/>
        <item x="2822"/>
        <item x="3868"/>
        <item x="1067"/>
        <item x="318"/>
        <item x="965"/>
        <item x="2647"/>
        <item x="2862"/>
        <item x="1017"/>
        <item x="4055"/>
        <item x="1748"/>
        <item x="3737"/>
        <item x="3720"/>
        <item x="341"/>
        <item x="1879"/>
        <item x="4437"/>
        <item x="2014"/>
        <item x="1641"/>
        <item x="1151"/>
        <item x="1346"/>
        <item x="4123"/>
        <item x="1587"/>
        <item x="3786"/>
        <item x="4804"/>
        <item x="2047"/>
        <item x="1271"/>
        <item x="2301"/>
        <item x="3468"/>
        <item x="865"/>
        <item x="3465"/>
        <item x="1365"/>
        <item x="3258"/>
        <item x="1971"/>
        <item x="1808"/>
        <item x="2728"/>
        <item x="3321"/>
        <item x="4614"/>
        <item x="1473"/>
        <item x="2894"/>
        <item x="4228"/>
        <item x="2535"/>
        <item x="3446"/>
        <item x="4852"/>
        <item x="4532"/>
        <item x="1206"/>
        <item x="1883"/>
        <item x="4743"/>
        <item x="4208"/>
        <item x="601"/>
        <item x="1518"/>
        <item x="3916"/>
        <item x="822"/>
        <item x="1435"/>
        <item x="2660"/>
        <item x="4333"/>
        <item x="793"/>
        <item x="3972"/>
        <item x="509"/>
        <item x="330"/>
        <item x="1517"/>
        <item x="4423"/>
        <item x="2742"/>
        <item x="3537"/>
        <item x="1143"/>
        <item x="2146"/>
        <item x="4939"/>
        <item x="743"/>
        <item x="894"/>
        <item x="3136"/>
        <item x="3714"/>
        <item x="4120"/>
        <item x="3269"/>
        <item x="84"/>
        <item x="1279"/>
        <item x="585"/>
        <item x="4412"/>
        <item x="258"/>
        <item x="1986"/>
        <item x="2515"/>
        <item x="4150"/>
        <item x="1141"/>
        <item x="829"/>
        <item x="1466"/>
        <item x="1873"/>
        <item x="1074"/>
        <item x="131"/>
        <item x="1849"/>
        <item x="4482"/>
        <item x="4328"/>
        <item x="945"/>
        <item x="487"/>
        <item x="4535"/>
        <item x="644"/>
        <item x="2756"/>
        <item x="2340"/>
        <item x="4257"/>
        <item x="2202"/>
        <item x="4223"/>
        <item x="827"/>
        <item x="4898"/>
        <item x="3277"/>
        <item x="2334"/>
        <item x="2943"/>
        <item x="847"/>
        <item x="2691"/>
        <item x="1790"/>
        <item x="165"/>
        <item x="998"/>
        <item x="846"/>
        <item x="482"/>
        <item x="2213"/>
        <item x="211"/>
        <item x="1377"/>
        <item x="1898"/>
        <item x="423"/>
        <item x="1482"/>
        <item x="2893"/>
        <item x="4003"/>
        <item x="402"/>
        <item x="627"/>
        <item x="2657"/>
        <item x="3554"/>
        <item x="4771"/>
        <item x="642"/>
        <item x="4486"/>
        <item x="2800"/>
        <item x="1564"/>
        <item x="2810"/>
        <item x="376"/>
        <item x="2352"/>
        <item x="590"/>
        <item x="1725"/>
        <item x="3426"/>
        <item x="785"/>
        <item x="2219"/>
        <item x="3352"/>
        <item x="1924"/>
        <item x="2333"/>
        <item x="4129"/>
        <item x="1403"/>
        <item x="1003"/>
        <item x="4689"/>
        <item x="579"/>
        <item x="1062"/>
        <item x="4599"/>
        <item x="4628"/>
        <item x="75"/>
        <item x="191"/>
        <item x="2149"/>
        <item x="4706"/>
        <item x="3254"/>
        <item x="422"/>
        <item x="251"/>
        <item x="2142"/>
        <item x="4375"/>
        <item x="4032"/>
        <item x="2136"/>
        <item x="155"/>
        <item x="3061"/>
        <item x="4289"/>
        <item x="2386"/>
        <item x="930"/>
        <item x="1721"/>
        <item x="1303"/>
        <item x="733"/>
        <item x="3314"/>
        <item x="2776"/>
        <item x="2476"/>
        <item x="225"/>
        <item x="2645"/>
        <item x="4044"/>
        <item x="1938"/>
        <item x="1568"/>
        <item x="2881"/>
        <item x="1959"/>
        <item x="4773"/>
        <item x="2847"/>
        <item x="2141"/>
        <item x="445"/>
        <item x="3233"/>
        <item x="3298"/>
        <item x="3816"/>
        <item x="3235"/>
        <item x="1127"/>
        <item x="2516"/>
        <item x="3132"/>
        <item x="3251"/>
        <item x="923"/>
        <item x="3959"/>
        <item x="4351"/>
        <item x="3018"/>
        <item x="3073"/>
        <item x="3349"/>
        <item x="628"/>
        <item x="4690"/>
        <item x="2596"/>
        <item x="3952"/>
        <item x="2955"/>
        <item x="106"/>
        <item x="4152"/>
        <item x="675"/>
        <item x="1242"/>
        <item x="4612"/>
        <item x="3953"/>
        <item x="2423"/>
        <item x="4250"/>
        <item x="3542"/>
        <item x="3168"/>
        <item x="4042"/>
        <item x="3450"/>
        <item x="2393"/>
        <item x="2201"/>
        <item x="1896"/>
        <item x="2606"/>
        <item x="2845"/>
        <item x="2901"/>
        <item x="4115"/>
        <item x="1343"/>
        <item x="1639"/>
        <item x="1082"/>
        <item x="1326"/>
        <item x="1702"/>
        <item x="3119"/>
        <item x="2729"/>
        <item x="1632"/>
        <item x="3552"/>
        <item x="175"/>
        <item x="1072"/>
        <item x="3886"/>
        <item x="4394"/>
        <item x="4074"/>
        <item x="5"/>
        <item x="701"/>
        <item x="2851"/>
        <item x="1932"/>
        <item x="2517"/>
        <item x="4813"/>
        <item x="1350"/>
        <item x="2281"/>
        <item x="2039"/>
        <item x="145"/>
        <item x="3859"/>
        <item x="2579"/>
        <item x="4197"/>
        <item x="1390"/>
        <item x="91"/>
        <item x="2615"/>
        <item x="4357"/>
        <item x="2030"/>
        <item x="4184"/>
        <item x="689"/>
        <item x="2183"/>
        <item x="3867"/>
        <item x="2329"/>
        <item x="3713"/>
        <item x="3856"/>
        <item x="3617"/>
        <item x="909"/>
        <item x="4703"/>
        <item x="2976"/>
        <item x="1784"/>
        <item x="2557"/>
        <item x="4783"/>
        <item x="2463"/>
        <item x="4355"/>
        <item x="435"/>
        <item x="1969"/>
        <item x="107"/>
        <item x="4684"/>
        <item x="4681"/>
        <item x="849"/>
        <item x="1238"/>
        <item x="3459"/>
        <item x="3603"/>
        <item x="351"/>
        <item x="2271"/>
        <item x="4834"/>
        <item x="3822"/>
        <item x="1163"/>
        <item x="3305"/>
        <item x="2107"/>
        <item x="1976"/>
        <item x="4016"/>
        <item x="2"/>
        <item x="507"/>
        <item x="133"/>
        <item x="4061"/>
        <item x="132"/>
        <item x="1445"/>
        <item x="2819"/>
        <item x="1236"/>
        <item x="1906"/>
        <item x="2029"/>
        <item x="903"/>
        <item x="4153"/>
        <item x="4963"/>
        <item x="3193"/>
        <item x="4800"/>
        <item x="1036"/>
        <item x="2255"/>
        <item x="3390"/>
        <item x="3745"/>
        <item x="1119"/>
        <item x="3661"/>
        <item x="4775"/>
        <item x="1298"/>
        <item x="2115"/>
        <item x="2443"/>
        <item x="871"/>
        <item x="817"/>
        <item x="3642"/>
        <item x="463"/>
        <item x="924"/>
        <item x="2607"/>
        <item x="2061"/>
        <item x="1019"/>
        <item x="3753"/>
        <item x="329"/>
        <item x="867"/>
        <item x="1084"/>
        <item x="962"/>
        <item x="2503"/>
        <item x="3548"/>
        <item x="4284"/>
        <item x="3908"/>
        <item x="3574"/>
        <item x="279"/>
        <item x="1667"/>
        <item x="3704"/>
        <item x="3363"/>
        <item x="3001"/>
        <item x="938"/>
        <item x="1020"/>
        <item x="3099"/>
        <item x="1480"/>
        <item x="605"/>
        <item x="2621"/>
        <item x="4111"/>
        <item x="4124"/>
        <item x="2083"/>
        <item x="2835"/>
        <item x="130"/>
        <item x="606"/>
        <item x="2752"/>
        <item x="61"/>
        <item x="986"/>
        <item x="4845"/>
        <item x="3066"/>
        <item x="693"/>
        <item x="253"/>
        <item x="2868"/>
        <item x="992"/>
        <item x="112"/>
        <item x="3159"/>
        <item x="2569"/>
        <item x="617"/>
        <item x="2780"/>
        <item x="756"/>
        <item x="2171"/>
        <item x="3086"/>
        <item x="1336"/>
        <item x="1573"/>
        <item x="1472"/>
        <item x="88"/>
        <item x="3071"/>
        <item x="207"/>
        <item x="4100"/>
        <item x="3989"/>
        <item x="65"/>
        <item x="4918"/>
        <item x="4198"/>
        <item x="4917"/>
        <item x="3035"/>
        <item x="4343"/>
        <item x="4803"/>
        <item x="4034"/>
        <item x="4780"/>
        <item x="2739"/>
        <item x="3155"/>
        <item x="4455"/>
        <item x="3156"/>
        <item x="4935"/>
        <item x="3301"/>
        <item x="3514"/>
        <item x="431"/>
        <item x="4395"/>
        <item x="2838"/>
        <item x="3778"/>
        <item x="856"/>
        <item x="1902"/>
        <item x="2549"/>
        <item x="3695"/>
        <item x="4980"/>
        <item x="2272"/>
        <item x="1153"/>
        <item x="4078"/>
        <item x="2804"/>
        <item x="440"/>
        <item x="4672"/>
        <item x="2305"/>
        <item x="3658"/>
        <item x="910"/>
        <item x="3964"/>
        <item x="3431"/>
        <item x="238"/>
        <item x="1393"/>
        <item x="3226"/>
        <item x="4106"/>
        <item x="1177"/>
        <item x="323"/>
        <item x="1002"/>
        <item x="595"/>
        <item x="3333"/>
        <item x="2180"/>
        <item x="2277"/>
        <item x="794"/>
        <item x="2026"/>
        <item x="1593"/>
        <item x="4838"/>
        <item x="773"/>
        <item x="2539"/>
        <item x="3665"/>
        <item x="755"/>
        <item x="229"/>
        <item x="3892"/>
        <item x="637"/>
        <item x="3374"/>
        <item x="2155"/>
        <item x="3418"/>
        <item x="3781"/>
        <item x="1955"/>
        <item x="4406"/>
        <item x="3712"/>
        <item x="3145"/>
        <item x="2204"/>
        <item x="3917"/>
        <item x="4292"/>
        <item x="1434"/>
        <item x="953"/>
        <item x="2461"/>
        <item x="2813"/>
        <item x="4965"/>
        <item x="108"/>
        <item x="2056"/>
        <item x="3114"/>
        <item x="3828"/>
        <item x="660"/>
        <item x="3335"/>
        <item x="4854"/>
        <item x="2347"/>
        <item x="3359"/>
        <item x="2985"/>
        <item x="2348"/>
        <item x="4408"/>
        <item x="2693"/>
        <item x="1134"/>
        <item x="2631"/>
        <item x="1174"/>
        <item x="316"/>
        <item x="3429"/>
        <item x="4591"/>
        <item x="4860"/>
        <item x="4167"/>
        <item x="1280"/>
        <item x="4680"/>
        <item x="322"/>
        <item x="2431"/>
        <item x="4190"/>
        <item x="4537"/>
        <item x="2570"/>
        <item x="3080"/>
        <item x="443"/>
        <item x="3177"/>
        <item x="1371"/>
        <item x="163"/>
        <item x="4105"/>
        <item x="4414"/>
        <item x="4090"/>
        <item x="4356"/>
        <item x="3809"/>
        <item x="3212"/>
        <item x="2788"/>
        <item x="4870"/>
        <item x="4438"/>
        <item x="688"/>
        <item x="3630"/>
        <item x="3366"/>
        <item x="548"/>
        <item x="4086"/>
        <item x="80"/>
        <item x="3701"/>
        <item x="508"/>
        <item x="3978"/>
        <item x="1131"/>
        <item x="7"/>
        <item x="3994"/>
        <item x="4474"/>
        <item x="2924"/>
        <item x="4470"/>
        <item x="2404"/>
        <item x="1358"/>
        <item x="1930"/>
        <item x="2103"/>
        <item x="3960"/>
        <item x="4498"/>
        <item x="4685"/>
        <item x="4281"/>
        <item x="4823"/>
        <item x="1132"/>
        <item x="1640"/>
        <item x="2379"/>
        <item x="4377"/>
        <item x="1690"/>
        <item x="3076"/>
        <item x="2217"/>
        <item x="4085"/>
        <item x="3528"/>
        <item x="3934"/>
        <item x="2469"/>
        <item x="2385"/>
        <item x="4555"/>
        <item x="3268"/>
        <item x="2477"/>
        <item x="1946"/>
        <item x="587"/>
        <item x="879"/>
        <item x="3328"/>
        <item x="22"/>
        <item x="3941"/>
        <item x="3232"/>
        <item x="4294"/>
        <item x="1541"/>
        <item x="3684"/>
        <item x="3751"/>
        <item x="1718"/>
        <item x="115"/>
        <item x="3579"/>
        <item x="4326"/>
        <item x="2479"/>
        <item x="1111"/>
        <item x="3164"/>
        <item x="73"/>
        <item x="4710"/>
        <item x="3679"/>
        <item x="4972"/>
        <item x="1216"/>
        <item x="1704"/>
        <item x="3683"/>
        <item x="4073"/>
        <item x="3904"/>
        <item x="4487"/>
        <item x="1659"/>
        <item x="2794"/>
        <item x="1557"/>
        <item x="4107"/>
        <item x="842"/>
        <item x="1788"/>
        <item x="391"/>
        <item x="4502"/>
        <item x="503"/>
        <item x="1841"/>
        <item x="412"/>
        <item x="1011"/>
        <item x="4784"/>
        <item x="303"/>
        <item x="4353"/>
        <item x="367"/>
        <item x="1941"/>
        <item x="3956"/>
        <item x="4327"/>
        <item x="1215"/>
        <item x="4881"/>
        <item x="2193"/>
        <item x="2561"/>
        <item x="384"/>
        <item x="4186"/>
        <item x="1771"/>
        <item x="2489"/>
        <item x="1581"/>
        <item x="3993"/>
        <item x="1857"/>
        <item x="1264"/>
        <item x="1094"/>
        <item x="4146"/>
        <item x="4603"/>
        <item x="3567"/>
        <item x="3027"/>
        <item x="1261"/>
        <item x="988"/>
        <item x="307"/>
        <item x="2612"/>
        <item x="1448"/>
        <item x="4465"/>
        <item x="857"/>
        <item x="4191"/>
        <item x="3842"/>
        <item x="3375"/>
        <item x="4282"/>
        <item x="1991"/>
        <item x="885"/>
        <item x="727"/>
        <item x="4335"/>
        <item x="4762"/>
        <item x="1881"/>
        <item x="1302"/>
        <item x="2747"/>
        <item x="1254"/>
        <item x="3538"/>
        <item x="2899"/>
        <item x="4583"/>
        <item x="2137"/>
        <item x="662"/>
        <item x="2296"/>
        <item x="3799"/>
        <item x="2992"/>
        <item x="3985"/>
        <item x="2065"/>
        <item x="1950"/>
        <item x="280"/>
        <item x="2801"/>
        <item x="3295"/>
        <item x="4079"/>
        <item x="4640"/>
        <item x="3034"/>
        <item x="320"/>
        <item x="1166"/>
        <item x="1289"/>
        <item x="3279"/>
        <item x="1319"/>
        <item x="2020"/>
        <item x="4403"/>
        <item x="4581"/>
        <item x="646"/>
        <item x="2950"/>
        <item x="2620"/>
        <item x="2527"/>
        <item x="3879"/>
        <item x="2186"/>
        <item x="4131"/>
        <item x="2307"/>
        <item x="2889"/>
        <item x="241"/>
        <item x="763"/>
        <item x="3364"/>
        <item x="4660"/>
        <item x="2402"/>
        <item x="4429"/>
        <item x="3793"/>
        <item x="3133"/>
        <item x="989"/>
        <item x="3378"/>
        <item x="2057"/>
        <item x="4964"/>
        <item x="2342"/>
        <item x="1099"/>
        <item x="3451"/>
        <item x="4884"/>
        <item x="3143"/>
        <item x="1795"/>
        <item x="4799"/>
        <item x="4028"/>
        <item x="194"/>
        <item x="3125"/>
        <item x="1960"/>
        <item x="3884"/>
        <item x="3503"/>
        <item x="4243"/>
        <item x="4741"/>
        <item x="3167"/>
        <item x="244"/>
        <item x="2709"/>
        <item x="3890"/>
        <item x="4779"/>
        <item x="3255"/>
        <item x="1249"/>
        <item x="164"/>
        <item x="3039"/>
        <item x="974"/>
        <item x="2685"/>
        <item x="3117"/>
        <item x="2122"/>
        <item x="1022"/>
        <item x="2760"/>
        <item x="4796"/>
        <item x="393"/>
        <item x="2916"/>
        <item x="2781"/>
        <item x="2573"/>
        <item x="4480"/>
        <item x="4494"/>
        <item x="2156"/>
        <item x="1246"/>
        <item x="2060"/>
        <item x="4101"/>
        <item x="381"/>
        <item x="2435"/>
        <item x="1970"/>
        <item x="2787"/>
        <item x="3275"/>
        <item x="4104"/>
        <item x="2942"/>
        <item x="3424"/>
        <item x="345"/>
        <item x="4279"/>
        <item x="1498"/>
        <item x="2917"/>
        <item x="3629"/>
        <item x="2210"/>
        <item x="3294"/>
        <item x="2802"/>
        <item x="1295"/>
        <item x="3388"/>
        <item x="3787"/>
        <item x="1687"/>
        <item x="3443"/>
        <item x="1161"/>
        <item x="563"/>
        <item x="2139"/>
        <item x="2743"/>
        <item x="1228"/>
        <item x="334"/>
        <item x="117"/>
        <item x="89"/>
        <item x="1440"/>
        <item x="576"/>
        <item x="2577"/>
        <item x="4728"/>
        <item x="1675"/>
        <item x="1990"/>
        <item x="653"/>
        <item x="468"/>
        <item x="1240"/>
        <item x="1278"/>
        <item x="1753"/>
        <item x="4274"/>
        <item x="296"/>
        <item x="420"/>
        <item x="1503"/>
        <item x="5002"/>
        <item x="3316"/>
        <item x="3052"/>
        <item x="1580"/>
        <item x="2078"/>
        <item x="3160"/>
        <item x="3686"/>
        <item x="2073"/>
        <item x="1374"/>
        <item x="3154"/>
        <item x="1313"/>
        <item x="911"/>
        <item x="1109"/>
        <item x="969"/>
        <item x="1360"/>
        <item x="3006"/>
        <item x="4871"/>
        <item x="1276"/>
        <item x="891"/>
        <item x="1468"/>
        <item x="2936"/>
        <item x="1288"/>
        <item x="3101"/>
        <item x="2200"/>
        <item x="2724"/>
        <item x="2066"/>
        <item x="297"/>
        <item x="3284"/>
        <item x="1218"/>
        <item x="3287"/>
        <item x="298"/>
        <item x="3870"/>
        <item x="1908"/>
        <item x="2462"/>
        <item x="4052"/>
        <item x="2084"/>
        <item x="4551"/>
        <item x="397"/>
        <item x="1835"/>
        <item x="1485"/>
        <item x="1934"/>
        <item x="2683"/>
        <item x="2938"/>
        <item x="3826"/>
        <item x="762"/>
        <item x="569"/>
        <item x="1506"/>
        <item x="3108"/>
        <item x="4545"/>
        <item x="3425"/>
        <item x="3383"/>
        <item x="4977"/>
        <item x="2108"/>
        <item x="645"/>
        <item x="1057"/>
        <item x="54"/>
        <item x="331"/>
        <item x="1033"/>
        <item x="4239"/>
        <item x="4189"/>
        <item x="3417"/>
        <item x="781"/>
        <item x="2831"/>
        <item x="3832"/>
        <item x="4726"/>
        <item x="4995"/>
        <item x="81"/>
        <item x="2119"/>
        <item x="3585"/>
        <item x="4669"/>
        <item x="192"/>
        <item x="3173"/>
        <item x="4319"/>
        <item x="779"/>
        <item x="575"/>
        <item x="947"/>
        <item x="1452"/>
        <item x="424"/>
        <item x="1027"/>
        <item x="3523"/>
        <item x="656"/>
        <item x="2194"/>
        <item x="98"/>
        <item x="1653"/>
        <item x="4341"/>
        <item x="3477"/>
        <item x="987"/>
        <item x="1345"/>
        <item x="4782"/>
        <item x="450"/>
        <item x="2580"/>
        <item x="4825"/>
        <item x="2978"/>
        <item x="1533"/>
        <item x="4286"/>
        <item x="2554"/>
        <item x="1648"/>
        <item x="3561"/>
        <item x="937"/>
        <item x="4322"/>
        <item x="2649"/>
        <item x="74"/>
        <item x="3016"/>
        <item x="2282"/>
        <item x="4499"/>
        <item x="2965"/>
        <item x="2378"/>
        <item x="3609"/>
        <item x="919"/>
        <item x="2609"/>
        <item x="2401"/>
        <item x="4564"/>
        <item x="609"/>
        <item x="395"/>
        <item x="3933"/>
        <item x="4386"/>
        <item x="301"/>
        <item x="1204"/>
        <item x="3691"/>
        <item x="179"/>
        <item x="2353"/>
        <item x="2005"/>
        <item x="4064"/>
        <item x="4484"/>
        <item x="3384"/>
        <item x="2803"/>
        <item x="1972"/>
        <item x="2413"/>
        <item x="1628"/>
        <item x="4836"/>
        <item x="3120"/>
        <item x="2593"/>
        <item x="1757"/>
        <item x="4134"/>
        <item x="355"/>
        <item x="2869"/>
        <item x="2714"/>
        <item x="1886"/>
        <item x="952"/>
        <item x="1272"/>
        <item x="2542"/>
        <item x="3531"/>
        <item x="3452"/>
        <item x="3307"/>
        <item x="2050"/>
        <item x="4089"/>
        <item x="549"/>
        <item x="2459"/>
        <item x="2659"/>
        <item x="573"/>
        <item x="3463"/>
        <item x="2695"/>
        <item x="1060"/>
        <item x="3192"/>
        <item x="684"/>
        <item x="2289"/>
        <item x="686"/>
        <item x="4205"/>
        <item x="3973"/>
        <item x="726"/>
        <item x="4609"/>
        <item x="4776"/>
        <item x="560"/>
        <item x="4774"/>
        <item x="210"/>
        <item x="2639"/>
        <item x="1113"/>
        <item x="1112"/>
        <item x="1743"/>
        <item x="4112"/>
        <item x="1478"/>
        <item x="2164"/>
        <item x="209"/>
        <item x="3134"/>
        <item x="1927"/>
        <item x="240"/>
        <item x="1012"/>
        <item x="2915"/>
        <item x="1077"/>
        <item x="915"/>
        <item x="2981"/>
        <item x="2969"/>
        <item x="2388"/>
        <item x="3438"/>
        <item x="3573"/>
        <item x="3785"/>
        <item x="2970"/>
        <item x="2399"/>
        <item x="607"/>
        <item x="3876"/>
        <item x="3575"/>
        <item x="2417"/>
        <item x="3717"/>
        <item x="2212"/>
        <item x="4159"/>
        <item x="1952"/>
        <item x="2398"/>
        <item x="3447"/>
        <item x="4903"/>
        <item x="3991"/>
        <item x="2472"/>
        <item x="3659"/>
        <item x="2954"/>
        <item x="3951"/>
        <item x="4492"/>
        <item x="3731"/>
        <item x="3682"/>
        <item x="3300"/>
        <item x="3380"/>
        <item x="2961"/>
        <item x="749"/>
        <item x="1588"/>
        <item x="276"/>
        <item x="2602"/>
        <item x="3220"/>
        <item x="4526"/>
        <item x="3736"/>
        <item x="4996"/>
        <item x="2400"/>
        <item x="1769"/>
        <item x="128"/>
        <item x="4861"/>
        <item x="438"/>
        <item x="2884"/>
        <item x="3382"/>
        <item x="1798"/>
        <item x="624"/>
        <item x="1553"/>
        <item x="2952"/>
        <item x="158"/>
        <item x="2562"/>
        <item x="1526"/>
        <item x="1661"/>
        <item x="2173"/>
        <item x="2295"/>
        <item x="2051"/>
        <item x="883"/>
        <item x="4594"/>
        <item x="4339"/>
        <item x="929"/>
        <item x="2941"/>
        <item x="720"/>
        <item x="1198"/>
        <item x="2267"/>
        <item x="4182"/>
        <item x="621"/>
        <item x="4360"/>
        <item x="496"/>
        <item x="3742"/>
        <item x="2145"/>
        <item x="960"/>
        <item x="4885"/>
        <item x="3779"/>
        <item x="690"/>
        <item x="4027"/>
        <item x="2812"/>
        <item x="3082"/>
        <item x="134"/>
        <item x="4971"/>
        <item x="4459"/>
        <item x="4325"/>
        <item x="4417"/>
        <item x="3764"/>
        <item x="4315"/>
        <item x="927"/>
        <item x="2948"/>
        <item x="742"/>
        <item x="2902"/>
        <item x="4449"/>
        <item x="2546"/>
        <item x="1856"/>
        <item x="4283"/>
        <item x="3597"/>
        <item x="4717"/>
        <item x="4040"/>
        <item x="3626"/>
        <item x="1155"/>
        <item x="2702"/>
        <item x="1477"/>
        <item x="4118"/>
        <item x="1651"/>
        <item x="4625"/>
        <item x="2520"/>
        <item x="4711"/>
        <item x="4038"/>
        <item x="1257"/>
        <item x="3439"/>
        <item x="4886"/>
        <item x="3365"/>
        <item x="1188"/>
        <item x="2114"/>
        <item x="868"/>
        <item x="1816"/>
        <item x="3075"/>
        <item x="1892"/>
        <item x="3077"/>
        <item x="447"/>
        <item x="269"/>
        <item x="4596"/>
        <item x="220"/>
        <item x="1685"/>
        <item x="4505"/>
        <item x="1494"/>
        <item x="40"/>
        <item x="1162"/>
        <item x="997"/>
        <item x="2058"/>
        <item x="897"/>
        <item x="1016"/>
        <item x="1411"/>
        <item x="3694"/>
        <item x="2572"/>
        <item x="3131"/>
        <item x="3746"/>
        <item x="2392"/>
        <item x="217"/>
        <item x="4402"/>
        <item x="4309"/>
        <item x="2766"/>
        <item x="3025"/>
        <item x="1008"/>
        <item x="2963"/>
        <item x="1207"/>
        <item x="3643"/>
        <item x="146"/>
        <item x="95"/>
        <item x="1928"/>
        <item x="67"/>
        <item x="2748"/>
        <item x="934"/>
        <item x="3613"/>
        <item x="4364"/>
        <item x="1231"/>
        <item x="3456"/>
        <item x="1910"/>
        <item x="604"/>
        <item x="804"/>
        <item x="4808"/>
        <item x="1812"/>
        <item x="4994"/>
        <item x="2929"/>
        <item x="4562"/>
        <item x="3280"/>
        <item x="1052"/>
        <item x="3536"/>
        <item x="1754"/>
        <item x="886"/>
        <item x="1183"/>
        <item x="3853"/>
        <item x="3909"/>
        <item x="3652"/>
        <item x="4136"/>
        <item x="3802"/>
        <item x="4422"/>
        <item x="2118"/>
        <item x="4266"/>
        <item x="2886"/>
        <item x="375"/>
        <item x="3015"/>
        <item x="3524"/>
        <item x="3566"/>
        <item x="1255"/>
        <item x="2721"/>
        <item x="180"/>
        <item x="474"/>
        <item x="26"/>
        <item x="1598"/>
        <item x="3458"/>
        <item x="4864"/>
        <item x="4393"/>
        <item x="4697"/>
        <item x="1219"/>
        <item x="831"/>
        <item x="618"/>
        <item x="1314"/>
        <item x="2082"/>
        <item x="287"/>
        <item x="1516"/>
        <item x="925"/>
        <item x="1711"/>
        <item x="233"/>
        <item x="2167"/>
        <item x="1524"/>
        <item x="1654"/>
        <item x="4047"/>
        <item x="2883"/>
        <item x="493"/>
        <item x="4559"/>
        <item x="1405"/>
        <item x="4401"/>
        <item x="2598"/>
        <item x="1493"/>
        <item x="855"/>
        <item x="3854"/>
        <item x="3622"/>
        <item x="572"/>
        <item x="2930"/>
        <item x="2676"/>
        <item x="3190"/>
        <item x="3404"/>
        <item x="4576"/>
        <item x="4618"/>
        <item x="967"/>
        <item x="4869"/>
        <item x="800"/>
        <item x="3309"/>
        <item x="1616"/>
        <item x="1436"/>
        <item x="3362"/>
        <item x="4176"/>
        <item x="2931"/>
        <item x="3385"/>
        <item x="2458"/>
        <item x="4420"/>
        <item x="2336"/>
        <item x="2664"/>
        <item x="3345"/>
        <item x="3718"/>
        <item x="1826"/>
        <item x="760"/>
        <item x="2510"/>
        <item x="3497"/>
        <item x="700"/>
        <item x="1125"/>
        <item x="1092"/>
        <item x="1985"/>
        <item x="2927"/>
        <item x="479"/>
        <item x="724"/>
        <item x="4029"/>
        <item x="2834"/>
        <item x="3370"/>
        <item x="1607"/>
        <item x="2563"/>
        <item x="4110"/>
        <item x="582"/>
        <item x="732"/>
        <item x="4982"/>
        <item x="2806"/>
        <item x="142"/>
        <item x="1750"/>
        <item x="4915"/>
        <item x="943"/>
        <item x="4277"/>
        <item x="3289"/>
        <item x="0"/>
        <item x="1108"/>
        <item x="4232"/>
        <item x="4442"/>
        <item x="844"/>
        <item x="1"/>
        <item x="4610"/>
        <item x="1034"/>
        <item x="1101"/>
        <item x="4835"/>
        <item x="2196"/>
        <item x="912"/>
        <item x="4921"/>
        <item x="3371"/>
        <item x="1037"/>
        <item x="999"/>
        <item x="1775"/>
        <item x="3593"/>
        <item x="4528"/>
        <item x="1464"/>
        <item x="3522"/>
        <item x="544"/>
        <item x="2446"/>
        <item x="4851"/>
        <item x="1544"/>
        <item x="2634"/>
        <item x="1609"/>
        <item x="41"/>
        <item x="2169"/>
        <item x="614"/>
        <item x="2133"/>
        <item x="1438"/>
        <item x="712"/>
        <item x="1981"/>
        <item x="1844"/>
        <item x="556"/>
        <item x="1766"/>
        <item x="223"/>
        <item x="2427"/>
        <item x="2036"/>
        <item x="818"/>
        <item x="1266"/>
        <item x="2857"/>
        <item x="1888"/>
        <item x="4348"/>
        <item x="2311"/>
        <item x="3519"/>
        <item x="408"/>
        <item x="1158"/>
        <item x="3891"/>
        <item x="1308"/>
        <item x="3823"/>
        <item x="455"/>
        <item x="2891"/>
        <item x="4839"/>
        <item x="748"/>
        <item x="1572"/>
        <item x="1379"/>
        <item x="4457"/>
        <item x="236"/>
        <item x="3240"/>
        <item x="1521"/>
        <item x="722"/>
        <item x="715"/>
        <item x="2245"/>
        <item x="3161"/>
        <item x="386"/>
        <item x="3677"/>
        <item x="3710"/>
        <item x="2687"/>
        <item x="659"/>
        <item x="2250"/>
        <item x="5005"/>
        <item x="4181"/>
        <item x="4905"/>
        <item x="3796"/>
        <item x="3671"/>
        <item x="3211"/>
        <item x="1510"/>
        <item x="1208"/>
        <item x="955"/>
        <item x="1515"/>
        <item x="3334"/>
        <item x="1615"/>
        <item x="2509"/>
        <item x="1865"/>
        <item x="4019"/>
        <item x="90"/>
        <item x="1745"/>
        <item x="3931"/>
        <item x="3858"/>
        <item x="3237"/>
        <item x="869"/>
        <item x="267"/>
        <item x="335"/>
        <item x="1601"/>
        <item x="4224"/>
        <item x="4002"/>
        <item x="1720"/>
        <item x="936"/>
        <item x="3885"/>
        <item x="2181"/>
        <item x="581"/>
        <item x="249"/>
        <item x="2732"/>
        <item x="4488"/>
        <item x="4265"/>
        <item x="4397"/>
        <item x="104"/>
        <item x="1799"/>
        <item x="2152"/>
        <item x="3201"/>
        <item x="3474"/>
        <item x="1968"/>
        <item x="2354"/>
        <item x="1747"/>
        <item x="3051"/>
        <item x="5006"/>
        <item x="4676"/>
        <item x="1589"/>
        <item x="4242"/>
        <item x="1227"/>
        <item x="2500"/>
        <item x="3813"/>
        <item x="2839"/>
        <item x="3637"/>
        <item x="277"/>
        <item x="2704"/>
        <item x="3198"/>
        <item x="568"/>
        <item x="2521"/>
        <item x="1983"/>
        <item x="2324"/>
        <item x="2055"/>
        <item x="1116"/>
        <item x="939"/>
        <item x="2337"/>
        <item x="661"/>
        <item x="1502"/>
        <item x="1837"/>
        <item x="4841"/>
        <item x="4099"/>
        <item x="4219"/>
        <item x="3048"/>
        <item x="302"/>
        <item x="126"/>
        <item x="3606"/>
        <item x="2075"/>
        <item x="2072"/>
        <item x="2471"/>
        <item x="2994"/>
        <item x="2764"/>
        <item x="820"/>
        <item x="1267"/>
        <item x="359"/>
        <item x="1872"/>
        <item x="4953"/>
        <item x="4942"/>
        <item x="586"/>
        <item x="2511"/>
        <item x="620"/>
        <item x="674"/>
        <item x="2913"/>
        <item x="1043"/>
        <item x="854"/>
        <item x="2786"/>
        <item x="1674"/>
        <item x="3306"/>
        <item x="70"/>
        <item x="1382"/>
        <item x="3257"/>
        <item x="3734"/>
        <item x="2706"/>
        <item x="3563"/>
        <item x="1599"/>
        <item x="1749"/>
        <item x="1056"/>
        <item x="558"/>
        <item x="811"/>
        <item x="2224"/>
        <item x="4699"/>
        <item x="4432"/>
        <item x="407"/>
        <item x="4441"/>
        <item x="2232"/>
        <item x="311"/>
        <item x="3619"/>
        <item x="3703"/>
        <item x="87"/>
        <item x="2668"/>
        <item x="1716"/>
        <item x="3440"/>
        <item x="2256"/>
        <item x="3899"/>
        <item x="2560"/>
        <item x="3996"/>
        <item x="1948"/>
        <item x="1378"/>
        <item x="4524"/>
        <item x="3621"/>
        <item x="2131"/>
        <item x="1763"/>
        <item x="4795"/>
        <item x="554"/>
        <item x="36"/>
        <item x="150"/>
        <item x="3078"/>
        <item x="1793"/>
        <item x="3833"/>
        <item x="2455"/>
        <item x="317"/>
        <item x="4122"/>
        <item x="2680"/>
        <item x="545"/>
        <item x="506"/>
        <item x="3486"/>
        <item x="4765"/>
        <item x="884"/>
        <item x="977"/>
        <item x="4906"/>
        <item x="4440"/>
        <item x="893"/>
        <item x="2110"/>
        <item x="2358"/>
        <item x="3529"/>
        <item x="1501"/>
        <item x="4642"/>
        <item x="2513"/>
        <item x="3550"/>
        <item x="808"/>
        <item x="2551"/>
        <item x="2306"/>
        <item x="4312"/>
        <item x="1891"/>
        <item x="799"/>
        <item x="907"/>
        <item x="1547"/>
        <item x="2816"/>
        <item x="1652"/>
        <item x="583"/>
        <item x="603"/>
        <item x="1840"/>
        <item x="371"/>
        <item x="3231"/>
        <item x="2086"/>
        <item x="2983"/>
        <item x="1597"/>
        <item x="3324"/>
        <item x="264"/>
        <item x="290"/>
        <item x="2424"/>
        <item x="3576"/>
        <item x="3412"/>
        <item x="1579"/>
        <item x="2852"/>
        <item x="4188"/>
        <item x="1194"/>
        <item x="2168"/>
        <item x="4890"/>
        <item x="1050"/>
        <item x="1920"/>
        <item x="3056"/>
        <item x="4519"/>
        <item x="3829"/>
        <item x="4611"/>
        <item x="2012"/>
        <item x="2175"/>
        <item x="4373"/>
        <item x="1963"/>
        <item x="3273"/>
        <item x="863"/>
        <item x="4913"/>
        <item x="3053"/>
        <item x="1843"/>
        <item x="2214"/>
        <item x="4466"/>
        <item x="2933"/>
        <item x="4468"/>
        <item x="5010"/>
        <item x="3965"/>
        <item x="2172"/>
        <item x="1606"/>
        <item x="917"/>
        <item x="3304"/>
        <item x="3469"/>
        <item x="1230"/>
        <item x="1429"/>
        <item x="44"/>
        <item x="1001"/>
        <item x="2879"/>
        <item x="2718"/>
        <item x="4211"/>
        <item x="4246"/>
        <item x="3442"/>
        <item x="37"/>
        <item x="4031"/>
        <item x="2389"/>
        <item x="3592"/>
        <item x="1304"/>
        <item x="3296"/>
        <item x="861"/>
        <item x="2001"/>
        <item x="741"/>
        <item x="4572"/>
        <item x="4909"/>
        <item x="2815"/>
        <item x="2308"/>
        <item x="4039"/>
        <item x="698"/>
        <item x="1457"/>
        <item x="1347"/>
        <item x="2903"/>
        <item x="3547"/>
        <item x="845"/>
        <item x="3668"/>
        <item x="4805"/>
        <item x="2798"/>
        <item x="826"/>
        <item x="852"/>
        <item x="4785"/>
        <item x="2567"/>
        <item x="2671"/>
        <item x="3467"/>
        <item x="3444"/>
        <item x="2074"/>
        <item x="3265"/>
        <item x="2629"/>
        <item x="539"/>
        <item x="346"/>
        <item x="148"/>
        <item x="1860"/>
        <item x="1783"/>
        <item x="2826"/>
        <item x="1251"/>
        <item x="806"/>
        <item x="699"/>
        <item x="3539"/>
        <item x="4096"/>
        <item x="3274"/>
        <item x="1211"/>
        <item x="537"/>
        <item x="4954"/>
        <item x="672"/>
        <item x="1509"/>
        <item x="3883"/>
        <item x="4567"/>
        <item x="766"/>
        <item x="246"/>
        <item x="1106"/>
        <item x="3372"/>
        <item x="2872"/>
        <item x="4424"/>
        <item x="4485"/>
        <item x="3466"/>
        <item x="4212"/>
        <item x="4769"/>
        <item x="3971"/>
        <item x="3121"/>
        <item x="2129"/>
        <item x="4998"/>
        <item x="4390"/>
        <item x="4285"/>
        <item x="4445"/>
        <item x="263"/>
        <item x="1761"/>
        <item x="3423"/>
        <item x="4015"/>
        <item x="4755"/>
        <item x="4388"/>
        <item x="4709"/>
        <item x="3950"/>
        <item x="4916"/>
        <item x="3821"/>
        <item x="2080"/>
        <item x="4436"/>
        <item x="3286"/>
        <item x="3313"/>
        <item x="2640"/>
        <item x="1079"/>
        <item x="678"/>
        <item x="2109"/>
        <item x="3618"/>
        <item x="2473"/>
        <item x="796"/>
        <item x="1154"/>
        <item x="1388"/>
        <item x="4092"/>
        <item x="1380"/>
        <item x="1193"/>
        <item x="1622"/>
        <item x="1484"/>
        <item x="1433"/>
        <item x="3922"/>
        <item x="4632"/>
        <item x="3403"/>
        <item x="218"/>
        <item x="337"/>
        <item x="4428"/>
        <item x="2769"/>
        <item x="4021"/>
        <item x="3794"/>
        <item x="3795"/>
        <item x="3432"/>
        <item x="1859"/>
        <item x="2028"/>
        <item x="4677"/>
        <item x="2998"/>
        <item x="272"/>
        <item x="4820"/>
        <item x="432"/>
        <item x="4510"/>
        <item x="608"/>
        <item x="801"/>
        <item x="2498"/>
        <item x="1697"/>
        <item x="1610"/>
        <item x="3788"/>
        <item x="1838"/>
        <item x="4050"/>
        <item x="4396"/>
        <item x="4651"/>
        <item x="2184"/>
        <item x="1181"/>
        <item x="3462"/>
        <item x="636"/>
        <item x="3976"/>
        <item x="1922"/>
        <item x="4171"/>
        <item x="1025"/>
        <item x="3852"/>
        <item x="1904"/>
        <item x="4109"/>
        <item x="3138"/>
        <item x="4569"/>
        <item x="3569"/>
        <item x="3759"/>
        <item x="110"/>
        <item x="4132"/>
        <item x="2154"/>
        <item x="2722"/>
        <item x="680"/>
        <item x="1608"/>
        <item x="4426"/>
        <item x="4350"/>
        <item x="2860"/>
        <item x="3937"/>
        <item x="2719"/>
        <item x="2344"/>
        <item x="4354"/>
        <item x="833"/>
        <item x="2568"/>
        <item x="414"/>
        <item x="1700"/>
        <item x="4270"/>
        <item x="3806"/>
        <item x="4477"/>
        <item x="769"/>
        <item x="3151"/>
        <item x="4739"/>
        <item x="1864"/>
        <item x="4732"/>
        <item x="2257"/>
        <item x="1328"/>
        <item x="4037"/>
        <item x="2363"/>
        <item x="3340"/>
        <item x="3264"/>
        <item x="4956"/>
        <item x="4531"/>
        <item x="3292"/>
        <item x="4127"/>
        <item x="4444"/>
        <item x="613"/>
        <item x="2770"/>
        <item x="4163"/>
        <item x="265"/>
        <item x="3224"/>
        <item x="1292"/>
        <item x="4142"/>
        <item x="4605"/>
        <item x="3957"/>
        <item x="4674"/>
        <item x="4989"/>
        <item x="3144"/>
        <item x="951"/>
        <item x="4180"/>
        <item x="3400"/>
        <item x="1698"/>
        <item x="4615"/>
        <item x="3175"/>
        <item x="1562"/>
        <item x="4616"/>
        <item x="4254"/>
        <item x="1299"/>
        <item x="356"/>
        <item x="103"/>
        <item x="4308"/>
        <item x="4547"/>
        <item x="3898"/>
        <item x="4894"/>
        <item x="4091"/>
        <item x="834"/>
        <item x="4816"/>
        <item x="3774"/>
        <item x="43"/>
        <item x="2603"/>
        <item x="1936"/>
        <item x="4304"/>
        <item x="2460"/>
        <item x="2069"/>
        <item x="3435"/>
        <item x="3620"/>
        <item x="2374"/>
        <item x="2153"/>
        <item x="4087"/>
        <item x="2218"/>
        <item x="1671"/>
        <item x="4215"/>
        <item x="3100"/>
        <item x="3096"/>
        <item x="2947"/>
        <item x="1937"/>
        <item x="1496"/>
        <item x="1710"/>
        <item x="4346"/>
        <item x="3411"/>
        <item x="2270"/>
        <item x="4311"/>
        <item x="2784"/>
        <item x="1396"/>
        <item x="4207"/>
        <item x="3726"/>
        <item x="310"/>
        <item x="3649"/>
        <item x="1967"/>
        <item x="3824"/>
        <item x="4431"/>
        <item x="1727"/>
        <item x="3147"/>
        <item x="2242"/>
        <item x="4701"/>
        <item x="4645"/>
        <item x="3580"/>
        <item x="2044"/>
        <item x="2076"/>
        <item x="1197"/>
        <item x="2967"/>
        <item x="4231"/>
        <item x="4990"/>
        <item x="3980"/>
        <item x="3914"/>
        <item x="2240"/>
        <item x="2285"/>
        <item x="3625"/>
        <item x="3506"/>
        <item x="3414"/>
        <item x="3068"/>
        <item x="2416"/>
        <item x="2971"/>
        <item x="4041"/>
        <item x="3368"/>
        <item x="1150"/>
        <item x="2565"/>
        <item x="588"/>
        <item x="4290"/>
        <item x="1474"/>
        <item x="1490"/>
        <item x="594"/>
        <item x="1306"/>
        <item x="3559"/>
        <item x="2317"/>
        <item x="1475"/>
        <item x="1677"/>
        <item x="1212"/>
        <item x="2583"/>
        <item x="1330"/>
        <item x="2335"/>
        <item x="1311"/>
        <item x="4988"/>
        <item x="4305"/>
        <item x="4786"/>
        <item x="745"/>
        <item x="2681"/>
        <item x="4461"/>
        <item x="2288"/>
        <item x="4948"/>
        <item x="3246"/>
        <item x="1065"/>
        <item x="4949"/>
        <item x="166"/>
        <item x="4233"/>
        <item x="4234"/>
        <item x="3997"/>
        <item x="4763"/>
        <item x="2673"/>
        <item x="1853"/>
        <item x="1005"/>
        <item x="505"/>
        <item x="792"/>
        <item x="4843"/>
        <item x="2439"/>
        <item x="2828"/>
        <item x="4646"/>
        <item x="4483"/>
        <item x="4411"/>
        <item x="4137"/>
        <item x="4695"/>
        <item x="4530"/>
        <item x="1845"/>
        <item x="4368"/>
        <item x="4693"/>
        <item x="751"/>
        <item x="1738"/>
        <item x="2723"/>
        <item x="780"/>
        <item x="858"/>
        <item x="1646"/>
        <item x="2530"/>
        <item x="3360"/>
        <item x="1394"/>
        <item x="4005"/>
        <item x="4857"/>
        <item x="4447"/>
        <item x="3555"/>
        <item x="2531"/>
        <item x="908"/>
        <item x="543"/>
        <item x="2365"/>
        <item x="2874"/>
        <item x="744"/>
        <item x="1818"/>
        <item x="4024"/>
        <item x="3702"/>
        <item x="1223"/>
        <item x="4875"/>
        <item x="3918"/>
        <item x="4809"/>
        <item x="3229"/>
        <item x="2878"/>
        <item x="3369"/>
        <item x="1782"/>
        <item x="3003"/>
        <item x="4072"/>
        <item x="434"/>
        <item x="1603"/>
        <item x="4151"/>
        <item x="1407"/>
        <item x="92"/>
        <item x="4506"/>
        <item x="2534"/>
        <item x="1657"/>
        <item x="639"/>
        <item x="3488"/>
        <item x="2642"/>
        <item x="824"/>
        <item x="457"/>
        <item x="2949"/>
        <item x="1262"/>
        <item x="1093"/>
        <item x="4597"/>
        <item x="4880"/>
        <item x="825"/>
        <item x="1618"/>
        <item x="3958"/>
        <item x="19"/>
        <item x="162"/>
        <item x="4560"/>
        <item x="3196"/>
        <item x="3672"/>
        <item x="1605"/>
        <item x="580"/>
        <item x="135"/>
        <item x="746"/>
        <item x="421"/>
        <item x="2762"/>
        <item x="1836"/>
        <item x="2758"/>
        <item x="4657"/>
        <item x="1982"/>
        <item x="1728"/>
        <item x="3928"/>
        <item x="526"/>
        <item x="3140"/>
        <item x="161"/>
        <item x="1846"/>
        <item x="3509"/>
        <item x="328"/>
        <item x="2730"/>
        <item x="838"/>
        <item x="187"/>
        <item x="3920"/>
        <item x="1467"/>
        <item x="3009"/>
        <item x="1823"/>
        <item x="928"/>
        <item x="255"/>
        <item x="2493"/>
        <item x="1329"/>
        <item x="4427"/>
        <item x="4262"/>
        <item x="3707"/>
        <item x="710"/>
        <item x="480"/>
        <item x="532"/>
        <item x="2972"/>
        <item x="3848"/>
        <item x="1356"/>
        <item x="3836"/>
        <item x="3634"/>
        <item x="3570"/>
        <item x="2956"/>
        <item x="278"/>
        <item x="4760"/>
        <item x="197"/>
        <item x="3947"/>
        <item x="2261"/>
        <item x="3007"/>
        <item x="3645"/>
        <item x="3"/>
        <item x="1558"/>
        <item x="390"/>
        <item x="2499"/>
        <item x="3090"/>
        <item x="3109"/>
        <item x="2610"/>
        <item x="3911"/>
        <item x="4000"/>
        <item x="4206"/>
        <item x="2185"/>
        <item x="4647"/>
        <item x="1555"/>
        <item x="2243"/>
        <item x="3189"/>
        <item x="4944"/>
        <item x="1176"/>
        <item x="3588"/>
        <item x="4549"/>
        <item x="4302"/>
        <item x="3475"/>
        <item x="4126"/>
        <item x="1943"/>
        <item x="3936"/>
        <item x="1441"/>
        <item x="409"/>
        <item x="4060"/>
        <item x="705"/>
        <item x="1157"/>
        <item x="546"/>
        <item x="3162"/>
        <item x="1026"/>
        <item x="1534"/>
        <item x="1283"/>
        <item x="3901"/>
        <item x="1984"/>
        <item x="4240"/>
        <item x="4046"/>
        <item x="1172"/>
        <item x="4727"/>
        <item x="502"/>
        <item x="1731"/>
        <item x="101"/>
        <item x="16"/>
        <item x="2882"/>
        <item x="2263"/>
        <item x="1104"/>
        <item x="1384"/>
        <item x="2533"/>
        <item x="214"/>
        <item x="2356"/>
        <item x="2130"/>
        <item x="2900"/>
        <item x="2328"/>
        <item x="823"/>
        <item x="1138"/>
        <item x="3148"/>
        <item x="559"/>
        <item x="4035"/>
        <item x="3387"/>
        <item x="1148"/>
        <item x="1992"/>
        <item x="1222"/>
        <item x="3495"/>
        <item x="336"/>
        <item x="2749"/>
        <item x="1024"/>
        <item x="533"/>
        <item x="4097"/>
        <item x="3476"/>
        <item x="3103"/>
        <item x="1811"/>
        <item x="3946"/>
        <item x="1561"/>
        <item x="3225"/>
        <item x="4352"/>
        <item x="1917"/>
        <item x="1209"/>
        <item x="3381"/>
        <item x="33"/>
        <item x="3767"/>
        <item x="3319"/>
        <item x="3005"/>
        <item x="4858"/>
        <item x="2529"/>
        <item x="521"/>
        <item x="4622"/>
        <item x="2236"/>
        <item x="1114"/>
        <item x="4892"/>
        <item x="4607"/>
        <item x="4746"/>
        <item x="4418"/>
        <item x="4214"/>
        <item x="3866"/>
        <item x="4358"/>
        <item x="1953"/>
        <item x="1686"/>
        <item x="1459"/>
        <item x="3790"/>
        <item x="3208"/>
        <item x="3128"/>
        <item x="904"/>
        <item x="1305"/>
        <item x="3510"/>
        <item x="118"/>
        <item x="85"/>
        <item x="510"/>
        <item x="2964"/>
        <item x="2940"/>
        <item x="1165"/>
        <item x="2135"/>
        <item x="3419"/>
        <item x="3724"/>
        <item x="3769"/>
        <item x="1160"/>
        <item x="2231"/>
        <item x="2865"/>
        <item x="1100"/>
        <item x="4149"/>
        <item x="3422"/>
        <item x="1842"/>
        <item x="2339"/>
        <item x="3582"/>
        <item x="140"/>
        <item x="1525"/>
        <item x="2128"/>
        <item x="3107"/>
        <item x="2302"/>
        <item x="2283"/>
        <item x="4702"/>
        <item x="4404"/>
        <item x="1894"/>
        <item x="28"/>
        <item x="3069"/>
        <item x="4606"/>
        <item x="4475"/>
        <item x="2829"/>
        <item x="922"/>
        <item x="2053"/>
        <item x="299"/>
        <item x="366"/>
        <item x="1397"/>
        <item x="859"/>
        <item x="3926"/>
        <item x="4143"/>
        <item x="2437"/>
        <item x="360"/>
        <item x="370"/>
        <item x="4973"/>
        <item x="3045"/>
        <item x="3283"/>
        <item x="2090"/>
        <item x="3647"/>
        <item x="1672"/>
        <item x="1332"/>
        <item x="283"/>
        <item x="339"/>
        <item x="2089"/>
        <item x="650"/>
        <item x="1322"/>
        <item x="1918"/>
        <item x="1554"/>
        <item x="1528"/>
        <item x="2262"/>
        <item x="3270"/>
        <item x="3205"/>
        <item x="523"/>
        <item x="3689"/>
        <item x="4068"/>
        <item x="284"/>
        <item x="1586"/>
        <item x="4984"/>
        <item x="4135"/>
        <item x="3913"/>
        <item x="3869"/>
        <item x="1354"/>
        <item x="4837"/>
        <item x="2284"/>
        <item x="2627"/>
        <item x="4910"/>
        <item x="3358"/>
        <item x="3755"/>
        <item x="2694"/>
        <item x="4084"/>
        <item x="464"/>
        <item x="2040"/>
        <item x="3033"/>
        <item x="1425"/>
        <item x="1078"/>
        <item x="1954"/>
        <item x="2470"/>
        <item x="2710"/>
        <item x="2041"/>
        <item x="875"/>
        <item x="873"/>
        <item x="4018"/>
        <item x="2946"/>
        <item x="1691"/>
        <item x="2827"/>
        <item x="1595"/>
        <item x="2205"/>
        <item x="4472"/>
        <item x="1692"/>
        <item x="1296"/>
        <item x="3267"/>
        <item x="2705"/>
        <item x="4419"/>
        <item x="2538"/>
        <item x="2637"/>
        <item x="4297"/>
        <item x="1362"/>
        <item x="1412"/>
        <item x="1210"/>
        <item x="4116"/>
        <item x="3095"/>
        <item x="2774"/>
        <item x="2032"/>
        <item x="1519"/>
        <item x="254"/>
        <item x="4387"/>
        <item x="2501"/>
        <item x="1229"/>
        <item x="2159"/>
        <item x="2738"/>
        <item x="1220"/>
        <item x="205"/>
        <item x="2797"/>
        <item x="4075"/>
        <item x="3393"/>
        <item x="517"/>
        <item x="2908"/>
        <item x="687"/>
        <item x="3407"/>
        <item x="3903"/>
        <item x="2636"/>
        <item x="4604"/>
        <item x="1957"/>
        <item x="4877"/>
        <item x="452"/>
        <item x="3106"/>
        <item x="3594"/>
        <item x="439"/>
        <item x="4721"/>
        <item x="4686"/>
        <item x="888"/>
        <item x="2226"/>
        <item x="48"/>
        <item x="4914"/>
        <item x="2585"/>
        <item x="1462"/>
        <item x="4160"/>
        <item x="2290"/>
        <item x="3050"/>
        <item x="737"/>
        <item x="4245"/>
        <item x="2220"/>
        <item x="1128"/>
        <item x="3256"/>
        <item x="2341"/>
        <item x="3135"/>
        <item x="1410"/>
        <item x="3058"/>
        <item x="2859"/>
        <item x="4376"/>
        <item x="3641"/>
        <item x="4724"/>
        <item x="2292"/>
        <item x="2445"/>
        <item x="2323"/>
        <item x="242"/>
        <item x="127"/>
        <item x="4473"/>
        <item x="4667"/>
        <item x="4026"/>
        <item x="702"/>
        <item x="4665"/>
        <item x="2452"/>
        <item x="291"/>
        <item x="219"/>
        <item x="3863"/>
        <item x="1584"/>
        <item x="3353"/>
        <item x="616"/>
        <item x="3310"/>
        <item x="1926"/>
        <item x="4844"/>
        <item x="2052"/>
        <item x="843"/>
        <item x="2867"/>
        <item x="3583"/>
        <item x="3872"/>
        <item x="905"/>
        <item x="2376"/>
        <item x="1634"/>
        <item x="2397"/>
        <item x="2740"/>
        <item x="3533"/>
        <item x="1046"/>
        <item x="2034"/>
        <item x="1633"/>
        <item x="4088"/>
        <item x="4730"/>
        <item x="4244"/>
        <item x="2519"/>
        <item x="4912"/>
        <item x="2558"/>
        <item x="3044"/>
        <item x="3253"/>
        <item x="1469"/>
        <item x="4491"/>
        <item x="449"/>
        <item x="202"/>
        <item x="4278"/>
        <item x="4172"/>
        <item x="4166"/>
        <item x="2070"/>
        <item x="3139"/>
        <item x="3029"/>
        <item x="2494"/>
        <item x="222"/>
        <item x="2974"/>
        <item x="4962"/>
        <item x="4381"/>
        <item x="3460"/>
        <item x="2381"/>
        <item x="2038"/>
        <item x="1460"/>
        <item x="2266"/>
        <item x="4293"/>
        <item x="4787"/>
        <item x="2690"/>
        <item x="4012"/>
        <item x="1832"/>
        <item x="3330"/>
        <item x="4066"/>
        <item x="721"/>
        <item x="2713"/>
        <item x="2320"/>
        <item x="1014"/>
        <item x="2880"/>
        <item x="1701"/>
        <item x="260"/>
        <item x="2176"/>
        <item x="950"/>
        <item x="3115"/>
        <item x="2814"/>
        <item x="4961"/>
        <item x="348"/>
        <item x="612"/>
        <item x="4781"/>
        <item x="2744"/>
        <item x="1327"/>
        <item x="3448"/>
        <item x="399"/>
        <item x="4772"/>
        <item x="2850"/>
        <item x="3741"/>
        <item x="1018"/>
        <item x="3517"/>
        <item x="3102"/>
        <item x="332"/>
        <item x="2425"/>
        <item x="1913"/>
        <item x="1258"/>
        <item x="4683"/>
        <item x="2275"/>
        <item x="3954"/>
        <item x="2712"/>
        <item x="622"/>
        <item x="2980"/>
        <item x="2619"/>
        <item x="4469"/>
        <item x="3546"/>
        <item x="215"/>
        <item x="2767"/>
        <item x="4433"/>
        <item x="3157"/>
        <item x="4846"/>
        <item x="3782"/>
        <item x="173"/>
        <item x="4761"/>
        <item x="4974"/>
        <item x="2726"/>
        <item x="4713"/>
        <item x="4323"/>
        <item x="1248"/>
        <item x="2002"/>
        <item x="4320"/>
        <item x="2832"/>
        <item x="4421"/>
        <item x="456"/>
        <item x="4976"/>
        <item x="4624"/>
        <item x="4392"/>
        <item x="1643"/>
        <item x="4586"/>
        <item x="3408"/>
        <item x="4855"/>
        <item x="3673"/>
        <item x="3445"/>
        <item x="4410"/>
        <item x="1398"/>
        <item x="198"/>
        <item x="4678"/>
        <item x="949"/>
        <item x="4324"/>
        <item x="3072"/>
        <item x="1520"/>
        <item x="3662"/>
        <item x="1536"/>
        <item x="1552"/>
        <item x="1815"/>
        <item x="3881"/>
        <item x="1285"/>
        <item x="3326"/>
        <item x="4650"/>
        <item x="4991"/>
        <item x="2216"/>
        <item x="3749"/>
        <item x="3894"/>
        <item x="4768"/>
        <item x="3777"/>
        <item x="4634"/>
        <item x="2273"/>
        <item x="2654"/>
        <item x="4882"/>
        <item x="3354"/>
        <item x="14"/>
        <item x="4155"/>
        <item x="735"/>
        <item x="4196"/>
        <item x="3041"/>
        <item x="1867"/>
        <item x="184"/>
        <item x="4340"/>
        <item x="4451"/>
        <item x="1585"/>
        <item x="1061"/>
        <item x="2523"/>
        <item x="4540"/>
        <item x="2594"/>
        <item x="243"/>
        <item x="896"/>
        <item x="4366"/>
        <item x="1543"/>
        <item x="1907"/>
        <item x="364"/>
        <item x="4725"/>
        <item x="4165"/>
        <item x="1735"/>
        <item x="1529"/>
        <item x="1471"/>
        <item x="3395"/>
        <item x="667"/>
        <item x="1889"/>
        <item x="2367"/>
        <item x="1577"/>
        <item x="1997"/>
        <item x="50"/>
        <item x="141"/>
        <item x="3473"/>
        <item x="1805"/>
        <item x="542"/>
        <item x="655"/>
        <item x="795"/>
        <item x="3798"/>
        <item x="931"/>
        <item x="623"/>
        <item x="5009"/>
        <item x="1829"/>
        <item x="4314"/>
        <item x="1201"/>
        <item x="2715"/>
        <item x="1901"/>
        <item x="2716"/>
        <item x="1678"/>
        <item x="2825"/>
        <item x="1268"/>
        <item x="1715"/>
        <item x="958"/>
        <item x="3436"/>
        <item x="1256"/>
        <item x="3150"/>
        <item x="1776"/>
        <item x="2618"/>
        <item x="1760"/>
        <item x="4664"/>
        <item x="4740"/>
        <item x="2408"/>
        <item x="2666"/>
        <item x="4806"/>
        <item x="3664"/>
        <item x="1794"/>
        <item x="46"/>
        <item x="4866"/>
        <item x="3771"/>
        <item x="4383"/>
        <item x="4927"/>
        <item x="4735"/>
        <item x="2625"/>
        <item x="3430"/>
        <item x="4571"/>
        <item x="2192"/>
        <item x="3318"/>
        <item x="3428"/>
        <item x="2701"/>
        <item x="2495"/>
        <item x="4259"/>
        <item x="401"/>
        <item x="491"/>
        <item x="3540"/>
        <item x="2199"/>
        <item x="1778"/>
        <item x="3663"/>
        <item x="2727"/>
        <item x="4114"/>
        <item x="1979"/>
        <item x="406"/>
        <item x="4400"/>
        <item x="1090"/>
        <item x="3351"/>
        <item x="775"/>
        <item x="4200"/>
        <item x="4413"/>
        <item x="547"/>
        <item x="4639"/>
        <item x="4814"/>
        <item x="1707"/>
        <item x="315"/>
        <item x="1900"/>
        <item x="1133"/>
        <item x="574"/>
        <item x="4756"/>
        <item x="654"/>
        <item x="4248"/>
        <item x="1039"/>
        <item x="4010"/>
        <item x="2450"/>
        <item x="529"/>
        <item x="4430"/>
        <item x="2113"/>
        <item x="1035"/>
        <item x="4863"/>
        <item x="648"/>
        <item x="2225"/>
        <item x="2935"/>
        <item x="1431"/>
        <item x="4902"/>
        <item x="1791"/>
        <item x="2111"/>
        <item x="1317"/>
        <item x="9"/>
        <item x="2420"/>
        <item x="3002"/>
        <item x="3939"/>
        <item x="996"/>
        <item x="3556"/>
        <item x="212"/>
        <item x="926"/>
        <item x="3498"/>
        <item x="3129"/>
        <item x="4125"/>
        <item x="2746"/>
        <item x="2791"/>
        <item x="3998"/>
        <item x="2555"/>
        <item x="4661"/>
        <item x="4736"/>
        <item x="2022"/>
        <item x="3733"/>
        <item x="1574"/>
        <item x="1179"/>
        <item x="2087"/>
        <item x="1942"/>
        <item x="2264"/>
        <item x="1376"/>
        <item x="3756"/>
        <item x="2665"/>
        <item x="2298"/>
        <item x="4013"/>
        <item x="4631"/>
        <item x="159"/>
        <item x="10"/>
        <item x="3142"/>
        <item x="12"/>
        <item x="2138"/>
        <item x="2543"/>
        <item x="1124"/>
        <item x="2444"/>
        <item x="598"/>
        <item x="2672"/>
        <item x="657"/>
        <item x="2991"/>
        <item x="2293"/>
        <item x="3930"/>
        <item x="4592"/>
        <item x="2048"/>
        <item x="4226"/>
        <item x="3187"/>
        <item x="3000"/>
        <item x="1224"/>
        <item x="1684"/>
        <item x="3584"/>
        <item x="3572"/>
        <item x="4966"/>
        <item x="2597"/>
        <item x="789"/>
        <item x="160"/>
        <item x="226"/>
        <item x="3543"/>
        <item x="3690"/>
        <item x="3122"/>
        <item x="224"/>
        <item x="881"/>
        <item x="716"/>
        <item x="4237"/>
        <item x="1214"/>
        <item x="1353"/>
        <item x="816"/>
        <item x="864"/>
        <item x="2276"/>
        <item x="2422"/>
        <item x="2254"/>
        <item x="3800"/>
        <item x="2428"/>
        <item x="2505"/>
        <item x="4220"/>
        <item x="1736"/>
        <item x="2641"/>
        <item x="2375"/>
        <item x="3472"/>
        <item x="4378"/>
        <item x="111"/>
        <item x="2208"/>
        <item x="666"/>
        <item x="1852"/>
        <item x="124"/>
        <item x="964"/>
        <item x="3386"/>
        <item x="2291"/>
        <item x="2626"/>
        <item x="3817"/>
        <item x="3849"/>
        <item x="2366"/>
        <item x="57"/>
        <item x="4587"/>
        <item x="4236"/>
        <item x="2100"/>
        <item x="1723"/>
        <item x="4929"/>
        <item x="3088"/>
        <item x="2575"/>
        <item x="3183"/>
        <item x="4867"/>
        <item x="2856"/>
        <item x="3631"/>
        <item x="1424"/>
        <item x="1884"/>
        <item x="1647"/>
        <item x="321"/>
        <item x="2237"/>
        <item x="1559"/>
        <item x="4156"/>
        <item x="3271"/>
        <item x="2187"/>
        <item x="3577"/>
        <item x="3974"/>
        <item x="3699"/>
        <item x="3248"/>
        <item x="1449"/>
        <item x="723"/>
        <item x="3900"/>
        <item x="1630"/>
        <item x="3247"/>
        <item x="2024"/>
        <item x="3762"/>
        <item x="4670"/>
        <item x="3512"/>
        <item x="2021"/>
        <item x="1834"/>
        <item x="2525"/>
        <item x="2488"/>
        <item x="663"/>
        <item x="1447"/>
        <item x="4557"/>
        <item x="1662"/>
        <item x="901"/>
        <item x="3635"/>
        <item x="4310"/>
        <item x="2095"/>
        <item x="4749"/>
        <item x="1830"/>
        <item x="186"/>
        <item x="3653"/>
        <item x="1409"/>
        <item x="1964"/>
        <item x="540"/>
        <item x="3932"/>
        <item x="2898"/>
        <item x="1284"/>
        <item x="3104"/>
        <item x="1670"/>
        <item x="4613"/>
        <item x="2999"/>
        <item x="1999"/>
        <item x="136"/>
        <item x="102"/>
        <item x="4338"/>
        <item x="3416"/>
        <item x="4827"/>
        <item x="3805"/>
        <item x="4251"/>
        <item x="2382"/>
        <item x="1432"/>
        <item x="1880"/>
        <item x="3615"/>
        <item x="4985"/>
        <item x="3126"/>
        <item x="2474"/>
        <item x="2125"/>
        <item x="4140"/>
        <item x="1570"/>
        <item x="4922"/>
        <item x="4584"/>
        <item x="451"/>
        <item x="268"/>
        <item x="38"/>
        <item x="4943"/>
        <item x="2013"/>
        <item x="2582"/>
        <item x="3655"/>
        <item x="3046"/>
        <item x="1404"/>
        <item x="2466"/>
        <item x="4802"/>
        <item x="252"/>
        <item x="2623"/>
        <item x="4687"/>
        <item x="4434"/>
        <item x="2871"/>
        <item x="880"/>
        <item x="4496"/>
        <item x="123"/>
        <item x="4840"/>
        <item x="2170"/>
        <item x="2482"/>
        <item x="1705"/>
        <item x="832"/>
        <item x="4517"/>
        <item x="1013"/>
        <item x="427"/>
        <item x="691"/>
        <item x="266"/>
        <item x="125"/>
        <item x="2613"/>
        <item x="3838"/>
        <item x="2937"/>
        <item x="404"/>
        <item x="76"/>
        <item x="4937"/>
        <item x="257"/>
        <item x="3984"/>
        <item x="59"/>
        <item x="97"/>
        <item x="2775"/>
        <item x="1164"/>
        <item x="3379"/>
        <item x="2993"/>
        <item x="3149"/>
        <item x="498"/>
        <item x="2361"/>
        <item x="176"/>
        <item x="2553"/>
        <item x="1270"/>
        <item x="1683"/>
        <item x="2045"/>
        <item x="631"/>
        <item x="534"/>
        <item x="3943"/>
        <item x="1294"/>
        <item x="3402"/>
        <item x="3811"/>
        <item x="1260"/>
        <item x="3873"/>
        <item x="3680"/>
        <item x="2343"/>
        <item x="2464"/>
        <item x="2599"/>
        <item x="25"/>
        <item x="1196"/>
        <item x="454"/>
        <item x="1083"/>
        <item x="72"/>
        <item x="1007"/>
        <item x="1028"/>
        <item x="551"/>
        <item x="4546"/>
        <item x="3845"/>
        <item x="3165"/>
        <item x="2457"/>
        <item x="1455"/>
        <item x="3830"/>
        <item x="2768"/>
        <item x="203"/>
        <item x="1833"/>
        <item x="3373"/>
        <item x="4952"/>
        <item x="3396"/>
        <item x="2576"/>
        <item x="890"/>
        <item x="365"/>
        <item x="1565"/>
        <item x="4"/>
        <item x="2004"/>
        <item x="3502"/>
        <item x="3146"/>
        <item x="4655"/>
        <item x="1764"/>
        <item x="2711"/>
        <item x="1413"/>
        <item x="2370"/>
        <item x="4103"/>
        <item x="4391"/>
        <item x="1919"/>
        <item x="47"/>
        <item x="4349"/>
        <item x="2761"/>
        <item x="1825"/>
        <item x="1058"/>
        <item x="2821"/>
        <item x="566"/>
        <item x="708"/>
        <item x="1512"/>
        <item x="1772"/>
        <item x="4553"/>
        <item x="1742"/>
        <item x="1773"/>
        <item x="3042"/>
        <item x="4271"/>
        <item x="1366"/>
        <item x="1995"/>
        <item x="4641"/>
        <item x="2228"/>
        <item x="2453"/>
        <item x="4194"/>
        <item x="2504"/>
        <item x="2280"/>
        <item x="2286"/>
        <item x="4095"/>
        <item x="1774"/>
        <item x="411"/>
        <item x="3719"/>
        <item x="1408"/>
        <item x="4458"/>
        <item x="3203"/>
        <item x="4273"/>
        <item x="4759"/>
        <item x="3508"/>
        <item x="227"/>
        <item x="2820"/>
        <item x="325"/>
        <item x="2858"/>
        <item x="2622"/>
        <item x="2251"/>
        <item x="4704"/>
        <item x="2327"/>
        <item x="4169"/>
        <item x="1847"/>
        <item x="1042"/>
        <item x="3222"/>
        <item x="3308"/>
        <item x="4536"/>
        <item x="4862"/>
        <item x="3656"/>
        <item x="4183"/>
        <item x="1822"/>
        <item x="51"/>
        <item x="4525"/>
        <item x="3846"/>
        <item x="467"/>
        <item x="1911"/>
        <item x="195"/>
        <item x="1797"/>
        <item x="3214"/>
        <item x="1115"/>
        <item x="3590"/>
        <item x="2926"/>
        <item x="4065"/>
        <item x="4464"/>
        <item x="2369"/>
        <item x="1620"/>
        <item x="1470"/>
        <item x="2988"/>
        <item x="3644"/>
        <item x="1730"/>
        <item x="304"/>
        <item x="557"/>
        <item x="2015"/>
        <item x="122"/>
        <item x="3272"/>
        <item x="3163"/>
        <item x="1191"/>
        <item x="4141"/>
        <item x="340"/>
        <item x="4329"/>
        <item x="3970"/>
        <item x="475"/>
        <item x="100"/>
        <item x="382"/>
        <item x="2939"/>
        <item x="1416"/>
        <item x="4590"/>
        <item x="4081"/>
        <item x="1178"/>
        <item x="4481"/>
        <item x="2407"/>
        <item x="2259"/>
        <item x="1301"/>
        <item x="2123"/>
        <item x="1613"/>
        <item x="3709"/>
        <item x="4662"/>
        <item x="4957"/>
        <item x="3188"/>
        <item x="4336"/>
        <item x="2808"/>
        <item x="2178"/>
        <item x="991"/>
        <item x="4521"/>
        <item x="1903"/>
        <item x="4332"/>
        <item x="262"/>
        <item x="2027"/>
        <item x="3083"/>
        <item x="3218"/>
        <item x="3166"/>
        <item x="2429"/>
        <item x="1190"/>
        <item x="3511"/>
        <item x="1428"/>
        <item x="709"/>
        <item x="4405"/>
        <item x="1458"/>
        <item x="4635"/>
        <item x="3763"/>
        <item x="478"/>
        <item x="538"/>
        <item x="1076"/>
        <item x="2406"/>
        <item x="4585"/>
        <item x="3054"/>
        <item x="3343"/>
        <item x="564"/>
        <item x="23"/>
        <item x="1658"/>
        <item x="4791"/>
        <item x="2411"/>
        <item x="1751"/>
        <item x="2162"/>
        <item x="535"/>
        <item x="295"/>
        <item x="171"/>
        <item x="4504"/>
        <item x="3808"/>
        <item x="476"/>
        <item x="3674"/>
        <item x="4930"/>
        <item x="4083"/>
        <item x="2796"/>
        <item x="3596"/>
        <item x="900"/>
        <item x="1507"/>
        <item x="4398"/>
        <item x="3064"/>
        <item x="372"/>
        <item x="512"/>
        <item x="3483"/>
        <item x="4911"/>
        <item x="1935"/>
        <item x="4267"/>
        <item x="1504"/>
        <item x="1619"/>
        <item x="3810"/>
        <item x="2600"/>
        <item x="902"/>
        <item x="1335"/>
        <item x="3878"/>
        <item x="4757"/>
        <item x="3729"/>
        <item x="2432"/>
        <item x="2304"/>
        <item x="58"/>
        <item x="4344"/>
        <item x="2614"/>
        <item x="1590"/>
        <item x="4968"/>
        <item x="2707"/>
        <item x="1994"/>
        <item x="3137"/>
        <item x="2778"/>
        <item x="2925"/>
        <item x="2418"/>
        <item x="2380"/>
        <item x="419"/>
        <item x="2586"/>
        <item x="2247"/>
        <item x="3320"/>
        <item x="1451"/>
        <item x="2016"/>
        <item x="3281"/>
        <item x="1004"/>
        <item x="515"/>
        <item x="2997"/>
        <item x="466"/>
        <item x="3355"/>
        <item x="2667"/>
        <item x="3019"/>
        <item x="4062"/>
        <item x="3176"/>
        <item x="8"/>
        <item x="2077"/>
        <item x="2007"/>
        <item x="815"/>
        <item x="189"/>
        <item x="3632"/>
        <item x="1689"/>
        <item x="1592"/>
        <item x="1149"/>
        <item x="3376"/>
        <item x="4621"/>
        <item x="3505"/>
        <item x="1232"/>
        <item x="1391"/>
        <item x="1929"/>
        <item x="338"/>
        <item x="4448"/>
        <item x="4636"/>
        <item x="2674"/>
        <item x="4520"/>
        <item x="2151"/>
        <item x="2085"/>
        <item x="53"/>
        <item x="1596"/>
        <item x="3065"/>
        <item x="3685"/>
        <item x="327"/>
        <item x="183"/>
        <item x="4733"/>
        <item x="2877"/>
        <item x="4745"/>
        <item x="525"/>
        <item x="2071"/>
        <item x="4633"/>
        <item x="714"/>
        <item x="3819"/>
        <item x="4889"/>
        <item x="470"/>
        <item x="2528"/>
        <item x="652"/>
        <item x="2134"/>
        <item x="230"/>
        <item x="177"/>
        <item x="1140"/>
        <item x="2166"/>
        <item x="3020"/>
        <item x="3478"/>
        <item x="1655"/>
        <item x="2616"/>
        <item x="3194"/>
        <item x="62"/>
        <item x="362"/>
        <item x="4723"/>
        <item x="216"/>
        <item x="916"/>
        <item x="2785"/>
        <item x="1635"/>
        <item x="1611"/>
        <item x="2274"/>
        <item x="2587"/>
        <item x="2979"/>
        <item x="1370"/>
        <item x="4698"/>
        <item x="3812"/>
        <item x="1315"/>
        <item x="3464"/>
        <item x="2239"/>
        <item x="1682"/>
        <item x="4818"/>
        <item x="1497"/>
        <item x="1068"/>
        <item x="32"/>
        <item x="4821"/>
        <item x="4826"/>
        <item x="4812"/>
        <item x="4170"/>
        <item x="444"/>
        <item x="2920"/>
        <item x="200"/>
        <item x="5008"/>
        <item x="2318"/>
        <item x="3835"/>
        <item x="394"/>
        <item x="640"/>
        <item x="1696"/>
        <item x="4675"/>
        <item x="282"/>
        <item x="344"/>
        <item x="3982"/>
        <item x="4926"/>
        <item x="4007"/>
        <item x="1796"/>
        <item x="1465"/>
        <item x="343"/>
        <item x="5004"/>
        <item x="3455"/>
        <item x="2303"/>
        <item x="3113"/>
        <item x="4872"/>
        <item x="231"/>
        <item x="4744"/>
        <item x="734"/>
        <item x="2944"/>
        <item x="4291"/>
        <item x="4011"/>
        <item x="2990"/>
        <item x="2230"/>
        <item x="3325"/>
        <item x="2817"/>
        <item x="3507"/>
        <item x="4509"/>
        <item x="4714"/>
        <item x="1737"/>
        <item x="3530"/>
        <item x="1023"/>
        <item x="4895"/>
        <item x="3847"/>
        <item x="1925"/>
        <item x="682"/>
        <item x="3111"/>
        <item x="1307"/>
        <item x="2182"/>
        <item x="4407"/>
        <item x="2449"/>
        <item x="1625"/>
        <item x="2870"/>
        <item x="4556"/>
        <item x="1320"/>
        <item x="3063"/>
        <item x="389"/>
        <item x="3181"/>
        <item x="2268"/>
        <item x="4020"/>
        <item x="3896"/>
        <item x="2223"/>
        <item x="2456"/>
        <item x="1089"/>
        <item x="4367"/>
        <item x="1965"/>
        <item x="2846"/>
        <item x="2140"/>
        <item x="1422"/>
        <item x="1719"/>
        <item x="247"/>
        <item x="3730"/>
        <item x="1110"/>
        <item x="1171"/>
        <item x="2241"/>
        <item x="4454"/>
        <item x="4275"/>
        <item x="3339"/>
        <item x="488"/>
        <item x="3818"/>
        <item x="1909"/>
        <item x="1419"/>
        <item x="3880"/>
        <item x="2653"/>
        <item x="2031"/>
        <item x="2144"/>
        <item x="536"/>
        <item x="697"/>
        <item x="2008"/>
        <item x="3482"/>
        <item x="4460"/>
        <item x="3244"/>
        <item x="326"/>
        <item x="2436"/>
        <item x="2235"/>
        <item x="3639"/>
        <item x="956"/>
        <item x="2595"/>
        <item x="765"/>
        <item x="3060"/>
        <item x="1045"/>
        <item x="754"/>
        <item x="2063"/>
        <item x="4828"/>
        <item x="4798"/>
        <item x="2656"/>
        <item x="1915"/>
        <item x="3738"/>
        <item x="4789"/>
        <item x="3110"/>
        <item x="978"/>
        <item x="129"/>
        <item x="1234"/>
        <item x="4533"/>
        <item x="4365"/>
        <item x="2887"/>
        <item x="2165"/>
        <item x="1508"/>
        <item x="2299"/>
        <item x="3490"/>
        <item x="1453"/>
        <item x="2848"/>
        <item x="948"/>
        <item x="3397"/>
        <item x="946"/>
        <item x="2011"/>
        <item x="2773"/>
        <item x="2750"/>
        <item x="3860"/>
        <item x="4253"/>
        <item x="4627"/>
        <item x="3285"/>
        <item x="2433"/>
        <item x="156"/>
        <item x="481"/>
        <item x="3332"/>
        <item x="3055"/>
        <item x="2837"/>
        <item x="4199"/>
        <item x="4831"/>
        <item x="2897"/>
        <item x="152"/>
        <item x="3032"/>
        <item x="2652"/>
        <item x="2918"/>
        <item x="1871"/>
        <item x="3801"/>
        <item x="1923"/>
        <item x="3454"/>
        <item x="4764"/>
        <item x="2875"/>
        <item x="2559"/>
        <item x="1500"/>
        <item x="783"/>
        <item x="2552"/>
        <item x="2042"/>
        <item x="3967"/>
        <item x="3337"/>
        <item x="731"/>
        <item x="3036"/>
        <item x="1569"/>
        <item x="3532"/>
        <item x="3217"/>
        <item x="3825"/>
        <item x="1244"/>
        <item x="1531"/>
        <item x="4570"/>
        <item x="2973"/>
        <item x="1180"/>
        <item x="3840"/>
        <item x="1940"/>
        <item x="4692"/>
        <item x="3299"/>
        <item x="2454"/>
        <item x="3986"/>
        <item x="4201"/>
        <item x="1088"/>
        <item x="836"/>
        <item x="3391"/>
        <item x="4648"/>
        <item x="2338"/>
        <item x="3927"/>
        <item x="4619"/>
        <item x="4811"/>
        <item x="1780"/>
        <item x="2190"/>
        <item x="2475"/>
        <item x="2755"/>
        <item x="2945"/>
        <item x="2359"/>
        <item x="1645"/>
        <item x="625"/>
        <item x="1809"/>
        <item x="2412"/>
        <item x="308"/>
        <item x="2968"/>
        <item x="471"/>
        <item x="4094"/>
        <item x="3199"/>
        <item x="1075"/>
        <item x="170"/>
        <item x="489"/>
        <item x="499"/>
        <item x="664"/>
        <item x="4145"/>
        <item x="1624"/>
        <item x="963"/>
        <item x="459"/>
        <item x="2096"/>
        <item x="1392"/>
        <item x="1539"/>
        <item x="1722"/>
        <item x="3392"/>
        <item x="3651"/>
        <item x="3987"/>
        <item x="4256"/>
        <item x="1241"/>
        <item x="4601"/>
        <item x="550"/>
        <item x="4258"/>
        <item x="4503"/>
        <item x="4700"/>
        <item x="1961"/>
        <item x="4036"/>
        <item x="2957"/>
        <item x="2349"/>
        <item x="3841"/>
        <item x="4767"/>
        <item x="3850"/>
        <item x="1368"/>
        <item x="1744"/>
        <item x="289"/>
        <item x="4737"/>
        <item x="172"/>
        <item x="2986"/>
        <item x="1669"/>
        <item x="2037"/>
        <item x="3197"/>
        <item x="982"/>
        <item x="1768"/>
        <item x="3172"/>
        <item x="1169"/>
        <item x="4718"/>
        <item x="21"/>
        <item x="3401"/>
        <item x="3558"/>
        <item x="83"/>
        <item x="1699"/>
        <item x="2442"/>
        <item x="4752"/>
        <item x="485"/>
        <item x="3079"/>
        <item x="2866"/>
        <item x="4382"/>
        <item x="1252"/>
        <item x="3948"/>
        <item x="4280"/>
        <item x="1885"/>
        <item x="4777"/>
        <item x="4656"/>
        <item x="3170"/>
        <item x="3092"/>
        <item x="4876"/>
        <item x="4778"/>
        <item x="994"/>
        <item x="3245"/>
        <item x="4580"/>
        <item x="369"/>
        <item x="3757"/>
        <item x="768"/>
        <item x="853"/>
        <item x="1324"/>
        <item x="2779"/>
        <item x="3906"/>
        <item x="1373"/>
        <item x="2919"/>
        <item x="1487"/>
        <item x="1676"/>
        <item x="2492"/>
        <item x="3784"/>
        <item x="3521"/>
        <item x="2662"/>
        <item x="2688"/>
        <item x="1802"/>
        <item x="3067"/>
        <item x="3740"/>
        <item x="610"/>
        <item x="1993"/>
        <item x="1030"/>
        <item x="1831"/>
        <item x="4883"/>
        <item x="2605"/>
        <item x="4643"/>
        <item x="2584"/>
        <item x="2101"/>
        <item x="3553"/>
        <item x="3739"/>
        <item x="1666"/>
        <item x="3727"/>
        <item x="3317"/>
        <item x="3744"/>
        <item x="4384"/>
        <item x="486"/>
        <item x="4080"/>
        <item x="147"/>
        <item x="196"/>
        <item x="713"/>
        <item x="841"/>
        <item x="658"/>
        <item x="1029"/>
        <item x="3127"/>
        <item x="3017"/>
        <item x="2524"/>
        <item x="1182"/>
        <item x="2441"/>
        <item x="93"/>
        <item x="2480"/>
        <item x="3692"/>
        <item x="813"/>
        <item x="3696"/>
        <item x="99"/>
        <item x="787"/>
        <item x="154"/>
        <item x="4904"/>
        <item x="1483"/>
        <item x="1053"/>
        <item x="350"/>
        <item x="4758"/>
        <item x="3347"/>
        <item x="2279"/>
        <item x="679"/>
        <item x="52"/>
        <item x="3676"/>
        <item x="2018"/>
        <item x="1139"/>
        <item x="188"/>
        <item x="1430"/>
        <item x="1975"/>
        <item x="1665"/>
        <item x="4158"/>
        <item x="1882"/>
        <item x="1277"/>
        <item x="4565"/>
        <item x="4192"/>
        <item x="1247"/>
        <item x="2485"/>
        <item x="520"/>
        <item x="1706"/>
        <item x="1813"/>
        <item x="2982"/>
        <item x="204"/>
        <item x="4030"/>
        <item x="3410"/>
        <item x="2861"/>
        <item x="490"/>
        <item x="429"/>
        <item x="357"/>
        <item x="2033"/>
        <item x="383"/>
        <item x="2368"/>
        <item x="234"/>
        <item x="611"/>
        <item x="3250"/>
        <item x="1958"/>
        <item x="2914"/>
        <item x="3338"/>
        <item x="3024"/>
        <item x="3022"/>
        <item x="2735"/>
        <item x="771"/>
        <item x="2922"/>
        <item x="1890"/>
        <item x="119"/>
        <item x="2019"/>
        <item x="31"/>
        <item x="966"/>
        <item x="2252"/>
        <item x="2179"/>
        <item x="71"/>
        <item x="1779"/>
        <item x="3228"/>
        <item x="2265"/>
        <item x="889"/>
        <item x="921"/>
        <item x="4830"/>
        <item x="430"/>
        <item x="1947"/>
        <item x="3589"/>
        <item x="2540"/>
        <item x="2545"/>
        <item x="1443"/>
        <item x="2975"/>
        <item x="1263"/>
        <item x="2097"/>
        <item x="4004"/>
        <item x="670"/>
        <item x="5001"/>
        <item x="626"/>
        <item x="2099"/>
        <item x="3940"/>
        <item x="2855"/>
        <item x="2326"/>
        <item x="2863"/>
        <item x="4033"/>
        <item x="2198"/>
        <item x="4715"/>
        <item x="2331"/>
        <item x="1567"/>
        <item x="3783"/>
        <item x="292"/>
        <item x="352"/>
        <item x="2906"/>
        <item x="3014"/>
        <item x="738"/>
        <item x="4907"/>
        <item x="1107"/>
        <item x="4794"/>
        <item x="1787"/>
        <item x="3893"/>
        <item x="417"/>
        <item x="591"/>
        <item x="513"/>
        <item x="959"/>
        <item x="2127"/>
        <item x="4629"/>
        <item x="4849"/>
        <item x="3494"/>
        <item x="1505"/>
        <item x="4946"/>
        <item x="3427"/>
        <item x="887"/>
        <item x="4663"/>
        <item x="1185"/>
        <item x="895"/>
        <item x="4173"/>
        <item x="3750"/>
        <item x="3565"/>
        <item x="2601"/>
        <item x="4316"/>
        <item x="668"/>
        <item x="139"/>
        <item x="2697"/>
        <item x="1709"/>
        <item x="18"/>
        <item x="4051"/>
        <item x="3026"/>
        <item x="1944"/>
        <item x="1235"/>
        <item x="2512"/>
        <item x="2405"/>
        <item x="1694"/>
        <item x="4522"/>
        <item x="1792"/>
        <item x="1703"/>
        <item x="2733"/>
        <item x="2958"/>
        <item x="3434"/>
        <item x="835"/>
        <item x="4334"/>
        <item x="2006"/>
        <item x="286"/>
        <item x="3105"/>
        <item x="1186"/>
        <item x="3650"/>
        <item x="1137"/>
        <item x="4887"/>
        <item x="4766"/>
        <item x="2351"/>
        <item x="3457"/>
        <item x="704"/>
        <item x="1817"/>
        <item x="522"/>
        <item x="2081"/>
        <item x="55"/>
        <item x="802"/>
        <item x="1807"/>
        <item x="1819"/>
        <item x="4534"/>
        <item x="2638"/>
        <item x="2188"/>
        <item x="3815"/>
        <item x="1752"/>
        <item x="1479"/>
        <item x="426"/>
        <item x="1136"/>
        <item x="516"/>
        <item x="1073"/>
        <item x="2960"/>
        <item x="1130"/>
        <item x="4543"/>
        <item x="4371"/>
        <item x="3500"/>
        <item x="1996"/>
        <item x="1878"/>
        <item x="477"/>
        <item x="1546"/>
        <item x="759"/>
        <item x="531"/>
        <item x="669"/>
        <item x="4987"/>
        <item x="274"/>
        <item x="2297"/>
        <item x="4513"/>
        <item x="1951"/>
        <item x="3924"/>
        <item x="2116"/>
        <item x="2191"/>
        <item x="4566"/>
        <item x="2350"/>
        <item x="1583"/>
        <item x="4337"/>
        <item x="379"/>
        <item x="718"/>
        <item x="4490"/>
        <item x="353"/>
        <item x="1418"/>
        <item x="1649"/>
        <item x="4076"/>
        <item x="1945"/>
        <item x="3093"/>
        <item x="2465"/>
        <item x="4147"/>
        <item x="643"/>
        <item x="2147"/>
        <item x="1476"/>
        <item x="4221"/>
        <item x="460"/>
        <item x="4992"/>
        <item x="4014"/>
        <item x="3549"/>
        <item x="3097"/>
        <item x="1693"/>
        <item x="3261"/>
        <item x="1032"/>
        <item x="2789"/>
        <item x="293"/>
        <item x="368"/>
        <item x="1899"/>
        <item x="3545"/>
        <item x="4822"/>
        <item x="3262"/>
        <item x="3963"/>
        <item x="3348"/>
        <item x="555"/>
        <item x="729"/>
        <item x="1921"/>
        <item x="3357"/>
        <item x="3342"/>
        <item x="2484"/>
        <item x="2396"/>
        <item x="4230"/>
        <item x="1202"/>
        <item x="4272"/>
        <item x="2143"/>
        <item x="4868"/>
        <item x="2818"/>
        <item x="4139"/>
        <item x="2415"/>
        <item x="4467"/>
        <item x="2160"/>
        <item x="2532"/>
        <item x="2120"/>
        <item x="1789"/>
        <item x="373"/>
        <item x="638"/>
        <item x="4792"/>
        <item x="3827"/>
        <item x="1290"/>
        <item x="2222"/>
        <item x="1914"/>
        <item x="740"/>
        <item x="237"/>
        <item x="3715"/>
        <item x="3169"/>
        <item x="882"/>
        <item x="4071"/>
        <item x="3030"/>
        <item x="2754"/>
        <item x="954"/>
        <item x="4644"/>
        <item x="1066"/>
        <item x="1189"/>
        <item x="4361"/>
        <item x="1660"/>
        <item x="2793"/>
        <item x="1205"/>
        <item x="2377"/>
        <item x="3925"/>
        <item x="1535"/>
        <item x="2079"/>
        <item x="1401"/>
        <item x="3525"/>
        <item x="2731"/>
        <item x="2315"/>
        <item x="1765"/>
        <item x="4753"/>
        <item x="2892"/>
        <item x="764"/>
        <item x="3942"/>
        <item x="3174"/>
        <item x="1348"/>
        <item x="971"/>
        <item x="2536"/>
        <item x="2632"/>
        <item x="4515"/>
        <item x="1905"/>
        <item x="1000"/>
        <item x="692"/>
        <item x="3780"/>
        <item x="4997"/>
        <item x="4658"/>
        <item x="1071"/>
        <item x="4558"/>
        <item x="2059"/>
        <item x="3004"/>
        <item x="1876"/>
        <item x="3803"/>
        <item x="4093"/>
        <item x="2496"/>
        <item x="3614"/>
        <item x="2017"/>
        <item x="2355"/>
        <item x="193"/>
        <item x="2617"/>
        <item x="3722"/>
        <item x="3515"/>
        <item x="4238"/>
        <item x="810"/>
        <item x="86"/>
        <item x="4527"/>
        <item x="2548"/>
        <item x="3480"/>
        <item x="2578"/>
        <item x="2823"/>
        <item x="1063"/>
        <item x="2909"/>
        <item x="4608"/>
        <item x="3586"/>
        <item x="3535"/>
        <item x="4022"/>
        <item x="34"/>
        <item x="2824"/>
        <item x="3612"/>
        <item x="114"/>
        <item x="2497"/>
        <item x="388"/>
        <item x="1055"/>
        <item x="3405"/>
        <item x="3043"/>
        <item x="1103"/>
        <item x="4630"/>
        <item x="2043"/>
        <item x="4321"/>
        <item x="77"/>
        <item x="306"/>
        <item x="4057"/>
        <item x="1399"/>
        <item x="2395"/>
        <item x="1973"/>
        <item x="2692"/>
        <item x="4476"/>
        <item x="3861"/>
        <item x="4008"/>
        <item x="3915"/>
        <item x="3807"/>
        <item x="782"/>
        <item x="3322"/>
        <item x="347"/>
        <item x="2684"/>
        <item x="374"/>
        <item x="3180"/>
        <item x="2678"/>
        <item x="2682"/>
        <item x="3670"/>
        <item x="3725"/>
        <item x="5000"/>
        <item x="3705"/>
        <item x="20"/>
        <item x="1342"/>
        <item x="275"/>
        <item x="2689"/>
        <item x="2091"/>
        <item x="2319"/>
        <item x="696"/>
        <item x="2651"/>
        <item x="3887"/>
        <item x="49"/>
        <item x="567"/>
        <item x="2677"/>
        <item x="757"/>
        <item x="2371"/>
        <item x="3591"/>
        <item x="3862"/>
        <item x="3595"/>
        <item x="167"/>
        <item x="3184"/>
        <item x="1386"/>
        <item x="3843"/>
        <item x="4369"/>
        <item x="4187"/>
        <item x="4815"/>
        <item x="1318"/>
        <item x="4462"/>
        <item x="3210"/>
        <item x="2635"/>
        <item x="4617"/>
        <item x="1513"/>
        <item x="4157"/>
        <item x="1118"/>
        <item x="2448"/>
        <item x="1636"/>
        <item x="1602"/>
        <item x="4362"/>
        <item x="4928"/>
        <item x="319"/>
        <item x="1966"/>
        <item x="2996"/>
        <item x="273"/>
        <item x="778"/>
        <item x="2650"/>
        <item x="1511"/>
        <item x="1217"/>
        <item x="4945"/>
        <item x="3336"/>
        <item x="1549"/>
        <item x="2663"/>
        <item x="4790"/>
        <item x="933"/>
        <item x="619"/>
        <item x="2197"/>
        <item x="4227"/>
        <item x="2795"/>
        <item x="4489"/>
        <item x="3038"/>
        <item x="4668"/>
        <item x="1758"/>
        <item x="138"/>
        <item x="3921"/>
        <item x="3888"/>
        <item x="2564"/>
        <item x="2287"/>
        <item x="3728"/>
        <item x="1102"/>
        <item x="1530"/>
        <item x="4908"/>
        <item x="4951"/>
        <item x="530"/>
        <item x="3604"/>
        <item x="1887"/>
        <item x="1364"/>
        <item x="1998"/>
        <item x="3213"/>
        <item x="1980"/>
        <item x="837"/>
        <item x="3562"/>
        <item x="1291"/>
        <item x="3681"/>
        <item x="4025"/>
        <item x="3047"/>
        <item x="3406"/>
        <item x="4006"/>
        <item x="1861"/>
        <item x="1713"/>
        <item x="4542"/>
        <item x="3844"/>
        <item x="4478"/>
        <item x="2309"/>
        <item x="60"/>
        <item x="1591"/>
        <item x="4121"/>
        <item x="1040"/>
        <item x="850"/>
        <item x="2686"/>
        <item x="3315"/>
        <item x="2895"/>
        <item x="1978"/>
        <item x="288"/>
        <item x="1642"/>
        <item x="2751"/>
        <item x="3765"/>
        <item x="4446"/>
        <item x="1064"/>
        <item x="3441"/>
        <item x="3389"/>
        <item x="4306"/>
        <item x="3182"/>
        <item x="862"/>
        <item x="501"/>
        <item x="2253"/>
        <item x="3221"/>
        <item x="1187"/>
        <item x="711"/>
        <item x="2357"/>
        <item x="2904"/>
        <item x="2088"/>
        <item x="2508"/>
        <item x="3551"/>
        <item x="3568"/>
        <item x="3760"/>
        <item x="472"/>
        <item x="671"/>
        <item x="1759"/>
        <item x="3945"/>
        <item x="4268"/>
        <item x="4671"/>
        <item x="4637"/>
        <item x="3021"/>
        <item x="4161"/>
        <item x="3195"/>
        <item x="4626"/>
        <item x="3711"/>
        <item x="571"/>
        <item x="4313"/>
        <item x="1681"/>
        <item x="4893"/>
        <item x="1310"/>
        <item x="4493"/>
        <item x="484"/>
        <item x="4330"/>
        <item x="2098"/>
        <item x="774"/>
        <item x="4720"/>
        <item x="437"/>
        <item x="1637"/>
        <item x="4878"/>
        <item x="3049"/>
        <item x="2434"/>
        <item x="1977"/>
        <item x="3288"/>
        <item x="4048"/>
        <item x="1454"/>
        <item x="767"/>
        <item x="972"/>
        <item x="4264"/>
        <item x="1323"/>
        <item x="3023"/>
        <item x="1824"/>
        <item x="1334"/>
        <item x="2833"/>
        <item x="2003"/>
        <item x="4788"/>
        <item x="1070"/>
        <item x="2592"/>
        <item x="358"/>
        <item x="790"/>
        <item x="798"/>
        <item x="2604"/>
        <item x="1551"/>
        <item x="3112"/>
        <item x="2661"/>
        <item x="2736"/>
        <item x="2932"/>
        <item x="4298"/>
        <item x="2278"/>
        <item x="1644"/>
        <item x="4287"/>
        <item x="4986"/>
        <item x="906"/>
        <item x="3171"/>
        <item x="3969"/>
        <item x="3526"/>
        <item x="4363"/>
        <item x="2313"/>
        <item x="899"/>
        <item x="1309"/>
        <item x="821"/>
        <item x="1265"/>
        <item x="788"/>
        <item x="1956"/>
        <item x="2853"/>
        <item x="2910"/>
        <item x="596"/>
        <item x="3761"/>
        <item x="4544"/>
        <item x="4983"/>
        <item x="473"/>
        <item x="1275"/>
        <item x="3234"/>
        <item x="3975"/>
        <item x="2589"/>
        <item x="2046"/>
        <item x="1556"/>
        <item x="30"/>
        <item x="2483"/>
        <item x="4379"/>
        <item x="4538"/>
        <item x="4554"/>
        <item x="458"/>
        <item x="1184"/>
        <item x="3961"/>
        <item x="2124"/>
        <item x="3491"/>
        <item x="641"/>
        <item x="2896"/>
        <item x="1450"/>
        <item x="3981"/>
        <item x="3599"/>
        <item x="3999"/>
        <item x="3186"/>
        <item x="497"/>
        <item x="4850"/>
        <item x="3470"/>
        <item x="2745"/>
        <item x="2633"/>
        <item x="3479"/>
        <item x="1785"/>
        <item x="4108"/>
        <item x="4897"/>
        <item x="2189"/>
        <item x="1225"/>
        <item x="3754"/>
        <item x="1203"/>
        <item x="4299"/>
        <item x="261"/>
        <item x="4380"/>
        <item x="1545"/>
        <item x="4523"/>
        <item x="514"/>
        <item x="1069"/>
        <item x="3057"/>
        <item x="2923"/>
        <item x="3864"/>
        <item x="1786"/>
        <item x="245"/>
        <item x="570"/>
        <item x="1874"/>
        <item x="1402"/>
        <item x="1777"/>
        <item x="4347"/>
        <item x="1560"/>
        <item x="4900"/>
        <item x="4056"/>
        <item x="2624"/>
        <item x="4138"/>
        <item x="1312"/>
        <item x="1199"/>
        <item x="957"/>
        <item x="1367"/>
        <item x="3820"/>
        <item x="363"/>
        <item x="3242"/>
        <item x="3770"/>
        <item x="4216"/>
        <item x="1087"/>
        <item x="2811"/>
        <item x="4582"/>
        <item x="4185"/>
        <item x="1351"/>
        <item x="4102"/>
        <item x="3191"/>
        <item x="392"/>
        <item x="349"/>
        <item x="271"/>
        <item x="4374"/>
        <item x="3602"/>
        <item x="2121"/>
        <item x="4210"/>
        <item x="3158"/>
        <item x="797"/>
        <item x="2227"/>
        <item x="1488"/>
        <item x="313"/>
        <item x="4204"/>
        <item x="105"/>
        <item x="4708"/>
        <item x="4620"/>
        <item x="1550"/>
        <item x="1152"/>
        <item x="4649"/>
        <item x="2759"/>
        <item x="1233"/>
        <item x="1091"/>
        <item x="3633"/>
        <item x="4261"/>
        <item x="4370"/>
        <item x="3130"/>
        <item x="3598"/>
        <item x="602"/>
        <item x="1933"/>
        <item x="3700"/>
        <item x="4263"/>
        <item x="63"/>
        <item x="4561"/>
        <item x="1828"/>
        <item x="4842"/>
        <item x="3804"/>
        <item x="446"/>
        <item x="597"/>
        <item x="3748"/>
        <item x="232"/>
        <item x="248"/>
        <item x="504"/>
        <item x="3471"/>
        <item x="4575"/>
        <item x="4801"/>
        <item x="2864"/>
        <item x="2763"/>
        <item x="3605"/>
        <item x="2209"/>
        <item x="728"/>
        <item x="3851"/>
        <item x="961"/>
        <item x="2221"/>
        <item x="1726"/>
        <item x="1009"/>
        <item x="4443"/>
        <item x="840"/>
        <item x="2117"/>
        <item x="1739"/>
        <item x="1733"/>
        <item x="270"/>
        <item x="4947"/>
        <item x="3091"/>
        <item x="1656"/>
        <item x="2364"/>
        <item x="4001"/>
        <item x="4588"/>
        <item x="3792"/>
        <item x="3912"/>
        <item x="2700"/>
        <item x="178"/>
        <item x="157"/>
        <item x="483"/>
        <item x="4415"/>
        <item x="2566"/>
        <item x="239"/>
        <item x="4666"/>
        <item x="4017"/>
        <item x="1123"/>
        <item x="1269"/>
        <item x="2608"/>
        <item x="1767"/>
        <item x="4508"/>
        <item x="592"/>
        <item x="1355"/>
        <item x="2696"/>
        <item x="2346"/>
        <item x="4148"/>
        <item x="2321"/>
        <item x="3557"/>
        <item x="1300"/>
        <item x="4077"/>
        <item x="562"/>
        <item x="1361"/>
        <item x="1385"/>
        <item x="1708"/>
        <item x="1344"/>
        <item x="1048"/>
        <item x="2890"/>
        <item x="3648"/>
        <item x="3773"/>
        <item x="2260"/>
        <item x="3797"/>
        <item x="3968"/>
        <item x="2703"/>
        <item x="56"/>
        <item x="1059"/>
        <item x="2921"/>
        <item x="1612"/>
        <item x="3776"/>
        <item x="941"/>
        <item x="2675"/>
        <item x="791"/>
        <item x="1988"/>
        <item x="3654"/>
        <item x="4654"/>
        <item x="3666"/>
        <item x="3223"/>
        <item x="2772"/>
        <item x="2765"/>
        <item x="1746"/>
        <item x="3923"/>
        <item x="1250"/>
        <item x="1668"/>
        <item x="3990"/>
        <item x="2888"/>
        <item x="3433"/>
        <item x="528"/>
        <item x="2150"/>
        <item x="4117"/>
        <item x="1243"/>
        <item x="1617"/>
        <item x="914"/>
        <item x="3587"/>
        <item x="1167"/>
        <item x="1192"/>
        <item x="1456"/>
        <item x="4385"/>
        <item x="2547"/>
        <item x="3496"/>
        <item x="2068"/>
        <item x="3907"/>
        <item x="2362"/>
        <item x="1325"/>
        <item x="4705"/>
        <item x="777"/>
        <item x="2426"/>
        <item x="2995"/>
        <item x="1415"/>
        <item x="1038"/>
        <item x="1117"/>
        <item x="4359"/>
        <item x="3628"/>
        <item x="1916"/>
        <item x="4175"/>
        <item x="4529"/>
        <item x="4729"/>
        <item x="2648"/>
        <item x="1442"/>
        <item x="2734"/>
        <item x="2067"/>
        <item x="3977"/>
        <item x="4770"/>
        <item x="500"/>
        <item x="870"/>
        <item x="190"/>
        <item x="3415"/>
        <item x="3081"/>
        <item x="1912"/>
        <item x="221"/>
        <item x="3837"/>
        <item x="2447"/>
        <item x="396"/>
        <item x="2959"/>
        <item x="4389"/>
        <item x="4936"/>
        <item x="174"/>
        <item x="442"/>
        <item x="4168"/>
        <item x="4222"/>
        <item x="747"/>
        <item x="649"/>
        <item x="385"/>
        <item x="11"/>
        <item x="3028"/>
        <item x="839"/>
        <item x="786"/>
        <item x="805"/>
        <item x="3995"/>
        <item x="4874"/>
        <item x="4217"/>
        <item x="94"/>
        <item x="2934"/>
        <item x="4959"/>
        <item x="2332"/>
        <item x="1870"/>
        <item x="2670"/>
        <item x="3204"/>
        <item x="1041"/>
        <item x="1814"/>
        <item x="3688"/>
        <item x="4331"/>
        <item x="752"/>
        <item x="1495"/>
        <item x="4130"/>
        <item x="830"/>
        <item x="3413"/>
        <item x="2790"/>
        <item x="169"/>
        <item x="2234"/>
        <item x="4696"/>
        <item x="398"/>
        <item x="4865"/>
        <item x="3087"/>
        <item x="3938"/>
        <item x="4579"/>
        <item x="4932"/>
        <item x="1417"/>
        <item x="4516"/>
        <item x="1363"/>
        <item x="518"/>
        <item x="494"/>
        <item x="4471"/>
        <item x="634"/>
        <item x="3865"/>
        <item x="4439"/>
        <item x="1931"/>
        <item x="4999"/>
        <item x="3607"/>
        <item x="492"/>
        <item x="2409"/>
        <item x="185"/>
        <item x="181"/>
        <item x="4119"/>
        <item x="3302"/>
        <item x="1414"/>
        <item x="1237"/>
        <item x="1522"/>
        <item x="1803"/>
        <item x="4888"/>
        <item x="1135"/>
        <item x="3259"/>
        <item x="1049"/>
        <item x="1297"/>
        <item x="3743"/>
        <item x="4174"/>
        <item x="1331"/>
        <item x="2269"/>
        <item x="4054"/>
        <item x="2211"/>
        <item x="1253"/>
        <item x="2062"/>
        <item x="3487"/>
        <item x="250"/>
        <item x="984"/>
        <item x="35"/>
        <item x="1869"/>
        <item x="324"/>
        <item x="1421"/>
        <item x="593"/>
        <item x="1863"/>
        <item x="1537"/>
        <item x="4652"/>
        <item x="1098"/>
        <item x="4833"/>
        <item x="3278"/>
        <item x="387"/>
        <item x="378"/>
        <item x="1582"/>
        <item x="410"/>
        <item x="2840"/>
        <item x="5007"/>
        <item x="676"/>
        <item x="42"/>
        <item x="1129"/>
        <item x="2757"/>
        <item x="3350"/>
        <item x="3895"/>
        <item x="235"/>
        <item x="4941"/>
        <item x="976"/>
        <item x="3013"/>
        <item x="920"/>
        <item x="3675"/>
        <item x="3485"/>
        <item x="753"/>
        <item x="1147"/>
        <item x="2843"/>
        <item x="3367"/>
        <item x="3791"/>
        <item x="1781"/>
        <item x="4045"/>
        <item x="2771"/>
        <item x="3484"/>
        <item x="2163"/>
        <item x="3124"/>
        <item x="5011"/>
        <item x="673"/>
        <item x="1575"/>
        <item x="3341"/>
        <item x="2873"/>
        <item x="940"/>
        <item x="944"/>
        <item x="465"/>
        <item x="981"/>
        <item x="2655"/>
        <item x="4345"/>
        <item x="1126"/>
        <item x="872"/>
        <item x="4372"/>
        <item x="717"/>
        <item x="4416"/>
        <item x="2487"/>
        <item x="600"/>
        <item x="685"/>
        <item x="3732"/>
        <item x="3290"/>
        <item x="4873"/>
        <item x="4694"/>
        <item x="3723"/>
        <item x="942"/>
        <item x="151"/>
        <item x="1316"/>
        <item x="874"/>
        <item x="4435"/>
        <item x="3282"/>
        <item x="3564"/>
        <item x="3520"/>
        <item x="1566"/>
        <item x="1540"/>
        <item x="79"/>
        <item x="4453"/>
        <item x="776"/>
        <item x="1337"/>
        <item x="1338"/>
        <item x="3910"/>
        <item x="4925"/>
        <item x="3266"/>
        <item x="1273"/>
        <item x="1542"/>
        <item x="342"/>
        <item x="750"/>
        <item x="3560"/>
        <item x="1159"/>
        <item x="377"/>
        <item x="4673"/>
        <item x="761"/>
        <item x="208"/>
        <item x="3544"/>
        <item x="4269"/>
        <item x="3215"/>
        <item x="2844"/>
        <item x="3489"/>
        <item x="2514"/>
        <item x="878"/>
        <item x="2229"/>
        <item x="2244"/>
        <item x="3453"/>
        <item x="2905"/>
        <item x="4731"/>
        <item x="1631"/>
        <item x="2372"/>
        <item x="860"/>
        <item x="3311"/>
        <item x="1357"/>
        <item x="1175"/>
        <item x="1868"/>
        <item x="3118"/>
        <item x="1679"/>
        <item x="64"/>
        <item x="1144"/>
        <item x="4970"/>
        <item x="2009"/>
        <item x="4249"/>
        <item x="1663"/>
        <item x="4793"/>
        <item x="4456"/>
        <item x="1226"/>
        <item x="2911"/>
        <item x="1349"/>
        <item x="630"/>
        <item x="3518"/>
        <item x="4425"/>
        <item x="3944"/>
        <item x="1514"/>
        <item x="1866"/>
        <item x="1627"/>
        <item x="1800"/>
        <item x="2792"/>
        <item x="2049"/>
        <item x="1680"/>
        <item x="651"/>
        <item x="1724"/>
        <item x="4750"/>
        <item x="2325"/>
        <item x="4276"/>
        <item x="4568"/>
        <item x="1755"/>
        <item x="4950"/>
        <item x="137"/>
        <item x="3501"/>
        <item x="4177"/>
        <item x="415"/>
        <item x="918"/>
        <item x="17"/>
        <item x="1974"/>
        <item x="1987"/>
        <item x="4058"/>
        <item x="2876"/>
        <item x="3202"/>
        <item x="2507"/>
        <item x="3721"/>
        <item x="3297"/>
        <item x="3504"/>
        <item x="4848"/>
        <item x="2574"/>
        <item x="4252"/>
        <item x="259"/>
        <item x="3772"/>
        <item x="4975"/>
        <item x="3361"/>
        <item x="3481"/>
        <item x="3624"/>
        <item x="206"/>
        <item x="1538"/>
        <item x="4810"/>
        <item x="1051"/>
        <item x="3929"/>
        <item x="1741"/>
        <item x="2161"/>
        <item x="309"/>
        <item x="932"/>
        <item x="78"/>
        <item x="4933"/>
        <item x="1015"/>
        <item x="707"/>
        <item x="828"/>
        <item x="4318"/>
        <item x="4797"/>
        <item x="4691"/>
        <item x="2841"/>
        <item x="1712"/>
        <item x="4069"/>
        <item x="1426"/>
        <item x="4070"/>
        <item x="380"/>
        <item x="553"/>
        <item x="2984"/>
        <item x="725"/>
        <item x="1446"/>
        <item x="3534"/>
        <item x="1333"/>
        <item x="2158"/>
        <item x="2177"/>
        <item x="2102"/>
        <item x="3871"/>
        <item x="3010"/>
        <item x="13"/>
        <item x="807"/>
        <item x="3687"/>
        <item x="3409"/>
        <item x="995"/>
        <item x="1340"/>
        <item x="2126"/>
        <item x="2643"/>
        <item x="2611"/>
        <item x="1406"/>
        <item x="519"/>
        <item x="2093"/>
        <item x="3461"/>
        <item x="812"/>
        <item x="1054"/>
        <item x="1173"/>
        <item x="3627"/>
        <item x="3983"/>
        <item x="3209"/>
        <item x="213"/>
        <item x="4179"/>
        <item x="632"/>
        <item x="3527"/>
        <item x="1732"/>
        <item x="1850"/>
        <item x="851"/>
        <item x="1571"/>
        <item x="1400"/>
        <item x="877"/>
        <item x="4738"/>
        <item x="1031"/>
        <item x="1122"/>
        <item x="2526"/>
        <item x="2783"/>
        <item x="1614"/>
        <item x="3768"/>
        <item x="635"/>
        <item x="4879"/>
        <item x="4463"/>
        <item x="706"/>
        <item x="2430"/>
        <item x="913"/>
        <item x="1097"/>
        <item x="3882"/>
        <item x="1156"/>
        <item x="3089"/>
        <item x="4541"/>
        <item t="default"/>
      </items>
    </pivotField>
    <pivotField showAll="0"/>
    <pivotField axis="axisRow" showAll="0" measureFilter="1" sortType="descending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3"/>
  </rowFields>
  <rowItems count="11">
    <i>
      <x v="3"/>
    </i>
    <i>
      <x v="43"/>
    </i>
    <i>
      <x v="8"/>
    </i>
    <i>
      <x v="33"/>
    </i>
    <i>
      <x v="45"/>
    </i>
    <i>
      <x v="13"/>
    </i>
    <i>
      <x v="9"/>
    </i>
    <i>
      <x v="37"/>
    </i>
    <i>
      <x v="34"/>
    </i>
    <i>
      <x v="4"/>
    </i>
    <i t="grand">
      <x/>
    </i>
  </rowItems>
  <colItems count="1">
    <i/>
  </colItems>
  <dataFields count="1">
    <dataField name="Company Count" fld="1" subtotal="count" baseField="0" baseItem="0"/>
  </dataFields>
  <formats count="8">
    <format dxfId="40">
      <pivotArea field="5" type="button" dataOnly="0" labelOnly="1" outline="0"/>
    </format>
    <format dxfId="39">
      <pivotArea dataOnly="0" labelOnly="1" outline="0" axis="axisValues" fieldPosition="0"/>
    </format>
    <format dxfId="38">
      <pivotArea field="5" type="button" dataOnly="0" labelOnly="1" outline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5" type="button" dataOnly="0" labelOnly="1" outline="0"/>
    </format>
    <format dxfId="33">
      <pivotArea dataOnly="0" labelOnly="1" outline="0" axis="axisValues" fieldPosition="0"/>
    </format>
  </formats>
  <pivotTableStyleInfo name="PivotStyleLight21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5FD5E-457F-429B-BBD1-EDA9B8F3720B}" name="Tb_Count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 rowHeaderCaption="Industry">
  <location ref="A15:B25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 measureFilter="1" sortType="de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5"/>
  </rowFields>
  <rowItems count="10">
    <i>
      <x v="1"/>
    </i>
    <i>
      <x/>
    </i>
    <i>
      <x v="24"/>
    </i>
    <i>
      <x v="12"/>
    </i>
    <i>
      <x v="3"/>
    </i>
    <i>
      <x v="4"/>
    </i>
    <i>
      <x v="15"/>
    </i>
    <i>
      <x v="9"/>
    </i>
    <i>
      <x v="11"/>
    </i>
    <i>
      <x v="21"/>
    </i>
  </rowItems>
  <colItems count="1">
    <i/>
  </colItems>
  <dataFields count="1">
    <dataField name="Company Count" fld="5" subtotal="count" baseField="0" baseItem="0"/>
  </dataFields>
  <formats count="8">
    <format dxfId="46">
      <pivotArea field="5" type="button" dataOnly="0" labelOnly="1" outline="0" axis="axisRow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10">
            <x v="0"/>
            <x v="1"/>
            <x v="3"/>
            <x v="4"/>
            <x v="9"/>
            <x v="11"/>
            <x v="12"/>
            <x v="15"/>
            <x v="21"/>
            <x v="24"/>
          </reference>
        </references>
      </pivotArea>
    </format>
    <format dxfId="41">
      <pivotArea dataOnly="0" labelOnly="1" outline="0" axis="axisValues" fieldPosition="0"/>
    </format>
    <format dxfId="1">
      <pivotArea dataOnly="0" outline="0" axis="axisValues" fieldPosition="0"/>
    </format>
    <format dxfId="0">
      <pivotArea dataOnly="0" outline="0" axis="axisValues" fieldPosition="0"/>
    </format>
  </formats>
  <conditionalFormats count="1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filters count="1">
    <filter fld="5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60B14-CE41-4314-977F-01D1D9DEA03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Industry">
  <location ref="A28:B33" firstHeaderRow="1" firstDataRow="1" firstDataCol="1"/>
  <pivotFields count="13">
    <pivotField showAll="0"/>
    <pivotField showAll="0"/>
    <pivotField showAll="0"/>
    <pivotField showAll="0"/>
    <pivotField dataField="1" showAll="0"/>
    <pivotField axis="axisRow" showAll="0" measureFilter="1" sortType="descending">
      <items count="28">
        <item x="17"/>
        <item x="6"/>
        <item x="9"/>
        <item x="18"/>
        <item x="4"/>
        <item x="12"/>
        <item x="14"/>
        <item x="13"/>
        <item x="1"/>
        <item x="16"/>
        <item x="26"/>
        <item x="19"/>
        <item x="22"/>
        <item x="20"/>
        <item x="5"/>
        <item x="11"/>
        <item x="2"/>
        <item x="7"/>
        <item x="21"/>
        <item x="25"/>
        <item x="10"/>
        <item x="24"/>
        <item x="3"/>
        <item x="15"/>
        <item x="8"/>
        <item x="2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5"/>
  </rowFields>
  <rowItems count="5">
    <i>
      <x v="8"/>
    </i>
    <i>
      <x v="22"/>
    </i>
    <i>
      <x v="16"/>
    </i>
    <i>
      <x v="24"/>
    </i>
    <i>
      <x v="20"/>
    </i>
  </rowItems>
  <colItems count="1">
    <i/>
  </colItems>
  <dataFields count="1">
    <dataField name="Average of growth %" fld="4" subtotal="average" baseField="5" baseItem="2" numFmtId="165"/>
  </dataFields>
  <formats count="9">
    <format dxfId="55">
      <pivotArea field="5" type="button" dataOnly="0" labelOnly="1" outline="0" axis="axisRow" fieldPosition="0"/>
    </format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5" type="button" dataOnly="0" labelOnly="1" outline="0" axis="axisRow" fieldPosition="0"/>
    </format>
    <format dxfId="50">
      <pivotArea dataOnly="0" labelOnly="1" fieldPosition="0">
        <references count="1">
          <reference field="5" count="5">
            <x v="8"/>
            <x v="16"/>
            <x v="20"/>
            <x v="22"/>
            <x v="24"/>
          </reference>
        </references>
      </pivotArea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5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DDC55-6917-43BD-9CEB-2A8454E4590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G2:G3" firstHeaderRow="1" firstDataRow="1" firstDataCol="0"/>
  <pivotFields count="13">
    <pivotField showAll="0"/>
    <pivotField showAll="0">
      <items count="5013">
        <item x="3693"/>
        <item x="4919"/>
        <item x="3660"/>
        <item x="736"/>
        <item x="4595"/>
        <item x="1369"/>
        <item x="68"/>
        <item x="2000"/>
        <item x="703"/>
        <item x="1673"/>
        <item x="4589"/>
        <item x="1259"/>
        <item x="182"/>
        <item x="3499"/>
        <item x="1281"/>
        <item x="4301"/>
        <item x="3949"/>
        <item x="4225"/>
        <item x="3955"/>
        <item x="1839"/>
        <item x="1006"/>
        <item x="4399"/>
        <item x="4940"/>
        <item x="1492"/>
        <item x="2104"/>
        <item x="4819"/>
        <item x="1321"/>
        <item x="4260"/>
        <item x="3897"/>
        <item x="973"/>
        <item x="3758"/>
        <item x="1145"/>
        <item x="4923"/>
        <item x="314"/>
        <item x="3012"/>
        <item x="3716"/>
        <item x="1801"/>
        <item x="1664"/>
        <item x="983"/>
        <item x="1439"/>
        <item x="4734"/>
        <item x="4550"/>
        <item x="3516"/>
        <item x="4722"/>
        <item x="4164"/>
        <item x="3541"/>
        <item x="4891"/>
        <item x="3708"/>
        <item x="69"/>
        <item x="3611"/>
        <item x="116"/>
        <item x="3600"/>
        <item x="1623"/>
        <item x="1688"/>
        <item x="633"/>
        <item x="1734"/>
        <item x="4817"/>
        <item x="1287"/>
        <item x="4938"/>
        <item x="3706"/>
        <item x="3513"/>
        <item x="3747"/>
        <item x="4495"/>
        <item x="2207"/>
        <item x="3636"/>
        <item x="2550"/>
        <item x="2630"/>
        <item x="4539"/>
        <item x="1594"/>
        <item x="2440"/>
        <item x="3178"/>
        <item x="2316"/>
        <item x="1047"/>
        <item x="2717"/>
        <item x="3492"/>
        <item x="4563"/>
        <item x="4824"/>
        <item x="3834"/>
        <item x="3238"/>
        <item x="2977"/>
        <item x="3610"/>
        <item x="2390"/>
        <item x="2830"/>
        <item x="453"/>
        <item x="2203"/>
        <item x="2387"/>
        <item x="2157"/>
        <item x="3966"/>
        <item x="495"/>
        <item x="1638"/>
        <item x="4154"/>
        <item x="2094"/>
        <item x="3831"/>
        <item x="4659"/>
        <item x="3116"/>
        <item x="4009"/>
        <item x="4342"/>
        <item x="4716"/>
        <item x="4955"/>
        <item x="4247"/>
        <item x="1740"/>
        <item x="2506"/>
        <item x="2953"/>
        <item x="3331"/>
        <item x="3735"/>
        <item x="4098"/>
        <item x="1756"/>
        <item x="2310"/>
        <item x="695"/>
        <item x="2112"/>
        <item x="1420"/>
        <item x="4847"/>
        <item x="2842"/>
        <item x="4934"/>
        <item x="4754"/>
        <item x="3098"/>
        <item x="3123"/>
        <item x="719"/>
        <item x="4043"/>
        <item x="2394"/>
        <item x="168"/>
        <item x="2314"/>
        <item x="694"/>
        <item x="2258"/>
        <item x="3153"/>
        <item x="3992"/>
        <item x="784"/>
        <item x="4967"/>
        <item x="1848"/>
        <item x="361"/>
        <item x="4450"/>
        <item x="511"/>
        <item x="1427"/>
        <item x="2300"/>
        <item x="1897"/>
        <item x="3219"/>
        <item x="2556"/>
        <item x="3877"/>
        <item x="1855"/>
        <item x="1437"/>
        <item x="418"/>
        <item x="3669"/>
        <item x="1381"/>
        <item x="4479"/>
        <item x="985"/>
        <item x="4598"/>
        <item x="2928"/>
        <item x="2590"/>
        <item x="405"/>
        <item x="3074"/>
        <item x="4162"/>
        <item x="4063"/>
        <item x="4300"/>
        <item x="1383"/>
        <item x="1604"/>
        <item x="4993"/>
        <item x="1359"/>
        <item x="2451"/>
        <item x="4707"/>
        <item x="1717"/>
        <item x="425"/>
        <item x="4751"/>
        <item x="281"/>
        <item x="615"/>
        <item x="199"/>
        <item x="2669"/>
        <item x="4059"/>
        <item x="4511"/>
        <item x="1527"/>
        <item x="2421"/>
        <item x="3493"/>
        <item x="1372"/>
        <item x="2741"/>
        <item x="3421"/>
        <item x="1200"/>
        <item x="3070"/>
        <item x="2467"/>
        <item x="1804"/>
        <item x="2644"/>
        <item x="2481"/>
        <item x="1532"/>
        <item x="1461"/>
        <item x="1086"/>
        <item x="1245"/>
        <item x="2132"/>
        <item x="2373"/>
        <item x="4920"/>
        <item x="4452"/>
        <item x="2989"/>
        <item x="3640"/>
        <item x="2581"/>
        <item x="2330"/>
        <item x="1877"/>
        <item x="647"/>
        <item x="4178"/>
        <item x="1081"/>
        <item x="4859"/>
        <item x="3962"/>
        <item x="2345"/>
        <item x="4409"/>
        <item x="2246"/>
        <item x="153"/>
        <item x="4213"/>
        <item x="3276"/>
        <item x="2807"/>
        <item x="629"/>
        <item x="1282"/>
        <item x="541"/>
        <item x="3141"/>
        <item x="285"/>
        <item x="448"/>
        <item x="2414"/>
        <item x="1341"/>
        <item x="1895"/>
        <item x="3011"/>
        <item x="3874"/>
        <item x="1170"/>
        <item x="300"/>
        <item x="469"/>
        <item x="1650"/>
        <item x="2720"/>
        <item x="4067"/>
        <item x="2478"/>
        <item x="3291"/>
        <item x="2025"/>
        <item x="3152"/>
        <item x="3216"/>
        <item x="2753"/>
        <item x="4548"/>
        <item x="4899"/>
        <item x="39"/>
        <item x="3031"/>
        <item x="980"/>
        <item x="4978"/>
        <item x="3252"/>
        <item x="2010"/>
        <item x="4295"/>
        <item x="4082"/>
        <item x="1621"/>
        <item x="3062"/>
        <item x="577"/>
        <item x="1939"/>
        <item x="3578"/>
        <item x="120"/>
        <item x="3449"/>
        <item x="3752"/>
        <item x="143"/>
        <item x="2912"/>
        <item x="2966"/>
        <item x="1762"/>
        <item x="578"/>
        <item x="3889"/>
        <item x="3678"/>
        <item x="3839"/>
        <item x="1806"/>
        <item x="3766"/>
        <item x="4241"/>
        <item x="3227"/>
        <item x="2805"/>
        <item x="294"/>
        <item x="1044"/>
        <item x="3623"/>
        <item x="2468"/>
        <item x="4518"/>
        <item x="96"/>
        <item x="3377"/>
        <item x="898"/>
        <item x="4901"/>
        <item x="1729"/>
        <item x="2907"/>
        <item x="4679"/>
        <item x="979"/>
        <item x="4969"/>
        <item x="4853"/>
        <item x="5003"/>
        <item x="4981"/>
        <item x="3420"/>
        <item x="4638"/>
        <item x="2092"/>
        <item x="4600"/>
        <item x="772"/>
        <item x="2885"/>
        <item x="819"/>
        <item x="3399"/>
        <item x="27"/>
        <item x="2322"/>
        <item x="1423"/>
        <item x="2410"/>
        <item x="1499"/>
        <item x="1195"/>
        <item x="3346"/>
        <item x="1239"/>
        <item x="3601"/>
        <item x="2502"/>
        <item x="3919"/>
        <item x="3988"/>
        <item x="4195"/>
        <item x="758"/>
        <item x="15"/>
        <item x="892"/>
        <item x="2518"/>
        <item x="1444"/>
        <item x="4807"/>
        <item x="461"/>
        <item x="4573"/>
        <item x="403"/>
        <item x="4682"/>
        <item x="4023"/>
        <item x="2403"/>
        <item x="3437"/>
        <item x="584"/>
        <item x="589"/>
        <item x="4712"/>
        <item x="2591"/>
        <item x="3875"/>
        <item x="2438"/>
        <item x="975"/>
        <item x="1105"/>
        <item x="1481"/>
        <item x="665"/>
        <item x="4202"/>
        <item x="2106"/>
        <item x="3667"/>
        <item x="4593"/>
        <item x="1827"/>
        <item x="3905"/>
        <item x="2987"/>
        <item x="400"/>
        <item x="3398"/>
        <item x="848"/>
        <item x="4235"/>
        <item x="3608"/>
        <item x="1021"/>
        <item x="4113"/>
        <item x="4748"/>
        <item x="1854"/>
        <item x="2782"/>
        <item x="4288"/>
        <item x="2777"/>
        <item x="3344"/>
        <item x="2725"/>
        <item x="2571"/>
        <item x="730"/>
        <item x="1010"/>
        <item x="2809"/>
        <item x="2023"/>
        <item x="3085"/>
        <item x="3323"/>
        <item x="3008"/>
        <item x="3657"/>
        <item x="1286"/>
        <item x="2836"/>
        <item x="149"/>
        <item x="1274"/>
        <item x="3207"/>
        <item x="3979"/>
        <item x="3312"/>
        <item x="3616"/>
        <item x="4128"/>
        <item x="2491"/>
        <item x="3303"/>
        <item x="3293"/>
        <item x="333"/>
        <item x="1563"/>
        <item x="4303"/>
        <item x="681"/>
        <item x="4653"/>
        <item x="4896"/>
        <item x="3236"/>
        <item x="2312"/>
        <item x="1770"/>
        <item x="3638"/>
        <item x="2391"/>
        <item x="4229"/>
        <item x="462"/>
        <item x="2206"/>
        <item x="4832"/>
        <item x="413"/>
        <item x="144"/>
        <item x="4742"/>
        <item x="1695"/>
        <item x="4602"/>
        <item x="2238"/>
        <item x="2215"/>
        <item x="1352"/>
        <item x="4552"/>
        <item x="1395"/>
        <item x="4317"/>
        <item x="565"/>
        <item x="3356"/>
        <item x="3327"/>
        <item x="2737"/>
        <item x="3185"/>
        <item x="2537"/>
        <item x="3329"/>
        <item x="82"/>
        <item x="1821"/>
        <item x="3263"/>
        <item x="66"/>
        <item x="1387"/>
        <item x="436"/>
        <item x="3230"/>
        <item x="4574"/>
        <item x="4500"/>
        <item x="4719"/>
        <item x="2383"/>
        <item x="2360"/>
        <item x="4049"/>
        <item x="4144"/>
        <item x="993"/>
        <item x="4578"/>
        <item x="2544"/>
        <item x="4218"/>
        <item x="3206"/>
        <item x="3775"/>
        <item x="1489"/>
        <item x="4979"/>
        <item x="2419"/>
        <item x="1491"/>
        <item x="3698"/>
        <item x="4958"/>
        <item x="970"/>
        <item x="416"/>
        <item x="4924"/>
        <item x="1576"/>
        <item x="1339"/>
        <item x="683"/>
        <item x="2148"/>
        <item x="3857"/>
        <item x="2064"/>
        <item x="113"/>
        <item x="4255"/>
        <item x="3814"/>
        <item x="2174"/>
        <item x="3935"/>
        <item x="1080"/>
        <item x="1523"/>
        <item x="1463"/>
        <item x="3084"/>
        <item x="3249"/>
        <item x="1714"/>
        <item x="1095"/>
        <item x="1862"/>
        <item x="2646"/>
        <item x="228"/>
        <item x="2951"/>
        <item x="4931"/>
        <item x="3241"/>
        <item x="4507"/>
        <item x="2248"/>
        <item x="3239"/>
        <item x="739"/>
        <item x="3646"/>
        <item x="4577"/>
        <item x="4623"/>
        <item x="1142"/>
        <item x="24"/>
        <item x="1629"/>
        <item x="2490"/>
        <item x="770"/>
        <item x="2962"/>
        <item x="1085"/>
        <item x="201"/>
        <item x="3581"/>
        <item x="3094"/>
        <item x="1120"/>
        <item x="1375"/>
        <item x="433"/>
        <item x="2294"/>
        <item x="599"/>
        <item x="4512"/>
        <item x="4501"/>
        <item x="354"/>
        <item x="876"/>
        <item x="2698"/>
        <item x="1548"/>
        <item x="4209"/>
        <item x="109"/>
        <item x="1486"/>
        <item x="1989"/>
        <item x="2035"/>
        <item x="3243"/>
        <item x="3855"/>
        <item x="1820"/>
        <item x="428"/>
        <item x="561"/>
        <item x="1810"/>
        <item x="3394"/>
        <item x="4193"/>
        <item x="121"/>
        <item x="3179"/>
        <item x="4960"/>
        <item x="1893"/>
        <item x="1293"/>
        <item x="3789"/>
        <item x="2799"/>
        <item x="1626"/>
        <item x="968"/>
        <item x="4829"/>
        <item x="4307"/>
        <item x="2588"/>
        <item x="1121"/>
        <item x="4053"/>
        <item x="1851"/>
        <item x="866"/>
        <item x="312"/>
        <item x="3571"/>
        <item x="4497"/>
        <item x="4856"/>
        <item x="1213"/>
        <item x="2384"/>
        <item x="256"/>
        <item x="3037"/>
        <item x="3040"/>
        <item x="524"/>
        <item x="552"/>
        <item x="2628"/>
        <item x="2854"/>
        <item x="2679"/>
        <item x="3697"/>
        <item x="441"/>
        <item x="2486"/>
        <item x="2699"/>
        <item x="1858"/>
        <item x="677"/>
        <item x="4133"/>
        <item x="803"/>
        <item x="3059"/>
        <item x="6"/>
        <item x="2105"/>
        <item x="814"/>
        <item x="1096"/>
        <item x="527"/>
        <item x="1146"/>
        <item x="809"/>
        <item x="4296"/>
        <item x="3902"/>
        <item x="1600"/>
        <item x="2249"/>
        <item x="2658"/>
        <item x="1389"/>
        <item x="3260"/>
        <item x="990"/>
        <item x="935"/>
        <item x="45"/>
        <item x="1168"/>
        <item x="2522"/>
        <item x="2541"/>
        <item x="2849"/>
        <item x="2233"/>
        <item x="1962"/>
        <item x="4747"/>
        <item x="1221"/>
        <item x="4688"/>
        <item x="3200"/>
        <item x="29"/>
        <item x="1875"/>
        <item x="305"/>
        <item x="2054"/>
        <item x="1949"/>
        <item x="4203"/>
        <item x="2195"/>
        <item x="4514"/>
        <item x="2708"/>
        <item x="1578"/>
        <item x="2822"/>
        <item x="3868"/>
        <item x="1067"/>
        <item x="318"/>
        <item x="965"/>
        <item x="2647"/>
        <item x="2862"/>
        <item x="1017"/>
        <item x="4055"/>
        <item x="1748"/>
        <item x="3737"/>
        <item x="3720"/>
        <item x="341"/>
        <item x="1879"/>
        <item x="4437"/>
        <item x="2014"/>
        <item x="1641"/>
        <item x="1151"/>
        <item x="1346"/>
        <item x="4123"/>
        <item x="1587"/>
        <item x="3786"/>
        <item x="4804"/>
        <item x="2047"/>
        <item x="1271"/>
        <item x="2301"/>
        <item x="3468"/>
        <item x="865"/>
        <item x="3465"/>
        <item x="1365"/>
        <item x="3258"/>
        <item x="1971"/>
        <item x="1808"/>
        <item x="2728"/>
        <item x="3321"/>
        <item x="4614"/>
        <item x="1473"/>
        <item x="2894"/>
        <item x="4228"/>
        <item x="2535"/>
        <item x="3446"/>
        <item x="4852"/>
        <item x="4532"/>
        <item x="1206"/>
        <item x="1883"/>
        <item x="4743"/>
        <item x="4208"/>
        <item x="601"/>
        <item x="1518"/>
        <item x="3916"/>
        <item x="822"/>
        <item x="1435"/>
        <item x="2660"/>
        <item x="4333"/>
        <item x="793"/>
        <item x="3972"/>
        <item x="509"/>
        <item x="330"/>
        <item x="1517"/>
        <item x="4423"/>
        <item x="2742"/>
        <item x="3537"/>
        <item x="1143"/>
        <item x="2146"/>
        <item x="4939"/>
        <item x="743"/>
        <item x="894"/>
        <item x="3136"/>
        <item x="3714"/>
        <item x="4120"/>
        <item x="3269"/>
        <item x="84"/>
        <item x="1279"/>
        <item x="585"/>
        <item x="4412"/>
        <item x="258"/>
        <item x="1986"/>
        <item x="2515"/>
        <item x="4150"/>
        <item x="1141"/>
        <item x="829"/>
        <item x="1466"/>
        <item x="1873"/>
        <item x="1074"/>
        <item x="131"/>
        <item x="1849"/>
        <item x="4482"/>
        <item x="4328"/>
        <item x="945"/>
        <item x="487"/>
        <item x="4535"/>
        <item x="644"/>
        <item x="2756"/>
        <item x="2340"/>
        <item x="4257"/>
        <item x="2202"/>
        <item x="4223"/>
        <item x="827"/>
        <item x="4898"/>
        <item x="3277"/>
        <item x="2334"/>
        <item x="2943"/>
        <item x="847"/>
        <item x="2691"/>
        <item x="1790"/>
        <item x="165"/>
        <item x="998"/>
        <item x="846"/>
        <item x="482"/>
        <item x="2213"/>
        <item x="211"/>
        <item x="1377"/>
        <item x="1898"/>
        <item x="423"/>
        <item x="1482"/>
        <item x="2893"/>
        <item x="4003"/>
        <item x="402"/>
        <item x="627"/>
        <item x="2657"/>
        <item x="3554"/>
        <item x="4771"/>
        <item x="642"/>
        <item x="4486"/>
        <item x="2800"/>
        <item x="1564"/>
        <item x="2810"/>
        <item x="376"/>
        <item x="2352"/>
        <item x="590"/>
        <item x="1725"/>
        <item x="3426"/>
        <item x="785"/>
        <item x="2219"/>
        <item x="3352"/>
        <item x="1924"/>
        <item x="2333"/>
        <item x="4129"/>
        <item x="1403"/>
        <item x="1003"/>
        <item x="4689"/>
        <item x="579"/>
        <item x="1062"/>
        <item x="4599"/>
        <item x="4628"/>
        <item x="75"/>
        <item x="191"/>
        <item x="2149"/>
        <item x="4706"/>
        <item x="3254"/>
        <item x="422"/>
        <item x="251"/>
        <item x="2142"/>
        <item x="4375"/>
        <item x="4032"/>
        <item x="2136"/>
        <item x="155"/>
        <item x="3061"/>
        <item x="4289"/>
        <item x="2386"/>
        <item x="930"/>
        <item x="1721"/>
        <item x="1303"/>
        <item x="733"/>
        <item x="3314"/>
        <item x="2776"/>
        <item x="2476"/>
        <item x="225"/>
        <item x="2645"/>
        <item x="4044"/>
        <item x="1938"/>
        <item x="1568"/>
        <item x="2881"/>
        <item x="1959"/>
        <item x="4773"/>
        <item x="2847"/>
        <item x="2141"/>
        <item x="445"/>
        <item x="3233"/>
        <item x="3298"/>
        <item x="3816"/>
        <item x="3235"/>
        <item x="1127"/>
        <item x="2516"/>
        <item x="3132"/>
        <item x="3251"/>
        <item x="923"/>
        <item x="3959"/>
        <item x="4351"/>
        <item x="3018"/>
        <item x="3073"/>
        <item x="3349"/>
        <item x="628"/>
        <item x="4690"/>
        <item x="2596"/>
        <item x="3952"/>
        <item x="2955"/>
        <item x="106"/>
        <item x="4152"/>
        <item x="675"/>
        <item x="1242"/>
        <item x="4612"/>
        <item x="3953"/>
        <item x="2423"/>
        <item x="4250"/>
        <item x="3542"/>
        <item x="3168"/>
        <item x="4042"/>
        <item x="3450"/>
        <item x="2393"/>
        <item x="2201"/>
        <item x="1896"/>
        <item x="2606"/>
        <item x="2845"/>
        <item x="2901"/>
        <item x="4115"/>
        <item x="1343"/>
        <item x="1639"/>
        <item x="1082"/>
        <item x="1326"/>
        <item x="1702"/>
        <item x="3119"/>
        <item x="2729"/>
        <item x="1632"/>
        <item x="3552"/>
        <item x="175"/>
        <item x="1072"/>
        <item x="3886"/>
        <item x="4394"/>
        <item x="4074"/>
        <item x="5"/>
        <item x="701"/>
        <item x="2851"/>
        <item x="1932"/>
        <item x="2517"/>
        <item x="4813"/>
        <item x="1350"/>
        <item x="2281"/>
        <item x="2039"/>
        <item x="145"/>
        <item x="3859"/>
        <item x="2579"/>
        <item x="4197"/>
        <item x="1390"/>
        <item x="91"/>
        <item x="2615"/>
        <item x="4357"/>
        <item x="2030"/>
        <item x="4184"/>
        <item x="689"/>
        <item x="2183"/>
        <item x="3867"/>
        <item x="2329"/>
        <item x="3713"/>
        <item x="3856"/>
        <item x="3617"/>
        <item x="909"/>
        <item x="4703"/>
        <item x="2976"/>
        <item x="1784"/>
        <item x="2557"/>
        <item x="4783"/>
        <item x="2463"/>
        <item x="4355"/>
        <item x="435"/>
        <item x="1969"/>
        <item x="107"/>
        <item x="4684"/>
        <item x="4681"/>
        <item x="849"/>
        <item x="1238"/>
        <item x="3459"/>
        <item x="3603"/>
        <item x="351"/>
        <item x="2271"/>
        <item x="4834"/>
        <item x="3822"/>
        <item x="1163"/>
        <item x="3305"/>
        <item x="2107"/>
        <item x="1976"/>
        <item x="4016"/>
        <item x="2"/>
        <item x="507"/>
        <item x="133"/>
        <item x="4061"/>
        <item x="132"/>
        <item x="1445"/>
        <item x="2819"/>
        <item x="1236"/>
        <item x="1906"/>
        <item x="2029"/>
        <item x="903"/>
        <item x="4153"/>
        <item x="4963"/>
        <item x="3193"/>
        <item x="4800"/>
        <item x="1036"/>
        <item x="2255"/>
        <item x="3390"/>
        <item x="3745"/>
        <item x="1119"/>
        <item x="3661"/>
        <item x="4775"/>
        <item x="1298"/>
        <item x="2115"/>
        <item x="2443"/>
        <item x="871"/>
        <item x="817"/>
        <item x="3642"/>
        <item x="463"/>
        <item x="924"/>
        <item x="2607"/>
        <item x="2061"/>
        <item x="1019"/>
        <item x="3753"/>
        <item x="329"/>
        <item x="867"/>
        <item x="1084"/>
        <item x="962"/>
        <item x="2503"/>
        <item x="3548"/>
        <item x="4284"/>
        <item x="3908"/>
        <item x="3574"/>
        <item x="279"/>
        <item x="1667"/>
        <item x="3704"/>
        <item x="3363"/>
        <item x="3001"/>
        <item x="938"/>
        <item x="1020"/>
        <item x="3099"/>
        <item x="1480"/>
        <item x="605"/>
        <item x="2621"/>
        <item x="4111"/>
        <item x="4124"/>
        <item x="2083"/>
        <item x="2835"/>
        <item x="130"/>
        <item x="606"/>
        <item x="2752"/>
        <item x="61"/>
        <item x="986"/>
        <item x="4845"/>
        <item x="3066"/>
        <item x="693"/>
        <item x="253"/>
        <item x="2868"/>
        <item x="992"/>
        <item x="112"/>
        <item x="3159"/>
        <item x="2569"/>
        <item x="617"/>
        <item x="2780"/>
        <item x="756"/>
        <item x="2171"/>
        <item x="3086"/>
        <item x="1336"/>
        <item x="1573"/>
        <item x="1472"/>
        <item x="88"/>
        <item x="3071"/>
        <item x="207"/>
        <item x="4100"/>
        <item x="3989"/>
        <item x="65"/>
        <item x="4918"/>
        <item x="4198"/>
        <item x="4917"/>
        <item x="3035"/>
        <item x="4343"/>
        <item x="4803"/>
        <item x="4034"/>
        <item x="4780"/>
        <item x="2739"/>
        <item x="3155"/>
        <item x="4455"/>
        <item x="3156"/>
        <item x="4935"/>
        <item x="3301"/>
        <item x="3514"/>
        <item x="431"/>
        <item x="4395"/>
        <item x="2838"/>
        <item x="3778"/>
        <item x="856"/>
        <item x="1902"/>
        <item x="2549"/>
        <item x="3695"/>
        <item x="4980"/>
        <item x="2272"/>
        <item x="1153"/>
        <item x="4078"/>
        <item x="2804"/>
        <item x="440"/>
        <item x="4672"/>
        <item x="2305"/>
        <item x="3658"/>
        <item x="910"/>
        <item x="3964"/>
        <item x="3431"/>
        <item x="238"/>
        <item x="1393"/>
        <item x="3226"/>
        <item x="4106"/>
        <item x="1177"/>
        <item x="323"/>
        <item x="1002"/>
        <item x="595"/>
        <item x="3333"/>
        <item x="2180"/>
        <item x="2277"/>
        <item x="794"/>
        <item x="2026"/>
        <item x="1593"/>
        <item x="4838"/>
        <item x="773"/>
        <item x="2539"/>
        <item x="3665"/>
        <item x="755"/>
        <item x="229"/>
        <item x="3892"/>
        <item x="637"/>
        <item x="3374"/>
        <item x="2155"/>
        <item x="3418"/>
        <item x="3781"/>
        <item x="1955"/>
        <item x="4406"/>
        <item x="3712"/>
        <item x="3145"/>
        <item x="2204"/>
        <item x="3917"/>
        <item x="4292"/>
        <item x="1434"/>
        <item x="953"/>
        <item x="2461"/>
        <item x="2813"/>
        <item x="4965"/>
        <item x="108"/>
        <item x="2056"/>
        <item x="3114"/>
        <item x="3828"/>
        <item x="660"/>
        <item x="3335"/>
        <item x="4854"/>
        <item x="2347"/>
        <item x="3359"/>
        <item x="2985"/>
        <item x="2348"/>
        <item x="4408"/>
        <item x="2693"/>
        <item x="1134"/>
        <item x="2631"/>
        <item x="1174"/>
        <item x="316"/>
        <item x="3429"/>
        <item x="4591"/>
        <item x="4860"/>
        <item x="4167"/>
        <item x="1280"/>
        <item x="4680"/>
        <item x="322"/>
        <item x="2431"/>
        <item x="4190"/>
        <item x="4537"/>
        <item x="2570"/>
        <item x="3080"/>
        <item x="443"/>
        <item x="3177"/>
        <item x="1371"/>
        <item x="163"/>
        <item x="4105"/>
        <item x="4414"/>
        <item x="4090"/>
        <item x="4356"/>
        <item x="3809"/>
        <item x="3212"/>
        <item x="2788"/>
        <item x="4870"/>
        <item x="4438"/>
        <item x="688"/>
        <item x="3630"/>
        <item x="3366"/>
        <item x="548"/>
        <item x="4086"/>
        <item x="80"/>
        <item x="3701"/>
        <item x="508"/>
        <item x="3978"/>
        <item x="1131"/>
        <item x="7"/>
        <item x="3994"/>
        <item x="4474"/>
        <item x="2924"/>
        <item x="4470"/>
        <item x="2404"/>
        <item x="1358"/>
        <item x="1930"/>
        <item x="2103"/>
        <item x="3960"/>
        <item x="4498"/>
        <item x="4685"/>
        <item x="4281"/>
        <item x="4823"/>
        <item x="1132"/>
        <item x="1640"/>
        <item x="2379"/>
        <item x="4377"/>
        <item x="1690"/>
        <item x="3076"/>
        <item x="2217"/>
        <item x="4085"/>
        <item x="3528"/>
        <item x="3934"/>
        <item x="2469"/>
        <item x="2385"/>
        <item x="4555"/>
        <item x="3268"/>
        <item x="2477"/>
        <item x="1946"/>
        <item x="587"/>
        <item x="879"/>
        <item x="3328"/>
        <item x="22"/>
        <item x="3941"/>
        <item x="3232"/>
        <item x="4294"/>
        <item x="1541"/>
        <item x="3684"/>
        <item x="3751"/>
        <item x="1718"/>
        <item x="115"/>
        <item x="3579"/>
        <item x="4326"/>
        <item x="2479"/>
        <item x="1111"/>
        <item x="3164"/>
        <item x="73"/>
        <item x="4710"/>
        <item x="3679"/>
        <item x="4972"/>
        <item x="1216"/>
        <item x="1704"/>
        <item x="3683"/>
        <item x="4073"/>
        <item x="3904"/>
        <item x="4487"/>
        <item x="1659"/>
        <item x="2794"/>
        <item x="1557"/>
        <item x="4107"/>
        <item x="842"/>
        <item x="1788"/>
        <item x="391"/>
        <item x="4502"/>
        <item x="503"/>
        <item x="1841"/>
        <item x="412"/>
        <item x="1011"/>
        <item x="4784"/>
        <item x="303"/>
        <item x="4353"/>
        <item x="367"/>
        <item x="1941"/>
        <item x="3956"/>
        <item x="4327"/>
        <item x="1215"/>
        <item x="4881"/>
        <item x="2193"/>
        <item x="2561"/>
        <item x="384"/>
        <item x="4186"/>
        <item x="1771"/>
        <item x="2489"/>
        <item x="1581"/>
        <item x="3993"/>
        <item x="1857"/>
        <item x="1264"/>
        <item x="1094"/>
        <item x="4146"/>
        <item x="4603"/>
        <item x="3567"/>
        <item x="3027"/>
        <item x="1261"/>
        <item x="988"/>
        <item x="307"/>
        <item x="2612"/>
        <item x="1448"/>
        <item x="4465"/>
        <item x="857"/>
        <item x="4191"/>
        <item x="3842"/>
        <item x="3375"/>
        <item x="4282"/>
        <item x="1991"/>
        <item x="885"/>
        <item x="727"/>
        <item x="4335"/>
        <item x="4762"/>
        <item x="1881"/>
        <item x="1302"/>
        <item x="2747"/>
        <item x="1254"/>
        <item x="3538"/>
        <item x="2899"/>
        <item x="4583"/>
        <item x="2137"/>
        <item x="662"/>
        <item x="2296"/>
        <item x="3799"/>
        <item x="2992"/>
        <item x="3985"/>
        <item x="2065"/>
        <item x="1950"/>
        <item x="280"/>
        <item x="2801"/>
        <item x="3295"/>
        <item x="4079"/>
        <item x="4640"/>
        <item x="3034"/>
        <item x="320"/>
        <item x="1166"/>
        <item x="1289"/>
        <item x="3279"/>
        <item x="1319"/>
        <item x="2020"/>
        <item x="4403"/>
        <item x="4581"/>
        <item x="646"/>
        <item x="2950"/>
        <item x="2620"/>
        <item x="2527"/>
        <item x="3879"/>
        <item x="2186"/>
        <item x="4131"/>
        <item x="2307"/>
        <item x="2889"/>
        <item x="241"/>
        <item x="763"/>
        <item x="3364"/>
        <item x="4660"/>
        <item x="2402"/>
        <item x="4429"/>
        <item x="3793"/>
        <item x="3133"/>
        <item x="989"/>
        <item x="3378"/>
        <item x="2057"/>
        <item x="4964"/>
        <item x="2342"/>
        <item x="1099"/>
        <item x="3451"/>
        <item x="4884"/>
        <item x="3143"/>
        <item x="1795"/>
        <item x="4799"/>
        <item x="4028"/>
        <item x="194"/>
        <item x="3125"/>
        <item x="1960"/>
        <item x="3884"/>
        <item x="3503"/>
        <item x="4243"/>
        <item x="4741"/>
        <item x="3167"/>
        <item x="244"/>
        <item x="2709"/>
        <item x="3890"/>
        <item x="4779"/>
        <item x="3255"/>
        <item x="1249"/>
        <item x="164"/>
        <item x="3039"/>
        <item x="974"/>
        <item x="2685"/>
        <item x="3117"/>
        <item x="2122"/>
        <item x="1022"/>
        <item x="2760"/>
        <item x="4796"/>
        <item x="393"/>
        <item x="2916"/>
        <item x="2781"/>
        <item x="2573"/>
        <item x="4480"/>
        <item x="4494"/>
        <item x="2156"/>
        <item x="1246"/>
        <item x="2060"/>
        <item x="4101"/>
        <item x="381"/>
        <item x="2435"/>
        <item x="1970"/>
        <item x="2787"/>
        <item x="3275"/>
        <item x="4104"/>
        <item x="2942"/>
        <item x="3424"/>
        <item x="345"/>
        <item x="4279"/>
        <item x="1498"/>
        <item x="2917"/>
        <item x="3629"/>
        <item x="2210"/>
        <item x="3294"/>
        <item x="2802"/>
        <item x="1295"/>
        <item x="3388"/>
        <item x="3787"/>
        <item x="1687"/>
        <item x="3443"/>
        <item x="1161"/>
        <item x="563"/>
        <item x="2139"/>
        <item x="2743"/>
        <item x="1228"/>
        <item x="334"/>
        <item x="117"/>
        <item x="89"/>
        <item x="1440"/>
        <item x="576"/>
        <item x="2577"/>
        <item x="4728"/>
        <item x="1675"/>
        <item x="1990"/>
        <item x="653"/>
        <item x="468"/>
        <item x="1240"/>
        <item x="1278"/>
        <item x="1753"/>
        <item x="4274"/>
        <item x="296"/>
        <item x="420"/>
        <item x="1503"/>
        <item x="5002"/>
        <item x="3316"/>
        <item x="3052"/>
        <item x="1580"/>
        <item x="2078"/>
        <item x="3160"/>
        <item x="3686"/>
        <item x="2073"/>
        <item x="1374"/>
        <item x="3154"/>
        <item x="1313"/>
        <item x="911"/>
        <item x="1109"/>
        <item x="969"/>
        <item x="1360"/>
        <item x="3006"/>
        <item x="4871"/>
        <item x="1276"/>
        <item x="891"/>
        <item x="1468"/>
        <item x="2936"/>
        <item x="1288"/>
        <item x="3101"/>
        <item x="2200"/>
        <item x="2724"/>
        <item x="2066"/>
        <item x="297"/>
        <item x="3284"/>
        <item x="1218"/>
        <item x="3287"/>
        <item x="298"/>
        <item x="3870"/>
        <item x="1908"/>
        <item x="2462"/>
        <item x="4052"/>
        <item x="2084"/>
        <item x="4551"/>
        <item x="397"/>
        <item x="1835"/>
        <item x="1485"/>
        <item x="1934"/>
        <item x="2683"/>
        <item x="2938"/>
        <item x="3826"/>
        <item x="762"/>
        <item x="569"/>
        <item x="1506"/>
        <item x="3108"/>
        <item x="4545"/>
        <item x="3425"/>
        <item x="3383"/>
        <item x="4977"/>
        <item x="2108"/>
        <item x="645"/>
        <item x="1057"/>
        <item x="54"/>
        <item x="331"/>
        <item x="1033"/>
        <item x="4239"/>
        <item x="4189"/>
        <item x="3417"/>
        <item x="781"/>
        <item x="2831"/>
        <item x="3832"/>
        <item x="4726"/>
        <item x="4995"/>
        <item x="81"/>
        <item x="2119"/>
        <item x="3585"/>
        <item x="4669"/>
        <item x="192"/>
        <item x="3173"/>
        <item x="4319"/>
        <item x="779"/>
        <item x="575"/>
        <item x="947"/>
        <item x="1452"/>
        <item x="424"/>
        <item x="1027"/>
        <item x="3523"/>
        <item x="656"/>
        <item x="2194"/>
        <item x="98"/>
        <item x="1653"/>
        <item x="4341"/>
        <item x="3477"/>
        <item x="987"/>
        <item x="1345"/>
        <item x="4782"/>
        <item x="450"/>
        <item x="2580"/>
        <item x="4825"/>
        <item x="2978"/>
        <item x="1533"/>
        <item x="4286"/>
        <item x="2554"/>
        <item x="1648"/>
        <item x="3561"/>
        <item x="937"/>
        <item x="4322"/>
        <item x="2649"/>
        <item x="74"/>
        <item x="3016"/>
        <item x="2282"/>
        <item x="4499"/>
        <item x="2965"/>
        <item x="2378"/>
        <item x="3609"/>
        <item x="919"/>
        <item x="2609"/>
        <item x="2401"/>
        <item x="4564"/>
        <item x="609"/>
        <item x="395"/>
        <item x="3933"/>
        <item x="4386"/>
        <item x="301"/>
        <item x="1204"/>
        <item x="3691"/>
        <item x="179"/>
        <item x="2353"/>
        <item x="2005"/>
        <item x="4064"/>
        <item x="4484"/>
        <item x="3384"/>
        <item x="2803"/>
        <item x="1972"/>
        <item x="2413"/>
        <item x="1628"/>
        <item x="4836"/>
        <item x="3120"/>
        <item x="2593"/>
        <item x="1757"/>
        <item x="4134"/>
        <item x="355"/>
        <item x="2869"/>
        <item x="2714"/>
        <item x="1886"/>
        <item x="952"/>
        <item x="1272"/>
        <item x="2542"/>
        <item x="3531"/>
        <item x="3452"/>
        <item x="3307"/>
        <item x="2050"/>
        <item x="4089"/>
        <item x="549"/>
        <item x="2459"/>
        <item x="2659"/>
        <item x="573"/>
        <item x="3463"/>
        <item x="2695"/>
        <item x="1060"/>
        <item x="3192"/>
        <item x="684"/>
        <item x="2289"/>
        <item x="686"/>
        <item x="4205"/>
        <item x="3973"/>
        <item x="726"/>
        <item x="4609"/>
        <item x="4776"/>
        <item x="560"/>
        <item x="4774"/>
        <item x="210"/>
        <item x="2639"/>
        <item x="1113"/>
        <item x="1112"/>
        <item x="1743"/>
        <item x="4112"/>
        <item x="1478"/>
        <item x="2164"/>
        <item x="209"/>
        <item x="3134"/>
        <item x="1927"/>
        <item x="240"/>
        <item x="1012"/>
        <item x="2915"/>
        <item x="1077"/>
        <item x="915"/>
        <item x="2981"/>
        <item x="2969"/>
        <item x="2388"/>
        <item x="3438"/>
        <item x="3573"/>
        <item x="3785"/>
        <item x="2970"/>
        <item x="2399"/>
        <item x="607"/>
        <item x="3876"/>
        <item x="3575"/>
        <item x="2417"/>
        <item x="3717"/>
        <item x="2212"/>
        <item x="4159"/>
        <item x="1952"/>
        <item x="2398"/>
        <item x="3447"/>
        <item x="4903"/>
        <item x="3991"/>
        <item x="2472"/>
        <item x="3659"/>
        <item x="2954"/>
        <item x="3951"/>
        <item x="4492"/>
        <item x="3731"/>
        <item x="3682"/>
        <item x="3300"/>
        <item x="3380"/>
        <item x="2961"/>
        <item x="749"/>
        <item x="1588"/>
        <item x="276"/>
        <item x="2602"/>
        <item x="3220"/>
        <item x="4526"/>
        <item x="3736"/>
        <item x="4996"/>
        <item x="2400"/>
        <item x="1769"/>
        <item x="128"/>
        <item x="4861"/>
        <item x="438"/>
        <item x="2884"/>
        <item x="3382"/>
        <item x="1798"/>
        <item x="624"/>
        <item x="1553"/>
        <item x="2952"/>
        <item x="158"/>
        <item x="2562"/>
        <item x="1526"/>
        <item x="1661"/>
        <item x="2173"/>
        <item x="2295"/>
        <item x="2051"/>
        <item x="883"/>
        <item x="4594"/>
        <item x="4339"/>
        <item x="929"/>
        <item x="2941"/>
        <item x="720"/>
        <item x="1198"/>
        <item x="2267"/>
        <item x="4182"/>
        <item x="621"/>
        <item x="4360"/>
        <item x="496"/>
        <item x="3742"/>
        <item x="2145"/>
        <item x="960"/>
        <item x="4885"/>
        <item x="3779"/>
        <item x="690"/>
        <item x="4027"/>
        <item x="2812"/>
        <item x="3082"/>
        <item x="134"/>
        <item x="4971"/>
        <item x="4459"/>
        <item x="4325"/>
        <item x="4417"/>
        <item x="3764"/>
        <item x="4315"/>
        <item x="927"/>
        <item x="2948"/>
        <item x="742"/>
        <item x="2902"/>
        <item x="4449"/>
        <item x="2546"/>
        <item x="1856"/>
        <item x="4283"/>
        <item x="3597"/>
        <item x="4717"/>
        <item x="4040"/>
        <item x="3626"/>
        <item x="1155"/>
        <item x="2702"/>
        <item x="1477"/>
        <item x="4118"/>
        <item x="1651"/>
        <item x="4625"/>
        <item x="2520"/>
        <item x="4711"/>
        <item x="4038"/>
        <item x="1257"/>
        <item x="3439"/>
        <item x="4886"/>
        <item x="3365"/>
        <item x="1188"/>
        <item x="2114"/>
        <item x="868"/>
        <item x="1816"/>
        <item x="3075"/>
        <item x="1892"/>
        <item x="3077"/>
        <item x="447"/>
        <item x="269"/>
        <item x="4596"/>
        <item x="220"/>
        <item x="1685"/>
        <item x="4505"/>
        <item x="1494"/>
        <item x="40"/>
        <item x="1162"/>
        <item x="997"/>
        <item x="2058"/>
        <item x="897"/>
        <item x="1016"/>
        <item x="1411"/>
        <item x="3694"/>
        <item x="2572"/>
        <item x="3131"/>
        <item x="3746"/>
        <item x="2392"/>
        <item x="217"/>
        <item x="4402"/>
        <item x="4309"/>
        <item x="2766"/>
        <item x="3025"/>
        <item x="1008"/>
        <item x="2963"/>
        <item x="1207"/>
        <item x="3643"/>
        <item x="146"/>
        <item x="95"/>
        <item x="1928"/>
        <item x="67"/>
        <item x="2748"/>
        <item x="934"/>
        <item x="3613"/>
        <item x="4364"/>
        <item x="1231"/>
        <item x="3456"/>
        <item x="1910"/>
        <item x="604"/>
        <item x="804"/>
        <item x="4808"/>
        <item x="1812"/>
        <item x="4994"/>
        <item x="2929"/>
        <item x="4562"/>
        <item x="3280"/>
        <item x="1052"/>
        <item x="3536"/>
        <item x="1754"/>
        <item x="886"/>
        <item x="1183"/>
        <item x="3853"/>
        <item x="3909"/>
        <item x="3652"/>
        <item x="4136"/>
        <item x="3802"/>
        <item x="4422"/>
        <item x="2118"/>
        <item x="4266"/>
        <item x="2886"/>
        <item x="375"/>
        <item x="3015"/>
        <item x="3524"/>
        <item x="3566"/>
        <item x="1255"/>
        <item x="2721"/>
        <item x="180"/>
        <item x="474"/>
        <item x="26"/>
        <item x="1598"/>
        <item x="3458"/>
        <item x="4864"/>
        <item x="4393"/>
        <item x="4697"/>
        <item x="1219"/>
        <item x="831"/>
        <item x="618"/>
        <item x="1314"/>
        <item x="2082"/>
        <item x="287"/>
        <item x="1516"/>
        <item x="925"/>
        <item x="1711"/>
        <item x="233"/>
        <item x="2167"/>
        <item x="1524"/>
        <item x="1654"/>
        <item x="4047"/>
        <item x="2883"/>
        <item x="493"/>
        <item x="4559"/>
        <item x="1405"/>
        <item x="4401"/>
        <item x="2598"/>
        <item x="1493"/>
        <item x="855"/>
        <item x="3854"/>
        <item x="3622"/>
        <item x="572"/>
        <item x="2930"/>
        <item x="2676"/>
        <item x="3190"/>
        <item x="3404"/>
        <item x="4576"/>
        <item x="4618"/>
        <item x="967"/>
        <item x="4869"/>
        <item x="800"/>
        <item x="3309"/>
        <item x="1616"/>
        <item x="1436"/>
        <item x="3362"/>
        <item x="4176"/>
        <item x="2931"/>
        <item x="3385"/>
        <item x="2458"/>
        <item x="4420"/>
        <item x="2336"/>
        <item x="2664"/>
        <item x="3345"/>
        <item x="3718"/>
        <item x="1826"/>
        <item x="760"/>
        <item x="2510"/>
        <item x="3497"/>
        <item x="700"/>
        <item x="1125"/>
        <item x="1092"/>
        <item x="1985"/>
        <item x="2927"/>
        <item x="479"/>
        <item x="724"/>
        <item x="4029"/>
        <item x="2834"/>
        <item x="3370"/>
        <item x="1607"/>
        <item x="2563"/>
        <item x="4110"/>
        <item x="582"/>
        <item x="732"/>
        <item x="4982"/>
        <item x="2806"/>
        <item x="142"/>
        <item x="1750"/>
        <item x="4915"/>
        <item x="943"/>
        <item x="4277"/>
        <item x="3289"/>
        <item x="0"/>
        <item x="1108"/>
        <item x="4232"/>
        <item x="4442"/>
        <item x="844"/>
        <item x="1"/>
        <item x="4610"/>
        <item x="1034"/>
        <item x="1101"/>
        <item x="4835"/>
        <item x="2196"/>
        <item x="912"/>
        <item x="4921"/>
        <item x="3371"/>
        <item x="1037"/>
        <item x="999"/>
        <item x="1775"/>
        <item x="3593"/>
        <item x="4528"/>
        <item x="1464"/>
        <item x="3522"/>
        <item x="544"/>
        <item x="2446"/>
        <item x="4851"/>
        <item x="1544"/>
        <item x="2634"/>
        <item x="1609"/>
        <item x="41"/>
        <item x="2169"/>
        <item x="614"/>
        <item x="2133"/>
        <item x="1438"/>
        <item x="712"/>
        <item x="1981"/>
        <item x="1844"/>
        <item x="556"/>
        <item x="1766"/>
        <item x="223"/>
        <item x="2427"/>
        <item x="2036"/>
        <item x="818"/>
        <item x="1266"/>
        <item x="2857"/>
        <item x="1888"/>
        <item x="4348"/>
        <item x="2311"/>
        <item x="3519"/>
        <item x="408"/>
        <item x="1158"/>
        <item x="3891"/>
        <item x="1308"/>
        <item x="3823"/>
        <item x="455"/>
        <item x="2891"/>
        <item x="4839"/>
        <item x="748"/>
        <item x="1572"/>
        <item x="1379"/>
        <item x="4457"/>
        <item x="236"/>
        <item x="3240"/>
        <item x="1521"/>
        <item x="722"/>
        <item x="715"/>
        <item x="2245"/>
        <item x="3161"/>
        <item x="386"/>
        <item x="3677"/>
        <item x="3710"/>
        <item x="2687"/>
        <item x="659"/>
        <item x="2250"/>
        <item x="5005"/>
        <item x="4181"/>
        <item x="4905"/>
        <item x="3796"/>
        <item x="3671"/>
        <item x="3211"/>
        <item x="1510"/>
        <item x="1208"/>
        <item x="955"/>
        <item x="1515"/>
        <item x="3334"/>
        <item x="1615"/>
        <item x="2509"/>
        <item x="1865"/>
        <item x="4019"/>
        <item x="90"/>
        <item x="1745"/>
        <item x="3931"/>
        <item x="3858"/>
        <item x="3237"/>
        <item x="869"/>
        <item x="267"/>
        <item x="335"/>
        <item x="1601"/>
        <item x="4224"/>
        <item x="4002"/>
        <item x="1720"/>
        <item x="936"/>
        <item x="3885"/>
        <item x="2181"/>
        <item x="581"/>
        <item x="249"/>
        <item x="2732"/>
        <item x="4488"/>
        <item x="4265"/>
        <item x="4397"/>
        <item x="104"/>
        <item x="1799"/>
        <item x="2152"/>
        <item x="3201"/>
        <item x="3474"/>
        <item x="1968"/>
        <item x="2354"/>
        <item x="1747"/>
        <item x="3051"/>
        <item x="5006"/>
        <item x="4676"/>
        <item x="1589"/>
        <item x="4242"/>
        <item x="1227"/>
        <item x="2500"/>
        <item x="3813"/>
        <item x="2839"/>
        <item x="3637"/>
        <item x="277"/>
        <item x="2704"/>
        <item x="3198"/>
        <item x="568"/>
        <item x="2521"/>
        <item x="1983"/>
        <item x="2324"/>
        <item x="2055"/>
        <item x="1116"/>
        <item x="939"/>
        <item x="2337"/>
        <item x="661"/>
        <item x="1502"/>
        <item x="1837"/>
        <item x="4841"/>
        <item x="4099"/>
        <item x="4219"/>
        <item x="3048"/>
        <item x="302"/>
        <item x="126"/>
        <item x="3606"/>
        <item x="2075"/>
        <item x="2072"/>
        <item x="2471"/>
        <item x="2994"/>
        <item x="2764"/>
        <item x="820"/>
        <item x="1267"/>
        <item x="359"/>
        <item x="1872"/>
        <item x="4953"/>
        <item x="4942"/>
        <item x="586"/>
        <item x="2511"/>
        <item x="620"/>
        <item x="674"/>
        <item x="2913"/>
        <item x="1043"/>
        <item x="854"/>
        <item x="2786"/>
        <item x="1674"/>
        <item x="3306"/>
        <item x="70"/>
        <item x="1382"/>
        <item x="3257"/>
        <item x="3734"/>
        <item x="2706"/>
        <item x="3563"/>
        <item x="1599"/>
        <item x="1749"/>
        <item x="1056"/>
        <item x="558"/>
        <item x="811"/>
        <item x="2224"/>
        <item x="4699"/>
        <item x="4432"/>
        <item x="407"/>
        <item x="4441"/>
        <item x="2232"/>
        <item x="311"/>
        <item x="3619"/>
        <item x="3703"/>
        <item x="87"/>
        <item x="2668"/>
        <item x="1716"/>
        <item x="3440"/>
        <item x="2256"/>
        <item x="3899"/>
        <item x="2560"/>
        <item x="3996"/>
        <item x="1948"/>
        <item x="1378"/>
        <item x="4524"/>
        <item x="3621"/>
        <item x="2131"/>
        <item x="1763"/>
        <item x="4795"/>
        <item x="554"/>
        <item x="36"/>
        <item x="150"/>
        <item x="3078"/>
        <item x="1793"/>
        <item x="3833"/>
        <item x="2455"/>
        <item x="317"/>
        <item x="4122"/>
        <item x="2680"/>
        <item x="545"/>
        <item x="506"/>
        <item x="3486"/>
        <item x="4765"/>
        <item x="884"/>
        <item x="977"/>
        <item x="4906"/>
        <item x="4440"/>
        <item x="893"/>
        <item x="2110"/>
        <item x="2358"/>
        <item x="3529"/>
        <item x="1501"/>
        <item x="4642"/>
        <item x="2513"/>
        <item x="3550"/>
        <item x="808"/>
        <item x="2551"/>
        <item x="2306"/>
        <item x="4312"/>
        <item x="1891"/>
        <item x="799"/>
        <item x="907"/>
        <item x="1547"/>
        <item x="2816"/>
        <item x="1652"/>
        <item x="583"/>
        <item x="603"/>
        <item x="1840"/>
        <item x="371"/>
        <item x="3231"/>
        <item x="2086"/>
        <item x="2983"/>
        <item x="1597"/>
        <item x="3324"/>
        <item x="264"/>
        <item x="290"/>
        <item x="2424"/>
        <item x="3576"/>
        <item x="3412"/>
        <item x="1579"/>
        <item x="2852"/>
        <item x="4188"/>
        <item x="1194"/>
        <item x="2168"/>
        <item x="4890"/>
        <item x="1050"/>
        <item x="1920"/>
        <item x="3056"/>
        <item x="4519"/>
        <item x="3829"/>
        <item x="4611"/>
        <item x="2012"/>
        <item x="2175"/>
        <item x="4373"/>
        <item x="1963"/>
        <item x="3273"/>
        <item x="863"/>
        <item x="4913"/>
        <item x="3053"/>
        <item x="1843"/>
        <item x="2214"/>
        <item x="4466"/>
        <item x="2933"/>
        <item x="4468"/>
        <item x="5010"/>
        <item x="3965"/>
        <item x="2172"/>
        <item x="1606"/>
        <item x="917"/>
        <item x="3304"/>
        <item x="3469"/>
        <item x="1230"/>
        <item x="1429"/>
        <item x="44"/>
        <item x="1001"/>
        <item x="2879"/>
        <item x="2718"/>
        <item x="4211"/>
        <item x="4246"/>
        <item x="3442"/>
        <item x="37"/>
        <item x="4031"/>
        <item x="2389"/>
        <item x="3592"/>
        <item x="1304"/>
        <item x="3296"/>
        <item x="861"/>
        <item x="2001"/>
        <item x="741"/>
        <item x="4572"/>
        <item x="4909"/>
        <item x="2815"/>
        <item x="2308"/>
        <item x="4039"/>
        <item x="698"/>
        <item x="1457"/>
        <item x="1347"/>
        <item x="2903"/>
        <item x="3547"/>
        <item x="845"/>
        <item x="3668"/>
        <item x="4805"/>
        <item x="2798"/>
        <item x="826"/>
        <item x="852"/>
        <item x="4785"/>
        <item x="2567"/>
        <item x="2671"/>
        <item x="3467"/>
        <item x="3444"/>
        <item x="2074"/>
        <item x="3265"/>
        <item x="2629"/>
        <item x="539"/>
        <item x="346"/>
        <item x="148"/>
        <item x="1860"/>
        <item x="1783"/>
        <item x="2826"/>
        <item x="1251"/>
        <item x="806"/>
        <item x="699"/>
        <item x="3539"/>
        <item x="4096"/>
        <item x="3274"/>
        <item x="1211"/>
        <item x="537"/>
        <item x="4954"/>
        <item x="672"/>
        <item x="1509"/>
        <item x="3883"/>
        <item x="4567"/>
        <item x="766"/>
        <item x="246"/>
        <item x="1106"/>
        <item x="3372"/>
        <item x="2872"/>
        <item x="4424"/>
        <item x="4485"/>
        <item x="3466"/>
        <item x="4212"/>
        <item x="4769"/>
        <item x="3971"/>
        <item x="3121"/>
        <item x="2129"/>
        <item x="4998"/>
        <item x="4390"/>
        <item x="4285"/>
        <item x="4445"/>
        <item x="263"/>
        <item x="1761"/>
        <item x="3423"/>
        <item x="4015"/>
        <item x="4755"/>
        <item x="4388"/>
        <item x="4709"/>
        <item x="3950"/>
        <item x="4916"/>
        <item x="3821"/>
        <item x="2080"/>
        <item x="4436"/>
        <item x="3286"/>
        <item x="3313"/>
        <item x="2640"/>
        <item x="1079"/>
        <item x="678"/>
        <item x="2109"/>
        <item x="3618"/>
        <item x="2473"/>
        <item x="796"/>
        <item x="1154"/>
        <item x="1388"/>
        <item x="4092"/>
        <item x="1380"/>
        <item x="1193"/>
        <item x="1622"/>
        <item x="1484"/>
        <item x="1433"/>
        <item x="3922"/>
        <item x="4632"/>
        <item x="3403"/>
        <item x="218"/>
        <item x="337"/>
        <item x="4428"/>
        <item x="2769"/>
        <item x="4021"/>
        <item x="3794"/>
        <item x="3795"/>
        <item x="3432"/>
        <item x="1859"/>
        <item x="2028"/>
        <item x="4677"/>
        <item x="2998"/>
        <item x="272"/>
        <item x="4820"/>
        <item x="432"/>
        <item x="4510"/>
        <item x="608"/>
        <item x="801"/>
        <item x="2498"/>
        <item x="1697"/>
        <item x="1610"/>
        <item x="3788"/>
        <item x="1838"/>
        <item x="4050"/>
        <item x="4396"/>
        <item x="4651"/>
        <item x="2184"/>
        <item x="1181"/>
        <item x="3462"/>
        <item x="636"/>
        <item x="3976"/>
        <item x="1922"/>
        <item x="4171"/>
        <item x="1025"/>
        <item x="3852"/>
        <item x="1904"/>
        <item x="4109"/>
        <item x="3138"/>
        <item x="4569"/>
        <item x="3569"/>
        <item x="3759"/>
        <item x="110"/>
        <item x="4132"/>
        <item x="2154"/>
        <item x="2722"/>
        <item x="680"/>
        <item x="1608"/>
        <item x="4426"/>
        <item x="4350"/>
        <item x="2860"/>
        <item x="3937"/>
        <item x="2719"/>
        <item x="2344"/>
        <item x="4354"/>
        <item x="833"/>
        <item x="2568"/>
        <item x="414"/>
        <item x="1700"/>
        <item x="4270"/>
        <item x="3806"/>
        <item x="4477"/>
        <item x="769"/>
        <item x="3151"/>
        <item x="4739"/>
        <item x="1864"/>
        <item x="4732"/>
        <item x="2257"/>
        <item x="1328"/>
        <item x="4037"/>
        <item x="2363"/>
        <item x="3340"/>
        <item x="3264"/>
        <item x="4956"/>
        <item x="4531"/>
        <item x="3292"/>
        <item x="4127"/>
        <item x="4444"/>
        <item x="613"/>
        <item x="2770"/>
        <item x="4163"/>
        <item x="265"/>
        <item x="3224"/>
        <item x="1292"/>
        <item x="4142"/>
        <item x="4605"/>
        <item x="3957"/>
        <item x="4674"/>
        <item x="4989"/>
        <item x="3144"/>
        <item x="951"/>
        <item x="4180"/>
        <item x="3400"/>
        <item x="1698"/>
        <item x="4615"/>
        <item x="3175"/>
        <item x="1562"/>
        <item x="4616"/>
        <item x="4254"/>
        <item x="1299"/>
        <item x="356"/>
        <item x="103"/>
        <item x="4308"/>
        <item x="4547"/>
        <item x="3898"/>
        <item x="4894"/>
        <item x="4091"/>
        <item x="834"/>
        <item x="4816"/>
        <item x="3774"/>
        <item x="43"/>
        <item x="2603"/>
        <item x="1936"/>
        <item x="4304"/>
        <item x="2460"/>
        <item x="2069"/>
        <item x="3435"/>
        <item x="3620"/>
        <item x="2374"/>
        <item x="2153"/>
        <item x="4087"/>
        <item x="2218"/>
        <item x="1671"/>
        <item x="4215"/>
        <item x="3100"/>
        <item x="3096"/>
        <item x="2947"/>
        <item x="1937"/>
        <item x="1496"/>
        <item x="1710"/>
        <item x="4346"/>
        <item x="3411"/>
        <item x="2270"/>
        <item x="4311"/>
        <item x="2784"/>
        <item x="1396"/>
        <item x="4207"/>
        <item x="3726"/>
        <item x="310"/>
        <item x="3649"/>
        <item x="1967"/>
        <item x="3824"/>
        <item x="4431"/>
        <item x="1727"/>
        <item x="3147"/>
        <item x="2242"/>
        <item x="4701"/>
        <item x="4645"/>
        <item x="3580"/>
        <item x="2044"/>
        <item x="2076"/>
        <item x="1197"/>
        <item x="2967"/>
        <item x="4231"/>
        <item x="4990"/>
        <item x="3980"/>
        <item x="3914"/>
        <item x="2240"/>
        <item x="2285"/>
        <item x="3625"/>
        <item x="3506"/>
        <item x="3414"/>
        <item x="3068"/>
        <item x="2416"/>
        <item x="2971"/>
        <item x="4041"/>
        <item x="3368"/>
        <item x="1150"/>
        <item x="2565"/>
        <item x="588"/>
        <item x="4290"/>
        <item x="1474"/>
        <item x="1490"/>
        <item x="594"/>
        <item x="1306"/>
        <item x="3559"/>
        <item x="2317"/>
        <item x="1475"/>
        <item x="1677"/>
        <item x="1212"/>
        <item x="2583"/>
        <item x="1330"/>
        <item x="2335"/>
        <item x="1311"/>
        <item x="4988"/>
        <item x="4305"/>
        <item x="4786"/>
        <item x="745"/>
        <item x="2681"/>
        <item x="4461"/>
        <item x="2288"/>
        <item x="4948"/>
        <item x="3246"/>
        <item x="1065"/>
        <item x="4949"/>
        <item x="166"/>
        <item x="4233"/>
        <item x="4234"/>
        <item x="3997"/>
        <item x="4763"/>
        <item x="2673"/>
        <item x="1853"/>
        <item x="1005"/>
        <item x="505"/>
        <item x="792"/>
        <item x="4843"/>
        <item x="2439"/>
        <item x="2828"/>
        <item x="4646"/>
        <item x="4483"/>
        <item x="4411"/>
        <item x="4137"/>
        <item x="4695"/>
        <item x="4530"/>
        <item x="1845"/>
        <item x="4368"/>
        <item x="4693"/>
        <item x="751"/>
        <item x="1738"/>
        <item x="2723"/>
        <item x="780"/>
        <item x="858"/>
        <item x="1646"/>
        <item x="2530"/>
        <item x="3360"/>
        <item x="1394"/>
        <item x="4005"/>
        <item x="4857"/>
        <item x="4447"/>
        <item x="3555"/>
        <item x="2531"/>
        <item x="908"/>
        <item x="543"/>
        <item x="2365"/>
        <item x="2874"/>
        <item x="744"/>
        <item x="1818"/>
        <item x="4024"/>
        <item x="3702"/>
        <item x="1223"/>
        <item x="4875"/>
        <item x="3918"/>
        <item x="4809"/>
        <item x="3229"/>
        <item x="2878"/>
        <item x="3369"/>
        <item x="1782"/>
        <item x="3003"/>
        <item x="4072"/>
        <item x="434"/>
        <item x="1603"/>
        <item x="4151"/>
        <item x="1407"/>
        <item x="92"/>
        <item x="4506"/>
        <item x="2534"/>
        <item x="1657"/>
        <item x="639"/>
        <item x="3488"/>
        <item x="2642"/>
        <item x="824"/>
        <item x="457"/>
        <item x="2949"/>
        <item x="1262"/>
        <item x="1093"/>
        <item x="4597"/>
        <item x="4880"/>
        <item x="825"/>
        <item x="1618"/>
        <item x="3958"/>
        <item x="19"/>
        <item x="162"/>
        <item x="4560"/>
        <item x="3196"/>
        <item x="3672"/>
        <item x="1605"/>
        <item x="580"/>
        <item x="135"/>
        <item x="746"/>
        <item x="421"/>
        <item x="2762"/>
        <item x="1836"/>
        <item x="2758"/>
        <item x="4657"/>
        <item x="1982"/>
        <item x="1728"/>
        <item x="3928"/>
        <item x="526"/>
        <item x="3140"/>
        <item x="161"/>
        <item x="1846"/>
        <item x="3509"/>
        <item x="328"/>
        <item x="2730"/>
        <item x="838"/>
        <item x="187"/>
        <item x="3920"/>
        <item x="1467"/>
        <item x="3009"/>
        <item x="1823"/>
        <item x="928"/>
        <item x="255"/>
        <item x="2493"/>
        <item x="1329"/>
        <item x="4427"/>
        <item x="4262"/>
        <item x="3707"/>
        <item x="710"/>
        <item x="480"/>
        <item x="532"/>
        <item x="2972"/>
        <item x="3848"/>
        <item x="1356"/>
        <item x="3836"/>
        <item x="3634"/>
        <item x="3570"/>
        <item x="2956"/>
        <item x="278"/>
        <item x="4760"/>
        <item x="197"/>
        <item x="3947"/>
        <item x="2261"/>
        <item x="3007"/>
        <item x="3645"/>
        <item x="3"/>
        <item x="1558"/>
        <item x="390"/>
        <item x="2499"/>
        <item x="3090"/>
        <item x="3109"/>
        <item x="2610"/>
        <item x="3911"/>
        <item x="4000"/>
        <item x="4206"/>
        <item x="2185"/>
        <item x="4647"/>
        <item x="1555"/>
        <item x="2243"/>
        <item x="3189"/>
        <item x="4944"/>
        <item x="1176"/>
        <item x="3588"/>
        <item x="4549"/>
        <item x="4302"/>
        <item x="3475"/>
        <item x="4126"/>
        <item x="1943"/>
        <item x="3936"/>
        <item x="1441"/>
        <item x="409"/>
        <item x="4060"/>
        <item x="705"/>
        <item x="1157"/>
        <item x="546"/>
        <item x="3162"/>
        <item x="1026"/>
        <item x="1534"/>
        <item x="1283"/>
        <item x="3901"/>
        <item x="1984"/>
        <item x="4240"/>
        <item x="4046"/>
        <item x="1172"/>
        <item x="4727"/>
        <item x="502"/>
        <item x="1731"/>
        <item x="101"/>
        <item x="16"/>
        <item x="2882"/>
        <item x="2263"/>
        <item x="1104"/>
        <item x="1384"/>
        <item x="2533"/>
        <item x="214"/>
        <item x="2356"/>
        <item x="2130"/>
        <item x="2900"/>
        <item x="2328"/>
        <item x="823"/>
        <item x="1138"/>
        <item x="3148"/>
        <item x="559"/>
        <item x="4035"/>
        <item x="3387"/>
        <item x="1148"/>
        <item x="1992"/>
        <item x="1222"/>
        <item x="3495"/>
        <item x="336"/>
        <item x="2749"/>
        <item x="1024"/>
        <item x="533"/>
        <item x="4097"/>
        <item x="3476"/>
        <item x="3103"/>
        <item x="1811"/>
        <item x="3946"/>
        <item x="1561"/>
        <item x="3225"/>
        <item x="4352"/>
        <item x="1917"/>
        <item x="1209"/>
        <item x="3381"/>
        <item x="33"/>
        <item x="3767"/>
        <item x="3319"/>
        <item x="3005"/>
        <item x="4858"/>
        <item x="2529"/>
        <item x="521"/>
        <item x="4622"/>
        <item x="2236"/>
        <item x="1114"/>
        <item x="4892"/>
        <item x="4607"/>
        <item x="4746"/>
        <item x="4418"/>
        <item x="4214"/>
        <item x="3866"/>
        <item x="4358"/>
        <item x="1953"/>
        <item x="1686"/>
        <item x="1459"/>
        <item x="3790"/>
        <item x="3208"/>
        <item x="3128"/>
        <item x="904"/>
        <item x="1305"/>
        <item x="3510"/>
        <item x="118"/>
        <item x="85"/>
        <item x="510"/>
        <item x="2964"/>
        <item x="2940"/>
        <item x="1165"/>
        <item x="2135"/>
        <item x="3419"/>
        <item x="3724"/>
        <item x="3769"/>
        <item x="1160"/>
        <item x="2231"/>
        <item x="2865"/>
        <item x="1100"/>
        <item x="4149"/>
        <item x="3422"/>
        <item x="1842"/>
        <item x="2339"/>
        <item x="3582"/>
        <item x="140"/>
        <item x="1525"/>
        <item x="2128"/>
        <item x="3107"/>
        <item x="2302"/>
        <item x="2283"/>
        <item x="4702"/>
        <item x="4404"/>
        <item x="1894"/>
        <item x="28"/>
        <item x="3069"/>
        <item x="4606"/>
        <item x="4475"/>
        <item x="2829"/>
        <item x="922"/>
        <item x="2053"/>
        <item x="299"/>
        <item x="366"/>
        <item x="1397"/>
        <item x="859"/>
        <item x="3926"/>
        <item x="4143"/>
        <item x="2437"/>
        <item x="360"/>
        <item x="370"/>
        <item x="4973"/>
        <item x="3045"/>
        <item x="3283"/>
        <item x="2090"/>
        <item x="3647"/>
        <item x="1672"/>
        <item x="1332"/>
        <item x="283"/>
        <item x="339"/>
        <item x="2089"/>
        <item x="650"/>
        <item x="1322"/>
        <item x="1918"/>
        <item x="1554"/>
        <item x="1528"/>
        <item x="2262"/>
        <item x="3270"/>
        <item x="3205"/>
        <item x="523"/>
        <item x="3689"/>
        <item x="4068"/>
        <item x="284"/>
        <item x="1586"/>
        <item x="4984"/>
        <item x="4135"/>
        <item x="3913"/>
        <item x="3869"/>
        <item x="1354"/>
        <item x="4837"/>
        <item x="2284"/>
        <item x="2627"/>
        <item x="4910"/>
        <item x="3358"/>
        <item x="3755"/>
        <item x="2694"/>
        <item x="4084"/>
        <item x="464"/>
        <item x="2040"/>
        <item x="3033"/>
        <item x="1425"/>
        <item x="1078"/>
        <item x="1954"/>
        <item x="2470"/>
        <item x="2710"/>
        <item x="2041"/>
        <item x="875"/>
        <item x="873"/>
        <item x="4018"/>
        <item x="2946"/>
        <item x="1691"/>
        <item x="2827"/>
        <item x="1595"/>
        <item x="2205"/>
        <item x="4472"/>
        <item x="1692"/>
        <item x="1296"/>
        <item x="3267"/>
        <item x="2705"/>
        <item x="4419"/>
        <item x="2538"/>
        <item x="2637"/>
        <item x="4297"/>
        <item x="1362"/>
        <item x="1412"/>
        <item x="1210"/>
        <item x="4116"/>
        <item x="3095"/>
        <item x="2774"/>
        <item x="2032"/>
        <item x="1519"/>
        <item x="254"/>
        <item x="4387"/>
        <item x="2501"/>
        <item x="1229"/>
        <item x="2159"/>
        <item x="2738"/>
        <item x="1220"/>
        <item x="205"/>
        <item x="2797"/>
        <item x="4075"/>
        <item x="3393"/>
        <item x="517"/>
        <item x="2908"/>
        <item x="687"/>
        <item x="3407"/>
        <item x="3903"/>
        <item x="2636"/>
        <item x="4604"/>
        <item x="1957"/>
        <item x="4877"/>
        <item x="452"/>
        <item x="3106"/>
        <item x="3594"/>
        <item x="439"/>
        <item x="4721"/>
        <item x="4686"/>
        <item x="888"/>
        <item x="2226"/>
        <item x="48"/>
        <item x="4914"/>
        <item x="2585"/>
        <item x="1462"/>
        <item x="4160"/>
        <item x="2290"/>
        <item x="3050"/>
        <item x="737"/>
        <item x="4245"/>
        <item x="2220"/>
        <item x="1128"/>
        <item x="3256"/>
        <item x="2341"/>
        <item x="3135"/>
        <item x="1410"/>
        <item x="3058"/>
        <item x="2859"/>
        <item x="4376"/>
        <item x="3641"/>
        <item x="4724"/>
        <item x="2292"/>
        <item x="2445"/>
        <item x="2323"/>
        <item x="242"/>
        <item x="127"/>
        <item x="4473"/>
        <item x="4667"/>
        <item x="4026"/>
        <item x="702"/>
        <item x="4665"/>
        <item x="2452"/>
        <item x="291"/>
        <item x="219"/>
        <item x="3863"/>
        <item x="1584"/>
        <item x="3353"/>
        <item x="616"/>
        <item x="3310"/>
        <item x="1926"/>
        <item x="4844"/>
        <item x="2052"/>
        <item x="843"/>
        <item x="2867"/>
        <item x="3583"/>
        <item x="3872"/>
        <item x="905"/>
        <item x="2376"/>
        <item x="1634"/>
        <item x="2397"/>
        <item x="2740"/>
        <item x="3533"/>
        <item x="1046"/>
        <item x="2034"/>
        <item x="1633"/>
        <item x="4088"/>
        <item x="4730"/>
        <item x="4244"/>
        <item x="2519"/>
        <item x="4912"/>
        <item x="2558"/>
        <item x="3044"/>
        <item x="3253"/>
        <item x="1469"/>
        <item x="4491"/>
        <item x="449"/>
        <item x="202"/>
        <item x="4278"/>
        <item x="4172"/>
        <item x="4166"/>
        <item x="2070"/>
        <item x="3139"/>
        <item x="3029"/>
        <item x="2494"/>
        <item x="222"/>
        <item x="2974"/>
        <item x="4962"/>
        <item x="4381"/>
        <item x="3460"/>
        <item x="2381"/>
        <item x="2038"/>
        <item x="1460"/>
        <item x="2266"/>
        <item x="4293"/>
        <item x="4787"/>
        <item x="2690"/>
        <item x="4012"/>
        <item x="1832"/>
        <item x="3330"/>
        <item x="4066"/>
        <item x="721"/>
        <item x="2713"/>
        <item x="2320"/>
        <item x="1014"/>
        <item x="2880"/>
        <item x="1701"/>
        <item x="260"/>
        <item x="2176"/>
        <item x="950"/>
        <item x="3115"/>
        <item x="2814"/>
        <item x="4961"/>
        <item x="348"/>
        <item x="612"/>
        <item x="4781"/>
        <item x="2744"/>
        <item x="1327"/>
        <item x="3448"/>
        <item x="399"/>
        <item x="4772"/>
        <item x="2850"/>
        <item x="3741"/>
        <item x="1018"/>
        <item x="3517"/>
        <item x="3102"/>
        <item x="332"/>
        <item x="2425"/>
        <item x="1913"/>
        <item x="1258"/>
        <item x="4683"/>
        <item x="2275"/>
        <item x="3954"/>
        <item x="2712"/>
        <item x="622"/>
        <item x="2980"/>
        <item x="2619"/>
        <item x="4469"/>
        <item x="3546"/>
        <item x="215"/>
        <item x="2767"/>
        <item x="4433"/>
        <item x="3157"/>
        <item x="4846"/>
        <item x="3782"/>
        <item x="173"/>
        <item x="4761"/>
        <item x="4974"/>
        <item x="2726"/>
        <item x="4713"/>
        <item x="4323"/>
        <item x="1248"/>
        <item x="2002"/>
        <item x="4320"/>
        <item x="2832"/>
        <item x="4421"/>
        <item x="456"/>
        <item x="4976"/>
        <item x="4624"/>
        <item x="4392"/>
        <item x="1643"/>
        <item x="4586"/>
        <item x="3408"/>
        <item x="4855"/>
        <item x="3673"/>
        <item x="3445"/>
        <item x="4410"/>
        <item x="1398"/>
        <item x="198"/>
        <item x="4678"/>
        <item x="949"/>
        <item x="4324"/>
        <item x="3072"/>
        <item x="1520"/>
        <item x="3662"/>
        <item x="1536"/>
        <item x="1552"/>
        <item x="1815"/>
        <item x="3881"/>
        <item x="1285"/>
        <item x="3326"/>
        <item x="4650"/>
        <item x="4991"/>
        <item x="2216"/>
        <item x="3749"/>
        <item x="3894"/>
        <item x="4768"/>
        <item x="3777"/>
        <item x="4634"/>
        <item x="2273"/>
        <item x="2654"/>
        <item x="4882"/>
        <item x="3354"/>
        <item x="14"/>
        <item x="4155"/>
        <item x="735"/>
        <item x="4196"/>
        <item x="3041"/>
        <item x="1867"/>
        <item x="184"/>
        <item x="4340"/>
        <item x="4451"/>
        <item x="1585"/>
        <item x="1061"/>
        <item x="2523"/>
        <item x="4540"/>
        <item x="2594"/>
        <item x="243"/>
        <item x="896"/>
        <item x="4366"/>
        <item x="1543"/>
        <item x="1907"/>
        <item x="364"/>
        <item x="4725"/>
        <item x="4165"/>
        <item x="1735"/>
        <item x="1529"/>
        <item x="1471"/>
        <item x="3395"/>
        <item x="667"/>
        <item x="1889"/>
        <item x="2367"/>
        <item x="1577"/>
        <item x="1997"/>
        <item x="50"/>
        <item x="141"/>
        <item x="3473"/>
        <item x="1805"/>
        <item x="542"/>
        <item x="655"/>
        <item x="795"/>
        <item x="3798"/>
        <item x="931"/>
        <item x="623"/>
        <item x="5009"/>
        <item x="1829"/>
        <item x="4314"/>
        <item x="1201"/>
        <item x="2715"/>
        <item x="1901"/>
        <item x="2716"/>
        <item x="1678"/>
        <item x="2825"/>
        <item x="1268"/>
        <item x="1715"/>
        <item x="958"/>
        <item x="3436"/>
        <item x="1256"/>
        <item x="3150"/>
        <item x="1776"/>
        <item x="2618"/>
        <item x="1760"/>
        <item x="4664"/>
        <item x="4740"/>
        <item x="2408"/>
        <item x="2666"/>
        <item x="4806"/>
        <item x="3664"/>
        <item x="1794"/>
        <item x="46"/>
        <item x="4866"/>
        <item x="3771"/>
        <item x="4383"/>
        <item x="4927"/>
        <item x="4735"/>
        <item x="2625"/>
        <item x="3430"/>
        <item x="4571"/>
        <item x="2192"/>
        <item x="3318"/>
        <item x="3428"/>
        <item x="2701"/>
        <item x="2495"/>
        <item x="4259"/>
        <item x="401"/>
        <item x="491"/>
        <item x="3540"/>
        <item x="2199"/>
        <item x="1778"/>
        <item x="3663"/>
        <item x="2727"/>
        <item x="4114"/>
        <item x="1979"/>
        <item x="406"/>
        <item x="4400"/>
        <item x="1090"/>
        <item x="3351"/>
        <item x="775"/>
        <item x="4200"/>
        <item x="4413"/>
        <item x="547"/>
        <item x="4639"/>
        <item x="4814"/>
        <item x="1707"/>
        <item x="315"/>
        <item x="1900"/>
        <item x="1133"/>
        <item x="574"/>
        <item x="4756"/>
        <item x="654"/>
        <item x="4248"/>
        <item x="1039"/>
        <item x="4010"/>
        <item x="2450"/>
        <item x="529"/>
        <item x="4430"/>
        <item x="2113"/>
        <item x="1035"/>
        <item x="4863"/>
        <item x="648"/>
        <item x="2225"/>
        <item x="2935"/>
        <item x="1431"/>
        <item x="4902"/>
        <item x="1791"/>
        <item x="2111"/>
        <item x="1317"/>
        <item x="9"/>
        <item x="2420"/>
        <item x="3002"/>
        <item x="3939"/>
        <item x="996"/>
        <item x="3556"/>
        <item x="212"/>
        <item x="926"/>
        <item x="3498"/>
        <item x="3129"/>
        <item x="4125"/>
        <item x="2746"/>
        <item x="2791"/>
        <item x="3998"/>
        <item x="2555"/>
        <item x="4661"/>
        <item x="4736"/>
        <item x="2022"/>
        <item x="3733"/>
        <item x="1574"/>
        <item x="1179"/>
        <item x="2087"/>
        <item x="1942"/>
        <item x="2264"/>
        <item x="1376"/>
        <item x="3756"/>
        <item x="2665"/>
        <item x="2298"/>
        <item x="4013"/>
        <item x="4631"/>
        <item x="159"/>
        <item x="10"/>
        <item x="3142"/>
        <item x="12"/>
        <item x="2138"/>
        <item x="2543"/>
        <item x="1124"/>
        <item x="2444"/>
        <item x="598"/>
        <item x="2672"/>
        <item x="657"/>
        <item x="2991"/>
        <item x="2293"/>
        <item x="3930"/>
        <item x="4592"/>
        <item x="2048"/>
        <item x="4226"/>
        <item x="3187"/>
        <item x="3000"/>
        <item x="1224"/>
        <item x="1684"/>
        <item x="3584"/>
        <item x="3572"/>
        <item x="4966"/>
        <item x="2597"/>
        <item x="789"/>
        <item x="160"/>
        <item x="226"/>
        <item x="3543"/>
        <item x="3690"/>
        <item x="3122"/>
        <item x="224"/>
        <item x="881"/>
        <item x="716"/>
        <item x="4237"/>
        <item x="1214"/>
        <item x="1353"/>
        <item x="816"/>
        <item x="864"/>
        <item x="2276"/>
        <item x="2422"/>
        <item x="2254"/>
        <item x="3800"/>
        <item x="2428"/>
        <item x="2505"/>
        <item x="4220"/>
        <item x="1736"/>
        <item x="2641"/>
        <item x="2375"/>
        <item x="3472"/>
        <item x="4378"/>
        <item x="111"/>
        <item x="2208"/>
        <item x="666"/>
        <item x="1852"/>
        <item x="124"/>
        <item x="964"/>
        <item x="3386"/>
        <item x="2291"/>
        <item x="2626"/>
        <item x="3817"/>
        <item x="3849"/>
        <item x="2366"/>
        <item x="57"/>
        <item x="4587"/>
        <item x="4236"/>
        <item x="2100"/>
        <item x="1723"/>
        <item x="4929"/>
        <item x="3088"/>
        <item x="2575"/>
        <item x="3183"/>
        <item x="4867"/>
        <item x="2856"/>
        <item x="3631"/>
        <item x="1424"/>
        <item x="1884"/>
        <item x="1647"/>
        <item x="321"/>
        <item x="2237"/>
        <item x="1559"/>
        <item x="4156"/>
        <item x="3271"/>
        <item x="2187"/>
        <item x="3577"/>
        <item x="3974"/>
        <item x="3699"/>
        <item x="3248"/>
        <item x="1449"/>
        <item x="723"/>
        <item x="3900"/>
        <item x="1630"/>
        <item x="3247"/>
        <item x="2024"/>
        <item x="3762"/>
        <item x="4670"/>
        <item x="3512"/>
        <item x="2021"/>
        <item x="1834"/>
        <item x="2525"/>
        <item x="2488"/>
        <item x="663"/>
        <item x="1447"/>
        <item x="4557"/>
        <item x="1662"/>
        <item x="901"/>
        <item x="3635"/>
        <item x="4310"/>
        <item x="2095"/>
        <item x="4749"/>
        <item x="1830"/>
        <item x="186"/>
        <item x="3653"/>
        <item x="1409"/>
        <item x="1964"/>
        <item x="540"/>
        <item x="3932"/>
        <item x="2898"/>
        <item x="1284"/>
        <item x="3104"/>
        <item x="1670"/>
        <item x="4613"/>
        <item x="2999"/>
        <item x="1999"/>
        <item x="136"/>
        <item x="102"/>
        <item x="4338"/>
        <item x="3416"/>
        <item x="4827"/>
        <item x="3805"/>
        <item x="4251"/>
        <item x="2382"/>
        <item x="1432"/>
        <item x="1880"/>
        <item x="3615"/>
        <item x="4985"/>
        <item x="3126"/>
        <item x="2474"/>
        <item x="2125"/>
        <item x="4140"/>
        <item x="1570"/>
        <item x="4922"/>
        <item x="4584"/>
        <item x="451"/>
        <item x="268"/>
        <item x="38"/>
        <item x="4943"/>
        <item x="2013"/>
        <item x="2582"/>
        <item x="3655"/>
        <item x="3046"/>
        <item x="1404"/>
        <item x="2466"/>
        <item x="4802"/>
        <item x="252"/>
        <item x="2623"/>
        <item x="4687"/>
        <item x="4434"/>
        <item x="2871"/>
        <item x="880"/>
        <item x="4496"/>
        <item x="123"/>
        <item x="4840"/>
        <item x="2170"/>
        <item x="2482"/>
        <item x="1705"/>
        <item x="832"/>
        <item x="4517"/>
        <item x="1013"/>
        <item x="427"/>
        <item x="691"/>
        <item x="266"/>
        <item x="125"/>
        <item x="2613"/>
        <item x="3838"/>
        <item x="2937"/>
        <item x="404"/>
        <item x="76"/>
        <item x="4937"/>
        <item x="257"/>
        <item x="3984"/>
        <item x="59"/>
        <item x="97"/>
        <item x="2775"/>
        <item x="1164"/>
        <item x="3379"/>
        <item x="2993"/>
        <item x="3149"/>
        <item x="498"/>
        <item x="2361"/>
        <item x="176"/>
        <item x="2553"/>
        <item x="1270"/>
        <item x="1683"/>
        <item x="2045"/>
        <item x="631"/>
        <item x="534"/>
        <item x="3943"/>
        <item x="1294"/>
        <item x="3402"/>
        <item x="3811"/>
        <item x="1260"/>
        <item x="3873"/>
        <item x="3680"/>
        <item x="2343"/>
        <item x="2464"/>
        <item x="2599"/>
        <item x="25"/>
        <item x="1196"/>
        <item x="454"/>
        <item x="1083"/>
        <item x="72"/>
        <item x="1007"/>
        <item x="1028"/>
        <item x="551"/>
        <item x="4546"/>
        <item x="3845"/>
        <item x="3165"/>
        <item x="2457"/>
        <item x="1455"/>
        <item x="3830"/>
        <item x="2768"/>
        <item x="203"/>
        <item x="1833"/>
        <item x="3373"/>
        <item x="4952"/>
        <item x="3396"/>
        <item x="2576"/>
        <item x="890"/>
        <item x="365"/>
        <item x="1565"/>
        <item x="4"/>
        <item x="2004"/>
        <item x="3502"/>
        <item x="3146"/>
        <item x="4655"/>
        <item x="1764"/>
        <item x="2711"/>
        <item x="1413"/>
        <item x="2370"/>
        <item x="4103"/>
        <item x="4391"/>
        <item x="1919"/>
        <item x="47"/>
        <item x="4349"/>
        <item x="2761"/>
        <item x="1825"/>
        <item x="1058"/>
        <item x="2821"/>
        <item x="566"/>
        <item x="708"/>
        <item x="1512"/>
        <item x="1772"/>
        <item x="4553"/>
        <item x="1742"/>
        <item x="1773"/>
        <item x="3042"/>
        <item x="4271"/>
        <item x="1366"/>
        <item x="1995"/>
        <item x="4641"/>
        <item x="2228"/>
        <item x="2453"/>
        <item x="4194"/>
        <item x="2504"/>
        <item x="2280"/>
        <item x="2286"/>
        <item x="4095"/>
        <item x="1774"/>
        <item x="411"/>
        <item x="3719"/>
        <item x="1408"/>
        <item x="4458"/>
        <item x="3203"/>
        <item x="4273"/>
        <item x="4759"/>
        <item x="3508"/>
        <item x="227"/>
        <item x="2820"/>
        <item x="325"/>
        <item x="2858"/>
        <item x="2622"/>
        <item x="2251"/>
        <item x="4704"/>
        <item x="2327"/>
        <item x="4169"/>
        <item x="1847"/>
        <item x="1042"/>
        <item x="3222"/>
        <item x="3308"/>
        <item x="4536"/>
        <item x="4862"/>
        <item x="3656"/>
        <item x="4183"/>
        <item x="1822"/>
        <item x="51"/>
        <item x="4525"/>
        <item x="3846"/>
        <item x="467"/>
        <item x="1911"/>
        <item x="195"/>
        <item x="1797"/>
        <item x="3214"/>
        <item x="1115"/>
        <item x="3590"/>
        <item x="2926"/>
        <item x="4065"/>
        <item x="4464"/>
        <item x="2369"/>
        <item x="1620"/>
        <item x="1470"/>
        <item x="2988"/>
        <item x="3644"/>
        <item x="1730"/>
        <item x="304"/>
        <item x="557"/>
        <item x="2015"/>
        <item x="122"/>
        <item x="3272"/>
        <item x="3163"/>
        <item x="1191"/>
        <item x="4141"/>
        <item x="340"/>
        <item x="4329"/>
        <item x="3970"/>
        <item x="475"/>
        <item x="100"/>
        <item x="382"/>
        <item x="2939"/>
        <item x="1416"/>
        <item x="4590"/>
        <item x="4081"/>
        <item x="1178"/>
        <item x="4481"/>
        <item x="2407"/>
        <item x="2259"/>
        <item x="1301"/>
        <item x="2123"/>
        <item x="1613"/>
        <item x="3709"/>
        <item x="4662"/>
        <item x="4957"/>
        <item x="3188"/>
        <item x="4336"/>
        <item x="2808"/>
        <item x="2178"/>
        <item x="991"/>
        <item x="4521"/>
        <item x="1903"/>
        <item x="4332"/>
        <item x="262"/>
        <item x="2027"/>
        <item x="3083"/>
        <item x="3218"/>
        <item x="3166"/>
        <item x="2429"/>
        <item x="1190"/>
        <item x="3511"/>
        <item x="1428"/>
        <item x="709"/>
        <item x="4405"/>
        <item x="1458"/>
        <item x="4635"/>
        <item x="3763"/>
        <item x="478"/>
        <item x="538"/>
        <item x="1076"/>
        <item x="2406"/>
        <item x="4585"/>
        <item x="3054"/>
        <item x="3343"/>
        <item x="564"/>
        <item x="23"/>
        <item x="1658"/>
        <item x="4791"/>
        <item x="2411"/>
        <item x="1751"/>
        <item x="2162"/>
        <item x="535"/>
        <item x="295"/>
        <item x="171"/>
        <item x="4504"/>
        <item x="3808"/>
        <item x="476"/>
        <item x="3674"/>
        <item x="4930"/>
        <item x="4083"/>
        <item x="2796"/>
        <item x="3596"/>
        <item x="900"/>
        <item x="1507"/>
        <item x="4398"/>
        <item x="3064"/>
        <item x="372"/>
        <item x="512"/>
        <item x="3483"/>
        <item x="4911"/>
        <item x="1935"/>
        <item x="4267"/>
        <item x="1504"/>
        <item x="1619"/>
        <item x="3810"/>
        <item x="2600"/>
        <item x="902"/>
        <item x="1335"/>
        <item x="3878"/>
        <item x="4757"/>
        <item x="3729"/>
        <item x="2432"/>
        <item x="2304"/>
        <item x="58"/>
        <item x="4344"/>
        <item x="2614"/>
        <item x="1590"/>
        <item x="4968"/>
        <item x="2707"/>
        <item x="1994"/>
        <item x="3137"/>
        <item x="2778"/>
        <item x="2925"/>
        <item x="2418"/>
        <item x="2380"/>
        <item x="419"/>
        <item x="2586"/>
        <item x="2247"/>
        <item x="3320"/>
        <item x="1451"/>
        <item x="2016"/>
        <item x="3281"/>
        <item x="1004"/>
        <item x="515"/>
        <item x="2997"/>
        <item x="466"/>
        <item x="3355"/>
        <item x="2667"/>
        <item x="3019"/>
        <item x="4062"/>
        <item x="3176"/>
        <item x="8"/>
        <item x="2077"/>
        <item x="2007"/>
        <item x="815"/>
        <item x="189"/>
        <item x="3632"/>
        <item x="1689"/>
        <item x="1592"/>
        <item x="1149"/>
        <item x="3376"/>
        <item x="4621"/>
        <item x="3505"/>
        <item x="1232"/>
        <item x="1391"/>
        <item x="1929"/>
        <item x="338"/>
        <item x="4448"/>
        <item x="4636"/>
        <item x="2674"/>
        <item x="4520"/>
        <item x="2151"/>
        <item x="2085"/>
        <item x="53"/>
        <item x="1596"/>
        <item x="3065"/>
        <item x="3685"/>
        <item x="327"/>
        <item x="183"/>
        <item x="4733"/>
        <item x="2877"/>
        <item x="4745"/>
        <item x="525"/>
        <item x="2071"/>
        <item x="4633"/>
        <item x="714"/>
        <item x="3819"/>
        <item x="4889"/>
        <item x="470"/>
        <item x="2528"/>
        <item x="652"/>
        <item x="2134"/>
        <item x="230"/>
        <item x="177"/>
        <item x="1140"/>
        <item x="2166"/>
        <item x="3020"/>
        <item x="3478"/>
        <item x="1655"/>
        <item x="2616"/>
        <item x="3194"/>
        <item x="62"/>
        <item x="362"/>
        <item x="4723"/>
        <item x="216"/>
        <item x="916"/>
        <item x="2785"/>
        <item x="1635"/>
        <item x="1611"/>
        <item x="2274"/>
        <item x="2587"/>
        <item x="2979"/>
        <item x="1370"/>
        <item x="4698"/>
        <item x="3812"/>
        <item x="1315"/>
        <item x="3464"/>
        <item x="2239"/>
        <item x="1682"/>
        <item x="4818"/>
        <item x="1497"/>
        <item x="1068"/>
        <item x="32"/>
        <item x="4821"/>
        <item x="4826"/>
        <item x="4812"/>
        <item x="4170"/>
        <item x="444"/>
        <item x="2920"/>
        <item x="200"/>
        <item x="5008"/>
        <item x="2318"/>
        <item x="3835"/>
        <item x="394"/>
        <item x="640"/>
        <item x="1696"/>
        <item x="4675"/>
        <item x="282"/>
        <item x="344"/>
        <item x="3982"/>
        <item x="4926"/>
        <item x="4007"/>
        <item x="1796"/>
        <item x="1465"/>
        <item x="343"/>
        <item x="5004"/>
        <item x="3455"/>
        <item x="2303"/>
        <item x="3113"/>
        <item x="4872"/>
        <item x="231"/>
        <item x="4744"/>
        <item x="734"/>
        <item x="2944"/>
        <item x="4291"/>
        <item x="4011"/>
        <item x="2990"/>
        <item x="2230"/>
        <item x="3325"/>
        <item x="2817"/>
        <item x="3507"/>
        <item x="4509"/>
        <item x="4714"/>
        <item x="1737"/>
        <item x="3530"/>
        <item x="1023"/>
        <item x="4895"/>
        <item x="3847"/>
        <item x="1925"/>
        <item x="682"/>
        <item x="3111"/>
        <item x="1307"/>
        <item x="2182"/>
        <item x="4407"/>
        <item x="2449"/>
        <item x="1625"/>
        <item x="2870"/>
        <item x="4556"/>
        <item x="1320"/>
        <item x="3063"/>
        <item x="389"/>
        <item x="3181"/>
        <item x="2268"/>
        <item x="4020"/>
        <item x="3896"/>
        <item x="2223"/>
        <item x="2456"/>
        <item x="1089"/>
        <item x="4367"/>
        <item x="1965"/>
        <item x="2846"/>
        <item x="2140"/>
        <item x="1422"/>
        <item x="1719"/>
        <item x="247"/>
        <item x="3730"/>
        <item x="1110"/>
        <item x="1171"/>
        <item x="2241"/>
        <item x="4454"/>
        <item x="4275"/>
        <item x="3339"/>
        <item x="488"/>
        <item x="3818"/>
        <item x="1909"/>
        <item x="1419"/>
        <item x="3880"/>
        <item x="2653"/>
        <item x="2031"/>
        <item x="2144"/>
        <item x="536"/>
        <item x="697"/>
        <item x="2008"/>
        <item x="3482"/>
        <item x="4460"/>
        <item x="3244"/>
        <item x="326"/>
        <item x="2436"/>
        <item x="2235"/>
        <item x="3639"/>
        <item x="956"/>
        <item x="2595"/>
        <item x="765"/>
        <item x="3060"/>
        <item x="1045"/>
        <item x="754"/>
        <item x="2063"/>
        <item x="4828"/>
        <item x="4798"/>
        <item x="2656"/>
        <item x="1915"/>
        <item x="3738"/>
        <item x="4789"/>
        <item x="3110"/>
        <item x="978"/>
        <item x="129"/>
        <item x="1234"/>
        <item x="4533"/>
        <item x="4365"/>
        <item x="2887"/>
        <item x="2165"/>
        <item x="1508"/>
        <item x="2299"/>
        <item x="3490"/>
        <item x="1453"/>
        <item x="2848"/>
        <item x="948"/>
        <item x="3397"/>
        <item x="946"/>
        <item x="2011"/>
        <item x="2773"/>
        <item x="2750"/>
        <item x="3860"/>
        <item x="4253"/>
        <item x="4627"/>
        <item x="3285"/>
        <item x="2433"/>
        <item x="156"/>
        <item x="481"/>
        <item x="3332"/>
        <item x="3055"/>
        <item x="2837"/>
        <item x="4199"/>
        <item x="4831"/>
        <item x="2897"/>
        <item x="152"/>
        <item x="3032"/>
        <item x="2652"/>
        <item x="2918"/>
        <item x="1871"/>
        <item x="3801"/>
        <item x="1923"/>
        <item x="3454"/>
        <item x="4764"/>
        <item x="2875"/>
        <item x="2559"/>
        <item x="1500"/>
        <item x="783"/>
        <item x="2552"/>
        <item x="2042"/>
        <item x="3967"/>
        <item x="3337"/>
        <item x="731"/>
        <item x="3036"/>
        <item x="1569"/>
        <item x="3532"/>
        <item x="3217"/>
        <item x="3825"/>
        <item x="1244"/>
        <item x="1531"/>
        <item x="4570"/>
        <item x="2973"/>
        <item x="1180"/>
        <item x="3840"/>
        <item x="1940"/>
        <item x="4692"/>
        <item x="3299"/>
        <item x="2454"/>
        <item x="3986"/>
        <item x="4201"/>
        <item x="1088"/>
        <item x="836"/>
        <item x="3391"/>
        <item x="4648"/>
        <item x="2338"/>
        <item x="3927"/>
        <item x="4619"/>
        <item x="4811"/>
        <item x="1780"/>
        <item x="2190"/>
        <item x="2475"/>
        <item x="2755"/>
        <item x="2945"/>
        <item x="2359"/>
        <item x="1645"/>
        <item x="625"/>
        <item x="1809"/>
        <item x="2412"/>
        <item x="308"/>
        <item x="2968"/>
        <item x="471"/>
        <item x="4094"/>
        <item x="3199"/>
        <item x="1075"/>
        <item x="170"/>
        <item x="489"/>
        <item x="499"/>
        <item x="664"/>
        <item x="4145"/>
        <item x="1624"/>
        <item x="963"/>
        <item x="459"/>
        <item x="2096"/>
        <item x="1392"/>
        <item x="1539"/>
        <item x="1722"/>
        <item x="3392"/>
        <item x="3651"/>
        <item x="3987"/>
        <item x="4256"/>
        <item x="1241"/>
        <item x="4601"/>
        <item x="550"/>
        <item x="4258"/>
        <item x="4503"/>
        <item x="4700"/>
        <item x="1961"/>
        <item x="4036"/>
        <item x="2957"/>
        <item x="2349"/>
        <item x="3841"/>
        <item x="4767"/>
        <item x="3850"/>
        <item x="1368"/>
        <item x="1744"/>
        <item x="289"/>
        <item x="4737"/>
        <item x="172"/>
        <item x="2986"/>
        <item x="1669"/>
        <item x="2037"/>
        <item x="3197"/>
        <item x="982"/>
        <item x="1768"/>
        <item x="3172"/>
        <item x="1169"/>
        <item x="4718"/>
        <item x="21"/>
        <item x="3401"/>
        <item x="3558"/>
        <item x="83"/>
        <item x="1699"/>
        <item x="2442"/>
        <item x="4752"/>
        <item x="485"/>
        <item x="3079"/>
        <item x="2866"/>
        <item x="4382"/>
        <item x="1252"/>
        <item x="3948"/>
        <item x="4280"/>
        <item x="1885"/>
        <item x="4777"/>
        <item x="4656"/>
        <item x="3170"/>
        <item x="3092"/>
        <item x="4876"/>
        <item x="4778"/>
        <item x="994"/>
        <item x="3245"/>
        <item x="4580"/>
        <item x="369"/>
        <item x="3757"/>
        <item x="768"/>
        <item x="853"/>
        <item x="1324"/>
        <item x="2779"/>
        <item x="3906"/>
        <item x="1373"/>
        <item x="2919"/>
        <item x="1487"/>
        <item x="1676"/>
        <item x="2492"/>
        <item x="3784"/>
        <item x="3521"/>
        <item x="2662"/>
        <item x="2688"/>
        <item x="1802"/>
        <item x="3067"/>
        <item x="3740"/>
        <item x="610"/>
        <item x="1993"/>
        <item x="1030"/>
        <item x="1831"/>
        <item x="4883"/>
        <item x="2605"/>
        <item x="4643"/>
        <item x="2584"/>
        <item x="2101"/>
        <item x="3553"/>
        <item x="3739"/>
        <item x="1666"/>
        <item x="3727"/>
        <item x="3317"/>
        <item x="3744"/>
        <item x="4384"/>
        <item x="486"/>
        <item x="4080"/>
        <item x="147"/>
        <item x="196"/>
        <item x="713"/>
        <item x="841"/>
        <item x="658"/>
        <item x="1029"/>
        <item x="3127"/>
        <item x="3017"/>
        <item x="2524"/>
        <item x="1182"/>
        <item x="2441"/>
        <item x="93"/>
        <item x="2480"/>
        <item x="3692"/>
        <item x="813"/>
        <item x="3696"/>
        <item x="99"/>
        <item x="787"/>
        <item x="154"/>
        <item x="4904"/>
        <item x="1483"/>
        <item x="1053"/>
        <item x="350"/>
        <item x="4758"/>
        <item x="3347"/>
        <item x="2279"/>
        <item x="679"/>
        <item x="52"/>
        <item x="3676"/>
        <item x="2018"/>
        <item x="1139"/>
        <item x="188"/>
        <item x="1430"/>
        <item x="1975"/>
        <item x="1665"/>
        <item x="4158"/>
        <item x="1882"/>
        <item x="1277"/>
        <item x="4565"/>
        <item x="4192"/>
        <item x="1247"/>
        <item x="2485"/>
        <item x="520"/>
        <item x="1706"/>
        <item x="1813"/>
        <item x="2982"/>
        <item x="204"/>
        <item x="4030"/>
        <item x="3410"/>
        <item x="2861"/>
        <item x="490"/>
        <item x="429"/>
        <item x="357"/>
        <item x="2033"/>
        <item x="383"/>
        <item x="2368"/>
        <item x="234"/>
        <item x="611"/>
        <item x="3250"/>
        <item x="1958"/>
        <item x="2914"/>
        <item x="3338"/>
        <item x="3024"/>
        <item x="3022"/>
        <item x="2735"/>
        <item x="771"/>
        <item x="2922"/>
        <item x="1890"/>
        <item x="119"/>
        <item x="2019"/>
        <item x="31"/>
        <item x="966"/>
        <item x="2252"/>
        <item x="2179"/>
        <item x="71"/>
        <item x="1779"/>
        <item x="3228"/>
        <item x="2265"/>
        <item x="889"/>
        <item x="921"/>
        <item x="4830"/>
        <item x="430"/>
        <item x="1947"/>
        <item x="3589"/>
        <item x="2540"/>
        <item x="2545"/>
        <item x="1443"/>
        <item x="2975"/>
        <item x="1263"/>
        <item x="2097"/>
        <item x="4004"/>
        <item x="670"/>
        <item x="5001"/>
        <item x="626"/>
        <item x="2099"/>
        <item x="3940"/>
        <item x="2855"/>
        <item x="2326"/>
        <item x="2863"/>
        <item x="4033"/>
        <item x="2198"/>
        <item x="4715"/>
        <item x="2331"/>
        <item x="1567"/>
        <item x="3783"/>
        <item x="292"/>
        <item x="352"/>
        <item x="2906"/>
        <item x="3014"/>
        <item x="738"/>
        <item x="4907"/>
        <item x="1107"/>
        <item x="4794"/>
        <item x="1787"/>
        <item x="3893"/>
        <item x="417"/>
        <item x="591"/>
        <item x="513"/>
        <item x="959"/>
        <item x="2127"/>
        <item x="4629"/>
        <item x="4849"/>
        <item x="3494"/>
        <item x="1505"/>
        <item x="4946"/>
        <item x="3427"/>
        <item x="887"/>
        <item x="4663"/>
        <item x="1185"/>
        <item x="895"/>
        <item x="4173"/>
        <item x="3750"/>
        <item x="3565"/>
        <item x="2601"/>
        <item x="4316"/>
        <item x="668"/>
        <item x="139"/>
        <item x="2697"/>
        <item x="1709"/>
        <item x="18"/>
        <item x="4051"/>
        <item x="3026"/>
        <item x="1944"/>
        <item x="1235"/>
        <item x="2512"/>
        <item x="2405"/>
        <item x="1694"/>
        <item x="4522"/>
        <item x="1792"/>
        <item x="1703"/>
        <item x="2733"/>
        <item x="2958"/>
        <item x="3434"/>
        <item x="835"/>
        <item x="4334"/>
        <item x="2006"/>
        <item x="286"/>
        <item x="3105"/>
        <item x="1186"/>
        <item x="3650"/>
        <item x="1137"/>
        <item x="4887"/>
        <item x="4766"/>
        <item x="2351"/>
        <item x="3457"/>
        <item x="704"/>
        <item x="1817"/>
        <item x="522"/>
        <item x="2081"/>
        <item x="55"/>
        <item x="802"/>
        <item x="1807"/>
        <item x="1819"/>
        <item x="4534"/>
        <item x="2638"/>
        <item x="2188"/>
        <item x="3815"/>
        <item x="1752"/>
        <item x="1479"/>
        <item x="426"/>
        <item x="1136"/>
        <item x="516"/>
        <item x="1073"/>
        <item x="2960"/>
        <item x="1130"/>
        <item x="4543"/>
        <item x="4371"/>
        <item x="3500"/>
        <item x="1996"/>
        <item x="1878"/>
        <item x="477"/>
        <item x="1546"/>
        <item x="759"/>
        <item x="531"/>
        <item x="669"/>
        <item x="4987"/>
        <item x="274"/>
        <item x="2297"/>
        <item x="4513"/>
        <item x="1951"/>
        <item x="3924"/>
        <item x="2116"/>
        <item x="2191"/>
        <item x="4566"/>
        <item x="2350"/>
        <item x="1583"/>
        <item x="4337"/>
        <item x="379"/>
        <item x="718"/>
        <item x="4490"/>
        <item x="353"/>
        <item x="1418"/>
        <item x="1649"/>
        <item x="4076"/>
        <item x="1945"/>
        <item x="3093"/>
        <item x="2465"/>
        <item x="4147"/>
        <item x="643"/>
        <item x="2147"/>
        <item x="1476"/>
        <item x="4221"/>
        <item x="460"/>
        <item x="4992"/>
        <item x="4014"/>
        <item x="3549"/>
        <item x="3097"/>
        <item x="1693"/>
        <item x="3261"/>
        <item x="1032"/>
        <item x="2789"/>
        <item x="293"/>
        <item x="368"/>
        <item x="1899"/>
        <item x="3545"/>
        <item x="4822"/>
        <item x="3262"/>
        <item x="3963"/>
        <item x="3348"/>
        <item x="555"/>
        <item x="729"/>
        <item x="1921"/>
        <item x="3357"/>
        <item x="3342"/>
        <item x="2484"/>
        <item x="2396"/>
        <item x="4230"/>
        <item x="1202"/>
        <item x="4272"/>
        <item x="2143"/>
        <item x="4868"/>
        <item x="2818"/>
        <item x="4139"/>
        <item x="2415"/>
        <item x="4467"/>
        <item x="2160"/>
        <item x="2532"/>
        <item x="2120"/>
        <item x="1789"/>
        <item x="373"/>
        <item x="638"/>
        <item x="4792"/>
        <item x="3827"/>
        <item x="1290"/>
        <item x="2222"/>
        <item x="1914"/>
        <item x="740"/>
        <item x="237"/>
        <item x="3715"/>
        <item x="3169"/>
        <item x="882"/>
        <item x="4071"/>
        <item x="3030"/>
        <item x="2754"/>
        <item x="954"/>
        <item x="4644"/>
        <item x="1066"/>
        <item x="1189"/>
        <item x="4361"/>
        <item x="1660"/>
        <item x="2793"/>
        <item x="1205"/>
        <item x="2377"/>
        <item x="3925"/>
        <item x="1535"/>
        <item x="2079"/>
        <item x="1401"/>
        <item x="3525"/>
        <item x="2731"/>
        <item x="2315"/>
        <item x="1765"/>
        <item x="4753"/>
        <item x="2892"/>
        <item x="764"/>
        <item x="3942"/>
        <item x="3174"/>
        <item x="1348"/>
        <item x="971"/>
        <item x="2536"/>
        <item x="2632"/>
        <item x="4515"/>
        <item x="1905"/>
        <item x="1000"/>
        <item x="692"/>
        <item x="3780"/>
        <item x="4997"/>
        <item x="4658"/>
        <item x="1071"/>
        <item x="4558"/>
        <item x="2059"/>
        <item x="3004"/>
        <item x="1876"/>
        <item x="3803"/>
        <item x="4093"/>
        <item x="2496"/>
        <item x="3614"/>
        <item x="2017"/>
        <item x="2355"/>
        <item x="193"/>
        <item x="2617"/>
        <item x="3722"/>
        <item x="3515"/>
        <item x="4238"/>
        <item x="810"/>
        <item x="86"/>
        <item x="4527"/>
        <item x="2548"/>
        <item x="3480"/>
        <item x="2578"/>
        <item x="2823"/>
        <item x="1063"/>
        <item x="2909"/>
        <item x="4608"/>
        <item x="3586"/>
        <item x="3535"/>
        <item x="4022"/>
        <item x="34"/>
        <item x="2824"/>
        <item x="3612"/>
        <item x="114"/>
        <item x="2497"/>
        <item x="388"/>
        <item x="1055"/>
        <item x="3405"/>
        <item x="3043"/>
        <item x="1103"/>
        <item x="4630"/>
        <item x="2043"/>
        <item x="4321"/>
        <item x="77"/>
        <item x="306"/>
        <item x="4057"/>
        <item x="1399"/>
        <item x="2395"/>
        <item x="1973"/>
        <item x="2692"/>
        <item x="4476"/>
        <item x="3861"/>
        <item x="4008"/>
        <item x="3915"/>
        <item x="3807"/>
        <item x="782"/>
        <item x="3322"/>
        <item x="347"/>
        <item x="2684"/>
        <item x="374"/>
        <item x="3180"/>
        <item x="2678"/>
        <item x="2682"/>
        <item x="3670"/>
        <item x="3725"/>
        <item x="5000"/>
        <item x="3705"/>
        <item x="20"/>
        <item x="1342"/>
        <item x="275"/>
        <item x="2689"/>
        <item x="2091"/>
        <item x="2319"/>
        <item x="696"/>
        <item x="2651"/>
        <item x="3887"/>
        <item x="49"/>
        <item x="567"/>
        <item x="2677"/>
        <item x="757"/>
        <item x="2371"/>
        <item x="3591"/>
        <item x="3862"/>
        <item x="3595"/>
        <item x="167"/>
        <item x="3184"/>
        <item x="1386"/>
        <item x="3843"/>
        <item x="4369"/>
        <item x="4187"/>
        <item x="4815"/>
        <item x="1318"/>
        <item x="4462"/>
        <item x="3210"/>
        <item x="2635"/>
        <item x="4617"/>
        <item x="1513"/>
        <item x="4157"/>
        <item x="1118"/>
        <item x="2448"/>
        <item x="1636"/>
        <item x="1602"/>
        <item x="4362"/>
        <item x="4928"/>
        <item x="319"/>
        <item x="1966"/>
        <item x="2996"/>
        <item x="273"/>
        <item x="778"/>
        <item x="2650"/>
        <item x="1511"/>
        <item x="1217"/>
        <item x="4945"/>
        <item x="3336"/>
        <item x="1549"/>
        <item x="2663"/>
        <item x="4790"/>
        <item x="933"/>
        <item x="619"/>
        <item x="2197"/>
        <item x="4227"/>
        <item x="2795"/>
        <item x="4489"/>
        <item x="3038"/>
        <item x="4668"/>
        <item x="1758"/>
        <item x="138"/>
        <item x="3921"/>
        <item x="3888"/>
        <item x="2564"/>
        <item x="2287"/>
        <item x="3728"/>
        <item x="1102"/>
        <item x="1530"/>
        <item x="4908"/>
        <item x="4951"/>
        <item x="530"/>
        <item x="3604"/>
        <item x="1887"/>
        <item x="1364"/>
        <item x="1998"/>
        <item x="3213"/>
        <item x="1980"/>
        <item x="837"/>
        <item x="3562"/>
        <item x="1291"/>
        <item x="3681"/>
        <item x="4025"/>
        <item x="3047"/>
        <item x="3406"/>
        <item x="4006"/>
        <item x="1861"/>
        <item x="1713"/>
        <item x="4542"/>
        <item x="3844"/>
        <item x="4478"/>
        <item x="2309"/>
        <item x="60"/>
        <item x="1591"/>
        <item x="4121"/>
        <item x="1040"/>
        <item x="850"/>
        <item x="2686"/>
        <item x="3315"/>
        <item x="2895"/>
        <item x="1978"/>
        <item x="288"/>
        <item x="1642"/>
        <item x="2751"/>
        <item x="3765"/>
        <item x="4446"/>
        <item x="1064"/>
        <item x="3441"/>
        <item x="3389"/>
        <item x="4306"/>
        <item x="3182"/>
        <item x="862"/>
        <item x="501"/>
        <item x="2253"/>
        <item x="3221"/>
        <item x="1187"/>
        <item x="711"/>
        <item x="2357"/>
        <item x="2904"/>
        <item x="2088"/>
        <item x="2508"/>
        <item x="3551"/>
        <item x="3568"/>
        <item x="3760"/>
        <item x="472"/>
        <item x="671"/>
        <item x="1759"/>
        <item x="3945"/>
        <item x="4268"/>
        <item x="4671"/>
        <item x="4637"/>
        <item x="3021"/>
        <item x="4161"/>
        <item x="3195"/>
        <item x="4626"/>
        <item x="3711"/>
        <item x="571"/>
        <item x="4313"/>
        <item x="1681"/>
        <item x="4893"/>
        <item x="1310"/>
        <item x="4493"/>
        <item x="484"/>
        <item x="4330"/>
        <item x="2098"/>
        <item x="774"/>
        <item x="4720"/>
        <item x="437"/>
        <item x="1637"/>
        <item x="4878"/>
        <item x="3049"/>
        <item x="2434"/>
        <item x="1977"/>
        <item x="3288"/>
        <item x="4048"/>
        <item x="1454"/>
        <item x="767"/>
        <item x="972"/>
        <item x="4264"/>
        <item x="1323"/>
        <item x="3023"/>
        <item x="1824"/>
        <item x="1334"/>
        <item x="2833"/>
        <item x="2003"/>
        <item x="4788"/>
        <item x="1070"/>
        <item x="2592"/>
        <item x="358"/>
        <item x="790"/>
        <item x="798"/>
        <item x="2604"/>
        <item x="1551"/>
        <item x="3112"/>
        <item x="2661"/>
        <item x="2736"/>
        <item x="2932"/>
        <item x="4298"/>
        <item x="2278"/>
        <item x="1644"/>
        <item x="4287"/>
        <item x="4986"/>
        <item x="906"/>
        <item x="3171"/>
        <item x="3969"/>
        <item x="3526"/>
        <item x="4363"/>
        <item x="2313"/>
        <item x="899"/>
        <item x="1309"/>
        <item x="821"/>
        <item x="1265"/>
        <item x="788"/>
        <item x="1956"/>
        <item x="2853"/>
        <item x="2910"/>
        <item x="596"/>
        <item x="3761"/>
        <item x="4544"/>
        <item x="4983"/>
        <item x="473"/>
        <item x="1275"/>
        <item x="3234"/>
        <item x="3975"/>
        <item x="2589"/>
        <item x="2046"/>
        <item x="1556"/>
        <item x="30"/>
        <item x="2483"/>
        <item x="4379"/>
        <item x="4538"/>
        <item x="4554"/>
        <item x="458"/>
        <item x="1184"/>
        <item x="3961"/>
        <item x="2124"/>
        <item x="3491"/>
        <item x="641"/>
        <item x="2896"/>
        <item x="1450"/>
        <item x="3981"/>
        <item x="3599"/>
        <item x="3999"/>
        <item x="3186"/>
        <item x="497"/>
        <item x="4850"/>
        <item x="3470"/>
        <item x="2745"/>
        <item x="2633"/>
        <item x="3479"/>
        <item x="1785"/>
        <item x="4108"/>
        <item x="4897"/>
        <item x="2189"/>
        <item x="1225"/>
        <item x="3754"/>
        <item x="1203"/>
        <item x="4299"/>
        <item x="261"/>
        <item x="4380"/>
        <item x="1545"/>
        <item x="4523"/>
        <item x="514"/>
        <item x="1069"/>
        <item x="3057"/>
        <item x="2923"/>
        <item x="3864"/>
        <item x="1786"/>
        <item x="245"/>
        <item x="570"/>
        <item x="1874"/>
        <item x="1402"/>
        <item x="1777"/>
        <item x="4347"/>
        <item x="1560"/>
        <item x="4900"/>
        <item x="4056"/>
        <item x="2624"/>
        <item x="4138"/>
        <item x="1312"/>
        <item x="1199"/>
        <item x="957"/>
        <item x="1367"/>
        <item x="3820"/>
        <item x="363"/>
        <item x="3242"/>
        <item x="3770"/>
        <item x="4216"/>
        <item x="1087"/>
        <item x="2811"/>
        <item x="4582"/>
        <item x="4185"/>
        <item x="1351"/>
        <item x="4102"/>
        <item x="3191"/>
        <item x="392"/>
        <item x="349"/>
        <item x="271"/>
        <item x="4374"/>
        <item x="3602"/>
        <item x="2121"/>
        <item x="4210"/>
        <item x="3158"/>
        <item x="797"/>
        <item x="2227"/>
        <item x="1488"/>
        <item x="313"/>
        <item x="4204"/>
        <item x="105"/>
        <item x="4708"/>
        <item x="4620"/>
        <item x="1550"/>
        <item x="1152"/>
        <item x="4649"/>
        <item x="2759"/>
        <item x="1233"/>
        <item x="1091"/>
        <item x="3633"/>
        <item x="4261"/>
        <item x="4370"/>
        <item x="3130"/>
        <item x="3598"/>
        <item x="602"/>
        <item x="1933"/>
        <item x="3700"/>
        <item x="4263"/>
        <item x="63"/>
        <item x="4561"/>
        <item x="1828"/>
        <item x="4842"/>
        <item x="3804"/>
        <item x="446"/>
        <item x="597"/>
        <item x="3748"/>
        <item x="232"/>
        <item x="248"/>
        <item x="504"/>
        <item x="3471"/>
        <item x="4575"/>
        <item x="4801"/>
        <item x="2864"/>
        <item x="2763"/>
        <item x="3605"/>
        <item x="2209"/>
        <item x="728"/>
        <item x="3851"/>
        <item x="961"/>
        <item x="2221"/>
        <item x="1726"/>
        <item x="1009"/>
        <item x="4443"/>
        <item x="840"/>
        <item x="2117"/>
        <item x="1739"/>
        <item x="1733"/>
        <item x="270"/>
        <item x="4947"/>
        <item x="3091"/>
        <item x="1656"/>
        <item x="2364"/>
        <item x="4001"/>
        <item x="4588"/>
        <item x="3792"/>
        <item x="3912"/>
        <item x="2700"/>
        <item x="178"/>
        <item x="157"/>
        <item x="483"/>
        <item x="4415"/>
        <item x="2566"/>
        <item x="239"/>
        <item x="4666"/>
        <item x="4017"/>
        <item x="1123"/>
        <item x="1269"/>
        <item x="2608"/>
        <item x="1767"/>
        <item x="4508"/>
        <item x="592"/>
        <item x="1355"/>
        <item x="2696"/>
        <item x="2346"/>
        <item x="4148"/>
        <item x="2321"/>
        <item x="3557"/>
        <item x="1300"/>
        <item x="4077"/>
        <item x="562"/>
        <item x="1361"/>
        <item x="1385"/>
        <item x="1708"/>
        <item x="1344"/>
        <item x="1048"/>
        <item x="2890"/>
        <item x="3648"/>
        <item x="3773"/>
        <item x="2260"/>
        <item x="3797"/>
        <item x="3968"/>
        <item x="2703"/>
        <item x="56"/>
        <item x="1059"/>
        <item x="2921"/>
        <item x="1612"/>
        <item x="3776"/>
        <item x="941"/>
        <item x="2675"/>
        <item x="791"/>
        <item x="1988"/>
        <item x="3654"/>
        <item x="4654"/>
        <item x="3666"/>
        <item x="3223"/>
        <item x="2772"/>
        <item x="2765"/>
        <item x="1746"/>
        <item x="3923"/>
        <item x="1250"/>
        <item x="1668"/>
        <item x="3990"/>
        <item x="2888"/>
        <item x="3433"/>
        <item x="528"/>
        <item x="2150"/>
        <item x="4117"/>
        <item x="1243"/>
        <item x="1617"/>
        <item x="914"/>
        <item x="3587"/>
        <item x="1167"/>
        <item x="1192"/>
        <item x="1456"/>
        <item x="4385"/>
        <item x="2547"/>
        <item x="3496"/>
        <item x="2068"/>
        <item x="3907"/>
        <item x="2362"/>
        <item x="1325"/>
        <item x="4705"/>
        <item x="777"/>
        <item x="2426"/>
        <item x="2995"/>
        <item x="1415"/>
        <item x="1038"/>
        <item x="1117"/>
        <item x="4359"/>
        <item x="3628"/>
        <item x="1916"/>
        <item x="4175"/>
        <item x="4529"/>
        <item x="4729"/>
        <item x="2648"/>
        <item x="1442"/>
        <item x="2734"/>
        <item x="2067"/>
        <item x="3977"/>
        <item x="4770"/>
        <item x="500"/>
        <item x="870"/>
        <item x="190"/>
        <item x="3415"/>
        <item x="3081"/>
        <item x="1912"/>
        <item x="221"/>
        <item x="3837"/>
        <item x="2447"/>
        <item x="396"/>
        <item x="2959"/>
        <item x="4389"/>
        <item x="4936"/>
        <item x="174"/>
        <item x="442"/>
        <item x="4168"/>
        <item x="4222"/>
        <item x="747"/>
        <item x="649"/>
        <item x="385"/>
        <item x="11"/>
        <item x="3028"/>
        <item x="839"/>
        <item x="786"/>
        <item x="805"/>
        <item x="3995"/>
        <item x="4874"/>
        <item x="4217"/>
        <item x="94"/>
        <item x="2934"/>
        <item x="4959"/>
        <item x="2332"/>
        <item x="1870"/>
        <item x="2670"/>
        <item x="3204"/>
        <item x="1041"/>
        <item x="1814"/>
        <item x="3688"/>
        <item x="4331"/>
        <item x="752"/>
        <item x="1495"/>
        <item x="4130"/>
        <item x="830"/>
        <item x="3413"/>
        <item x="2790"/>
        <item x="169"/>
        <item x="2234"/>
        <item x="4696"/>
        <item x="398"/>
        <item x="4865"/>
        <item x="3087"/>
        <item x="3938"/>
        <item x="4579"/>
        <item x="4932"/>
        <item x="1417"/>
        <item x="4516"/>
        <item x="1363"/>
        <item x="518"/>
        <item x="494"/>
        <item x="4471"/>
        <item x="634"/>
        <item x="3865"/>
        <item x="4439"/>
        <item x="1931"/>
        <item x="4999"/>
        <item x="3607"/>
        <item x="492"/>
        <item x="2409"/>
        <item x="185"/>
        <item x="181"/>
        <item x="4119"/>
        <item x="3302"/>
        <item x="1414"/>
        <item x="1237"/>
        <item x="1522"/>
        <item x="1803"/>
        <item x="4888"/>
        <item x="1135"/>
        <item x="3259"/>
        <item x="1049"/>
        <item x="1297"/>
        <item x="3743"/>
        <item x="4174"/>
        <item x="1331"/>
        <item x="2269"/>
        <item x="4054"/>
        <item x="2211"/>
        <item x="1253"/>
        <item x="2062"/>
        <item x="3487"/>
        <item x="250"/>
        <item x="984"/>
        <item x="35"/>
        <item x="1869"/>
        <item x="324"/>
        <item x="1421"/>
        <item x="593"/>
        <item x="1863"/>
        <item x="1537"/>
        <item x="4652"/>
        <item x="1098"/>
        <item x="4833"/>
        <item x="3278"/>
        <item x="387"/>
        <item x="378"/>
        <item x="1582"/>
        <item x="410"/>
        <item x="2840"/>
        <item x="5007"/>
        <item x="676"/>
        <item x="42"/>
        <item x="1129"/>
        <item x="2757"/>
        <item x="3350"/>
        <item x="3895"/>
        <item x="235"/>
        <item x="4941"/>
        <item x="976"/>
        <item x="3013"/>
        <item x="920"/>
        <item x="3675"/>
        <item x="3485"/>
        <item x="753"/>
        <item x="1147"/>
        <item x="2843"/>
        <item x="3367"/>
        <item x="3791"/>
        <item x="1781"/>
        <item x="4045"/>
        <item x="2771"/>
        <item x="3484"/>
        <item x="2163"/>
        <item x="3124"/>
        <item x="5011"/>
        <item x="673"/>
        <item x="1575"/>
        <item x="3341"/>
        <item x="2873"/>
        <item x="940"/>
        <item x="944"/>
        <item x="465"/>
        <item x="981"/>
        <item x="2655"/>
        <item x="4345"/>
        <item x="1126"/>
        <item x="872"/>
        <item x="4372"/>
        <item x="717"/>
        <item x="4416"/>
        <item x="2487"/>
        <item x="600"/>
        <item x="685"/>
        <item x="3732"/>
        <item x="3290"/>
        <item x="4873"/>
        <item x="4694"/>
        <item x="3723"/>
        <item x="942"/>
        <item x="151"/>
        <item x="1316"/>
        <item x="874"/>
        <item x="4435"/>
        <item x="3282"/>
        <item x="3564"/>
        <item x="3520"/>
        <item x="1566"/>
        <item x="1540"/>
        <item x="79"/>
        <item x="4453"/>
        <item x="776"/>
        <item x="1337"/>
        <item x="1338"/>
        <item x="3910"/>
        <item x="4925"/>
        <item x="3266"/>
        <item x="1273"/>
        <item x="1542"/>
        <item x="342"/>
        <item x="750"/>
        <item x="3560"/>
        <item x="1159"/>
        <item x="377"/>
        <item x="4673"/>
        <item x="761"/>
        <item x="208"/>
        <item x="3544"/>
        <item x="4269"/>
        <item x="3215"/>
        <item x="2844"/>
        <item x="3489"/>
        <item x="2514"/>
        <item x="878"/>
        <item x="2229"/>
        <item x="2244"/>
        <item x="3453"/>
        <item x="2905"/>
        <item x="4731"/>
        <item x="1631"/>
        <item x="2372"/>
        <item x="860"/>
        <item x="3311"/>
        <item x="1357"/>
        <item x="1175"/>
        <item x="1868"/>
        <item x="3118"/>
        <item x="1679"/>
        <item x="64"/>
        <item x="1144"/>
        <item x="4970"/>
        <item x="2009"/>
        <item x="4249"/>
        <item x="1663"/>
        <item x="4793"/>
        <item x="4456"/>
        <item x="1226"/>
        <item x="2911"/>
        <item x="1349"/>
        <item x="630"/>
        <item x="3518"/>
        <item x="4425"/>
        <item x="3944"/>
        <item x="1514"/>
        <item x="1866"/>
        <item x="1627"/>
        <item x="1800"/>
        <item x="2792"/>
        <item x="2049"/>
        <item x="1680"/>
        <item x="651"/>
        <item x="1724"/>
        <item x="4750"/>
        <item x="2325"/>
        <item x="4276"/>
        <item x="4568"/>
        <item x="1755"/>
        <item x="4950"/>
        <item x="137"/>
        <item x="3501"/>
        <item x="4177"/>
        <item x="415"/>
        <item x="918"/>
        <item x="17"/>
        <item x="1974"/>
        <item x="1987"/>
        <item x="4058"/>
        <item x="2876"/>
        <item x="3202"/>
        <item x="2507"/>
        <item x="3721"/>
        <item x="3297"/>
        <item x="3504"/>
        <item x="4848"/>
        <item x="2574"/>
        <item x="4252"/>
        <item x="259"/>
        <item x="3772"/>
        <item x="4975"/>
        <item x="3361"/>
        <item x="3481"/>
        <item x="3624"/>
        <item x="206"/>
        <item x="1538"/>
        <item x="4810"/>
        <item x="1051"/>
        <item x="3929"/>
        <item x="1741"/>
        <item x="2161"/>
        <item x="309"/>
        <item x="932"/>
        <item x="78"/>
        <item x="4933"/>
        <item x="1015"/>
        <item x="707"/>
        <item x="828"/>
        <item x="4318"/>
        <item x="4797"/>
        <item x="4691"/>
        <item x="2841"/>
        <item x="1712"/>
        <item x="4069"/>
        <item x="1426"/>
        <item x="4070"/>
        <item x="380"/>
        <item x="553"/>
        <item x="2984"/>
        <item x="725"/>
        <item x="1446"/>
        <item x="3534"/>
        <item x="1333"/>
        <item x="2158"/>
        <item x="2177"/>
        <item x="2102"/>
        <item x="3871"/>
        <item x="3010"/>
        <item x="13"/>
        <item x="807"/>
        <item x="3687"/>
        <item x="3409"/>
        <item x="995"/>
        <item x="1340"/>
        <item x="2126"/>
        <item x="2643"/>
        <item x="2611"/>
        <item x="1406"/>
        <item x="519"/>
        <item x="2093"/>
        <item x="3461"/>
        <item x="812"/>
        <item x="1054"/>
        <item x="1173"/>
        <item x="3627"/>
        <item x="3983"/>
        <item x="3209"/>
        <item x="213"/>
        <item x="4179"/>
        <item x="632"/>
        <item x="3527"/>
        <item x="1732"/>
        <item x="1850"/>
        <item x="851"/>
        <item x="1571"/>
        <item x="1400"/>
        <item x="877"/>
        <item x="4738"/>
        <item x="1031"/>
        <item x="1122"/>
        <item x="2526"/>
        <item x="2783"/>
        <item x="1614"/>
        <item x="3768"/>
        <item x="635"/>
        <item x="4879"/>
        <item x="4463"/>
        <item x="706"/>
        <item x="2430"/>
        <item x="913"/>
        <item x="1097"/>
        <item x="3882"/>
        <item x="1156"/>
        <item x="3089"/>
        <item x="4541"/>
        <item t="default"/>
      </items>
    </pivotField>
    <pivotField dataField="1" showAll="0"/>
    <pivotField showAll="0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  <pivotField showAll="0"/>
    <pivotField showAll="0" sortType="a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</pivotFields>
  <rowItems count="1">
    <i/>
  </rowItems>
  <colItems count="1">
    <i/>
  </colItems>
  <dataFields count="1">
    <dataField name="Avg Revenue" fld="2" subtotal="average" baseField="0" baseItem="0" numFmtId="166"/>
  </dataFields>
  <formats count="23">
    <format dxfId="78">
      <pivotArea field="5" type="button" dataOnly="0" labelOnly="1" outline="0"/>
    </format>
    <format dxfId="77">
      <pivotArea dataOnly="0" labelOnly="1" outline="0" axis="axisValues" fieldPosition="0"/>
    </format>
    <format dxfId="76">
      <pivotArea field="5" type="button" dataOnly="0" labelOnly="1" outline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/>
    </format>
    <format dxfId="71">
      <pivotArea dataOnly="0" labelOnly="1" outline="0" axis="axisValues" fieldPosition="0"/>
    </format>
    <format dxfId="70">
      <pivotArea outline="0" collapsedLevelsAreSubtotals="1" fieldPosition="0"/>
    </format>
    <format dxfId="69">
      <pivotArea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57CEC-E3AB-468C-A2E6-EF18B91F4DE1}" name="Tb_Revenue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 rowHeaderCaption="Industry">
  <location ref="A2:B12" firstHeaderRow="1" firstDataRow="1" firstDataCol="1"/>
  <pivotFields count="13">
    <pivotField showAll="0"/>
    <pivotField showAll="0"/>
    <pivotField dataField="1" showAll="0"/>
    <pivotField showAll="0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  <pivotField showAll="0"/>
    <pivotField axis="axisRow" showAll="0" measureFilter="1" sortType="de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0" showAll="0"/>
  </pivotFields>
  <rowFields count="1">
    <field x="5"/>
  </rowFields>
  <rowItems count="10">
    <i>
      <x v="23"/>
    </i>
    <i>
      <x v="12"/>
    </i>
    <i>
      <x v="18"/>
    </i>
    <i>
      <x v="6"/>
    </i>
    <i>
      <x v="13"/>
    </i>
    <i>
      <x v="4"/>
    </i>
    <i>
      <x v="22"/>
    </i>
    <i>
      <x v="11"/>
    </i>
    <i>
      <x v="14"/>
    </i>
    <i>
      <x v="3"/>
    </i>
  </rowItems>
  <colItems count="1">
    <i/>
  </colItems>
  <dataFields count="1">
    <dataField name="Average of Revenue" fld="2" subtotal="average" baseField="5" baseItem="3" numFmtId="164"/>
  </dataFields>
  <formats count="10"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field="5" type="button" dataOnly="0" labelOnly="1" outline="0" axis="axisRow" fieldPosition="0"/>
    </format>
    <format dxfId="86">
      <pivotArea dataOnly="0" labelOnly="1" outline="0" axis="axisValues" fieldPosition="0"/>
    </format>
    <format dxfId="85">
      <pivotArea field="5" type="button" dataOnly="0" labelOnly="1" outline="0" axis="axisRow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10">
            <x v="1"/>
            <x v="3"/>
            <x v="4"/>
            <x v="9"/>
            <x v="11"/>
            <x v="12"/>
            <x v="13"/>
            <x v="18"/>
            <x v="22"/>
            <x v="24"/>
          </reference>
        </references>
      </pivotArea>
    </format>
    <format dxfId="79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4F4F4-6FFB-4829-956C-1E2A874AD5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E2:E3" firstHeaderRow="1" firstDataRow="1" firstDataCol="0"/>
  <pivotFields count="13">
    <pivotField showAll="0"/>
    <pivotField dataField="1" showAll="0">
      <items count="5013">
        <item x="3693"/>
        <item x="4919"/>
        <item x="3660"/>
        <item x="736"/>
        <item x="4595"/>
        <item x="1369"/>
        <item x="68"/>
        <item x="2000"/>
        <item x="703"/>
        <item x="1673"/>
        <item x="4589"/>
        <item x="1259"/>
        <item x="182"/>
        <item x="3499"/>
        <item x="1281"/>
        <item x="4301"/>
        <item x="3949"/>
        <item x="4225"/>
        <item x="3955"/>
        <item x="1839"/>
        <item x="1006"/>
        <item x="4399"/>
        <item x="4940"/>
        <item x="1492"/>
        <item x="2104"/>
        <item x="4819"/>
        <item x="1321"/>
        <item x="4260"/>
        <item x="3897"/>
        <item x="973"/>
        <item x="3758"/>
        <item x="1145"/>
        <item x="4923"/>
        <item x="314"/>
        <item x="3012"/>
        <item x="3716"/>
        <item x="1801"/>
        <item x="1664"/>
        <item x="983"/>
        <item x="1439"/>
        <item x="4734"/>
        <item x="4550"/>
        <item x="3516"/>
        <item x="4722"/>
        <item x="4164"/>
        <item x="3541"/>
        <item x="4891"/>
        <item x="3708"/>
        <item x="69"/>
        <item x="3611"/>
        <item x="116"/>
        <item x="3600"/>
        <item x="1623"/>
        <item x="1688"/>
        <item x="633"/>
        <item x="1734"/>
        <item x="4817"/>
        <item x="1287"/>
        <item x="4938"/>
        <item x="3706"/>
        <item x="3513"/>
        <item x="3747"/>
        <item x="4495"/>
        <item x="2207"/>
        <item x="3636"/>
        <item x="2550"/>
        <item x="2630"/>
        <item x="4539"/>
        <item x="1594"/>
        <item x="2440"/>
        <item x="3178"/>
        <item x="2316"/>
        <item x="1047"/>
        <item x="2717"/>
        <item x="3492"/>
        <item x="4563"/>
        <item x="4824"/>
        <item x="3834"/>
        <item x="3238"/>
        <item x="2977"/>
        <item x="3610"/>
        <item x="2390"/>
        <item x="2830"/>
        <item x="453"/>
        <item x="2203"/>
        <item x="2387"/>
        <item x="2157"/>
        <item x="3966"/>
        <item x="495"/>
        <item x="1638"/>
        <item x="4154"/>
        <item x="2094"/>
        <item x="3831"/>
        <item x="4659"/>
        <item x="3116"/>
        <item x="4009"/>
        <item x="4342"/>
        <item x="4716"/>
        <item x="4955"/>
        <item x="4247"/>
        <item x="1740"/>
        <item x="2506"/>
        <item x="2953"/>
        <item x="3331"/>
        <item x="3735"/>
        <item x="4098"/>
        <item x="1756"/>
        <item x="2310"/>
        <item x="695"/>
        <item x="2112"/>
        <item x="1420"/>
        <item x="4847"/>
        <item x="2842"/>
        <item x="4934"/>
        <item x="4754"/>
        <item x="3098"/>
        <item x="3123"/>
        <item x="719"/>
        <item x="4043"/>
        <item x="2394"/>
        <item x="168"/>
        <item x="2314"/>
        <item x="694"/>
        <item x="2258"/>
        <item x="3153"/>
        <item x="3992"/>
        <item x="784"/>
        <item x="4967"/>
        <item x="1848"/>
        <item x="361"/>
        <item x="4450"/>
        <item x="511"/>
        <item x="1427"/>
        <item x="2300"/>
        <item x="1897"/>
        <item x="3219"/>
        <item x="2556"/>
        <item x="3877"/>
        <item x="1855"/>
        <item x="1437"/>
        <item x="418"/>
        <item x="3669"/>
        <item x="1381"/>
        <item x="4479"/>
        <item x="985"/>
        <item x="4598"/>
        <item x="2928"/>
        <item x="2590"/>
        <item x="405"/>
        <item x="3074"/>
        <item x="4162"/>
        <item x="4063"/>
        <item x="4300"/>
        <item x="1383"/>
        <item x="1604"/>
        <item x="4993"/>
        <item x="1359"/>
        <item x="2451"/>
        <item x="4707"/>
        <item x="1717"/>
        <item x="425"/>
        <item x="4751"/>
        <item x="281"/>
        <item x="615"/>
        <item x="199"/>
        <item x="2669"/>
        <item x="4059"/>
        <item x="4511"/>
        <item x="1527"/>
        <item x="2421"/>
        <item x="3493"/>
        <item x="1372"/>
        <item x="2741"/>
        <item x="3421"/>
        <item x="1200"/>
        <item x="3070"/>
        <item x="2467"/>
        <item x="1804"/>
        <item x="2644"/>
        <item x="2481"/>
        <item x="1532"/>
        <item x="1461"/>
        <item x="1086"/>
        <item x="1245"/>
        <item x="2132"/>
        <item x="2373"/>
        <item x="4920"/>
        <item x="4452"/>
        <item x="2989"/>
        <item x="3640"/>
        <item x="2581"/>
        <item x="2330"/>
        <item x="1877"/>
        <item x="647"/>
        <item x="4178"/>
        <item x="1081"/>
        <item x="4859"/>
        <item x="3962"/>
        <item x="2345"/>
        <item x="4409"/>
        <item x="2246"/>
        <item x="153"/>
        <item x="4213"/>
        <item x="3276"/>
        <item x="2807"/>
        <item x="629"/>
        <item x="1282"/>
        <item x="541"/>
        <item x="3141"/>
        <item x="285"/>
        <item x="448"/>
        <item x="2414"/>
        <item x="1341"/>
        <item x="1895"/>
        <item x="3011"/>
        <item x="3874"/>
        <item x="1170"/>
        <item x="300"/>
        <item x="469"/>
        <item x="1650"/>
        <item x="2720"/>
        <item x="4067"/>
        <item x="2478"/>
        <item x="3291"/>
        <item x="2025"/>
        <item x="3152"/>
        <item x="3216"/>
        <item x="2753"/>
        <item x="4548"/>
        <item x="4899"/>
        <item x="39"/>
        <item x="3031"/>
        <item x="980"/>
        <item x="4978"/>
        <item x="3252"/>
        <item x="2010"/>
        <item x="4295"/>
        <item x="4082"/>
        <item x="1621"/>
        <item x="3062"/>
        <item x="577"/>
        <item x="1939"/>
        <item x="3578"/>
        <item x="120"/>
        <item x="3449"/>
        <item x="3752"/>
        <item x="143"/>
        <item x="2912"/>
        <item x="2966"/>
        <item x="1762"/>
        <item x="578"/>
        <item x="3889"/>
        <item x="3678"/>
        <item x="3839"/>
        <item x="1806"/>
        <item x="3766"/>
        <item x="4241"/>
        <item x="3227"/>
        <item x="2805"/>
        <item x="294"/>
        <item x="1044"/>
        <item x="3623"/>
        <item x="2468"/>
        <item x="4518"/>
        <item x="96"/>
        <item x="3377"/>
        <item x="898"/>
        <item x="4901"/>
        <item x="1729"/>
        <item x="2907"/>
        <item x="4679"/>
        <item x="979"/>
        <item x="4969"/>
        <item x="4853"/>
        <item x="5003"/>
        <item x="4981"/>
        <item x="3420"/>
        <item x="4638"/>
        <item x="2092"/>
        <item x="4600"/>
        <item x="772"/>
        <item x="2885"/>
        <item x="819"/>
        <item x="3399"/>
        <item x="27"/>
        <item x="2322"/>
        <item x="1423"/>
        <item x="2410"/>
        <item x="1499"/>
        <item x="1195"/>
        <item x="3346"/>
        <item x="1239"/>
        <item x="3601"/>
        <item x="2502"/>
        <item x="3919"/>
        <item x="3988"/>
        <item x="4195"/>
        <item x="758"/>
        <item x="15"/>
        <item x="892"/>
        <item x="2518"/>
        <item x="1444"/>
        <item x="4807"/>
        <item x="461"/>
        <item x="4573"/>
        <item x="403"/>
        <item x="4682"/>
        <item x="4023"/>
        <item x="2403"/>
        <item x="3437"/>
        <item x="584"/>
        <item x="589"/>
        <item x="4712"/>
        <item x="2591"/>
        <item x="3875"/>
        <item x="2438"/>
        <item x="975"/>
        <item x="1105"/>
        <item x="1481"/>
        <item x="665"/>
        <item x="4202"/>
        <item x="2106"/>
        <item x="3667"/>
        <item x="4593"/>
        <item x="1827"/>
        <item x="3905"/>
        <item x="2987"/>
        <item x="400"/>
        <item x="3398"/>
        <item x="848"/>
        <item x="4235"/>
        <item x="3608"/>
        <item x="1021"/>
        <item x="4113"/>
        <item x="4748"/>
        <item x="1854"/>
        <item x="2782"/>
        <item x="4288"/>
        <item x="2777"/>
        <item x="3344"/>
        <item x="2725"/>
        <item x="2571"/>
        <item x="730"/>
        <item x="1010"/>
        <item x="2809"/>
        <item x="2023"/>
        <item x="3085"/>
        <item x="3323"/>
        <item x="3008"/>
        <item x="3657"/>
        <item x="1286"/>
        <item x="2836"/>
        <item x="149"/>
        <item x="1274"/>
        <item x="3207"/>
        <item x="3979"/>
        <item x="3312"/>
        <item x="3616"/>
        <item x="4128"/>
        <item x="2491"/>
        <item x="3303"/>
        <item x="3293"/>
        <item x="333"/>
        <item x="1563"/>
        <item x="4303"/>
        <item x="681"/>
        <item x="4653"/>
        <item x="4896"/>
        <item x="3236"/>
        <item x="2312"/>
        <item x="1770"/>
        <item x="3638"/>
        <item x="2391"/>
        <item x="4229"/>
        <item x="462"/>
        <item x="2206"/>
        <item x="4832"/>
        <item x="413"/>
        <item x="144"/>
        <item x="4742"/>
        <item x="1695"/>
        <item x="4602"/>
        <item x="2238"/>
        <item x="2215"/>
        <item x="1352"/>
        <item x="4552"/>
        <item x="1395"/>
        <item x="4317"/>
        <item x="565"/>
        <item x="3356"/>
        <item x="3327"/>
        <item x="2737"/>
        <item x="3185"/>
        <item x="2537"/>
        <item x="3329"/>
        <item x="82"/>
        <item x="1821"/>
        <item x="3263"/>
        <item x="66"/>
        <item x="1387"/>
        <item x="436"/>
        <item x="3230"/>
        <item x="4574"/>
        <item x="4500"/>
        <item x="4719"/>
        <item x="2383"/>
        <item x="2360"/>
        <item x="4049"/>
        <item x="4144"/>
        <item x="993"/>
        <item x="4578"/>
        <item x="2544"/>
        <item x="4218"/>
        <item x="3206"/>
        <item x="3775"/>
        <item x="1489"/>
        <item x="4979"/>
        <item x="2419"/>
        <item x="1491"/>
        <item x="3698"/>
        <item x="4958"/>
        <item x="970"/>
        <item x="416"/>
        <item x="4924"/>
        <item x="1576"/>
        <item x="1339"/>
        <item x="683"/>
        <item x="2148"/>
        <item x="3857"/>
        <item x="2064"/>
        <item x="113"/>
        <item x="4255"/>
        <item x="3814"/>
        <item x="2174"/>
        <item x="3935"/>
        <item x="1080"/>
        <item x="1523"/>
        <item x="1463"/>
        <item x="3084"/>
        <item x="3249"/>
        <item x="1714"/>
        <item x="1095"/>
        <item x="1862"/>
        <item x="2646"/>
        <item x="228"/>
        <item x="2951"/>
        <item x="4931"/>
        <item x="3241"/>
        <item x="4507"/>
        <item x="2248"/>
        <item x="3239"/>
        <item x="739"/>
        <item x="3646"/>
        <item x="4577"/>
        <item x="4623"/>
        <item x="1142"/>
        <item x="24"/>
        <item x="1629"/>
        <item x="2490"/>
        <item x="770"/>
        <item x="2962"/>
        <item x="1085"/>
        <item x="201"/>
        <item x="3581"/>
        <item x="3094"/>
        <item x="1120"/>
        <item x="1375"/>
        <item x="433"/>
        <item x="2294"/>
        <item x="599"/>
        <item x="4512"/>
        <item x="4501"/>
        <item x="354"/>
        <item x="876"/>
        <item x="2698"/>
        <item x="1548"/>
        <item x="4209"/>
        <item x="109"/>
        <item x="1486"/>
        <item x="1989"/>
        <item x="2035"/>
        <item x="3243"/>
        <item x="3855"/>
        <item x="1820"/>
        <item x="428"/>
        <item x="561"/>
        <item x="1810"/>
        <item x="3394"/>
        <item x="4193"/>
        <item x="121"/>
        <item x="3179"/>
        <item x="4960"/>
        <item x="1893"/>
        <item x="1293"/>
        <item x="3789"/>
        <item x="2799"/>
        <item x="1626"/>
        <item x="968"/>
        <item x="4829"/>
        <item x="4307"/>
        <item x="2588"/>
        <item x="1121"/>
        <item x="4053"/>
        <item x="1851"/>
        <item x="866"/>
        <item x="312"/>
        <item x="3571"/>
        <item x="4497"/>
        <item x="4856"/>
        <item x="1213"/>
        <item x="2384"/>
        <item x="256"/>
        <item x="3037"/>
        <item x="3040"/>
        <item x="524"/>
        <item x="552"/>
        <item x="2628"/>
        <item x="2854"/>
        <item x="2679"/>
        <item x="3697"/>
        <item x="441"/>
        <item x="2486"/>
        <item x="2699"/>
        <item x="1858"/>
        <item x="677"/>
        <item x="4133"/>
        <item x="803"/>
        <item x="3059"/>
        <item x="6"/>
        <item x="2105"/>
        <item x="814"/>
        <item x="1096"/>
        <item x="527"/>
        <item x="1146"/>
        <item x="809"/>
        <item x="4296"/>
        <item x="3902"/>
        <item x="1600"/>
        <item x="2249"/>
        <item x="2658"/>
        <item x="1389"/>
        <item x="3260"/>
        <item x="990"/>
        <item x="935"/>
        <item x="45"/>
        <item x="1168"/>
        <item x="2522"/>
        <item x="2541"/>
        <item x="2849"/>
        <item x="2233"/>
        <item x="1962"/>
        <item x="4747"/>
        <item x="1221"/>
        <item x="4688"/>
        <item x="3200"/>
        <item x="29"/>
        <item x="1875"/>
        <item x="305"/>
        <item x="2054"/>
        <item x="1949"/>
        <item x="4203"/>
        <item x="2195"/>
        <item x="4514"/>
        <item x="2708"/>
        <item x="1578"/>
        <item x="2822"/>
        <item x="3868"/>
        <item x="1067"/>
        <item x="318"/>
        <item x="965"/>
        <item x="2647"/>
        <item x="2862"/>
        <item x="1017"/>
        <item x="4055"/>
        <item x="1748"/>
        <item x="3737"/>
        <item x="3720"/>
        <item x="341"/>
        <item x="1879"/>
        <item x="4437"/>
        <item x="2014"/>
        <item x="1641"/>
        <item x="1151"/>
        <item x="1346"/>
        <item x="4123"/>
        <item x="1587"/>
        <item x="3786"/>
        <item x="4804"/>
        <item x="2047"/>
        <item x="1271"/>
        <item x="2301"/>
        <item x="3468"/>
        <item x="865"/>
        <item x="3465"/>
        <item x="1365"/>
        <item x="3258"/>
        <item x="1971"/>
        <item x="1808"/>
        <item x="2728"/>
        <item x="3321"/>
        <item x="4614"/>
        <item x="1473"/>
        <item x="2894"/>
        <item x="4228"/>
        <item x="2535"/>
        <item x="3446"/>
        <item x="4852"/>
        <item x="4532"/>
        <item x="1206"/>
        <item x="1883"/>
        <item x="4743"/>
        <item x="4208"/>
        <item x="601"/>
        <item x="1518"/>
        <item x="3916"/>
        <item x="822"/>
        <item x="1435"/>
        <item x="2660"/>
        <item x="4333"/>
        <item x="793"/>
        <item x="3972"/>
        <item x="509"/>
        <item x="330"/>
        <item x="1517"/>
        <item x="4423"/>
        <item x="2742"/>
        <item x="3537"/>
        <item x="1143"/>
        <item x="2146"/>
        <item x="4939"/>
        <item x="743"/>
        <item x="894"/>
        <item x="3136"/>
        <item x="3714"/>
        <item x="4120"/>
        <item x="3269"/>
        <item x="84"/>
        <item x="1279"/>
        <item x="585"/>
        <item x="4412"/>
        <item x="258"/>
        <item x="1986"/>
        <item x="2515"/>
        <item x="4150"/>
        <item x="1141"/>
        <item x="829"/>
        <item x="1466"/>
        <item x="1873"/>
        <item x="1074"/>
        <item x="131"/>
        <item x="1849"/>
        <item x="4482"/>
        <item x="4328"/>
        <item x="945"/>
        <item x="487"/>
        <item x="4535"/>
        <item x="644"/>
        <item x="2756"/>
        <item x="2340"/>
        <item x="4257"/>
        <item x="2202"/>
        <item x="4223"/>
        <item x="827"/>
        <item x="4898"/>
        <item x="3277"/>
        <item x="2334"/>
        <item x="2943"/>
        <item x="847"/>
        <item x="2691"/>
        <item x="1790"/>
        <item x="165"/>
        <item x="998"/>
        <item x="846"/>
        <item x="482"/>
        <item x="2213"/>
        <item x="211"/>
        <item x="1377"/>
        <item x="1898"/>
        <item x="423"/>
        <item x="1482"/>
        <item x="2893"/>
        <item x="4003"/>
        <item x="402"/>
        <item x="627"/>
        <item x="2657"/>
        <item x="3554"/>
        <item x="4771"/>
        <item x="642"/>
        <item x="4486"/>
        <item x="2800"/>
        <item x="1564"/>
        <item x="2810"/>
        <item x="376"/>
        <item x="2352"/>
        <item x="590"/>
        <item x="1725"/>
        <item x="3426"/>
        <item x="785"/>
        <item x="2219"/>
        <item x="3352"/>
        <item x="1924"/>
        <item x="2333"/>
        <item x="4129"/>
        <item x="1403"/>
        <item x="1003"/>
        <item x="4689"/>
        <item x="579"/>
        <item x="1062"/>
        <item x="4599"/>
        <item x="4628"/>
        <item x="75"/>
        <item x="191"/>
        <item x="2149"/>
        <item x="4706"/>
        <item x="3254"/>
        <item x="422"/>
        <item x="251"/>
        <item x="2142"/>
        <item x="4375"/>
        <item x="4032"/>
        <item x="2136"/>
        <item x="155"/>
        <item x="3061"/>
        <item x="4289"/>
        <item x="2386"/>
        <item x="930"/>
        <item x="1721"/>
        <item x="1303"/>
        <item x="733"/>
        <item x="3314"/>
        <item x="2776"/>
        <item x="2476"/>
        <item x="225"/>
        <item x="2645"/>
        <item x="4044"/>
        <item x="1938"/>
        <item x="1568"/>
        <item x="2881"/>
        <item x="1959"/>
        <item x="4773"/>
        <item x="2847"/>
        <item x="2141"/>
        <item x="445"/>
        <item x="3233"/>
        <item x="3298"/>
        <item x="3816"/>
        <item x="3235"/>
        <item x="1127"/>
        <item x="2516"/>
        <item x="3132"/>
        <item x="3251"/>
        <item x="923"/>
        <item x="3959"/>
        <item x="4351"/>
        <item x="3018"/>
        <item x="3073"/>
        <item x="3349"/>
        <item x="628"/>
        <item x="4690"/>
        <item x="2596"/>
        <item x="3952"/>
        <item x="2955"/>
        <item x="106"/>
        <item x="4152"/>
        <item x="675"/>
        <item x="1242"/>
        <item x="4612"/>
        <item x="3953"/>
        <item x="2423"/>
        <item x="4250"/>
        <item x="3542"/>
        <item x="3168"/>
        <item x="4042"/>
        <item x="3450"/>
        <item x="2393"/>
        <item x="2201"/>
        <item x="1896"/>
        <item x="2606"/>
        <item x="2845"/>
        <item x="2901"/>
        <item x="4115"/>
        <item x="1343"/>
        <item x="1639"/>
        <item x="1082"/>
        <item x="1326"/>
        <item x="1702"/>
        <item x="3119"/>
        <item x="2729"/>
        <item x="1632"/>
        <item x="3552"/>
        <item x="175"/>
        <item x="1072"/>
        <item x="3886"/>
        <item x="4394"/>
        <item x="4074"/>
        <item x="5"/>
        <item x="701"/>
        <item x="2851"/>
        <item x="1932"/>
        <item x="2517"/>
        <item x="4813"/>
        <item x="1350"/>
        <item x="2281"/>
        <item x="2039"/>
        <item x="145"/>
        <item x="3859"/>
        <item x="2579"/>
        <item x="4197"/>
        <item x="1390"/>
        <item x="91"/>
        <item x="2615"/>
        <item x="4357"/>
        <item x="2030"/>
        <item x="4184"/>
        <item x="689"/>
        <item x="2183"/>
        <item x="3867"/>
        <item x="2329"/>
        <item x="3713"/>
        <item x="3856"/>
        <item x="3617"/>
        <item x="909"/>
        <item x="4703"/>
        <item x="2976"/>
        <item x="1784"/>
        <item x="2557"/>
        <item x="4783"/>
        <item x="2463"/>
        <item x="4355"/>
        <item x="435"/>
        <item x="1969"/>
        <item x="107"/>
        <item x="4684"/>
        <item x="4681"/>
        <item x="849"/>
        <item x="1238"/>
        <item x="3459"/>
        <item x="3603"/>
        <item x="351"/>
        <item x="2271"/>
        <item x="4834"/>
        <item x="3822"/>
        <item x="1163"/>
        <item x="3305"/>
        <item x="2107"/>
        <item x="1976"/>
        <item x="4016"/>
        <item x="2"/>
        <item x="507"/>
        <item x="133"/>
        <item x="4061"/>
        <item x="132"/>
        <item x="1445"/>
        <item x="2819"/>
        <item x="1236"/>
        <item x="1906"/>
        <item x="2029"/>
        <item x="903"/>
        <item x="4153"/>
        <item x="4963"/>
        <item x="3193"/>
        <item x="4800"/>
        <item x="1036"/>
        <item x="2255"/>
        <item x="3390"/>
        <item x="3745"/>
        <item x="1119"/>
        <item x="3661"/>
        <item x="4775"/>
        <item x="1298"/>
        <item x="2115"/>
        <item x="2443"/>
        <item x="871"/>
        <item x="817"/>
        <item x="3642"/>
        <item x="463"/>
        <item x="924"/>
        <item x="2607"/>
        <item x="2061"/>
        <item x="1019"/>
        <item x="3753"/>
        <item x="329"/>
        <item x="867"/>
        <item x="1084"/>
        <item x="962"/>
        <item x="2503"/>
        <item x="3548"/>
        <item x="4284"/>
        <item x="3908"/>
        <item x="3574"/>
        <item x="279"/>
        <item x="1667"/>
        <item x="3704"/>
        <item x="3363"/>
        <item x="3001"/>
        <item x="938"/>
        <item x="1020"/>
        <item x="3099"/>
        <item x="1480"/>
        <item x="605"/>
        <item x="2621"/>
        <item x="4111"/>
        <item x="4124"/>
        <item x="2083"/>
        <item x="2835"/>
        <item x="130"/>
        <item x="606"/>
        <item x="2752"/>
        <item x="61"/>
        <item x="986"/>
        <item x="4845"/>
        <item x="3066"/>
        <item x="693"/>
        <item x="253"/>
        <item x="2868"/>
        <item x="992"/>
        <item x="112"/>
        <item x="3159"/>
        <item x="2569"/>
        <item x="617"/>
        <item x="2780"/>
        <item x="756"/>
        <item x="2171"/>
        <item x="3086"/>
        <item x="1336"/>
        <item x="1573"/>
        <item x="1472"/>
        <item x="88"/>
        <item x="3071"/>
        <item x="207"/>
        <item x="4100"/>
        <item x="3989"/>
        <item x="65"/>
        <item x="4918"/>
        <item x="4198"/>
        <item x="4917"/>
        <item x="3035"/>
        <item x="4343"/>
        <item x="4803"/>
        <item x="4034"/>
        <item x="4780"/>
        <item x="2739"/>
        <item x="3155"/>
        <item x="4455"/>
        <item x="3156"/>
        <item x="4935"/>
        <item x="3301"/>
        <item x="3514"/>
        <item x="431"/>
        <item x="4395"/>
        <item x="2838"/>
        <item x="3778"/>
        <item x="856"/>
        <item x="1902"/>
        <item x="2549"/>
        <item x="3695"/>
        <item x="4980"/>
        <item x="2272"/>
        <item x="1153"/>
        <item x="4078"/>
        <item x="2804"/>
        <item x="440"/>
        <item x="4672"/>
        <item x="2305"/>
        <item x="3658"/>
        <item x="910"/>
        <item x="3964"/>
        <item x="3431"/>
        <item x="238"/>
        <item x="1393"/>
        <item x="3226"/>
        <item x="4106"/>
        <item x="1177"/>
        <item x="323"/>
        <item x="1002"/>
        <item x="595"/>
        <item x="3333"/>
        <item x="2180"/>
        <item x="2277"/>
        <item x="794"/>
        <item x="2026"/>
        <item x="1593"/>
        <item x="4838"/>
        <item x="773"/>
        <item x="2539"/>
        <item x="3665"/>
        <item x="755"/>
        <item x="229"/>
        <item x="3892"/>
        <item x="637"/>
        <item x="3374"/>
        <item x="2155"/>
        <item x="3418"/>
        <item x="3781"/>
        <item x="1955"/>
        <item x="4406"/>
        <item x="3712"/>
        <item x="3145"/>
        <item x="2204"/>
        <item x="3917"/>
        <item x="4292"/>
        <item x="1434"/>
        <item x="953"/>
        <item x="2461"/>
        <item x="2813"/>
        <item x="4965"/>
        <item x="108"/>
        <item x="2056"/>
        <item x="3114"/>
        <item x="3828"/>
        <item x="660"/>
        <item x="3335"/>
        <item x="4854"/>
        <item x="2347"/>
        <item x="3359"/>
        <item x="2985"/>
        <item x="2348"/>
        <item x="4408"/>
        <item x="2693"/>
        <item x="1134"/>
        <item x="2631"/>
        <item x="1174"/>
        <item x="316"/>
        <item x="3429"/>
        <item x="4591"/>
        <item x="4860"/>
        <item x="4167"/>
        <item x="1280"/>
        <item x="4680"/>
        <item x="322"/>
        <item x="2431"/>
        <item x="4190"/>
        <item x="4537"/>
        <item x="2570"/>
        <item x="3080"/>
        <item x="443"/>
        <item x="3177"/>
        <item x="1371"/>
        <item x="163"/>
        <item x="4105"/>
        <item x="4414"/>
        <item x="4090"/>
        <item x="4356"/>
        <item x="3809"/>
        <item x="3212"/>
        <item x="2788"/>
        <item x="4870"/>
        <item x="4438"/>
        <item x="688"/>
        <item x="3630"/>
        <item x="3366"/>
        <item x="548"/>
        <item x="4086"/>
        <item x="80"/>
        <item x="3701"/>
        <item x="508"/>
        <item x="3978"/>
        <item x="1131"/>
        <item x="7"/>
        <item x="3994"/>
        <item x="4474"/>
        <item x="2924"/>
        <item x="4470"/>
        <item x="2404"/>
        <item x="1358"/>
        <item x="1930"/>
        <item x="2103"/>
        <item x="3960"/>
        <item x="4498"/>
        <item x="4685"/>
        <item x="4281"/>
        <item x="4823"/>
        <item x="1132"/>
        <item x="1640"/>
        <item x="2379"/>
        <item x="4377"/>
        <item x="1690"/>
        <item x="3076"/>
        <item x="2217"/>
        <item x="4085"/>
        <item x="3528"/>
        <item x="3934"/>
        <item x="2469"/>
        <item x="2385"/>
        <item x="4555"/>
        <item x="3268"/>
        <item x="2477"/>
        <item x="1946"/>
        <item x="587"/>
        <item x="879"/>
        <item x="3328"/>
        <item x="22"/>
        <item x="3941"/>
        <item x="3232"/>
        <item x="4294"/>
        <item x="1541"/>
        <item x="3684"/>
        <item x="3751"/>
        <item x="1718"/>
        <item x="115"/>
        <item x="3579"/>
        <item x="4326"/>
        <item x="2479"/>
        <item x="1111"/>
        <item x="3164"/>
        <item x="73"/>
        <item x="4710"/>
        <item x="3679"/>
        <item x="4972"/>
        <item x="1216"/>
        <item x="1704"/>
        <item x="3683"/>
        <item x="4073"/>
        <item x="3904"/>
        <item x="4487"/>
        <item x="1659"/>
        <item x="2794"/>
        <item x="1557"/>
        <item x="4107"/>
        <item x="842"/>
        <item x="1788"/>
        <item x="391"/>
        <item x="4502"/>
        <item x="503"/>
        <item x="1841"/>
        <item x="412"/>
        <item x="1011"/>
        <item x="4784"/>
        <item x="303"/>
        <item x="4353"/>
        <item x="367"/>
        <item x="1941"/>
        <item x="3956"/>
        <item x="4327"/>
        <item x="1215"/>
        <item x="4881"/>
        <item x="2193"/>
        <item x="2561"/>
        <item x="384"/>
        <item x="4186"/>
        <item x="1771"/>
        <item x="2489"/>
        <item x="1581"/>
        <item x="3993"/>
        <item x="1857"/>
        <item x="1264"/>
        <item x="1094"/>
        <item x="4146"/>
        <item x="4603"/>
        <item x="3567"/>
        <item x="3027"/>
        <item x="1261"/>
        <item x="988"/>
        <item x="307"/>
        <item x="2612"/>
        <item x="1448"/>
        <item x="4465"/>
        <item x="857"/>
        <item x="4191"/>
        <item x="3842"/>
        <item x="3375"/>
        <item x="4282"/>
        <item x="1991"/>
        <item x="885"/>
        <item x="727"/>
        <item x="4335"/>
        <item x="4762"/>
        <item x="1881"/>
        <item x="1302"/>
        <item x="2747"/>
        <item x="1254"/>
        <item x="3538"/>
        <item x="2899"/>
        <item x="4583"/>
        <item x="2137"/>
        <item x="662"/>
        <item x="2296"/>
        <item x="3799"/>
        <item x="2992"/>
        <item x="3985"/>
        <item x="2065"/>
        <item x="1950"/>
        <item x="280"/>
        <item x="2801"/>
        <item x="3295"/>
        <item x="4079"/>
        <item x="4640"/>
        <item x="3034"/>
        <item x="320"/>
        <item x="1166"/>
        <item x="1289"/>
        <item x="3279"/>
        <item x="1319"/>
        <item x="2020"/>
        <item x="4403"/>
        <item x="4581"/>
        <item x="646"/>
        <item x="2950"/>
        <item x="2620"/>
        <item x="2527"/>
        <item x="3879"/>
        <item x="2186"/>
        <item x="4131"/>
        <item x="2307"/>
        <item x="2889"/>
        <item x="241"/>
        <item x="763"/>
        <item x="3364"/>
        <item x="4660"/>
        <item x="2402"/>
        <item x="4429"/>
        <item x="3793"/>
        <item x="3133"/>
        <item x="989"/>
        <item x="3378"/>
        <item x="2057"/>
        <item x="4964"/>
        <item x="2342"/>
        <item x="1099"/>
        <item x="3451"/>
        <item x="4884"/>
        <item x="3143"/>
        <item x="1795"/>
        <item x="4799"/>
        <item x="4028"/>
        <item x="194"/>
        <item x="3125"/>
        <item x="1960"/>
        <item x="3884"/>
        <item x="3503"/>
        <item x="4243"/>
        <item x="4741"/>
        <item x="3167"/>
        <item x="244"/>
        <item x="2709"/>
        <item x="3890"/>
        <item x="4779"/>
        <item x="3255"/>
        <item x="1249"/>
        <item x="164"/>
        <item x="3039"/>
        <item x="974"/>
        <item x="2685"/>
        <item x="3117"/>
        <item x="2122"/>
        <item x="1022"/>
        <item x="2760"/>
        <item x="4796"/>
        <item x="393"/>
        <item x="2916"/>
        <item x="2781"/>
        <item x="2573"/>
        <item x="4480"/>
        <item x="4494"/>
        <item x="2156"/>
        <item x="1246"/>
        <item x="2060"/>
        <item x="4101"/>
        <item x="381"/>
        <item x="2435"/>
        <item x="1970"/>
        <item x="2787"/>
        <item x="3275"/>
        <item x="4104"/>
        <item x="2942"/>
        <item x="3424"/>
        <item x="345"/>
        <item x="4279"/>
        <item x="1498"/>
        <item x="2917"/>
        <item x="3629"/>
        <item x="2210"/>
        <item x="3294"/>
        <item x="2802"/>
        <item x="1295"/>
        <item x="3388"/>
        <item x="3787"/>
        <item x="1687"/>
        <item x="3443"/>
        <item x="1161"/>
        <item x="563"/>
        <item x="2139"/>
        <item x="2743"/>
        <item x="1228"/>
        <item x="334"/>
        <item x="117"/>
        <item x="89"/>
        <item x="1440"/>
        <item x="576"/>
        <item x="2577"/>
        <item x="4728"/>
        <item x="1675"/>
        <item x="1990"/>
        <item x="653"/>
        <item x="468"/>
        <item x="1240"/>
        <item x="1278"/>
        <item x="1753"/>
        <item x="4274"/>
        <item x="296"/>
        <item x="420"/>
        <item x="1503"/>
        <item x="5002"/>
        <item x="3316"/>
        <item x="3052"/>
        <item x="1580"/>
        <item x="2078"/>
        <item x="3160"/>
        <item x="3686"/>
        <item x="2073"/>
        <item x="1374"/>
        <item x="3154"/>
        <item x="1313"/>
        <item x="911"/>
        <item x="1109"/>
        <item x="969"/>
        <item x="1360"/>
        <item x="3006"/>
        <item x="4871"/>
        <item x="1276"/>
        <item x="891"/>
        <item x="1468"/>
        <item x="2936"/>
        <item x="1288"/>
        <item x="3101"/>
        <item x="2200"/>
        <item x="2724"/>
        <item x="2066"/>
        <item x="297"/>
        <item x="3284"/>
        <item x="1218"/>
        <item x="3287"/>
        <item x="298"/>
        <item x="3870"/>
        <item x="1908"/>
        <item x="2462"/>
        <item x="4052"/>
        <item x="2084"/>
        <item x="4551"/>
        <item x="397"/>
        <item x="1835"/>
        <item x="1485"/>
        <item x="1934"/>
        <item x="2683"/>
        <item x="2938"/>
        <item x="3826"/>
        <item x="762"/>
        <item x="569"/>
        <item x="1506"/>
        <item x="3108"/>
        <item x="4545"/>
        <item x="3425"/>
        <item x="3383"/>
        <item x="4977"/>
        <item x="2108"/>
        <item x="645"/>
        <item x="1057"/>
        <item x="54"/>
        <item x="331"/>
        <item x="1033"/>
        <item x="4239"/>
        <item x="4189"/>
        <item x="3417"/>
        <item x="781"/>
        <item x="2831"/>
        <item x="3832"/>
        <item x="4726"/>
        <item x="4995"/>
        <item x="81"/>
        <item x="2119"/>
        <item x="3585"/>
        <item x="4669"/>
        <item x="192"/>
        <item x="3173"/>
        <item x="4319"/>
        <item x="779"/>
        <item x="575"/>
        <item x="947"/>
        <item x="1452"/>
        <item x="424"/>
        <item x="1027"/>
        <item x="3523"/>
        <item x="656"/>
        <item x="2194"/>
        <item x="98"/>
        <item x="1653"/>
        <item x="4341"/>
        <item x="3477"/>
        <item x="987"/>
        <item x="1345"/>
        <item x="4782"/>
        <item x="450"/>
        <item x="2580"/>
        <item x="4825"/>
        <item x="2978"/>
        <item x="1533"/>
        <item x="4286"/>
        <item x="2554"/>
        <item x="1648"/>
        <item x="3561"/>
        <item x="937"/>
        <item x="4322"/>
        <item x="2649"/>
        <item x="74"/>
        <item x="3016"/>
        <item x="2282"/>
        <item x="4499"/>
        <item x="2965"/>
        <item x="2378"/>
        <item x="3609"/>
        <item x="919"/>
        <item x="2609"/>
        <item x="2401"/>
        <item x="4564"/>
        <item x="609"/>
        <item x="395"/>
        <item x="3933"/>
        <item x="4386"/>
        <item x="301"/>
        <item x="1204"/>
        <item x="3691"/>
        <item x="179"/>
        <item x="2353"/>
        <item x="2005"/>
        <item x="4064"/>
        <item x="4484"/>
        <item x="3384"/>
        <item x="2803"/>
        <item x="1972"/>
        <item x="2413"/>
        <item x="1628"/>
        <item x="4836"/>
        <item x="3120"/>
        <item x="2593"/>
        <item x="1757"/>
        <item x="4134"/>
        <item x="355"/>
        <item x="2869"/>
        <item x="2714"/>
        <item x="1886"/>
        <item x="952"/>
        <item x="1272"/>
        <item x="2542"/>
        <item x="3531"/>
        <item x="3452"/>
        <item x="3307"/>
        <item x="2050"/>
        <item x="4089"/>
        <item x="549"/>
        <item x="2459"/>
        <item x="2659"/>
        <item x="573"/>
        <item x="3463"/>
        <item x="2695"/>
        <item x="1060"/>
        <item x="3192"/>
        <item x="684"/>
        <item x="2289"/>
        <item x="686"/>
        <item x="4205"/>
        <item x="3973"/>
        <item x="726"/>
        <item x="4609"/>
        <item x="4776"/>
        <item x="560"/>
        <item x="4774"/>
        <item x="210"/>
        <item x="2639"/>
        <item x="1113"/>
        <item x="1112"/>
        <item x="1743"/>
        <item x="4112"/>
        <item x="1478"/>
        <item x="2164"/>
        <item x="209"/>
        <item x="3134"/>
        <item x="1927"/>
        <item x="240"/>
        <item x="1012"/>
        <item x="2915"/>
        <item x="1077"/>
        <item x="915"/>
        <item x="2981"/>
        <item x="2969"/>
        <item x="2388"/>
        <item x="3438"/>
        <item x="3573"/>
        <item x="3785"/>
        <item x="2970"/>
        <item x="2399"/>
        <item x="607"/>
        <item x="3876"/>
        <item x="3575"/>
        <item x="2417"/>
        <item x="3717"/>
        <item x="2212"/>
        <item x="4159"/>
        <item x="1952"/>
        <item x="2398"/>
        <item x="3447"/>
        <item x="4903"/>
        <item x="3991"/>
        <item x="2472"/>
        <item x="3659"/>
        <item x="2954"/>
        <item x="3951"/>
        <item x="4492"/>
        <item x="3731"/>
        <item x="3682"/>
        <item x="3300"/>
        <item x="3380"/>
        <item x="2961"/>
        <item x="749"/>
        <item x="1588"/>
        <item x="276"/>
        <item x="2602"/>
        <item x="3220"/>
        <item x="4526"/>
        <item x="3736"/>
        <item x="4996"/>
        <item x="2400"/>
        <item x="1769"/>
        <item x="128"/>
        <item x="4861"/>
        <item x="438"/>
        <item x="2884"/>
        <item x="3382"/>
        <item x="1798"/>
        <item x="624"/>
        <item x="1553"/>
        <item x="2952"/>
        <item x="158"/>
        <item x="2562"/>
        <item x="1526"/>
        <item x="1661"/>
        <item x="2173"/>
        <item x="2295"/>
        <item x="2051"/>
        <item x="883"/>
        <item x="4594"/>
        <item x="4339"/>
        <item x="929"/>
        <item x="2941"/>
        <item x="720"/>
        <item x="1198"/>
        <item x="2267"/>
        <item x="4182"/>
        <item x="621"/>
        <item x="4360"/>
        <item x="496"/>
        <item x="3742"/>
        <item x="2145"/>
        <item x="960"/>
        <item x="4885"/>
        <item x="3779"/>
        <item x="690"/>
        <item x="4027"/>
        <item x="2812"/>
        <item x="3082"/>
        <item x="134"/>
        <item x="4971"/>
        <item x="4459"/>
        <item x="4325"/>
        <item x="4417"/>
        <item x="3764"/>
        <item x="4315"/>
        <item x="927"/>
        <item x="2948"/>
        <item x="742"/>
        <item x="2902"/>
        <item x="4449"/>
        <item x="2546"/>
        <item x="1856"/>
        <item x="4283"/>
        <item x="3597"/>
        <item x="4717"/>
        <item x="4040"/>
        <item x="3626"/>
        <item x="1155"/>
        <item x="2702"/>
        <item x="1477"/>
        <item x="4118"/>
        <item x="1651"/>
        <item x="4625"/>
        <item x="2520"/>
        <item x="4711"/>
        <item x="4038"/>
        <item x="1257"/>
        <item x="3439"/>
        <item x="4886"/>
        <item x="3365"/>
        <item x="1188"/>
        <item x="2114"/>
        <item x="868"/>
        <item x="1816"/>
        <item x="3075"/>
        <item x="1892"/>
        <item x="3077"/>
        <item x="447"/>
        <item x="269"/>
        <item x="4596"/>
        <item x="220"/>
        <item x="1685"/>
        <item x="4505"/>
        <item x="1494"/>
        <item x="40"/>
        <item x="1162"/>
        <item x="997"/>
        <item x="2058"/>
        <item x="897"/>
        <item x="1016"/>
        <item x="1411"/>
        <item x="3694"/>
        <item x="2572"/>
        <item x="3131"/>
        <item x="3746"/>
        <item x="2392"/>
        <item x="217"/>
        <item x="4402"/>
        <item x="4309"/>
        <item x="2766"/>
        <item x="3025"/>
        <item x="1008"/>
        <item x="2963"/>
        <item x="1207"/>
        <item x="3643"/>
        <item x="146"/>
        <item x="95"/>
        <item x="1928"/>
        <item x="67"/>
        <item x="2748"/>
        <item x="934"/>
        <item x="3613"/>
        <item x="4364"/>
        <item x="1231"/>
        <item x="3456"/>
        <item x="1910"/>
        <item x="604"/>
        <item x="804"/>
        <item x="4808"/>
        <item x="1812"/>
        <item x="4994"/>
        <item x="2929"/>
        <item x="4562"/>
        <item x="3280"/>
        <item x="1052"/>
        <item x="3536"/>
        <item x="1754"/>
        <item x="886"/>
        <item x="1183"/>
        <item x="3853"/>
        <item x="3909"/>
        <item x="3652"/>
        <item x="4136"/>
        <item x="3802"/>
        <item x="4422"/>
        <item x="2118"/>
        <item x="4266"/>
        <item x="2886"/>
        <item x="375"/>
        <item x="3015"/>
        <item x="3524"/>
        <item x="3566"/>
        <item x="1255"/>
        <item x="2721"/>
        <item x="180"/>
        <item x="474"/>
        <item x="26"/>
        <item x="1598"/>
        <item x="3458"/>
        <item x="4864"/>
        <item x="4393"/>
        <item x="4697"/>
        <item x="1219"/>
        <item x="831"/>
        <item x="618"/>
        <item x="1314"/>
        <item x="2082"/>
        <item x="287"/>
        <item x="1516"/>
        <item x="925"/>
        <item x="1711"/>
        <item x="233"/>
        <item x="2167"/>
        <item x="1524"/>
        <item x="1654"/>
        <item x="4047"/>
        <item x="2883"/>
        <item x="493"/>
        <item x="4559"/>
        <item x="1405"/>
        <item x="4401"/>
        <item x="2598"/>
        <item x="1493"/>
        <item x="855"/>
        <item x="3854"/>
        <item x="3622"/>
        <item x="572"/>
        <item x="2930"/>
        <item x="2676"/>
        <item x="3190"/>
        <item x="3404"/>
        <item x="4576"/>
        <item x="4618"/>
        <item x="967"/>
        <item x="4869"/>
        <item x="800"/>
        <item x="3309"/>
        <item x="1616"/>
        <item x="1436"/>
        <item x="3362"/>
        <item x="4176"/>
        <item x="2931"/>
        <item x="3385"/>
        <item x="2458"/>
        <item x="4420"/>
        <item x="2336"/>
        <item x="2664"/>
        <item x="3345"/>
        <item x="3718"/>
        <item x="1826"/>
        <item x="760"/>
        <item x="2510"/>
        <item x="3497"/>
        <item x="700"/>
        <item x="1125"/>
        <item x="1092"/>
        <item x="1985"/>
        <item x="2927"/>
        <item x="479"/>
        <item x="724"/>
        <item x="4029"/>
        <item x="2834"/>
        <item x="3370"/>
        <item x="1607"/>
        <item x="2563"/>
        <item x="4110"/>
        <item x="582"/>
        <item x="732"/>
        <item x="4982"/>
        <item x="2806"/>
        <item x="142"/>
        <item x="1750"/>
        <item x="4915"/>
        <item x="943"/>
        <item x="4277"/>
        <item x="3289"/>
        <item x="0"/>
        <item x="1108"/>
        <item x="4232"/>
        <item x="4442"/>
        <item x="844"/>
        <item x="1"/>
        <item x="4610"/>
        <item x="1034"/>
        <item x="1101"/>
        <item x="4835"/>
        <item x="2196"/>
        <item x="912"/>
        <item x="4921"/>
        <item x="3371"/>
        <item x="1037"/>
        <item x="999"/>
        <item x="1775"/>
        <item x="3593"/>
        <item x="4528"/>
        <item x="1464"/>
        <item x="3522"/>
        <item x="544"/>
        <item x="2446"/>
        <item x="4851"/>
        <item x="1544"/>
        <item x="2634"/>
        <item x="1609"/>
        <item x="41"/>
        <item x="2169"/>
        <item x="614"/>
        <item x="2133"/>
        <item x="1438"/>
        <item x="712"/>
        <item x="1981"/>
        <item x="1844"/>
        <item x="556"/>
        <item x="1766"/>
        <item x="223"/>
        <item x="2427"/>
        <item x="2036"/>
        <item x="818"/>
        <item x="1266"/>
        <item x="2857"/>
        <item x="1888"/>
        <item x="4348"/>
        <item x="2311"/>
        <item x="3519"/>
        <item x="408"/>
        <item x="1158"/>
        <item x="3891"/>
        <item x="1308"/>
        <item x="3823"/>
        <item x="455"/>
        <item x="2891"/>
        <item x="4839"/>
        <item x="748"/>
        <item x="1572"/>
        <item x="1379"/>
        <item x="4457"/>
        <item x="236"/>
        <item x="3240"/>
        <item x="1521"/>
        <item x="722"/>
        <item x="715"/>
        <item x="2245"/>
        <item x="3161"/>
        <item x="386"/>
        <item x="3677"/>
        <item x="3710"/>
        <item x="2687"/>
        <item x="659"/>
        <item x="2250"/>
        <item x="5005"/>
        <item x="4181"/>
        <item x="4905"/>
        <item x="3796"/>
        <item x="3671"/>
        <item x="3211"/>
        <item x="1510"/>
        <item x="1208"/>
        <item x="955"/>
        <item x="1515"/>
        <item x="3334"/>
        <item x="1615"/>
        <item x="2509"/>
        <item x="1865"/>
        <item x="4019"/>
        <item x="90"/>
        <item x="1745"/>
        <item x="3931"/>
        <item x="3858"/>
        <item x="3237"/>
        <item x="869"/>
        <item x="267"/>
        <item x="335"/>
        <item x="1601"/>
        <item x="4224"/>
        <item x="4002"/>
        <item x="1720"/>
        <item x="936"/>
        <item x="3885"/>
        <item x="2181"/>
        <item x="581"/>
        <item x="249"/>
        <item x="2732"/>
        <item x="4488"/>
        <item x="4265"/>
        <item x="4397"/>
        <item x="104"/>
        <item x="1799"/>
        <item x="2152"/>
        <item x="3201"/>
        <item x="3474"/>
        <item x="1968"/>
        <item x="2354"/>
        <item x="1747"/>
        <item x="3051"/>
        <item x="5006"/>
        <item x="4676"/>
        <item x="1589"/>
        <item x="4242"/>
        <item x="1227"/>
        <item x="2500"/>
        <item x="3813"/>
        <item x="2839"/>
        <item x="3637"/>
        <item x="277"/>
        <item x="2704"/>
        <item x="3198"/>
        <item x="568"/>
        <item x="2521"/>
        <item x="1983"/>
        <item x="2324"/>
        <item x="2055"/>
        <item x="1116"/>
        <item x="939"/>
        <item x="2337"/>
        <item x="661"/>
        <item x="1502"/>
        <item x="1837"/>
        <item x="4841"/>
        <item x="4099"/>
        <item x="4219"/>
        <item x="3048"/>
        <item x="302"/>
        <item x="126"/>
        <item x="3606"/>
        <item x="2075"/>
        <item x="2072"/>
        <item x="2471"/>
        <item x="2994"/>
        <item x="2764"/>
        <item x="820"/>
        <item x="1267"/>
        <item x="359"/>
        <item x="1872"/>
        <item x="4953"/>
        <item x="4942"/>
        <item x="586"/>
        <item x="2511"/>
        <item x="620"/>
        <item x="674"/>
        <item x="2913"/>
        <item x="1043"/>
        <item x="854"/>
        <item x="2786"/>
        <item x="1674"/>
        <item x="3306"/>
        <item x="70"/>
        <item x="1382"/>
        <item x="3257"/>
        <item x="3734"/>
        <item x="2706"/>
        <item x="3563"/>
        <item x="1599"/>
        <item x="1749"/>
        <item x="1056"/>
        <item x="558"/>
        <item x="811"/>
        <item x="2224"/>
        <item x="4699"/>
        <item x="4432"/>
        <item x="407"/>
        <item x="4441"/>
        <item x="2232"/>
        <item x="311"/>
        <item x="3619"/>
        <item x="3703"/>
        <item x="87"/>
        <item x="2668"/>
        <item x="1716"/>
        <item x="3440"/>
        <item x="2256"/>
        <item x="3899"/>
        <item x="2560"/>
        <item x="3996"/>
        <item x="1948"/>
        <item x="1378"/>
        <item x="4524"/>
        <item x="3621"/>
        <item x="2131"/>
        <item x="1763"/>
        <item x="4795"/>
        <item x="554"/>
        <item x="36"/>
        <item x="150"/>
        <item x="3078"/>
        <item x="1793"/>
        <item x="3833"/>
        <item x="2455"/>
        <item x="317"/>
        <item x="4122"/>
        <item x="2680"/>
        <item x="545"/>
        <item x="506"/>
        <item x="3486"/>
        <item x="4765"/>
        <item x="884"/>
        <item x="977"/>
        <item x="4906"/>
        <item x="4440"/>
        <item x="893"/>
        <item x="2110"/>
        <item x="2358"/>
        <item x="3529"/>
        <item x="1501"/>
        <item x="4642"/>
        <item x="2513"/>
        <item x="3550"/>
        <item x="808"/>
        <item x="2551"/>
        <item x="2306"/>
        <item x="4312"/>
        <item x="1891"/>
        <item x="799"/>
        <item x="907"/>
        <item x="1547"/>
        <item x="2816"/>
        <item x="1652"/>
        <item x="583"/>
        <item x="603"/>
        <item x="1840"/>
        <item x="371"/>
        <item x="3231"/>
        <item x="2086"/>
        <item x="2983"/>
        <item x="1597"/>
        <item x="3324"/>
        <item x="264"/>
        <item x="290"/>
        <item x="2424"/>
        <item x="3576"/>
        <item x="3412"/>
        <item x="1579"/>
        <item x="2852"/>
        <item x="4188"/>
        <item x="1194"/>
        <item x="2168"/>
        <item x="4890"/>
        <item x="1050"/>
        <item x="1920"/>
        <item x="3056"/>
        <item x="4519"/>
        <item x="3829"/>
        <item x="4611"/>
        <item x="2012"/>
        <item x="2175"/>
        <item x="4373"/>
        <item x="1963"/>
        <item x="3273"/>
        <item x="863"/>
        <item x="4913"/>
        <item x="3053"/>
        <item x="1843"/>
        <item x="2214"/>
        <item x="4466"/>
        <item x="2933"/>
        <item x="4468"/>
        <item x="5010"/>
        <item x="3965"/>
        <item x="2172"/>
        <item x="1606"/>
        <item x="917"/>
        <item x="3304"/>
        <item x="3469"/>
        <item x="1230"/>
        <item x="1429"/>
        <item x="44"/>
        <item x="1001"/>
        <item x="2879"/>
        <item x="2718"/>
        <item x="4211"/>
        <item x="4246"/>
        <item x="3442"/>
        <item x="37"/>
        <item x="4031"/>
        <item x="2389"/>
        <item x="3592"/>
        <item x="1304"/>
        <item x="3296"/>
        <item x="861"/>
        <item x="2001"/>
        <item x="741"/>
        <item x="4572"/>
        <item x="4909"/>
        <item x="2815"/>
        <item x="2308"/>
        <item x="4039"/>
        <item x="698"/>
        <item x="1457"/>
        <item x="1347"/>
        <item x="2903"/>
        <item x="3547"/>
        <item x="845"/>
        <item x="3668"/>
        <item x="4805"/>
        <item x="2798"/>
        <item x="826"/>
        <item x="852"/>
        <item x="4785"/>
        <item x="2567"/>
        <item x="2671"/>
        <item x="3467"/>
        <item x="3444"/>
        <item x="2074"/>
        <item x="3265"/>
        <item x="2629"/>
        <item x="539"/>
        <item x="346"/>
        <item x="148"/>
        <item x="1860"/>
        <item x="1783"/>
        <item x="2826"/>
        <item x="1251"/>
        <item x="806"/>
        <item x="699"/>
        <item x="3539"/>
        <item x="4096"/>
        <item x="3274"/>
        <item x="1211"/>
        <item x="537"/>
        <item x="4954"/>
        <item x="672"/>
        <item x="1509"/>
        <item x="3883"/>
        <item x="4567"/>
        <item x="766"/>
        <item x="246"/>
        <item x="1106"/>
        <item x="3372"/>
        <item x="2872"/>
        <item x="4424"/>
        <item x="4485"/>
        <item x="3466"/>
        <item x="4212"/>
        <item x="4769"/>
        <item x="3971"/>
        <item x="3121"/>
        <item x="2129"/>
        <item x="4998"/>
        <item x="4390"/>
        <item x="4285"/>
        <item x="4445"/>
        <item x="263"/>
        <item x="1761"/>
        <item x="3423"/>
        <item x="4015"/>
        <item x="4755"/>
        <item x="4388"/>
        <item x="4709"/>
        <item x="3950"/>
        <item x="4916"/>
        <item x="3821"/>
        <item x="2080"/>
        <item x="4436"/>
        <item x="3286"/>
        <item x="3313"/>
        <item x="2640"/>
        <item x="1079"/>
        <item x="678"/>
        <item x="2109"/>
        <item x="3618"/>
        <item x="2473"/>
        <item x="796"/>
        <item x="1154"/>
        <item x="1388"/>
        <item x="4092"/>
        <item x="1380"/>
        <item x="1193"/>
        <item x="1622"/>
        <item x="1484"/>
        <item x="1433"/>
        <item x="3922"/>
        <item x="4632"/>
        <item x="3403"/>
        <item x="218"/>
        <item x="337"/>
        <item x="4428"/>
        <item x="2769"/>
        <item x="4021"/>
        <item x="3794"/>
        <item x="3795"/>
        <item x="3432"/>
        <item x="1859"/>
        <item x="2028"/>
        <item x="4677"/>
        <item x="2998"/>
        <item x="272"/>
        <item x="4820"/>
        <item x="432"/>
        <item x="4510"/>
        <item x="608"/>
        <item x="801"/>
        <item x="2498"/>
        <item x="1697"/>
        <item x="1610"/>
        <item x="3788"/>
        <item x="1838"/>
        <item x="4050"/>
        <item x="4396"/>
        <item x="4651"/>
        <item x="2184"/>
        <item x="1181"/>
        <item x="3462"/>
        <item x="636"/>
        <item x="3976"/>
        <item x="1922"/>
        <item x="4171"/>
        <item x="1025"/>
        <item x="3852"/>
        <item x="1904"/>
        <item x="4109"/>
        <item x="3138"/>
        <item x="4569"/>
        <item x="3569"/>
        <item x="3759"/>
        <item x="110"/>
        <item x="4132"/>
        <item x="2154"/>
        <item x="2722"/>
        <item x="680"/>
        <item x="1608"/>
        <item x="4426"/>
        <item x="4350"/>
        <item x="2860"/>
        <item x="3937"/>
        <item x="2719"/>
        <item x="2344"/>
        <item x="4354"/>
        <item x="833"/>
        <item x="2568"/>
        <item x="414"/>
        <item x="1700"/>
        <item x="4270"/>
        <item x="3806"/>
        <item x="4477"/>
        <item x="769"/>
        <item x="3151"/>
        <item x="4739"/>
        <item x="1864"/>
        <item x="4732"/>
        <item x="2257"/>
        <item x="1328"/>
        <item x="4037"/>
        <item x="2363"/>
        <item x="3340"/>
        <item x="3264"/>
        <item x="4956"/>
        <item x="4531"/>
        <item x="3292"/>
        <item x="4127"/>
        <item x="4444"/>
        <item x="613"/>
        <item x="2770"/>
        <item x="4163"/>
        <item x="265"/>
        <item x="3224"/>
        <item x="1292"/>
        <item x="4142"/>
        <item x="4605"/>
        <item x="3957"/>
        <item x="4674"/>
        <item x="4989"/>
        <item x="3144"/>
        <item x="951"/>
        <item x="4180"/>
        <item x="3400"/>
        <item x="1698"/>
        <item x="4615"/>
        <item x="3175"/>
        <item x="1562"/>
        <item x="4616"/>
        <item x="4254"/>
        <item x="1299"/>
        <item x="356"/>
        <item x="103"/>
        <item x="4308"/>
        <item x="4547"/>
        <item x="3898"/>
        <item x="4894"/>
        <item x="4091"/>
        <item x="834"/>
        <item x="4816"/>
        <item x="3774"/>
        <item x="43"/>
        <item x="2603"/>
        <item x="1936"/>
        <item x="4304"/>
        <item x="2460"/>
        <item x="2069"/>
        <item x="3435"/>
        <item x="3620"/>
        <item x="2374"/>
        <item x="2153"/>
        <item x="4087"/>
        <item x="2218"/>
        <item x="1671"/>
        <item x="4215"/>
        <item x="3100"/>
        <item x="3096"/>
        <item x="2947"/>
        <item x="1937"/>
        <item x="1496"/>
        <item x="1710"/>
        <item x="4346"/>
        <item x="3411"/>
        <item x="2270"/>
        <item x="4311"/>
        <item x="2784"/>
        <item x="1396"/>
        <item x="4207"/>
        <item x="3726"/>
        <item x="310"/>
        <item x="3649"/>
        <item x="1967"/>
        <item x="3824"/>
        <item x="4431"/>
        <item x="1727"/>
        <item x="3147"/>
        <item x="2242"/>
        <item x="4701"/>
        <item x="4645"/>
        <item x="3580"/>
        <item x="2044"/>
        <item x="2076"/>
        <item x="1197"/>
        <item x="2967"/>
        <item x="4231"/>
        <item x="4990"/>
        <item x="3980"/>
        <item x="3914"/>
        <item x="2240"/>
        <item x="2285"/>
        <item x="3625"/>
        <item x="3506"/>
        <item x="3414"/>
        <item x="3068"/>
        <item x="2416"/>
        <item x="2971"/>
        <item x="4041"/>
        <item x="3368"/>
        <item x="1150"/>
        <item x="2565"/>
        <item x="588"/>
        <item x="4290"/>
        <item x="1474"/>
        <item x="1490"/>
        <item x="594"/>
        <item x="1306"/>
        <item x="3559"/>
        <item x="2317"/>
        <item x="1475"/>
        <item x="1677"/>
        <item x="1212"/>
        <item x="2583"/>
        <item x="1330"/>
        <item x="2335"/>
        <item x="1311"/>
        <item x="4988"/>
        <item x="4305"/>
        <item x="4786"/>
        <item x="745"/>
        <item x="2681"/>
        <item x="4461"/>
        <item x="2288"/>
        <item x="4948"/>
        <item x="3246"/>
        <item x="1065"/>
        <item x="4949"/>
        <item x="166"/>
        <item x="4233"/>
        <item x="4234"/>
        <item x="3997"/>
        <item x="4763"/>
        <item x="2673"/>
        <item x="1853"/>
        <item x="1005"/>
        <item x="505"/>
        <item x="792"/>
        <item x="4843"/>
        <item x="2439"/>
        <item x="2828"/>
        <item x="4646"/>
        <item x="4483"/>
        <item x="4411"/>
        <item x="4137"/>
        <item x="4695"/>
        <item x="4530"/>
        <item x="1845"/>
        <item x="4368"/>
        <item x="4693"/>
        <item x="751"/>
        <item x="1738"/>
        <item x="2723"/>
        <item x="780"/>
        <item x="858"/>
        <item x="1646"/>
        <item x="2530"/>
        <item x="3360"/>
        <item x="1394"/>
        <item x="4005"/>
        <item x="4857"/>
        <item x="4447"/>
        <item x="3555"/>
        <item x="2531"/>
        <item x="908"/>
        <item x="543"/>
        <item x="2365"/>
        <item x="2874"/>
        <item x="744"/>
        <item x="1818"/>
        <item x="4024"/>
        <item x="3702"/>
        <item x="1223"/>
        <item x="4875"/>
        <item x="3918"/>
        <item x="4809"/>
        <item x="3229"/>
        <item x="2878"/>
        <item x="3369"/>
        <item x="1782"/>
        <item x="3003"/>
        <item x="4072"/>
        <item x="434"/>
        <item x="1603"/>
        <item x="4151"/>
        <item x="1407"/>
        <item x="92"/>
        <item x="4506"/>
        <item x="2534"/>
        <item x="1657"/>
        <item x="639"/>
        <item x="3488"/>
        <item x="2642"/>
        <item x="824"/>
        <item x="457"/>
        <item x="2949"/>
        <item x="1262"/>
        <item x="1093"/>
        <item x="4597"/>
        <item x="4880"/>
        <item x="825"/>
        <item x="1618"/>
        <item x="3958"/>
        <item x="19"/>
        <item x="162"/>
        <item x="4560"/>
        <item x="3196"/>
        <item x="3672"/>
        <item x="1605"/>
        <item x="580"/>
        <item x="135"/>
        <item x="746"/>
        <item x="421"/>
        <item x="2762"/>
        <item x="1836"/>
        <item x="2758"/>
        <item x="4657"/>
        <item x="1982"/>
        <item x="1728"/>
        <item x="3928"/>
        <item x="526"/>
        <item x="3140"/>
        <item x="161"/>
        <item x="1846"/>
        <item x="3509"/>
        <item x="328"/>
        <item x="2730"/>
        <item x="838"/>
        <item x="187"/>
        <item x="3920"/>
        <item x="1467"/>
        <item x="3009"/>
        <item x="1823"/>
        <item x="928"/>
        <item x="255"/>
        <item x="2493"/>
        <item x="1329"/>
        <item x="4427"/>
        <item x="4262"/>
        <item x="3707"/>
        <item x="710"/>
        <item x="480"/>
        <item x="532"/>
        <item x="2972"/>
        <item x="3848"/>
        <item x="1356"/>
        <item x="3836"/>
        <item x="3634"/>
        <item x="3570"/>
        <item x="2956"/>
        <item x="278"/>
        <item x="4760"/>
        <item x="197"/>
        <item x="3947"/>
        <item x="2261"/>
        <item x="3007"/>
        <item x="3645"/>
        <item x="3"/>
        <item x="1558"/>
        <item x="390"/>
        <item x="2499"/>
        <item x="3090"/>
        <item x="3109"/>
        <item x="2610"/>
        <item x="3911"/>
        <item x="4000"/>
        <item x="4206"/>
        <item x="2185"/>
        <item x="4647"/>
        <item x="1555"/>
        <item x="2243"/>
        <item x="3189"/>
        <item x="4944"/>
        <item x="1176"/>
        <item x="3588"/>
        <item x="4549"/>
        <item x="4302"/>
        <item x="3475"/>
        <item x="4126"/>
        <item x="1943"/>
        <item x="3936"/>
        <item x="1441"/>
        <item x="409"/>
        <item x="4060"/>
        <item x="705"/>
        <item x="1157"/>
        <item x="546"/>
        <item x="3162"/>
        <item x="1026"/>
        <item x="1534"/>
        <item x="1283"/>
        <item x="3901"/>
        <item x="1984"/>
        <item x="4240"/>
        <item x="4046"/>
        <item x="1172"/>
        <item x="4727"/>
        <item x="502"/>
        <item x="1731"/>
        <item x="101"/>
        <item x="16"/>
        <item x="2882"/>
        <item x="2263"/>
        <item x="1104"/>
        <item x="1384"/>
        <item x="2533"/>
        <item x="214"/>
        <item x="2356"/>
        <item x="2130"/>
        <item x="2900"/>
        <item x="2328"/>
        <item x="823"/>
        <item x="1138"/>
        <item x="3148"/>
        <item x="559"/>
        <item x="4035"/>
        <item x="3387"/>
        <item x="1148"/>
        <item x="1992"/>
        <item x="1222"/>
        <item x="3495"/>
        <item x="336"/>
        <item x="2749"/>
        <item x="1024"/>
        <item x="533"/>
        <item x="4097"/>
        <item x="3476"/>
        <item x="3103"/>
        <item x="1811"/>
        <item x="3946"/>
        <item x="1561"/>
        <item x="3225"/>
        <item x="4352"/>
        <item x="1917"/>
        <item x="1209"/>
        <item x="3381"/>
        <item x="33"/>
        <item x="3767"/>
        <item x="3319"/>
        <item x="3005"/>
        <item x="4858"/>
        <item x="2529"/>
        <item x="521"/>
        <item x="4622"/>
        <item x="2236"/>
        <item x="1114"/>
        <item x="4892"/>
        <item x="4607"/>
        <item x="4746"/>
        <item x="4418"/>
        <item x="4214"/>
        <item x="3866"/>
        <item x="4358"/>
        <item x="1953"/>
        <item x="1686"/>
        <item x="1459"/>
        <item x="3790"/>
        <item x="3208"/>
        <item x="3128"/>
        <item x="904"/>
        <item x="1305"/>
        <item x="3510"/>
        <item x="118"/>
        <item x="85"/>
        <item x="510"/>
        <item x="2964"/>
        <item x="2940"/>
        <item x="1165"/>
        <item x="2135"/>
        <item x="3419"/>
        <item x="3724"/>
        <item x="3769"/>
        <item x="1160"/>
        <item x="2231"/>
        <item x="2865"/>
        <item x="1100"/>
        <item x="4149"/>
        <item x="3422"/>
        <item x="1842"/>
        <item x="2339"/>
        <item x="3582"/>
        <item x="140"/>
        <item x="1525"/>
        <item x="2128"/>
        <item x="3107"/>
        <item x="2302"/>
        <item x="2283"/>
        <item x="4702"/>
        <item x="4404"/>
        <item x="1894"/>
        <item x="28"/>
        <item x="3069"/>
        <item x="4606"/>
        <item x="4475"/>
        <item x="2829"/>
        <item x="922"/>
        <item x="2053"/>
        <item x="299"/>
        <item x="366"/>
        <item x="1397"/>
        <item x="859"/>
        <item x="3926"/>
        <item x="4143"/>
        <item x="2437"/>
        <item x="360"/>
        <item x="370"/>
        <item x="4973"/>
        <item x="3045"/>
        <item x="3283"/>
        <item x="2090"/>
        <item x="3647"/>
        <item x="1672"/>
        <item x="1332"/>
        <item x="283"/>
        <item x="339"/>
        <item x="2089"/>
        <item x="650"/>
        <item x="1322"/>
        <item x="1918"/>
        <item x="1554"/>
        <item x="1528"/>
        <item x="2262"/>
        <item x="3270"/>
        <item x="3205"/>
        <item x="523"/>
        <item x="3689"/>
        <item x="4068"/>
        <item x="284"/>
        <item x="1586"/>
        <item x="4984"/>
        <item x="4135"/>
        <item x="3913"/>
        <item x="3869"/>
        <item x="1354"/>
        <item x="4837"/>
        <item x="2284"/>
        <item x="2627"/>
        <item x="4910"/>
        <item x="3358"/>
        <item x="3755"/>
        <item x="2694"/>
        <item x="4084"/>
        <item x="464"/>
        <item x="2040"/>
        <item x="3033"/>
        <item x="1425"/>
        <item x="1078"/>
        <item x="1954"/>
        <item x="2470"/>
        <item x="2710"/>
        <item x="2041"/>
        <item x="875"/>
        <item x="873"/>
        <item x="4018"/>
        <item x="2946"/>
        <item x="1691"/>
        <item x="2827"/>
        <item x="1595"/>
        <item x="2205"/>
        <item x="4472"/>
        <item x="1692"/>
        <item x="1296"/>
        <item x="3267"/>
        <item x="2705"/>
        <item x="4419"/>
        <item x="2538"/>
        <item x="2637"/>
        <item x="4297"/>
        <item x="1362"/>
        <item x="1412"/>
        <item x="1210"/>
        <item x="4116"/>
        <item x="3095"/>
        <item x="2774"/>
        <item x="2032"/>
        <item x="1519"/>
        <item x="254"/>
        <item x="4387"/>
        <item x="2501"/>
        <item x="1229"/>
        <item x="2159"/>
        <item x="2738"/>
        <item x="1220"/>
        <item x="205"/>
        <item x="2797"/>
        <item x="4075"/>
        <item x="3393"/>
        <item x="517"/>
        <item x="2908"/>
        <item x="687"/>
        <item x="3407"/>
        <item x="3903"/>
        <item x="2636"/>
        <item x="4604"/>
        <item x="1957"/>
        <item x="4877"/>
        <item x="452"/>
        <item x="3106"/>
        <item x="3594"/>
        <item x="439"/>
        <item x="4721"/>
        <item x="4686"/>
        <item x="888"/>
        <item x="2226"/>
        <item x="48"/>
        <item x="4914"/>
        <item x="2585"/>
        <item x="1462"/>
        <item x="4160"/>
        <item x="2290"/>
        <item x="3050"/>
        <item x="737"/>
        <item x="4245"/>
        <item x="2220"/>
        <item x="1128"/>
        <item x="3256"/>
        <item x="2341"/>
        <item x="3135"/>
        <item x="1410"/>
        <item x="3058"/>
        <item x="2859"/>
        <item x="4376"/>
        <item x="3641"/>
        <item x="4724"/>
        <item x="2292"/>
        <item x="2445"/>
        <item x="2323"/>
        <item x="242"/>
        <item x="127"/>
        <item x="4473"/>
        <item x="4667"/>
        <item x="4026"/>
        <item x="702"/>
        <item x="4665"/>
        <item x="2452"/>
        <item x="291"/>
        <item x="219"/>
        <item x="3863"/>
        <item x="1584"/>
        <item x="3353"/>
        <item x="616"/>
        <item x="3310"/>
        <item x="1926"/>
        <item x="4844"/>
        <item x="2052"/>
        <item x="843"/>
        <item x="2867"/>
        <item x="3583"/>
        <item x="3872"/>
        <item x="905"/>
        <item x="2376"/>
        <item x="1634"/>
        <item x="2397"/>
        <item x="2740"/>
        <item x="3533"/>
        <item x="1046"/>
        <item x="2034"/>
        <item x="1633"/>
        <item x="4088"/>
        <item x="4730"/>
        <item x="4244"/>
        <item x="2519"/>
        <item x="4912"/>
        <item x="2558"/>
        <item x="3044"/>
        <item x="3253"/>
        <item x="1469"/>
        <item x="4491"/>
        <item x="449"/>
        <item x="202"/>
        <item x="4278"/>
        <item x="4172"/>
        <item x="4166"/>
        <item x="2070"/>
        <item x="3139"/>
        <item x="3029"/>
        <item x="2494"/>
        <item x="222"/>
        <item x="2974"/>
        <item x="4962"/>
        <item x="4381"/>
        <item x="3460"/>
        <item x="2381"/>
        <item x="2038"/>
        <item x="1460"/>
        <item x="2266"/>
        <item x="4293"/>
        <item x="4787"/>
        <item x="2690"/>
        <item x="4012"/>
        <item x="1832"/>
        <item x="3330"/>
        <item x="4066"/>
        <item x="721"/>
        <item x="2713"/>
        <item x="2320"/>
        <item x="1014"/>
        <item x="2880"/>
        <item x="1701"/>
        <item x="260"/>
        <item x="2176"/>
        <item x="950"/>
        <item x="3115"/>
        <item x="2814"/>
        <item x="4961"/>
        <item x="348"/>
        <item x="612"/>
        <item x="4781"/>
        <item x="2744"/>
        <item x="1327"/>
        <item x="3448"/>
        <item x="399"/>
        <item x="4772"/>
        <item x="2850"/>
        <item x="3741"/>
        <item x="1018"/>
        <item x="3517"/>
        <item x="3102"/>
        <item x="332"/>
        <item x="2425"/>
        <item x="1913"/>
        <item x="1258"/>
        <item x="4683"/>
        <item x="2275"/>
        <item x="3954"/>
        <item x="2712"/>
        <item x="622"/>
        <item x="2980"/>
        <item x="2619"/>
        <item x="4469"/>
        <item x="3546"/>
        <item x="215"/>
        <item x="2767"/>
        <item x="4433"/>
        <item x="3157"/>
        <item x="4846"/>
        <item x="3782"/>
        <item x="173"/>
        <item x="4761"/>
        <item x="4974"/>
        <item x="2726"/>
        <item x="4713"/>
        <item x="4323"/>
        <item x="1248"/>
        <item x="2002"/>
        <item x="4320"/>
        <item x="2832"/>
        <item x="4421"/>
        <item x="456"/>
        <item x="4976"/>
        <item x="4624"/>
        <item x="4392"/>
        <item x="1643"/>
        <item x="4586"/>
        <item x="3408"/>
        <item x="4855"/>
        <item x="3673"/>
        <item x="3445"/>
        <item x="4410"/>
        <item x="1398"/>
        <item x="198"/>
        <item x="4678"/>
        <item x="949"/>
        <item x="4324"/>
        <item x="3072"/>
        <item x="1520"/>
        <item x="3662"/>
        <item x="1536"/>
        <item x="1552"/>
        <item x="1815"/>
        <item x="3881"/>
        <item x="1285"/>
        <item x="3326"/>
        <item x="4650"/>
        <item x="4991"/>
        <item x="2216"/>
        <item x="3749"/>
        <item x="3894"/>
        <item x="4768"/>
        <item x="3777"/>
        <item x="4634"/>
        <item x="2273"/>
        <item x="2654"/>
        <item x="4882"/>
        <item x="3354"/>
        <item x="14"/>
        <item x="4155"/>
        <item x="735"/>
        <item x="4196"/>
        <item x="3041"/>
        <item x="1867"/>
        <item x="184"/>
        <item x="4340"/>
        <item x="4451"/>
        <item x="1585"/>
        <item x="1061"/>
        <item x="2523"/>
        <item x="4540"/>
        <item x="2594"/>
        <item x="243"/>
        <item x="896"/>
        <item x="4366"/>
        <item x="1543"/>
        <item x="1907"/>
        <item x="364"/>
        <item x="4725"/>
        <item x="4165"/>
        <item x="1735"/>
        <item x="1529"/>
        <item x="1471"/>
        <item x="3395"/>
        <item x="667"/>
        <item x="1889"/>
        <item x="2367"/>
        <item x="1577"/>
        <item x="1997"/>
        <item x="50"/>
        <item x="141"/>
        <item x="3473"/>
        <item x="1805"/>
        <item x="542"/>
        <item x="655"/>
        <item x="795"/>
        <item x="3798"/>
        <item x="931"/>
        <item x="623"/>
        <item x="5009"/>
        <item x="1829"/>
        <item x="4314"/>
        <item x="1201"/>
        <item x="2715"/>
        <item x="1901"/>
        <item x="2716"/>
        <item x="1678"/>
        <item x="2825"/>
        <item x="1268"/>
        <item x="1715"/>
        <item x="958"/>
        <item x="3436"/>
        <item x="1256"/>
        <item x="3150"/>
        <item x="1776"/>
        <item x="2618"/>
        <item x="1760"/>
        <item x="4664"/>
        <item x="4740"/>
        <item x="2408"/>
        <item x="2666"/>
        <item x="4806"/>
        <item x="3664"/>
        <item x="1794"/>
        <item x="46"/>
        <item x="4866"/>
        <item x="3771"/>
        <item x="4383"/>
        <item x="4927"/>
        <item x="4735"/>
        <item x="2625"/>
        <item x="3430"/>
        <item x="4571"/>
        <item x="2192"/>
        <item x="3318"/>
        <item x="3428"/>
        <item x="2701"/>
        <item x="2495"/>
        <item x="4259"/>
        <item x="401"/>
        <item x="491"/>
        <item x="3540"/>
        <item x="2199"/>
        <item x="1778"/>
        <item x="3663"/>
        <item x="2727"/>
        <item x="4114"/>
        <item x="1979"/>
        <item x="406"/>
        <item x="4400"/>
        <item x="1090"/>
        <item x="3351"/>
        <item x="775"/>
        <item x="4200"/>
        <item x="4413"/>
        <item x="547"/>
        <item x="4639"/>
        <item x="4814"/>
        <item x="1707"/>
        <item x="315"/>
        <item x="1900"/>
        <item x="1133"/>
        <item x="574"/>
        <item x="4756"/>
        <item x="654"/>
        <item x="4248"/>
        <item x="1039"/>
        <item x="4010"/>
        <item x="2450"/>
        <item x="529"/>
        <item x="4430"/>
        <item x="2113"/>
        <item x="1035"/>
        <item x="4863"/>
        <item x="648"/>
        <item x="2225"/>
        <item x="2935"/>
        <item x="1431"/>
        <item x="4902"/>
        <item x="1791"/>
        <item x="2111"/>
        <item x="1317"/>
        <item x="9"/>
        <item x="2420"/>
        <item x="3002"/>
        <item x="3939"/>
        <item x="996"/>
        <item x="3556"/>
        <item x="212"/>
        <item x="926"/>
        <item x="3498"/>
        <item x="3129"/>
        <item x="4125"/>
        <item x="2746"/>
        <item x="2791"/>
        <item x="3998"/>
        <item x="2555"/>
        <item x="4661"/>
        <item x="4736"/>
        <item x="2022"/>
        <item x="3733"/>
        <item x="1574"/>
        <item x="1179"/>
        <item x="2087"/>
        <item x="1942"/>
        <item x="2264"/>
        <item x="1376"/>
        <item x="3756"/>
        <item x="2665"/>
        <item x="2298"/>
        <item x="4013"/>
        <item x="4631"/>
        <item x="159"/>
        <item x="10"/>
        <item x="3142"/>
        <item x="12"/>
        <item x="2138"/>
        <item x="2543"/>
        <item x="1124"/>
        <item x="2444"/>
        <item x="598"/>
        <item x="2672"/>
        <item x="657"/>
        <item x="2991"/>
        <item x="2293"/>
        <item x="3930"/>
        <item x="4592"/>
        <item x="2048"/>
        <item x="4226"/>
        <item x="3187"/>
        <item x="3000"/>
        <item x="1224"/>
        <item x="1684"/>
        <item x="3584"/>
        <item x="3572"/>
        <item x="4966"/>
        <item x="2597"/>
        <item x="789"/>
        <item x="160"/>
        <item x="226"/>
        <item x="3543"/>
        <item x="3690"/>
        <item x="3122"/>
        <item x="224"/>
        <item x="881"/>
        <item x="716"/>
        <item x="4237"/>
        <item x="1214"/>
        <item x="1353"/>
        <item x="816"/>
        <item x="864"/>
        <item x="2276"/>
        <item x="2422"/>
        <item x="2254"/>
        <item x="3800"/>
        <item x="2428"/>
        <item x="2505"/>
        <item x="4220"/>
        <item x="1736"/>
        <item x="2641"/>
        <item x="2375"/>
        <item x="3472"/>
        <item x="4378"/>
        <item x="111"/>
        <item x="2208"/>
        <item x="666"/>
        <item x="1852"/>
        <item x="124"/>
        <item x="964"/>
        <item x="3386"/>
        <item x="2291"/>
        <item x="2626"/>
        <item x="3817"/>
        <item x="3849"/>
        <item x="2366"/>
        <item x="57"/>
        <item x="4587"/>
        <item x="4236"/>
        <item x="2100"/>
        <item x="1723"/>
        <item x="4929"/>
        <item x="3088"/>
        <item x="2575"/>
        <item x="3183"/>
        <item x="4867"/>
        <item x="2856"/>
        <item x="3631"/>
        <item x="1424"/>
        <item x="1884"/>
        <item x="1647"/>
        <item x="321"/>
        <item x="2237"/>
        <item x="1559"/>
        <item x="4156"/>
        <item x="3271"/>
        <item x="2187"/>
        <item x="3577"/>
        <item x="3974"/>
        <item x="3699"/>
        <item x="3248"/>
        <item x="1449"/>
        <item x="723"/>
        <item x="3900"/>
        <item x="1630"/>
        <item x="3247"/>
        <item x="2024"/>
        <item x="3762"/>
        <item x="4670"/>
        <item x="3512"/>
        <item x="2021"/>
        <item x="1834"/>
        <item x="2525"/>
        <item x="2488"/>
        <item x="663"/>
        <item x="1447"/>
        <item x="4557"/>
        <item x="1662"/>
        <item x="901"/>
        <item x="3635"/>
        <item x="4310"/>
        <item x="2095"/>
        <item x="4749"/>
        <item x="1830"/>
        <item x="186"/>
        <item x="3653"/>
        <item x="1409"/>
        <item x="1964"/>
        <item x="540"/>
        <item x="3932"/>
        <item x="2898"/>
        <item x="1284"/>
        <item x="3104"/>
        <item x="1670"/>
        <item x="4613"/>
        <item x="2999"/>
        <item x="1999"/>
        <item x="136"/>
        <item x="102"/>
        <item x="4338"/>
        <item x="3416"/>
        <item x="4827"/>
        <item x="3805"/>
        <item x="4251"/>
        <item x="2382"/>
        <item x="1432"/>
        <item x="1880"/>
        <item x="3615"/>
        <item x="4985"/>
        <item x="3126"/>
        <item x="2474"/>
        <item x="2125"/>
        <item x="4140"/>
        <item x="1570"/>
        <item x="4922"/>
        <item x="4584"/>
        <item x="451"/>
        <item x="268"/>
        <item x="38"/>
        <item x="4943"/>
        <item x="2013"/>
        <item x="2582"/>
        <item x="3655"/>
        <item x="3046"/>
        <item x="1404"/>
        <item x="2466"/>
        <item x="4802"/>
        <item x="252"/>
        <item x="2623"/>
        <item x="4687"/>
        <item x="4434"/>
        <item x="2871"/>
        <item x="880"/>
        <item x="4496"/>
        <item x="123"/>
        <item x="4840"/>
        <item x="2170"/>
        <item x="2482"/>
        <item x="1705"/>
        <item x="832"/>
        <item x="4517"/>
        <item x="1013"/>
        <item x="427"/>
        <item x="691"/>
        <item x="266"/>
        <item x="125"/>
        <item x="2613"/>
        <item x="3838"/>
        <item x="2937"/>
        <item x="404"/>
        <item x="76"/>
        <item x="4937"/>
        <item x="257"/>
        <item x="3984"/>
        <item x="59"/>
        <item x="97"/>
        <item x="2775"/>
        <item x="1164"/>
        <item x="3379"/>
        <item x="2993"/>
        <item x="3149"/>
        <item x="498"/>
        <item x="2361"/>
        <item x="176"/>
        <item x="2553"/>
        <item x="1270"/>
        <item x="1683"/>
        <item x="2045"/>
        <item x="631"/>
        <item x="534"/>
        <item x="3943"/>
        <item x="1294"/>
        <item x="3402"/>
        <item x="3811"/>
        <item x="1260"/>
        <item x="3873"/>
        <item x="3680"/>
        <item x="2343"/>
        <item x="2464"/>
        <item x="2599"/>
        <item x="25"/>
        <item x="1196"/>
        <item x="454"/>
        <item x="1083"/>
        <item x="72"/>
        <item x="1007"/>
        <item x="1028"/>
        <item x="551"/>
        <item x="4546"/>
        <item x="3845"/>
        <item x="3165"/>
        <item x="2457"/>
        <item x="1455"/>
        <item x="3830"/>
        <item x="2768"/>
        <item x="203"/>
        <item x="1833"/>
        <item x="3373"/>
        <item x="4952"/>
        <item x="3396"/>
        <item x="2576"/>
        <item x="890"/>
        <item x="365"/>
        <item x="1565"/>
        <item x="4"/>
        <item x="2004"/>
        <item x="3502"/>
        <item x="3146"/>
        <item x="4655"/>
        <item x="1764"/>
        <item x="2711"/>
        <item x="1413"/>
        <item x="2370"/>
        <item x="4103"/>
        <item x="4391"/>
        <item x="1919"/>
        <item x="47"/>
        <item x="4349"/>
        <item x="2761"/>
        <item x="1825"/>
        <item x="1058"/>
        <item x="2821"/>
        <item x="566"/>
        <item x="708"/>
        <item x="1512"/>
        <item x="1772"/>
        <item x="4553"/>
        <item x="1742"/>
        <item x="1773"/>
        <item x="3042"/>
        <item x="4271"/>
        <item x="1366"/>
        <item x="1995"/>
        <item x="4641"/>
        <item x="2228"/>
        <item x="2453"/>
        <item x="4194"/>
        <item x="2504"/>
        <item x="2280"/>
        <item x="2286"/>
        <item x="4095"/>
        <item x="1774"/>
        <item x="411"/>
        <item x="3719"/>
        <item x="1408"/>
        <item x="4458"/>
        <item x="3203"/>
        <item x="4273"/>
        <item x="4759"/>
        <item x="3508"/>
        <item x="227"/>
        <item x="2820"/>
        <item x="325"/>
        <item x="2858"/>
        <item x="2622"/>
        <item x="2251"/>
        <item x="4704"/>
        <item x="2327"/>
        <item x="4169"/>
        <item x="1847"/>
        <item x="1042"/>
        <item x="3222"/>
        <item x="3308"/>
        <item x="4536"/>
        <item x="4862"/>
        <item x="3656"/>
        <item x="4183"/>
        <item x="1822"/>
        <item x="51"/>
        <item x="4525"/>
        <item x="3846"/>
        <item x="467"/>
        <item x="1911"/>
        <item x="195"/>
        <item x="1797"/>
        <item x="3214"/>
        <item x="1115"/>
        <item x="3590"/>
        <item x="2926"/>
        <item x="4065"/>
        <item x="4464"/>
        <item x="2369"/>
        <item x="1620"/>
        <item x="1470"/>
        <item x="2988"/>
        <item x="3644"/>
        <item x="1730"/>
        <item x="304"/>
        <item x="557"/>
        <item x="2015"/>
        <item x="122"/>
        <item x="3272"/>
        <item x="3163"/>
        <item x="1191"/>
        <item x="4141"/>
        <item x="340"/>
        <item x="4329"/>
        <item x="3970"/>
        <item x="475"/>
        <item x="100"/>
        <item x="382"/>
        <item x="2939"/>
        <item x="1416"/>
        <item x="4590"/>
        <item x="4081"/>
        <item x="1178"/>
        <item x="4481"/>
        <item x="2407"/>
        <item x="2259"/>
        <item x="1301"/>
        <item x="2123"/>
        <item x="1613"/>
        <item x="3709"/>
        <item x="4662"/>
        <item x="4957"/>
        <item x="3188"/>
        <item x="4336"/>
        <item x="2808"/>
        <item x="2178"/>
        <item x="991"/>
        <item x="4521"/>
        <item x="1903"/>
        <item x="4332"/>
        <item x="262"/>
        <item x="2027"/>
        <item x="3083"/>
        <item x="3218"/>
        <item x="3166"/>
        <item x="2429"/>
        <item x="1190"/>
        <item x="3511"/>
        <item x="1428"/>
        <item x="709"/>
        <item x="4405"/>
        <item x="1458"/>
        <item x="4635"/>
        <item x="3763"/>
        <item x="478"/>
        <item x="538"/>
        <item x="1076"/>
        <item x="2406"/>
        <item x="4585"/>
        <item x="3054"/>
        <item x="3343"/>
        <item x="564"/>
        <item x="23"/>
        <item x="1658"/>
        <item x="4791"/>
        <item x="2411"/>
        <item x="1751"/>
        <item x="2162"/>
        <item x="535"/>
        <item x="295"/>
        <item x="171"/>
        <item x="4504"/>
        <item x="3808"/>
        <item x="476"/>
        <item x="3674"/>
        <item x="4930"/>
        <item x="4083"/>
        <item x="2796"/>
        <item x="3596"/>
        <item x="900"/>
        <item x="1507"/>
        <item x="4398"/>
        <item x="3064"/>
        <item x="372"/>
        <item x="512"/>
        <item x="3483"/>
        <item x="4911"/>
        <item x="1935"/>
        <item x="4267"/>
        <item x="1504"/>
        <item x="1619"/>
        <item x="3810"/>
        <item x="2600"/>
        <item x="902"/>
        <item x="1335"/>
        <item x="3878"/>
        <item x="4757"/>
        <item x="3729"/>
        <item x="2432"/>
        <item x="2304"/>
        <item x="58"/>
        <item x="4344"/>
        <item x="2614"/>
        <item x="1590"/>
        <item x="4968"/>
        <item x="2707"/>
        <item x="1994"/>
        <item x="3137"/>
        <item x="2778"/>
        <item x="2925"/>
        <item x="2418"/>
        <item x="2380"/>
        <item x="419"/>
        <item x="2586"/>
        <item x="2247"/>
        <item x="3320"/>
        <item x="1451"/>
        <item x="2016"/>
        <item x="3281"/>
        <item x="1004"/>
        <item x="515"/>
        <item x="2997"/>
        <item x="466"/>
        <item x="3355"/>
        <item x="2667"/>
        <item x="3019"/>
        <item x="4062"/>
        <item x="3176"/>
        <item x="8"/>
        <item x="2077"/>
        <item x="2007"/>
        <item x="815"/>
        <item x="189"/>
        <item x="3632"/>
        <item x="1689"/>
        <item x="1592"/>
        <item x="1149"/>
        <item x="3376"/>
        <item x="4621"/>
        <item x="3505"/>
        <item x="1232"/>
        <item x="1391"/>
        <item x="1929"/>
        <item x="338"/>
        <item x="4448"/>
        <item x="4636"/>
        <item x="2674"/>
        <item x="4520"/>
        <item x="2151"/>
        <item x="2085"/>
        <item x="53"/>
        <item x="1596"/>
        <item x="3065"/>
        <item x="3685"/>
        <item x="327"/>
        <item x="183"/>
        <item x="4733"/>
        <item x="2877"/>
        <item x="4745"/>
        <item x="525"/>
        <item x="2071"/>
        <item x="4633"/>
        <item x="714"/>
        <item x="3819"/>
        <item x="4889"/>
        <item x="470"/>
        <item x="2528"/>
        <item x="652"/>
        <item x="2134"/>
        <item x="230"/>
        <item x="177"/>
        <item x="1140"/>
        <item x="2166"/>
        <item x="3020"/>
        <item x="3478"/>
        <item x="1655"/>
        <item x="2616"/>
        <item x="3194"/>
        <item x="62"/>
        <item x="362"/>
        <item x="4723"/>
        <item x="216"/>
        <item x="916"/>
        <item x="2785"/>
        <item x="1635"/>
        <item x="1611"/>
        <item x="2274"/>
        <item x="2587"/>
        <item x="2979"/>
        <item x="1370"/>
        <item x="4698"/>
        <item x="3812"/>
        <item x="1315"/>
        <item x="3464"/>
        <item x="2239"/>
        <item x="1682"/>
        <item x="4818"/>
        <item x="1497"/>
        <item x="1068"/>
        <item x="32"/>
        <item x="4821"/>
        <item x="4826"/>
        <item x="4812"/>
        <item x="4170"/>
        <item x="444"/>
        <item x="2920"/>
        <item x="200"/>
        <item x="5008"/>
        <item x="2318"/>
        <item x="3835"/>
        <item x="394"/>
        <item x="640"/>
        <item x="1696"/>
        <item x="4675"/>
        <item x="282"/>
        <item x="344"/>
        <item x="3982"/>
        <item x="4926"/>
        <item x="4007"/>
        <item x="1796"/>
        <item x="1465"/>
        <item x="343"/>
        <item x="5004"/>
        <item x="3455"/>
        <item x="2303"/>
        <item x="3113"/>
        <item x="4872"/>
        <item x="231"/>
        <item x="4744"/>
        <item x="734"/>
        <item x="2944"/>
        <item x="4291"/>
        <item x="4011"/>
        <item x="2990"/>
        <item x="2230"/>
        <item x="3325"/>
        <item x="2817"/>
        <item x="3507"/>
        <item x="4509"/>
        <item x="4714"/>
        <item x="1737"/>
        <item x="3530"/>
        <item x="1023"/>
        <item x="4895"/>
        <item x="3847"/>
        <item x="1925"/>
        <item x="682"/>
        <item x="3111"/>
        <item x="1307"/>
        <item x="2182"/>
        <item x="4407"/>
        <item x="2449"/>
        <item x="1625"/>
        <item x="2870"/>
        <item x="4556"/>
        <item x="1320"/>
        <item x="3063"/>
        <item x="389"/>
        <item x="3181"/>
        <item x="2268"/>
        <item x="4020"/>
        <item x="3896"/>
        <item x="2223"/>
        <item x="2456"/>
        <item x="1089"/>
        <item x="4367"/>
        <item x="1965"/>
        <item x="2846"/>
        <item x="2140"/>
        <item x="1422"/>
        <item x="1719"/>
        <item x="247"/>
        <item x="3730"/>
        <item x="1110"/>
        <item x="1171"/>
        <item x="2241"/>
        <item x="4454"/>
        <item x="4275"/>
        <item x="3339"/>
        <item x="488"/>
        <item x="3818"/>
        <item x="1909"/>
        <item x="1419"/>
        <item x="3880"/>
        <item x="2653"/>
        <item x="2031"/>
        <item x="2144"/>
        <item x="536"/>
        <item x="697"/>
        <item x="2008"/>
        <item x="3482"/>
        <item x="4460"/>
        <item x="3244"/>
        <item x="326"/>
        <item x="2436"/>
        <item x="2235"/>
        <item x="3639"/>
        <item x="956"/>
        <item x="2595"/>
        <item x="765"/>
        <item x="3060"/>
        <item x="1045"/>
        <item x="754"/>
        <item x="2063"/>
        <item x="4828"/>
        <item x="4798"/>
        <item x="2656"/>
        <item x="1915"/>
        <item x="3738"/>
        <item x="4789"/>
        <item x="3110"/>
        <item x="978"/>
        <item x="129"/>
        <item x="1234"/>
        <item x="4533"/>
        <item x="4365"/>
        <item x="2887"/>
        <item x="2165"/>
        <item x="1508"/>
        <item x="2299"/>
        <item x="3490"/>
        <item x="1453"/>
        <item x="2848"/>
        <item x="948"/>
        <item x="3397"/>
        <item x="946"/>
        <item x="2011"/>
        <item x="2773"/>
        <item x="2750"/>
        <item x="3860"/>
        <item x="4253"/>
        <item x="4627"/>
        <item x="3285"/>
        <item x="2433"/>
        <item x="156"/>
        <item x="481"/>
        <item x="3332"/>
        <item x="3055"/>
        <item x="2837"/>
        <item x="4199"/>
        <item x="4831"/>
        <item x="2897"/>
        <item x="152"/>
        <item x="3032"/>
        <item x="2652"/>
        <item x="2918"/>
        <item x="1871"/>
        <item x="3801"/>
        <item x="1923"/>
        <item x="3454"/>
        <item x="4764"/>
        <item x="2875"/>
        <item x="2559"/>
        <item x="1500"/>
        <item x="783"/>
        <item x="2552"/>
        <item x="2042"/>
        <item x="3967"/>
        <item x="3337"/>
        <item x="731"/>
        <item x="3036"/>
        <item x="1569"/>
        <item x="3532"/>
        <item x="3217"/>
        <item x="3825"/>
        <item x="1244"/>
        <item x="1531"/>
        <item x="4570"/>
        <item x="2973"/>
        <item x="1180"/>
        <item x="3840"/>
        <item x="1940"/>
        <item x="4692"/>
        <item x="3299"/>
        <item x="2454"/>
        <item x="3986"/>
        <item x="4201"/>
        <item x="1088"/>
        <item x="836"/>
        <item x="3391"/>
        <item x="4648"/>
        <item x="2338"/>
        <item x="3927"/>
        <item x="4619"/>
        <item x="4811"/>
        <item x="1780"/>
        <item x="2190"/>
        <item x="2475"/>
        <item x="2755"/>
        <item x="2945"/>
        <item x="2359"/>
        <item x="1645"/>
        <item x="625"/>
        <item x="1809"/>
        <item x="2412"/>
        <item x="308"/>
        <item x="2968"/>
        <item x="471"/>
        <item x="4094"/>
        <item x="3199"/>
        <item x="1075"/>
        <item x="170"/>
        <item x="489"/>
        <item x="499"/>
        <item x="664"/>
        <item x="4145"/>
        <item x="1624"/>
        <item x="963"/>
        <item x="459"/>
        <item x="2096"/>
        <item x="1392"/>
        <item x="1539"/>
        <item x="1722"/>
        <item x="3392"/>
        <item x="3651"/>
        <item x="3987"/>
        <item x="4256"/>
        <item x="1241"/>
        <item x="4601"/>
        <item x="550"/>
        <item x="4258"/>
        <item x="4503"/>
        <item x="4700"/>
        <item x="1961"/>
        <item x="4036"/>
        <item x="2957"/>
        <item x="2349"/>
        <item x="3841"/>
        <item x="4767"/>
        <item x="3850"/>
        <item x="1368"/>
        <item x="1744"/>
        <item x="289"/>
        <item x="4737"/>
        <item x="172"/>
        <item x="2986"/>
        <item x="1669"/>
        <item x="2037"/>
        <item x="3197"/>
        <item x="982"/>
        <item x="1768"/>
        <item x="3172"/>
        <item x="1169"/>
        <item x="4718"/>
        <item x="21"/>
        <item x="3401"/>
        <item x="3558"/>
        <item x="83"/>
        <item x="1699"/>
        <item x="2442"/>
        <item x="4752"/>
        <item x="485"/>
        <item x="3079"/>
        <item x="2866"/>
        <item x="4382"/>
        <item x="1252"/>
        <item x="3948"/>
        <item x="4280"/>
        <item x="1885"/>
        <item x="4777"/>
        <item x="4656"/>
        <item x="3170"/>
        <item x="3092"/>
        <item x="4876"/>
        <item x="4778"/>
        <item x="994"/>
        <item x="3245"/>
        <item x="4580"/>
        <item x="369"/>
        <item x="3757"/>
        <item x="768"/>
        <item x="853"/>
        <item x="1324"/>
        <item x="2779"/>
        <item x="3906"/>
        <item x="1373"/>
        <item x="2919"/>
        <item x="1487"/>
        <item x="1676"/>
        <item x="2492"/>
        <item x="3784"/>
        <item x="3521"/>
        <item x="2662"/>
        <item x="2688"/>
        <item x="1802"/>
        <item x="3067"/>
        <item x="3740"/>
        <item x="610"/>
        <item x="1993"/>
        <item x="1030"/>
        <item x="1831"/>
        <item x="4883"/>
        <item x="2605"/>
        <item x="4643"/>
        <item x="2584"/>
        <item x="2101"/>
        <item x="3553"/>
        <item x="3739"/>
        <item x="1666"/>
        <item x="3727"/>
        <item x="3317"/>
        <item x="3744"/>
        <item x="4384"/>
        <item x="486"/>
        <item x="4080"/>
        <item x="147"/>
        <item x="196"/>
        <item x="713"/>
        <item x="841"/>
        <item x="658"/>
        <item x="1029"/>
        <item x="3127"/>
        <item x="3017"/>
        <item x="2524"/>
        <item x="1182"/>
        <item x="2441"/>
        <item x="93"/>
        <item x="2480"/>
        <item x="3692"/>
        <item x="813"/>
        <item x="3696"/>
        <item x="99"/>
        <item x="787"/>
        <item x="154"/>
        <item x="4904"/>
        <item x="1483"/>
        <item x="1053"/>
        <item x="350"/>
        <item x="4758"/>
        <item x="3347"/>
        <item x="2279"/>
        <item x="679"/>
        <item x="52"/>
        <item x="3676"/>
        <item x="2018"/>
        <item x="1139"/>
        <item x="188"/>
        <item x="1430"/>
        <item x="1975"/>
        <item x="1665"/>
        <item x="4158"/>
        <item x="1882"/>
        <item x="1277"/>
        <item x="4565"/>
        <item x="4192"/>
        <item x="1247"/>
        <item x="2485"/>
        <item x="520"/>
        <item x="1706"/>
        <item x="1813"/>
        <item x="2982"/>
        <item x="204"/>
        <item x="4030"/>
        <item x="3410"/>
        <item x="2861"/>
        <item x="490"/>
        <item x="429"/>
        <item x="357"/>
        <item x="2033"/>
        <item x="383"/>
        <item x="2368"/>
        <item x="234"/>
        <item x="611"/>
        <item x="3250"/>
        <item x="1958"/>
        <item x="2914"/>
        <item x="3338"/>
        <item x="3024"/>
        <item x="3022"/>
        <item x="2735"/>
        <item x="771"/>
        <item x="2922"/>
        <item x="1890"/>
        <item x="119"/>
        <item x="2019"/>
        <item x="31"/>
        <item x="966"/>
        <item x="2252"/>
        <item x="2179"/>
        <item x="71"/>
        <item x="1779"/>
        <item x="3228"/>
        <item x="2265"/>
        <item x="889"/>
        <item x="921"/>
        <item x="4830"/>
        <item x="430"/>
        <item x="1947"/>
        <item x="3589"/>
        <item x="2540"/>
        <item x="2545"/>
        <item x="1443"/>
        <item x="2975"/>
        <item x="1263"/>
        <item x="2097"/>
        <item x="4004"/>
        <item x="670"/>
        <item x="5001"/>
        <item x="626"/>
        <item x="2099"/>
        <item x="3940"/>
        <item x="2855"/>
        <item x="2326"/>
        <item x="2863"/>
        <item x="4033"/>
        <item x="2198"/>
        <item x="4715"/>
        <item x="2331"/>
        <item x="1567"/>
        <item x="3783"/>
        <item x="292"/>
        <item x="352"/>
        <item x="2906"/>
        <item x="3014"/>
        <item x="738"/>
        <item x="4907"/>
        <item x="1107"/>
        <item x="4794"/>
        <item x="1787"/>
        <item x="3893"/>
        <item x="417"/>
        <item x="591"/>
        <item x="513"/>
        <item x="959"/>
        <item x="2127"/>
        <item x="4629"/>
        <item x="4849"/>
        <item x="3494"/>
        <item x="1505"/>
        <item x="4946"/>
        <item x="3427"/>
        <item x="887"/>
        <item x="4663"/>
        <item x="1185"/>
        <item x="895"/>
        <item x="4173"/>
        <item x="3750"/>
        <item x="3565"/>
        <item x="2601"/>
        <item x="4316"/>
        <item x="668"/>
        <item x="139"/>
        <item x="2697"/>
        <item x="1709"/>
        <item x="18"/>
        <item x="4051"/>
        <item x="3026"/>
        <item x="1944"/>
        <item x="1235"/>
        <item x="2512"/>
        <item x="2405"/>
        <item x="1694"/>
        <item x="4522"/>
        <item x="1792"/>
        <item x="1703"/>
        <item x="2733"/>
        <item x="2958"/>
        <item x="3434"/>
        <item x="835"/>
        <item x="4334"/>
        <item x="2006"/>
        <item x="286"/>
        <item x="3105"/>
        <item x="1186"/>
        <item x="3650"/>
        <item x="1137"/>
        <item x="4887"/>
        <item x="4766"/>
        <item x="2351"/>
        <item x="3457"/>
        <item x="704"/>
        <item x="1817"/>
        <item x="522"/>
        <item x="2081"/>
        <item x="55"/>
        <item x="802"/>
        <item x="1807"/>
        <item x="1819"/>
        <item x="4534"/>
        <item x="2638"/>
        <item x="2188"/>
        <item x="3815"/>
        <item x="1752"/>
        <item x="1479"/>
        <item x="426"/>
        <item x="1136"/>
        <item x="516"/>
        <item x="1073"/>
        <item x="2960"/>
        <item x="1130"/>
        <item x="4543"/>
        <item x="4371"/>
        <item x="3500"/>
        <item x="1996"/>
        <item x="1878"/>
        <item x="477"/>
        <item x="1546"/>
        <item x="759"/>
        <item x="531"/>
        <item x="669"/>
        <item x="4987"/>
        <item x="274"/>
        <item x="2297"/>
        <item x="4513"/>
        <item x="1951"/>
        <item x="3924"/>
        <item x="2116"/>
        <item x="2191"/>
        <item x="4566"/>
        <item x="2350"/>
        <item x="1583"/>
        <item x="4337"/>
        <item x="379"/>
        <item x="718"/>
        <item x="4490"/>
        <item x="353"/>
        <item x="1418"/>
        <item x="1649"/>
        <item x="4076"/>
        <item x="1945"/>
        <item x="3093"/>
        <item x="2465"/>
        <item x="4147"/>
        <item x="643"/>
        <item x="2147"/>
        <item x="1476"/>
        <item x="4221"/>
        <item x="460"/>
        <item x="4992"/>
        <item x="4014"/>
        <item x="3549"/>
        <item x="3097"/>
        <item x="1693"/>
        <item x="3261"/>
        <item x="1032"/>
        <item x="2789"/>
        <item x="293"/>
        <item x="368"/>
        <item x="1899"/>
        <item x="3545"/>
        <item x="4822"/>
        <item x="3262"/>
        <item x="3963"/>
        <item x="3348"/>
        <item x="555"/>
        <item x="729"/>
        <item x="1921"/>
        <item x="3357"/>
        <item x="3342"/>
        <item x="2484"/>
        <item x="2396"/>
        <item x="4230"/>
        <item x="1202"/>
        <item x="4272"/>
        <item x="2143"/>
        <item x="4868"/>
        <item x="2818"/>
        <item x="4139"/>
        <item x="2415"/>
        <item x="4467"/>
        <item x="2160"/>
        <item x="2532"/>
        <item x="2120"/>
        <item x="1789"/>
        <item x="373"/>
        <item x="638"/>
        <item x="4792"/>
        <item x="3827"/>
        <item x="1290"/>
        <item x="2222"/>
        <item x="1914"/>
        <item x="740"/>
        <item x="237"/>
        <item x="3715"/>
        <item x="3169"/>
        <item x="882"/>
        <item x="4071"/>
        <item x="3030"/>
        <item x="2754"/>
        <item x="954"/>
        <item x="4644"/>
        <item x="1066"/>
        <item x="1189"/>
        <item x="4361"/>
        <item x="1660"/>
        <item x="2793"/>
        <item x="1205"/>
        <item x="2377"/>
        <item x="3925"/>
        <item x="1535"/>
        <item x="2079"/>
        <item x="1401"/>
        <item x="3525"/>
        <item x="2731"/>
        <item x="2315"/>
        <item x="1765"/>
        <item x="4753"/>
        <item x="2892"/>
        <item x="764"/>
        <item x="3942"/>
        <item x="3174"/>
        <item x="1348"/>
        <item x="971"/>
        <item x="2536"/>
        <item x="2632"/>
        <item x="4515"/>
        <item x="1905"/>
        <item x="1000"/>
        <item x="692"/>
        <item x="3780"/>
        <item x="4997"/>
        <item x="4658"/>
        <item x="1071"/>
        <item x="4558"/>
        <item x="2059"/>
        <item x="3004"/>
        <item x="1876"/>
        <item x="3803"/>
        <item x="4093"/>
        <item x="2496"/>
        <item x="3614"/>
        <item x="2017"/>
        <item x="2355"/>
        <item x="193"/>
        <item x="2617"/>
        <item x="3722"/>
        <item x="3515"/>
        <item x="4238"/>
        <item x="810"/>
        <item x="86"/>
        <item x="4527"/>
        <item x="2548"/>
        <item x="3480"/>
        <item x="2578"/>
        <item x="2823"/>
        <item x="1063"/>
        <item x="2909"/>
        <item x="4608"/>
        <item x="3586"/>
        <item x="3535"/>
        <item x="4022"/>
        <item x="34"/>
        <item x="2824"/>
        <item x="3612"/>
        <item x="114"/>
        <item x="2497"/>
        <item x="388"/>
        <item x="1055"/>
        <item x="3405"/>
        <item x="3043"/>
        <item x="1103"/>
        <item x="4630"/>
        <item x="2043"/>
        <item x="4321"/>
        <item x="77"/>
        <item x="306"/>
        <item x="4057"/>
        <item x="1399"/>
        <item x="2395"/>
        <item x="1973"/>
        <item x="2692"/>
        <item x="4476"/>
        <item x="3861"/>
        <item x="4008"/>
        <item x="3915"/>
        <item x="3807"/>
        <item x="782"/>
        <item x="3322"/>
        <item x="347"/>
        <item x="2684"/>
        <item x="374"/>
        <item x="3180"/>
        <item x="2678"/>
        <item x="2682"/>
        <item x="3670"/>
        <item x="3725"/>
        <item x="5000"/>
        <item x="3705"/>
        <item x="20"/>
        <item x="1342"/>
        <item x="275"/>
        <item x="2689"/>
        <item x="2091"/>
        <item x="2319"/>
        <item x="696"/>
        <item x="2651"/>
        <item x="3887"/>
        <item x="49"/>
        <item x="567"/>
        <item x="2677"/>
        <item x="757"/>
        <item x="2371"/>
        <item x="3591"/>
        <item x="3862"/>
        <item x="3595"/>
        <item x="167"/>
        <item x="3184"/>
        <item x="1386"/>
        <item x="3843"/>
        <item x="4369"/>
        <item x="4187"/>
        <item x="4815"/>
        <item x="1318"/>
        <item x="4462"/>
        <item x="3210"/>
        <item x="2635"/>
        <item x="4617"/>
        <item x="1513"/>
        <item x="4157"/>
        <item x="1118"/>
        <item x="2448"/>
        <item x="1636"/>
        <item x="1602"/>
        <item x="4362"/>
        <item x="4928"/>
        <item x="319"/>
        <item x="1966"/>
        <item x="2996"/>
        <item x="273"/>
        <item x="778"/>
        <item x="2650"/>
        <item x="1511"/>
        <item x="1217"/>
        <item x="4945"/>
        <item x="3336"/>
        <item x="1549"/>
        <item x="2663"/>
        <item x="4790"/>
        <item x="933"/>
        <item x="619"/>
        <item x="2197"/>
        <item x="4227"/>
        <item x="2795"/>
        <item x="4489"/>
        <item x="3038"/>
        <item x="4668"/>
        <item x="1758"/>
        <item x="138"/>
        <item x="3921"/>
        <item x="3888"/>
        <item x="2564"/>
        <item x="2287"/>
        <item x="3728"/>
        <item x="1102"/>
        <item x="1530"/>
        <item x="4908"/>
        <item x="4951"/>
        <item x="530"/>
        <item x="3604"/>
        <item x="1887"/>
        <item x="1364"/>
        <item x="1998"/>
        <item x="3213"/>
        <item x="1980"/>
        <item x="837"/>
        <item x="3562"/>
        <item x="1291"/>
        <item x="3681"/>
        <item x="4025"/>
        <item x="3047"/>
        <item x="3406"/>
        <item x="4006"/>
        <item x="1861"/>
        <item x="1713"/>
        <item x="4542"/>
        <item x="3844"/>
        <item x="4478"/>
        <item x="2309"/>
        <item x="60"/>
        <item x="1591"/>
        <item x="4121"/>
        <item x="1040"/>
        <item x="850"/>
        <item x="2686"/>
        <item x="3315"/>
        <item x="2895"/>
        <item x="1978"/>
        <item x="288"/>
        <item x="1642"/>
        <item x="2751"/>
        <item x="3765"/>
        <item x="4446"/>
        <item x="1064"/>
        <item x="3441"/>
        <item x="3389"/>
        <item x="4306"/>
        <item x="3182"/>
        <item x="862"/>
        <item x="501"/>
        <item x="2253"/>
        <item x="3221"/>
        <item x="1187"/>
        <item x="711"/>
        <item x="2357"/>
        <item x="2904"/>
        <item x="2088"/>
        <item x="2508"/>
        <item x="3551"/>
        <item x="3568"/>
        <item x="3760"/>
        <item x="472"/>
        <item x="671"/>
        <item x="1759"/>
        <item x="3945"/>
        <item x="4268"/>
        <item x="4671"/>
        <item x="4637"/>
        <item x="3021"/>
        <item x="4161"/>
        <item x="3195"/>
        <item x="4626"/>
        <item x="3711"/>
        <item x="571"/>
        <item x="4313"/>
        <item x="1681"/>
        <item x="4893"/>
        <item x="1310"/>
        <item x="4493"/>
        <item x="484"/>
        <item x="4330"/>
        <item x="2098"/>
        <item x="774"/>
        <item x="4720"/>
        <item x="437"/>
        <item x="1637"/>
        <item x="4878"/>
        <item x="3049"/>
        <item x="2434"/>
        <item x="1977"/>
        <item x="3288"/>
        <item x="4048"/>
        <item x="1454"/>
        <item x="767"/>
        <item x="972"/>
        <item x="4264"/>
        <item x="1323"/>
        <item x="3023"/>
        <item x="1824"/>
        <item x="1334"/>
        <item x="2833"/>
        <item x="2003"/>
        <item x="4788"/>
        <item x="1070"/>
        <item x="2592"/>
        <item x="358"/>
        <item x="790"/>
        <item x="798"/>
        <item x="2604"/>
        <item x="1551"/>
        <item x="3112"/>
        <item x="2661"/>
        <item x="2736"/>
        <item x="2932"/>
        <item x="4298"/>
        <item x="2278"/>
        <item x="1644"/>
        <item x="4287"/>
        <item x="4986"/>
        <item x="906"/>
        <item x="3171"/>
        <item x="3969"/>
        <item x="3526"/>
        <item x="4363"/>
        <item x="2313"/>
        <item x="899"/>
        <item x="1309"/>
        <item x="821"/>
        <item x="1265"/>
        <item x="788"/>
        <item x="1956"/>
        <item x="2853"/>
        <item x="2910"/>
        <item x="596"/>
        <item x="3761"/>
        <item x="4544"/>
        <item x="4983"/>
        <item x="473"/>
        <item x="1275"/>
        <item x="3234"/>
        <item x="3975"/>
        <item x="2589"/>
        <item x="2046"/>
        <item x="1556"/>
        <item x="30"/>
        <item x="2483"/>
        <item x="4379"/>
        <item x="4538"/>
        <item x="4554"/>
        <item x="458"/>
        <item x="1184"/>
        <item x="3961"/>
        <item x="2124"/>
        <item x="3491"/>
        <item x="641"/>
        <item x="2896"/>
        <item x="1450"/>
        <item x="3981"/>
        <item x="3599"/>
        <item x="3999"/>
        <item x="3186"/>
        <item x="497"/>
        <item x="4850"/>
        <item x="3470"/>
        <item x="2745"/>
        <item x="2633"/>
        <item x="3479"/>
        <item x="1785"/>
        <item x="4108"/>
        <item x="4897"/>
        <item x="2189"/>
        <item x="1225"/>
        <item x="3754"/>
        <item x="1203"/>
        <item x="4299"/>
        <item x="261"/>
        <item x="4380"/>
        <item x="1545"/>
        <item x="4523"/>
        <item x="514"/>
        <item x="1069"/>
        <item x="3057"/>
        <item x="2923"/>
        <item x="3864"/>
        <item x="1786"/>
        <item x="245"/>
        <item x="570"/>
        <item x="1874"/>
        <item x="1402"/>
        <item x="1777"/>
        <item x="4347"/>
        <item x="1560"/>
        <item x="4900"/>
        <item x="4056"/>
        <item x="2624"/>
        <item x="4138"/>
        <item x="1312"/>
        <item x="1199"/>
        <item x="957"/>
        <item x="1367"/>
        <item x="3820"/>
        <item x="363"/>
        <item x="3242"/>
        <item x="3770"/>
        <item x="4216"/>
        <item x="1087"/>
        <item x="2811"/>
        <item x="4582"/>
        <item x="4185"/>
        <item x="1351"/>
        <item x="4102"/>
        <item x="3191"/>
        <item x="392"/>
        <item x="349"/>
        <item x="271"/>
        <item x="4374"/>
        <item x="3602"/>
        <item x="2121"/>
        <item x="4210"/>
        <item x="3158"/>
        <item x="797"/>
        <item x="2227"/>
        <item x="1488"/>
        <item x="313"/>
        <item x="4204"/>
        <item x="105"/>
        <item x="4708"/>
        <item x="4620"/>
        <item x="1550"/>
        <item x="1152"/>
        <item x="4649"/>
        <item x="2759"/>
        <item x="1233"/>
        <item x="1091"/>
        <item x="3633"/>
        <item x="4261"/>
        <item x="4370"/>
        <item x="3130"/>
        <item x="3598"/>
        <item x="602"/>
        <item x="1933"/>
        <item x="3700"/>
        <item x="4263"/>
        <item x="63"/>
        <item x="4561"/>
        <item x="1828"/>
        <item x="4842"/>
        <item x="3804"/>
        <item x="446"/>
        <item x="597"/>
        <item x="3748"/>
        <item x="232"/>
        <item x="248"/>
        <item x="504"/>
        <item x="3471"/>
        <item x="4575"/>
        <item x="4801"/>
        <item x="2864"/>
        <item x="2763"/>
        <item x="3605"/>
        <item x="2209"/>
        <item x="728"/>
        <item x="3851"/>
        <item x="961"/>
        <item x="2221"/>
        <item x="1726"/>
        <item x="1009"/>
        <item x="4443"/>
        <item x="840"/>
        <item x="2117"/>
        <item x="1739"/>
        <item x="1733"/>
        <item x="270"/>
        <item x="4947"/>
        <item x="3091"/>
        <item x="1656"/>
        <item x="2364"/>
        <item x="4001"/>
        <item x="4588"/>
        <item x="3792"/>
        <item x="3912"/>
        <item x="2700"/>
        <item x="178"/>
        <item x="157"/>
        <item x="483"/>
        <item x="4415"/>
        <item x="2566"/>
        <item x="239"/>
        <item x="4666"/>
        <item x="4017"/>
        <item x="1123"/>
        <item x="1269"/>
        <item x="2608"/>
        <item x="1767"/>
        <item x="4508"/>
        <item x="592"/>
        <item x="1355"/>
        <item x="2696"/>
        <item x="2346"/>
        <item x="4148"/>
        <item x="2321"/>
        <item x="3557"/>
        <item x="1300"/>
        <item x="4077"/>
        <item x="562"/>
        <item x="1361"/>
        <item x="1385"/>
        <item x="1708"/>
        <item x="1344"/>
        <item x="1048"/>
        <item x="2890"/>
        <item x="3648"/>
        <item x="3773"/>
        <item x="2260"/>
        <item x="3797"/>
        <item x="3968"/>
        <item x="2703"/>
        <item x="56"/>
        <item x="1059"/>
        <item x="2921"/>
        <item x="1612"/>
        <item x="3776"/>
        <item x="941"/>
        <item x="2675"/>
        <item x="791"/>
        <item x="1988"/>
        <item x="3654"/>
        <item x="4654"/>
        <item x="3666"/>
        <item x="3223"/>
        <item x="2772"/>
        <item x="2765"/>
        <item x="1746"/>
        <item x="3923"/>
        <item x="1250"/>
        <item x="1668"/>
        <item x="3990"/>
        <item x="2888"/>
        <item x="3433"/>
        <item x="528"/>
        <item x="2150"/>
        <item x="4117"/>
        <item x="1243"/>
        <item x="1617"/>
        <item x="914"/>
        <item x="3587"/>
        <item x="1167"/>
        <item x="1192"/>
        <item x="1456"/>
        <item x="4385"/>
        <item x="2547"/>
        <item x="3496"/>
        <item x="2068"/>
        <item x="3907"/>
        <item x="2362"/>
        <item x="1325"/>
        <item x="4705"/>
        <item x="777"/>
        <item x="2426"/>
        <item x="2995"/>
        <item x="1415"/>
        <item x="1038"/>
        <item x="1117"/>
        <item x="4359"/>
        <item x="3628"/>
        <item x="1916"/>
        <item x="4175"/>
        <item x="4529"/>
        <item x="4729"/>
        <item x="2648"/>
        <item x="1442"/>
        <item x="2734"/>
        <item x="2067"/>
        <item x="3977"/>
        <item x="4770"/>
        <item x="500"/>
        <item x="870"/>
        <item x="190"/>
        <item x="3415"/>
        <item x="3081"/>
        <item x="1912"/>
        <item x="221"/>
        <item x="3837"/>
        <item x="2447"/>
        <item x="396"/>
        <item x="2959"/>
        <item x="4389"/>
        <item x="4936"/>
        <item x="174"/>
        <item x="442"/>
        <item x="4168"/>
        <item x="4222"/>
        <item x="747"/>
        <item x="649"/>
        <item x="385"/>
        <item x="11"/>
        <item x="3028"/>
        <item x="839"/>
        <item x="786"/>
        <item x="805"/>
        <item x="3995"/>
        <item x="4874"/>
        <item x="4217"/>
        <item x="94"/>
        <item x="2934"/>
        <item x="4959"/>
        <item x="2332"/>
        <item x="1870"/>
        <item x="2670"/>
        <item x="3204"/>
        <item x="1041"/>
        <item x="1814"/>
        <item x="3688"/>
        <item x="4331"/>
        <item x="752"/>
        <item x="1495"/>
        <item x="4130"/>
        <item x="830"/>
        <item x="3413"/>
        <item x="2790"/>
        <item x="169"/>
        <item x="2234"/>
        <item x="4696"/>
        <item x="398"/>
        <item x="4865"/>
        <item x="3087"/>
        <item x="3938"/>
        <item x="4579"/>
        <item x="4932"/>
        <item x="1417"/>
        <item x="4516"/>
        <item x="1363"/>
        <item x="518"/>
        <item x="494"/>
        <item x="4471"/>
        <item x="634"/>
        <item x="3865"/>
        <item x="4439"/>
        <item x="1931"/>
        <item x="4999"/>
        <item x="3607"/>
        <item x="492"/>
        <item x="2409"/>
        <item x="185"/>
        <item x="181"/>
        <item x="4119"/>
        <item x="3302"/>
        <item x="1414"/>
        <item x="1237"/>
        <item x="1522"/>
        <item x="1803"/>
        <item x="4888"/>
        <item x="1135"/>
        <item x="3259"/>
        <item x="1049"/>
        <item x="1297"/>
        <item x="3743"/>
        <item x="4174"/>
        <item x="1331"/>
        <item x="2269"/>
        <item x="4054"/>
        <item x="2211"/>
        <item x="1253"/>
        <item x="2062"/>
        <item x="3487"/>
        <item x="250"/>
        <item x="984"/>
        <item x="35"/>
        <item x="1869"/>
        <item x="324"/>
        <item x="1421"/>
        <item x="593"/>
        <item x="1863"/>
        <item x="1537"/>
        <item x="4652"/>
        <item x="1098"/>
        <item x="4833"/>
        <item x="3278"/>
        <item x="387"/>
        <item x="378"/>
        <item x="1582"/>
        <item x="410"/>
        <item x="2840"/>
        <item x="5007"/>
        <item x="676"/>
        <item x="42"/>
        <item x="1129"/>
        <item x="2757"/>
        <item x="3350"/>
        <item x="3895"/>
        <item x="235"/>
        <item x="4941"/>
        <item x="976"/>
        <item x="3013"/>
        <item x="920"/>
        <item x="3675"/>
        <item x="3485"/>
        <item x="753"/>
        <item x="1147"/>
        <item x="2843"/>
        <item x="3367"/>
        <item x="3791"/>
        <item x="1781"/>
        <item x="4045"/>
        <item x="2771"/>
        <item x="3484"/>
        <item x="2163"/>
        <item x="3124"/>
        <item x="5011"/>
        <item x="673"/>
        <item x="1575"/>
        <item x="3341"/>
        <item x="2873"/>
        <item x="940"/>
        <item x="944"/>
        <item x="465"/>
        <item x="981"/>
        <item x="2655"/>
        <item x="4345"/>
        <item x="1126"/>
        <item x="872"/>
        <item x="4372"/>
        <item x="717"/>
        <item x="4416"/>
        <item x="2487"/>
        <item x="600"/>
        <item x="685"/>
        <item x="3732"/>
        <item x="3290"/>
        <item x="4873"/>
        <item x="4694"/>
        <item x="3723"/>
        <item x="942"/>
        <item x="151"/>
        <item x="1316"/>
        <item x="874"/>
        <item x="4435"/>
        <item x="3282"/>
        <item x="3564"/>
        <item x="3520"/>
        <item x="1566"/>
        <item x="1540"/>
        <item x="79"/>
        <item x="4453"/>
        <item x="776"/>
        <item x="1337"/>
        <item x="1338"/>
        <item x="3910"/>
        <item x="4925"/>
        <item x="3266"/>
        <item x="1273"/>
        <item x="1542"/>
        <item x="342"/>
        <item x="750"/>
        <item x="3560"/>
        <item x="1159"/>
        <item x="377"/>
        <item x="4673"/>
        <item x="761"/>
        <item x="208"/>
        <item x="3544"/>
        <item x="4269"/>
        <item x="3215"/>
        <item x="2844"/>
        <item x="3489"/>
        <item x="2514"/>
        <item x="878"/>
        <item x="2229"/>
        <item x="2244"/>
        <item x="3453"/>
        <item x="2905"/>
        <item x="4731"/>
        <item x="1631"/>
        <item x="2372"/>
        <item x="860"/>
        <item x="3311"/>
        <item x="1357"/>
        <item x="1175"/>
        <item x="1868"/>
        <item x="3118"/>
        <item x="1679"/>
        <item x="64"/>
        <item x="1144"/>
        <item x="4970"/>
        <item x="2009"/>
        <item x="4249"/>
        <item x="1663"/>
        <item x="4793"/>
        <item x="4456"/>
        <item x="1226"/>
        <item x="2911"/>
        <item x="1349"/>
        <item x="630"/>
        <item x="3518"/>
        <item x="4425"/>
        <item x="3944"/>
        <item x="1514"/>
        <item x="1866"/>
        <item x="1627"/>
        <item x="1800"/>
        <item x="2792"/>
        <item x="2049"/>
        <item x="1680"/>
        <item x="651"/>
        <item x="1724"/>
        <item x="4750"/>
        <item x="2325"/>
        <item x="4276"/>
        <item x="4568"/>
        <item x="1755"/>
        <item x="4950"/>
        <item x="137"/>
        <item x="3501"/>
        <item x="4177"/>
        <item x="415"/>
        <item x="918"/>
        <item x="17"/>
        <item x="1974"/>
        <item x="1987"/>
        <item x="4058"/>
        <item x="2876"/>
        <item x="3202"/>
        <item x="2507"/>
        <item x="3721"/>
        <item x="3297"/>
        <item x="3504"/>
        <item x="4848"/>
        <item x="2574"/>
        <item x="4252"/>
        <item x="259"/>
        <item x="3772"/>
        <item x="4975"/>
        <item x="3361"/>
        <item x="3481"/>
        <item x="3624"/>
        <item x="206"/>
        <item x="1538"/>
        <item x="4810"/>
        <item x="1051"/>
        <item x="3929"/>
        <item x="1741"/>
        <item x="2161"/>
        <item x="309"/>
        <item x="932"/>
        <item x="78"/>
        <item x="4933"/>
        <item x="1015"/>
        <item x="707"/>
        <item x="828"/>
        <item x="4318"/>
        <item x="4797"/>
        <item x="4691"/>
        <item x="2841"/>
        <item x="1712"/>
        <item x="4069"/>
        <item x="1426"/>
        <item x="4070"/>
        <item x="380"/>
        <item x="553"/>
        <item x="2984"/>
        <item x="725"/>
        <item x="1446"/>
        <item x="3534"/>
        <item x="1333"/>
        <item x="2158"/>
        <item x="2177"/>
        <item x="2102"/>
        <item x="3871"/>
        <item x="3010"/>
        <item x="13"/>
        <item x="807"/>
        <item x="3687"/>
        <item x="3409"/>
        <item x="995"/>
        <item x="1340"/>
        <item x="2126"/>
        <item x="2643"/>
        <item x="2611"/>
        <item x="1406"/>
        <item x="519"/>
        <item x="2093"/>
        <item x="3461"/>
        <item x="812"/>
        <item x="1054"/>
        <item x="1173"/>
        <item x="3627"/>
        <item x="3983"/>
        <item x="3209"/>
        <item x="213"/>
        <item x="4179"/>
        <item x="632"/>
        <item x="3527"/>
        <item x="1732"/>
        <item x="1850"/>
        <item x="851"/>
        <item x="1571"/>
        <item x="1400"/>
        <item x="877"/>
        <item x="4738"/>
        <item x="1031"/>
        <item x="1122"/>
        <item x="2526"/>
        <item x="2783"/>
        <item x="1614"/>
        <item x="3768"/>
        <item x="635"/>
        <item x="4879"/>
        <item x="4463"/>
        <item x="706"/>
        <item x="2430"/>
        <item x="913"/>
        <item x="1097"/>
        <item x="3882"/>
        <item x="1156"/>
        <item x="3089"/>
        <item x="4541"/>
        <item t="default"/>
      </items>
    </pivotField>
    <pivotField showAll="0"/>
    <pivotField showAll="0" measureFilter="1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  <pivotField showAll="0"/>
    <pivotField showAll="0" sortType="a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</pivotFields>
  <rowItems count="1">
    <i/>
  </rowItems>
  <colItems count="1">
    <i/>
  </colItems>
  <dataFields count="1">
    <dataField name="Company Count" fld="1" subtotal="count" baseField="0" baseItem="0"/>
  </dataFields>
  <formats count="21">
    <format dxfId="109">
      <pivotArea field="5" type="button" dataOnly="0" labelOnly="1" outline="0"/>
    </format>
    <format dxfId="108">
      <pivotArea dataOnly="0" labelOnly="1" outline="0" axis="axisValues" fieldPosition="0"/>
    </format>
    <format dxfId="107">
      <pivotArea field="5" type="button" dataOnly="0" labelOnly="1" outline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5" type="button" dataOnly="0" labelOnly="1" outline="0"/>
    </format>
    <format dxfId="102">
      <pivotArea dataOnly="0" labelOnly="1" outline="0" axis="axisValues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dataOnly="0" labelOnly="1" outline="0" axis="axisValues" fieldPosition="0"/>
    </format>
  </formats>
  <pivotTableStyleInfo name="PivotStyleLight21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A9341-702A-4C74-B91E-9680CDF2B93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H2:H3" firstHeaderRow="1" firstDataRow="1" firstDataCol="0"/>
  <pivotFields count="13">
    <pivotField showAll="0"/>
    <pivotField showAll="0">
      <items count="5013">
        <item x="3693"/>
        <item x="4919"/>
        <item x="3660"/>
        <item x="736"/>
        <item x="4595"/>
        <item x="1369"/>
        <item x="68"/>
        <item x="2000"/>
        <item x="703"/>
        <item x="1673"/>
        <item x="4589"/>
        <item x="1259"/>
        <item x="182"/>
        <item x="3499"/>
        <item x="1281"/>
        <item x="4301"/>
        <item x="3949"/>
        <item x="4225"/>
        <item x="3955"/>
        <item x="1839"/>
        <item x="1006"/>
        <item x="4399"/>
        <item x="4940"/>
        <item x="1492"/>
        <item x="2104"/>
        <item x="4819"/>
        <item x="1321"/>
        <item x="4260"/>
        <item x="3897"/>
        <item x="973"/>
        <item x="3758"/>
        <item x="1145"/>
        <item x="4923"/>
        <item x="314"/>
        <item x="3012"/>
        <item x="3716"/>
        <item x="1801"/>
        <item x="1664"/>
        <item x="983"/>
        <item x="1439"/>
        <item x="4734"/>
        <item x="4550"/>
        <item x="3516"/>
        <item x="4722"/>
        <item x="4164"/>
        <item x="3541"/>
        <item x="4891"/>
        <item x="3708"/>
        <item x="69"/>
        <item x="3611"/>
        <item x="116"/>
        <item x="3600"/>
        <item x="1623"/>
        <item x="1688"/>
        <item x="633"/>
        <item x="1734"/>
        <item x="4817"/>
        <item x="1287"/>
        <item x="4938"/>
        <item x="3706"/>
        <item x="3513"/>
        <item x="3747"/>
        <item x="4495"/>
        <item x="2207"/>
        <item x="3636"/>
        <item x="2550"/>
        <item x="2630"/>
        <item x="4539"/>
        <item x="1594"/>
        <item x="2440"/>
        <item x="3178"/>
        <item x="2316"/>
        <item x="1047"/>
        <item x="2717"/>
        <item x="3492"/>
        <item x="4563"/>
        <item x="4824"/>
        <item x="3834"/>
        <item x="3238"/>
        <item x="2977"/>
        <item x="3610"/>
        <item x="2390"/>
        <item x="2830"/>
        <item x="453"/>
        <item x="2203"/>
        <item x="2387"/>
        <item x="2157"/>
        <item x="3966"/>
        <item x="495"/>
        <item x="1638"/>
        <item x="4154"/>
        <item x="2094"/>
        <item x="3831"/>
        <item x="4659"/>
        <item x="3116"/>
        <item x="4009"/>
        <item x="4342"/>
        <item x="4716"/>
        <item x="4955"/>
        <item x="4247"/>
        <item x="1740"/>
        <item x="2506"/>
        <item x="2953"/>
        <item x="3331"/>
        <item x="3735"/>
        <item x="4098"/>
        <item x="1756"/>
        <item x="2310"/>
        <item x="695"/>
        <item x="2112"/>
        <item x="1420"/>
        <item x="4847"/>
        <item x="2842"/>
        <item x="4934"/>
        <item x="4754"/>
        <item x="3098"/>
        <item x="3123"/>
        <item x="719"/>
        <item x="4043"/>
        <item x="2394"/>
        <item x="168"/>
        <item x="2314"/>
        <item x="694"/>
        <item x="2258"/>
        <item x="3153"/>
        <item x="3992"/>
        <item x="784"/>
        <item x="4967"/>
        <item x="1848"/>
        <item x="361"/>
        <item x="4450"/>
        <item x="511"/>
        <item x="1427"/>
        <item x="2300"/>
        <item x="1897"/>
        <item x="3219"/>
        <item x="2556"/>
        <item x="3877"/>
        <item x="1855"/>
        <item x="1437"/>
        <item x="418"/>
        <item x="3669"/>
        <item x="1381"/>
        <item x="4479"/>
        <item x="985"/>
        <item x="4598"/>
        <item x="2928"/>
        <item x="2590"/>
        <item x="405"/>
        <item x="3074"/>
        <item x="4162"/>
        <item x="4063"/>
        <item x="4300"/>
        <item x="1383"/>
        <item x="1604"/>
        <item x="4993"/>
        <item x="1359"/>
        <item x="2451"/>
        <item x="4707"/>
        <item x="1717"/>
        <item x="425"/>
        <item x="4751"/>
        <item x="281"/>
        <item x="615"/>
        <item x="199"/>
        <item x="2669"/>
        <item x="4059"/>
        <item x="4511"/>
        <item x="1527"/>
        <item x="2421"/>
        <item x="3493"/>
        <item x="1372"/>
        <item x="2741"/>
        <item x="3421"/>
        <item x="1200"/>
        <item x="3070"/>
        <item x="2467"/>
        <item x="1804"/>
        <item x="2644"/>
        <item x="2481"/>
        <item x="1532"/>
        <item x="1461"/>
        <item x="1086"/>
        <item x="1245"/>
        <item x="2132"/>
        <item x="2373"/>
        <item x="4920"/>
        <item x="4452"/>
        <item x="2989"/>
        <item x="3640"/>
        <item x="2581"/>
        <item x="2330"/>
        <item x="1877"/>
        <item x="647"/>
        <item x="4178"/>
        <item x="1081"/>
        <item x="4859"/>
        <item x="3962"/>
        <item x="2345"/>
        <item x="4409"/>
        <item x="2246"/>
        <item x="153"/>
        <item x="4213"/>
        <item x="3276"/>
        <item x="2807"/>
        <item x="629"/>
        <item x="1282"/>
        <item x="541"/>
        <item x="3141"/>
        <item x="285"/>
        <item x="448"/>
        <item x="2414"/>
        <item x="1341"/>
        <item x="1895"/>
        <item x="3011"/>
        <item x="3874"/>
        <item x="1170"/>
        <item x="300"/>
        <item x="469"/>
        <item x="1650"/>
        <item x="2720"/>
        <item x="4067"/>
        <item x="2478"/>
        <item x="3291"/>
        <item x="2025"/>
        <item x="3152"/>
        <item x="3216"/>
        <item x="2753"/>
        <item x="4548"/>
        <item x="4899"/>
        <item x="39"/>
        <item x="3031"/>
        <item x="980"/>
        <item x="4978"/>
        <item x="3252"/>
        <item x="2010"/>
        <item x="4295"/>
        <item x="4082"/>
        <item x="1621"/>
        <item x="3062"/>
        <item x="577"/>
        <item x="1939"/>
        <item x="3578"/>
        <item x="120"/>
        <item x="3449"/>
        <item x="3752"/>
        <item x="143"/>
        <item x="2912"/>
        <item x="2966"/>
        <item x="1762"/>
        <item x="578"/>
        <item x="3889"/>
        <item x="3678"/>
        <item x="3839"/>
        <item x="1806"/>
        <item x="3766"/>
        <item x="4241"/>
        <item x="3227"/>
        <item x="2805"/>
        <item x="294"/>
        <item x="1044"/>
        <item x="3623"/>
        <item x="2468"/>
        <item x="4518"/>
        <item x="96"/>
        <item x="3377"/>
        <item x="898"/>
        <item x="4901"/>
        <item x="1729"/>
        <item x="2907"/>
        <item x="4679"/>
        <item x="979"/>
        <item x="4969"/>
        <item x="4853"/>
        <item x="5003"/>
        <item x="4981"/>
        <item x="3420"/>
        <item x="4638"/>
        <item x="2092"/>
        <item x="4600"/>
        <item x="772"/>
        <item x="2885"/>
        <item x="819"/>
        <item x="3399"/>
        <item x="27"/>
        <item x="2322"/>
        <item x="1423"/>
        <item x="2410"/>
        <item x="1499"/>
        <item x="1195"/>
        <item x="3346"/>
        <item x="1239"/>
        <item x="3601"/>
        <item x="2502"/>
        <item x="3919"/>
        <item x="3988"/>
        <item x="4195"/>
        <item x="758"/>
        <item x="15"/>
        <item x="892"/>
        <item x="2518"/>
        <item x="1444"/>
        <item x="4807"/>
        <item x="461"/>
        <item x="4573"/>
        <item x="403"/>
        <item x="4682"/>
        <item x="4023"/>
        <item x="2403"/>
        <item x="3437"/>
        <item x="584"/>
        <item x="589"/>
        <item x="4712"/>
        <item x="2591"/>
        <item x="3875"/>
        <item x="2438"/>
        <item x="975"/>
        <item x="1105"/>
        <item x="1481"/>
        <item x="665"/>
        <item x="4202"/>
        <item x="2106"/>
        <item x="3667"/>
        <item x="4593"/>
        <item x="1827"/>
        <item x="3905"/>
        <item x="2987"/>
        <item x="400"/>
        <item x="3398"/>
        <item x="848"/>
        <item x="4235"/>
        <item x="3608"/>
        <item x="1021"/>
        <item x="4113"/>
        <item x="4748"/>
        <item x="1854"/>
        <item x="2782"/>
        <item x="4288"/>
        <item x="2777"/>
        <item x="3344"/>
        <item x="2725"/>
        <item x="2571"/>
        <item x="730"/>
        <item x="1010"/>
        <item x="2809"/>
        <item x="2023"/>
        <item x="3085"/>
        <item x="3323"/>
        <item x="3008"/>
        <item x="3657"/>
        <item x="1286"/>
        <item x="2836"/>
        <item x="149"/>
        <item x="1274"/>
        <item x="3207"/>
        <item x="3979"/>
        <item x="3312"/>
        <item x="3616"/>
        <item x="4128"/>
        <item x="2491"/>
        <item x="3303"/>
        <item x="3293"/>
        <item x="333"/>
        <item x="1563"/>
        <item x="4303"/>
        <item x="681"/>
        <item x="4653"/>
        <item x="4896"/>
        <item x="3236"/>
        <item x="2312"/>
        <item x="1770"/>
        <item x="3638"/>
        <item x="2391"/>
        <item x="4229"/>
        <item x="462"/>
        <item x="2206"/>
        <item x="4832"/>
        <item x="413"/>
        <item x="144"/>
        <item x="4742"/>
        <item x="1695"/>
        <item x="4602"/>
        <item x="2238"/>
        <item x="2215"/>
        <item x="1352"/>
        <item x="4552"/>
        <item x="1395"/>
        <item x="4317"/>
        <item x="565"/>
        <item x="3356"/>
        <item x="3327"/>
        <item x="2737"/>
        <item x="3185"/>
        <item x="2537"/>
        <item x="3329"/>
        <item x="82"/>
        <item x="1821"/>
        <item x="3263"/>
        <item x="66"/>
        <item x="1387"/>
        <item x="436"/>
        <item x="3230"/>
        <item x="4574"/>
        <item x="4500"/>
        <item x="4719"/>
        <item x="2383"/>
        <item x="2360"/>
        <item x="4049"/>
        <item x="4144"/>
        <item x="993"/>
        <item x="4578"/>
        <item x="2544"/>
        <item x="4218"/>
        <item x="3206"/>
        <item x="3775"/>
        <item x="1489"/>
        <item x="4979"/>
        <item x="2419"/>
        <item x="1491"/>
        <item x="3698"/>
        <item x="4958"/>
        <item x="970"/>
        <item x="416"/>
        <item x="4924"/>
        <item x="1576"/>
        <item x="1339"/>
        <item x="683"/>
        <item x="2148"/>
        <item x="3857"/>
        <item x="2064"/>
        <item x="113"/>
        <item x="4255"/>
        <item x="3814"/>
        <item x="2174"/>
        <item x="3935"/>
        <item x="1080"/>
        <item x="1523"/>
        <item x="1463"/>
        <item x="3084"/>
        <item x="3249"/>
        <item x="1714"/>
        <item x="1095"/>
        <item x="1862"/>
        <item x="2646"/>
        <item x="228"/>
        <item x="2951"/>
        <item x="4931"/>
        <item x="3241"/>
        <item x="4507"/>
        <item x="2248"/>
        <item x="3239"/>
        <item x="739"/>
        <item x="3646"/>
        <item x="4577"/>
        <item x="4623"/>
        <item x="1142"/>
        <item x="24"/>
        <item x="1629"/>
        <item x="2490"/>
        <item x="770"/>
        <item x="2962"/>
        <item x="1085"/>
        <item x="201"/>
        <item x="3581"/>
        <item x="3094"/>
        <item x="1120"/>
        <item x="1375"/>
        <item x="433"/>
        <item x="2294"/>
        <item x="599"/>
        <item x="4512"/>
        <item x="4501"/>
        <item x="354"/>
        <item x="876"/>
        <item x="2698"/>
        <item x="1548"/>
        <item x="4209"/>
        <item x="109"/>
        <item x="1486"/>
        <item x="1989"/>
        <item x="2035"/>
        <item x="3243"/>
        <item x="3855"/>
        <item x="1820"/>
        <item x="428"/>
        <item x="561"/>
        <item x="1810"/>
        <item x="3394"/>
        <item x="4193"/>
        <item x="121"/>
        <item x="3179"/>
        <item x="4960"/>
        <item x="1893"/>
        <item x="1293"/>
        <item x="3789"/>
        <item x="2799"/>
        <item x="1626"/>
        <item x="968"/>
        <item x="4829"/>
        <item x="4307"/>
        <item x="2588"/>
        <item x="1121"/>
        <item x="4053"/>
        <item x="1851"/>
        <item x="866"/>
        <item x="312"/>
        <item x="3571"/>
        <item x="4497"/>
        <item x="4856"/>
        <item x="1213"/>
        <item x="2384"/>
        <item x="256"/>
        <item x="3037"/>
        <item x="3040"/>
        <item x="524"/>
        <item x="552"/>
        <item x="2628"/>
        <item x="2854"/>
        <item x="2679"/>
        <item x="3697"/>
        <item x="441"/>
        <item x="2486"/>
        <item x="2699"/>
        <item x="1858"/>
        <item x="677"/>
        <item x="4133"/>
        <item x="803"/>
        <item x="3059"/>
        <item x="6"/>
        <item x="2105"/>
        <item x="814"/>
        <item x="1096"/>
        <item x="527"/>
        <item x="1146"/>
        <item x="809"/>
        <item x="4296"/>
        <item x="3902"/>
        <item x="1600"/>
        <item x="2249"/>
        <item x="2658"/>
        <item x="1389"/>
        <item x="3260"/>
        <item x="990"/>
        <item x="935"/>
        <item x="45"/>
        <item x="1168"/>
        <item x="2522"/>
        <item x="2541"/>
        <item x="2849"/>
        <item x="2233"/>
        <item x="1962"/>
        <item x="4747"/>
        <item x="1221"/>
        <item x="4688"/>
        <item x="3200"/>
        <item x="29"/>
        <item x="1875"/>
        <item x="305"/>
        <item x="2054"/>
        <item x="1949"/>
        <item x="4203"/>
        <item x="2195"/>
        <item x="4514"/>
        <item x="2708"/>
        <item x="1578"/>
        <item x="2822"/>
        <item x="3868"/>
        <item x="1067"/>
        <item x="318"/>
        <item x="965"/>
        <item x="2647"/>
        <item x="2862"/>
        <item x="1017"/>
        <item x="4055"/>
        <item x="1748"/>
        <item x="3737"/>
        <item x="3720"/>
        <item x="341"/>
        <item x="1879"/>
        <item x="4437"/>
        <item x="2014"/>
        <item x="1641"/>
        <item x="1151"/>
        <item x="1346"/>
        <item x="4123"/>
        <item x="1587"/>
        <item x="3786"/>
        <item x="4804"/>
        <item x="2047"/>
        <item x="1271"/>
        <item x="2301"/>
        <item x="3468"/>
        <item x="865"/>
        <item x="3465"/>
        <item x="1365"/>
        <item x="3258"/>
        <item x="1971"/>
        <item x="1808"/>
        <item x="2728"/>
        <item x="3321"/>
        <item x="4614"/>
        <item x="1473"/>
        <item x="2894"/>
        <item x="4228"/>
        <item x="2535"/>
        <item x="3446"/>
        <item x="4852"/>
        <item x="4532"/>
        <item x="1206"/>
        <item x="1883"/>
        <item x="4743"/>
        <item x="4208"/>
        <item x="601"/>
        <item x="1518"/>
        <item x="3916"/>
        <item x="822"/>
        <item x="1435"/>
        <item x="2660"/>
        <item x="4333"/>
        <item x="793"/>
        <item x="3972"/>
        <item x="509"/>
        <item x="330"/>
        <item x="1517"/>
        <item x="4423"/>
        <item x="2742"/>
        <item x="3537"/>
        <item x="1143"/>
        <item x="2146"/>
        <item x="4939"/>
        <item x="743"/>
        <item x="894"/>
        <item x="3136"/>
        <item x="3714"/>
        <item x="4120"/>
        <item x="3269"/>
        <item x="84"/>
        <item x="1279"/>
        <item x="585"/>
        <item x="4412"/>
        <item x="258"/>
        <item x="1986"/>
        <item x="2515"/>
        <item x="4150"/>
        <item x="1141"/>
        <item x="829"/>
        <item x="1466"/>
        <item x="1873"/>
        <item x="1074"/>
        <item x="131"/>
        <item x="1849"/>
        <item x="4482"/>
        <item x="4328"/>
        <item x="945"/>
        <item x="487"/>
        <item x="4535"/>
        <item x="644"/>
        <item x="2756"/>
        <item x="2340"/>
        <item x="4257"/>
        <item x="2202"/>
        <item x="4223"/>
        <item x="827"/>
        <item x="4898"/>
        <item x="3277"/>
        <item x="2334"/>
        <item x="2943"/>
        <item x="847"/>
        <item x="2691"/>
        <item x="1790"/>
        <item x="165"/>
        <item x="998"/>
        <item x="846"/>
        <item x="482"/>
        <item x="2213"/>
        <item x="211"/>
        <item x="1377"/>
        <item x="1898"/>
        <item x="423"/>
        <item x="1482"/>
        <item x="2893"/>
        <item x="4003"/>
        <item x="402"/>
        <item x="627"/>
        <item x="2657"/>
        <item x="3554"/>
        <item x="4771"/>
        <item x="642"/>
        <item x="4486"/>
        <item x="2800"/>
        <item x="1564"/>
        <item x="2810"/>
        <item x="376"/>
        <item x="2352"/>
        <item x="590"/>
        <item x="1725"/>
        <item x="3426"/>
        <item x="785"/>
        <item x="2219"/>
        <item x="3352"/>
        <item x="1924"/>
        <item x="2333"/>
        <item x="4129"/>
        <item x="1403"/>
        <item x="1003"/>
        <item x="4689"/>
        <item x="579"/>
        <item x="1062"/>
        <item x="4599"/>
        <item x="4628"/>
        <item x="75"/>
        <item x="191"/>
        <item x="2149"/>
        <item x="4706"/>
        <item x="3254"/>
        <item x="422"/>
        <item x="251"/>
        <item x="2142"/>
        <item x="4375"/>
        <item x="4032"/>
        <item x="2136"/>
        <item x="155"/>
        <item x="3061"/>
        <item x="4289"/>
        <item x="2386"/>
        <item x="930"/>
        <item x="1721"/>
        <item x="1303"/>
        <item x="733"/>
        <item x="3314"/>
        <item x="2776"/>
        <item x="2476"/>
        <item x="225"/>
        <item x="2645"/>
        <item x="4044"/>
        <item x="1938"/>
        <item x="1568"/>
        <item x="2881"/>
        <item x="1959"/>
        <item x="4773"/>
        <item x="2847"/>
        <item x="2141"/>
        <item x="445"/>
        <item x="3233"/>
        <item x="3298"/>
        <item x="3816"/>
        <item x="3235"/>
        <item x="1127"/>
        <item x="2516"/>
        <item x="3132"/>
        <item x="3251"/>
        <item x="923"/>
        <item x="3959"/>
        <item x="4351"/>
        <item x="3018"/>
        <item x="3073"/>
        <item x="3349"/>
        <item x="628"/>
        <item x="4690"/>
        <item x="2596"/>
        <item x="3952"/>
        <item x="2955"/>
        <item x="106"/>
        <item x="4152"/>
        <item x="675"/>
        <item x="1242"/>
        <item x="4612"/>
        <item x="3953"/>
        <item x="2423"/>
        <item x="4250"/>
        <item x="3542"/>
        <item x="3168"/>
        <item x="4042"/>
        <item x="3450"/>
        <item x="2393"/>
        <item x="2201"/>
        <item x="1896"/>
        <item x="2606"/>
        <item x="2845"/>
        <item x="2901"/>
        <item x="4115"/>
        <item x="1343"/>
        <item x="1639"/>
        <item x="1082"/>
        <item x="1326"/>
        <item x="1702"/>
        <item x="3119"/>
        <item x="2729"/>
        <item x="1632"/>
        <item x="3552"/>
        <item x="175"/>
        <item x="1072"/>
        <item x="3886"/>
        <item x="4394"/>
        <item x="4074"/>
        <item x="5"/>
        <item x="701"/>
        <item x="2851"/>
        <item x="1932"/>
        <item x="2517"/>
        <item x="4813"/>
        <item x="1350"/>
        <item x="2281"/>
        <item x="2039"/>
        <item x="145"/>
        <item x="3859"/>
        <item x="2579"/>
        <item x="4197"/>
        <item x="1390"/>
        <item x="91"/>
        <item x="2615"/>
        <item x="4357"/>
        <item x="2030"/>
        <item x="4184"/>
        <item x="689"/>
        <item x="2183"/>
        <item x="3867"/>
        <item x="2329"/>
        <item x="3713"/>
        <item x="3856"/>
        <item x="3617"/>
        <item x="909"/>
        <item x="4703"/>
        <item x="2976"/>
        <item x="1784"/>
        <item x="2557"/>
        <item x="4783"/>
        <item x="2463"/>
        <item x="4355"/>
        <item x="435"/>
        <item x="1969"/>
        <item x="107"/>
        <item x="4684"/>
        <item x="4681"/>
        <item x="849"/>
        <item x="1238"/>
        <item x="3459"/>
        <item x="3603"/>
        <item x="351"/>
        <item x="2271"/>
        <item x="4834"/>
        <item x="3822"/>
        <item x="1163"/>
        <item x="3305"/>
        <item x="2107"/>
        <item x="1976"/>
        <item x="4016"/>
        <item x="2"/>
        <item x="507"/>
        <item x="133"/>
        <item x="4061"/>
        <item x="132"/>
        <item x="1445"/>
        <item x="2819"/>
        <item x="1236"/>
        <item x="1906"/>
        <item x="2029"/>
        <item x="903"/>
        <item x="4153"/>
        <item x="4963"/>
        <item x="3193"/>
        <item x="4800"/>
        <item x="1036"/>
        <item x="2255"/>
        <item x="3390"/>
        <item x="3745"/>
        <item x="1119"/>
        <item x="3661"/>
        <item x="4775"/>
        <item x="1298"/>
        <item x="2115"/>
        <item x="2443"/>
        <item x="871"/>
        <item x="817"/>
        <item x="3642"/>
        <item x="463"/>
        <item x="924"/>
        <item x="2607"/>
        <item x="2061"/>
        <item x="1019"/>
        <item x="3753"/>
        <item x="329"/>
        <item x="867"/>
        <item x="1084"/>
        <item x="962"/>
        <item x="2503"/>
        <item x="3548"/>
        <item x="4284"/>
        <item x="3908"/>
        <item x="3574"/>
        <item x="279"/>
        <item x="1667"/>
        <item x="3704"/>
        <item x="3363"/>
        <item x="3001"/>
        <item x="938"/>
        <item x="1020"/>
        <item x="3099"/>
        <item x="1480"/>
        <item x="605"/>
        <item x="2621"/>
        <item x="4111"/>
        <item x="4124"/>
        <item x="2083"/>
        <item x="2835"/>
        <item x="130"/>
        <item x="606"/>
        <item x="2752"/>
        <item x="61"/>
        <item x="986"/>
        <item x="4845"/>
        <item x="3066"/>
        <item x="693"/>
        <item x="253"/>
        <item x="2868"/>
        <item x="992"/>
        <item x="112"/>
        <item x="3159"/>
        <item x="2569"/>
        <item x="617"/>
        <item x="2780"/>
        <item x="756"/>
        <item x="2171"/>
        <item x="3086"/>
        <item x="1336"/>
        <item x="1573"/>
        <item x="1472"/>
        <item x="88"/>
        <item x="3071"/>
        <item x="207"/>
        <item x="4100"/>
        <item x="3989"/>
        <item x="65"/>
        <item x="4918"/>
        <item x="4198"/>
        <item x="4917"/>
        <item x="3035"/>
        <item x="4343"/>
        <item x="4803"/>
        <item x="4034"/>
        <item x="4780"/>
        <item x="2739"/>
        <item x="3155"/>
        <item x="4455"/>
        <item x="3156"/>
        <item x="4935"/>
        <item x="3301"/>
        <item x="3514"/>
        <item x="431"/>
        <item x="4395"/>
        <item x="2838"/>
        <item x="3778"/>
        <item x="856"/>
        <item x="1902"/>
        <item x="2549"/>
        <item x="3695"/>
        <item x="4980"/>
        <item x="2272"/>
        <item x="1153"/>
        <item x="4078"/>
        <item x="2804"/>
        <item x="440"/>
        <item x="4672"/>
        <item x="2305"/>
        <item x="3658"/>
        <item x="910"/>
        <item x="3964"/>
        <item x="3431"/>
        <item x="238"/>
        <item x="1393"/>
        <item x="3226"/>
        <item x="4106"/>
        <item x="1177"/>
        <item x="323"/>
        <item x="1002"/>
        <item x="595"/>
        <item x="3333"/>
        <item x="2180"/>
        <item x="2277"/>
        <item x="794"/>
        <item x="2026"/>
        <item x="1593"/>
        <item x="4838"/>
        <item x="773"/>
        <item x="2539"/>
        <item x="3665"/>
        <item x="755"/>
        <item x="229"/>
        <item x="3892"/>
        <item x="637"/>
        <item x="3374"/>
        <item x="2155"/>
        <item x="3418"/>
        <item x="3781"/>
        <item x="1955"/>
        <item x="4406"/>
        <item x="3712"/>
        <item x="3145"/>
        <item x="2204"/>
        <item x="3917"/>
        <item x="4292"/>
        <item x="1434"/>
        <item x="953"/>
        <item x="2461"/>
        <item x="2813"/>
        <item x="4965"/>
        <item x="108"/>
        <item x="2056"/>
        <item x="3114"/>
        <item x="3828"/>
        <item x="660"/>
        <item x="3335"/>
        <item x="4854"/>
        <item x="2347"/>
        <item x="3359"/>
        <item x="2985"/>
        <item x="2348"/>
        <item x="4408"/>
        <item x="2693"/>
        <item x="1134"/>
        <item x="2631"/>
        <item x="1174"/>
        <item x="316"/>
        <item x="3429"/>
        <item x="4591"/>
        <item x="4860"/>
        <item x="4167"/>
        <item x="1280"/>
        <item x="4680"/>
        <item x="322"/>
        <item x="2431"/>
        <item x="4190"/>
        <item x="4537"/>
        <item x="2570"/>
        <item x="3080"/>
        <item x="443"/>
        <item x="3177"/>
        <item x="1371"/>
        <item x="163"/>
        <item x="4105"/>
        <item x="4414"/>
        <item x="4090"/>
        <item x="4356"/>
        <item x="3809"/>
        <item x="3212"/>
        <item x="2788"/>
        <item x="4870"/>
        <item x="4438"/>
        <item x="688"/>
        <item x="3630"/>
        <item x="3366"/>
        <item x="548"/>
        <item x="4086"/>
        <item x="80"/>
        <item x="3701"/>
        <item x="508"/>
        <item x="3978"/>
        <item x="1131"/>
        <item x="7"/>
        <item x="3994"/>
        <item x="4474"/>
        <item x="2924"/>
        <item x="4470"/>
        <item x="2404"/>
        <item x="1358"/>
        <item x="1930"/>
        <item x="2103"/>
        <item x="3960"/>
        <item x="4498"/>
        <item x="4685"/>
        <item x="4281"/>
        <item x="4823"/>
        <item x="1132"/>
        <item x="1640"/>
        <item x="2379"/>
        <item x="4377"/>
        <item x="1690"/>
        <item x="3076"/>
        <item x="2217"/>
        <item x="4085"/>
        <item x="3528"/>
        <item x="3934"/>
        <item x="2469"/>
        <item x="2385"/>
        <item x="4555"/>
        <item x="3268"/>
        <item x="2477"/>
        <item x="1946"/>
        <item x="587"/>
        <item x="879"/>
        <item x="3328"/>
        <item x="22"/>
        <item x="3941"/>
        <item x="3232"/>
        <item x="4294"/>
        <item x="1541"/>
        <item x="3684"/>
        <item x="3751"/>
        <item x="1718"/>
        <item x="115"/>
        <item x="3579"/>
        <item x="4326"/>
        <item x="2479"/>
        <item x="1111"/>
        <item x="3164"/>
        <item x="73"/>
        <item x="4710"/>
        <item x="3679"/>
        <item x="4972"/>
        <item x="1216"/>
        <item x="1704"/>
        <item x="3683"/>
        <item x="4073"/>
        <item x="3904"/>
        <item x="4487"/>
        <item x="1659"/>
        <item x="2794"/>
        <item x="1557"/>
        <item x="4107"/>
        <item x="842"/>
        <item x="1788"/>
        <item x="391"/>
        <item x="4502"/>
        <item x="503"/>
        <item x="1841"/>
        <item x="412"/>
        <item x="1011"/>
        <item x="4784"/>
        <item x="303"/>
        <item x="4353"/>
        <item x="367"/>
        <item x="1941"/>
        <item x="3956"/>
        <item x="4327"/>
        <item x="1215"/>
        <item x="4881"/>
        <item x="2193"/>
        <item x="2561"/>
        <item x="384"/>
        <item x="4186"/>
        <item x="1771"/>
        <item x="2489"/>
        <item x="1581"/>
        <item x="3993"/>
        <item x="1857"/>
        <item x="1264"/>
        <item x="1094"/>
        <item x="4146"/>
        <item x="4603"/>
        <item x="3567"/>
        <item x="3027"/>
        <item x="1261"/>
        <item x="988"/>
        <item x="307"/>
        <item x="2612"/>
        <item x="1448"/>
        <item x="4465"/>
        <item x="857"/>
        <item x="4191"/>
        <item x="3842"/>
        <item x="3375"/>
        <item x="4282"/>
        <item x="1991"/>
        <item x="885"/>
        <item x="727"/>
        <item x="4335"/>
        <item x="4762"/>
        <item x="1881"/>
        <item x="1302"/>
        <item x="2747"/>
        <item x="1254"/>
        <item x="3538"/>
        <item x="2899"/>
        <item x="4583"/>
        <item x="2137"/>
        <item x="662"/>
        <item x="2296"/>
        <item x="3799"/>
        <item x="2992"/>
        <item x="3985"/>
        <item x="2065"/>
        <item x="1950"/>
        <item x="280"/>
        <item x="2801"/>
        <item x="3295"/>
        <item x="4079"/>
        <item x="4640"/>
        <item x="3034"/>
        <item x="320"/>
        <item x="1166"/>
        <item x="1289"/>
        <item x="3279"/>
        <item x="1319"/>
        <item x="2020"/>
        <item x="4403"/>
        <item x="4581"/>
        <item x="646"/>
        <item x="2950"/>
        <item x="2620"/>
        <item x="2527"/>
        <item x="3879"/>
        <item x="2186"/>
        <item x="4131"/>
        <item x="2307"/>
        <item x="2889"/>
        <item x="241"/>
        <item x="763"/>
        <item x="3364"/>
        <item x="4660"/>
        <item x="2402"/>
        <item x="4429"/>
        <item x="3793"/>
        <item x="3133"/>
        <item x="989"/>
        <item x="3378"/>
        <item x="2057"/>
        <item x="4964"/>
        <item x="2342"/>
        <item x="1099"/>
        <item x="3451"/>
        <item x="4884"/>
        <item x="3143"/>
        <item x="1795"/>
        <item x="4799"/>
        <item x="4028"/>
        <item x="194"/>
        <item x="3125"/>
        <item x="1960"/>
        <item x="3884"/>
        <item x="3503"/>
        <item x="4243"/>
        <item x="4741"/>
        <item x="3167"/>
        <item x="244"/>
        <item x="2709"/>
        <item x="3890"/>
        <item x="4779"/>
        <item x="3255"/>
        <item x="1249"/>
        <item x="164"/>
        <item x="3039"/>
        <item x="974"/>
        <item x="2685"/>
        <item x="3117"/>
        <item x="2122"/>
        <item x="1022"/>
        <item x="2760"/>
        <item x="4796"/>
        <item x="393"/>
        <item x="2916"/>
        <item x="2781"/>
        <item x="2573"/>
        <item x="4480"/>
        <item x="4494"/>
        <item x="2156"/>
        <item x="1246"/>
        <item x="2060"/>
        <item x="4101"/>
        <item x="381"/>
        <item x="2435"/>
        <item x="1970"/>
        <item x="2787"/>
        <item x="3275"/>
        <item x="4104"/>
        <item x="2942"/>
        <item x="3424"/>
        <item x="345"/>
        <item x="4279"/>
        <item x="1498"/>
        <item x="2917"/>
        <item x="3629"/>
        <item x="2210"/>
        <item x="3294"/>
        <item x="2802"/>
        <item x="1295"/>
        <item x="3388"/>
        <item x="3787"/>
        <item x="1687"/>
        <item x="3443"/>
        <item x="1161"/>
        <item x="563"/>
        <item x="2139"/>
        <item x="2743"/>
        <item x="1228"/>
        <item x="334"/>
        <item x="117"/>
        <item x="89"/>
        <item x="1440"/>
        <item x="576"/>
        <item x="2577"/>
        <item x="4728"/>
        <item x="1675"/>
        <item x="1990"/>
        <item x="653"/>
        <item x="468"/>
        <item x="1240"/>
        <item x="1278"/>
        <item x="1753"/>
        <item x="4274"/>
        <item x="296"/>
        <item x="420"/>
        <item x="1503"/>
        <item x="5002"/>
        <item x="3316"/>
        <item x="3052"/>
        <item x="1580"/>
        <item x="2078"/>
        <item x="3160"/>
        <item x="3686"/>
        <item x="2073"/>
        <item x="1374"/>
        <item x="3154"/>
        <item x="1313"/>
        <item x="911"/>
        <item x="1109"/>
        <item x="969"/>
        <item x="1360"/>
        <item x="3006"/>
        <item x="4871"/>
        <item x="1276"/>
        <item x="891"/>
        <item x="1468"/>
        <item x="2936"/>
        <item x="1288"/>
        <item x="3101"/>
        <item x="2200"/>
        <item x="2724"/>
        <item x="2066"/>
        <item x="297"/>
        <item x="3284"/>
        <item x="1218"/>
        <item x="3287"/>
        <item x="298"/>
        <item x="3870"/>
        <item x="1908"/>
        <item x="2462"/>
        <item x="4052"/>
        <item x="2084"/>
        <item x="4551"/>
        <item x="397"/>
        <item x="1835"/>
        <item x="1485"/>
        <item x="1934"/>
        <item x="2683"/>
        <item x="2938"/>
        <item x="3826"/>
        <item x="762"/>
        <item x="569"/>
        <item x="1506"/>
        <item x="3108"/>
        <item x="4545"/>
        <item x="3425"/>
        <item x="3383"/>
        <item x="4977"/>
        <item x="2108"/>
        <item x="645"/>
        <item x="1057"/>
        <item x="54"/>
        <item x="331"/>
        <item x="1033"/>
        <item x="4239"/>
        <item x="4189"/>
        <item x="3417"/>
        <item x="781"/>
        <item x="2831"/>
        <item x="3832"/>
        <item x="4726"/>
        <item x="4995"/>
        <item x="81"/>
        <item x="2119"/>
        <item x="3585"/>
        <item x="4669"/>
        <item x="192"/>
        <item x="3173"/>
        <item x="4319"/>
        <item x="779"/>
        <item x="575"/>
        <item x="947"/>
        <item x="1452"/>
        <item x="424"/>
        <item x="1027"/>
        <item x="3523"/>
        <item x="656"/>
        <item x="2194"/>
        <item x="98"/>
        <item x="1653"/>
        <item x="4341"/>
        <item x="3477"/>
        <item x="987"/>
        <item x="1345"/>
        <item x="4782"/>
        <item x="450"/>
        <item x="2580"/>
        <item x="4825"/>
        <item x="2978"/>
        <item x="1533"/>
        <item x="4286"/>
        <item x="2554"/>
        <item x="1648"/>
        <item x="3561"/>
        <item x="937"/>
        <item x="4322"/>
        <item x="2649"/>
        <item x="74"/>
        <item x="3016"/>
        <item x="2282"/>
        <item x="4499"/>
        <item x="2965"/>
        <item x="2378"/>
        <item x="3609"/>
        <item x="919"/>
        <item x="2609"/>
        <item x="2401"/>
        <item x="4564"/>
        <item x="609"/>
        <item x="395"/>
        <item x="3933"/>
        <item x="4386"/>
        <item x="301"/>
        <item x="1204"/>
        <item x="3691"/>
        <item x="179"/>
        <item x="2353"/>
        <item x="2005"/>
        <item x="4064"/>
        <item x="4484"/>
        <item x="3384"/>
        <item x="2803"/>
        <item x="1972"/>
        <item x="2413"/>
        <item x="1628"/>
        <item x="4836"/>
        <item x="3120"/>
        <item x="2593"/>
        <item x="1757"/>
        <item x="4134"/>
        <item x="355"/>
        <item x="2869"/>
        <item x="2714"/>
        <item x="1886"/>
        <item x="952"/>
        <item x="1272"/>
        <item x="2542"/>
        <item x="3531"/>
        <item x="3452"/>
        <item x="3307"/>
        <item x="2050"/>
        <item x="4089"/>
        <item x="549"/>
        <item x="2459"/>
        <item x="2659"/>
        <item x="573"/>
        <item x="3463"/>
        <item x="2695"/>
        <item x="1060"/>
        <item x="3192"/>
        <item x="684"/>
        <item x="2289"/>
        <item x="686"/>
        <item x="4205"/>
        <item x="3973"/>
        <item x="726"/>
        <item x="4609"/>
        <item x="4776"/>
        <item x="560"/>
        <item x="4774"/>
        <item x="210"/>
        <item x="2639"/>
        <item x="1113"/>
        <item x="1112"/>
        <item x="1743"/>
        <item x="4112"/>
        <item x="1478"/>
        <item x="2164"/>
        <item x="209"/>
        <item x="3134"/>
        <item x="1927"/>
        <item x="240"/>
        <item x="1012"/>
        <item x="2915"/>
        <item x="1077"/>
        <item x="915"/>
        <item x="2981"/>
        <item x="2969"/>
        <item x="2388"/>
        <item x="3438"/>
        <item x="3573"/>
        <item x="3785"/>
        <item x="2970"/>
        <item x="2399"/>
        <item x="607"/>
        <item x="3876"/>
        <item x="3575"/>
        <item x="2417"/>
        <item x="3717"/>
        <item x="2212"/>
        <item x="4159"/>
        <item x="1952"/>
        <item x="2398"/>
        <item x="3447"/>
        <item x="4903"/>
        <item x="3991"/>
        <item x="2472"/>
        <item x="3659"/>
        <item x="2954"/>
        <item x="3951"/>
        <item x="4492"/>
        <item x="3731"/>
        <item x="3682"/>
        <item x="3300"/>
        <item x="3380"/>
        <item x="2961"/>
        <item x="749"/>
        <item x="1588"/>
        <item x="276"/>
        <item x="2602"/>
        <item x="3220"/>
        <item x="4526"/>
        <item x="3736"/>
        <item x="4996"/>
        <item x="2400"/>
        <item x="1769"/>
        <item x="128"/>
        <item x="4861"/>
        <item x="438"/>
        <item x="2884"/>
        <item x="3382"/>
        <item x="1798"/>
        <item x="624"/>
        <item x="1553"/>
        <item x="2952"/>
        <item x="158"/>
        <item x="2562"/>
        <item x="1526"/>
        <item x="1661"/>
        <item x="2173"/>
        <item x="2295"/>
        <item x="2051"/>
        <item x="883"/>
        <item x="4594"/>
        <item x="4339"/>
        <item x="929"/>
        <item x="2941"/>
        <item x="720"/>
        <item x="1198"/>
        <item x="2267"/>
        <item x="4182"/>
        <item x="621"/>
        <item x="4360"/>
        <item x="496"/>
        <item x="3742"/>
        <item x="2145"/>
        <item x="960"/>
        <item x="4885"/>
        <item x="3779"/>
        <item x="690"/>
        <item x="4027"/>
        <item x="2812"/>
        <item x="3082"/>
        <item x="134"/>
        <item x="4971"/>
        <item x="4459"/>
        <item x="4325"/>
        <item x="4417"/>
        <item x="3764"/>
        <item x="4315"/>
        <item x="927"/>
        <item x="2948"/>
        <item x="742"/>
        <item x="2902"/>
        <item x="4449"/>
        <item x="2546"/>
        <item x="1856"/>
        <item x="4283"/>
        <item x="3597"/>
        <item x="4717"/>
        <item x="4040"/>
        <item x="3626"/>
        <item x="1155"/>
        <item x="2702"/>
        <item x="1477"/>
        <item x="4118"/>
        <item x="1651"/>
        <item x="4625"/>
        <item x="2520"/>
        <item x="4711"/>
        <item x="4038"/>
        <item x="1257"/>
        <item x="3439"/>
        <item x="4886"/>
        <item x="3365"/>
        <item x="1188"/>
        <item x="2114"/>
        <item x="868"/>
        <item x="1816"/>
        <item x="3075"/>
        <item x="1892"/>
        <item x="3077"/>
        <item x="447"/>
        <item x="269"/>
        <item x="4596"/>
        <item x="220"/>
        <item x="1685"/>
        <item x="4505"/>
        <item x="1494"/>
        <item x="40"/>
        <item x="1162"/>
        <item x="997"/>
        <item x="2058"/>
        <item x="897"/>
        <item x="1016"/>
        <item x="1411"/>
        <item x="3694"/>
        <item x="2572"/>
        <item x="3131"/>
        <item x="3746"/>
        <item x="2392"/>
        <item x="217"/>
        <item x="4402"/>
        <item x="4309"/>
        <item x="2766"/>
        <item x="3025"/>
        <item x="1008"/>
        <item x="2963"/>
        <item x="1207"/>
        <item x="3643"/>
        <item x="146"/>
        <item x="95"/>
        <item x="1928"/>
        <item x="67"/>
        <item x="2748"/>
        <item x="934"/>
        <item x="3613"/>
        <item x="4364"/>
        <item x="1231"/>
        <item x="3456"/>
        <item x="1910"/>
        <item x="604"/>
        <item x="804"/>
        <item x="4808"/>
        <item x="1812"/>
        <item x="4994"/>
        <item x="2929"/>
        <item x="4562"/>
        <item x="3280"/>
        <item x="1052"/>
        <item x="3536"/>
        <item x="1754"/>
        <item x="886"/>
        <item x="1183"/>
        <item x="3853"/>
        <item x="3909"/>
        <item x="3652"/>
        <item x="4136"/>
        <item x="3802"/>
        <item x="4422"/>
        <item x="2118"/>
        <item x="4266"/>
        <item x="2886"/>
        <item x="375"/>
        <item x="3015"/>
        <item x="3524"/>
        <item x="3566"/>
        <item x="1255"/>
        <item x="2721"/>
        <item x="180"/>
        <item x="474"/>
        <item x="26"/>
        <item x="1598"/>
        <item x="3458"/>
        <item x="4864"/>
        <item x="4393"/>
        <item x="4697"/>
        <item x="1219"/>
        <item x="831"/>
        <item x="618"/>
        <item x="1314"/>
        <item x="2082"/>
        <item x="287"/>
        <item x="1516"/>
        <item x="925"/>
        <item x="1711"/>
        <item x="233"/>
        <item x="2167"/>
        <item x="1524"/>
        <item x="1654"/>
        <item x="4047"/>
        <item x="2883"/>
        <item x="493"/>
        <item x="4559"/>
        <item x="1405"/>
        <item x="4401"/>
        <item x="2598"/>
        <item x="1493"/>
        <item x="855"/>
        <item x="3854"/>
        <item x="3622"/>
        <item x="572"/>
        <item x="2930"/>
        <item x="2676"/>
        <item x="3190"/>
        <item x="3404"/>
        <item x="4576"/>
        <item x="4618"/>
        <item x="967"/>
        <item x="4869"/>
        <item x="800"/>
        <item x="3309"/>
        <item x="1616"/>
        <item x="1436"/>
        <item x="3362"/>
        <item x="4176"/>
        <item x="2931"/>
        <item x="3385"/>
        <item x="2458"/>
        <item x="4420"/>
        <item x="2336"/>
        <item x="2664"/>
        <item x="3345"/>
        <item x="3718"/>
        <item x="1826"/>
        <item x="760"/>
        <item x="2510"/>
        <item x="3497"/>
        <item x="700"/>
        <item x="1125"/>
        <item x="1092"/>
        <item x="1985"/>
        <item x="2927"/>
        <item x="479"/>
        <item x="724"/>
        <item x="4029"/>
        <item x="2834"/>
        <item x="3370"/>
        <item x="1607"/>
        <item x="2563"/>
        <item x="4110"/>
        <item x="582"/>
        <item x="732"/>
        <item x="4982"/>
        <item x="2806"/>
        <item x="142"/>
        <item x="1750"/>
        <item x="4915"/>
        <item x="943"/>
        <item x="4277"/>
        <item x="3289"/>
        <item x="0"/>
        <item x="1108"/>
        <item x="4232"/>
        <item x="4442"/>
        <item x="844"/>
        <item x="1"/>
        <item x="4610"/>
        <item x="1034"/>
        <item x="1101"/>
        <item x="4835"/>
        <item x="2196"/>
        <item x="912"/>
        <item x="4921"/>
        <item x="3371"/>
        <item x="1037"/>
        <item x="999"/>
        <item x="1775"/>
        <item x="3593"/>
        <item x="4528"/>
        <item x="1464"/>
        <item x="3522"/>
        <item x="544"/>
        <item x="2446"/>
        <item x="4851"/>
        <item x="1544"/>
        <item x="2634"/>
        <item x="1609"/>
        <item x="41"/>
        <item x="2169"/>
        <item x="614"/>
        <item x="2133"/>
        <item x="1438"/>
        <item x="712"/>
        <item x="1981"/>
        <item x="1844"/>
        <item x="556"/>
        <item x="1766"/>
        <item x="223"/>
        <item x="2427"/>
        <item x="2036"/>
        <item x="818"/>
        <item x="1266"/>
        <item x="2857"/>
        <item x="1888"/>
        <item x="4348"/>
        <item x="2311"/>
        <item x="3519"/>
        <item x="408"/>
        <item x="1158"/>
        <item x="3891"/>
        <item x="1308"/>
        <item x="3823"/>
        <item x="455"/>
        <item x="2891"/>
        <item x="4839"/>
        <item x="748"/>
        <item x="1572"/>
        <item x="1379"/>
        <item x="4457"/>
        <item x="236"/>
        <item x="3240"/>
        <item x="1521"/>
        <item x="722"/>
        <item x="715"/>
        <item x="2245"/>
        <item x="3161"/>
        <item x="386"/>
        <item x="3677"/>
        <item x="3710"/>
        <item x="2687"/>
        <item x="659"/>
        <item x="2250"/>
        <item x="5005"/>
        <item x="4181"/>
        <item x="4905"/>
        <item x="3796"/>
        <item x="3671"/>
        <item x="3211"/>
        <item x="1510"/>
        <item x="1208"/>
        <item x="955"/>
        <item x="1515"/>
        <item x="3334"/>
        <item x="1615"/>
        <item x="2509"/>
        <item x="1865"/>
        <item x="4019"/>
        <item x="90"/>
        <item x="1745"/>
        <item x="3931"/>
        <item x="3858"/>
        <item x="3237"/>
        <item x="869"/>
        <item x="267"/>
        <item x="335"/>
        <item x="1601"/>
        <item x="4224"/>
        <item x="4002"/>
        <item x="1720"/>
        <item x="936"/>
        <item x="3885"/>
        <item x="2181"/>
        <item x="581"/>
        <item x="249"/>
        <item x="2732"/>
        <item x="4488"/>
        <item x="4265"/>
        <item x="4397"/>
        <item x="104"/>
        <item x="1799"/>
        <item x="2152"/>
        <item x="3201"/>
        <item x="3474"/>
        <item x="1968"/>
        <item x="2354"/>
        <item x="1747"/>
        <item x="3051"/>
        <item x="5006"/>
        <item x="4676"/>
        <item x="1589"/>
        <item x="4242"/>
        <item x="1227"/>
        <item x="2500"/>
        <item x="3813"/>
        <item x="2839"/>
        <item x="3637"/>
        <item x="277"/>
        <item x="2704"/>
        <item x="3198"/>
        <item x="568"/>
        <item x="2521"/>
        <item x="1983"/>
        <item x="2324"/>
        <item x="2055"/>
        <item x="1116"/>
        <item x="939"/>
        <item x="2337"/>
        <item x="661"/>
        <item x="1502"/>
        <item x="1837"/>
        <item x="4841"/>
        <item x="4099"/>
        <item x="4219"/>
        <item x="3048"/>
        <item x="302"/>
        <item x="126"/>
        <item x="3606"/>
        <item x="2075"/>
        <item x="2072"/>
        <item x="2471"/>
        <item x="2994"/>
        <item x="2764"/>
        <item x="820"/>
        <item x="1267"/>
        <item x="359"/>
        <item x="1872"/>
        <item x="4953"/>
        <item x="4942"/>
        <item x="586"/>
        <item x="2511"/>
        <item x="620"/>
        <item x="674"/>
        <item x="2913"/>
        <item x="1043"/>
        <item x="854"/>
        <item x="2786"/>
        <item x="1674"/>
        <item x="3306"/>
        <item x="70"/>
        <item x="1382"/>
        <item x="3257"/>
        <item x="3734"/>
        <item x="2706"/>
        <item x="3563"/>
        <item x="1599"/>
        <item x="1749"/>
        <item x="1056"/>
        <item x="558"/>
        <item x="811"/>
        <item x="2224"/>
        <item x="4699"/>
        <item x="4432"/>
        <item x="407"/>
        <item x="4441"/>
        <item x="2232"/>
        <item x="311"/>
        <item x="3619"/>
        <item x="3703"/>
        <item x="87"/>
        <item x="2668"/>
        <item x="1716"/>
        <item x="3440"/>
        <item x="2256"/>
        <item x="3899"/>
        <item x="2560"/>
        <item x="3996"/>
        <item x="1948"/>
        <item x="1378"/>
        <item x="4524"/>
        <item x="3621"/>
        <item x="2131"/>
        <item x="1763"/>
        <item x="4795"/>
        <item x="554"/>
        <item x="36"/>
        <item x="150"/>
        <item x="3078"/>
        <item x="1793"/>
        <item x="3833"/>
        <item x="2455"/>
        <item x="317"/>
        <item x="4122"/>
        <item x="2680"/>
        <item x="545"/>
        <item x="506"/>
        <item x="3486"/>
        <item x="4765"/>
        <item x="884"/>
        <item x="977"/>
        <item x="4906"/>
        <item x="4440"/>
        <item x="893"/>
        <item x="2110"/>
        <item x="2358"/>
        <item x="3529"/>
        <item x="1501"/>
        <item x="4642"/>
        <item x="2513"/>
        <item x="3550"/>
        <item x="808"/>
        <item x="2551"/>
        <item x="2306"/>
        <item x="4312"/>
        <item x="1891"/>
        <item x="799"/>
        <item x="907"/>
        <item x="1547"/>
        <item x="2816"/>
        <item x="1652"/>
        <item x="583"/>
        <item x="603"/>
        <item x="1840"/>
        <item x="371"/>
        <item x="3231"/>
        <item x="2086"/>
        <item x="2983"/>
        <item x="1597"/>
        <item x="3324"/>
        <item x="264"/>
        <item x="290"/>
        <item x="2424"/>
        <item x="3576"/>
        <item x="3412"/>
        <item x="1579"/>
        <item x="2852"/>
        <item x="4188"/>
        <item x="1194"/>
        <item x="2168"/>
        <item x="4890"/>
        <item x="1050"/>
        <item x="1920"/>
        <item x="3056"/>
        <item x="4519"/>
        <item x="3829"/>
        <item x="4611"/>
        <item x="2012"/>
        <item x="2175"/>
        <item x="4373"/>
        <item x="1963"/>
        <item x="3273"/>
        <item x="863"/>
        <item x="4913"/>
        <item x="3053"/>
        <item x="1843"/>
        <item x="2214"/>
        <item x="4466"/>
        <item x="2933"/>
        <item x="4468"/>
        <item x="5010"/>
        <item x="3965"/>
        <item x="2172"/>
        <item x="1606"/>
        <item x="917"/>
        <item x="3304"/>
        <item x="3469"/>
        <item x="1230"/>
        <item x="1429"/>
        <item x="44"/>
        <item x="1001"/>
        <item x="2879"/>
        <item x="2718"/>
        <item x="4211"/>
        <item x="4246"/>
        <item x="3442"/>
        <item x="37"/>
        <item x="4031"/>
        <item x="2389"/>
        <item x="3592"/>
        <item x="1304"/>
        <item x="3296"/>
        <item x="861"/>
        <item x="2001"/>
        <item x="741"/>
        <item x="4572"/>
        <item x="4909"/>
        <item x="2815"/>
        <item x="2308"/>
        <item x="4039"/>
        <item x="698"/>
        <item x="1457"/>
        <item x="1347"/>
        <item x="2903"/>
        <item x="3547"/>
        <item x="845"/>
        <item x="3668"/>
        <item x="4805"/>
        <item x="2798"/>
        <item x="826"/>
        <item x="852"/>
        <item x="4785"/>
        <item x="2567"/>
        <item x="2671"/>
        <item x="3467"/>
        <item x="3444"/>
        <item x="2074"/>
        <item x="3265"/>
        <item x="2629"/>
        <item x="539"/>
        <item x="346"/>
        <item x="148"/>
        <item x="1860"/>
        <item x="1783"/>
        <item x="2826"/>
        <item x="1251"/>
        <item x="806"/>
        <item x="699"/>
        <item x="3539"/>
        <item x="4096"/>
        <item x="3274"/>
        <item x="1211"/>
        <item x="537"/>
        <item x="4954"/>
        <item x="672"/>
        <item x="1509"/>
        <item x="3883"/>
        <item x="4567"/>
        <item x="766"/>
        <item x="246"/>
        <item x="1106"/>
        <item x="3372"/>
        <item x="2872"/>
        <item x="4424"/>
        <item x="4485"/>
        <item x="3466"/>
        <item x="4212"/>
        <item x="4769"/>
        <item x="3971"/>
        <item x="3121"/>
        <item x="2129"/>
        <item x="4998"/>
        <item x="4390"/>
        <item x="4285"/>
        <item x="4445"/>
        <item x="263"/>
        <item x="1761"/>
        <item x="3423"/>
        <item x="4015"/>
        <item x="4755"/>
        <item x="4388"/>
        <item x="4709"/>
        <item x="3950"/>
        <item x="4916"/>
        <item x="3821"/>
        <item x="2080"/>
        <item x="4436"/>
        <item x="3286"/>
        <item x="3313"/>
        <item x="2640"/>
        <item x="1079"/>
        <item x="678"/>
        <item x="2109"/>
        <item x="3618"/>
        <item x="2473"/>
        <item x="796"/>
        <item x="1154"/>
        <item x="1388"/>
        <item x="4092"/>
        <item x="1380"/>
        <item x="1193"/>
        <item x="1622"/>
        <item x="1484"/>
        <item x="1433"/>
        <item x="3922"/>
        <item x="4632"/>
        <item x="3403"/>
        <item x="218"/>
        <item x="337"/>
        <item x="4428"/>
        <item x="2769"/>
        <item x="4021"/>
        <item x="3794"/>
        <item x="3795"/>
        <item x="3432"/>
        <item x="1859"/>
        <item x="2028"/>
        <item x="4677"/>
        <item x="2998"/>
        <item x="272"/>
        <item x="4820"/>
        <item x="432"/>
        <item x="4510"/>
        <item x="608"/>
        <item x="801"/>
        <item x="2498"/>
        <item x="1697"/>
        <item x="1610"/>
        <item x="3788"/>
        <item x="1838"/>
        <item x="4050"/>
        <item x="4396"/>
        <item x="4651"/>
        <item x="2184"/>
        <item x="1181"/>
        <item x="3462"/>
        <item x="636"/>
        <item x="3976"/>
        <item x="1922"/>
        <item x="4171"/>
        <item x="1025"/>
        <item x="3852"/>
        <item x="1904"/>
        <item x="4109"/>
        <item x="3138"/>
        <item x="4569"/>
        <item x="3569"/>
        <item x="3759"/>
        <item x="110"/>
        <item x="4132"/>
        <item x="2154"/>
        <item x="2722"/>
        <item x="680"/>
        <item x="1608"/>
        <item x="4426"/>
        <item x="4350"/>
        <item x="2860"/>
        <item x="3937"/>
        <item x="2719"/>
        <item x="2344"/>
        <item x="4354"/>
        <item x="833"/>
        <item x="2568"/>
        <item x="414"/>
        <item x="1700"/>
        <item x="4270"/>
        <item x="3806"/>
        <item x="4477"/>
        <item x="769"/>
        <item x="3151"/>
        <item x="4739"/>
        <item x="1864"/>
        <item x="4732"/>
        <item x="2257"/>
        <item x="1328"/>
        <item x="4037"/>
        <item x="2363"/>
        <item x="3340"/>
        <item x="3264"/>
        <item x="4956"/>
        <item x="4531"/>
        <item x="3292"/>
        <item x="4127"/>
        <item x="4444"/>
        <item x="613"/>
        <item x="2770"/>
        <item x="4163"/>
        <item x="265"/>
        <item x="3224"/>
        <item x="1292"/>
        <item x="4142"/>
        <item x="4605"/>
        <item x="3957"/>
        <item x="4674"/>
        <item x="4989"/>
        <item x="3144"/>
        <item x="951"/>
        <item x="4180"/>
        <item x="3400"/>
        <item x="1698"/>
        <item x="4615"/>
        <item x="3175"/>
        <item x="1562"/>
        <item x="4616"/>
        <item x="4254"/>
        <item x="1299"/>
        <item x="356"/>
        <item x="103"/>
        <item x="4308"/>
        <item x="4547"/>
        <item x="3898"/>
        <item x="4894"/>
        <item x="4091"/>
        <item x="834"/>
        <item x="4816"/>
        <item x="3774"/>
        <item x="43"/>
        <item x="2603"/>
        <item x="1936"/>
        <item x="4304"/>
        <item x="2460"/>
        <item x="2069"/>
        <item x="3435"/>
        <item x="3620"/>
        <item x="2374"/>
        <item x="2153"/>
        <item x="4087"/>
        <item x="2218"/>
        <item x="1671"/>
        <item x="4215"/>
        <item x="3100"/>
        <item x="3096"/>
        <item x="2947"/>
        <item x="1937"/>
        <item x="1496"/>
        <item x="1710"/>
        <item x="4346"/>
        <item x="3411"/>
        <item x="2270"/>
        <item x="4311"/>
        <item x="2784"/>
        <item x="1396"/>
        <item x="4207"/>
        <item x="3726"/>
        <item x="310"/>
        <item x="3649"/>
        <item x="1967"/>
        <item x="3824"/>
        <item x="4431"/>
        <item x="1727"/>
        <item x="3147"/>
        <item x="2242"/>
        <item x="4701"/>
        <item x="4645"/>
        <item x="3580"/>
        <item x="2044"/>
        <item x="2076"/>
        <item x="1197"/>
        <item x="2967"/>
        <item x="4231"/>
        <item x="4990"/>
        <item x="3980"/>
        <item x="3914"/>
        <item x="2240"/>
        <item x="2285"/>
        <item x="3625"/>
        <item x="3506"/>
        <item x="3414"/>
        <item x="3068"/>
        <item x="2416"/>
        <item x="2971"/>
        <item x="4041"/>
        <item x="3368"/>
        <item x="1150"/>
        <item x="2565"/>
        <item x="588"/>
        <item x="4290"/>
        <item x="1474"/>
        <item x="1490"/>
        <item x="594"/>
        <item x="1306"/>
        <item x="3559"/>
        <item x="2317"/>
        <item x="1475"/>
        <item x="1677"/>
        <item x="1212"/>
        <item x="2583"/>
        <item x="1330"/>
        <item x="2335"/>
        <item x="1311"/>
        <item x="4988"/>
        <item x="4305"/>
        <item x="4786"/>
        <item x="745"/>
        <item x="2681"/>
        <item x="4461"/>
        <item x="2288"/>
        <item x="4948"/>
        <item x="3246"/>
        <item x="1065"/>
        <item x="4949"/>
        <item x="166"/>
        <item x="4233"/>
        <item x="4234"/>
        <item x="3997"/>
        <item x="4763"/>
        <item x="2673"/>
        <item x="1853"/>
        <item x="1005"/>
        <item x="505"/>
        <item x="792"/>
        <item x="4843"/>
        <item x="2439"/>
        <item x="2828"/>
        <item x="4646"/>
        <item x="4483"/>
        <item x="4411"/>
        <item x="4137"/>
        <item x="4695"/>
        <item x="4530"/>
        <item x="1845"/>
        <item x="4368"/>
        <item x="4693"/>
        <item x="751"/>
        <item x="1738"/>
        <item x="2723"/>
        <item x="780"/>
        <item x="858"/>
        <item x="1646"/>
        <item x="2530"/>
        <item x="3360"/>
        <item x="1394"/>
        <item x="4005"/>
        <item x="4857"/>
        <item x="4447"/>
        <item x="3555"/>
        <item x="2531"/>
        <item x="908"/>
        <item x="543"/>
        <item x="2365"/>
        <item x="2874"/>
        <item x="744"/>
        <item x="1818"/>
        <item x="4024"/>
        <item x="3702"/>
        <item x="1223"/>
        <item x="4875"/>
        <item x="3918"/>
        <item x="4809"/>
        <item x="3229"/>
        <item x="2878"/>
        <item x="3369"/>
        <item x="1782"/>
        <item x="3003"/>
        <item x="4072"/>
        <item x="434"/>
        <item x="1603"/>
        <item x="4151"/>
        <item x="1407"/>
        <item x="92"/>
        <item x="4506"/>
        <item x="2534"/>
        <item x="1657"/>
        <item x="639"/>
        <item x="3488"/>
        <item x="2642"/>
        <item x="824"/>
        <item x="457"/>
        <item x="2949"/>
        <item x="1262"/>
        <item x="1093"/>
        <item x="4597"/>
        <item x="4880"/>
        <item x="825"/>
        <item x="1618"/>
        <item x="3958"/>
        <item x="19"/>
        <item x="162"/>
        <item x="4560"/>
        <item x="3196"/>
        <item x="3672"/>
        <item x="1605"/>
        <item x="580"/>
        <item x="135"/>
        <item x="746"/>
        <item x="421"/>
        <item x="2762"/>
        <item x="1836"/>
        <item x="2758"/>
        <item x="4657"/>
        <item x="1982"/>
        <item x="1728"/>
        <item x="3928"/>
        <item x="526"/>
        <item x="3140"/>
        <item x="161"/>
        <item x="1846"/>
        <item x="3509"/>
        <item x="328"/>
        <item x="2730"/>
        <item x="838"/>
        <item x="187"/>
        <item x="3920"/>
        <item x="1467"/>
        <item x="3009"/>
        <item x="1823"/>
        <item x="928"/>
        <item x="255"/>
        <item x="2493"/>
        <item x="1329"/>
        <item x="4427"/>
        <item x="4262"/>
        <item x="3707"/>
        <item x="710"/>
        <item x="480"/>
        <item x="532"/>
        <item x="2972"/>
        <item x="3848"/>
        <item x="1356"/>
        <item x="3836"/>
        <item x="3634"/>
        <item x="3570"/>
        <item x="2956"/>
        <item x="278"/>
        <item x="4760"/>
        <item x="197"/>
        <item x="3947"/>
        <item x="2261"/>
        <item x="3007"/>
        <item x="3645"/>
        <item x="3"/>
        <item x="1558"/>
        <item x="390"/>
        <item x="2499"/>
        <item x="3090"/>
        <item x="3109"/>
        <item x="2610"/>
        <item x="3911"/>
        <item x="4000"/>
        <item x="4206"/>
        <item x="2185"/>
        <item x="4647"/>
        <item x="1555"/>
        <item x="2243"/>
        <item x="3189"/>
        <item x="4944"/>
        <item x="1176"/>
        <item x="3588"/>
        <item x="4549"/>
        <item x="4302"/>
        <item x="3475"/>
        <item x="4126"/>
        <item x="1943"/>
        <item x="3936"/>
        <item x="1441"/>
        <item x="409"/>
        <item x="4060"/>
        <item x="705"/>
        <item x="1157"/>
        <item x="546"/>
        <item x="3162"/>
        <item x="1026"/>
        <item x="1534"/>
        <item x="1283"/>
        <item x="3901"/>
        <item x="1984"/>
        <item x="4240"/>
        <item x="4046"/>
        <item x="1172"/>
        <item x="4727"/>
        <item x="502"/>
        <item x="1731"/>
        <item x="101"/>
        <item x="16"/>
        <item x="2882"/>
        <item x="2263"/>
        <item x="1104"/>
        <item x="1384"/>
        <item x="2533"/>
        <item x="214"/>
        <item x="2356"/>
        <item x="2130"/>
        <item x="2900"/>
        <item x="2328"/>
        <item x="823"/>
        <item x="1138"/>
        <item x="3148"/>
        <item x="559"/>
        <item x="4035"/>
        <item x="3387"/>
        <item x="1148"/>
        <item x="1992"/>
        <item x="1222"/>
        <item x="3495"/>
        <item x="336"/>
        <item x="2749"/>
        <item x="1024"/>
        <item x="533"/>
        <item x="4097"/>
        <item x="3476"/>
        <item x="3103"/>
        <item x="1811"/>
        <item x="3946"/>
        <item x="1561"/>
        <item x="3225"/>
        <item x="4352"/>
        <item x="1917"/>
        <item x="1209"/>
        <item x="3381"/>
        <item x="33"/>
        <item x="3767"/>
        <item x="3319"/>
        <item x="3005"/>
        <item x="4858"/>
        <item x="2529"/>
        <item x="521"/>
        <item x="4622"/>
        <item x="2236"/>
        <item x="1114"/>
        <item x="4892"/>
        <item x="4607"/>
        <item x="4746"/>
        <item x="4418"/>
        <item x="4214"/>
        <item x="3866"/>
        <item x="4358"/>
        <item x="1953"/>
        <item x="1686"/>
        <item x="1459"/>
        <item x="3790"/>
        <item x="3208"/>
        <item x="3128"/>
        <item x="904"/>
        <item x="1305"/>
        <item x="3510"/>
        <item x="118"/>
        <item x="85"/>
        <item x="510"/>
        <item x="2964"/>
        <item x="2940"/>
        <item x="1165"/>
        <item x="2135"/>
        <item x="3419"/>
        <item x="3724"/>
        <item x="3769"/>
        <item x="1160"/>
        <item x="2231"/>
        <item x="2865"/>
        <item x="1100"/>
        <item x="4149"/>
        <item x="3422"/>
        <item x="1842"/>
        <item x="2339"/>
        <item x="3582"/>
        <item x="140"/>
        <item x="1525"/>
        <item x="2128"/>
        <item x="3107"/>
        <item x="2302"/>
        <item x="2283"/>
        <item x="4702"/>
        <item x="4404"/>
        <item x="1894"/>
        <item x="28"/>
        <item x="3069"/>
        <item x="4606"/>
        <item x="4475"/>
        <item x="2829"/>
        <item x="922"/>
        <item x="2053"/>
        <item x="299"/>
        <item x="366"/>
        <item x="1397"/>
        <item x="859"/>
        <item x="3926"/>
        <item x="4143"/>
        <item x="2437"/>
        <item x="360"/>
        <item x="370"/>
        <item x="4973"/>
        <item x="3045"/>
        <item x="3283"/>
        <item x="2090"/>
        <item x="3647"/>
        <item x="1672"/>
        <item x="1332"/>
        <item x="283"/>
        <item x="339"/>
        <item x="2089"/>
        <item x="650"/>
        <item x="1322"/>
        <item x="1918"/>
        <item x="1554"/>
        <item x="1528"/>
        <item x="2262"/>
        <item x="3270"/>
        <item x="3205"/>
        <item x="523"/>
        <item x="3689"/>
        <item x="4068"/>
        <item x="284"/>
        <item x="1586"/>
        <item x="4984"/>
        <item x="4135"/>
        <item x="3913"/>
        <item x="3869"/>
        <item x="1354"/>
        <item x="4837"/>
        <item x="2284"/>
        <item x="2627"/>
        <item x="4910"/>
        <item x="3358"/>
        <item x="3755"/>
        <item x="2694"/>
        <item x="4084"/>
        <item x="464"/>
        <item x="2040"/>
        <item x="3033"/>
        <item x="1425"/>
        <item x="1078"/>
        <item x="1954"/>
        <item x="2470"/>
        <item x="2710"/>
        <item x="2041"/>
        <item x="875"/>
        <item x="873"/>
        <item x="4018"/>
        <item x="2946"/>
        <item x="1691"/>
        <item x="2827"/>
        <item x="1595"/>
        <item x="2205"/>
        <item x="4472"/>
        <item x="1692"/>
        <item x="1296"/>
        <item x="3267"/>
        <item x="2705"/>
        <item x="4419"/>
        <item x="2538"/>
        <item x="2637"/>
        <item x="4297"/>
        <item x="1362"/>
        <item x="1412"/>
        <item x="1210"/>
        <item x="4116"/>
        <item x="3095"/>
        <item x="2774"/>
        <item x="2032"/>
        <item x="1519"/>
        <item x="254"/>
        <item x="4387"/>
        <item x="2501"/>
        <item x="1229"/>
        <item x="2159"/>
        <item x="2738"/>
        <item x="1220"/>
        <item x="205"/>
        <item x="2797"/>
        <item x="4075"/>
        <item x="3393"/>
        <item x="517"/>
        <item x="2908"/>
        <item x="687"/>
        <item x="3407"/>
        <item x="3903"/>
        <item x="2636"/>
        <item x="4604"/>
        <item x="1957"/>
        <item x="4877"/>
        <item x="452"/>
        <item x="3106"/>
        <item x="3594"/>
        <item x="439"/>
        <item x="4721"/>
        <item x="4686"/>
        <item x="888"/>
        <item x="2226"/>
        <item x="48"/>
        <item x="4914"/>
        <item x="2585"/>
        <item x="1462"/>
        <item x="4160"/>
        <item x="2290"/>
        <item x="3050"/>
        <item x="737"/>
        <item x="4245"/>
        <item x="2220"/>
        <item x="1128"/>
        <item x="3256"/>
        <item x="2341"/>
        <item x="3135"/>
        <item x="1410"/>
        <item x="3058"/>
        <item x="2859"/>
        <item x="4376"/>
        <item x="3641"/>
        <item x="4724"/>
        <item x="2292"/>
        <item x="2445"/>
        <item x="2323"/>
        <item x="242"/>
        <item x="127"/>
        <item x="4473"/>
        <item x="4667"/>
        <item x="4026"/>
        <item x="702"/>
        <item x="4665"/>
        <item x="2452"/>
        <item x="291"/>
        <item x="219"/>
        <item x="3863"/>
        <item x="1584"/>
        <item x="3353"/>
        <item x="616"/>
        <item x="3310"/>
        <item x="1926"/>
        <item x="4844"/>
        <item x="2052"/>
        <item x="843"/>
        <item x="2867"/>
        <item x="3583"/>
        <item x="3872"/>
        <item x="905"/>
        <item x="2376"/>
        <item x="1634"/>
        <item x="2397"/>
        <item x="2740"/>
        <item x="3533"/>
        <item x="1046"/>
        <item x="2034"/>
        <item x="1633"/>
        <item x="4088"/>
        <item x="4730"/>
        <item x="4244"/>
        <item x="2519"/>
        <item x="4912"/>
        <item x="2558"/>
        <item x="3044"/>
        <item x="3253"/>
        <item x="1469"/>
        <item x="4491"/>
        <item x="449"/>
        <item x="202"/>
        <item x="4278"/>
        <item x="4172"/>
        <item x="4166"/>
        <item x="2070"/>
        <item x="3139"/>
        <item x="3029"/>
        <item x="2494"/>
        <item x="222"/>
        <item x="2974"/>
        <item x="4962"/>
        <item x="4381"/>
        <item x="3460"/>
        <item x="2381"/>
        <item x="2038"/>
        <item x="1460"/>
        <item x="2266"/>
        <item x="4293"/>
        <item x="4787"/>
        <item x="2690"/>
        <item x="4012"/>
        <item x="1832"/>
        <item x="3330"/>
        <item x="4066"/>
        <item x="721"/>
        <item x="2713"/>
        <item x="2320"/>
        <item x="1014"/>
        <item x="2880"/>
        <item x="1701"/>
        <item x="260"/>
        <item x="2176"/>
        <item x="950"/>
        <item x="3115"/>
        <item x="2814"/>
        <item x="4961"/>
        <item x="348"/>
        <item x="612"/>
        <item x="4781"/>
        <item x="2744"/>
        <item x="1327"/>
        <item x="3448"/>
        <item x="399"/>
        <item x="4772"/>
        <item x="2850"/>
        <item x="3741"/>
        <item x="1018"/>
        <item x="3517"/>
        <item x="3102"/>
        <item x="332"/>
        <item x="2425"/>
        <item x="1913"/>
        <item x="1258"/>
        <item x="4683"/>
        <item x="2275"/>
        <item x="3954"/>
        <item x="2712"/>
        <item x="622"/>
        <item x="2980"/>
        <item x="2619"/>
        <item x="4469"/>
        <item x="3546"/>
        <item x="215"/>
        <item x="2767"/>
        <item x="4433"/>
        <item x="3157"/>
        <item x="4846"/>
        <item x="3782"/>
        <item x="173"/>
        <item x="4761"/>
        <item x="4974"/>
        <item x="2726"/>
        <item x="4713"/>
        <item x="4323"/>
        <item x="1248"/>
        <item x="2002"/>
        <item x="4320"/>
        <item x="2832"/>
        <item x="4421"/>
        <item x="456"/>
        <item x="4976"/>
        <item x="4624"/>
        <item x="4392"/>
        <item x="1643"/>
        <item x="4586"/>
        <item x="3408"/>
        <item x="4855"/>
        <item x="3673"/>
        <item x="3445"/>
        <item x="4410"/>
        <item x="1398"/>
        <item x="198"/>
        <item x="4678"/>
        <item x="949"/>
        <item x="4324"/>
        <item x="3072"/>
        <item x="1520"/>
        <item x="3662"/>
        <item x="1536"/>
        <item x="1552"/>
        <item x="1815"/>
        <item x="3881"/>
        <item x="1285"/>
        <item x="3326"/>
        <item x="4650"/>
        <item x="4991"/>
        <item x="2216"/>
        <item x="3749"/>
        <item x="3894"/>
        <item x="4768"/>
        <item x="3777"/>
        <item x="4634"/>
        <item x="2273"/>
        <item x="2654"/>
        <item x="4882"/>
        <item x="3354"/>
        <item x="14"/>
        <item x="4155"/>
        <item x="735"/>
        <item x="4196"/>
        <item x="3041"/>
        <item x="1867"/>
        <item x="184"/>
        <item x="4340"/>
        <item x="4451"/>
        <item x="1585"/>
        <item x="1061"/>
        <item x="2523"/>
        <item x="4540"/>
        <item x="2594"/>
        <item x="243"/>
        <item x="896"/>
        <item x="4366"/>
        <item x="1543"/>
        <item x="1907"/>
        <item x="364"/>
        <item x="4725"/>
        <item x="4165"/>
        <item x="1735"/>
        <item x="1529"/>
        <item x="1471"/>
        <item x="3395"/>
        <item x="667"/>
        <item x="1889"/>
        <item x="2367"/>
        <item x="1577"/>
        <item x="1997"/>
        <item x="50"/>
        <item x="141"/>
        <item x="3473"/>
        <item x="1805"/>
        <item x="542"/>
        <item x="655"/>
        <item x="795"/>
        <item x="3798"/>
        <item x="931"/>
        <item x="623"/>
        <item x="5009"/>
        <item x="1829"/>
        <item x="4314"/>
        <item x="1201"/>
        <item x="2715"/>
        <item x="1901"/>
        <item x="2716"/>
        <item x="1678"/>
        <item x="2825"/>
        <item x="1268"/>
        <item x="1715"/>
        <item x="958"/>
        <item x="3436"/>
        <item x="1256"/>
        <item x="3150"/>
        <item x="1776"/>
        <item x="2618"/>
        <item x="1760"/>
        <item x="4664"/>
        <item x="4740"/>
        <item x="2408"/>
        <item x="2666"/>
        <item x="4806"/>
        <item x="3664"/>
        <item x="1794"/>
        <item x="46"/>
        <item x="4866"/>
        <item x="3771"/>
        <item x="4383"/>
        <item x="4927"/>
        <item x="4735"/>
        <item x="2625"/>
        <item x="3430"/>
        <item x="4571"/>
        <item x="2192"/>
        <item x="3318"/>
        <item x="3428"/>
        <item x="2701"/>
        <item x="2495"/>
        <item x="4259"/>
        <item x="401"/>
        <item x="491"/>
        <item x="3540"/>
        <item x="2199"/>
        <item x="1778"/>
        <item x="3663"/>
        <item x="2727"/>
        <item x="4114"/>
        <item x="1979"/>
        <item x="406"/>
        <item x="4400"/>
        <item x="1090"/>
        <item x="3351"/>
        <item x="775"/>
        <item x="4200"/>
        <item x="4413"/>
        <item x="547"/>
        <item x="4639"/>
        <item x="4814"/>
        <item x="1707"/>
        <item x="315"/>
        <item x="1900"/>
        <item x="1133"/>
        <item x="574"/>
        <item x="4756"/>
        <item x="654"/>
        <item x="4248"/>
        <item x="1039"/>
        <item x="4010"/>
        <item x="2450"/>
        <item x="529"/>
        <item x="4430"/>
        <item x="2113"/>
        <item x="1035"/>
        <item x="4863"/>
        <item x="648"/>
        <item x="2225"/>
        <item x="2935"/>
        <item x="1431"/>
        <item x="4902"/>
        <item x="1791"/>
        <item x="2111"/>
        <item x="1317"/>
        <item x="9"/>
        <item x="2420"/>
        <item x="3002"/>
        <item x="3939"/>
        <item x="996"/>
        <item x="3556"/>
        <item x="212"/>
        <item x="926"/>
        <item x="3498"/>
        <item x="3129"/>
        <item x="4125"/>
        <item x="2746"/>
        <item x="2791"/>
        <item x="3998"/>
        <item x="2555"/>
        <item x="4661"/>
        <item x="4736"/>
        <item x="2022"/>
        <item x="3733"/>
        <item x="1574"/>
        <item x="1179"/>
        <item x="2087"/>
        <item x="1942"/>
        <item x="2264"/>
        <item x="1376"/>
        <item x="3756"/>
        <item x="2665"/>
        <item x="2298"/>
        <item x="4013"/>
        <item x="4631"/>
        <item x="159"/>
        <item x="10"/>
        <item x="3142"/>
        <item x="12"/>
        <item x="2138"/>
        <item x="2543"/>
        <item x="1124"/>
        <item x="2444"/>
        <item x="598"/>
        <item x="2672"/>
        <item x="657"/>
        <item x="2991"/>
        <item x="2293"/>
        <item x="3930"/>
        <item x="4592"/>
        <item x="2048"/>
        <item x="4226"/>
        <item x="3187"/>
        <item x="3000"/>
        <item x="1224"/>
        <item x="1684"/>
        <item x="3584"/>
        <item x="3572"/>
        <item x="4966"/>
        <item x="2597"/>
        <item x="789"/>
        <item x="160"/>
        <item x="226"/>
        <item x="3543"/>
        <item x="3690"/>
        <item x="3122"/>
        <item x="224"/>
        <item x="881"/>
        <item x="716"/>
        <item x="4237"/>
        <item x="1214"/>
        <item x="1353"/>
        <item x="816"/>
        <item x="864"/>
        <item x="2276"/>
        <item x="2422"/>
        <item x="2254"/>
        <item x="3800"/>
        <item x="2428"/>
        <item x="2505"/>
        <item x="4220"/>
        <item x="1736"/>
        <item x="2641"/>
        <item x="2375"/>
        <item x="3472"/>
        <item x="4378"/>
        <item x="111"/>
        <item x="2208"/>
        <item x="666"/>
        <item x="1852"/>
        <item x="124"/>
        <item x="964"/>
        <item x="3386"/>
        <item x="2291"/>
        <item x="2626"/>
        <item x="3817"/>
        <item x="3849"/>
        <item x="2366"/>
        <item x="57"/>
        <item x="4587"/>
        <item x="4236"/>
        <item x="2100"/>
        <item x="1723"/>
        <item x="4929"/>
        <item x="3088"/>
        <item x="2575"/>
        <item x="3183"/>
        <item x="4867"/>
        <item x="2856"/>
        <item x="3631"/>
        <item x="1424"/>
        <item x="1884"/>
        <item x="1647"/>
        <item x="321"/>
        <item x="2237"/>
        <item x="1559"/>
        <item x="4156"/>
        <item x="3271"/>
        <item x="2187"/>
        <item x="3577"/>
        <item x="3974"/>
        <item x="3699"/>
        <item x="3248"/>
        <item x="1449"/>
        <item x="723"/>
        <item x="3900"/>
        <item x="1630"/>
        <item x="3247"/>
        <item x="2024"/>
        <item x="3762"/>
        <item x="4670"/>
        <item x="3512"/>
        <item x="2021"/>
        <item x="1834"/>
        <item x="2525"/>
        <item x="2488"/>
        <item x="663"/>
        <item x="1447"/>
        <item x="4557"/>
        <item x="1662"/>
        <item x="901"/>
        <item x="3635"/>
        <item x="4310"/>
        <item x="2095"/>
        <item x="4749"/>
        <item x="1830"/>
        <item x="186"/>
        <item x="3653"/>
        <item x="1409"/>
        <item x="1964"/>
        <item x="540"/>
        <item x="3932"/>
        <item x="2898"/>
        <item x="1284"/>
        <item x="3104"/>
        <item x="1670"/>
        <item x="4613"/>
        <item x="2999"/>
        <item x="1999"/>
        <item x="136"/>
        <item x="102"/>
        <item x="4338"/>
        <item x="3416"/>
        <item x="4827"/>
        <item x="3805"/>
        <item x="4251"/>
        <item x="2382"/>
        <item x="1432"/>
        <item x="1880"/>
        <item x="3615"/>
        <item x="4985"/>
        <item x="3126"/>
        <item x="2474"/>
        <item x="2125"/>
        <item x="4140"/>
        <item x="1570"/>
        <item x="4922"/>
        <item x="4584"/>
        <item x="451"/>
        <item x="268"/>
        <item x="38"/>
        <item x="4943"/>
        <item x="2013"/>
        <item x="2582"/>
        <item x="3655"/>
        <item x="3046"/>
        <item x="1404"/>
        <item x="2466"/>
        <item x="4802"/>
        <item x="252"/>
        <item x="2623"/>
        <item x="4687"/>
        <item x="4434"/>
        <item x="2871"/>
        <item x="880"/>
        <item x="4496"/>
        <item x="123"/>
        <item x="4840"/>
        <item x="2170"/>
        <item x="2482"/>
        <item x="1705"/>
        <item x="832"/>
        <item x="4517"/>
        <item x="1013"/>
        <item x="427"/>
        <item x="691"/>
        <item x="266"/>
        <item x="125"/>
        <item x="2613"/>
        <item x="3838"/>
        <item x="2937"/>
        <item x="404"/>
        <item x="76"/>
        <item x="4937"/>
        <item x="257"/>
        <item x="3984"/>
        <item x="59"/>
        <item x="97"/>
        <item x="2775"/>
        <item x="1164"/>
        <item x="3379"/>
        <item x="2993"/>
        <item x="3149"/>
        <item x="498"/>
        <item x="2361"/>
        <item x="176"/>
        <item x="2553"/>
        <item x="1270"/>
        <item x="1683"/>
        <item x="2045"/>
        <item x="631"/>
        <item x="534"/>
        <item x="3943"/>
        <item x="1294"/>
        <item x="3402"/>
        <item x="3811"/>
        <item x="1260"/>
        <item x="3873"/>
        <item x="3680"/>
        <item x="2343"/>
        <item x="2464"/>
        <item x="2599"/>
        <item x="25"/>
        <item x="1196"/>
        <item x="454"/>
        <item x="1083"/>
        <item x="72"/>
        <item x="1007"/>
        <item x="1028"/>
        <item x="551"/>
        <item x="4546"/>
        <item x="3845"/>
        <item x="3165"/>
        <item x="2457"/>
        <item x="1455"/>
        <item x="3830"/>
        <item x="2768"/>
        <item x="203"/>
        <item x="1833"/>
        <item x="3373"/>
        <item x="4952"/>
        <item x="3396"/>
        <item x="2576"/>
        <item x="890"/>
        <item x="365"/>
        <item x="1565"/>
        <item x="4"/>
        <item x="2004"/>
        <item x="3502"/>
        <item x="3146"/>
        <item x="4655"/>
        <item x="1764"/>
        <item x="2711"/>
        <item x="1413"/>
        <item x="2370"/>
        <item x="4103"/>
        <item x="4391"/>
        <item x="1919"/>
        <item x="47"/>
        <item x="4349"/>
        <item x="2761"/>
        <item x="1825"/>
        <item x="1058"/>
        <item x="2821"/>
        <item x="566"/>
        <item x="708"/>
        <item x="1512"/>
        <item x="1772"/>
        <item x="4553"/>
        <item x="1742"/>
        <item x="1773"/>
        <item x="3042"/>
        <item x="4271"/>
        <item x="1366"/>
        <item x="1995"/>
        <item x="4641"/>
        <item x="2228"/>
        <item x="2453"/>
        <item x="4194"/>
        <item x="2504"/>
        <item x="2280"/>
        <item x="2286"/>
        <item x="4095"/>
        <item x="1774"/>
        <item x="411"/>
        <item x="3719"/>
        <item x="1408"/>
        <item x="4458"/>
        <item x="3203"/>
        <item x="4273"/>
        <item x="4759"/>
        <item x="3508"/>
        <item x="227"/>
        <item x="2820"/>
        <item x="325"/>
        <item x="2858"/>
        <item x="2622"/>
        <item x="2251"/>
        <item x="4704"/>
        <item x="2327"/>
        <item x="4169"/>
        <item x="1847"/>
        <item x="1042"/>
        <item x="3222"/>
        <item x="3308"/>
        <item x="4536"/>
        <item x="4862"/>
        <item x="3656"/>
        <item x="4183"/>
        <item x="1822"/>
        <item x="51"/>
        <item x="4525"/>
        <item x="3846"/>
        <item x="467"/>
        <item x="1911"/>
        <item x="195"/>
        <item x="1797"/>
        <item x="3214"/>
        <item x="1115"/>
        <item x="3590"/>
        <item x="2926"/>
        <item x="4065"/>
        <item x="4464"/>
        <item x="2369"/>
        <item x="1620"/>
        <item x="1470"/>
        <item x="2988"/>
        <item x="3644"/>
        <item x="1730"/>
        <item x="304"/>
        <item x="557"/>
        <item x="2015"/>
        <item x="122"/>
        <item x="3272"/>
        <item x="3163"/>
        <item x="1191"/>
        <item x="4141"/>
        <item x="340"/>
        <item x="4329"/>
        <item x="3970"/>
        <item x="475"/>
        <item x="100"/>
        <item x="382"/>
        <item x="2939"/>
        <item x="1416"/>
        <item x="4590"/>
        <item x="4081"/>
        <item x="1178"/>
        <item x="4481"/>
        <item x="2407"/>
        <item x="2259"/>
        <item x="1301"/>
        <item x="2123"/>
        <item x="1613"/>
        <item x="3709"/>
        <item x="4662"/>
        <item x="4957"/>
        <item x="3188"/>
        <item x="4336"/>
        <item x="2808"/>
        <item x="2178"/>
        <item x="991"/>
        <item x="4521"/>
        <item x="1903"/>
        <item x="4332"/>
        <item x="262"/>
        <item x="2027"/>
        <item x="3083"/>
        <item x="3218"/>
        <item x="3166"/>
        <item x="2429"/>
        <item x="1190"/>
        <item x="3511"/>
        <item x="1428"/>
        <item x="709"/>
        <item x="4405"/>
        <item x="1458"/>
        <item x="4635"/>
        <item x="3763"/>
        <item x="478"/>
        <item x="538"/>
        <item x="1076"/>
        <item x="2406"/>
        <item x="4585"/>
        <item x="3054"/>
        <item x="3343"/>
        <item x="564"/>
        <item x="23"/>
        <item x="1658"/>
        <item x="4791"/>
        <item x="2411"/>
        <item x="1751"/>
        <item x="2162"/>
        <item x="535"/>
        <item x="295"/>
        <item x="171"/>
        <item x="4504"/>
        <item x="3808"/>
        <item x="476"/>
        <item x="3674"/>
        <item x="4930"/>
        <item x="4083"/>
        <item x="2796"/>
        <item x="3596"/>
        <item x="900"/>
        <item x="1507"/>
        <item x="4398"/>
        <item x="3064"/>
        <item x="372"/>
        <item x="512"/>
        <item x="3483"/>
        <item x="4911"/>
        <item x="1935"/>
        <item x="4267"/>
        <item x="1504"/>
        <item x="1619"/>
        <item x="3810"/>
        <item x="2600"/>
        <item x="902"/>
        <item x="1335"/>
        <item x="3878"/>
        <item x="4757"/>
        <item x="3729"/>
        <item x="2432"/>
        <item x="2304"/>
        <item x="58"/>
        <item x="4344"/>
        <item x="2614"/>
        <item x="1590"/>
        <item x="4968"/>
        <item x="2707"/>
        <item x="1994"/>
        <item x="3137"/>
        <item x="2778"/>
        <item x="2925"/>
        <item x="2418"/>
        <item x="2380"/>
        <item x="419"/>
        <item x="2586"/>
        <item x="2247"/>
        <item x="3320"/>
        <item x="1451"/>
        <item x="2016"/>
        <item x="3281"/>
        <item x="1004"/>
        <item x="515"/>
        <item x="2997"/>
        <item x="466"/>
        <item x="3355"/>
        <item x="2667"/>
        <item x="3019"/>
        <item x="4062"/>
        <item x="3176"/>
        <item x="8"/>
        <item x="2077"/>
        <item x="2007"/>
        <item x="815"/>
        <item x="189"/>
        <item x="3632"/>
        <item x="1689"/>
        <item x="1592"/>
        <item x="1149"/>
        <item x="3376"/>
        <item x="4621"/>
        <item x="3505"/>
        <item x="1232"/>
        <item x="1391"/>
        <item x="1929"/>
        <item x="338"/>
        <item x="4448"/>
        <item x="4636"/>
        <item x="2674"/>
        <item x="4520"/>
        <item x="2151"/>
        <item x="2085"/>
        <item x="53"/>
        <item x="1596"/>
        <item x="3065"/>
        <item x="3685"/>
        <item x="327"/>
        <item x="183"/>
        <item x="4733"/>
        <item x="2877"/>
        <item x="4745"/>
        <item x="525"/>
        <item x="2071"/>
        <item x="4633"/>
        <item x="714"/>
        <item x="3819"/>
        <item x="4889"/>
        <item x="470"/>
        <item x="2528"/>
        <item x="652"/>
        <item x="2134"/>
        <item x="230"/>
        <item x="177"/>
        <item x="1140"/>
        <item x="2166"/>
        <item x="3020"/>
        <item x="3478"/>
        <item x="1655"/>
        <item x="2616"/>
        <item x="3194"/>
        <item x="62"/>
        <item x="362"/>
        <item x="4723"/>
        <item x="216"/>
        <item x="916"/>
        <item x="2785"/>
        <item x="1635"/>
        <item x="1611"/>
        <item x="2274"/>
        <item x="2587"/>
        <item x="2979"/>
        <item x="1370"/>
        <item x="4698"/>
        <item x="3812"/>
        <item x="1315"/>
        <item x="3464"/>
        <item x="2239"/>
        <item x="1682"/>
        <item x="4818"/>
        <item x="1497"/>
        <item x="1068"/>
        <item x="32"/>
        <item x="4821"/>
        <item x="4826"/>
        <item x="4812"/>
        <item x="4170"/>
        <item x="444"/>
        <item x="2920"/>
        <item x="200"/>
        <item x="5008"/>
        <item x="2318"/>
        <item x="3835"/>
        <item x="394"/>
        <item x="640"/>
        <item x="1696"/>
        <item x="4675"/>
        <item x="282"/>
        <item x="344"/>
        <item x="3982"/>
        <item x="4926"/>
        <item x="4007"/>
        <item x="1796"/>
        <item x="1465"/>
        <item x="343"/>
        <item x="5004"/>
        <item x="3455"/>
        <item x="2303"/>
        <item x="3113"/>
        <item x="4872"/>
        <item x="231"/>
        <item x="4744"/>
        <item x="734"/>
        <item x="2944"/>
        <item x="4291"/>
        <item x="4011"/>
        <item x="2990"/>
        <item x="2230"/>
        <item x="3325"/>
        <item x="2817"/>
        <item x="3507"/>
        <item x="4509"/>
        <item x="4714"/>
        <item x="1737"/>
        <item x="3530"/>
        <item x="1023"/>
        <item x="4895"/>
        <item x="3847"/>
        <item x="1925"/>
        <item x="682"/>
        <item x="3111"/>
        <item x="1307"/>
        <item x="2182"/>
        <item x="4407"/>
        <item x="2449"/>
        <item x="1625"/>
        <item x="2870"/>
        <item x="4556"/>
        <item x="1320"/>
        <item x="3063"/>
        <item x="389"/>
        <item x="3181"/>
        <item x="2268"/>
        <item x="4020"/>
        <item x="3896"/>
        <item x="2223"/>
        <item x="2456"/>
        <item x="1089"/>
        <item x="4367"/>
        <item x="1965"/>
        <item x="2846"/>
        <item x="2140"/>
        <item x="1422"/>
        <item x="1719"/>
        <item x="247"/>
        <item x="3730"/>
        <item x="1110"/>
        <item x="1171"/>
        <item x="2241"/>
        <item x="4454"/>
        <item x="4275"/>
        <item x="3339"/>
        <item x="488"/>
        <item x="3818"/>
        <item x="1909"/>
        <item x="1419"/>
        <item x="3880"/>
        <item x="2653"/>
        <item x="2031"/>
        <item x="2144"/>
        <item x="536"/>
        <item x="697"/>
        <item x="2008"/>
        <item x="3482"/>
        <item x="4460"/>
        <item x="3244"/>
        <item x="326"/>
        <item x="2436"/>
        <item x="2235"/>
        <item x="3639"/>
        <item x="956"/>
        <item x="2595"/>
        <item x="765"/>
        <item x="3060"/>
        <item x="1045"/>
        <item x="754"/>
        <item x="2063"/>
        <item x="4828"/>
        <item x="4798"/>
        <item x="2656"/>
        <item x="1915"/>
        <item x="3738"/>
        <item x="4789"/>
        <item x="3110"/>
        <item x="978"/>
        <item x="129"/>
        <item x="1234"/>
        <item x="4533"/>
        <item x="4365"/>
        <item x="2887"/>
        <item x="2165"/>
        <item x="1508"/>
        <item x="2299"/>
        <item x="3490"/>
        <item x="1453"/>
        <item x="2848"/>
        <item x="948"/>
        <item x="3397"/>
        <item x="946"/>
        <item x="2011"/>
        <item x="2773"/>
        <item x="2750"/>
        <item x="3860"/>
        <item x="4253"/>
        <item x="4627"/>
        <item x="3285"/>
        <item x="2433"/>
        <item x="156"/>
        <item x="481"/>
        <item x="3332"/>
        <item x="3055"/>
        <item x="2837"/>
        <item x="4199"/>
        <item x="4831"/>
        <item x="2897"/>
        <item x="152"/>
        <item x="3032"/>
        <item x="2652"/>
        <item x="2918"/>
        <item x="1871"/>
        <item x="3801"/>
        <item x="1923"/>
        <item x="3454"/>
        <item x="4764"/>
        <item x="2875"/>
        <item x="2559"/>
        <item x="1500"/>
        <item x="783"/>
        <item x="2552"/>
        <item x="2042"/>
        <item x="3967"/>
        <item x="3337"/>
        <item x="731"/>
        <item x="3036"/>
        <item x="1569"/>
        <item x="3532"/>
        <item x="3217"/>
        <item x="3825"/>
        <item x="1244"/>
        <item x="1531"/>
        <item x="4570"/>
        <item x="2973"/>
        <item x="1180"/>
        <item x="3840"/>
        <item x="1940"/>
        <item x="4692"/>
        <item x="3299"/>
        <item x="2454"/>
        <item x="3986"/>
        <item x="4201"/>
        <item x="1088"/>
        <item x="836"/>
        <item x="3391"/>
        <item x="4648"/>
        <item x="2338"/>
        <item x="3927"/>
        <item x="4619"/>
        <item x="4811"/>
        <item x="1780"/>
        <item x="2190"/>
        <item x="2475"/>
        <item x="2755"/>
        <item x="2945"/>
        <item x="2359"/>
        <item x="1645"/>
        <item x="625"/>
        <item x="1809"/>
        <item x="2412"/>
        <item x="308"/>
        <item x="2968"/>
        <item x="471"/>
        <item x="4094"/>
        <item x="3199"/>
        <item x="1075"/>
        <item x="170"/>
        <item x="489"/>
        <item x="499"/>
        <item x="664"/>
        <item x="4145"/>
        <item x="1624"/>
        <item x="963"/>
        <item x="459"/>
        <item x="2096"/>
        <item x="1392"/>
        <item x="1539"/>
        <item x="1722"/>
        <item x="3392"/>
        <item x="3651"/>
        <item x="3987"/>
        <item x="4256"/>
        <item x="1241"/>
        <item x="4601"/>
        <item x="550"/>
        <item x="4258"/>
        <item x="4503"/>
        <item x="4700"/>
        <item x="1961"/>
        <item x="4036"/>
        <item x="2957"/>
        <item x="2349"/>
        <item x="3841"/>
        <item x="4767"/>
        <item x="3850"/>
        <item x="1368"/>
        <item x="1744"/>
        <item x="289"/>
        <item x="4737"/>
        <item x="172"/>
        <item x="2986"/>
        <item x="1669"/>
        <item x="2037"/>
        <item x="3197"/>
        <item x="982"/>
        <item x="1768"/>
        <item x="3172"/>
        <item x="1169"/>
        <item x="4718"/>
        <item x="21"/>
        <item x="3401"/>
        <item x="3558"/>
        <item x="83"/>
        <item x="1699"/>
        <item x="2442"/>
        <item x="4752"/>
        <item x="485"/>
        <item x="3079"/>
        <item x="2866"/>
        <item x="4382"/>
        <item x="1252"/>
        <item x="3948"/>
        <item x="4280"/>
        <item x="1885"/>
        <item x="4777"/>
        <item x="4656"/>
        <item x="3170"/>
        <item x="3092"/>
        <item x="4876"/>
        <item x="4778"/>
        <item x="994"/>
        <item x="3245"/>
        <item x="4580"/>
        <item x="369"/>
        <item x="3757"/>
        <item x="768"/>
        <item x="853"/>
        <item x="1324"/>
        <item x="2779"/>
        <item x="3906"/>
        <item x="1373"/>
        <item x="2919"/>
        <item x="1487"/>
        <item x="1676"/>
        <item x="2492"/>
        <item x="3784"/>
        <item x="3521"/>
        <item x="2662"/>
        <item x="2688"/>
        <item x="1802"/>
        <item x="3067"/>
        <item x="3740"/>
        <item x="610"/>
        <item x="1993"/>
        <item x="1030"/>
        <item x="1831"/>
        <item x="4883"/>
        <item x="2605"/>
        <item x="4643"/>
        <item x="2584"/>
        <item x="2101"/>
        <item x="3553"/>
        <item x="3739"/>
        <item x="1666"/>
        <item x="3727"/>
        <item x="3317"/>
        <item x="3744"/>
        <item x="4384"/>
        <item x="486"/>
        <item x="4080"/>
        <item x="147"/>
        <item x="196"/>
        <item x="713"/>
        <item x="841"/>
        <item x="658"/>
        <item x="1029"/>
        <item x="3127"/>
        <item x="3017"/>
        <item x="2524"/>
        <item x="1182"/>
        <item x="2441"/>
        <item x="93"/>
        <item x="2480"/>
        <item x="3692"/>
        <item x="813"/>
        <item x="3696"/>
        <item x="99"/>
        <item x="787"/>
        <item x="154"/>
        <item x="4904"/>
        <item x="1483"/>
        <item x="1053"/>
        <item x="350"/>
        <item x="4758"/>
        <item x="3347"/>
        <item x="2279"/>
        <item x="679"/>
        <item x="52"/>
        <item x="3676"/>
        <item x="2018"/>
        <item x="1139"/>
        <item x="188"/>
        <item x="1430"/>
        <item x="1975"/>
        <item x="1665"/>
        <item x="4158"/>
        <item x="1882"/>
        <item x="1277"/>
        <item x="4565"/>
        <item x="4192"/>
        <item x="1247"/>
        <item x="2485"/>
        <item x="520"/>
        <item x="1706"/>
        <item x="1813"/>
        <item x="2982"/>
        <item x="204"/>
        <item x="4030"/>
        <item x="3410"/>
        <item x="2861"/>
        <item x="490"/>
        <item x="429"/>
        <item x="357"/>
        <item x="2033"/>
        <item x="383"/>
        <item x="2368"/>
        <item x="234"/>
        <item x="611"/>
        <item x="3250"/>
        <item x="1958"/>
        <item x="2914"/>
        <item x="3338"/>
        <item x="3024"/>
        <item x="3022"/>
        <item x="2735"/>
        <item x="771"/>
        <item x="2922"/>
        <item x="1890"/>
        <item x="119"/>
        <item x="2019"/>
        <item x="31"/>
        <item x="966"/>
        <item x="2252"/>
        <item x="2179"/>
        <item x="71"/>
        <item x="1779"/>
        <item x="3228"/>
        <item x="2265"/>
        <item x="889"/>
        <item x="921"/>
        <item x="4830"/>
        <item x="430"/>
        <item x="1947"/>
        <item x="3589"/>
        <item x="2540"/>
        <item x="2545"/>
        <item x="1443"/>
        <item x="2975"/>
        <item x="1263"/>
        <item x="2097"/>
        <item x="4004"/>
        <item x="670"/>
        <item x="5001"/>
        <item x="626"/>
        <item x="2099"/>
        <item x="3940"/>
        <item x="2855"/>
        <item x="2326"/>
        <item x="2863"/>
        <item x="4033"/>
        <item x="2198"/>
        <item x="4715"/>
        <item x="2331"/>
        <item x="1567"/>
        <item x="3783"/>
        <item x="292"/>
        <item x="352"/>
        <item x="2906"/>
        <item x="3014"/>
        <item x="738"/>
        <item x="4907"/>
        <item x="1107"/>
        <item x="4794"/>
        <item x="1787"/>
        <item x="3893"/>
        <item x="417"/>
        <item x="591"/>
        <item x="513"/>
        <item x="959"/>
        <item x="2127"/>
        <item x="4629"/>
        <item x="4849"/>
        <item x="3494"/>
        <item x="1505"/>
        <item x="4946"/>
        <item x="3427"/>
        <item x="887"/>
        <item x="4663"/>
        <item x="1185"/>
        <item x="895"/>
        <item x="4173"/>
        <item x="3750"/>
        <item x="3565"/>
        <item x="2601"/>
        <item x="4316"/>
        <item x="668"/>
        <item x="139"/>
        <item x="2697"/>
        <item x="1709"/>
        <item x="18"/>
        <item x="4051"/>
        <item x="3026"/>
        <item x="1944"/>
        <item x="1235"/>
        <item x="2512"/>
        <item x="2405"/>
        <item x="1694"/>
        <item x="4522"/>
        <item x="1792"/>
        <item x="1703"/>
        <item x="2733"/>
        <item x="2958"/>
        <item x="3434"/>
        <item x="835"/>
        <item x="4334"/>
        <item x="2006"/>
        <item x="286"/>
        <item x="3105"/>
        <item x="1186"/>
        <item x="3650"/>
        <item x="1137"/>
        <item x="4887"/>
        <item x="4766"/>
        <item x="2351"/>
        <item x="3457"/>
        <item x="704"/>
        <item x="1817"/>
        <item x="522"/>
        <item x="2081"/>
        <item x="55"/>
        <item x="802"/>
        <item x="1807"/>
        <item x="1819"/>
        <item x="4534"/>
        <item x="2638"/>
        <item x="2188"/>
        <item x="3815"/>
        <item x="1752"/>
        <item x="1479"/>
        <item x="426"/>
        <item x="1136"/>
        <item x="516"/>
        <item x="1073"/>
        <item x="2960"/>
        <item x="1130"/>
        <item x="4543"/>
        <item x="4371"/>
        <item x="3500"/>
        <item x="1996"/>
        <item x="1878"/>
        <item x="477"/>
        <item x="1546"/>
        <item x="759"/>
        <item x="531"/>
        <item x="669"/>
        <item x="4987"/>
        <item x="274"/>
        <item x="2297"/>
        <item x="4513"/>
        <item x="1951"/>
        <item x="3924"/>
        <item x="2116"/>
        <item x="2191"/>
        <item x="4566"/>
        <item x="2350"/>
        <item x="1583"/>
        <item x="4337"/>
        <item x="379"/>
        <item x="718"/>
        <item x="4490"/>
        <item x="353"/>
        <item x="1418"/>
        <item x="1649"/>
        <item x="4076"/>
        <item x="1945"/>
        <item x="3093"/>
        <item x="2465"/>
        <item x="4147"/>
        <item x="643"/>
        <item x="2147"/>
        <item x="1476"/>
        <item x="4221"/>
        <item x="460"/>
        <item x="4992"/>
        <item x="4014"/>
        <item x="3549"/>
        <item x="3097"/>
        <item x="1693"/>
        <item x="3261"/>
        <item x="1032"/>
        <item x="2789"/>
        <item x="293"/>
        <item x="368"/>
        <item x="1899"/>
        <item x="3545"/>
        <item x="4822"/>
        <item x="3262"/>
        <item x="3963"/>
        <item x="3348"/>
        <item x="555"/>
        <item x="729"/>
        <item x="1921"/>
        <item x="3357"/>
        <item x="3342"/>
        <item x="2484"/>
        <item x="2396"/>
        <item x="4230"/>
        <item x="1202"/>
        <item x="4272"/>
        <item x="2143"/>
        <item x="4868"/>
        <item x="2818"/>
        <item x="4139"/>
        <item x="2415"/>
        <item x="4467"/>
        <item x="2160"/>
        <item x="2532"/>
        <item x="2120"/>
        <item x="1789"/>
        <item x="373"/>
        <item x="638"/>
        <item x="4792"/>
        <item x="3827"/>
        <item x="1290"/>
        <item x="2222"/>
        <item x="1914"/>
        <item x="740"/>
        <item x="237"/>
        <item x="3715"/>
        <item x="3169"/>
        <item x="882"/>
        <item x="4071"/>
        <item x="3030"/>
        <item x="2754"/>
        <item x="954"/>
        <item x="4644"/>
        <item x="1066"/>
        <item x="1189"/>
        <item x="4361"/>
        <item x="1660"/>
        <item x="2793"/>
        <item x="1205"/>
        <item x="2377"/>
        <item x="3925"/>
        <item x="1535"/>
        <item x="2079"/>
        <item x="1401"/>
        <item x="3525"/>
        <item x="2731"/>
        <item x="2315"/>
        <item x="1765"/>
        <item x="4753"/>
        <item x="2892"/>
        <item x="764"/>
        <item x="3942"/>
        <item x="3174"/>
        <item x="1348"/>
        <item x="971"/>
        <item x="2536"/>
        <item x="2632"/>
        <item x="4515"/>
        <item x="1905"/>
        <item x="1000"/>
        <item x="692"/>
        <item x="3780"/>
        <item x="4997"/>
        <item x="4658"/>
        <item x="1071"/>
        <item x="4558"/>
        <item x="2059"/>
        <item x="3004"/>
        <item x="1876"/>
        <item x="3803"/>
        <item x="4093"/>
        <item x="2496"/>
        <item x="3614"/>
        <item x="2017"/>
        <item x="2355"/>
        <item x="193"/>
        <item x="2617"/>
        <item x="3722"/>
        <item x="3515"/>
        <item x="4238"/>
        <item x="810"/>
        <item x="86"/>
        <item x="4527"/>
        <item x="2548"/>
        <item x="3480"/>
        <item x="2578"/>
        <item x="2823"/>
        <item x="1063"/>
        <item x="2909"/>
        <item x="4608"/>
        <item x="3586"/>
        <item x="3535"/>
        <item x="4022"/>
        <item x="34"/>
        <item x="2824"/>
        <item x="3612"/>
        <item x="114"/>
        <item x="2497"/>
        <item x="388"/>
        <item x="1055"/>
        <item x="3405"/>
        <item x="3043"/>
        <item x="1103"/>
        <item x="4630"/>
        <item x="2043"/>
        <item x="4321"/>
        <item x="77"/>
        <item x="306"/>
        <item x="4057"/>
        <item x="1399"/>
        <item x="2395"/>
        <item x="1973"/>
        <item x="2692"/>
        <item x="4476"/>
        <item x="3861"/>
        <item x="4008"/>
        <item x="3915"/>
        <item x="3807"/>
        <item x="782"/>
        <item x="3322"/>
        <item x="347"/>
        <item x="2684"/>
        <item x="374"/>
        <item x="3180"/>
        <item x="2678"/>
        <item x="2682"/>
        <item x="3670"/>
        <item x="3725"/>
        <item x="5000"/>
        <item x="3705"/>
        <item x="20"/>
        <item x="1342"/>
        <item x="275"/>
        <item x="2689"/>
        <item x="2091"/>
        <item x="2319"/>
        <item x="696"/>
        <item x="2651"/>
        <item x="3887"/>
        <item x="49"/>
        <item x="567"/>
        <item x="2677"/>
        <item x="757"/>
        <item x="2371"/>
        <item x="3591"/>
        <item x="3862"/>
        <item x="3595"/>
        <item x="167"/>
        <item x="3184"/>
        <item x="1386"/>
        <item x="3843"/>
        <item x="4369"/>
        <item x="4187"/>
        <item x="4815"/>
        <item x="1318"/>
        <item x="4462"/>
        <item x="3210"/>
        <item x="2635"/>
        <item x="4617"/>
        <item x="1513"/>
        <item x="4157"/>
        <item x="1118"/>
        <item x="2448"/>
        <item x="1636"/>
        <item x="1602"/>
        <item x="4362"/>
        <item x="4928"/>
        <item x="319"/>
        <item x="1966"/>
        <item x="2996"/>
        <item x="273"/>
        <item x="778"/>
        <item x="2650"/>
        <item x="1511"/>
        <item x="1217"/>
        <item x="4945"/>
        <item x="3336"/>
        <item x="1549"/>
        <item x="2663"/>
        <item x="4790"/>
        <item x="933"/>
        <item x="619"/>
        <item x="2197"/>
        <item x="4227"/>
        <item x="2795"/>
        <item x="4489"/>
        <item x="3038"/>
        <item x="4668"/>
        <item x="1758"/>
        <item x="138"/>
        <item x="3921"/>
        <item x="3888"/>
        <item x="2564"/>
        <item x="2287"/>
        <item x="3728"/>
        <item x="1102"/>
        <item x="1530"/>
        <item x="4908"/>
        <item x="4951"/>
        <item x="530"/>
        <item x="3604"/>
        <item x="1887"/>
        <item x="1364"/>
        <item x="1998"/>
        <item x="3213"/>
        <item x="1980"/>
        <item x="837"/>
        <item x="3562"/>
        <item x="1291"/>
        <item x="3681"/>
        <item x="4025"/>
        <item x="3047"/>
        <item x="3406"/>
        <item x="4006"/>
        <item x="1861"/>
        <item x="1713"/>
        <item x="4542"/>
        <item x="3844"/>
        <item x="4478"/>
        <item x="2309"/>
        <item x="60"/>
        <item x="1591"/>
        <item x="4121"/>
        <item x="1040"/>
        <item x="850"/>
        <item x="2686"/>
        <item x="3315"/>
        <item x="2895"/>
        <item x="1978"/>
        <item x="288"/>
        <item x="1642"/>
        <item x="2751"/>
        <item x="3765"/>
        <item x="4446"/>
        <item x="1064"/>
        <item x="3441"/>
        <item x="3389"/>
        <item x="4306"/>
        <item x="3182"/>
        <item x="862"/>
        <item x="501"/>
        <item x="2253"/>
        <item x="3221"/>
        <item x="1187"/>
        <item x="711"/>
        <item x="2357"/>
        <item x="2904"/>
        <item x="2088"/>
        <item x="2508"/>
        <item x="3551"/>
        <item x="3568"/>
        <item x="3760"/>
        <item x="472"/>
        <item x="671"/>
        <item x="1759"/>
        <item x="3945"/>
        <item x="4268"/>
        <item x="4671"/>
        <item x="4637"/>
        <item x="3021"/>
        <item x="4161"/>
        <item x="3195"/>
        <item x="4626"/>
        <item x="3711"/>
        <item x="571"/>
        <item x="4313"/>
        <item x="1681"/>
        <item x="4893"/>
        <item x="1310"/>
        <item x="4493"/>
        <item x="484"/>
        <item x="4330"/>
        <item x="2098"/>
        <item x="774"/>
        <item x="4720"/>
        <item x="437"/>
        <item x="1637"/>
        <item x="4878"/>
        <item x="3049"/>
        <item x="2434"/>
        <item x="1977"/>
        <item x="3288"/>
        <item x="4048"/>
        <item x="1454"/>
        <item x="767"/>
        <item x="972"/>
        <item x="4264"/>
        <item x="1323"/>
        <item x="3023"/>
        <item x="1824"/>
        <item x="1334"/>
        <item x="2833"/>
        <item x="2003"/>
        <item x="4788"/>
        <item x="1070"/>
        <item x="2592"/>
        <item x="358"/>
        <item x="790"/>
        <item x="798"/>
        <item x="2604"/>
        <item x="1551"/>
        <item x="3112"/>
        <item x="2661"/>
        <item x="2736"/>
        <item x="2932"/>
        <item x="4298"/>
        <item x="2278"/>
        <item x="1644"/>
        <item x="4287"/>
        <item x="4986"/>
        <item x="906"/>
        <item x="3171"/>
        <item x="3969"/>
        <item x="3526"/>
        <item x="4363"/>
        <item x="2313"/>
        <item x="899"/>
        <item x="1309"/>
        <item x="821"/>
        <item x="1265"/>
        <item x="788"/>
        <item x="1956"/>
        <item x="2853"/>
        <item x="2910"/>
        <item x="596"/>
        <item x="3761"/>
        <item x="4544"/>
        <item x="4983"/>
        <item x="473"/>
        <item x="1275"/>
        <item x="3234"/>
        <item x="3975"/>
        <item x="2589"/>
        <item x="2046"/>
        <item x="1556"/>
        <item x="30"/>
        <item x="2483"/>
        <item x="4379"/>
        <item x="4538"/>
        <item x="4554"/>
        <item x="458"/>
        <item x="1184"/>
        <item x="3961"/>
        <item x="2124"/>
        <item x="3491"/>
        <item x="641"/>
        <item x="2896"/>
        <item x="1450"/>
        <item x="3981"/>
        <item x="3599"/>
        <item x="3999"/>
        <item x="3186"/>
        <item x="497"/>
        <item x="4850"/>
        <item x="3470"/>
        <item x="2745"/>
        <item x="2633"/>
        <item x="3479"/>
        <item x="1785"/>
        <item x="4108"/>
        <item x="4897"/>
        <item x="2189"/>
        <item x="1225"/>
        <item x="3754"/>
        <item x="1203"/>
        <item x="4299"/>
        <item x="261"/>
        <item x="4380"/>
        <item x="1545"/>
        <item x="4523"/>
        <item x="514"/>
        <item x="1069"/>
        <item x="3057"/>
        <item x="2923"/>
        <item x="3864"/>
        <item x="1786"/>
        <item x="245"/>
        <item x="570"/>
        <item x="1874"/>
        <item x="1402"/>
        <item x="1777"/>
        <item x="4347"/>
        <item x="1560"/>
        <item x="4900"/>
        <item x="4056"/>
        <item x="2624"/>
        <item x="4138"/>
        <item x="1312"/>
        <item x="1199"/>
        <item x="957"/>
        <item x="1367"/>
        <item x="3820"/>
        <item x="363"/>
        <item x="3242"/>
        <item x="3770"/>
        <item x="4216"/>
        <item x="1087"/>
        <item x="2811"/>
        <item x="4582"/>
        <item x="4185"/>
        <item x="1351"/>
        <item x="4102"/>
        <item x="3191"/>
        <item x="392"/>
        <item x="349"/>
        <item x="271"/>
        <item x="4374"/>
        <item x="3602"/>
        <item x="2121"/>
        <item x="4210"/>
        <item x="3158"/>
        <item x="797"/>
        <item x="2227"/>
        <item x="1488"/>
        <item x="313"/>
        <item x="4204"/>
        <item x="105"/>
        <item x="4708"/>
        <item x="4620"/>
        <item x="1550"/>
        <item x="1152"/>
        <item x="4649"/>
        <item x="2759"/>
        <item x="1233"/>
        <item x="1091"/>
        <item x="3633"/>
        <item x="4261"/>
        <item x="4370"/>
        <item x="3130"/>
        <item x="3598"/>
        <item x="602"/>
        <item x="1933"/>
        <item x="3700"/>
        <item x="4263"/>
        <item x="63"/>
        <item x="4561"/>
        <item x="1828"/>
        <item x="4842"/>
        <item x="3804"/>
        <item x="446"/>
        <item x="597"/>
        <item x="3748"/>
        <item x="232"/>
        <item x="248"/>
        <item x="504"/>
        <item x="3471"/>
        <item x="4575"/>
        <item x="4801"/>
        <item x="2864"/>
        <item x="2763"/>
        <item x="3605"/>
        <item x="2209"/>
        <item x="728"/>
        <item x="3851"/>
        <item x="961"/>
        <item x="2221"/>
        <item x="1726"/>
        <item x="1009"/>
        <item x="4443"/>
        <item x="840"/>
        <item x="2117"/>
        <item x="1739"/>
        <item x="1733"/>
        <item x="270"/>
        <item x="4947"/>
        <item x="3091"/>
        <item x="1656"/>
        <item x="2364"/>
        <item x="4001"/>
        <item x="4588"/>
        <item x="3792"/>
        <item x="3912"/>
        <item x="2700"/>
        <item x="178"/>
        <item x="157"/>
        <item x="483"/>
        <item x="4415"/>
        <item x="2566"/>
        <item x="239"/>
        <item x="4666"/>
        <item x="4017"/>
        <item x="1123"/>
        <item x="1269"/>
        <item x="2608"/>
        <item x="1767"/>
        <item x="4508"/>
        <item x="592"/>
        <item x="1355"/>
        <item x="2696"/>
        <item x="2346"/>
        <item x="4148"/>
        <item x="2321"/>
        <item x="3557"/>
        <item x="1300"/>
        <item x="4077"/>
        <item x="562"/>
        <item x="1361"/>
        <item x="1385"/>
        <item x="1708"/>
        <item x="1344"/>
        <item x="1048"/>
        <item x="2890"/>
        <item x="3648"/>
        <item x="3773"/>
        <item x="2260"/>
        <item x="3797"/>
        <item x="3968"/>
        <item x="2703"/>
        <item x="56"/>
        <item x="1059"/>
        <item x="2921"/>
        <item x="1612"/>
        <item x="3776"/>
        <item x="941"/>
        <item x="2675"/>
        <item x="791"/>
        <item x="1988"/>
        <item x="3654"/>
        <item x="4654"/>
        <item x="3666"/>
        <item x="3223"/>
        <item x="2772"/>
        <item x="2765"/>
        <item x="1746"/>
        <item x="3923"/>
        <item x="1250"/>
        <item x="1668"/>
        <item x="3990"/>
        <item x="2888"/>
        <item x="3433"/>
        <item x="528"/>
        <item x="2150"/>
        <item x="4117"/>
        <item x="1243"/>
        <item x="1617"/>
        <item x="914"/>
        <item x="3587"/>
        <item x="1167"/>
        <item x="1192"/>
        <item x="1456"/>
        <item x="4385"/>
        <item x="2547"/>
        <item x="3496"/>
        <item x="2068"/>
        <item x="3907"/>
        <item x="2362"/>
        <item x="1325"/>
        <item x="4705"/>
        <item x="777"/>
        <item x="2426"/>
        <item x="2995"/>
        <item x="1415"/>
        <item x="1038"/>
        <item x="1117"/>
        <item x="4359"/>
        <item x="3628"/>
        <item x="1916"/>
        <item x="4175"/>
        <item x="4529"/>
        <item x="4729"/>
        <item x="2648"/>
        <item x="1442"/>
        <item x="2734"/>
        <item x="2067"/>
        <item x="3977"/>
        <item x="4770"/>
        <item x="500"/>
        <item x="870"/>
        <item x="190"/>
        <item x="3415"/>
        <item x="3081"/>
        <item x="1912"/>
        <item x="221"/>
        <item x="3837"/>
        <item x="2447"/>
        <item x="396"/>
        <item x="2959"/>
        <item x="4389"/>
        <item x="4936"/>
        <item x="174"/>
        <item x="442"/>
        <item x="4168"/>
        <item x="4222"/>
        <item x="747"/>
        <item x="649"/>
        <item x="385"/>
        <item x="11"/>
        <item x="3028"/>
        <item x="839"/>
        <item x="786"/>
        <item x="805"/>
        <item x="3995"/>
        <item x="4874"/>
        <item x="4217"/>
        <item x="94"/>
        <item x="2934"/>
        <item x="4959"/>
        <item x="2332"/>
        <item x="1870"/>
        <item x="2670"/>
        <item x="3204"/>
        <item x="1041"/>
        <item x="1814"/>
        <item x="3688"/>
        <item x="4331"/>
        <item x="752"/>
        <item x="1495"/>
        <item x="4130"/>
        <item x="830"/>
        <item x="3413"/>
        <item x="2790"/>
        <item x="169"/>
        <item x="2234"/>
        <item x="4696"/>
        <item x="398"/>
        <item x="4865"/>
        <item x="3087"/>
        <item x="3938"/>
        <item x="4579"/>
        <item x="4932"/>
        <item x="1417"/>
        <item x="4516"/>
        <item x="1363"/>
        <item x="518"/>
        <item x="494"/>
        <item x="4471"/>
        <item x="634"/>
        <item x="3865"/>
        <item x="4439"/>
        <item x="1931"/>
        <item x="4999"/>
        <item x="3607"/>
        <item x="492"/>
        <item x="2409"/>
        <item x="185"/>
        <item x="181"/>
        <item x="4119"/>
        <item x="3302"/>
        <item x="1414"/>
        <item x="1237"/>
        <item x="1522"/>
        <item x="1803"/>
        <item x="4888"/>
        <item x="1135"/>
        <item x="3259"/>
        <item x="1049"/>
        <item x="1297"/>
        <item x="3743"/>
        <item x="4174"/>
        <item x="1331"/>
        <item x="2269"/>
        <item x="4054"/>
        <item x="2211"/>
        <item x="1253"/>
        <item x="2062"/>
        <item x="3487"/>
        <item x="250"/>
        <item x="984"/>
        <item x="35"/>
        <item x="1869"/>
        <item x="324"/>
        <item x="1421"/>
        <item x="593"/>
        <item x="1863"/>
        <item x="1537"/>
        <item x="4652"/>
        <item x="1098"/>
        <item x="4833"/>
        <item x="3278"/>
        <item x="387"/>
        <item x="378"/>
        <item x="1582"/>
        <item x="410"/>
        <item x="2840"/>
        <item x="5007"/>
        <item x="676"/>
        <item x="42"/>
        <item x="1129"/>
        <item x="2757"/>
        <item x="3350"/>
        <item x="3895"/>
        <item x="235"/>
        <item x="4941"/>
        <item x="976"/>
        <item x="3013"/>
        <item x="920"/>
        <item x="3675"/>
        <item x="3485"/>
        <item x="753"/>
        <item x="1147"/>
        <item x="2843"/>
        <item x="3367"/>
        <item x="3791"/>
        <item x="1781"/>
        <item x="4045"/>
        <item x="2771"/>
        <item x="3484"/>
        <item x="2163"/>
        <item x="3124"/>
        <item x="5011"/>
        <item x="673"/>
        <item x="1575"/>
        <item x="3341"/>
        <item x="2873"/>
        <item x="940"/>
        <item x="944"/>
        <item x="465"/>
        <item x="981"/>
        <item x="2655"/>
        <item x="4345"/>
        <item x="1126"/>
        <item x="872"/>
        <item x="4372"/>
        <item x="717"/>
        <item x="4416"/>
        <item x="2487"/>
        <item x="600"/>
        <item x="685"/>
        <item x="3732"/>
        <item x="3290"/>
        <item x="4873"/>
        <item x="4694"/>
        <item x="3723"/>
        <item x="942"/>
        <item x="151"/>
        <item x="1316"/>
        <item x="874"/>
        <item x="4435"/>
        <item x="3282"/>
        <item x="3564"/>
        <item x="3520"/>
        <item x="1566"/>
        <item x="1540"/>
        <item x="79"/>
        <item x="4453"/>
        <item x="776"/>
        <item x="1337"/>
        <item x="1338"/>
        <item x="3910"/>
        <item x="4925"/>
        <item x="3266"/>
        <item x="1273"/>
        <item x="1542"/>
        <item x="342"/>
        <item x="750"/>
        <item x="3560"/>
        <item x="1159"/>
        <item x="377"/>
        <item x="4673"/>
        <item x="761"/>
        <item x="208"/>
        <item x="3544"/>
        <item x="4269"/>
        <item x="3215"/>
        <item x="2844"/>
        <item x="3489"/>
        <item x="2514"/>
        <item x="878"/>
        <item x="2229"/>
        <item x="2244"/>
        <item x="3453"/>
        <item x="2905"/>
        <item x="4731"/>
        <item x="1631"/>
        <item x="2372"/>
        <item x="860"/>
        <item x="3311"/>
        <item x="1357"/>
        <item x="1175"/>
        <item x="1868"/>
        <item x="3118"/>
        <item x="1679"/>
        <item x="64"/>
        <item x="1144"/>
        <item x="4970"/>
        <item x="2009"/>
        <item x="4249"/>
        <item x="1663"/>
        <item x="4793"/>
        <item x="4456"/>
        <item x="1226"/>
        <item x="2911"/>
        <item x="1349"/>
        <item x="630"/>
        <item x="3518"/>
        <item x="4425"/>
        <item x="3944"/>
        <item x="1514"/>
        <item x="1866"/>
        <item x="1627"/>
        <item x="1800"/>
        <item x="2792"/>
        <item x="2049"/>
        <item x="1680"/>
        <item x="651"/>
        <item x="1724"/>
        <item x="4750"/>
        <item x="2325"/>
        <item x="4276"/>
        <item x="4568"/>
        <item x="1755"/>
        <item x="4950"/>
        <item x="137"/>
        <item x="3501"/>
        <item x="4177"/>
        <item x="415"/>
        <item x="918"/>
        <item x="17"/>
        <item x="1974"/>
        <item x="1987"/>
        <item x="4058"/>
        <item x="2876"/>
        <item x="3202"/>
        <item x="2507"/>
        <item x="3721"/>
        <item x="3297"/>
        <item x="3504"/>
        <item x="4848"/>
        <item x="2574"/>
        <item x="4252"/>
        <item x="259"/>
        <item x="3772"/>
        <item x="4975"/>
        <item x="3361"/>
        <item x="3481"/>
        <item x="3624"/>
        <item x="206"/>
        <item x="1538"/>
        <item x="4810"/>
        <item x="1051"/>
        <item x="3929"/>
        <item x="1741"/>
        <item x="2161"/>
        <item x="309"/>
        <item x="932"/>
        <item x="78"/>
        <item x="4933"/>
        <item x="1015"/>
        <item x="707"/>
        <item x="828"/>
        <item x="4318"/>
        <item x="4797"/>
        <item x="4691"/>
        <item x="2841"/>
        <item x="1712"/>
        <item x="4069"/>
        <item x="1426"/>
        <item x="4070"/>
        <item x="380"/>
        <item x="553"/>
        <item x="2984"/>
        <item x="725"/>
        <item x="1446"/>
        <item x="3534"/>
        <item x="1333"/>
        <item x="2158"/>
        <item x="2177"/>
        <item x="2102"/>
        <item x="3871"/>
        <item x="3010"/>
        <item x="13"/>
        <item x="807"/>
        <item x="3687"/>
        <item x="3409"/>
        <item x="995"/>
        <item x="1340"/>
        <item x="2126"/>
        <item x="2643"/>
        <item x="2611"/>
        <item x="1406"/>
        <item x="519"/>
        <item x="2093"/>
        <item x="3461"/>
        <item x="812"/>
        <item x="1054"/>
        <item x="1173"/>
        <item x="3627"/>
        <item x="3983"/>
        <item x="3209"/>
        <item x="213"/>
        <item x="4179"/>
        <item x="632"/>
        <item x="3527"/>
        <item x="1732"/>
        <item x="1850"/>
        <item x="851"/>
        <item x="1571"/>
        <item x="1400"/>
        <item x="877"/>
        <item x="4738"/>
        <item x="1031"/>
        <item x="1122"/>
        <item x="2526"/>
        <item x="2783"/>
        <item x="1614"/>
        <item x="3768"/>
        <item x="635"/>
        <item x="4879"/>
        <item x="4463"/>
        <item x="706"/>
        <item x="2430"/>
        <item x="913"/>
        <item x="1097"/>
        <item x="3882"/>
        <item x="1156"/>
        <item x="3089"/>
        <item x="4541"/>
        <item t="default"/>
      </items>
    </pivotField>
    <pivotField showAll="0"/>
    <pivotField showAll="0">
      <items count="52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t="default"/>
      </items>
    </pivotField>
    <pivotField dataField="1" showAll="0"/>
    <pivotField showAll="0" sortType="ascending">
      <items count="28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</pivotFields>
  <rowItems count="1">
    <i/>
  </rowItems>
  <colItems count="1">
    <i/>
  </colItems>
  <dataFields count="1">
    <dataField name="Avg growth %" fld="4" subtotal="average" baseField="0" baseItem="0" numFmtId="165"/>
  </dataFields>
  <formats count="23">
    <format dxfId="132">
      <pivotArea field="5" type="button" dataOnly="0" labelOnly="1" outline="0"/>
    </format>
    <format dxfId="131">
      <pivotArea dataOnly="0" labelOnly="1" outline="0" axis="axisValues" fieldPosition="0"/>
    </format>
    <format dxfId="130">
      <pivotArea field="5" type="button" dataOnly="0" labelOnly="1" outline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5" type="button" dataOnly="0" labelOnly="1" outline="0"/>
    </format>
    <format dxfId="125">
      <pivotArea dataOnly="0" labelOnly="1" outline="0" axis="axisValues" fieldPosition="0"/>
    </format>
    <format dxfId="124">
      <pivotArea outline="0" collapsedLevelsAreSubtotals="1" fieldPosition="0"/>
    </format>
    <format dxfId="123">
      <pivotArea outline="0" fieldPosition="0">
        <references count="1">
          <reference field="4294967294" count="1">
            <x v="0"/>
          </reference>
        </references>
      </pivotArea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  <format dxfId="110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459F25-00BD-44F9-9C6F-B4007F751008}" autoFormatId="16" applyNumberFormats="0" applyBorderFormats="0" applyFontFormats="0" applyPatternFormats="0" applyAlignmentFormats="0" applyWidthHeightFormats="0">
  <queryTableRefresh nextId="16" unboundColumnsRight="3">
    <queryTableFields count="13">
      <queryTableField id="1" name="rank" tableColumnId="1"/>
      <queryTableField id="2" name="name" tableColumnId="2"/>
      <queryTableField id="4" name="revenue" tableColumnId="4"/>
      <queryTableField id="3" name="state" tableColumnId="3"/>
      <queryTableField id="5" name="growth_%" tableColumnId="5"/>
      <queryTableField id="6" name="industry" tableColumnId="6"/>
      <queryTableField id="7" name="workers" tableColumnId="7"/>
      <queryTableField id="8" name="previous_workers" tableColumnId="8"/>
      <queryTableField id="9" name="founded" tableColumnId="9"/>
      <queryTableField id="10" name="yrs_on_list" tableColumnId="10"/>
      <queryTableField id="12" dataBound="0" tableColumnId="11"/>
      <queryTableField id="15" dataBound="0" tableColumnId="15"/>
      <queryTableField id="14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2D12-C797-4F9B-B1E8-E2FA3066CAEA}" name="Tb_data" displayName="Tb_data" ref="A1:M5013" tableType="queryTable" totalsRowShown="0">
  <autoFilter ref="A1:M5013" xr:uid="{71B12D12-C797-4F9B-B1E8-E2FA3066CAEA}"/>
  <sortState xmlns:xlrd2="http://schemas.microsoft.com/office/spreadsheetml/2017/richdata2" ref="A2:M5013">
    <sortCondition ref="B1:B5013"/>
  </sortState>
  <tableColumns count="13">
    <tableColumn id="1" xr3:uid="{8CF5FC63-559B-430A-92C4-A33801F84C42}" uniqueName="1" name="rank" queryTableFieldId="1" dataDxfId="32"/>
    <tableColumn id="2" xr3:uid="{830062E9-9279-4899-B44A-7372B614D8E1}" uniqueName="2" name="name" queryTableFieldId="2" dataDxfId="31"/>
    <tableColumn id="4" xr3:uid="{191598A5-0C2D-4C72-A2B1-82139F389540}" uniqueName="4" name="Revenue" queryTableFieldId="4" dataDxfId="30"/>
    <tableColumn id="3" xr3:uid="{B647FFCB-DDC7-4D66-9C24-F13902A558B5}" uniqueName="3" name="state" queryTableFieldId="3" dataDxfId="29"/>
    <tableColumn id="5" xr3:uid="{C322C831-E69F-4AD4-AF3E-D86DBBC87CB3}" uniqueName="5" name="growth_%" queryTableFieldId="5"/>
    <tableColumn id="6" xr3:uid="{B06EDA29-BFDB-415A-934A-C0855C689019}" uniqueName="6" name="industry" queryTableFieldId="6" dataDxfId="28"/>
    <tableColumn id="7" xr3:uid="{E155FD1A-4860-4CD8-9AD8-64D5FA139753}" uniqueName="7" name="workers" queryTableFieldId="7"/>
    <tableColumn id="8" xr3:uid="{06EBBE2E-FE7E-42ED-9DAE-A267CD27C50F}" uniqueName="8" name="previous_workers" queryTableFieldId="8"/>
    <tableColumn id="9" xr3:uid="{1D342143-F1C1-4830-80EA-CABCC2AF80DE}" uniqueName="9" name="founded" queryTableFieldId="9" dataDxfId="27"/>
    <tableColumn id="10" xr3:uid="{0DDE8900-E5EA-4CC9-87BB-14310C43C7E6}" uniqueName="10" name="yrs_on_list" queryTableFieldId="10"/>
    <tableColumn id="11" xr3:uid="{312FF1D9-6EE0-4574-B423-5754FEF52872}" uniqueName="11" name="Employees Growth (yes/no)" queryTableFieldId="12">
      <calculatedColumnFormula>IF(Tb_data[[#This Row],[previous_workers]]&lt;Tb_data[[#This Row],[workers]],"yes","no")</calculatedColumnFormula>
    </tableColumn>
    <tableColumn id="15" xr3:uid="{4DA0E034-64F9-488B-B1E9-D80F6ED8C508}" uniqueName="15" name="Employees Growth" queryTableFieldId="15">
      <calculatedColumnFormula>Tb_data[[#This Row],[workers]]-Tb_data[[#This Row],[previous_workers]]</calculatedColumnFormula>
    </tableColumn>
    <tableColumn id="13" xr3:uid="{0FC48B32-A265-4B88-80C0-223AC9DD16E3}" uniqueName="13" name="Employees Growth %" queryTableFieldId="14" dataDxfId="26">
      <calculatedColumnFormula>Tb_data[[#This Row],[Employees Growth]]/Tb_data[[#This Row],[previous_workers]]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475B-599F-40D7-B3C5-8FA6E480CE9B}">
  <dimension ref="A1:M33"/>
  <sheetViews>
    <sheetView showGridLines="0" tabSelected="1" workbookViewId="0">
      <selection activeCell="C2" sqref="C2"/>
    </sheetView>
  </sheetViews>
  <sheetFormatPr defaultRowHeight="15" x14ac:dyDescent="0.25"/>
  <cols>
    <col min="1" max="1" width="29.85546875" bestFit="1" customWidth="1"/>
    <col min="2" max="2" width="22" bestFit="1" customWidth="1"/>
    <col min="3" max="4" width="9.7109375" bestFit="1" customWidth="1"/>
    <col min="5" max="7" width="19.28515625" bestFit="1" customWidth="1"/>
    <col min="8" max="8" width="16.28515625" bestFit="1" customWidth="1"/>
    <col min="9" max="9" width="27.7109375" bestFit="1" customWidth="1"/>
    <col min="10" max="10" width="15.7109375" customWidth="1"/>
    <col min="11" max="11" width="23.42578125" bestFit="1" customWidth="1"/>
    <col min="12" max="12" width="18.7109375" bestFit="1" customWidth="1"/>
    <col min="13" max="13" width="22.7109375" bestFit="1" customWidth="1"/>
    <col min="14" max="14" width="18.7109375" bestFit="1" customWidth="1"/>
    <col min="15" max="15" width="23.42578125" bestFit="1" customWidth="1"/>
    <col min="16" max="16" width="18.7109375" bestFit="1" customWidth="1"/>
    <col min="17" max="17" width="23.42578125" bestFit="1" customWidth="1"/>
    <col min="18" max="18" width="16.7109375" bestFit="1" customWidth="1"/>
    <col min="19" max="19" width="22.7109375" bestFit="1" customWidth="1"/>
    <col min="20" max="21" width="25.140625" bestFit="1" customWidth="1"/>
    <col min="22" max="45" width="6.7109375" bestFit="1" customWidth="1"/>
    <col min="46" max="767" width="7.85546875" bestFit="1" customWidth="1"/>
    <col min="768" max="1666" width="9" bestFit="1" customWidth="1"/>
    <col min="1667" max="1775" width="10.140625" bestFit="1" customWidth="1"/>
    <col min="1776" max="1777" width="11.28515625" bestFit="1" customWidth="1"/>
    <col min="1778" max="1778" width="12.42578125" bestFit="1" customWidth="1"/>
    <col min="1779" max="1779" width="12.5703125" bestFit="1" customWidth="1"/>
  </cols>
  <sheetData>
    <row r="1" spans="1:13" ht="21.75" customHeight="1" thickBot="1" x14ac:dyDescent="0.4">
      <c r="A1" s="28" t="s">
        <v>10106</v>
      </c>
      <c r="B1" s="28"/>
      <c r="E1" s="30" t="s">
        <v>10120</v>
      </c>
      <c r="F1" s="30"/>
      <c r="G1" s="30"/>
      <c r="H1" s="30"/>
      <c r="I1" s="30"/>
      <c r="J1" s="21"/>
      <c r="K1" s="31" t="s">
        <v>10111</v>
      </c>
      <c r="L1" s="31"/>
      <c r="M1" s="31"/>
    </row>
    <row r="2" spans="1:13" ht="19.5" thickBot="1" x14ac:dyDescent="0.3">
      <c r="A2" s="4" t="s">
        <v>10099</v>
      </c>
      <c r="B2" s="5" t="s">
        <v>10105</v>
      </c>
      <c r="E2" s="18" t="s">
        <v>10101</v>
      </c>
      <c r="F2" s="19" t="s">
        <v>10116</v>
      </c>
      <c r="G2" s="18" t="s">
        <v>10117</v>
      </c>
      <c r="H2" s="18" t="s">
        <v>10118</v>
      </c>
      <c r="I2" s="18" t="s">
        <v>10119</v>
      </c>
      <c r="J2" s="22"/>
      <c r="K2" s="32"/>
      <c r="L2" s="32"/>
      <c r="M2" s="32"/>
    </row>
    <row r="3" spans="1:13" ht="18.75" x14ac:dyDescent="0.25">
      <c r="A3" s="6" t="s">
        <v>152</v>
      </c>
      <c r="B3" s="7">
        <v>123747761.19402985</v>
      </c>
      <c r="E3" s="23">
        <v>5012</v>
      </c>
      <c r="F3" s="24">
        <v>51</v>
      </c>
      <c r="G3" s="25">
        <v>47470830.007980846</v>
      </c>
      <c r="H3" s="26">
        <v>454.68005885873868</v>
      </c>
      <c r="I3" s="27">
        <v>242.7830772300938</v>
      </c>
      <c r="J3" s="20"/>
      <c r="K3" s="15" t="s">
        <v>10100</v>
      </c>
      <c r="L3" s="16" t="s">
        <v>10110</v>
      </c>
      <c r="M3" s="16" t="s">
        <v>10112</v>
      </c>
    </row>
    <row r="4" spans="1:13" ht="15.75" x14ac:dyDescent="0.25">
      <c r="A4" s="6" t="s">
        <v>34</v>
      </c>
      <c r="B4" s="7">
        <v>109330056.17977528</v>
      </c>
      <c r="K4" s="6" t="s">
        <v>3360</v>
      </c>
      <c r="L4" s="14">
        <v>118531</v>
      </c>
      <c r="M4" s="13">
        <v>3.250185088705476</v>
      </c>
    </row>
    <row r="5" spans="1:13" ht="15.75" x14ac:dyDescent="0.25">
      <c r="A5" s="6" t="s">
        <v>17</v>
      </c>
      <c r="B5" s="7">
        <v>101293010.75268817</v>
      </c>
      <c r="K5" s="6" t="s">
        <v>7580</v>
      </c>
      <c r="L5" s="14">
        <v>43000</v>
      </c>
      <c r="M5" s="13">
        <v>0.81132075471698117</v>
      </c>
    </row>
    <row r="6" spans="1:13" ht="15.75" x14ac:dyDescent="0.25">
      <c r="A6" s="6" t="s">
        <v>94</v>
      </c>
      <c r="B6" s="7">
        <v>80221794.871794865</v>
      </c>
      <c r="K6" s="6" t="s">
        <v>6883</v>
      </c>
      <c r="L6" s="14">
        <v>37145</v>
      </c>
      <c r="M6" s="13">
        <v>1.7688095238095238</v>
      </c>
    </row>
    <row r="7" spans="1:13" ht="15.75" x14ac:dyDescent="0.25">
      <c r="A7" s="6" t="s">
        <v>161</v>
      </c>
      <c r="B7" s="7">
        <v>73582165.605095536</v>
      </c>
      <c r="K7" s="6" t="s">
        <v>2788</v>
      </c>
      <c r="L7" s="14">
        <v>13739</v>
      </c>
      <c r="M7" s="13">
        <v>13.863773965691221</v>
      </c>
    </row>
    <row r="8" spans="1:13" ht="15.75" x14ac:dyDescent="0.25">
      <c r="A8" s="6" t="s">
        <v>25</v>
      </c>
      <c r="B8" s="7">
        <v>72073650.793650791</v>
      </c>
      <c r="K8" s="6" t="s">
        <v>6422</v>
      </c>
      <c r="L8" s="14">
        <v>11641</v>
      </c>
      <c r="M8" s="13">
        <v>1.2995088189327975</v>
      </c>
    </row>
    <row r="9" spans="1:13" ht="15.75" x14ac:dyDescent="0.25">
      <c r="A9" s="6" t="s">
        <v>30</v>
      </c>
      <c r="B9" s="7">
        <v>66552760.736196317</v>
      </c>
      <c r="K9" s="6" t="s">
        <v>2345</v>
      </c>
      <c r="L9" s="14">
        <v>9198</v>
      </c>
      <c r="M9" s="13">
        <v>1.8771428571428572</v>
      </c>
    </row>
    <row r="10" spans="1:13" ht="15.75" x14ac:dyDescent="0.25">
      <c r="A10" s="6" t="s">
        <v>97</v>
      </c>
      <c r="B10" s="7">
        <v>59391949.152542375</v>
      </c>
      <c r="K10" s="6" t="s">
        <v>8296</v>
      </c>
      <c r="L10" s="14">
        <v>6494</v>
      </c>
      <c r="M10" s="13">
        <v>0.89486013504202844</v>
      </c>
    </row>
    <row r="11" spans="1:13" ht="15.75" x14ac:dyDescent="0.25">
      <c r="A11" s="6" t="s">
        <v>172</v>
      </c>
      <c r="B11" s="7">
        <v>58742857.142857142</v>
      </c>
      <c r="K11" s="6" t="s">
        <v>947</v>
      </c>
      <c r="L11" s="14">
        <v>4174</v>
      </c>
      <c r="M11" s="13">
        <v>10.487437185929648</v>
      </c>
    </row>
    <row r="12" spans="1:13" ht="15.75" x14ac:dyDescent="0.25">
      <c r="A12" s="6" t="s">
        <v>124</v>
      </c>
      <c r="B12" s="7">
        <v>58422571.428571425</v>
      </c>
      <c r="K12" s="6" t="s">
        <v>5931</v>
      </c>
      <c r="L12" s="14">
        <v>3500</v>
      </c>
      <c r="M12" s="13">
        <v>3.5</v>
      </c>
    </row>
    <row r="13" spans="1:13" ht="15.75" x14ac:dyDescent="0.25">
      <c r="A13" s="2"/>
      <c r="B13" s="3"/>
      <c r="K13" s="6" t="s">
        <v>10045</v>
      </c>
      <c r="L13" s="14">
        <v>3356</v>
      </c>
      <c r="M13" s="13">
        <v>0.4769755542922115</v>
      </c>
    </row>
    <row r="14" spans="1:13" ht="16.5" thickBot="1" x14ac:dyDescent="0.3">
      <c r="A14" s="28" t="s">
        <v>10102</v>
      </c>
      <c r="B14" s="28"/>
    </row>
    <row r="15" spans="1:13" ht="15.75" x14ac:dyDescent="0.25">
      <c r="A15" s="8" t="s">
        <v>10099</v>
      </c>
      <c r="B15" s="5" t="s">
        <v>10101</v>
      </c>
    </row>
    <row r="16" spans="1:13" ht="16.5" thickBot="1" x14ac:dyDescent="0.3">
      <c r="A16" s="6" t="s">
        <v>176</v>
      </c>
      <c r="B16" s="9">
        <v>492</v>
      </c>
      <c r="K16" s="29" t="s">
        <v>10115</v>
      </c>
      <c r="L16" s="29"/>
      <c r="M16" s="17"/>
    </row>
    <row r="17" spans="1:12" ht="15.75" x14ac:dyDescent="0.25">
      <c r="A17" s="6" t="s">
        <v>12</v>
      </c>
      <c r="B17" s="9">
        <v>489</v>
      </c>
      <c r="K17" s="11" t="s">
        <v>10114</v>
      </c>
      <c r="L17" s="5" t="s">
        <v>10101</v>
      </c>
    </row>
    <row r="18" spans="1:12" ht="15.75" x14ac:dyDescent="0.25">
      <c r="A18" s="6" t="s">
        <v>86</v>
      </c>
      <c r="B18" s="9">
        <v>461</v>
      </c>
      <c r="K18" s="6" t="s">
        <v>49</v>
      </c>
      <c r="L18" s="9">
        <v>712</v>
      </c>
    </row>
    <row r="19" spans="1:12" ht="15.75" x14ac:dyDescent="0.25">
      <c r="A19" s="6" t="s">
        <v>34</v>
      </c>
      <c r="B19" s="9">
        <v>356</v>
      </c>
      <c r="K19" s="6" t="s">
        <v>20</v>
      </c>
      <c r="L19" s="9">
        <v>467</v>
      </c>
    </row>
    <row r="20" spans="1:12" ht="15.75" x14ac:dyDescent="0.25">
      <c r="A20" s="6" t="s">
        <v>124</v>
      </c>
      <c r="B20" s="9">
        <v>350</v>
      </c>
      <c r="K20" s="6" t="s">
        <v>33</v>
      </c>
      <c r="L20" s="9">
        <v>385</v>
      </c>
    </row>
    <row r="21" spans="1:12" ht="15.75" x14ac:dyDescent="0.25">
      <c r="A21" s="6" t="s">
        <v>25</v>
      </c>
      <c r="B21" s="9">
        <v>315</v>
      </c>
      <c r="K21" s="6" t="s">
        <v>61</v>
      </c>
      <c r="L21" s="9">
        <v>300</v>
      </c>
    </row>
    <row r="22" spans="1:12" ht="15.75" x14ac:dyDescent="0.25">
      <c r="A22" s="6" t="s">
        <v>156</v>
      </c>
      <c r="B22" s="9">
        <v>276</v>
      </c>
      <c r="K22" s="6" t="s">
        <v>41</v>
      </c>
      <c r="L22" s="9">
        <v>288</v>
      </c>
    </row>
    <row r="23" spans="1:12" ht="15.75" x14ac:dyDescent="0.25">
      <c r="A23" s="6" t="s">
        <v>62</v>
      </c>
      <c r="B23" s="9">
        <v>239</v>
      </c>
      <c r="K23" s="6" t="s">
        <v>254</v>
      </c>
      <c r="L23" s="9">
        <v>241</v>
      </c>
    </row>
    <row r="24" spans="1:12" ht="15.75" x14ac:dyDescent="0.25">
      <c r="A24" s="6" t="s">
        <v>97</v>
      </c>
      <c r="B24" s="9">
        <v>236</v>
      </c>
      <c r="K24" s="6" t="s">
        <v>69</v>
      </c>
      <c r="L24" s="9">
        <v>219</v>
      </c>
    </row>
    <row r="25" spans="1:12" ht="15.75" x14ac:dyDescent="0.25">
      <c r="A25" s="6" t="s">
        <v>100</v>
      </c>
      <c r="B25" s="9">
        <v>198</v>
      </c>
      <c r="K25" s="6" t="s">
        <v>29</v>
      </c>
      <c r="L25" s="9">
        <v>172</v>
      </c>
    </row>
    <row r="26" spans="1:12" ht="15.75" x14ac:dyDescent="0.25">
      <c r="A26" s="2"/>
      <c r="B26" s="1"/>
      <c r="K26" s="6" t="s">
        <v>45</v>
      </c>
      <c r="L26" s="9">
        <v>160</v>
      </c>
    </row>
    <row r="27" spans="1:12" ht="16.5" thickBot="1" x14ac:dyDescent="0.3">
      <c r="A27" s="28" t="s">
        <v>10103</v>
      </c>
      <c r="B27" s="28"/>
      <c r="K27" s="6" t="s">
        <v>52</v>
      </c>
      <c r="L27" s="9">
        <v>156</v>
      </c>
    </row>
    <row r="28" spans="1:12" ht="15.75" x14ac:dyDescent="0.25">
      <c r="A28" s="8" t="s">
        <v>10099</v>
      </c>
      <c r="B28" s="5" t="s">
        <v>10104</v>
      </c>
      <c r="K28" s="6" t="s">
        <v>10107</v>
      </c>
      <c r="L28" s="9">
        <v>3100</v>
      </c>
    </row>
    <row r="29" spans="1:12" ht="15.75" x14ac:dyDescent="0.25">
      <c r="A29" s="6" t="s">
        <v>17</v>
      </c>
      <c r="B29" s="10">
        <v>717.56334569892499</v>
      </c>
    </row>
    <row r="30" spans="1:12" ht="15.75" x14ac:dyDescent="0.25">
      <c r="A30" s="6" t="s">
        <v>25</v>
      </c>
      <c r="B30" s="10">
        <v>685.64030000000014</v>
      </c>
    </row>
    <row r="31" spans="1:12" ht="15.75" x14ac:dyDescent="0.25">
      <c r="A31" s="6" t="s">
        <v>21</v>
      </c>
      <c r="B31" s="10">
        <v>668.22553385826768</v>
      </c>
    </row>
    <row r="32" spans="1:12" ht="15.75" x14ac:dyDescent="0.25">
      <c r="A32" s="6" t="s">
        <v>82</v>
      </c>
      <c r="B32" s="10">
        <v>651.97524374999989</v>
      </c>
    </row>
    <row r="33" spans="1:2" ht="15.75" x14ac:dyDescent="0.25">
      <c r="A33" s="6" t="s">
        <v>94</v>
      </c>
      <c r="B33" s="10">
        <v>592.07559102564096</v>
      </c>
    </row>
  </sheetData>
  <mergeCells count="6">
    <mergeCell ref="A1:B1"/>
    <mergeCell ref="A14:B14"/>
    <mergeCell ref="A27:B27"/>
    <mergeCell ref="K16:L16"/>
    <mergeCell ref="E1:I1"/>
    <mergeCell ref="K1:M2"/>
  </mergeCells>
  <conditionalFormatting sqref="A26:B26 A16:A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{3EF05C50-1D99-42F4-B85A-E753998A020C}</x14:id>
        </ext>
      </extLst>
    </cfRule>
  </conditionalFormatting>
  <conditionalFormatting pivot="1" sqref="B16:B25">
    <cfRule type="colorScale" priority="11">
      <colorScale>
        <cfvo type="min"/>
        <cfvo type="max"/>
        <color rgb="FFFCFCFF"/>
        <color rgb="FF63BE7B"/>
      </colorScale>
    </cfRule>
  </conditionalFormatting>
  <conditionalFormatting sqref="K14:K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{F4566238-B475-4DBE-A75C-211D40D45D9C}</x14:id>
        </ext>
      </extLst>
    </cfRule>
  </conditionalFormatting>
  <conditionalFormatting sqref="K4:K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{4A9FA2DA-EFF4-4990-98C5-2B5862F941B3}</x14:id>
        </ext>
      </extLst>
    </cfRule>
  </conditionalFormatting>
  <conditionalFormatting sqref="L4:L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{D10D7B31-AC69-4002-A531-40705C97D1DF}</x14:id>
        </ext>
      </extLst>
    </cfRule>
  </conditionalFormatting>
  <conditionalFormatting sqref="K17:L17 K18:K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{B8C65982-ED54-4953-8D4E-A5CF728FEC32}</x14:id>
        </ext>
      </extLst>
    </cfRule>
  </conditionalFormatting>
  <conditionalFormatting sqref="K17:L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{8F92E857-9EE4-4560-A405-CD048D0DAAC2}</x14:id>
        </ext>
      </extLst>
    </cfRule>
  </conditionalFormatting>
  <pageMargins left="0.7" right="0.7" top="0.75" bottom="0.75" header="0.3" footer="0.3"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F05C50-1D99-42F4-B85A-E753998A0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A26:B26 A16:A25</xm:sqref>
        </x14:conditionalFormatting>
        <x14:conditionalFormatting xmlns:xm="http://schemas.microsoft.com/office/excel/2006/main">
          <x14:cfRule type="dataBar" id="{F4566238-B475-4DBE-A75C-211D40D45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K14:K15</xm:sqref>
        </x14:conditionalFormatting>
        <x14:conditionalFormatting xmlns:xm="http://schemas.microsoft.com/office/excel/2006/main">
          <x14:cfRule type="dataBar" id="{4A9FA2DA-EFF4-4990-98C5-2B5862F941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K4:K13</xm:sqref>
        </x14:conditionalFormatting>
        <x14:conditionalFormatting xmlns:xm="http://schemas.microsoft.com/office/excel/2006/main">
          <x14:cfRule type="dataBar" id="{D10D7B31-AC69-4002-A531-40705C97D1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L4:L13</xm:sqref>
        </x14:conditionalFormatting>
        <x14:conditionalFormatting xmlns:xm="http://schemas.microsoft.com/office/excel/2006/main">
          <x14:cfRule type="dataBar" id="{B8C65982-ED54-4953-8D4E-A5CF728FE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K17:L17 K18:K27</xm:sqref>
        </x14:conditionalFormatting>
        <x14:conditionalFormatting xmlns:xm="http://schemas.microsoft.com/office/excel/2006/main">
          <x14:cfRule type="dataBar" id="{8F92E857-9EE4-4560-A405-CD048D0DA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K17:L27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3"/>
  <sheetViews>
    <sheetView workbookViewId="0">
      <selection activeCell="C21" sqref="C21"/>
    </sheetView>
  </sheetViews>
  <sheetFormatPr defaultRowHeight="15" x14ac:dyDescent="0.25"/>
  <cols>
    <col min="1" max="1" width="7.140625" bestFit="1" customWidth="1"/>
    <col min="2" max="2" width="57.28515625" bestFit="1" customWidth="1"/>
    <col min="3" max="3" width="12" bestFit="1" customWidth="1"/>
    <col min="4" max="4" width="7.7109375" bestFit="1" customWidth="1"/>
    <col min="5" max="5" width="12.140625" bestFit="1" customWidth="1"/>
    <col min="6" max="6" width="28.28515625" bestFit="1" customWidth="1"/>
    <col min="7" max="7" width="10.42578125" bestFit="1" customWidth="1"/>
    <col min="8" max="8" width="19.28515625" bestFit="1" customWidth="1"/>
    <col min="9" max="9" width="10.85546875" bestFit="1" customWidth="1"/>
    <col min="10" max="10" width="12.85546875" bestFit="1" customWidth="1"/>
    <col min="11" max="11" width="26.42578125" bestFit="1" customWidth="1"/>
    <col min="12" max="12" width="20.42578125" bestFit="1" customWidth="1"/>
    <col min="13" max="13" width="22.42578125" style="12" bestFit="1" customWidth="1"/>
  </cols>
  <sheetData>
    <row r="1" spans="1:13" x14ac:dyDescent="0.25">
      <c r="A1" t="s">
        <v>0</v>
      </c>
      <c r="B1" t="s">
        <v>1</v>
      </c>
      <c r="C1" t="s">
        <v>10098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10113</v>
      </c>
      <c r="L1" t="s">
        <v>10109</v>
      </c>
      <c r="M1" s="12" t="s">
        <v>10108</v>
      </c>
    </row>
    <row r="2" spans="1:13" x14ac:dyDescent="0.25">
      <c r="A2" s="1" t="s">
        <v>7461</v>
      </c>
      <c r="B2" s="1" t="s">
        <v>7462</v>
      </c>
      <c r="C2" s="1">
        <v>22200000</v>
      </c>
      <c r="D2" s="1" t="s">
        <v>52</v>
      </c>
      <c r="E2">
        <v>94.144400000000005</v>
      </c>
      <c r="F2" s="1" t="s">
        <v>25</v>
      </c>
      <c r="G2">
        <v>24</v>
      </c>
      <c r="H2">
        <v>14</v>
      </c>
      <c r="I2" s="1" t="s">
        <v>26</v>
      </c>
      <c r="J2">
        <v>1</v>
      </c>
      <c r="K2" t="str">
        <f>IF(Tb_data[[#This Row],[previous_workers]]&lt;Tb_data[[#This Row],[workers]],"yes","no")</f>
        <v>yes</v>
      </c>
      <c r="L2">
        <f>Tb_data[[#This Row],[workers]]-Tb_data[[#This Row],[previous_workers]]</f>
        <v>10</v>
      </c>
      <c r="M2" s="12">
        <f>Tb_data[[#This Row],[Employees Growth]]/Tb_data[[#This Row],[previous_workers]]</f>
        <v>0.7142857142857143</v>
      </c>
    </row>
    <row r="3" spans="1:13" x14ac:dyDescent="0.25">
      <c r="A3" s="1" t="s">
        <v>9912</v>
      </c>
      <c r="B3" s="1" t="s">
        <v>9913</v>
      </c>
      <c r="C3" s="1">
        <v>15200000</v>
      </c>
      <c r="D3" s="1" t="s">
        <v>5972</v>
      </c>
      <c r="E3">
        <v>55.007399999999997</v>
      </c>
      <c r="F3" s="1" t="s">
        <v>12</v>
      </c>
      <c r="G3">
        <v>62</v>
      </c>
      <c r="H3">
        <v>44</v>
      </c>
      <c r="I3" s="1" t="s">
        <v>1657</v>
      </c>
      <c r="J3">
        <v>11</v>
      </c>
      <c r="K3" t="str">
        <f>IF(Tb_data[[#This Row],[previous_workers]]&lt;Tb_data[[#This Row],[workers]],"yes","no")</f>
        <v>yes</v>
      </c>
      <c r="L3">
        <f>Tb_data[[#This Row],[workers]]-Tb_data[[#This Row],[previous_workers]]</f>
        <v>18</v>
      </c>
      <c r="M3" s="12">
        <f>Tb_data[[#This Row],[Employees Growth]]/Tb_data[[#This Row],[previous_workers]]</f>
        <v>0.40909090909090912</v>
      </c>
    </row>
    <row r="4" spans="1:13" x14ac:dyDescent="0.25">
      <c r="A4" s="1" t="s">
        <v>7395</v>
      </c>
      <c r="B4" s="1" t="s">
        <v>7396</v>
      </c>
      <c r="C4" s="1">
        <v>154100000</v>
      </c>
      <c r="D4" s="1" t="s">
        <v>91</v>
      </c>
      <c r="E4">
        <v>95.392399999999995</v>
      </c>
      <c r="F4" s="1" t="s">
        <v>161</v>
      </c>
      <c r="G4">
        <v>3048</v>
      </c>
      <c r="H4">
        <v>2532</v>
      </c>
      <c r="I4" s="1" t="s">
        <v>117</v>
      </c>
      <c r="J4">
        <v>4</v>
      </c>
      <c r="K4" t="str">
        <f>IF(Tb_data[[#This Row],[previous_workers]]&lt;Tb_data[[#This Row],[workers]],"yes","no")</f>
        <v>yes</v>
      </c>
      <c r="L4">
        <f>Tb_data[[#This Row],[workers]]-Tb_data[[#This Row],[previous_workers]]</f>
        <v>516</v>
      </c>
      <c r="M4" s="12">
        <f>Tb_data[[#This Row],[Employees Growth]]/Tb_data[[#This Row],[previous_workers]]</f>
        <v>0.20379146919431279</v>
      </c>
    </row>
    <row r="5" spans="1:13" x14ac:dyDescent="0.25">
      <c r="A5" s="1" t="s">
        <v>1576</v>
      </c>
      <c r="B5" s="1" t="s">
        <v>1577</v>
      </c>
      <c r="C5" s="1">
        <v>2200000</v>
      </c>
      <c r="D5" s="1" t="s">
        <v>49</v>
      </c>
      <c r="E5">
        <v>592.28719999999998</v>
      </c>
      <c r="F5" s="1" t="s">
        <v>34</v>
      </c>
      <c r="G5">
        <v>10</v>
      </c>
      <c r="H5">
        <v>6</v>
      </c>
      <c r="I5" s="1" t="s">
        <v>147</v>
      </c>
      <c r="J5">
        <v>1</v>
      </c>
      <c r="K5" t="str">
        <f>IF(Tb_data[[#This Row],[previous_workers]]&lt;Tb_data[[#This Row],[workers]],"yes","no")</f>
        <v>yes</v>
      </c>
      <c r="L5">
        <f>Tb_data[[#This Row],[workers]]-Tb_data[[#This Row],[previous_workers]]</f>
        <v>4</v>
      </c>
      <c r="M5" s="12">
        <f>Tb_data[[#This Row],[Employees Growth]]/Tb_data[[#This Row],[previous_workers]]</f>
        <v>0.66666666666666663</v>
      </c>
    </row>
    <row r="6" spans="1:13" x14ac:dyDescent="0.25">
      <c r="A6" s="1" t="s">
        <v>9263</v>
      </c>
      <c r="B6" s="1" t="s">
        <v>9264</v>
      </c>
      <c r="C6" s="1">
        <v>16200000</v>
      </c>
      <c r="D6" s="1" t="s">
        <v>41</v>
      </c>
      <c r="E6">
        <v>63.235500000000002</v>
      </c>
      <c r="F6" s="1" t="s">
        <v>3264</v>
      </c>
      <c r="G6">
        <v>402</v>
      </c>
      <c r="H6">
        <v>25</v>
      </c>
      <c r="I6" s="1" t="s">
        <v>147</v>
      </c>
      <c r="J6">
        <v>1</v>
      </c>
      <c r="K6" t="str">
        <f>IF(Tb_data[[#This Row],[previous_workers]]&lt;Tb_data[[#This Row],[workers]],"yes","no")</f>
        <v>yes</v>
      </c>
      <c r="L6">
        <f>Tb_data[[#This Row],[workers]]-Tb_data[[#This Row],[previous_workers]]</f>
        <v>377</v>
      </c>
      <c r="M6" s="12">
        <f>Tb_data[[#This Row],[Employees Growth]]/Tb_data[[#This Row],[previous_workers]]</f>
        <v>15.08</v>
      </c>
    </row>
    <row r="7" spans="1:13" x14ac:dyDescent="0.25">
      <c r="A7" s="1" t="s">
        <v>2853</v>
      </c>
      <c r="B7" s="1" t="s">
        <v>2854</v>
      </c>
      <c r="C7" s="1">
        <v>18100000</v>
      </c>
      <c r="D7" s="1" t="s">
        <v>254</v>
      </c>
      <c r="E7">
        <v>302.35899999999998</v>
      </c>
      <c r="F7" s="1" t="s">
        <v>156</v>
      </c>
      <c r="G7">
        <v>80</v>
      </c>
      <c r="H7">
        <v>25</v>
      </c>
      <c r="I7" s="1" t="s">
        <v>117</v>
      </c>
      <c r="J7">
        <v>4</v>
      </c>
      <c r="K7" t="str">
        <f>IF(Tb_data[[#This Row],[previous_workers]]&lt;Tb_data[[#This Row],[workers]],"yes","no")</f>
        <v>yes</v>
      </c>
      <c r="L7">
        <f>Tb_data[[#This Row],[workers]]-Tb_data[[#This Row],[previous_workers]]</f>
        <v>55</v>
      </c>
      <c r="M7" s="12">
        <f>Tb_data[[#This Row],[Employees Growth]]/Tb_data[[#This Row],[previous_workers]]</f>
        <v>2.2000000000000002</v>
      </c>
    </row>
    <row r="8" spans="1:13" x14ac:dyDescent="0.25">
      <c r="A8" s="1" t="s">
        <v>205</v>
      </c>
      <c r="B8" s="1" t="s">
        <v>206</v>
      </c>
      <c r="C8" s="1">
        <v>146300000</v>
      </c>
      <c r="D8" s="1" t="s">
        <v>49</v>
      </c>
      <c r="E8">
        <v>4308.7443999999996</v>
      </c>
      <c r="F8" s="1" t="s">
        <v>34</v>
      </c>
      <c r="G8">
        <v>380</v>
      </c>
      <c r="H8">
        <v>110</v>
      </c>
      <c r="I8" s="1" t="s">
        <v>130</v>
      </c>
      <c r="J8">
        <v>1</v>
      </c>
      <c r="K8" t="str">
        <f>IF(Tb_data[[#This Row],[previous_workers]]&lt;Tb_data[[#This Row],[workers]],"yes","no")</f>
        <v>yes</v>
      </c>
      <c r="L8">
        <f>Tb_data[[#This Row],[workers]]-Tb_data[[#This Row],[previous_workers]]</f>
        <v>270</v>
      </c>
      <c r="M8" s="12">
        <f>Tb_data[[#This Row],[Employees Growth]]/Tb_data[[#This Row],[previous_workers]]</f>
        <v>2.4545454545454546</v>
      </c>
    </row>
    <row r="9" spans="1:13" x14ac:dyDescent="0.25">
      <c r="A9" s="1" t="s">
        <v>2628</v>
      </c>
      <c r="B9" s="1" t="s">
        <v>4099</v>
      </c>
      <c r="C9" s="1">
        <v>2200000</v>
      </c>
      <c r="D9" s="1" t="s">
        <v>129</v>
      </c>
      <c r="E9">
        <v>201.1369</v>
      </c>
      <c r="F9" s="1" t="s">
        <v>12</v>
      </c>
      <c r="G9">
        <v>2</v>
      </c>
      <c r="H9">
        <v>2</v>
      </c>
      <c r="I9" s="1" t="s">
        <v>130</v>
      </c>
      <c r="J9">
        <v>1</v>
      </c>
      <c r="K9" t="str">
        <f>IF(Tb_data[[#This Row],[previous_workers]]&lt;Tb_data[[#This Row],[workers]],"yes","no")</f>
        <v>no</v>
      </c>
      <c r="L9">
        <f>Tb_data[[#This Row],[workers]]-Tb_data[[#This Row],[previous_workers]]</f>
        <v>0</v>
      </c>
      <c r="M9" s="12">
        <f>Tb_data[[#This Row],[Employees Growth]]/Tb_data[[#This Row],[previous_workers]]</f>
        <v>0</v>
      </c>
    </row>
    <row r="10" spans="1:13" x14ac:dyDescent="0.25">
      <c r="A10" s="1" t="s">
        <v>1509</v>
      </c>
      <c r="B10" s="1" t="s">
        <v>1510</v>
      </c>
      <c r="C10" s="1">
        <v>16700000</v>
      </c>
      <c r="D10" s="1" t="s">
        <v>49</v>
      </c>
      <c r="E10">
        <v>620.92259999999999</v>
      </c>
      <c r="F10" s="1" t="s">
        <v>34</v>
      </c>
      <c r="G10">
        <v>75</v>
      </c>
      <c r="H10">
        <v>9</v>
      </c>
      <c r="I10" s="1" t="s">
        <v>55</v>
      </c>
      <c r="J10">
        <v>2</v>
      </c>
      <c r="K10" t="str">
        <f>IF(Tb_data[[#This Row],[previous_workers]]&lt;Tb_data[[#This Row],[workers]],"yes","no")</f>
        <v>yes</v>
      </c>
      <c r="L10">
        <f>Tb_data[[#This Row],[workers]]-Tb_data[[#This Row],[previous_workers]]</f>
        <v>66</v>
      </c>
      <c r="M10" s="12">
        <f>Tb_data[[#This Row],[Employees Growth]]/Tb_data[[#This Row],[previous_workers]]</f>
        <v>7.333333333333333</v>
      </c>
    </row>
    <row r="11" spans="1:13" x14ac:dyDescent="0.25">
      <c r="A11" s="1" t="s">
        <v>3465</v>
      </c>
      <c r="B11" s="1" t="s">
        <v>3466</v>
      </c>
      <c r="C11" s="1">
        <v>7000000</v>
      </c>
      <c r="D11" s="1" t="s">
        <v>69</v>
      </c>
      <c r="E11">
        <v>245.4085</v>
      </c>
      <c r="F11" s="1" t="s">
        <v>86</v>
      </c>
      <c r="G11">
        <v>12</v>
      </c>
      <c r="H11">
        <v>5</v>
      </c>
      <c r="I11" s="1" t="s">
        <v>1051</v>
      </c>
      <c r="J11">
        <v>1</v>
      </c>
      <c r="K11" t="str">
        <f>IF(Tb_data[[#This Row],[previous_workers]]&lt;Tb_data[[#This Row],[workers]],"yes","no")</f>
        <v>yes</v>
      </c>
      <c r="L11">
        <f>Tb_data[[#This Row],[workers]]-Tb_data[[#This Row],[previous_workers]]</f>
        <v>7</v>
      </c>
      <c r="M11" s="12">
        <f>Tb_data[[#This Row],[Employees Growth]]/Tb_data[[#This Row],[previous_workers]]</f>
        <v>1.4</v>
      </c>
    </row>
    <row r="12" spans="1:13" x14ac:dyDescent="0.25">
      <c r="A12" s="1" t="s">
        <v>9251</v>
      </c>
      <c r="B12" s="1" t="s">
        <v>9252</v>
      </c>
      <c r="C12" s="1">
        <v>5400000</v>
      </c>
      <c r="D12" s="1" t="s">
        <v>254</v>
      </c>
      <c r="E12">
        <v>63.3568</v>
      </c>
      <c r="F12" s="1" t="s">
        <v>514</v>
      </c>
      <c r="G12">
        <v>100</v>
      </c>
      <c r="H12">
        <v>30</v>
      </c>
      <c r="I12" s="1" t="s">
        <v>46</v>
      </c>
      <c r="J12">
        <v>1</v>
      </c>
      <c r="K12" t="str">
        <f>IF(Tb_data[[#This Row],[previous_workers]]&lt;Tb_data[[#This Row],[workers]],"yes","no")</f>
        <v>yes</v>
      </c>
      <c r="L12">
        <f>Tb_data[[#This Row],[workers]]-Tb_data[[#This Row],[previous_workers]]</f>
        <v>70</v>
      </c>
      <c r="M12" s="12">
        <f>Tb_data[[#This Row],[Employees Growth]]/Tb_data[[#This Row],[previous_workers]]</f>
        <v>2.3333333333333335</v>
      </c>
    </row>
    <row r="13" spans="1:13" x14ac:dyDescent="0.25">
      <c r="A13" s="1" t="s">
        <v>2631</v>
      </c>
      <c r="B13" s="1" t="s">
        <v>2632</v>
      </c>
      <c r="C13" s="1">
        <v>9700000</v>
      </c>
      <c r="D13" s="1" t="s">
        <v>11</v>
      </c>
      <c r="E13">
        <v>328.65039999999999</v>
      </c>
      <c r="F13" s="1" t="s">
        <v>161</v>
      </c>
      <c r="G13">
        <v>1716</v>
      </c>
      <c r="H13">
        <v>695</v>
      </c>
      <c r="I13" s="1" t="s">
        <v>55</v>
      </c>
      <c r="J13">
        <v>2</v>
      </c>
      <c r="K13" t="str">
        <f>IF(Tb_data[[#This Row],[previous_workers]]&lt;Tb_data[[#This Row],[workers]],"yes","no")</f>
        <v>yes</v>
      </c>
      <c r="L13">
        <f>Tb_data[[#This Row],[workers]]-Tb_data[[#This Row],[previous_workers]]</f>
        <v>1021</v>
      </c>
      <c r="M13" s="12">
        <f>Tb_data[[#This Row],[Employees Growth]]/Tb_data[[#This Row],[previous_workers]]</f>
        <v>1.469064748201439</v>
      </c>
    </row>
    <row r="14" spans="1:13" x14ac:dyDescent="0.25">
      <c r="A14" s="1" t="s">
        <v>446</v>
      </c>
      <c r="B14" s="1" t="s">
        <v>447</v>
      </c>
      <c r="C14" s="1">
        <v>4600000</v>
      </c>
      <c r="D14" s="1" t="s">
        <v>16</v>
      </c>
      <c r="E14">
        <v>2138.2033999999999</v>
      </c>
      <c r="F14" s="1" t="s">
        <v>156</v>
      </c>
      <c r="G14">
        <v>55</v>
      </c>
      <c r="H14">
        <v>20</v>
      </c>
      <c r="I14" s="1" t="s">
        <v>26</v>
      </c>
      <c r="J14">
        <v>1</v>
      </c>
      <c r="K14" t="str">
        <f>IF(Tb_data[[#This Row],[previous_workers]]&lt;Tb_data[[#This Row],[workers]],"yes","no")</f>
        <v>yes</v>
      </c>
      <c r="L14">
        <f>Tb_data[[#This Row],[workers]]-Tb_data[[#This Row],[previous_workers]]</f>
        <v>35</v>
      </c>
      <c r="M14" s="12">
        <f>Tb_data[[#This Row],[Employees Growth]]/Tb_data[[#This Row],[previous_workers]]</f>
        <v>1.75</v>
      </c>
    </row>
    <row r="15" spans="1:13" x14ac:dyDescent="0.25">
      <c r="A15" s="1" t="s">
        <v>7074</v>
      </c>
      <c r="B15" s="1" t="s">
        <v>7075</v>
      </c>
      <c r="C15" s="1">
        <v>11200000</v>
      </c>
      <c r="D15" s="1" t="s">
        <v>49</v>
      </c>
      <c r="E15">
        <v>100.6153</v>
      </c>
      <c r="F15" s="1" t="s">
        <v>12</v>
      </c>
      <c r="G15">
        <v>47</v>
      </c>
      <c r="H15">
        <v>33</v>
      </c>
      <c r="I15" s="1" t="s">
        <v>295</v>
      </c>
      <c r="J15">
        <v>4</v>
      </c>
      <c r="K15" t="str">
        <f>IF(Tb_data[[#This Row],[previous_workers]]&lt;Tb_data[[#This Row],[workers]],"yes","no")</f>
        <v>yes</v>
      </c>
      <c r="L15">
        <f>Tb_data[[#This Row],[workers]]-Tb_data[[#This Row],[previous_workers]]</f>
        <v>14</v>
      </c>
      <c r="M15" s="12">
        <f>Tb_data[[#This Row],[Employees Growth]]/Tb_data[[#This Row],[previous_workers]]</f>
        <v>0.42424242424242425</v>
      </c>
    </row>
    <row r="16" spans="1:13" x14ac:dyDescent="0.25">
      <c r="A16" s="1" t="s">
        <v>2677</v>
      </c>
      <c r="B16" s="1" t="s">
        <v>2678</v>
      </c>
      <c r="C16" s="1">
        <v>14200000</v>
      </c>
      <c r="D16" s="1" t="s">
        <v>115</v>
      </c>
      <c r="E16">
        <v>321.45370000000003</v>
      </c>
      <c r="F16" s="1" t="s">
        <v>124</v>
      </c>
      <c r="G16">
        <v>29</v>
      </c>
      <c r="H16">
        <v>14</v>
      </c>
      <c r="I16" s="1" t="s">
        <v>117</v>
      </c>
      <c r="J16">
        <v>3</v>
      </c>
      <c r="K16" t="str">
        <f>IF(Tb_data[[#This Row],[previous_workers]]&lt;Tb_data[[#This Row],[workers]],"yes","no")</f>
        <v>yes</v>
      </c>
      <c r="L16">
        <f>Tb_data[[#This Row],[workers]]-Tb_data[[#This Row],[previous_workers]]</f>
        <v>15</v>
      </c>
      <c r="M16" s="12">
        <f>Tb_data[[#This Row],[Employees Growth]]/Tb_data[[#This Row],[previous_workers]]</f>
        <v>1.0714285714285714</v>
      </c>
    </row>
    <row r="17" spans="1:13" x14ac:dyDescent="0.25">
      <c r="A17" s="1" t="s">
        <v>8675</v>
      </c>
      <c r="B17" s="1" t="s">
        <v>8676</v>
      </c>
      <c r="C17" s="1">
        <v>4400000</v>
      </c>
      <c r="D17" s="1" t="s">
        <v>45</v>
      </c>
      <c r="E17">
        <v>71.371200000000002</v>
      </c>
      <c r="F17" s="1" t="s">
        <v>124</v>
      </c>
      <c r="G17">
        <v>37</v>
      </c>
      <c r="H17">
        <v>22</v>
      </c>
      <c r="I17" s="1" t="s">
        <v>74</v>
      </c>
      <c r="J17">
        <v>1</v>
      </c>
      <c r="K17" t="str">
        <f>IF(Tb_data[[#This Row],[previous_workers]]&lt;Tb_data[[#This Row],[workers]],"yes","no")</f>
        <v>yes</v>
      </c>
      <c r="L17">
        <f>Tb_data[[#This Row],[workers]]-Tb_data[[#This Row],[previous_workers]]</f>
        <v>15</v>
      </c>
      <c r="M17" s="12">
        <f>Tb_data[[#This Row],[Employees Growth]]/Tb_data[[#This Row],[previous_workers]]</f>
        <v>0.68181818181818177</v>
      </c>
    </row>
    <row r="18" spans="1:13" x14ac:dyDescent="0.25">
      <c r="A18" s="1" t="s">
        <v>7973</v>
      </c>
      <c r="B18" s="1" t="s">
        <v>7974</v>
      </c>
      <c r="C18" s="1">
        <v>5700000</v>
      </c>
      <c r="D18" s="1" t="s">
        <v>41</v>
      </c>
      <c r="E18">
        <v>83.3613</v>
      </c>
      <c r="F18" s="1" t="s">
        <v>100</v>
      </c>
      <c r="G18">
        <v>25</v>
      </c>
      <c r="H18">
        <v>8</v>
      </c>
      <c r="I18" s="1" t="s">
        <v>130</v>
      </c>
      <c r="J18">
        <v>1</v>
      </c>
      <c r="K18" t="str">
        <f>IF(Tb_data[[#This Row],[previous_workers]]&lt;Tb_data[[#This Row],[workers]],"yes","no")</f>
        <v>yes</v>
      </c>
      <c r="L18">
        <f>Tb_data[[#This Row],[workers]]-Tb_data[[#This Row],[previous_workers]]</f>
        <v>17</v>
      </c>
      <c r="M18" s="12">
        <f>Tb_data[[#This Row],[Employees Growth]]/Tb_data[[#This Row],[previous_workers]]</f>
        <v>2.125</v>
      </c>
    </row>
    <row r="19" spans="1:13" x14ac:dyDescent="0.25">
      <c r="A19" s="1" t="s">
        <v>8524</v>
      </c>
      <c r="B19" s="1" t="s">
        <v>8525</v>
      </c>
      <c r="C19" s="1">
        <v>5200000</v>
      </c>
      <c r="D19" s="1" t="s">
        <v>91</v>
      </c>
      <c r="E19">
        <v>73.524799999999999</v>
      </c>
      <c r="F19" s="1" t="s">
        <v>12</v>
      </c>
      <c r="G19">
        <v>55</v>
      </c>
      <c r="H19">
        <v>20</v>
      </c>
      <c r="I19" s="1" t="s">
        <v>74</v>
      </c>
      <c r="J19">
        <v>2</v>
      </c>
      <c r="K19" t="str">
        <f>IF(Tb_data[[#This Row],[previous_workers]]&lt;Tb_data[[#This Row],[workers]],"yes","no")</f>
        <v>yes</v>
      </c>
      <c r="L19">
        <f>Tb_data[[#This Row],[workers]]-Tb_data[[#This Row],[previous_workers]]</f>
        <v>35</v>
      </c>
      <c r="M19" s="12">
        <f>Tb_data[[#This Row],[Employees Growth]]/Tb_data[[#This Row],[previous_workers]]</f>
        <v>1.75</v>
      </c>
    </row>
    <row r="20" spans="1:13" x14ac:dyDescent="0.25">
      <c r="A20" s="1" t="s">
        <v>7985</v>
      </c>
      <c r="B20" s="1" t="s">
        <v>7986</v>
      </c>
      <c r="C20" s="1">
        <v>9800000</v>
      </c>
      <c r="D20" s="1" t="s">
        <v>41</v>
      </c>
      <c r="E20">
        <v>83.080399999999997</v>
      </c>
      <c r="F20" s="1" t="s">
        <v>3264</v>
      </c>
      <c r="G20">
        <v>24</v>
      </c>
      <c r="H20">
        <v>7</v>
      </c>
      <c r="I20" s="1" t="s">
        <v>130</v>
      </c>
      <c r="J20">
        <v>1</v>
      </c>
      <c r="K20" t="str">
        <f>IF(Tb_data[[#This Row],[previous_workers]]&lt;Tb_data[[#This Row],[workers]],"yes","no")</f>
        <v>yes</v>
      </c>
      <c r="L20">
        <f>Tb_data[[#This Row],[workers]]-Tb_data[[#This Row],[previous_workers]]</f>
        <v>17</v>
      </c>
      <c r="M20" s="12">
        <f>Tb_data[[#This Row],[Employees Growth]]/Tb_data[[#This Row],[previous_workers]]</f>
        <v>2.4285714285714284</v>
      </c>
    </row>
    <row r="21" spans="1:13" x14ac:dyDescent="0.25">
      <c r="A21" s="1" t="s">
        <v>3799</v>
      </c>
      <c r="B21" s="1" t="s">
        <v>3800</v>
      </c>
      <c r="C21" s="1">
        <v>166300000</v>
      </c>
      <c r="D21" s="1" t="s">
        <v>41</v>
      </c>
      <c r="E21">
        <v>221.49109999999999</v>
      </c>
      <c r="F21" s="1" t="s">
        <v>97</v>
      </c>
      <c r="G21">
        <v>1638</v>
      </c>
      <c r="H21">
        <v>541</v>
      </c>
      <c r="I21" s="1" t="s">
        <v>2628</v>
      </c>
      <c r="J21">
        <v>11</v>
      </c>
      <c r="K21" t="str">
        <f>IF(Tb_data[[#This Row],[previous_workers]]&lt;Tb_data[[#This Row],[workers]],"yes","no")</f>
        <v>yes</v>
      </c>
      <c r="L21">
        <f>Tb_data[[#This Row],[workers]]-Tb_data[[#This Row],[previous_workers]]</f>
        <v>1097</v>
      </c>
      <c r="M21" s="12">
        <f>Tb_data[[#This Row],[Employees Growth]]/Tb_data[[#This Row],[previous_workers]]</f>
        <v>2.0277264325323476</v>
      </c>
    </row>
    <row r="22" spans="1:13" x14ac:dyDescent="0.25">
      <c r="A22" s="1" t="s">
        <v>2120</v>
      </c>
      <c r="B22" s="1" t="s">
        <v>2121</v>
      </c>
      <c r="C22" s="1">
        <v>21900000</v>
      </c>
      <c r="D22" s="1" t="s">
        <v>115</v>
      </c>
      <c r="E22">
        <v>420.40940000000001</v>
      </c>
      <c r="F22" s="1" t="s">
        <v>124</v>
      </c>
      <c r="G22">
        <v>80</v>
      </c>
      <c r="H22">
        <v>34</v>
      </c>
      <c r="I22" s="1" t="s">
        <v>26</v>
      </c>
      <c r="J22">
        <v>2</v>
      </c>
      <c r="K22" t="str">
        <f>IF(Tb_data[[#This Row],[previous_workers]]&lt;Tb_data[[#This Row],[workers]],"yes","no")</f>
        <v>yes</v>
      </c>
      <c r="L22">
        <f>Tb_data[[#This Row],[workers]]-Tb_data[[#This Row],[previous_workers]]</f>
        <v>46</v>
      </c>
      <c r="M22" s="12">
        <f>Tb_data[[#This Row],[Employees Growth]]/Tb_data[[#This Row],[previous_workers]]</f>
        <v>1.3529411764705883</v>
      </c>
    </row>
    <row r="23" spans="1:13" x14ac:dyDescent="0.25">
      <c r="A23" s="1" t="s">
        <v>8871</v>
      </c>
      <c r="B23" s="1" t="s">
        <v>8872</v>
      </c>
      <c r="C23" s="1">
        <v>79700000</v>
      </c>
      <c r="D23" s="1" t="s">
        <v>49</v>
      </c>
      <c r="E23">
        <v>68.400499999999994</v>
      </c>
      <c r="F23" s="1" t="s">
        <v>34</v>
      </c>
      <c r="G23">
        <v>210</v>
      </c>
      <c r="H23">
        <v>143</v>
      </c>
      <c r="I23" s="1" t="s">
        <v>46</v>
      </c>
      <c r="J23">
        <v>7</v>
      </c>
      <c r="K23" t="str">
        <f>IF(Tb_data[[#This Row],[previous_workers]]&lt;Tb_data[[#This Row],[workers]],"yes","no")</f>
        <v>yes</v>
      </c>
      <c r="L23">
        <f>Tb_data[[#This Row],[workers]]-Tb_data[[#This Row],[previous_workers]]</f>
        <v>67</v>
      </c>
      <c r="M23" s="12">
        <f>Tb_data[[#This Row],[Employees Growth]]/Tb_data[[#This Row],[previous_workers]]</f>
        <v>0.46853146853146854</v>
      </c>
    </row>
    <row r="24" spans="1:13" x14ac:dyDescent="0.25">
      <c r="A24" s="1" t="s">
        <v>9954</v>
      </c>
      <c r="B24" s="1" t="s">
        <v>9955</v>
      </c>
      <c r="C24" s="1">
        <v>5100000</v>
      </c>
      <c r="D24" s="1" t="s">
        <v>49</v>
      </c>
      <c r="E24">
        <v>54.339700000000001</v>
      </c>
      <c r="F24" s="1" t="s">
        <v>176</v>
      </c>
      <c r="G24">
        <v>16</v>
      </c>
      <c r="H24">
        <v>8</v>
      </c>
      <c r="I24" s="1" t="s">
        <v>1622</v>
      </c>
      <c r="J24">
        <v>3</v>
      </c>
      <c r="K24" t="str">
        <f>IF(Tb_data[[#This Row],[previous_workers]]&lt;Tb_data[[#This Row],[workers]],"yes","no")</f>
        <v>yes</v>
      </c>
      <c r="L24">
        <f>Tb_data[[#This Row],[workers]]-Tb_data[[#This Row],[previous_workers]]</f>
        <v>8</v>
      </c>
      <c r="M24" s="12">
        <f>Tb_data[[#This Row],[Employees Growth]]/Tb_data[[#This Row],[previous_workers]]</f>
        <v>1</v>
      </c>
    </row>
    <row r="25" spans="1:13" x14ac:dyDescent="0.25">
      <c r="A25" s="1" t="s">
        <v>3099</v>
      </c>
      <c r="B25" s="1" t="s">
        <v>3100</v>
      </c>
      <c r="C25" s="1">
        <v>6300000</v>
      </c>
      <c r="D25" s="1" t="s">
        <v>58</v>
      </c>
      <c r="E25">
        <v>277.18439999999998</v>
      </c>
      <c r="F25" s="1" t="s">
        <v>12</v>
      </c>
      <c r="G25">
        <v>36</v>
      </c>
      <c r="H25">
        <v>17</v>
      </c>
      <c r="I25" s="1" t="s">
        <v>117</v>
      </c>
      <c r="J25">
        <v>3</v>
      </c>
      <c r="K25" t="str">
        <f>IF(Tb_data[[#This Row],[previous_workers]]&lt;Tb_data[[#This Row],[workers]],"yes","no")</f>
        <v>yes</v>
      </c>
      <c r="L25">
        <f>Tb_data[[#This Row],[workers]]-Tb_data[[#This Row],[previous_workers]]</f>
        <v>19</v>
      </c>
      <c r="M25" s="12">
        <f>Tb_data[[#This Row],[Employees Growth]]/Tb_data[[#This Row],[previous_workers]]</f>
        <v>1.1176470588235294</v>
      </c>
    </row>
    <row r="26" spans="1:13" x14ac:dyDescent="0.25">
      <c r="A26" s="1" t="s">
        <v>4288</v>
      </c>
      <c r="B26" s="1" t="s">
        <v>4289</v>
      </c>
      <c r="C26" s="1">
        <v>2700000</v>
      </c>
      <c r="D26" s="1" t="s">
        <v>129</v>
      </c>
      <c r="E26">
        <v>191.44049999999999</v>
      </c>
      <c r="F26" s="1" t="s">
        <v>34</v>
      </c>
      <c r="G26">
        <v>300</v>
      </c>
      <c r="H26">
        <v>140</v>
      </c>
      <c r="I26" s="1" t="s">
        <v>164</v>
      </c>
      <c r="J26">
        <v>1</v>
      </c>
      <c r="K26" t="str">
        <f>IF(Tb_data[[#This Row],[previous_workers]]&lt;Tb_data[[#This Row],[workers]],"yes","no")</f>
        <v>yes</v>
      </c>
      <c r="L26">
        <f>Tb_data[[#This Row],[workers]]-Tb_data[[#This Row],[previous_workers]]</f>
        <v>160</v>
      </c>
      <c r="M26" s="12">
        <f>Tb_data[[#This Row],[Employees Growth]]/Tb_data[[#This Row],[previous_workers]]</f>
        <v>1.1428571428571428</v>
      </c>
    </row>
    <row r="27" spans="1:13" x14ac:dyDescent="0.25">
      <c r="A27" s="1" t="s">
        <v>9712</v>
      </c>
      <c r="B27" s="1" t="s">
        <v>9713</v>
      </c>
      <c r="C27" s="1">
        <v>8000000</v>
      </c>
      <c r="D27" s="1" t="s">
        <v>49</v>
      </c>
      <c r="E27">
        <v>57.897500000000001</v>
      </c>
      <c r="F27" s="1" t="s">
        <v>176</v>
      </c>
      <c r="G27">
        <v>49</v>
      </c>
      <c r="H27">
        <v>27</v>
      </c>
      <c r="I27" s="1" t="s">
        <v>147</v>
      </c>
      <c r="J27">
        <v>5</v>
      </c>
      <c r="K27" t="str">
        <f>IF(Tb_data[[#This Row],[previous_workers]]&lt;Tb_data[[#This Row],[workers]],"yes","no")</f>
        <v>yes</v>
      </c>
      <c r="L27">
        <f>Tb_data[[#This Row],[workers]]-Tb_data[[#This Row],[previous_workers]]</f>
        <v>22</v>
      </c>
      <c r="M27" s="12">
        <f>Tb_data[[#This Row],[Employees Growth]]/Tb_data[[#This Row],[previous_workers]]</f>
        <v>0.81481481481481477</v>
      </c>
    </row>
    <row r="28" spans="1:13" x14ac:dyDescent="0.25">
      <c r="A28" s="1" t="s">
        <v>2757</v>
      </c>
      <c r="B28" s="1" t="s">
        <v>2758</v>
      </c>
      <c r="C28" s="1">
        <v>2500000</v>
      </c>
      <c r="D28" s="1" t="s">
        <v>45</v>
      </c>
      <c r="E28">
        <v>312.18779999999998</v>
      </c>
      <c r="F28" s="1" t="s">
        <v>12</v>
      </c>
      <c r="G28">
        <v>19</v>
      </c>
      <c r="H28">
        <v>11</v>
      </c>
      <c r="I28" s="1" t="s">
        <v>46</v>
      </c>
      <c r="J28">
        <v>1</v>
      </c>
      <c r="K28" t="str">
        <f>IF(Tb_data[[#This Row],[previous_workers]]&lt;Tb_data[[#This Row],[workers]],"yes","no")</f>
        <v>yes</v>
      </c>
      <c r="L28">
        <f>Tb_data[[#This Row],[workers]]-Tb_data[[#This Row],[previous_workers]]</f>
        <v>8</v>
      </c>
      <c r="M28" s="12">
        <f>Tb_data[[#This Row],[Employees Growth]]/Tb_data[[#This Row],[previous_workers]]</f>
        <v>0.72727272727272729</v>
      </c>
    </row>
    <row r="29" spans="1:13" x14ac:dyDescent="0.25">
      <c r="A29" s="1" t="s">
        <v>8594</v>
      </c>
      <c r="B29" s="1" t="s">
        <v>8595</v>
      </c>
      <c r="C29" s="1">
        <v>4600000</v>
      </c>
      <c r="D29" s="1" t="s">
        <v>129</v>
      </c>
      <c r="E29">
        <v>72.504599999999996</v>
      </c>
      <c r="F29" s="1" t="s">
        <v>12</v>
      </c>
      <c r="G29">
        <v>13</v>
      </c>
      <c r="H29">
        <v>9</v>
      </c>
      <c r="I29" s="1" t="s">
        <v>46</v>
      </c>
      <c r="J29">
        <v>2</v>
      </c>
      <c r="K29" t="str">
        <f>IF(Tb_data[[#This Row],[previous_workers]]&lt;Tb_data[[#This Row],[workers]],"yes","no")</f>
        <v>yes</v>
      </c>
      <c r="L29">
        <f>Tb_data[[#This Row],[workers]]-Tb_data[[#This Row],[previous_workers]]</f>
        <v>4</v>
      </c>
      <c r="M29" s="12">
        <f>Tb_data[[#This Row],[Employees Growth]]/Tb_data[[#This Row],[previous_workers]]</f>
        <v>0.44444444444444442</v>
      </c>
    </row>
    <row r="30" spans="1:13" x14ac:dyDescent="0.25">
      <c r="A30" s="1" t="s">
        <v>7869</v>
      </c>
      <c r="B30" s="1" t="s">
        <v>7870</v>
      </c>
      <c r="C30" s="1">
        <v>21100000</v>
      </c>
      <c r="D30" s="1" t="s">
        <v>33</v>
      </c>
      <c r="E30">
        <v>85.1417</v>
      </c>
      <c r="F30" s="1" t="s">
        <v>142</v>
      </c>
      <c r="G30">
        <v>150</v>
      </c>
      <c r="H30">
        <v>75</v>
      </c>
      <c r="I30" s="1" t="s">
        <v>46</v>
      </c>
      <c r="J30">
        <v>3</v>
      </c>
      <c r="K30" t="str">
        <f>IF(Tb_data[[#This Row],[previous_workers]]&lt;Tb_data[[#This Row],[workers]],"yes","no")</f>
        <v>yes</v>
      </c>
      <c r="L30">
        <f>Tb_data[[#This Row],[workers]]-Tb_data[[#This Row],[previous_workers]]</f>
        <v>75</v>
      </c>
      <c r="M30" s="12">
        <f>Tb_data[[#This Row],[Employees Growth]]/Tb_data[[#This Row],[previous_workers]]</f>
        <v>1</v>
      </c>
    </row>
    <row r="31" spans="1:13" x14ac:dyDescent="0.25">
      <c r="A31" s="1" t="s">
        <v>2054</v>
      </c>
      <c r="B31" s="1" t="s">
        <v>2055</v>
      </c>
      <c r="C31" s="1">
        <v>4800000</v>
      </c>
      <c r="D31" s="1" t="s">
        <v>33</v>
      </c>
      <c r="E31">
        <v>437.25889999999998</v>
      </c>
      <c r="F31" s="1" t="s">
        <v>94</v>
      </c>
      <c r="G31">
        <v>24</v>
      </c>
      <c r="H31">
        <v>14</v>
      </c>
      <c r="I31" s="1" t="s">
        <v>55</v>
      </c>
      <c r="J31">
        <v>2</v>
      </c>
      <c r="K31" t="str">
        <f>IF(Tb_data[[#This Row],[previous_workers]]&lt;Tb_data[[#This Row],[workers]],"yes","no")</f>
        <v>yes</v>
      </c>
      <c r="L31">
        <f>Tb_data[[#This Row],[workers]]-Tb_data[[#This Row],[previous_workers]]</f>
        <v>10</v>
      </c>
      <c r="M31" s="12">
        <f>Tb_data[[#This Row],[Employees Growth]]/Tb_data[[#This Row],[previous_workers]]</f>
        <v>0.7142857142857143</v>
      </c>
    </row>
    <row r="32" spans="1:13" x14ac:dyDescent="0.25">
      <c r="A32" s="1" t="s">
        <v>7591</v>
      </c>
      <c r="B32" s="1" t="s">
        <v>7592</v>
      </c>
      <c r="C32" s="1">
        <v>7500000</v>
      </c>
      <c r="D32" s="1" t="s">
        <v>49</v>
      </c>
      <c r="E32">
        <v>90.566000000000003</v>
      </c>
      <c r="F32" s="1" t="s">
        <v>62</v>
      </c>
      <c r="G32">
        <v>32</v>
      </c>
      <c r="H32">
        <v>26</v>
      </c>
      <c r="I32" s="1" t="s">
        <v>164</v>
      </c>
      <c r="J32">
        <v>5</v>
      </c>
      <c r="K32" t="str">
        <f>IF(Tb_data[[#This Row],[previous_workers]]&lt;Tb_data[[#This Row],[workers]],"yes","no")</f>
        <v>yes</v>
      </c>
      <c r="L32">
        <f>Tb_data[[#This Row],[workers]]-Tb_data[[#This Row],[previous_workers]]</f>
        <v>6</v>
      </c>
      <c r="M32" s="12">
        <f>Tb_data[[#This Row],[Employees Growth]]/Tb_data[[#This Row],[previous_workers]]</f>
        <v>0.23076923076923078</v>
      </c>
    </row>
    <row r="33" spans="1:13" x14ac:dyDescent="0.25">
      <c r="A33" s="1" t="s">
        <v>2399</v>
      </c>
      <c r="B33" s="1" t="s">
        <v>2400</v>
      </c>
      <c r="C33" s="1">
        <v>2200000</v>
      </c>
      <c r="D33" s="1" t="s">
        <v>49</v>
      </c>
      <c r="E33">
        <v>365.39789999999999</v>
      </c>
      <c r="F33" s="1" t="s">
        <v>172</v>
      </c>
      <c r="G33">
        <v>5</v>
      </c>
      <c r="H33">
        <v>9</v>
      </c>
      <c r="I33" s="1" t="s">
        <v>130</v>
      </c>
      <c r="J33">
        <v>1</v>
      </c>
      <c r="K33" t="str">
        <f>IF(Tb_data[[#This Row],[previous_workers]]&lt;Tb_data[[#This Row],[workers]],"yes","no")</f>
        <v>no</v>
      </c>
      <c r="L33">
        <f>Tb_data[[#This Row],[workers]]-Tb_data[[#This Row],[previous_workers]]</f>
        <v>-4</v>
      </c>
      <c r="M33" s="12">
        <f>Tb_data[[#This Row],[Employees Growth]]/Tb_data[[#This Row],[previous_workers]]</f>
        <v>-0.44444444444444442</v>
      </c>
    </row>
    <row r="34" spans="1:13" x14ac:dyDescent="0.25">
      <c r="A34" s="1" t="s">
        <v>9920</v>
      </c>
      <c r="B34" s="1" t="s">
        <v>9921</v>
      </c>
      <c r="C34" s="1">
        <v>3100000</v>
      </c>
      <c r="D34" s="1" t="s">
        <v>20</v>
      </c>
      <c r="E34">
        <v>54.890099999999997</v>
      </c>
      <c r="F34" s="1" t="s">
        <v>12</v>
      </c>
      <c r="G34">
        <v>25</v>
      </c>
      <c r="H34">
        <v>13</v>
      </c>
      <c r="I34" s="1" t="s">
        <v>194</v>
      </c>
      <c r="J34">
        <v>1</v>
      </c>
      <c r="K34" t="str">
        <f>IF(Tb_data[[#This Row],[previous_workers]]&lt;Tb_data[[#This Row],[workers]],"yes","no")</f>
        <v>yes</v>
      </c>
      <c r="L34">
        <f>Tb_data[[#This Row],[workers]]-Tb_data[[#This Row],[previous_workers]]</f>
        <v>12</v>
      </c>
      <c r="M34" s="12">
        <f>Tb_data[[#This Row],[Employees Growth]]/Tb_data[[#This Row],[previous_workers]]</f>
        <v>0.92307692307692313</v>
      </c>
    </row>
    <row r="35" spans="1:13" x14ac:dyDescent="0.25">
      <c r="A35" s="1" t="s">
        <v>717</v>
      </c>
      <c r="B35" s="1" t="s">
        <v>718</v>
      </c>
      <c r="C35" s="1">
        <v>2000000</v>
      </c>
      <c r="D35" s="1" t="s">
        <v>664</v>
      </c>
      <c r="E35">
        <v>1455.2822000000001</v>
      </c>
      <c r="F35" s="1" t="s">
        <v>86</v>
      </c>
      <c r="G35">
        <v>41</v>
      </c>
      <c r="H35">
        <v>15</v>
      </c>
      <c r="I35" s="1" t="s">
        <v>13</v>
      </c>
      <c r="J35">
        <v>1</v>
      </c>
      <c r="K35" t="str">
        <f>IF(Tb_data[[#This Row],[previous_workers]]&lt;Tb_data[[#This Row],[workers]],"yes","no")</f>
        <v>yes</v>
      </c>
      <c r="L35">
        <f>Tb_data[[#This Row],[workers]]-Tb_data[[#This Row],[previous_workers]]</f>
        <v>26</v>
      </c>
      <c r="M35" s="12">
        <f>Tb_data[[#This Row],[Employees Growth]]/Tb_data[[#This Row],[previous_workers]]</f>
        <v>1.7333333333333334</v>
      </c>
    </row>
    <row r="36" spans="1:13" x14ac:dyDescent="0.25">
      <c r="A36" s="1" t="s">
        <v>6101</v>
      </c>
      <c r="B36" s="1" t="s">
        <v>6102</v>
      </c>
      <c r="C36" s="1">
        <v>52000000</v>
      </c>
      <c r="D36" s="1" t="s">
        <v>123</v>
      </c>
      <c r="E36">
        <v>123.8557</v>
      </c>
      <c r="F36" s="1" t="s">
        <v>86</v>
      </c>
      <c r="G36">
        <v>184</v>
      </c>
      <c r="H36">
        <v>104</v>
      </c>
      <c r="I36" s="1" t="s">
        <v>35</v>
      </c>
      <c r="J36">
        <v>4</v>
      </c>
      <c r="K36" t="str">
        <f>IF(Tb_data[[#This Row],[previous_workers]]&lt;Tb_data[[#This Row],[workers]],"yes","no")</f>
        <v>yes</v>
      </c>
      <c r="L36">
        <f>Tb_data[[#This Row],[workers]]-Tb_data[[#This Row],[previous_workers]]</f>
        <v>80</v>
      </c>
      <c r="M36" s="12">
        <f>Tb_data[[#This Row],[Employees Growth]]/Tb_data[[#This Row],[previous_workers]]</f>
        <v>0.76923076923076927</v>
      </c>
    </row>
    <row r="37" spans="1:13" x14ac:dyDescent="0.25">
      <c r="A37" s="1" t="s">
        <v>7507</v>
      </c>
      <c r="B37" s="1" t="s">
        <v>7508</v>
      </c>
      <c r="C37" s="1">
        <v>4800000</v>
      </c>
      <c r="D37" s="1" t="s">
        <v>41</v>
      </c>
      <c r="E37">
        <v>92.846500000000006</v>
      </c>
      <c r="F37" s="1" t="s">
        <v>100</v>
      </c>
      <c r="G37">
        <v>12</v>
      </c>
      <c r="H37">
        <v>6</v>
      </c>
      <c r="I37" s="1" t="s">
        <v>46</v>
      </c>
      <c r="J37">
        <v>4</v>
      </c>
      <c r="K37" t="str">
        <f>IF(Tb_data[[#This Row],[previous_workers]]&lt;Tb_data[[#This Row],[workers]],"yes","no")</f>
        <v>yes</v>
      </c>
      <c r="L37">
        <f>Tb_data[[#This Row],[workers]]-Tb_data[[#This Row],[previous_workers]]</f>
        <v>6</v>
      </c>
      <c r="M37" s="12">
        <f>Tb_data[[#This Row],[Employees Growth]]/Tb_data[[#This Row],[previous_workers]]</f>
        <v>1</v>
      </c>
    </row>
    <row r="38" spans="1:13" x14ac:dyDescent="0.25">
      <c r="A38" s="1" t="s">
        <v>3722</v>
      </c>
      <c r="B38" s="1" t="s">
        <v>3723</v>
      </c>
      <c r="C38" s="1">
        <v>12500000</v>
      </c>
      <c r="D38" s="1" t="s">
        <v>33</v>
      </c>
      <c r="E38">
        <v>226.86609999999999</v>
      </c>
      <c r="F38" s="1" t="s">
        <v>34</v>
      </c>
      <c r="G38">
        <v>30</v>
      </c>
      <c r="H38">
        <v>10</v>
      </c>
      <c r="I38" s="1" t="s">
        <v>164</v>
      </c>
      <c r="J38">
        <v>1</v>
      </c>
      <c r="K38" t="str">
        <f>IF(Tb_data[[#This Row],[previous_workers]]&lt;Tb_data[[#This Row],[workers]],"yes","no")</f>
        <v>yes</v>
      </c>
      <c r="L38">
        <f>Tb_data[[#This Row],[workers]]-Tb_data[[#This Row],[previous_workers]]</f>
        <v>20</v>
      </c>
      <c r="M38" s="12">
        <f>Tb_data[[#This Row],[Employees Growth]]/Tb_data[[#This Row],[previous_workers]]</f>
        <v>2</v>
      </c>
    </row>
    <row r="39" spans="1:13" x14ac:dyDescent="0.25">
      <c r="A39" s="1" t="s">
        <v>3447</v>
      </c>
      <c r="B39" s="1" t="s">
        <v>3448</v>
      </c>
      <c r="C39" s="1">
        <v>8500000</v>
      </c>
      <c r="D39" s="1" t="s">
        <v>33</v>
      </c>
      <c r="E39">
        <v>246.9837</v>
      </c>
      <c r="F39" s="1" t="s">
        <v>116</v>
      </c>
      <c r="G39">
        <v>11</v>
      </c>
      <c r="H39">
        <v>3</v>
      </c>
      <c r="I39" s="1" t="s">
        <v>164</v>
      </c>
      <c r="J39">
        <v>1</v>
      </c>
      <c r="K39" t="str">
        <f>IF(Tb_data[[#This Row],[previous_workers]]&lt;Tb_data[[#This Row],[workers]],"yes","no")</f>
        <v>yes</v>
      </c>
      <c r="L39">
        <f>Tb_data[[#This Row],[workers]]-Tb_data[[#This Row],[previous_workers]]</f>
        <v>8</v>
      </c>
      <c r="M39" s="12">
        <f>Tb_data[[#This Row],[Employees Growth]]/Tb_data[[#This Row],[previous_workers]]</f>
        <v>2.6666666666666665</v>
      </c>
    </row>
    <row r="40" spans="1:13" x14ac:dyDescent="0.25">
      <c r="A40" s="1" t="s">
        <v>2074</v>
      </c>
      <c r="B40" s="1" t="s">
        <v>2075</v>
      </c>
      <c r="C40" s="1">
        <v>6800000</v>
      </c>
      <c r="D40" s="1" t="s">
        <v>33</v>
      </c>
      <c r="E40">
        <v>429.7944</v>
      </c>
      <c r="F40" s="1" t="s">
        <v>94</v>
      </c>
      <c r="G40">
        <v>43</v>
      </c>
      <c r="H40">
        <v>15</v>
      </c>
      <c r="I40" s="1" t="s">
        <v>55</v>
      </c>
      <c r="J40">
        <v>2</v>
      </c>
      <c r="K40" t="str">
        <f>IF(Tb_data[[#This Row],[previous_workers]]&lt;Tb_data[[#This Row],[workers]],"yes","no")</f>
        <v>yes</v>
      </c>
      <c r="L40">
        <f>Tb_data[[#This Row],[workers]]-Tb_data[[#This Row],[previous_workers]]</f>
        <v>28</v>
      </c>
      <c r="M40" s="12">
        <f>Tb_data[[#This Row],[Employees Growth]]/Tb_data[[#This Row],[previous_workers]]</f>
        <v>1.8666666666666667</v>
      </c>
    </row>
    <row r="41" spans="1:13" x14ac:dyDescent="0.25">
      <c r="A41" s="1" t="s">
        <v>2993</v>
      </c>
      <c r="B41" s="1" t="s">
        <v>2994</v>
      </c>
      <c r="C41" s="1">
        <v>21200000</v>
      </c>
      <c r="D41" s="1" t="s">
        <v>175</v>
      </c>
      <c r="E41">
        <v>287.9538</v>
      </c>
      <c r="F41" s="1" t="s">
        <v>514</v>
      </c>
      <c r="G41">
        <v>110</v>
      </c>
      <c r="H41">
        <v>43</v>
      </c>
      <c r="I41" s="1" t="s">
        <v>74</v>
      </c>
      <c r="J41">
        <v>5</v>
      </c>
      <c r="K41" t="str">
        <f>IF(Tb_data[[#This Row],[previous_workers]]&lt;Tb_data[[#This Row],[workers]],"yes","no")</f>
        <v>yes</v>
      </c>
      <c r="L41">
        <f>Tb_data[[#This Row],[workers]]-Tb_data[[#This Row],[previous_workers]]</f>
        <v>67</v>
      </c>
      <c r="M41" s="12">
        <f>Tb_data[[#This Row],[Employees Growth]]/Tb_data[[#This Row],[previous_workers]]</f>
        <v>1.558139534883721</v>
      </c>
    </row>
    <row r="42" spans="1:13" x14ac:dyDescent="0.25">
      <c r="A42" s="1" t="s">
        <v>9542</v>
      </c>
      <c r="B42" s="1" t="s">
        <v>9543</v>
      </c>
      <c r="C42" s="1">
        <v>4200000</v>
      </c>
      <c r="D42" s="1" t="s">
        <v>38</v>
      </c>
      <c r="E42">
        <v>59.746299999999998</v>
      </c>
      <c r="F42" s="1" t="s">
        <v>3264</v>
      </c>
      <c r="G42">
        <v>20</v>
      </c>
      <c r="H42">
        <v>14</v>
      </c>
      <c r="I42" s="1" t="s">
        <v>295</v>
      </c>
      <c r="J42">
        <v>2</v>
      </c>
      <c r="K42" t="str">
        <f>IF(Tb_data[[#This Row],[previous_workers]]&lt;Tb_data[[#This Row],[workers]],"yes","no")</f>
        <v>yes</v>
      </c>
      <c r="L42">
        <f>Tb_data[[#This Row],[workers]]-Tb_data[[#This Row],[previous_workers]]</f>
        <v>6</v>
      </c>
      <c r="M42" s="12">
        <f>Tb_data[[#This Row],[Employees Growth]]/Tb_data[[#This Row],[previous_workers]]</f>
        <v>0.42857142857142855</v>
      </c>
    </row>
    <row r="43" spans="1:13" x14ac:dyDescent="0.25">
      <c r="A43" s="1" t="s">
        <v>9173</v>
      </c>
      <c r="B43" s="1" t="s">
        <v>9174</v>
      </c>
      <c r="C43" s="1">
        <v>53700000</v>
      </c>
      <c r="D43" s="1" t="s">
        <v>41</v>
      </c>
      <c r="E43">
        <v>64.538700000000006</v>
      </c>
      <c r="F43" s="1" t="s">
        <v>86</v>
      </c>
      <c r="G43">
        <v>899</v>
      </c>
      <c r="H43">
        <v>657</v>
      </c>
      <c r="I43" s="1" t="s">
        <v>74</v>
      </c>
      <c r="J43">
        <v>8</v>
      </c>
      <c r="K43" t="str">
        <f>IF(Tb_data[[#This Row],[previous_workers]]&lt;Tb_data[[#This Row],[workers]],"yes","no")</f>
        <v>yes</v>
      </c>
      <c r="L43">
        <f>Tb_data[[#This Row],[workers]]-Tb_data[[#This Row],[previous_workers]]</f>
        <v>242</v>
      </c>
      <c r="M43" s="12">
        <f>Tb_data[[#This Row],[Employees Growth]]/Tb_data[[#This Row],[previous_workers]]</f>
        <v>0.36834094368340942</v>
      </c>
    </row>
    <row r="44" spans="1:13" x14ac:dyDescent="0.25">
      <c r="A44" s="1" t="s">
        <v>7108</v>
      </c>
      <c r="B44" s="1" t="s">
        <v>7109</v>
      </c>
      <c r="C44" s="1">
        <v>18300000</v>
      </c>
      <c r="D44" s="1" t="s">
        <v>20</v>
      </c>
      <c r="E44">
        <v>99.968000000000004</v>
      </c>
      <c r="F44" s="1" t="s">
        <v>152</v>
      </c>
      <c r="G44">
        <v>55</v>
      </c>
      <c r="H44">
        <v>30</v>
      </c>
      <c r="I44" s="1" t="s">
        <v>229</v>
      </c>
      <c r="J44">
        <v>1</v>
      </c>
      <c r="K44" t="str">
        <f>IF(Tb_data[[#This Row],[previous_workers]]&lt;Tb_data[[#This Row],[workers]],"yes","no")</f>
        <v>yes</v>
      </c>
      <c r="L44">
        <f>Tb_data[[#This Row],[workers]]-Tb_data[[#This Row],[previous_workers]]</f>
        <v>25</v>
      </c>
      <c r="M44" s="12">
        <f>Tb_data[[#This Row],[Employees Growth]]/Tb_data[[#This Row],[previous_workers]]</f>
        <v>0.83333333333333337</v>
      </c>
    </row>
    <row r="45" spans="1:13" x14ac:dyDescent="0.25">
      <c r="A45" s="1" t="s">
        <v>9517</v>
      </c>
      <c r="B45" s="1" t="s">
        <v>9518</v>
      </c>
      <c r="C45" s="1">
        <v>3700000</v>
      </c>
      <c r="D45" s="1" t="s">
        <v>29</v>
      </c>
      <c r="E45">
        <v>60.054400000000001</v>
      </c>
      <c r="F45" s="1" t="s">
        <v>12</v>
      </c>
      <c r="G45">
        <v>34</v>
      </c>
      <c r="H45">
        <v>34</v>
      </c>
      <c r="I45" s="1" t="s">
        <v>229</v>
      </c>
      <c r="J45">
        <v>2</v>
      </c>
      <c r="K45" t="str">
        <f>IF(Tb_data[[#This Row],[previous_workers]]&lt;Tb_data[[#This Row],[workers]],"yes","no")</f>
        <v>no</v>
      </c>
      <c r="L45">
        <f>Tb_data[[#This Row],[workers]]-Tb_data[[#This Row],[previous_workers]]</f>
        <v>0</v>
      </c>
      <c r="M45" s="12">
        <f>Tb_data[[#This Row],[Employees Growth]]/Tb_data[[#This Row],[previous_workers]]</f>
        <v>0</v>
      </c>
    </row>
    <row r="46" spans="1:13" x14ac:dyDescent="0.25">
      <c r="A46" s="1" t="s">
        <v>8403</v>
      </c>
      <c r="B46" s="1" t="s">
        <v>8404</v>
      </c>
      <c r="C46" s="1">
        <v>3200000</v>
      </c>
      <c r="D46" s="1" t="s">
        <v>129</v>
      </c>
      <c r="E46">
        <v>75.887200000000007</v>
      </c>
      <c r="F46" s="1" t="s">
        <v>17</v>
      </c>
      <c r="G46">
        <v>40</v>
      </c>
      <c r="H46">
        <v>20</v>
      </c>
      <c r="I46" s="1" t="s">
        <v>35</v>
      </c>
      <c r="J46">
        <v>1</v>
      </c>
      <c r="K46" t="str">
        <f>IF(Tb_data[[#This Row],[previous_workers]]&lt;Tb_data[[#This Row],[workers]],"yes","no")</f>
        <v>yes</v>
      </c>
      <c r="L46">
        <f>Tb_data[[#This Row],[workers]]-Tb_data[[#This Row],[previous_workers]]</f>
        <v>20</v>
      </c>
      <c r="M46" s="12">
        <f>Tb_data[[#This Row],[Employees Growth]]/Tb_data[[#This Row],[previous_workers]]</f>
        <v>1</v>
      </c>
    </row>
    <row r="47" spans="1:13" x14ac:dyDescent="0.25">
      <c r="A47" s="1" t="s">
        <v>7158</v>
      </c>
      <c r="B47" s="1" t="s">
        <v>7159</v>
      </c>
      <c r="C47" s="1">
        <v>5200000</v>
      </c>
      <c r="D47" s="1" t="s">
        <v>49</v>
      </c>
      <c r="E47">
        <v>99.227400000000003</v>
      </c>
      <c r="F47" s="1" t="s">
        <v>42</v>
      </c>
      <c r="G47">
        <v>4</v>
      </c>
      <c r="H47">
        <v>6</v>
      </c>
      <c r="I47" s="1" t="s">
        <v>2628</v>
      </c>
      <c r="J47">
        <v>7</v>
      </c>
      <c r="K47" t="str">
        <f>IF(Tb_data[[#This Row],[previous_workers]]&lt;Tb_data[[#This Row],[workers]],"yes","no")</f>
        <v>no</v>
      </c>
      <c r="L47">
        <f>Tb_data[[#This Row],[workers]]-Tb_data[[#This Row],[previous_workers]]</f>
        <v>-2</v>
      </c>
      <c r="M47" s="12">
        <f>Tb_data[[#This Row],[Employees Growth]]/Tb_data[[#This Row],[previous_workers]]</f>
        <v>-0.33333333333333331</v>
      </c>
    </row>
    <row r="48" spans="1:13" x14ac:dyDescent="0.25">
      <c r="A48" s="1" t="s">
        <v>9856</v>
      </c>
      <c r="B48" s="1" t="s">
        <v>9857</v>
      </c>
      <c r="C48" s="1">
        <v>7700000</v>
      </c>
      <c r="D48" s="1" t="s">
        <v>61</v>
      </c>
      <c r="E48">
        <v>55.9313</v>
      </c>
      <c r="F48" s="1" t="s">
        <v>86</v>
      </c>
      <c r="G48">
        <v>43</v>
      </c>
      <c r="H48">
        <v>34</v>
      </c>
      <c r="I48" s="1" t="s">
        <v>117</v>
      </c>
      <c r="J48">
        <v>4</v>
      </c>
      <c r="K48" t="str">
        <f>IF(Tb_data[[#This Row],[previous_workers]]&lt;Tb_data[[#This Row],[workers]],"yes","no")</f>
        <v>yes</v>
      </c>
      <c r="L48">
        <f>Tb_data[[#This Row],[workers]]-Tb_data[[#This Row],[previous_workers]]</f>
        <v>9</v>
      </c>
      <c r="M48" s="12">
        <f>Tb_data[[#This Row],[Employees Growth]]/Tb_data[[#This Row],[previous_workers]]</f>
        <v>0.26470588235294118</v>
      </c>
    </row>
    <row r="49" spans="1:13" x14ac:dyDescent="0.25">
      <c r="A49" s="1" t="s">
        <v>7491</v>
      </c>
      <c r="B49" s="1" t="s">
        <v>7492</v>
      </c>
      <c r="C49" s="1">
        <v>4100000</v>
      </c>
      <c r="D49" s="1" t="s">
        <v>33</v>
      </c>
      <c r="E49">
        <v>93.165899999999993</v>
      </c>
      <c r="F49" s="1" t="s">
        <v>34</v>
      </c>
      <c r="G49">
        <v>17</v>
      </c>
      <c r="H49">
        <v>6</v>
      </c>
      <c r="I49" s="1" t="s">
        <v>26</v>
      </c>
      <c r="J49">
        <v>1</v>
      </c>
      <c r="K49" t="str">
        <f>IF(Tb_data[[#This Row],[previous_workers]]&lt;Tb_data[[#This Row],[workers]],"yes","no")</f>
        <v>yes</v>
      </c>
      <c r="L49">
        <f>Tb_data[[#This Row],[workers]]-Tb_data[[#This Row],[previous_workers]]</f>
        <v>11</v>
      </c>
      <c r="M49" s="12">
        <f>Tb_data[[#This Row],[Employees Growth]]/Tb_data[[#This Row],[previous_workers]]</f>
        <v>1.8333333333333333</v>
      </c>
    </row>
    <row r="50" spans="1:13" x14ac:dyDescent="0.25">
      <c r="A50" s="1" t="s">
        <v>207</v>
      </c>
      <c r="B50" s="1" t="s">
        <v>208</v>
      </c>
      <c r="C50" s="1">
        <v>14300000</v>
      </c>
      <c r="D50" s="1" t="s">
        <v>49</v>
      </c>
      <c r="E50">
        <v>4283.2753000000002</v>
      </c>
      <c r="F50" s="1" t="s">
        <v>21</v>
      </c>
      <c r="G50">
        <v>7</v>
      </c>
      <c r="H50">
        <v>5</v>
      </c>
      <c r="I50" s="1" t="s">
        <v>26</v>
      </c>
      <c r="J50">
        <v>1</v>
      </c>
      <c r="K50" t="str">
        <f>IF(Tb_data[[#This Row],[previous_workers]]&lt;Tb_data[[#This Row],[workers]],"yes","no")</f>
        <v>yes</v>
      </c>
      <c r="L50">
        <f>Tb_data[[#This Row],[workers]]-Tb_data[[#This Row],[previous_workers]]</f>
        <v>2</v>
      </c>
      <c r="M50" s="12">
        <f>Tb_data[[#This Row],[Employees Growth]]/Tb_data[[#This Row],[previous_workers]]</f>
        <v>0.4</v>
      </c>
    </row>
    <row r="51" spans="1:13" x14ac:dyDescent="0.25">
      <c r="A51" s="1" t="s">
        <v>7298</v>
      </c>
      <c r="B51" s="1" t="s">
        <v>27</v>
      </c>
      <c r="C51" s="1">
        <v>15900000</v>
      </c>
      <c r="D51" s="1" t="s">
        <v>20</v>
      </c>
      <c r="E51">
        <v>97.054400000000001</v>
      </c>
      <c r="F51" s="1" t="s">
        <v>94</v>
      </c>
      <c r="G51">
        <v>29</v>
      </c>
      <c r="H51">
        <v>32</v>
      </c>
      <c r="I51" s="1" t="s">
        <v>164</v>
      </c>
      <c r="J51">
        <v>4</v>
      </c>
      <c r="K51" t="str">
        <f>IF(Tb_data[[#This Row],[previous_workers]]&lt;Tb_data[[#This Row],[workers]],"yes","no")</f>
        <v>no</v>
      </c>
      <c r="L51">
        <f>Tb_data[[#This Row],[workers]]-Tb_data[[#This Row],[previous_workers]]</f>
        <v>-3</v>
      </c>
      <c r="M51" s="12">
        <f>Tb_data[[#This Row],[Employees Growth]]/Tb_data[[#This Row],[previous_workers]]</f>
        <v>-9.375E-2</v>
      </c>
    </row>
    <row r="52" spans="1:13" x14ac:dyDescent="0.25">
      <c r="A52" s="1" t="s">
        <v>306</v>
      </c>
      <c r="B52" s="1" t="s">
        <v>307</v>
      </c>
      <c r="C52" s="1">
        <v>3300000</v>
      </c>
      <c r="D52" s="1" t="s">
        <v>175</v>
      </c>
      <c r="E52">
        <v>2994.2887999999998</v>
      </c>
      <c r="F52" s="1" t="s">
        <v>124</v>
      </c>
      <c r="G52">
        <v>40</v>
      </c>
      <c r="H52">
        <v>1</v>
      </c>
      <c r="I52" s="1" t="s">
        <v>13</v>
      </c>
      <c r="J52">
        <v>1</v>
      </c>
      <c r="K52" t="str">
        <f>IF(Tb_data[[#This Row],[previous_workers]]&lt;Tb_data[[#This Row],[workers]],"yes","no")</f>
        <v>yes</v>
      </c>
      <c r="L52">
        <f>Tb_data[[#This Row],[workers]]-Tb_data[[#This Row],[previous_workers]]</f>
        <v>39</v>
      </c>
      <c r="M52" s="12">
        <f>Tb_data[[#This Row],[Employees Growth]]/Tb_data[[#This Row],[previous_workers]]</f>
        <v>39</v>
      </c>
    </row>
    <row r="53" spans="1:13" x14ac:dyDescent="0.25">
      <c r="A53" s="1" t="s">
        <v>7276</v>
      </c>
      <c r="B53" s="1" t="s">
        <v>7277</v>
      </c>
      <c r="C53" s="1">
        <v>2300000</v>
      </c>
      <c r="D53" s="1" t="s">
        <v>895</v>
      </c>
      <c r="E53">
        <v>97.444599999999994</v>
      </c>
      <c r="F53" s="1" t="s">
        <v>30</v>
      </c>
      <c r="G53">
        <v>12</v>
      </c>
      <c r="H53">
        <v>6</v>
      </c>
      <c r="I53" s="1" t="s">
        <v>1051</v>
      </c>
      <c r="J53">
        <v>1</v>
      </c>
      <c r="K53" t="str">
        <f>IF(Tb_data[[#This Row],[previous_workers]]&lt;Tb_data[[#This Row],[workers]],"yes","no")</f>
        <v>yes</v>
      </c>
      <c r="L53">
        <f>Tb_data[[#This Row],[workers]]-Tb_data[[#This Row],[previous_workers]]</f>
        <v>6</v>
      </c>
      <c r="M53" s="12">
        <f>Tb_data[[#This Row],[Employees Growth]]/Tb_data[[#This Row],[previous_workers]]</f>
        <v>1</v>
      </c>
    </row>
    <row r="54" spans="1:13" x14ac:dyDescent="0.25">
      <c r="A54" s="1" t="s">
        <v>3364</v>
      </c>
      <c r="B54" s="1" t="s">
        <v>3365</v>
      </c>
      <c r="C54" s="1">
        <v>8300000</v>
      </c>
      <c r="D54" s="1" t="s">
        <v>41</v>
      </c>
      <c r="E54">
        <v>254.78550000000001</v>
      </c>
      <c r="F54" s="1" t="s">
        <v>97</v>
      </c>
      <c r="G54">
        <v>28</v>
      </c>
      <c r="H54">
        <v>10</v>
      </c>
      <c r="I54" s="1" t="s">
        <v>55</v>
      </c>
      <c r="J54">
        <v>3</v>
      </c>
      <c r="K54" t="str">
        <f>IF(Tb_data[[#This Row],[previous_workers]]&lt;Tb_data[[#This Row],[workers]],"yes","no")</f>
        <v>yes</v>
      </c>
      <c r="L54">
        <f>Tb_data[[#This Row],[workers]]-Tb_data[[#This Row],[previous_workers]]</f>
        <v>18</v>
      </c>
      <c r="M54" s="12">
        <f>Tb_data[[#This Row],[Employees Growth]]/Tb_data[[#This Row],[previous_workers]]</f>
        <v>1.8</v>
      </c>
    </row>
    <row r="55" spans="1:13" x14ac:dyDescent="0.25">
      <c r="A55" s="1" t="s">
        <v>3495</v>
      </c>
      <c r="B55" s="1" t="s">
        <v>3496</v>
      </c>
      <c r="C55" s="1">
        <v>3200000</v>
      </c>
      <c r="D55" s="1" t="s">
        <v>16</v>
      </c>
      <c r="E55">
        <v>242.65950000000001</v>
      </c>
      <c r="F55" s="1" t="s">
        <v>12</v>
      </c>
      <c r="G55">
        <v>37</v>
      </c>
      <c r="H55">
        <v>9</v>
      </c>
      <c r="I55" s="1" t="s">
        <v>26</v>
      </c>
      <c r="J55">
        <v>2</v>
      </c>
      <c r="K55" t="str">
        <f>IF(Tb_data[[#This Row],[previous_workers]]&lt;Tb_data[[#This Row],[workers]],"yes","no")</f>
        <v>yes</v>
      </c>
      <c r="L55">
        <f>Tb_data[[#This Row],[workers]]-Tb_data[[#This Row],[previous_workers]]</f>
        <v>28</v>
      </c>
      <c r="M55" s="12">
        <f>Tb_data[[#This Row],[Employees Growth]]/Tb_data[[#This Row],[previous_workers]]</f>
        <v>3.1111111111111112</v>
      </c>
    </row>
    <row r="56" spans="1:13" x14ac:dyDescent="0.25">
      <c r="A56" s="1" t="s">
        <v>1367</v>
      </c>
      <c r="B56" s="1" t="s">
        <v>1368</v>
      </c>
      <c r="C56" s="1">
        <v>6400000</v>
      </c>
      <c r="D56" s="1" t="s">
        <v>69</v>
      </c>
      <c r="E56">
        <v>697.95249999999999</v>
      </c>
      <c r="F56" s="1" t="s">
        <v>156</v>
      </c>
      <c r="G56">
        <v>36</v>
      </c>
      <c r="H56">
        <v>7</v>
      </c>
      <c r="I56" s="1" t="s">
        <v>26</v>
      </c>
      <c r="J56">
        <v>2</v>
      </c>
      <c r="K56" t="str">
        <f>IF(Tb_data[[#This Row],[previous_workers]]&lt;Tb_data[[#This Row],[workers]],"yes","no")</f>
        <v>yes</v>
      </c>
      <c r="L56">
        <f>Tb_data[[#This Row],[workers]]-Tb_data[[#This Row],[previous_workers]]</f>
        <v>29</v>
      </c>
      <c r="M56" s="12">
        <f>Tb_data[[#This Row],[Employees Growth]]/Tb_data[[#This Row],[previous_workers]]</f>
        <v>4.1428571428571432</v>
      </c>
    </row>
    <row r="57" spans="1:13" x14ac:dyDescent="0.25">
      <c r="A57" s="1" t="s">
        <v>3587</v>
      </c>
      <c r="B57" s="1" t="s">
        <v>3588</v>
      </c>
      <c r="C57" s="1">
        <v>10100000</v>
      </c>
      <c r="D57" s="1" t="s">
        <v>29</v>
      </c>
      <c r="E57">
        <v>234.99359999999999</v>
      </c>
      <c r="F57" s="1" t="s">
        <v>124</v>
      </c>
      <c r="G57">
        <v>20</v>
      </c>
      <c r="H57">
        <v>12</v>
      </c>
      <c r="I57" s="1" t="s">
        <v>295</v>
      </c>
      <c r="J57">
        <v>4</v>
      </c>
      <c r="K57" t="str">
        <f>IF(Tb_data[[#This Row],[previous_workers]]&lt;Tb_data[[#This Row],[workers]],"yes","no")</f>
        <v>yes</v>
      </c>
      <c r="L57">
        <f>Tb_data[[#This Row],[workers]]-Tb_data[[#This Row],[previous_workers]]</f>
        <v>8</v>
      </c>
      <c r="M57" s="12">
        <f>Tb_data[[#This Row],[Employees Growth]]/Tb_data[[#This Row],[previous_workers]]</f>
        <v>0.66666666666666663</v>
      </c>
    </row>
    <row r="58" spans="1:13" x14ac:dyDescent="0.25">
      <c r="A58" s="1" t="s">
        <v>9708</v>
      </c>
      <c r="B58" s="1" t="s">
        <v>9709</v>
      </c>
      <c r="C58" s="1">
        <v>21500000</v>
      </c>
      <c r="D58" s="1" t="s">
        <v>120</v>
      </c>
      <c r="E58">
        <v>57.948399999999999</v>
      </c>
      <c r="F58" s="1" t="s">
        <v>176</v>
      </c>
      <c r="G58">
        <v>106</v>
      </c>
      <c r="H58">
        <v>73</v>
      </c>
      <c r="I58" s="1" t="s">
        <v>35</v>
      </c>
      <c r="J58">
        <v>4</v>
      </c>
      <c r="K58" t="str">
        <f>IF(Tb_data[[#This Row],[previous_workers]]&lt;Tb_data[[#This Row],[workers]],"yes","no")</f>
        <v>yes</v>
      </c>
      <c r="L58">
        <f>Tb_data[[#This Row],[workers]]-Tb_data[[#This Row],[previous_workers]]</f>
        <v>33</v>
      </c>
      <c r="M58" s="12">
        <f>Tb_data[[#This Row],[Employees Growth]]/Tb_data[[#This Row],[previous_workers]]</f>
        <v>0.45205479452054792</v>
      </c>
    </row>
    <row r="59" spans="1:13" x14ac:dyDescent="0.25">
      <c r="A59" s="1" t="s">
        <v>2689</v>
      </c>
      <c r="B59" s="1" t="s">
        <v>2690</v>
      </c>
      <c r="C59" s="1">
        <v>6700000</v>
      </c>
      <c r="D59" s="1" t="s">
        <v>179</v>
      </c>
      <c r="E59">
        <v>320.14210000000003</v>
      </c>
      <c r="F59" s="1" t="s">
        <v>12</v>
      </c>
      <c r="G59">
        <v>44</v>
      </c>
      <c r="H59">
        <v>5</v>
      </c>
      <c r="I59" s="1" t="s">
        <v>194</v>
      </c>
      <c r="J59">
        <v>2</v>
      </c>
      <c r="K59" t="str">
        <f>IF(Tb_data[[#This Row],[previous_workers]]&lt;Tb_data[[#This Row],[workers]],"yes","no")</f>
        <v>yes</v>
      </c>
      <c r="L59">
        <f>Tb_data[[#This Row],[workers]]-Tb_data[[#This Row],[previous_workers]]</f>
        <v>39</v>
      </c>
      <c r="M59" s="12">
        <f>Tb_data[[#This Row],[Employees Growth]]/Tb_data[[#This Row],[previous_workers]]</f>
        <v>7.8</v>
      </c>
    </row>
    <row r="60" spans="1:13" x14ac:dyDescent="0.25">
      <c r="A60" s="1" t="s">
        <v>9950</v>
      </c>
      <c r="B60" s="1" t="s">
        <v>9951</v>
      </c>
      <c r="C60" s="1">
        <v>3900000000</v>
      </c>
      <c r="D60" s="1" t="s">
        <v>29</v>
      </c>
      <c r="E60">
        <v>54.397100000000002</v>
      </c>
      <c r="F60" s="1" t="s">
        <v>124</v>
      </c>
      <c r="G60">
        <v>5537</v>
      </c>
      <c r="H60">
        <v>4650</v>
      </c>
      <c r="I60" s="1" t="s">
        <v>4036</v>
      </c>
      <c r="J60">
        <v>1</v>
      </c>
      <c r="K60" t="str">
        <f>IF(Tb_data[[#This Row],[previous_workers]]&lt;Tb_data[[#This Row],[workers]],"yes","no")</f>
        <v>yes</v>
      </c>
      <c r="L60">
        <f>Tb_data[[#This Row],[workers]]-Tb_data[[#This Row],[previous_workers]]</f>
        <v>887</v>
      </c>
      <c r="M60" s="12">
        <f>Tb_data[[#This Row],[Employees Growth]]/Tb_data[[#This Row],[previous_workers]]</f>
        <v>0.19075268817204302</v>
      </c>
    </row>
    <row r="61" spans="1:13" x14ac:dyDescent="0.25">
      <c r="A61" s="1" t="s">
        <v>7487</v>
      </c>
      <c r="B61" s="1" t="s">
        <v>7488</v>
      </c>
      <c r="C61" s="1">
        <v>8200000</v>
      </c>
      <c r="D61" s="1" t="s">
        <v>52</v>
      </c>
      <c r="E61">
        <v>93.34</v>
      </c>
      <c r="F61" s="1" t="s">
        <v>12</v>
      </c>
      <c r="G61">
        <v>66</v>
      </c>
      <c r="H61">
        <v>34</v>
      </c>
      <c r="I61" s="1" t="s">
        <v>226</v>
      </c>
      <c r="J61">
        <v>6</v>
      </c>
      <c r="K61" t="str">
        <f>IF(Tb_data[[#This Row],[previous_workers]]&lt;Tb_data[[#This Row],[workers]],"yes","no")</f>
        <v>yes</v>
      </c>
      <c r="L61">
        <f>Tb_data[[#This Row],[workers]]-Tb_data[[#This Row],[previous_workers]]</f>
        <v>32</v>
      </c>
      <c r="M61" s="12">
        <f>Tb_data[[#This Row],[Employees Growth]]/Tb_data[[#This Row],[previous_workers]]</f>
        <v>0.94117647058823528</v>
      </c>
    </row>
    <row r="62" spans="1:13" x14ac:dyDescent="0.25">
      <c r="A62" s="1" t="s">
        <v>7102</v>
      </c>
      <c r="B62" s="1" t="s">
        <v>7103</v>
      </c>
      <c r="C62" s="1">
        <v>5500000</v>
      </c>
      <c r="D62" s="1" t="s">
        <v>115</v>
      </c>
      <c r="E62">
        <v>100.1349</v>
      </c>
      <c r="F62" s="1" t="s">
        <v>12</v>
      </c>
      <c r="G62">
        <v>22</v>
      </c>
      <c r="H62">
        <v>15</v>
      </c>
      <c r="I62" s="1" t="s">
        <v>1411</v>
      </c>
      <c r="J62">
        <v>3</v>
      </c>
      <c r="K62" t="str">
        <f>IF(Tb_data[[#This Row],[previous_workers]]&lt;Tb_data[[#This Row],[workers]],"yes","no")</f>
        <v>yes</v>
      </c>
      <c r="L62">
        <f>Tb_data[[#This Row],[workers]]-Tb_data[[#This Row],[previous_workers]]</f>
        <v>7</v>
      </c>
      <c r="M62" s="12">
        <f>Tb_data[[#This Row],[Employees Growth]]/Tb_data[[#This Row],[previous_workers]]</f>
        <v>0.46666666666666667</v>
      </c>
    </row>
    <row r="63" spans="1:13" x14ac:dyDescent="0.25">
      <c r="A63" s="1" t="s">
        <v>7569</v>
      </c>
      <c r="B63" s="1" t="s">
        <v>7570</v>
      </c>
      <c r="C63" s="1">
        <v>8400000</v>
      </c>
      <c r="D63" s="1" t="s">
        <v>91</v>
      </c>
      <c r="E63">
        <v>91.114999999999995</v>
      </c>
      <c r="F63" s="1" t="s">
        <v>12</v>
      </c>
      <c r="G63">
        <v>75</v>
      </c>
      <c r="H63">
        <v>47</v>
      </c>
      <c r="I63" s="1" t="s">
        <v>295</v>
      </c>
      <c r="J63">
        <v>4</v>
      </c>
      <c r="K63" t="str">
        <f>IF(Tb_data[[#This Row],[previous_workers]]&lt;Tb_data[[#This Row],[workers]],"yes","no")</f>
        <v>yes</v>
      </c>
      <c r="L63">
        <f>Tb_data[[#This Row],[workers]]-Tb_data[[#This Row],[previous_workers]]</f>
        <v>28</v>
      </c>
      <c r="M63" s="12">
        <f>Tb_data[[#This Row],[Employees Growth]]/Tb_data[[#This Row],[previous_workers]]</f>
        <v>0.5957446808510638</v>
      </c>
    </row>
    <row r="64" spans="1:13" x14ac:dyDescent="0.25">
      <c r="A64" s="1" t="s">
        <v>9063</v>
      </c>
      <c r="B64" s="1" t="s">
        <v>9064</v>
      </c>
      <c r="C64" s="1">
        <v>9000000</v>
      </c>
      <c r="D64" s="1" t="s">
        <v>20</v>
      </c>
      <c r="E64">
        <v>65.877200000000002</v>
      </c>
      <c r="F64" s="1" t="s">
        <v>62</v>
      </c>
      <c r="G64">
        <v>65</v>
      </c>
      <c r="H64">
        <v>50</v>
      </c>
      <c r="I64" s="1" t="s">
        <v>164</v>
      </c>
      <c r="J64">
        <v>5</v>
      </c>
      <c r="K64" t="str">
        <f>IF(Tb_data[[#This Row],[previous_workers]]&lt;Tb_data[[#This Row],[workers]],"yes","no")</f>
        <v>yes</v>
      </c>
      <c r="L64">
        <f>Tb_data[[#This Row],[workers]]-Tb_data[[#This Row],[previous_workers]]</f>
        <v>15</v>
      </c>
      <c r="M64" s="12">
        <f>Tb_data[[#This Row],[Employees Growth]]/Tb_data[[#This Row],[previous_workers]]</f>
        <v>0.3</v>
      </c>
    </row>
    <row r="65" spans="1:13" x14ac:dyDescent="0.25">
      <c r="A65" s="1" t="s">
        <v>4493</v>
      </c>
      <c r="B65" s="1" t="s">
        <v>4494</v>
      </c>
      <c r="C65" s="1">
        <v>22200000</v>
      </c>
      <c r="D65" s="1" t="s">
        <v>627</v>
      </c>
      <c r="E65">
        <v>182.7704</v>
      </c>
      <c r="F65" s="1" t="s">
        <v>25</v>
      </c>
      <c r="G65">
        <v>39</v>
      </c>
      <c r="H65">
        <v>13</v>
      </c>
      <c r="I65" s="1" t="s">
        <v>46</v>
      </c>
      <c r="J65">
        <v>5</v>
      </c>
      <c r="K65" t="str">
        <f>IF(Tb_data[[#This Row],[previous_workers]]&lt;Tb_data[[#This Row],[workers]],"yes","no")</f>
        <v>yes</v>
      </c>
      <c r="L65">
        <f>Tb_data[[#This Row],[workers]]-Tb_data[[#This Row],[previous_workers]]</f>
        <v>26</v>
      </c>
      <c r="M65" s="12">
        <f>Tb_data[[#This Row],[Employees Growth]]/Tb_data[[#This Row],[previous_workers]]</f>
        <v>2</v>
      </c>
    </row>
    <row r="66" spans="1:13" x14ac:dyDescent="0.25">
      <c r="A66" s="1" t="s">
        <v>7347</v>
      </c>
      <c r="B66" s="1" t="s">
        <v>7348</v>
      </c>
      <c r="C66" s="1">
        <v>2100000</v>
      </c>
      <c r="D66" s="1" t="s">
        <v>20</v>
      </c>
      <c r="E66">
        <v>96.236999999999995</v>
      </c>
      <c r="F66" s="1" t="s">
        <v>124</v>
      </c>
      <c r="G66">
        <v>17</v>
      </c>
      <c r="H66">
        <v>6</v>
      </c>
      <c r="I66" s="1" t="s">
        <v>194</v>
      </c>
      <c r="J66">
        <v>1</v>
      </c>
      <c r="K66" t="str">
        <f>IF(Tb_data[[#This Row],[previous_workers]]&lt;Tb_data[[#This Row],[workers]],"yes","no")</f>
        <v>yes</v>
      </c>
      <c r="L66">
        <f>Tb_data[[#This Row],[workers]]-Tb_data[[#This Row],[previous_workers]]</f>
        <v>11</v>
      </c>
      <c r="M66" s="12">
        <f>Tb_data[[#This Row],[Employees Growth]]/Tb_data[[#This Row],[previous_workers]]</f>
        <v>1.8333333333333333</v>
      </c>
    </row>
    <row r="67" spans="1:13" x14ac:dyDescent="0.25">
      <c r="A67" s="1" t="s">
        <v>5176</v>
      </c>
      <c r="B67" s="1" t="s">
        <v>5177</v>
      </c>
      <c r="C67" s="1">
        <v>8900000</v>
      </c>
      <c r="D67" s="1" t="s">
        <v>16</v>
      </c>
      <c r="E67">
        <v>154.26820000000001</v>
      </c>
      <c r="F67" s="1" t="s">
        <v>176</v>
      </c>
      <c r="G67">
        <v>255</v>
      </c>
      <c r="H67">
        <v>95</v>
      </c>
      <c r="I67" s="1" t="s">
        <v>164</v>
      </c>
      <c r="J67">
        <v>1</v>
      </c>
      <c r="K67" t="str">
        <f>IF(Tb_data[[#This Row],[previous_workers]]&lt;Tb_data[[#This Row],[workers]],"yes","no")</f>
        <v>yes</v>
      </c>
      <c r="L67">
        <f>Tb_data[[#This Row],[workers]]-Tb_data[[#This Row],[previous_workers]]</f>
        <v>160</v>
      </c>
      <c r="M67" s="12">
        <f>Tb_data[[#This Row],[Employees Growth]]/Tb_data[[#This Row],[previous_workers]]</f>
        <v>1.6842105263157894</v>
      </c>
    </row>
    <row r="68" spans="1:13" x14ac:dyDescent="0.25">
      <c r="A68" s="1" t="s">
        <v>5336</v>
      </c>
      <c r="B68" s="1" t="s">
        <v>5337</v>
      </c>
      <c r="C68" s="1">
        <v>8900000</v>
      </c>
      <c r="D68" s="1" t="s">
        <v>91</v>
      </c>
      <c r="E68">
        <v>148.339</v>
      </c>
      <c r="F68" s="1" t="s">
        <v>25</v>
      </c>
      <c r="G68">
        <v>41</v>
      </c>
      <c r="H68">
        <v>9</v>
      </c>
      <c r="I68" s="1" t="s">
        <v>147</v>
      </c>
      <c r="J68">
        <v>1</v>
      </c>
      <c r="K68" t="str">
        <f>IF(Tb_data[[#This Row],[previous_workers]]&lt;Tb_data[[#This Row],[workers]],"yes","no")</f>
        <v>yes</v>
      </c>
      <c r="L68">
        <f>Tb_data[[#This Row],[workers]]-Tb_data[[#This Row],[previous_workers]]</f>
        <v>32</v>
      </c>
      <c r="M68" s="12">
        <f>Tb_data[[#This Row],[Employees Growth]]/Tb_data[[#This Row],[previous_workers]]</f>
        <v>3.5555555555555554</v>
      </c>
    </row>
    <row r="69" spans="1:13" x14ac:dyDescent="0.25">
      <c r="A69" s="1" t="s">
        <v>9151</v>
      </c>
      <c r="B69" s="1" t="s">
        <v>9152</v>
      </c>
      <c r="C69" s="1">
        <v>18900000</v>
      </c>
      <c r="D69" s="1" t="s">
        <v>33</v>
      </c>
      <c r="E69">
        <v>64.815100000000001</v>
      </c>
      <c r="F69" s="1" t="s">
        <v>124</v>
      </c>
      <c r="G69">
        <v>120</v>
      </c>
      <c r="H69">
        <v>66</v>
      </c>
      <c r="I69" s="1" t="s">
        <v>2611</v>
      </c>
      <c r="J69">
        <v>1</v>
      </c>
      <c r="K69" t="str">
        <f>IF(Tb_data[[#This Row],[previous_workers]]&lt;Tb_data[[#This Row],[workers]],"yes","no")</f>
        <v>yes</v>
      </c>
      <c r="L69">
        <f>Tb_data[[#This Row],[workers]]-Tb_data[[#This Row],[previous_workers]]</f>
        <v>54</v>
      </c>
      <c r="M69" s="12">
        <f>Tb_data[[#This Row],[Employees Growth]]/Tb_data[[#This Row],[previous_workers]]</f>
        <v>0.81818181818181823</v>
      </c>
    </row>
    <row r="70" spans="1:13" x14ac:dyDescent="0.25">
      <c r="A70" s="1" t="s">
        <v>3305</v>
      </c>
      <c r="B70" s="1" t="s">
        <v>3306</v>
      </c>
      <c r="C70" s="1">
        <v>7000000</v>
      </c>
      <c r="D70" s="1" t="s">
        <v>483</v>
      </c>
      <c r="E70">
        <v>258.37529999999998</v>
      </c>
      <c r="F70" s="1" t="s">
        <v>156</v>
      </c>
      <c r="G70">
        <v>42</v>
      </c>
      <c r="H70">
        <v>10</v>
      </c>
      <c r="I70" s="1" t="s">
        <v>26</v>
      </c>
      <c r="J70">
        <v>3</v>
      </c>
      <c r="K70" t="str">
        <f>IF(Tb_data[[#This Row],[previous_workers]]&lt;Tb_data[[#This Row],[workers]],"yes","no")</f>
        <v>yes</v>
      </c>
      <c r="L70">
        <f>Tb_data[[#This Row],[workers]]-Tb_data[[#This Row],[previous_workers]]</f>
        <v>32</v>
      </c>
      <c r="M70" s="12">
        <f>Tb_data[[#This Row],[Employees Growth]]/Tb_data[[#This Row],[previous_workers]]</f>
        <v>3.2</v>
      </c>
    </row>
    <row r="71" spans="1:13" x14ac:dyDescent="0.25">
      <c r="A71" s="1" t="s">
        <v>4957</v>
      </c>
      <c r="B71" s="1" t="s">
        <v>4958</v>
      </c>
      <c r="C71" s="1">
        <v>9600000</v>
      </c>
      <c r="D71" s="1" t="s">
        <v>49</v>
      </c>
      <c r="E71">
        <v>163.7739</v>
      </c>
      <c r="F71" s="1" t="s">
        <v>94</v>
      </c>
      <c r="G71">
        <v>48</v>
      </c>
      <c r="H71">
        <v>25</v>
      </c>
      <c r="I71" s="1" t="s">
        <v>130</v>
      </c>
      <c r="J71">
        <v>4</v>
      </c>
      <c r="K71" t="str">
        <f>IF(Tb_data[[#This Row],[previous_workers]]&lt;Tb_data[[#This Row],[workers]],"yes","no")</f>
        <v>yes</v>
      </c>
      <c r="L71">
        <f>Tb_data[[#This Row],[workers]]-Tb_data[[#This Row],[previous_workers]]</f>
        <v>23</v>
      </c>
      <c r="M71" s="12">
        <f>Tb_data[[#This Row],[Employees Growth]]/Tb_data[[#This Row],[previous_workers]]</f>
        <v>0.92</v>
      </c>
    </row>
    <row r="72" spans="1:13" x14ac:dyDescent="0.25">
      <c r="A72" s="1" t="s">
        <v>6433</v>
      </c>
      <c r="B72" s="1" t="s">
        <v>6434</v>
      </c>
      <c r="C72" s="1">
        <v>12600000</v>
      </c>
      <c r="D72" s="1" t="s">
        <v>427</v>
      </c>
      <c r="E72">
        <v>115.5016</v>
      </c>
      <c r="F72" s="1" t="s">
        <v>124</v>
      </c>
      <c r="G72">
        <v>66</v>
      </c>
      <c r="H72">
        <v>22</v>
      </c>
      <c r="I72" s="1" t="s">
        <v>229</v>
      </c>
      <c r="J72">
        <v>1</v>
      </c>
      <c r="K72" t="str">
        <f>IF(Tb_data[[#This Row],[previous_workers]]&lt;Tb_data[[#This Row],[workers]],"yes","no")</f>
        <v>yes</v>
      </c>
      <c r="L72">
        <f>Tb_data[[#This Row],[workers]]-Tb_data[[#This Row],[previous_workers]]</f>
        <v>44</v>
      </c>
      <c r="M72" s="12">
        <f>Tb_data[[#This Row],[Employees Growth]]/Tb_data[[#This Row],[previous_workers]]</f>
        <v>2</v>
      </c>
    </row>
    <row r="73" spans="1:13" x14ac:dyDescent="0.25">
      <c r="A73" s="1" t="s">
        <v>4709</v>
      </c>
      <c r="B73" s="1" t="s">
        <v>4711</v>
      </c>
      <c r="C73" s="1">
        <v>14900000</v>
      </c>
      <c r="D73" s="1" t="s">
        <v>20</v>
      </c>
      <c r="E73">
        <v>174.0686</v>
      </c>
      <c r="F73" s="1" t="s">
        <v>12</v>
      </c>
      <c r="G73">
        <v>30</v>
      </c>
      <c r="H73">
        <v>18</v>
      </c>
      <c r="I73" s="1" t="s">
        <v>468</v>
      </c>
      <c r="J73">
        <v>2</v>
      </c>
      <c r="K73" t="str">
        <f>IF(Tb_data[[#This Row],[previous_workers]]&lt;Tb_data[[#This Row],[workers]],"yes","no")</f>
        <v>yes</v>
      </c>
      <c r="L73">
        <f>Tb_data[[#This Row],[workers]]-Tb_data[[#This Row],[previous_workers]]</f>
        <v>12</v>
      </c>
      <c r="M73" s="12">
        <f>Tb_data[[#This Row],[Employees Growth]]/Tb_data[[#This Row],[previous_workers]]</f>
        <v>0.66666666666666663</v>
      </c>
    </row>
    <row r="74" spans="1:13" x14ac:dyDescent="0.25">
      <c r="A74" s="1" t="s">
        <v>2201</v>
      </c>
      <c r="B74" s="1" t="s">
        <v>2202</v>
      </c>
      <c r="C74" s="1">
        <v>28200000</v>
      </c>
      <c r="D74" s="1" t="s">
        <v>11</v>
      </c>
      <c r="E74">
        <v>399.70310000000001</v>
      </c>
      <c r="F74" s="1" t="s">
        <v>25</v>
      </c>
      <c r="G74">
        <v>180</v>
      </c>
      <c r="H74">
        <v>54</v>
      </c>
      <c r="I74" s="1" t="s">
        <v>194</v>
      </c>
      <c r="J74">
        <v>2</v>
      </c>
      <c r="K74" t="str">
        <f>IF(Tb_data[[#This Row],[previous_workers]]&lt;Tb_data[[#This Row],[workers]],"yes","no")</f>
        <v>yes</v>
      </c>
      <c r="L74">
        <f>Tb_data[[#This Row],[workers]]-Tb_data[[#This Row],[previous_workers]]</f>
        <v>126</v>
      </c>
      <c r="M74" s="12">
        <f>Tb_data[[#This Row],[Employees Growth]]/Tb_data[[#This Row],[previous_workers]]</f>
        <v>2.3333333333333335</v>
      </c>
    </row>
    <row r="75" spans="1:13" x14ac:dyDescent="0.25">
      <c r="A75" s="1" t="s">
        <v>5510</v>
      </c>
      <c r="B75" s="1" t="s">
        <v>5511</v>
      </c>
      <c r="C75" s="1">
        <v>8800000</v>
      </c>
      <c r="D75" s="1" t="s">
        <v>129</v>
      </c>
      <c r="E75">
        <v>142.14259999999999</v>
      </c>
      <c r="F75" s="1" t="s">
        <v>97</v>
      </c>
      <c r="G75">
        <v>25</v>
      </c>
      <c r="H75">
        <v>9</v>
      </c>
      <c r="I75" s="1" t="s">
        <v>147</v>
      </c>
      <c r="J75">
        <v>1</v>
      </c>
      <c r="K75" t="str">
        <f>IF(Tb_data[[#This Row],[previous_workers]]&lt;Tb_data[[#This Row],[workers]],"yes","no")</f>
        <v>yes</v>
      </c>
      <c r="L75">
        <f>Tb_data[[#This Row],[workers]]-Tb_data[[#This Row],[previous_workers]]</f>
        <v>16</v>
      </c>
      <c r="M75" s="12">
        <f>Tb_data[[#This Row],[Employees Growth]]/Tb_data[[#This Row],[previous_workers]]</f>
        <v>1.7777777777777777</v>
      </c>
    </row>
    <row r="76" spans="1:13" x14ac:dyDescent="0.25">
      <c r="A76" s="1" t="s">
        <v>7060</v>
      </c>
      <c r="B76" s="1" t="s">
        <v>7061</v>
      </c>
      <c r="C76" s="1">
        <v>51700000</v>
      </c>
      <c r="D76" s="1" t="s">
        <v>254</v>
      </c>
      <c r="E76">
        <v>100.8335</v>
      </c>
      <c r="F76" s="1" t="s">
        <v>176</v>
      </c>
      <c r="G76">
        <v>225</v>
      </c>
      <c r="H76">
        <v>50</v>
      </c>
      <c r="I76" s="1" t="s">
        <v>46</v>
      </c>
      <c r="J76">
        <v>4</v>
      </c>
      <c r="K76" t="str">
        <f>IF(Tb_data[[#This Row],[previous_workers]]&lt;Tb_data[[#This Row],[workers]],"yes","no")</f>
        <v>yes</v>
      </c>
      <c r="L76">
        <f>Tb_data[[#This Row],[workers]]-Tb_data[[#This Row],[previous_workers]]</f>
        <v>175</v>
      </c>
      <c r="M76" s="12">
        <f>Tb_data[[#This Row],[Employees Growth]]/Tb_data[[#This Row],[previous_workers]]</f>
        <v>3.5</v>
      </c>
    </row>
    <row r="77" spans="1:13" x14ac:dyDescent="0.25">
      <c r="A77" s="1" t="s">
        <v>9199</v>
      </c>
      <c r="B77" s="1" t="s">
        <v>9200</v>
      </c>
      <c r="C77" s="1">
        <v>28500000</v>
      </c>
      <c r="D77" s="1" t="s">
        <v>61</v>
      </c>
      <c r="E77">
        <v>64.119100000000003</v>
      </c>
      <c r="F77" s="1" t="s">
        <v>3264</v>
      </c>
      <c r="G77">
        <v>107</v>
      </c>
      <c r="H77">
        <v>88</v>
      </c>
      <c r="I77" s="1" t="s">
        <v>46</v>
      </c>
      <c r="J77">
        <v>2</v>
      </c>
      <c r="K77" t="str">
        <f>IF(Tb_data[[#This Row],[previous_workers]]&lt;Tb_data[[#This Row],[workers]],"yes","no")</f>
        <v>yes</v>
      </c>
      <c r="L77">
        <f>Tb_data[[#This Row],[workers]]-Tb_data[[#This Row],[previous_workers]]</f>
        <v>19</v>
      </c>
      <c r="M77" s="12">
        <f>Tb_data[[#This Row],[Employees Growth]]/Tb_data[[#This Row],[previous_workers]]</f>
        <v>0.21590909090909091</v>
      </c>
    </row>
    <row r="78" spans="1:13" x14ac:dyDescent="0.25">
      <c r="A78" s="1" t="s">
        <v>9722</v>
      </c>
      <c r="B78" s="1" t="s">
        <v>9723</v>
      </c>
      <c r="C78" s="1">
        <v>17000000</v>
      </c>
      <c r="D78" s="1" t="s">
        <v>49</v>
      </c>
      <c r="E78">
        <v>57.826799999999999</v>
      </c>
      <c r="F78" s="1" t="s">
        <v>62</v>
      </c>
      <c r="G78">
        <v>57</v>
      </c>
      <c r="H78">
        <v>46</v>
      </c>
      <c r="I78" s="1" t="s">
        <v>229</v>
      </c>
      <c r="J78">
        <v>8</v>
      </c>
      <c r="K78" t="str">
        <f>IF(Tb_data[[#This Row],[previous_workers]]&lt;Tb_data[[#This Row],[workers]],"yes","no")</f>
        <v>yes</v>
      </c>
      <c r="L78">
        <f>Tb_data[[#This Row],[workers]]-Tb_data[[#This Row],[previous_workers]]</f>
        <v>11</v>
      </c>
      <c r="M78" s="12">
        <f>Tb_data[[#This Row],[Employees Growth]]/Tb_data[[#This Row],[previous_workers]]</f>
        <v>0.2391304347826087</v>
      </c>
    </row>
    <row r="79" spans="1:13" x14ac:dyDescent="0.25">
      <c r="A79" s="1" t="s">
        <v>7743</v>
      </c>
      <c r="B79" s="1" t="s">
        <v>7744</v>
      </c>
      <c r="C79" s="1">
        <v>2500000</v>
      </c>
      <c r="D79" s="1" t="s">
        <v>664</v>
      </c>
      <c r="E79">
        <v>87.259799999999998</v>
      </c>
      <c r="F79" s="1" t="s">
        <v>514</v>
      </c>
      <c r="G79">
        <v>21</v>
      </c>
      <c r="H79">
        <v>3</v>
      </c>
      <c r="I79" s="1" t="s">
        <v>55</v>
      </c>
      <c r="J79">
        <v>2</v>
      </c>
      <c r="K79" t="str">
        <f>IF(Tb_data[[#This Row],[previous_workers]]&lt;Tb_data[[#This Row],[workers]],"yes","no")</f>
        <v>yes</v>
      </c>
      <c r="L79">
        <f>Tb_data[[#This Row],[workers]]-Tb_data[[#This Row],[previous_workers]]</f>
        <v>18</v>
      </c>
      <c r="M79" s="12">
        <f>Tb_data[[#This Row],[Employees Growth]]/Tb_data[[#This Row],[previous_workers]]</f>
        <v>6</v>
      </c>
    </row>
    <row r="80" spans="1:13" x14ac:dyDescent="0.25">
      <c r="A80" s="1" t="s">
        <v>6553</v>
      </c>
      <c r="B80" s="1" t="s">
        <v>6554</v>
      </c>
      <c r="C80" s="1">
        <v>23900000</v>
      </c>
      <c r="D80" s="1" t="s">
        <v>38</v>
      </c>
      <c r="E80">
        <v>112.4558</v>
      </c>
      <c r="F80" s="1" t="s">
        <v>124</v>
      </c>
      <c r="G80">
        <v>20</v>
      </c>
      <c r="H80">
        <v>10</v>
      </c>
      <c r="I80" s="1" t="s">
        <v>948</v>
      </c>
      <c r="J80">
        <v>2</v>
      </c>
      <c r="K80" t="str">
        <f>IF(Tb_data[[#This Row],[previous_workers]]&lt;Tb_data[[#This Row],[workers]],"yes","no")</f>
        <v>yes</v>
      </c>
      <c r="L80">
        <f>Tb_data[[#This Row],[workers]]-Tb_data[[#This Row],[previous_workers]]</f>
        <v>10</v>
      </c>
      <c r="M80" s="12">
        <f>Tb_data[[#This Row],[Employees Growth]]/Tb_data[[#This Row],[previous_workers]]</f>
        <v>1</v>
      </c>
    </row>
    <row r="81" spans="1:13" x14ac:dyDescent="0.25">
      <c r="A81" s="1" t="s">
        <v>6031</v>
      </c>
      <c r="B81" s="1" t="s">
        <v>6032</v>
      </c>
      <c r="C81" s="1">
        <v>7100000</v>
      </c>
      <c r="D81" s="1" t="s">
        <v>16</v>
      </c>
      <c r="E81">
        <v>125.9079</v>
      </c>
      <c r="F81" s="1" t="s">
        <v>176</v>
      </c>
      <c r="G81">
        <v>25</v>
      </c>
      <c r="H81">
        <v>10</v>
      </c>
      <c r="I81" s="1" t="s">
        <v>194</v>
      </c>
      <c r="J81">
        <v>5</v>
      </c>
      <c r="K81" t="str">
        <f>IF(Tb_data[[#This Row],[previous_workers]]&lt;Tb_data[[#This Row],[workers]],"yes","no")</f>
        <v>yes</v>
      </c>
      <c r="L81">
        <f>Tb_data[[#This Row],[workers]]-Tb_data[[#This Row],[previous_workers]]</f>
        <v>15</v>
      </c>
      <c r="M81" s="12">
        <f>Tb_data[[#This Row],[Employees Growth]]/Tb_data[[#This Row],[previous_workers]]</f>
        <v>1.5</v>
      </c>
    </row>
    <row r="82" spans="1:13" x14ac:dyDescent="0.25">
      <c r="A82" s="1" t="s">
        <v>7296</v>
      </c>
      <c r="B82" s="1" t="s">
        <v>7297</v>
      </c>
      <c r="C82" s="1">
        <v>12500000</v>
      </c>
      <c r="D82" s="1" t="s">
        <v>20</v>
      </c>
      <c r="E82">
        <v>97.081800000000001</v>
      </c>
      <c r="F82" s="1" t="s">
        <v>62</v>
      </c>
      <c r="G82">
        <v>96</v>
      </c>
      <c r="H82">
        <v>55</v>
      </c>
      <c r="I82" s="1" t="s">
        <v>295</v>
      </c>
      <c r="J82">
        <v>6</v>
      </c>
      <c r="K82" t="str">
        <f>IF(Tb_data[[#This Row],[previous_workers]]&lt;Tb_data[[#This Row],[workers]],"yes","no")</f>
        <v>yes</v>
      </c>
      <c r="L82">
        <f>Tb_data[[#This Row],[workers]]-Tb_data[[#This Row],[previous_workers]]</f>
        <v>41</v>
      </c>
      <c r="M82" s="12">
        <f>Tb_data[[#This Row],[Employees Growth]]/Tb_data[[#This Row],[previous_workers]]</f>
        <v>0.74545454545454548</v>
      </c>
    </row>
    <row r="83" spans="1:13" x14ac:dyDescent="0.25">
      <c r="A83" s="1" t="s">
        <v>4858</v>
      </c>
      <c r="B83" s="1" t="s">
        <v>4859</v>
      </c>
      <c r="C83" s="1">
        <v>7800000</v>
      </c>
      <c r="D83" s="1" t="s">
        <v>91</v>
      </c>
      <c r="E83">
        <v>167.59280000000001</v>
      </c>
      <c r="F83" s="1" t="s">
        <v>142</v>
      </c>
      <c r="G83">
        <v>17</v>
      </c>
      <c r="H83">
        <v>7</v>
      </c>
      <c r="I83" s="1" t="s">
        <v>117</v>
      </c>
      <c r="J83">
        <v>3</v>
      </c>
      <c r="K83" t="str">
        <f>IF(Tb_data[[#This Row],[previous_workers]]&lt;Tb_data[[#This Row],[workers]],"yes","no")</f>
        <v>yes</v>
      </c>
      <c r="L83">
        <f>Tb_data[[#This Row],[workers]]-Tb_data[[#This Row],[previous_workers]]</f>
        <v>10</v>
      </c>
      <c r="M83" s="12">
        <f>Tb_data[[#This Row],[Employees Growth]]/Tb_data[[#This Row],[previous_workers]]</f>
        <v>1.4285714285714286</v>
      </c>
    </row>
    <row r="84" spans="1:13" x14ac:dyDescent="0.25">
      <c r="A84" s="1" t="s">
        <v>5736</v>
      </c>
      <c r="B84" s="1" t="s">
        <v>5737</v>
      </c>
      <c r="C84" s="1">
        <v>12000000</v>
      </c>
      <c r="D84" s="1" t="s">
        <v>179</v>
      </c>
      <c r="E84">
        <v>133.26830000000001</v>
      </c>
      <c r="F84" s="1" t="s">
        <v>17</v>
      </c>
      <c r="G84">
        <v>92</v>
      </c>
      <c r="H84">
        <v>48</v>
      </c>
      <c r="I84" s="1" t="s">
        <v>961</v>
      </c>
      <c r="J84">
        <v>1</v>
      </c>
      <c r="K84" t="str">
        <f>IF(Tb_data[[#This Row],[previous_workers]]&lt;Tb_data[[#This Row],[workers]],"yes","no")</f>
        <v>yes</v>
      </c>
      <c r="L84">
        <f>Tb_data[[#This Row],[workers]]-Tb_data[[#This Row],[previous_workers]]</f>
        <v>44</v>
      </c>
      <c r="M84" s="12">
        <f>Tb_data[[#This Row],[Employees Growth]]/Tb_data[[#This Row],[previous_workers]]</f>
        <v>0.91666666666666663</v>
      </c>
    </row>
    <row r="85" spans="1:13" x14ac:dyDescent="0.25">
      <c r="A85" s="1" t="s">
        <v>1003</v>
      </c>
      <c r="B85" s="1" t="s">
        <v>1004</v>
      </c>
      <c r="C85" s="1">
        <v>2700000</v>
      </c>
      <c r="D85" s="1" t="s">
        <v>41</v>
      </c>
      <c r="E85">
        <v>1001.6224</v>
      </c>
      <c r="F85" s="1" t="s">
        <v>100</v>
      </c>
      <c r="G85">
        <v>45</v>
      </c>
      <c r="H85">
        <v>8</v>
      </c>
      <c r="I85" s="1" t="s">
        <v>26</v>
      </c>
      <c r="J85">
        <v>2</v>
      </c>
      <c r="K85" t="str">
        <f>IF(Tb_data[[#This Row],[previous_workers]]&lt;Tb_data[[#This Row],[workers]],"yes","no")</f>
        <v>yes</v>
      </c>
      <c r="L85">
        <f>Tb_data[[#This Row],[workers]]-Tb_data[[#This Row],[previous_workers]]</f>
        <v>37</v>
      </c>
      <c r="M85" s="12">
        <f>Tb_data[[#This Row],[Employees Growth]]/Tb_data[[#This Row],[previous_workers]]</f>
        <v>4.625</v>
      </c>
    </row>
    <row r="86" spans="1:13" x14ac:dyDescent="0.25">
      <c r="A86" s="1" t="s">
        <v>4485</v>
      </c>
      <c r="B86" s="1" t="s">
        <v>4486</v>
      </c>
      <c r="C86" s="1">
        <v>3300000</v>
      </c>
      <c r="D86" s="1" t="s">
        <v>33</v>
      </c>
      <c r="E86">
        <v>183.05699999999999</v>
      </c>
      <c r="F86" s="1" t="s">
        <v>12</v>
      </c>
      <c r="G86">
        <v>64</v>
      </c>
      <c r="H86">
        <v>21</v>
      </c>
      <c r="I86" s="1" t="s">
        <v>372</v>
      </c>
      <c r="J86">
        <v>2</v>
      </c>
      <c r="K86" t="str">
        <f>IF(Tb_data[[#This Row],[previous_workers]]&lt;Tb_data[[#This Row],[workers]],"yes","no")</f>
        <v>yes</v>
      </c>
      <c r="L86">
        <f>Tb_data[[#This Row],[workers]]-Tb_data[[#This Row],[previous_workers]]</f>
        <v>43</v>
      </c>
      <c r="M86" s="12">
        <f>Tb_data[[#This Row],[Employees Growth]]/Tb_data[[#This Row],[previous_workers]]</f>
        <v>2.0476190476190474</v>
      </c>
    </row>
    <row r="87" spans="1:13" x14ac:dyDescent="0.25">
      <c r="A87" s="1" t="s">
        <v>4852</v>
      </c>
      <c r="B87" s="1" t="s">
        <v>4853</v>
      </c>
      <c r="C87" s="1">
        <v>23300000</v>
      </c>
      <c r="D87" s="1" t="s">
        <v>422</v>
      </c>
      <c r="E87">
        <v>167.7372</v>
      </c>
      <c r="F87" s="1" t="s">
        <v>12</v>
      </c>
      <c r="G87">
        <v>260</v>
      </c>
      <c r="H87">
        <v>97</v>
      </c>
      <c r="I87" s="1" t="s">
        <v>35</v>
      </c>
      <c r="J87">
        <v>5</v>
      </c>
      <c r="K87" t="str">
        <f>IF(Tb_data[[#This Row],[previous_workers]]&lt;Tb_data[[#This Row],[workers]],"yes","no")</f>
        <v>yes</v>
      </c>
      <c r="L87">
        <f>Tb_data[[#This Row],[workers]]-Tb_data[[#This Row],[previous_workers]]</f>
        <v>163</v>
      </c>
      <c r="M87" s="12">
        <f>Tb_data[[#This Row],[Employees Growth]]/Tb_data[[#This Row],[previous_workers]]</f>
        <v>1.6804123711340206</v>
      </c>
    </row>
    <row r="88" spans="1:13" x14ac:dyDescent="0.25">
      <c r="A88" s="1" t="s">
        <v>4393</v>
      </c>
      <c r="B88" s="1" t="s">
        <v>4394</v>
      </c>
      <c r="C88" s="1">
        <v>2300000</v>
      </c>
      <c r="D88" s="1" t="s">
        <v>49</v>
      </c>
      <c r="E88">
        <v>186.68209999999999</v>
      </c>
      <c r="F88" s="1" t="s">
        <v>124</v>
      </c>
      <c r="G88">
        <v>14</v>
      </c>
      <c r="H88">
        <v>6</v>
      </c>
      <c r="I88" s="1" t="s">
        <v>1051</v>
      </c>
      <c r="J88">
        <v>1</v>
      </c>
      <c r="K88" t="str">
        <f>IF(Tb_data[[#This Row],[previous_workers]]&lt;Tb_data[[#This Row],[workers]],"yes","no")</f>
        <v>yes</v>
      </c>
      <c r="L88">
        <f>Tb_data[[#This Row],[workers]]-Tb_data[[#This Row],[previous_workers]]</f>
        <v>8</v>
      </c>
      <c r="M88" s="12">
        <f>Tb_data[[#This Row],[Employees Growth]]/Tb_data[[#This Row],[previous_workers]]</f>
        <v>1.3333333333333333</v>
      </c>
    </row>
    <row r="89" spans="1:13" x14ac:dyDescent="0.25">
      <c r="A89" s="1" t="s">
        <v>8007</v>
      </c>
      <c r="B89" s="1" t="s">
        <v>8008</v>
      </c>
      <c r="C89" s="1">
        <v>4000000</v>
      </c>
      <c r="D89" s="1" t="s">
        <v>20</v>
      </c>
      <c r="E89">
        <v>82.587199999999996</v>
      </c>
      <c r="F89" s="1" t="s">
        <v>112</v>
      </c>
      <c r="G89">
        <v>16</v>
      </c>
      <c r="H89">
        <v>16</v>
      </c>
      <c r="I89" s="1" t="s">
        <v>194</v>
      </c>
      <c r="J89">
        <v>3</v>
      </c>
      <c r="K89" t="str">
        <f>IF(Tb_data[[#This Row],[previous_workers]]&lt;Tb_data[[#This Row],[workers]],"yes","no")</f>
        <v>no</v>
      </c>
      <c r="L89">
        <f>Tb_data[[#This Row],[workers]]-Tb_data[[#This Row],[previous_workers]]</f>
        <v>0</v>
      </c>
      <c r="M89" s="12">
        <f>Tb_data[[#This Row],[Employees Growth]]/Tb_data[[#This Row],[previous_workers]]</f>
        <v>0</v>
      </c>
    </row>
    <row r="90" spans="1:13" x14ac:dyDescent="0.25">
      <c r="A90" s="1" t="s">
        <v>1090</v>
      </c>
      <c r="B90" s="1" t="s">
        <v>1091</v>
      </c>
      <c r="C90" s="1">
        <v>2200000</v>
      </c>
      <c r="D90" s="1" t="s">
        <v>49</v>
      </c>
      <c r="E90">
        <v>889.64340000000004</v>
      </c>
      <c r="F90" s="1" t="s">
        <v>34</v>
      </c>
      <c r="G90">
        <v>37</v>
      </c>
      <c r="H90">
        <v>2</v>
      </c>
      <c r="I90" s="1" t="s">
        <v>26</v>
      </c>
      <c r="J90">
        <v>1</v>
      </c>
      <c r="K90" t="str">
        <f>IF(Tb_data[[#This Row],[previous_workers]]&lt;Tb_data[[#This Row],[workers]],"yes","no")</f>
        <v>yes</v>
      </c>
      <c r="L90">
        <f>Tb_data[[#This Row],[workers]]-Tb_data[[#This Row],[previous_workers]]</f>
        <v>35</v>
      </c>
      <c r="M90" s="12">
        <f>Tb_data[[#This Row],[Employees Growth]]/Tb_data[[#This Row],[previous_workers]]</f>
        <v>17.5</v>
      </c>
    </row>
    <row r="91" spans="1:13" x14ac:dyDescent="0.25">
      <c r="A91" s="1" t="s">
        <v>3394</v>
      </c>
      <c r="B91" s="1" t="s">
        <v>3395</v>
      </c>
      <c r="C91" s="1">
        <v>7300000</v>
      </c>
      <c r="D91" s="1" t="s">
        <v>115</v>
      </c>
      <c r="E91">
        <v>252.1463</v>
      </c>
      <c r="F91" s="1" t="s">
        <v>124</v>
      </c>
      <c r="G91">
        <v>28</v>
      </c>
      <c r="H91">
        <v>20</v>
      </c>
      <c r="I91" s="1" t="s">
        <v>130</v>
      </c>
      <c r="J91">
        <v>2</v>
      </c>
      <c r="K91" t="str">
        <f>IF(Tb_data[[#This Row],[previous_workers]]&lt;Tb_data[[#This Row],[workers]],"yes","no")</f>
        <v>yes</v>
      </c>
      <c r="L91">
        <f>Tb_data[[#This Row],[workers]]-Tb_data[[#This Row],[previous_workers]]</f>
        <v>8</v>
      </c>
      <c r="M91" s="12">
        <f>Tb_data[[#This Row],[Employees Growth]]/Tb_data[[#This Row],[previous_workers]]</f>
        <v>0.4</v>
      </c>
    </row>
    <row r="92" spans="1:13" x14ac:dyDescent="0.25">
      <c r="A92" s="1" t="s">
        <v>8383</v>
      </c>
      <c r="B92" s="1" t="s">
        <v>8384</v>
      </c>
      <c r="C92" s="1">
        <v>21300000</v>
      </c>
      <c r="D92" s="1" t="s">
        <v>69</v>
      </c>
      <c r="E92">
        <v>76.399900000000002</v>
      </c>
      <c r="F92" s="1" t="s">
        <v>62</v>
      </c>
      <c r="G92">
        <v>220</v>
      </c>
      <c r="H92">
        <v>250</v>
      </c>
      <c r="I92" s="1" t="s">
        <v>74</v>
      </c>
      <c r="J92">
        <v>8</v>
      </c>
      <c r="K92" t="str">
        <f>IF(Tb_data[[#This Row],[previous_workers]]&lt;Tb_data[[#This Row],[workers]],"yes","no")</f>
        <v>no</v>
      </c>
      <c r="L92">
        <f>Tb_data[[#This Row],[workers]]-Tb_data[[#This Row],[previous_workers]]</f>
        <v>-30</v>
      </c>
      <c r="M92" s="12">
        <f>Tb_data[[#This Row],[Employees Growth]]/Tb_data[[#This Row],[previous_workers]]</f>
        <v>-0.12</v>
      </c>
    </row>
    <row r="93" spans="1:13" x14ac:dyDescent="0.25">
      <c r="A93" s="1" t="s">
        <v>4268</v>
      </c>
      <c r="B93" s="1" t="s">
        <v>4269</v>
      </c>
      <c r="C93" s="1">
        <v>3400000</v>
      </c>
      <c r="D93" s="1" t="s">
        <v>254</v>
      </c>
      <c r="E93">
        <v>193.2286</v>
      </c>
      <c r="F93" s="1" t="s">
        <v>62</v>
      </c>
      <c r="G93">
        <v>34</v>
      </c>
      <c r="H93">
        <v>13</v>
      </c>
      <c r="I93" s="1" t="s">
        <v>35</v>
      </c>
      <c r="J93">
        <v>1</v>
      </c>
      <c r="K93" t="str">
        <f>IF(Tb_data[[#This Row],[previous_workers]]&lt;Tb_data[[#This Row],[workers]],"yes","no")</f>
        <v>yes</v>
      </c>
      <c r="L93">
        <f>Tb_data[[#This Row],[workers]]-Tb_data[[#This Row],[previous_workers]]</f>
        <v>21</v>
      </c>
      <c r="M93" s="12">
        <f>Tb_data[[#This Row],[Employees Growth]]/Tb_data[[#This Row],[previous_workers]]</f>
        <v>1.6153846153846154</v>
      </c>
    </row>
    <row r="94" spans="1:13" x14ac:dyDescent="0.25">
      <c r="A94" s="1" t="s">
        <v>7737</v>
      </c>
      <c r="B94" s="1" t="s">
        <v>7738</v>
      </c>
      <c r="C94" s="1">
        <v>3500000</v>
      </c>
      <c r="D94" s="1" t="s">
        <v>41</v>
      </c>
      <c r="E94">
        <v>87.432199999999995</v>
      </c>
      <c r="F94" s="1" t="s">
        <v>161</v>
      </c>
      <c r="G94">
        <v>4</v>
      </c>
      <c r="H94">
        <v>4</v>
      </c>
      <c r="I94" s="1" t="s">
        <v>26</v>
      </c>
      <c r="J94">
        <v>1</v>
      </c>
      <c r="K94" t="str">
        <f>IF(Tb_data[[#This Row],[previous_workers]]&lt;Tb_data[[#This Row],[workers]],"yes","no")</f>
        <v>no</v>
      </c>
      <c r="L94">
        <f>Tb_data[[#This Row],[workers]]-Tb_data[[#This Row],[previous_workers]]</f>
        <v>0</v>
      </c>
      <c r="M94" s="12">
        <f>Tb_data[[#This Row],[Employees Growth]]/Tb_data[[#This Row],[previous_workers]]</f>
        <v>0</v>
      </c>
    </row>
    <row r="95" spans="1:13" x14ac:dyDescent="0.25">
      <c r="A95" s="1" t="s">
        <v>9391</v>
      </c>
      <c r="B95" s="1" t="s">
        <v>9392</v>
      </c>
      <c r="C95" s="1">
        <v>5000000</v>
      </c>
      <c r="D95" s="1" t="s">
        <v>45</v>
      </c>
      <c r="E95">
        <v>61.565600000000003</v>
      </c>
      <c r="F95" s="1" t="s">
        <v>156</v>
      </c>
      <c r="G95">
        <v>30</v>
      </c>
      <c r="H95">
        <v>17</v>
      </c>
      <c r="I95" s="1" t="s">
        <v>1051</v>
      </c>
      <c r="J95">
        <v>3</v>
      </c>
      <c r="K95" t="str">
        <f>IF(Tb_data[[#This Row],[previous_workers]]&lt;Tb_data[[#This Row],[workers]],"yes","no")</f>
        <v>yes</v>
      </c>
      <c r="L95">
        <f>Tb_data[[#This Row],[workers]]-Tb_data[[#This Row],[previous_workers]]</f>
        <v>13</v>
      </c>
      <c r="M95" s="12">
        <f>Tb_data[[#This Row],[Employees Growth]]/Tb_data[[#This Row],[previous_workers]]</f>
        <v>0.76470588235294112</v>
      </c>
    </row>
    <row r="96" spans="1:13" x14ac:dyDescent="0.25">
      <c r="A96" s="1" t="s">
        <v>6309</v>
      </c>
      <c r="B96" s="1" t="s">
        <v>6310</v>
      </c>
      <c r="C96" s="1">
        <v>10300000</v>
      </c>
      <c r="D96" s="1" t="s">
        <v>115</v>
      </c>
      <c r="E96">
        <v>118.6729</v>
      </c>
      <c r="F96" s="1" t="s">
        <v>17</v>
      </c>
      <c r="G96">
        <v>65</v>
      </c>
      <c r="H96">
        <v>40</v>
      </c>
      <c r="I96" s="1" t="s">
        <v>130</v>
      </c>
      <c r="J96">
        <v>4</v>
      </c>
      <c r="K96" t="str">
        <f>IF(Tb_data[[#This Row],[previous_workers]]&lt;Tb_data[[#This Row],[workers]],"yes","no")</f>
        <v>yes</v>
      </c>
      <c r="L96">
        <f>Tb_data[[#This Row],[workers]]-Tb_data[[#This Row],[previous_workers]]</f>
        <v>25</v>
      </c>
      <c r="M96" s="12">
        <f>Tb_data[[#This Row],[Employees Growth]]/Tb_data[[#This Row],[previous_workers]]</f>
        <v>0.625</v>
      </c>
    </row>
    <row r="97" spans="1:13" x14ac:dyDescent="0.25">
      <c r="A97" s="1" t="s">
        <v>8093</v>
      </c>
      <c r="B97" s="1" t="s">
        <v>8094</v>
      </c>
      <c r="C97" s="1">
        <v>348100000</v>
      </c>
      <c r="D97" s="1" t="s">
        <v>179</v>
      </c>
      <c r="E97">
        <v>81.154700000000005</v>
      </c>
      <c r="F97" s="1" t="s">
        <v>156</v>
      </c>
      <c r="G97">
        <v>2144</v>
      </c>
      <c r="H97">
        <v>1355</v>
      </c>
      <c r="I97" s="1" t="s">
        <v>147</v>
      </c>
      <c r="J97">
        <v>11</v>
      </c>
      <c r="K97" t="str">
        <f>IF(Tb_data[[#This Row],[previous_workers]]&lt;Tb_data[[#This Row],[workers]],"yes","no")</f>
        <v>yes</v>
      </c>
      <c r="L97">
        <f>Tb_data[[#This Row],[workers]]-Tb_data[[#This Row],[previous_workers]]</f>
        <v>789</v>
      </c>
      <c r="M97" s="12">
        <f>Tb_data[[#This Row],[Employees Growth]]/Tb_data[[#This Row],[previous_workers]]</f>
        <v>0.58228782287822878</v>
      </c>
    </row>
    <row r="98" spans="1:13" x14ac:dyDescent="0.25">
      <c r="A98" s="1" t="s">
        <v>8757</v>
      </c>
      <c r="B98" s="1" t="s">
        <v>8758</v>
      </c>
      <c r="C98" s="1">
        <v>2800000</v>
      </c>
      <c r="D98" s="1" t="s">
        <v>33</v>
      </c>
      <c r="E98">
        <v>70.254499999999993</v>
      </c>
      <c r="F98" s="1" t="s">
        <v>172</v>
      </c>
      <c r="G98">
        <v>40</v>
      </c>
      <c r="H98">
        <v>19</v>
      </c>
      <c r="I98" s="1" t="s">
        <v>226</v>
      </c>
      <c r="J98">
        <v>1</v>
      </c>
      <c r="K98" t="str">
        <f>IF(Tb_data[[#This Row],[previous_workers]]&lt;Tb_data[[#This Row],[workers]],"yes","no")</f>
        <v>yes</v>
      </c>
      <c r="L98">
        <f>Tb_data[[#This Row],[workers]]-Tb_data[[#This Row],[previous_workers]]</f>
        <v>21</v>
      </c>
      <c r="M98" s="12">
        <f>Tb_data[[#This Row],[Employees Growth]]/Tb_data[[#This Row],[previous_workers]]</f>
        <v>1.1052631578947369</v>
      </c>
    </row>
    <row r="99" spans="1:13" x14ac:dyDescent="0.25">
      <c r="A99" s="1" t="s">
        <v>9505</v>
      </c>
      <c r="B99" s="1" t="s">
        <v>9506</v>
      </c>
      <c r="C99" s="1">
        <v>22100000</v>
      </c>
      <c r="D99" s="1" t="s">
        <v>61</v>
      </c>
      <c r="E99">
        <v>60.254899999999999</v>
      </c>
      <c r="F99" s="1" t="s">
        <v>34</v>
      </c>
      <c r="G99">
        <v>367</v>
      </c>
      <c r="H99">
        <v>223</v>
      </c>
      <c r="I99" s="1" t="s">
        <v>948</v>
      </c>
      <c r="J99">
        <v>1</v>
      </c>
      <c r="K99" t="str">
        <f>IF(Tb_data[[#This Row],[previous_workers]]&lt;Tb_data[[#This Row],[workers]],"yes","no")</f>
        <v>yes</v>
      </c>
      <c r="L99">
        <f>Tb_data[[#This Row],[workers]]-Tb_data[[#This Row],[previous_workers]]</f>
        <v>144</v>
      </c>
      <c r="M99" s="12">
        <f>Tb_data[[#This Row],[Employees Growth]]/Tb_data[[#This Row],[previous_workers]]</f>
        <v>0.64573991031390132</v>
      </c>
    </row>
    <row r="100" spans="1:13" x14ac:dyDescent="0.25">
      <c r="A100" s="1" t="s">
        <v>9984</v>
      </c>
      <c r="B100" s="1" t="s">
        <v>9985</v>
      </c>
      <c r="C100" s="1">
        <v>62100000</v>
      </c>
      <c r="D100" s="1" t="s">
        <v>179</v>
      </c>
      <c r="E100">
        <v>53.6875</v>
      </c>
      <c r="F100" s="1" t="s">
        <v>12</v>
      </c>
      <c r="G100">
        <v>160</v>
      </c>
      <c r="H100">
        <v>110</v>
      </c>
      <c r="I100" s="1" t="s">
        <v>980</v>
      </c>
      <c r="J100">
        <v>1</v>
      </c>
      <c r="K100" t="str">
        <f>IF(Tb_data[[#This Row],[previous_workers]]&lt;Tb_data[[#This Row],[workers]],"yes","no")</f>
        <v>yes</v>
      </c>
      <c r="L100">
        <f>Tb_data[[#This Row],[workers]]-Tb_data[[#This Row],[previous_workers]]</f>
        <v>50</v>
      </c>
      <c r="M100" s="12">
        <f>Tb_data[[#This Row],[Employees Growth]]/Tb_data[[#This Row],[previous_workers]]</f>
        <v>0.45454545454545453</v>
      </c>
    </row>
    <row r="101" spans="1:13" x14ac:dyDescent="0.25">
      <c r="A101" s="1" t="s">
        <v>8568</v>
      </c>
      <c r="B101" s="1" t="s">
        <v>8569</v>
      </c>
      <c r="C101" s="1">
        <v>50300000</v>
      </c>
      <c r="D101" s="1" t="s">
        <v>422</v>
      </c>
      <c r="E101">
        <v>72.827699999999993</v>
      </c>
      <c r="F101" s="1" t="s">
        <v>124</v>
      </c>
      <c r="G101">
        <v>198</v>
      </c>
      <c r="H101">
        <v>107</v>
      </c>
      <c r="I101" s="1" t="s">
        <v>117</v>
      </c>
      <c r="J101">
        <v>2</v>
      </c>
      <c r="K101" t="str">
        <f>IF(Tb_data[[#This Row],[previous_workers]]&lt;Tb_data[[#This Row],[workers]],"yes","no")</f>
        <v>yes</v>
      </c>
      <c r="L101">
        <f>Tb_data[[#This Row],[workers]]-Tb_data[[#This Row],[previous_workers]]</f>
        <v>91</v>
      </c>
      <c r="M101" s="12">
        <f>Tb_data[[#This Row],[Employees Growth]]/Tb_data[[#This Row],[previous_workers]]</f>
        <v>0.85046728971962615</v>
      </c>
    </row>
    <row r="102" spans="1:13" x14ac:dyDescent="0.25">
      <c r="A102" s="1" t="s">
        <v>3599</v>
      </c>
      <c r="B102" s="1" t="s">
        <v>3600</v>
      </c>
      <c r="C102" s="1">
        <v>2300000</v>
      </c>
      <c r="D102" s="1" t="s">
        <v>627</v>
      </c>
      <c r="E102">
        <v>234.24379999999999</v>
      </c>
      <c r="F102" s="1" t="s">
        <v>62</v>
      </c>
      <c r="G102">
        <v>23</v>
      </c>
      <c r="H102">
        <v>6</v>
      </c>
      <c r="I102" s="1" t="s">
        <v>130</v>
      </c>
      <c r="J102">
        <v>1</v>
      </c>
      <c r="K102" t="str">
        <f>IF(Tb_data[[#This Row],[previous_workers]]&lt;Tb_data[[#This Row],[workers]],"yes","no")</f>
        <v>yes</v>
      </c>
      <c r="L102">
        <f>Tb_data[[#This Row],[workers]]-Tb_data[[#This Row],[previous_workers]]</f>
        <v>17</v>
      </c>
      <c r="M102" s="12">
        <f>Tb_data[[#This Row],[Employees Growth]]/Tb_data[[#This Row],[previous_workers]]</f>
        <v>2.8333333333333335</v>
      </c>
    </row>
    <row r="103" spans="1:13" x14ac:dyDescent="0.25">
      <c r="A103" s="1" t="s">
        <v>5088</v>
      </c>
      <c r="B103" s="1" t="s">
        <v>5089</v>
      </c>
      <c r="C103" s="1">
        <v>14300000</v>
      </c>
      <c r="D103" s="1" t="s">
        <v>20</v>
      </c>
      <c r="E103">
        <v>157.51859999999999</v>
      </c>
      <c r="F103" s="1" t="s">
        <v>62</v>
      </c>
      <c r="G103">
        <v>106</v>
      </c>
      <c r="H103">
        <v>33</v>
      </c>
      <c r="I103" s="1" t="s">
        <v>117</v>
      </c>
      <c r="J103">
        <v>4</v>
      </c>
      <c r="K103" t="str">
        <f>IF(Tb_data[[#This Row],[previous_workers]]&lt;Tb_data[[#This Row],[workers]],"yes","no")</f>
        <v>yes</v>
      </c>
      <c r="L103">
        <f>Tb_data[[#This Row],[workers]]-Tb_data[[#This Row],[previous_workers]]</f>
        <v>73</v>
      </c>
      <c r="M103" s="12">
        <f>Tb_data[[#This Row],[Employees Growth]]/Tb_data[[#This Row],[previous_workers]]</f>
        <v>2.2121212121212119</v>
      </c>
    </row>
    <row r="104" spans="1:13" x14ac:dyDescent="0.25">
      <c r="A104" s="1" t="s">
        <v>5983</v>
      </c>
      <c r="B104" s="1" t="s">
        <v>5984</v>
      </c>
      <c r="C104" s="1">
        <v>5800000</v>
      </c>
      <c r="D104" s="1" t="s">
        <v>427</v>
      </c>
      <c r="E104">
        <v>127.03879999999999</v>
      </c>
      <c r="F104" s="1" t="s">
        <v>100</v>
      </c>
      <c r="G104">
        <v>6</v>
      </c>
      <c r="H104">
        <v>3</v>
      </c>
      <c r="I104" s="1" t="s">
        <v>164</v>
      </c>
      <c r="J104">
        <v>1</v>
      </c>
      <c r="K104" t="str">
        <f>IF(Tb_data[[#This Row],[previous_workers]]&lt;Tb_data[[#This Row],[workers]],"yes","no")</f>
        <v>yes</v>
      </c>
      <c r="L104">
        <f>Tb_data[[#This Row],[workers]]-Tb_data[[#This Row],[previous_workers]]</f>
        <v>3</v>
      </c>
      <c r="M104" s="12">
        <f>Tb_data[[#This Row],[Employees Growth]]/Tb_data[[#This Row],[previous_workers]]</f>
        <v>1</v>
      </c>
    </row>
    <row r="105" spans="1:13" x14ac:dyDescent="0.25">
      <c r="A105" s="1" t="s">
        <v>6739</v>
      </c>
      <c r="B105" s="1" t="s">
        <v>6740</v>
      </c>
      <c r="C105" s="1">
        <v>12000000</v>
      </c>
      <c r="D105" s="1" t="s">
        <v>175</v>
      </c>
      <c r="E105">
        <v>107.9585</v>
      </c>
      <c r="F105" s="1" t="s">
        <v>34</v>
      </c>
      <c r="G105">
        <v>81</v>
      </c>
      <c r="H105">
        <v>47</v>
      </c>
      <c r="I105" s="1" t="s">
        <v>295</v>
      </c>
      <c r="J105">
        <v>2</v>
      </c>
      <c r="K105" t="str">
        <f>IF(Tb_data[[#This Row],[previous_workers]]&lt;Tb_data[[#This Row],[workers]],"yes","no")</f>
        <v>yes</v>
      </c>
      <c r="L105">
        <f>Tb_data[[#This Row],[workers]]-Tb_data[[#This Row],[previous_workers]]</f>
        <v>34</v>
      </c>
      <c r="M105" s="12">
        <f>Tb_data[[#This Row],[Employees Growth]]/Tb_data[[#This Row],[previous_workers]]</f>
        <v>0.72340425531914898</v>
      </c>
    </row>
    <row r="106" spans="1:13" x14ac:dyDescent="0.25">
      <c r="A106" s="1" t="s">
        <v>7545</v>
      </c>
      <c r="B106" s="1" t="s">
        <v>7546</v>
      </c>
      <c r="C106" s="1">
        <v>4600000</v>
      </c>
      <c r="D106" s="1" t="s">
        <v>49</v>
      </c>
      <c r="E106">
        <v>91.816100000000006</v>
      </c>
      <c r="F106" s="1" t="s">
        <v>176</v>
      </c>
      <c r="G106">
        <v>25</v>
      </c>
      <c r="H106">
        <v>14</v>
      </c>
      <c r="I106" s="1" t="s">
        <v>372</v>
      </c>
      <c r="J106">
        <v>1</v>
      </c>
      <c r="K106" t="str">
        <f>IF(Tb_data[[#This Row],[previous_workers]]&lt;Tb_data[[#This Row],[workers]],"yes","no")</f>
        <v>yes</v>
      </c>
      <c r="L106">
        <f>Tb_data[[#This Row],[workers]]-Tb_data[[#This Row],[previous_workers]]</f>
        <v>11</v>
      </c>
      <c r="M106" s="12">
        <f>Tb_data[[#This Row],[Employees Growth]]/Tb_data[[#This Row],[previous_workers]]</f>
        <v>0.7857142857142857</v>
      </c>
    </row>
    <row r="107" spans="1:13" x14ac:dyDescent="0.25">
      <c r="A107" s="1" t="s">
        <v>8271</v>
      </c>
      <c r="B107" s="1" t="s">
        <v>8272</v>
      </c>
      <c r="C107" s="1">
        <v>7000000</v>
      </c>
      <c r="D107" s="1" t="s">
        <v>52</v>
      </c>
      <c r="E107">
        <v>78.117400000000004</v>
      </c>
      <c r="F107" s="1" t="s">
        <v>514</v>
      </c>
      <c r="G107">
        <v>37</v>
      </c>
      <c r="H107">
        <v>24</v>
      </c>
      <c r="I107" s="1" t="s">
        <v>164</v>
      </c>
      <c r="J107">
        <v>1</v>
      </c>
      <c r="K107" t="str">
        <f>IF(Tb_data[[#This Row],[previous_workers]]&lt;Tb_data[[#This Row],[workers]],"yes","no")</f>
        <v>yes</v>
      </c>
      <c r="L107">
        <f>Tb_data[[#This Row],[workers]]-Tb_data[[#This Row],[previous_workers]]</f>
        <v>13</v>
      </c>
      <c r="M107" s="12">
        <f>Tb_data[[#This Row],[Employees Growth]]/Tb_data[[#This Row],[previous_workers]]</f>
        <v>0.54166666666666663</v>
      </c>
    </row>
    <row r="108" spans="1:13" x14ac:dyDescent="0.25">
      <c r="A108" s="1" t="s">
        <v>3631</v>
      </c>
      <c r="B108" s="1" t="s">
        <v>3632</v>
      </c>
      <c r="C108" s="1">
        <v>170700000</v>
      </c>
      <c r="D108" s="1" t="s">
        <v>422</v>
      </c>
      <c r="E108">
        <v>231.76249999999999</v>
      </c>
      <c r="F108" s="1" t="s">
        <v>17</v>
      </c>
      <c r="G108">
        <v>620</v>
      </c>
      <c r="H108">
        <v>45</v>
      </c>
      <c r="I108" s="1" t="s">
        <v>117</v>
      </c>
      <c r="J108">
        <v>1</v>
      </c>
      <c r="K108" t="str">
        <f>IF(Tb_data[[#This Row],[previous_workers]]&lt;Tb_data[[#This Row],[workers]],"yes","no")</f>
        <v>yes</v>
      </c>
      <c r="L108">
        <f>Tb_data[[#This Row],[workers]]-Tb_data[[#This Row],[previous_workers]]</f>
        <v>575</v>
      </c>
      <c r="M108" s="12">
        <f>Tb_data[[#This Row],[Employees Growth]]/Tb_data[[#This Row],[previous_workers]]</f>
        <v>12.777777777777779</v>
      </c>
    </row>
    <row r="109" spans="1:13" x14ac:dyDescent="0.25">
      <c r="A109" s="1" t="s">
        <v>4699</v>
      </c>
      <c r="B109" s="1" t="s">
        <v>4700</v>
      </c>
      <c r="C109" s="1">
        <v>3900000</v>
      </c>
      <c r="D109" s="1" t="s">
        <v>69</v>
      </c>
      <c r="E109">
        <v>174.57749999999999</v>
      </c>
      <c r="F109" s="1" t="s">
        <v>86</v>
      </c>
      <c r="G109">
        <v>40</v>
      </c>
      <c r="H109">
        <v>27</v>
      </c>
      <c r="I109" s="1" t="s">
        <v>117</v>
      </c>
      <c r="J109">
        <v>3</v>
      </c>
      <c r="K109" t="str">
        <f>IF(Tb_data[[#This Row],[previous_workers]]&lt;Tb_data[[#This Row],[workers]],"yes","no")</f>
        <v>yes</v>
      </c>
      <c r="L109">
        <f>Tb_data[[#This Row],[workers]]-Tb_data[[#This Row],[previous_workers]]</f>
        <v>13</v>
      </c>
      <c r="M109" s="12">
        <f>Tb_data[[#This Row],[Employees Growth]]/Tb_data[[#This Row],[previous_workers]]</f>
        <v>0.48148148148148145</v>
      </c>
    </row>
    <row r="110" spans="1:13" x14ac:dyDescent="0.25">
      <c r="A110" s="1" t="s">
        <v>1493</v>
      </c>
      <c r="B110" s="1" t="s">
        <v>1494</v>
      </c>
      <c r="C110" s="1">
        <v>4800000</v>
      </c>
      <c r="D110" s="1" t="s">
        <v>254</v>
      </c>
      <c r="E110">
        <v>625.85059999999999</v>
      </c>
      <c r="F110" s="1" t="s">
        <v>42</v>
      </c>
      <c r="G110">
        <v>10</v>
      </c>
      <c r="H110">
        <v>2</v>
      </c>
      <c r="I110" s="1" t="s">
        <v>13</v>
      </c>
      <c r="J110">
        <v>1</v>
      </c>
      <c r="K110" t="str">
        <f>IF(Tb_data[[#This Row],[previous_workers]]&lt;Tb_data[[#This Row],[workers]],"yes","no")</f>
        <v>yes</v>
      </c>
      <c r="L110">
        <f>Tb_data[[#This Row],[workers]]-Tb_data[[#This Row],[previous_workers]]</f>
        <v>8</v>
      </c>
      <c r="M110" s="12">
        <f>Tb_data[[#This Row],[Employees Growth]]/Tb_data[[#This Row],[previous_workers]]</f>
        <v>4</v>
      </c>
    </row>
    <row r="111" spans="1:13" x14ac:dyDescent="0.25">
      <c r="A111" s="1" t="s">
        <v>4303</v>
      </c>
      <c r="B111" s="1" t="s">
        <v>4304</v>
      </c>
      <c r="C111" s="1">
        <v>6400000</v>
      </c>
      <c r="D111" s="1" t="s">
        <v>20</v>
      </c>
      <c r="E111">
        <v>191.06399999999999</v>
      </c>
      <c r="F111" s="1" t="s">
        <v>152</v>
      </c>
      <c r="G111">
        <v>10</v>
      </c>
      <c r="H111">
        <v>6</v>
      </c>
      <c r="I111" s="1" t="s">
        <v>948</v>
      </c>
      <c r="J111">
        <v>4</v>
      </c>
      <c r="K111" t="str">
        <f>IF(Tb_data[[#This Row],[previous_workers]]&lt;Tb_data[[#This Row],[workers]],"yes","no")</f>
        <v>yes</v>
      </c>
      <c r="L111">
        <f>Tb_data[[#This Row],[workers]]-Tb_data[[#This Row],[previous_workers]]</f>
        <v>4</v>
      </c>
      <c r="M111" s="12">
        <f>Tb_data[[#This Row],[Employees Growth]]/Tb_data[[#This Row],[previous_workers]]</f>
        <v>0.66666666666666663</v>
      </c>
    </row>
    <row r="112" spans="1:13" x14ac:dyDescent="0.25">
      <c r="A112" s="1" t="s">
        <v>2955</v>
      </c>
      <c r="B112" s="1" t="s">
        <v>2956</v>
      </c>
      <c r="C112" s="1">
        <v>25100000</v>
      </c>
      <c r="D112" s="1" t="s">
        <v>179</v>
      </c>
      <c r="E112">
        <v>291.14780000000002</v>
      </c>
      <c r="F112" s="1" t="s">
        <v>176</v>
      </c>
      <c r="G112">
        <v>178</v>
      </c>
      <c r="H112">
        <v>40</v>
      </c>
      <c r="I112" s="1" t="s">
        <v>55</v>
      </c>
      <c r="J112">
        <v>2</v>
      </c>
      <c r="K112" t="str">
        <f>IF(Tb_data[[#This Row],[previous_workers]]&lt;Tb_data[[#This Row],[workers]],"yes","no")</f>
        <v>yes</v>
      </c>
      <c r="L112">
        <f>Tb_data[[#This Row],[workers]]-Tb_data[[#This Row],[previous_workers]]</f>
        <v>138</v>
      </c>
      <c r="M112" s="12">
        <f>Tb_data[[#This Row],[Employees Growth]]/Tb_data[[#This Row],[previous_workers]]</f>
        <v>3.45</v>
      </c>
    </row>
    <row r="113" spans="1:13" x14ac:dyDescent="0.25">
      <c r="A113" s="1" t="s">
        <v>9768</v>
      </c>
      <c r="B113" s="1" t="s">
        <v>9769</v>
      </c>
      <c r="C113" s="1">
        <v>201100000</v>
      </c>
      <c r="D113" s="1" t="s">
        <v>179</v>
      </c>
      <c r="E113">
        <v>57.091200000000001</v>
      </c>
      <c r="F113" s="1" t="s">
        <v>86</v>
      </c>
      <c r="G113">
        <v>880</v>
      </c>
      <c r="H113">
        <v>730</v>
      </c>
      <c r="I113" s="1" t="s">
        <v>194</v>
      </c>
      <c r="J113">
        <v>8</v>
      </c>
      <c r="K113" t="str">
        <f>IF(Tb_data[[#This Row],[previous_workers]]&lt;Tb_data[[#This Row],[workers]],"yes","no")</f>
        <v>yes</v>
      </c>
      <c r="L113">
        <f>Tb_data[[#This Row],[workers]]-Tb_data[[#This Row],[previous_workers]]</f>
        <v>150</v>
      </c>
      <c r="M113" s="12">
        <f>Tb_data[[#This Row],[Employees Growth]]/Tb_data[[#This Row],[previous_workers]]</f>
        <v>0.20547945205479451</v>
      </c>
    </row>
    <row r="114" spans="1:13" x14ac:dyDescent="0.25">
      <c r="A114" s="1" t="s">
        <v>5760</v>
      </c>
      <c r="B114" s="1" t="s">
        <v>5761</v>
      </c>
      <c r="C114" s="1">
        <v>13700000</v>
      </c>
      <c r="D114" s="1" t="s">
        <v>49</v>
      </c>
      <c r="E114">
        <v>132.43719999999999</v>
      </c>
      <c r="F114" s="1" t="s">
        <v>42</v>
      </c>
      <c r="G114">
        <v>2</v>
      </c>
      <c r="H114">
        <v>2</v>
      </c>
      <c r="I114" s="1" t="s">
        <v>194</v>
      </c>
      <c r="J114">
        <v>5</v>
      </c>
      <c r="K114" t="str">
        <f>IF(Tb_data[[#This Row],[previous_workers]]&lt;Tb_data[[#This Row],[workers]],"yes","no")</f>
        <v>no</v>
      </c>
      <c r="L114">
        <f>Tb_data[[#This Row],[workers]]-Tb_data[[#This Row],[previous_workers]]</f>
        <v>0</v>
      </c>
      <c r="M114" s="12">
        <f>Tb_data[[#This Row],[Employees Growth]]/Tb_data[[#This Row],[previous_workers]]</f>
        <v>0</v>
      </c>
    </row>
    <row r="115" spans="1:13" x14ac:dyDescent="0.25">
      <c r="A115" s="1" t="s">
        <v>9942</v>
      </c>
      <c r="B115" s="1" t="s">
        <v>9943</v>
      </c>
      <c r="C115" s="1">
        <v>5200000</v>
      </c>
      <c r="D115" s="1" t="s">
        <v>33</v>
      </c>
      <c r="E115">
        <v>54.573</v>
      </c>
      <c r="F115" s="1" t="s">
        <v>3264</v>
      </c>
      <c r="G115">
        <v>40</v>
      </c>
      <c r="H115">
        <v>25</v>
      </c>
      <c r="I115" s="1" t="s">
        <v>194</v>
      </c>
      <c r="J115">
        <v>1</v>
      </c>
      <c r="K115" t="str">
        <f>IF(Tb_data[[#This Row],[previous_workers]]&lt;Tb_data[[#This Row],[workers]],"yes","no")</f>
        <v>yes</v>
      </c>
      <c r="L115">
        <f>Tb_data[[#This Row],[workers]]-Tb_data[[#This Row],[previous_workers]]</f>
        <v>15</v>
      </c>
      <c r="M115" s="12">
        <f>Tb_data[[#This Row],[Employees Growth]]/Tb_data[[#This Row],[previous_workers]]</f>
        <v>0.6</v>
      </c>
    </row>
    <row r="116" spans="1:13" x14ac:dyDescent="0.25">
      <c r="A116" s="1" t="s">
        <v>9582</v>
      </c>
      <c r="B116" s="1" t="s">
        <v>9583</v>
      </c>
      <c r="C116" s="1">
        <v>82900000</v>
      </c>
      <c r="D116" s="1" t="s">
        <v>49</v>
      </c>
      <c r="E116">
        <v>59.356299999999997</v>
      </c>
      <c r="F116" s="1" t="s">
        <v>124</v>
      </c>
      <c r="G116">
        <v>371</v>
      </c>
      <c r="H116">
        <v>237</v>
      </c>
      <c r="I116" s="1" t="s">
        <v>226</v>
      </c>
      <c r="J116">
        <v>10</v>
      </c>
      <c r="K116" t="str">
        <f>IF(Tb_data[[#This Row],[previous_workers]]&lt;Tb_data[[#This Row],[workers]],"yes","no")</f>
        <v>yes</v>
      </c>
      <c r="L116">
        <f>Tb_data[[#This Row],[workers]]-Tb_data[[#This Row],[previous_workers]]</f>
        <v>134</v>
      </c>
      <c r="M116" s="12">
        <f>Tb_data[[#This Row],[Employees Growth]]/Tb_data[[#This Row],[previous_workers]]</f>
        <v>0.56540084388185652</v>
      </c>
    </row>
    <row r="117" spans="1:13" x14ac:dyDescent="0.25">
      <c r="A117" s="1" t="s">
        <v>6273</v>
      </c>
      <c r="B117" s="1" t="s">
        <v>6274</v>
      </c>
      <c r="C117" s="1">
        <v>14100000</v>
      </c>
      <c r="D117" s="1" t="s">
        <v>49</v>
      </c>
      <c r="E117">
        <v>119.7064</v>
      </c>
      <c r="F117" s="1" t="s">
        <v>12</v>
      </c>
      <c r="G117">
        <v>25</v>
      </c>
      <c r="H117">
        <v>10</v>
      </c>
      <c r="I117" s="1" t="s">
        <v>55</v>
      </c>
      <c r="J117">
        <v>1</v>
      </c>
      <c r="K117" t="str">
        <f>IF(Tb_data[[#This Row],[previous_workers]]&lt;Tb_data[[#This Row],[workers]],"yes","no")</f>
        <v>yes</v>
      </c>
      <c r="L117">
        <f>Tb_data[[#This Row],[workers]]-Tb_data[[#This Row],[previous_workers]]</f>
        <v>15</v>
      </c>
      <c r="M117" s="12">
        <f>Tb_data[[#This Row],[Employees Growth]]/Tb_data[[#This Row],[previous_workers]]</f>
        <v>1.5</v>
      </c>
    </row>
    <row r="118" spans="1:13" x14ac:dyDescent="0.25">
      <c r="A118" s="1" t="s">
        <v>6323</v>
      </c>
      <c r="B118" s="1" t="s">
        <v>6324</v>
      </c>
      <c r="C118" s="1">
        <v>2900000</v>
      </c>
      <c r="D118" s="1" t="s">
        <v>627</v>
      </c>
      <c r="E118">
        <v>117.92659999999999</v>
      </c>
      <c r="F118" s="1" t="s">
        <v>12</v>
      </c>
      <c r="G118">
        <v>10</v>
      </c>
      <c r="H118">
        <v>4</v>
      </c>
      <c r="I118" s="1" t="s">
        <v>130</v>
      </c>
      <c r="J118">
        <v>1</v>
      </c>
      <c r="K118" t="str">
        <f>IF(Tb_data[[#This Row],[previous_workers]]&lt;Tb_data[[#This Row],[workers]],"yes","no")</f>
        <v>yes</v>
      </c>
      <c r="L118">
        <f>Tb_data[[#This Row],[workers]]-Tb_data[[#This Row],[previous_workers]]</f>
        <v>6</v>
      </c>
      <c r="M118" s="12">
        <f>Tb_data[[#This Row],[Employees Growth]]/Tb_data[[#This Row],[previous_workers]]</f>
        <v>1.5</v>
      </c>
    </row>
    <row r="119" spans="1:13" x14ac:dyDescent="0.25">
      <c r="A119" s="1" t="s">
        <v>1541</v>
      </c>
      <c r="B119" s="1" t="s">
        <v>1542</v>
      </c>
      <c r="C119" s="1">
        <v>8800000</v>
      </c>
      <c r="D119" s="1" t="s">
        <v>20</v>
      </c>
      <c r="E119">
        <v>607.57159999999999</v>
      </c>
      <c r="F119" s="1" t="s">
        <v>34</v>
      </c>
      <c r="G119">
        <v>13</v>
      </c>
      <c r="H119">
        <v>6</v>
      </c>
      <c r="I119" s="1" t="s">
        <v>26</v>
      </c>
      <c r="J119">
        <v>2</v>
      </c>
      <c r="K119" t="str">
        <f>IF(Tb_data[[#This Row],[previous_workers]]&lt;Tb_data[[#This Row],[workers]],"yes","no")</f>
        <v>yes</v>
      </c>
      <c r="L119">
        <f>Tb_data[[#This Row],[workers]]-Tb_data[[#This Row],[previous_workers]]</f>
        <v>7</v>
      </c>
      <c r="M119" s="12">
        <f>Tb_data[[#This Row],[Employees Growth]]/Tb_data[[#This Row],[previous_workers]]</f>
        <v>1.1666666666666667</v>
      </c>
    </row>
    <row r="120" spans="1:13" x14ac:dyDescent="0.25">
      <c r="A120" s="1" t="s">
        <v>8161</v>
      </c>
      <c r="B120" s="1" t="s">
        <v>8162</v>
      </c>
      <c r="C120" s="1">
        <v>10900000</v>
      </c>
      <c r="D120" s="1" t="s">
        <v>41</v>
      </c>
      <c r="E120">
        <v>80.232799999999997</v>
      </c>
      <c r="F120" s="1" t="s">
        <v>135</v>
      </c>
      <c r="G120">
        <v>20</v>
      </c>
      <c r="H120">
        <v>13</v>
      </c>
      <c r="I120" s="1" t="s">
        <v>117</v>
      </c>
      <c r="J120">
        <v>2</v>
      </c>
      <c r="K120" t="str">
        <f>IF(Tb_data[[#This Row],[previous_workers]]&lt;Tb_data[[#This Row],[workers]],"yes","no")</f>
        <v>yes</v>
      </c>
      <c r="L120">
        <f>Tb_data[[#This Row],[workers]]-Tb_data[[#This Row],[previous_workers]]</f>
        <v>7</v>
      </c>
      <c r="M120" s="12">
        <f>Tb_data[[#This Row],[Employees Growth]]/Tb_data[[#This Row],[previous_workers]]</f>
        <v>0.53846153846153844</v>
      </c>
    </row>
    <row r="121" spans="1:13" x14ac:dyDescent="0.25">
      <c r="A121" s="1" t="s">
        <v>4866</v>
      </c>
      <c r="B121" s="1" t="s">
        <v>4867</v>
      </c>
      <c r="C121" s="1">
        <v>8000000</v>
      </c>
      <c r="D121" s="1" t="s">
        <v>33</v>
      </c>
      <c r="E121">
        <v>167.06710000000001</v>
      </c>
      <c r="F121" s="1" t="s">
        <v>156</v>
      </c>
      <c r="G121">
        <v>29</v>
      </c>
      <c r="H121">
        <v>5</v>
      </c>
      <c r="I121" s="1" t="s">
        <v>229</v>
      </c>
      <c r="J121">
        <v>1</v>
      </c>
      <c r="K121" t="str">
        <f>IF(Tb_data[[#This Row],[previous_workers]]&lt;Tb_data[[#This Row],[workers]],"yes","no")</f>
        <v>yes</v>
      </c>
      <c r="L121">
        <f>Tb_data[[#This Row],[workers]]-Tb_data[[#This Row],[previous_workers]]</f>
        <v>24</v>
      </c>
      <c r="M121" s="12">
        <f>Tb_data[[#This Row],[Employees Growth]]/Tb_data[[#This Row],[previous_workers]]</f>
        <v>4.8</v>
      </c>
    </row>
    <row r="122" spans="1:13" x14ac:dyDescent="0.25">
      <c r="A122" s="1" t="s">
        <v>416</v>
      </c>
      <c r="B122" s="1" t="s">
        <v>417</v>
      </c>
      <c r="C122" s="1">
        <v>53100000</v>
      </c>
      <c r="D122" s="1" t="s">
        <v>129</v>
      </c>
      <c r="E122">
        <v>2305.0499</v>
      </c>
      <c r="F122" s="1" t="s">
        <v>97</v>
      </c>
      <c r="G122">
        <v>199</v>
      </c>
      <c r="H122">
        <v>2</v>
      </c>
      <c r="I122" s="1" t="s">
        <v>26</v>
      </c>
      <c r="J122">
        <v>1</v>
      </c>
      <c r="K122" t="str">
        <f>IF(Tb_data[[#This Row],[previous_workers]]&lt;Tb_data[[#This Row],[workers]],"yes","no")</f>
        <v>yes</v>
      </c>
      <c r="L122">
        <f>Tb_data[[#This Row],[workers]]-Tb_data[[#This Row],[previous_workers]]</f>
        <v>197</v>
      </c>
      <c r="M122" s="12">
        <f>Tb_data[[#This Row],[Employees Growth]]/Tb_data[[#This Row],[previous_workers]]</f>
        <v>98.5</v>
      </c>
    </row>
    <row r="123" spans="1:13" x14ac:dyDescent="0.25">
      <c r="A123" s="1" t="s">
        <v>4707</v>
      </c>
      <c r="B123" s="1" t="s">
        <v>4708</v>
      </c>
      <c r="C123" s="1">
        <v>157600000</v>
      </c>
      <c r="D123" s="1" t="s">
        <v>20</v>
      </c>
      <c r="E123">
        <v>174.1609</v>
      </c>
      <c r="F123" s="1" t="s">
        <v>12</v>
      </c>
      <c r="G123">
        <v>80</v>
      </c>
      <c r="H123">
        <v>40</v>
      </c>
      <c r="I123" s="1" t="s">
        <v>1622</v>
      </c>
      <c r="J123">
        <v>1</v>
      </c>
      <c r="K123" t="str">
        <f>IF(Tb_data[[#This Row],[previous_workers]]&lt;Tb_data[[#This Row],[workers]],"yes","no")</f>
        <v>yes</v>
      </c>
      <c r="L123">
        <f>Tb_data[[#This Row],[workers]]-Tb_data[[#This Row],[previous_workers]]</f>
        <v>40</v>
      </c>
      <c r="M123" s="12">
        <f>Tb_data[[#This Row],[Employees Growth]]/Tb_data[[#This Row],[previous_workers]]</f>
        <v>1</v>
      </c>
    </row>
    <row r="124" spans="1:13" x14ac:dyDescent="0.25">
      <c r="A124" s="1" t="s">
        <v>1491</v>
      </c>
      <c r="B124" s="1" t="s">
        <v>1492</v>
      </c>
      <c r="C124" s="1">
        <v>7700000</v>
      </c>
      <c r="D124" s="1" t="s">
        <v>69</v>
      </c>
      <c r="E124">
        <v>626.10640000000001</v>
      </c>
      <c r="F124" s="1" t="s">
        <v>176</v>
      </c>
      <c r="G124">
        <v>55</v>
      </c>
      <c r="H124">
        <v>10</v>
      </c>
      <c r="I124" s="1" t="s">
        <v>26</v>
      </c>
      <c r="J124">
        <v>1</v>
      </c>
      <c r="K124" t="str">
        <f>IF(Tb_data[[#This Row],[previous_workers]]&lt;Tb_data[[#This Row],[workers]],"yes","no")</f>
        <v>yes</v>
      </c>
      <c r="L124">
        <f>Tb_data[[#This Row],[workers]]-Tb_data[[#This Row],[previous_workers]]</f>
        <v>45</v>
      </c>
      <c r="M124" s="12">
        <f>Tb_data[[#This Row],[Employees Growth]]/Tb_data[[#This Row],[previous_workers]]</f>
        <v>4.5</v>
      </c>
    </row>
    <row r="125" spans="1:13" x14ac:dyDescent="0.25">
      <c r="A125" s="1" t="s">
        <v>4595</v>
      </c>
      <c r="B125" s="1" t="s">
        <v>4596</v>
      </c>
      <c r="C125" s="1">
        <v>5500000</v>
      </c>
      <c r="D125" s="1" t="s">
        <v>254</v>
      </c>
      <c r="E125">
        <v>178.80359999999999</v>
      </c>
      <c r="F125" s="1" t="s">
        <v>310</v>
      </c>
      <c r="G125">
        <v>8</v>
      </c>
      <c r="H125">
        <v>6</v>
      </c>
      <c r="I125" s="1" t="s">
        <v>948</v>
      </c>
      <c r="J125">
        <v>3</v>
      </c>
      <c r="K125" t="str">
        <f>IF(Tb_data[[#This Row],[previous_workers]]&lt;Tb_data[[#This Row],[workers]],"yes","no")</f>
        <v>yes</v>
      </c>
      <c r="L125">
        <f>Tb_data[[#This Row],[workers]]-Tb_data[[#This Row],[previous_workers]]</f>
        <v>2</v>
      </c>
      <c r="M125" s="12">
        <f>Tb_data[[#This Row],[Employees Growth]]/Tb_data[[#This Row],[previous_workers]]</f>
        <v>0.33333333333333331</v>
      </c>
    </row>
    <row r="126" spans="1:13" x14ac:dyDescent="0.25">
      <c r="A126" s="1" t="s">
        <v>6383</v>
      </c>
      <c r="B126" s="1" t="s">
        <v>6384</v>
      </c>
      <c r="C126" s="1">
        <v>26100000</v>
      </c>
      <c r="D126" s="1" t="s">
        <v>427</v>
      </c>
      <c r="E126">
        <v>116.6349</v>
      </c>
      <c r="F126" s="1" t="s">
        <v>34</v>
      </c>
      <c r="G126">
        <v>1002</v>
      </c>
      <c r="H126">
        <v>481</v>
      </c>
      <c r="I126" s="1" t="s">
        <v>164</v>
      </c>
      <c r="J126">
        <v>2</v>
      </c>
      <c r="K126" t="str">
        <f>IF(Tb_data[[#This Row],[previous_workers]]&lt;Tb_data[[#This Row],[workers]],"yes","no")</f>
        <v>yes</v>
      </c>
      <c r="L126">
        <f>Tb_data[[#This Row],[workers]]-Tb_data[[#This Row],[previous_workers]]</f>
        <v>521</v>
      </c>
      <c r="M126" s="12">
        <f>Tb_data[[#This Row],[Employees Growth]]/Tb_data[[#This Row],[previous_workers]]</f>
        <v>1.0831600831600832</v>
      </c>
    </row>
    <row r="127" spans="1:13" x14ac:dyDescent="0.25">
      <c r="A127" s="1" t="s">
        <v>8059</v>
      </c>
      <c r="B127" s="1" t="s">
        <v>8060</v>
      </c>
      <c r="C127" s="1">
        <v>38100000</v>
      </c>
      <c r="D127" s="1" t="s">
        <v>69</v>
      </c>
      <c r="E127">
        <v>81.772599999999997</v>
      </c>
      <c r="F127" s="1" t="s">
        <v>3264</v>
      </c>
      <c r="G127">
        <v>17</v>
      </c>
      <c r="H127">
        <v>19</v>
      </c>
      <c r="I127" s="1" t="s">
        <v>55</v>
      </c>
      <c r="J127">
        <v>2</v>
      </c>
      <c r="K127" t="str">
        <f>IF(Tb_data[[#This Row],[previous_workers]]&lt;Tb_data[[#This Row],[workers]],"yes","no")</f>
        <v>no</v>
      </c>
      <c r="L127">
        <f>Tb_data[[#This Row],[workers]]-Tb_data[[#This Row],[previous_workers]]</f>
        <v>-2</v>
      </c>
      <c r="M127" s="12">
        <f>Tb_data[[#This Row],[Employees Growth]]/Tb_data[[#This Row],[previous_workers]]</f>
        <v>-0.10526315789473684</v>
      </c>
    </row>
    <row r="128" spans="1:13" x14ac:dyDescent="0.25">
      <c r="A128" s="1" t="s">
        <v>1674</v>
      </c>
      <c r="B128" s="1" t="s">
        <v>1675</v>
      </c>
      <c r="C128" s="1">
        <v>14300000</v>
      </c>
      <c r="D128" s="1" t="s">
        <v>52</v>
      </c>
      <c r="E128">
        <v>551.5154</v>
      </c>
      <c r="F128" s="1" t="s">
        <v>12</v>
      </c>
      <c r="G128">
        <v>43</v>
      </c>
      <c r="H128">
        <v>17</v>
      </c>
      <c r="I128" s="1" t="s">
        <v>55</v>
      </c>
      <c r="J128">
        <v>2</v>
      </c>
      <c r="K128" t="str">
        <f>IF(Tb_data[[#This Row],[previous_workers]]&lt;Tb_data[[#This Row],[workers]],"yes","no")</f>
        <v>yes</v>
      </c>
      <c r="L128">
        <f>Tb_data[[#This Row],[workers]]-Tb_data[[#This Row],[previous_workers]]</f>
        <v>26</v>
      </c>
      <c r="M128" s="12">
        <f>Tb_data[[#This Row],[Employees Growth]]/Tb_data[[#This Row],[previous_workers]]</f>
        <v>1.5294117647058822</v>
      </c>
    </row>
    <row r="129" spans="1:13" x14ac:dyDescent="0.25">
      <c r="A129" s="1" t="s">
        <v>10008</v>
      </c>
      <c r="B129" s="1" t="s">
        <v>10009</v>
      </c>
      <c r="C129" s="1">
        <v>4200000</v>
      </c>
      <c r="D129" s="1" t="s">
        <v>627</v>
      </c>
      <c r="E129">
        <v>53.307400000000001</v>
      </c>
      <c r="F129" s="1" t="s">
        <v>169</v>
      </c>
      <c r="G129">
        <v>23</v>
      </c>
      <c r="H129">
        <v>17</v>
      </c>
      <c r="I129" s="1" t="s">
        <v>1622</v>
      </c>
      <c r="J129">
        <v>1</v>
      </c>
      <c r="K129" t="str">
        <f>IF(Tb_data[[#This Row],[previous_workers]]&lt;Tb_data[[#This Row],[workers]],"yes","no")</f>
        <v>yes</v>
      </c>
      <c r="L129">
        <f>Tb_data[[#This Row],[workers]]-Tb_data[[#This Row],[previous_workers]]</f>
        <v>6</v>
      </c>
      <c r="M129" s="12">
        <f>Tb_data[[#This Row],[Employees Growth]]/Tb_data[[#This Row],[previous_workers]]</f>
        <v>0.35294117647058826</v>
      </c>
    </row>
    <row r="130" spans="1:13" x14ac:dyDescent="0.25">
      <c r="A130" s="1" t="s">
        <v>3817</v>
      </c>
      <c r="B130" s="1" t="s">
        <v>3818</v>
      </c>
      <c r="C130" s="1">
        <v>2400000</v>
      </c>
      <c r="D130" s="1" t="s">
        <v>41</v>
      </c>
      <c r="E130">
        <v>220.41820000000001</v>
      </c>
      <c r="F130" s="1" t="s">
        <v>156</v>
      </c>
      <c r="G130">
        <v>21</v>
      </c>
      <c r="H130">
        <v>4</v>
      </c>
      <c r="I130" s="1" t="s">
        <v>46</v>
      </c>
      <c r="J130">
        <v>1</v>
      </c>
      <c r="K130" t="str">
        <f>IF(Tb_data[[#This Row],[previous_workers]]&lt;Tb_data[[#This Row],[workers]],"yes","no")</f>
        <v>yes</v>
      </c>
      <c r="L130">
        <f>Tb_data[[#This Row],[workers]]-Tb_data[[#This Row],[previous_workers]]</f>
        <v>17</v>
      </c>
      <c r="M130" s="12">
        <f>Tb_data[[#This Row],[Employees Growth]]/Tb_data[[#This Row],[previous_workers]]</f>
        <v>4.25</v>
      </c>
    </row>
    <row r="131" spans="1:13" x14ac:dyDescent="0.25">
      <c r="A131" s="1" t="s">
        <v>812</v>
      </c>
      <c r="B131" s="1" t="s">
        <v>813</v>
      </c>
      <c r="C131" s="1">
        <v>5900000</v>
      </c>
      <c r="D131" s="1" t="s">
        <v>422</v>
      </c>
      <c r="E131">
        <v>1264.9067</v>
      </c>
      <c r="F131" s="1" t="s">
        <v>12</v>
      </c>
      <c r="G131">
        <v>3</v>
      </c>
      <c r="H131">
        <v>4</v>
      </c>
      <c r="I131" s="1" t="s">
        <v>35</v>
      </c>
      <c r="J131">
        <v>1</v>
      </c>
      <c r="K131" t="str">
        <f>IF(Tb_data[[#This Row],[previous_workers]]&lt;Tb_data[[#This Row],[workers]],"yes","no")</f>
        <v>no</v>
      </c>
      <c r="L131">
        <f>Tb_data[[#This Row],[workers]]-Tb_data[[#This Row],[previous_workers]]</f>
        <v>-1</v>
      </c>
      <c r="M131" s="12">
        <f>Tb_data[[#This Row],[Employees Growth]]/Tb_data[[#This Row],[previous_workers]]</f>
        <v>-0.25</v>
      </c>
    </row>
    <row r="132" spans="1:13" x14ac:dyDescent="0.25">
      <c r="A132" s="1" t="s">
        <v>8973</v>
      </c>
      <c r="B132" s="1" t="s">
        <v>8974</v>
      </c>
      <c r="C132" s="1">
        <v>25700000</v>
      </c>
      <c r="D132" s="1" t="s">
        <v>61</v>
      </c>
      <c r="E132">
        <v>66.956800000000001</v>
      </c>
      <c r="F132" s="1" t="s">
        <v>124</v>
      </c>
      <c r="G132">
        <v>105</v>
      </c>
      <c r="H132">
        <v>70</v>
      </c>
      <c r="I132" s="1" t="s">
        <v>3843</v>
      </c>
      <c r="J132">
        <v>6</v>
      </c>
      <c r="K132" t="str">
        <f>IF(Tb_data[[#This Row],[previous_workers]]&lt;Tb_data[[#This Row],[workers]],"yes","no")</f>
        <v>yes</v>
      </c>
      <c r="L132">
        <f>Tb_data[[#This Row],[workers]]-Tb_data[[#This Row],[previous_workers]]</f>
        <v>35</v>
      </c>
      <c r="M132" s="12">
        <f>Tb_data[[#This Row],[Employees Growth]]/Tb_data[[#This Row],[previous_workers]]</f>
        <v>0.5</v>
      </c>
    </row>
    <row r="133" spans="1:13" x14ac:dyDescent="0.25">
      <c r="A133" s="1" t="s">
        <v>1122</v>
      </c>
      <c r="B133" s="1" t="s">
        <v>1123</v>
      </c>
      <c r="C133" s="1">
        <v>16200000</v>
      </c>
      <c r="D133" s="1" t="s">
        <v>38</v>
      </c>
      <c r="E133">
        <v>854.55550000000005</v>
      </c>
      <c r="F133" s="1" t="s">
        <v>34</v>
      </c>
      <c r="G133">
        <v>80</v>
      </c>
      <c r="H133">
        <v>25</v>
      </c>
      <c r="I133" s="1" t="s">
        <v>26</v>
      </c>
      <c r="J133">
        <v>1</v>
      </c>
      <c r="K133" t="str">
        <f>IF(Tb_data[[#This Row],[previous_workers]]&lt;Tb_data[[#This Row],[workers]],"yes","no")</f>
        <v>yes</v>
      </c>
      <c r="L133">
        <f>Tb_data[[#This Row],[workers]]-Tb_data[[#This Row],[previous_workers]]</f>
        <v>55</v>
      </c>
      <c r="M133" s="12">
        <f>Tb_data[[#This Row],[Employees Growth]]/Tb_data[[#This Row],[previous_workers]]</f>
        <v>2.2000000000000002</v>
      </c>
    </row>
    <row r="134" spans="1:13" x14ac:dyDescent="0.25">
      <c r="A134" s="1" t="s">
        <v>2969</v>
      </c>
      <c r="B134" s="1" t="s">
        <v>2970</v>
      </c>
      <c r="C134" s="1">
        <v>30100000</v>
      </c>
      <c r="D134" s="1" t="s">
        <v>20</v>
      </c>
      <c r="E134">
        <v>290.1139</v>
      </c>
      <c r="F134" s="1" t="s">
        <v>17</v>
      </c>
      <c r="G134">
        <v>70</v>
      </c>
      <c r="H134">
        <v>15</v>
      </c>
      <c r="I134" s="1" t="s">
        <v>117</v>
      </c>
      <c r="J134">
        <v>1</v>
      </c>
      <c r="K134" t="str">
        <f>IF(Tb_data[[#This Row],[previous_workers]]&lt;Tb_data[[#This Row],[workers]],"yes","no")</f>
        <v>yes</v>
      </c>
      <c r="L134">
        <f>Tb_data[[#This Row],[workers]]-Tb_data[[#This Row],[previous_workers]]</f>
        <v>55</v>
      </c>
      <c r="M134" s="12">
        <f>Tb_data[[#This Row],[Employees Growth]]/Tb_data[[#This Row],[previous_workers]]</f>
        <v>3.6666666666666665</v>
      </c>
    </row>
    <row r="135" spans="1:13" x14ac:dyDescent="0.25">
      <c r="A135" s="1" t="s">
        <v>4679</v>
      </c>
      <c r="B135" s="1" t="s">
        <v>4680</v>
      </c>
      <c r="C135" s="1">
        <v>3000000</v>
      </c>
      <c r="D135" s="1" t="s">
        <v>11</v>
      </c>
      <c r="E135">
        <v>175.14519999999999</v>
      </c>
      <c r="F135" s="1" t="s">
        <v>156</v>
      </c>
      <c r="G135">
        <v>15</v>
      </c>
      <c r="H135">
        <v>8</v>
      </c>
      <c r="I135" s="1" t="s">
        <v>147</v>
      </c>
      <c r="J135">
        <v>2</v>
      </c>
      <c r="K135" t="str">
        <f>IF(Tb_data[[#This Row],[previous_workers]]&lt;Tb_data[[#This Row],[workers]],"yes","no")</f>
        <v>yes</v>
      </c>
      <c r="L135">
        <f>Tb_data[[#This Row],[workers]]-Tb_data[[#This Row],[previous_workers]]</f>
        <v>7</v>
      </c>
      <c r="M135" s="12">
        <f>Tb_data[[#This Row],[Employees Growth]]/Tb_data[[#This Row],[previous_workers]]</f>
        <v>0.875</v>
      </c>
    </row>
    <row r="136" spans="1:13" x14ac:dyDescent="0.25">
      <c r="A136" s="1" t="s">
        <v>3916</v>
      </c>
      <c r="B136" s="1" t="s">
        <v>3917</v>
      </c>
      <c r="C136" s="1">
        <v>17200000</v>
      </c>
      <c r="D136" s="1" t="s">
        <v>895</v>
      </c>
      <c r="E136">
        <v>212.5471</v>
      </c>
      <c r="F136" s="1" t="s">
        <v>12</v>
      </c>
      <c r="G136">
        <v>189</v>
      </c>
      <c r="H136">
        <v>81</v>
      </c>
      <c r="I136" s="1" t="s">
        <v>35</v>
      </c>
      <c r="J136">
        <v>4</v>
      </c>
      <c r="K136" t="str">
        <f>IF(Tb_data[[#This Row],[previous_workers]]&lt;Tb_data[[#This Row],[workers]],"yes","no")</f>
        <v>yes</v>
      </c>
      <c r="L136">
        <f>Tb_data[[#This Row],[workers]]-Tb_data[[#This Row],[previous_workers]]</f>
        <v>108</v>
      </c>
      <c r="M136" s="12">
        <f>Tb_data[[#This Row],[Employees Growth]]/Tb_data[[#This Row],[previous_workers]]</f>
        <v>1.3333333333333333</v>
      </c>
    </row>
    <row r="137" spans="1:13" x14ac:dyDescent="0.25">
      <c r="A137" s="1" t="s">
        <v>6515</v>
      </c>
      <c r="B137" s="1" t="s">
        <v>6516</v>
      </c>
      <c r="C137" s="1">
        <v>33200000</v>
      </c>
      <c r="D137" s="1" t="s">
        <v>20</v>
      </c>
      <c r="E137">
        <v>113.36839999999999</v>
      </c>
      <c r="F137" s="1" t="s">
        <v>169</v>
      </c>
      <c r="G137">
        <v>20</v>
      </c>
      <c r="H137">
        <v>10</v>
      </c>
      <c r="I137" s="1" t="s">
        <v>1411</v>
      </c>
      <c r="J137">
        <v>1</v>
      </c>
      <c r="K137" t="str">
        <f>IF(Tb_data[[#This Row],[previous_workers]]&lt;Tb_data[[#This Row],[workers]],"yes","no")</f>
        <v>yes</v>
      </c>
      <c r="L137">
        <f>Tb_data[[#This Row],[workers]]-Tb_data[[#This Row],[previous_workers]]</f>
        <v>10</v>
      </c>
      <c r="M137" s="12">
        <f>Tb_data[[#This Row],[Employees Growth]]/Tb_data[[#This Row],[previous_workers]]</f>
        <v>1</v>
      </c>
    </row>
    <row r="138" spans="1:13" x14ac:dyDescent="0.25">
      <c r="A138" s="1" t="s">
        <v>5188</v>
      </c>
      <c r="B138" s="1" t="s">
        <v>5189</v>
      </c>
      <c r="C138" s="1">
        <v>106900000</v>
      </c>
      <c r="D138" s="1" t="s">
        <v>61</v>
      </c>
      <c r="E138">
        <v>153.8836</v>
      </c>
      <c r="F138" s="1" t="s">
        <v>12</v>
      </c>
      <c r="G138">
        <v>181</v>
      </c>
      <c r="H138">
        <v>107</v>
      </c>
      <c r="I138" s="1" t="s">
        <v>164</v>
      </c>
      <c r="J138">
        <v>5</v>
      </c>
      <c r="K138" t="str">
        <f>IF(Tb_data[[#This Row],[previous_workers]]&lt;Tb_data[[#This Row],[workers]],"yes","no")</f>
        <v>yes</v>
      </c>
      <c r="L138">
        <f>Tb_data[[#This Row],[workers]]-Tb_data[[#This Row],[previous_workers]]</f>
        <v>74</v>
      </c>
      <c r="M138" s="12">
        <f>Tb_data[[#This Row],[Employees Growth]]/Tb_data[[#This Row],[previous_workers]]</f>
        <v>0.69158878504672894</v>
      </c>
    </row>
    <row r="139" spans="1:13" x14ac:dyDescent="0.25">
      <c r="A139" s="1" t="s">
        <v>7829</v>
      </c>
      <c r="B139" s="1" t="s">
        <v>7830</v>
      </c>
      <c r="C139" s="1">
        <v>30200000</v>
      </c>
      <c r="D139" s="1" t="s">
        <v>58</v>
      </c>
      <c r="E139">
        <v>85.831199999999995</v>
      </c>
      <c r="F139" s="1" t="s">
        <v>34</v>
      </c>
      <c r="G139">
        <v>198</v>
      </c>
      <c r="H139">
        <v>85</v>
      </c>
      <c r="I139" s="1" t="s">
        <v>1051</v>
      </c>
      <c r="J139">
        <v>4</v>
      </c>
      <c r="K139" t="str">
        <f>IF(Tb_data[[#This Row],[previous_workers]]&lt;Tb_data[[#This Row],[workers]],"yes","no")</f>
        <v>yes</v>
      </c>
      <c r="L139">
        <f>Tb_data[[#This Row],[workers]]-Tb_data[[#This Row],[previous_workers]]</f>
        <v>113</v>
      </c>
      <c r="M139" s="12">
        <f>Tb_data[[#This Row],[Employees Growth]]/Tb_data[[#This Row],[previous_workers]]</f>
        <v>1.3294117647058823</v>
      </c>
    </row>
    <row r="140" spans="1:13" x14ac:dyDescent="0.25">
      <c r="A140" s="1" t="s">
        <v>3831</v>
      </c>
      <c r="B140" s="1" t="s">
        <v>3832</v>
      </c>
      <c r="C140" s="1">
        <v>323300000</v>
      </c>
      <c r="D140" s="1" t="s">
        <v>16</v>
      </c>
      <c r="E140">
        <v>218.96019999999999</v>
      </c>
      <c r="F140" s="1" t="s">
        <v>62</v>
      </c>
      <c r="G140">
        <v>1097</v>
      </c>
      <c r="H140">
        <v>338</v>
      </c>
      <c r="I140" s="1" t="s">
        <v>1411</v>
      </c>
      <c r="J140">
        <v>8</v>
      </c>
      <c r="K140" t="str">
        <f>IF(Tb_data[[#This Row],[previous_workers]]&lt;Tb_data[[#This Row],[workers]],"yes","no")</f>
        <v>yes</v>
      </c>
      <c r="L140">
        <f>Tb_data[[#This Row],[workers]]-Tb_data[[#This Row],[previous_workers]]</f>
        <v>759</v>
      </c>
      <c r="M140" s="12">
        <f>Tb_data[[#This Row],[Employees Growth]]/Tb_data[[#This Row],[previous_workers]]</f>
        <v>2.2455621301775146</v>
      </c>
    </row>
    <row r="141" spans="1:13" x14ac:dyDescent="0.25">
      <c r="A141" s="1" t="s">
        <v>2989</v>
      </c>
      <c r="B141" s="1" t="s">
        <v>2990</v>
      </c>
      <c r="C141" s="1">
        <v>4800000</v>
      </c>
      <c r="D141" s="1" t="s">
        <v>52</v>
      </c>
      <c r="E141">
        <v>288.2373</v>
      </c>
      <c r="F141" s="1" t="s">
        <v>176</v>
      </c>
      <c r="G141">
        <v>10</v>
      </c>
      <c r="H141">
        <v>3</v>
      </c>
      <c r="I141" s="1" t="s">
        <v>74</v>
      </c>
      <c r="J141">
        <v>1</v>
      </c>
      <c r="K141" t="str">
        <f>IF(Tb_data[[#This Row],[previous_workers]]&lt;Tb_data[[#This Row],[workers]],"yes","no")</f>
        <v>yes</v>
      </c>
      <c r="L141">
        <f>Tb_data[[#This Row],[workers]]-Tb_data[[#This Row],[previous_workers]]</f>
        <v>7</v>
      </c>
      <c r="M141" s="12">
        <f>Tb_data[[#This Row],[Employees Growth]]/Tb_data[[#This Row],[previous_workers]]</f>
        <v>2.3333333333333335</v>
      </c>
    </row>
    <row r="142" spans="1:13" x14ac:dyDescent="0.25">
      <c r="A142" s="1" t="s">
        <v>928</v>
      </c>
      <c r="B142" s="1" t="s">
        <v>929</v>
      </c>
      <c r="C142" s="1">
        <v>15800000</v>
      </c>
      <c r="D142" s="1" t="s">
        <v>123</v>
      </c>
      <c r="E142">
        <v>1095.0864999999999</v>
      </c>
      <c r="F142" s="1" t="s">
        <v>124</v>
      </c>
      <c r="G142">
        <v>51</v>
      </c>
      <c r="H142">
        <v>5</v>
      </c>
      <c r="I142" s="1" t="s">
        <v>26</v>
      </c>
      <c r="J142">
        <v>1</v>
      </c>
      <c r="K142" t="str">
        <f>IF(Tb_data[[#This Row],[previous_workers]]&lt;Tb_data[[#This Row],[workers]],"yes","no")</f>
        <v>yes</v>
      </c>
      <c r="L142">
        <f>Tb_data[[#This Row],[workers]]-Tb_data[[#This Row],[previous_workers]]</f>
        <v>46</v>
      </c>
      <c r="M142" s="12">
        <f>Tb_data[[#This Row],[Employees Growth]]/Tb_data[[#This Row],[previous_workers]]</f>
        <v>9.1999999999999993</v>
      </c>
    </row>
    <row r="143" spans="1:13" x14ac:dyDescent="0.25">
      <c r="A143" s="1" t="s">
        <v>7413</v>
      </c>
      <c r="B143" s="1" t="s">
        <v>7414</v>
      </c>
      <c r="C143" s="1">
        <v>13800000</v>
      </c>
      <c r="D143" s="1" t="s">
        <v>79</v>
      </c>
      <c r="E143">
        <v>95.090100000000007</v>
      </c>
      <c r="F143" s="1" t="s">
        <v>156</v>
      </c>
      <c r="G143">
        <v>109</v>
      </c>
      <c r="H143">
        <v>65</v>
      </c>
      <c r="I143" s="1" t="s">
        <v>468</v>
      </c>
      <c r="J143">
        <v>1</v>
      </c>
      <c r="K143" t="str">
        <f>IF(Tb_data[[#This Row],[previous_workers]]&lt;Tb_data[[#This Row],[workers]],"yes","no")</f>
        <v>yes</v>
      </c>
      <c r="L143">
        <f>Tb_data[[#This Row],[workers]]-Tb_data[[#This Row],[previous_workers]]</f>
        <v>44</v>
      </c>
      <c r="M143" s="12">
        <f>Tb_data[[#This Row],[Employees Growth]]/Tb_data[[#This Row],[previous_workers]]</f>
        <v>0.67692307692307696</v>
      </c>
    </row>
    <row r="144" spans="1:13" x14ac:dyDescent="0.25">
      <c r="A144" s="1" t="s">
        <v>2877</v>
      </c>
      <c r="B144" s="1" t="s">
        <v>2878</v>
      </c>
      <c r="C144" s="1">
        <v>14800000</v>
      </c>
      <c r="D144" s="1" t="s">
        <v>69</v>
      </c>
      <c r="E144">
        <v>300.2955</v>
      </c>
      <c r="F144" s="1" t="s">
        <v>34</v>
      </c>
      <c r="G144">
        <v>804</v>
      </c>
      <c r="H144">
        <v>75</v>
      </c>
      <c r="I144" s="1" t="s">
        <v>117</v>
      </c>
      <c r="J144">
        <v>1</v>
      </c>
      <c r="K144" t="str">
        <f>IF(Tb_data[[#This Row],[previous_workers]]&lt;Tb_data[[#This Row],[workers]],"yes","no")</f>
        <v>yes</v>
      </c>
      <c r="L144">
        <f>Tb_data[[#This Row],[workers]]-Tb_data[[#This Row],[previous_workers]]</f>
        <v>729</v>
      </c>
      <c r="M144" s="12">
        <f>Tb_data[[#This Row],[Employees Growth]]/Tb_data[[#This Row],[previous_workers]]</f>
        <v>9.7200000000000006</v>
      </c>
    </row>
    <row r="145" spans="1:13" x14ac:dyDescent="0.25">
      <c r="A145" s="1" t="s">
        <v>9031</v>
      </c>
      <c r="B145" s="1" t="s">
        <v>9032</v>
      </c>
      <c r="C145" s="1">
        <v>106500000</v>
      </c>
      <c r="D145" s="1" t="s">
        <v>254</v>
      </c>
      <c r="E145">
        <v>66.222099999999998</v>
      </c>
      <c r="F145" s="1" t="s">
        <v>34</v>
      </c>
      <c r="G145">
        <v>235</v>
      </c>
      <c r="H145">
        <v>136</v>
      </c>
      <c r="I145" s="1" t="s">
        <v>836</v>
      </c>
      <c r="J145">
        <v>4</v>
      </c>
      <c r="K145" t="str">
        <f>IF(Tb_data[[#This Row],[previous_workers]]&lt;Tb_data[[#This Row],[workers]],"yes","no")</f>
        <v>yes</v>
      </c>
      <c r="L145">
        <f>Tb_data[[#This Row],[workers]]-Tb_data[[#This Row],[previous_workers]]</f>
        <v>99</v>
      </c>
      <c r="M145" s="12">
        <f>Tb_data[[#This Row],[Employees Growth]]/Tb_data[[#This Row],[previous_workers]]</f>
        <v>0.7279411764705882</v>
      </c>
    </row>
    <row r="146" spans="1:13" x14ac:dyDescent="0.25">
      <c r="A146" s="1" t="s">
        <v>2078</v>
      </c>
      <c r="B146" s="1" t="s">
        <v>2079</v>
      </c>
      <c r="C146" s="1">
        <v>3500000</v>
      </c>
      <c r="D146" s="1" t="s">
        <v>38</v>
      </c>
      <c r="E146">
        <v>428.42070000000001</v>
      </c>
      <c r="F146" s="1" t="s">
        <v>156</v>
      </c>
      <c r="G146">
        <v>24</v>
      </c>
      <c r="H146">
        <v>7</v>
      </c>
      <c r="I146" s="1" t="s">
        <v>35</v>
      </c>
      <c r="J146">
        <v>2</v>
      </c>
      <c r="K146" t="str">
        <f>IF(Tb_data[[#This Row],[previous_workers]]&lt;Tb_data[[#This Row],[workers]],"yes","no")</f>
        <v>yes</v>
      </c>
      <c r="L146">
        <f>Tb_data[[#This Row],[workers]]-Tb_data[[#This Row],[previous_workers]]</f>
        <v>17</v>
      </c>
      <c r="M146" s="12">
        <f>Tb_data[[#This Row],[Employees Growth]]/Tb_data[[#This Row],[previous_workers]]</f>
        <v>2.4285714285714284</v>
      </c>
    </row>
    <row r="147" spans="1:13" x14ac:dyDescent="0.25">
      <c r="A147" s="1" t="s">
        <v>9269</v>
      </c>
      <c r="B147" s="1" t="s">
        <v>9270</v>
      </c>
      <c r="C147" s="1">
        <v>3900000</v>
      </c>
      <c r="D147" s="1" t="s">
        <v>103</v>
      </c>
      <c r="E147">
        <v>63.189100000000003</v>
      </c>
      <c r="F147" s="1" t="s">
        <v>514</v>
      </c>
      <c r="G147">
        <v>24</v>
      </c>
      <c r="H147">
        <v>19</v>
      </c>
      <c r="I147" s="1" t="s">
        <v>836</v>
      </c>
      <c r="J147">
        <v>2</v>
      </c>
      <c r="K147" t="str">
        <f>IF(Tb_data[[#This Row],[previous_workers]]&lt;Tb_data[[#This Row],[workers]],"yes","no")</f>
        <v>yes</v>
      </c>
      <c r="L147">
        <f>Tb_data[[#This Row],[workers]]-Tb_data[[#This Row],[previous_workers]]</f>
        <v>5</v>
      </c>
      <c r="M147" s="12">
        <f>Tb_data[[#This Row],[Employees Growth]]/Tb_data[[#This Row],[previous_workers]]</f>
        <v>0.26315789473684209</v>
      </c>
    </row>
    <row r="148" spans="1:13" x14ac:dyDescent="0.25">
      <c r="A148" s="1" t="s">
        <v>5932</v>
      </c>
      <c r="B148" s="1" t="s">
        <v>5933</v>
      </c>
      <c r="C148" s="1">
        <v>20000000</v>
      </c>
      <c r="D148" s="1" t="s">
        <v>61</v>
      </c>
      <c r="E148">
        <v>128.10669999999999</v>
      </c>
      <c r="F148" s="1" t="s">
        <v>124</v>
      </c>
      <c r="G148">
        <v>18</v>
      </c>
      <c r="H148">
        <v>10</v>
      </c>
      <c r="I148" s="1" t="s">
        <v>55</v>
      </c>
      <c r="J148">
        <v>2</v>
      </c>
      <c r="K148" t="str">
        <f>IF(Tb_data[[#This Row],[previous_workers]]&lt;Tb_data[[#This Row],[workers]],"yes","no")</f>
        <v>yes</v>
      </c>
      <c r="L148">
        <f>Tb_data[[#This Row],[workers]]-Tb_data[[#This Row],[previous_workers]]</f>
        <v>8</v>
      </c>
      <c r="M148" s="12">
        <f>Tb_data[[#This Row],[Employees Growth]]/Tb_data[[#This Row],[previous_workers]]</f>
        <v>0.8</v>
      </c>
    </row>
    <row r="149" spans="1:13" x14ac:dyDescent="0.25">
      <c r="A149" s="1" t="s">
        <v>5256</v>
      </c>
      <c r="B149" s="1" t="s">
        <v>5257</v>
      </c>
      <c r="C149" s="1">
        <v>4300000</v>
      </c>
      <c r="D149" s="1" t="s">
        <v>33</v>
      </c>
      <c r="E149">
        <v>151.51349999999999</v>
      </c>
      <c r="F149" s="1" t="s">
        <v>34</v>
      </c>
      <c r="G149">
        <v>27</v>
      </c>
      <c r="H149">
        <v>5</v>
      </c>
      <c r="I149" s="1" t="s">
        <v>55</v>
      </c>
      <c r="J149">
        <v>2</v>
      </c>
      <c r="K149" t="str">
        <f>IF(Tb_data[[#This Row],[previous_workers]]&lt;Tb_data[[#This Row],[workers]],"yes","no")</f>
        <v>yes</v>
      </c>
      <c r="L149">
        <f>Tb_data[[#This Row],[workers]]-Tb_data[[#This Row],[previous_workers]]</f>
        <v>22</v>
      </c>
      <c r="M149" s="12">
        <f>Tb_data[[#This Row],[Employees Growth]]/Tb_data[[#This Row],[previous_workers]]</f>
        <v>4.4000000000000004</v>
      </c>
    </row>
    <row r="150" spans="1:13" x14ac:dyDescent="0.25">
      <c r="A150" s="1" t="s">
        <v>902</v>
      </c>
      <c r="B150" s="1" t="s">
        <v>903</v>
      </c>
      <c r="C150" s="1">
        <v>24000000</v>
      </c>
      <c r="D150" s="1" t="s">
        <v>20</v>
      </c>
      <c r="E150">
        <v>1130.9366</v>
      </c>
      <c r="F150" s="1" t="s">
        <v>176</v>
      </c>
      <c r="G150">
        <v>50</v>
      </c>
      <c r="H150">
        <v>12</v>
      </c>
      <c r="I150" s="1" t="s">
        <v>295</v>
      </c>
      <c r="J150">
        <v>1</v>
      </c>
      <c r="K150" t="str">
        <f>IF(Tb_data[[#This Row],[previous_workers]]&lt;Tb_data[[#This Row],[workers]],"yes","no")</f>
        <v>yes</v>
      </c>
      <c r="L150">
        <f>Tb_data[[#This Row],[workers]]-Tb_data[[#This Row],[previous_workers]]</f>
        <v>38</v>
      </c>
      <c r="M150" s="12">
        <f>Tb_data[[#This Row],[Employees Growth]]/Tb_data[[#This Row],[previous_workers]]</f>
        <v>3.1666666666666665</v>
      </c>
    </row>
    <row r="151" spans="1:13" x14ac:dyDescent="0.25">
      <c r="A151" s="1" t="s">
        <v>6225</v>
      </c>
      <c r="B151" s="1" t="s">
        <v>6226</v>
      </c>
      <c r="C151" s="1">
        <v>10900000</v>
      </c>
      <c r="D151" s="1" t="s">
        <v>29</v>
      </c>
      <c r="E151">
        <v>120.7884</v>
      </c>
      <c r="F151" s="1" t="s">
        <v>112</v>
      </c>
      <c r="G151">
        <v>76</v>
      </c>
      <c r="H151">
        <v>24</v>
      </c>
      <c r="I151" s="1" t="s">
        <v>226</v>
      </c>
      <c r="J151">
        <v>4</v>
      </c>
      <c r="K151" t="str">
        <f>IF(Tb_data[[#This Row],[previous_workers]]&lt;Tb_data[[#This Row],[workers]],"yes","no")</f>
        <v>yes</v>
      </c>
      <c r="L151">
        <f>Tb_data[[#This Row],[workers]]-Tb_data[[#This Row],[previous_workers]]</f>
        <v>52</v>
      </c>
      <c r="M151" s="12">
        <f>Tb_data[[#This Row],[Employees Growth]]/Tb_data[[#This Row],[previous_workers]]</f>
        <v>2.1666666666666665</v>
      </c>
    </row>
    <row r="152" spans="1:13" x14ac:dyDescent="0.25">
      <c r="A152" s="1" t="s">
        <v>8399</v>
      </c>
      <c r="B152" s="1" t="s">
        <v>8400</v>
      </c>
      <c r="C152" s="1">
        <v>11400000</v>
      </c>
      <c r="D152" s="1" t="s">
        <v>69</v>
      </c>
      <c r="E152">
        <v>76.098200000000006</v>
      </c>
      <c r="F152" s="1" t="s">
        <v>97</v>
      </c>
      <c r="G152">
        <v>99</v>
      </c>
      <c r="H152">
        <v>93</v>
      </c>
      <c r="I152" s="1" t="s">
        <v>117</v>
      </c>
      <c r="J152">
        <v>4</v>
      </c>
      <c r="K152" t="str">
        <f>IF(Tb_data[[#This Row],[previous_workers]]&lt;Tb_data[[#This Row],[workers]],"yes","no")</f>
        <v>yes</v>
      </c>
      <c r="L152">
        <f>Tb_data[[#This Row],[workers]]-Tb_data[[#This Row],[previous_workers]]</f>
        <v>6</v>
      </c>
      <c r="M152" s="12">
        <f>Tb_data[[#This Row],[Employees Growth]]/Tb_data[[#This Row],[previous_workers]]</f>
        <v>6.4516129032258063E-2</v>
      </c>
    </row>
    <row r="153" spans="1:13" x14ac:dyDescent="0.25">
      <c r="A153" s="1" t="s">
        <v>8201</v>
      </c>
      <c r="B153" s="1" t="s">
        <v>8202</v>
      </c>
      <c r="C153" s="1">
        <v>6000000</v>
      </c>
      <c r="D153" s="1" t="s">
        <v>254</v>
      </c>
      <c r="E153">
        <v>79.559399999999997</v>
      </c>
      <c r="F153" s="1" t="s">
        <v>161</v>
      </c>
      <c r="G153">
        <v>70</v>
      </c>
      <c r="H153">
        <v>31</v>
      </c>
      <c r="I153" s="1" t="s">
        <v>194</v>
      </c>
      <c r="J153">
        <v>1</v>
      </c>
      <c r="K153" t="str">
        <f>IF(Tb_data[[#This Row],[previous_workers]]&lt;Tb_data[[#This Row],[workers]],"yes","no")</f>
        <v>yes</v>
      </c>
      <c r="L153">
        <f>Tb_data[[#This Row],[workers]]-Tb_data[[#This Row],[previous_workers]]</f>
        <v>39</v>
      </c>
      <c r="M153" s="12">
        <f>Tb_data[[#This Row],[Employees Growth]]/Tb_data[[#This Row],[previous_workers]]</f>
        <v>1.2580645161290323</v>
      </c>
    </row>
    <row r="154" spans="1:13" x14ac:dyDescent="0.25">
      <c r="A154" s="1" t="s">
        <v>8673</v>
      </c>
      <c r="B154" s="1" t="s">
        <v>8674</v>
      </c>
      <c r="C154" s="1">
        <v>9600000</v>
      </c>
      <c r="D154" s="1" t="s">
        <v>41</v>
      </c>
      <c r="E154">
        <v>71.381299999999996</v>
      </c>
      <c r="F154" s="1" t="s">
        <v>97</v>
      </c>
      <c r="G154">
        <v>45</v>
      </c>
      <c r="H154">
        <v>25</v>
      </c>
      <c r="I154" s="1" t="s">
        <v>117</v>
      </c>
      <c r="J154">
        <v>4</v>
      </c>
      <c r="K154" t="str">
        <f>IF(Tb_data[[#This Row],[previous_workers]]&lt;Tb_data[[#This Row],[workers]],"yes","no")</f>
        <v>yes</v>
      </c>
      <c r="L154">
        <f>Tb_data[[#This Row],[workers]]-Tb_data[[#This Row],[previous_workers]]</f>
        <v>20</v>
      </c>
      <c r="M154" s="12">
        <f>Tb_data[[#This Row],[Employees Growth]]/Tb_data[[#This Row],[previous_workers]]</f>
        <v>0.8</v>
      </c>
    </row>
    <row r="155" spans="1:13" x14ac:dyDescent="0.25">
      <c r="A155" s="1" t="s">
        <v>2881</v>
      </c>
      <c r="B155" s="1" t="s">
        <v>2882</v>
      </c>
      <c r="C155" s="1">
        <v>3600000</v>
      </c>
      <c r="D155" s="1" t="s">
        <v>175</v>
      </c>
      <c r="E155">
        <v>300.03590000000003</v>
      </c>
      <c r="F155" s="1" t="s">
        <v>135</v>
      </c>
      <c r="G155">
        <v>31</v>
      </c>
      <c r="H155">
        <v>6</v>
      </c>
      <c r="I155" s="1" t="s">
        <v>55</v>
      </c>
      <c r="J155">
        <v>1</v>
      </c>
      <c r="K155" t="str">
        <f>IF(Tb_data[[#This Row],[previous_workers]]&lt;Tb_data[[#This Row],[workers]],"yes","no")</f>
        <v>yes</v>
      </c>
      <c r="L155">
        <f>Tb_data[[#This Row],[workers]]-Tb_data[[#This Row],[previous_workers]]</f>
        <v>25</v>
      </c>
      <c r="M155" s="12">
        <f>Tb_data[[#This Row],[Employees Growth]]/Tb_data[[#This Row],[previous_workers]]</f>
        <v>4.166666666666667</v>
      </c>
    </row>
    <row r="156" spans="1:13" x14ac:dyDescent="0.25">
      <c r="A156" s="1" t="s">
        <v>3325</v>
      </c>
      <c r="B156" s="1" t="s">
        <v>3326</v>
      </c>
      <c r="C156" s="1">
        <v>21200000</v>
      </c>
      <c r="D156" s="1" t="s">
        <v>69</v>
      </c>
      <c r="E156">
        <v>256.97089999999997</v>
      </c>
      <c r="F156" s="1" t="s">
        <v>97</v>
      </c>
      <c r="G156">
        <v>326</v>
      </c>
      <c r="H156">
        <v>58</v>
      </c>
      <c r="I156" s="1" t="s">
        <v>35</v>
      </c>
      <c r="J156">
        <v>2</v>
      </c>
      <c r="K156" t="str">
        <f>IF(Tb_data[[#This Row],[previous_workers]]&lt;Tb_data[[#This Row],[workers]],"yes","no")</f>
        <v>yes</v>
      </c>
      <c r="L156">
        <f>Tb_data[[#This Row],[workers]]-Tb_data[[#This Row],[previous_workers]]</f>
        <v>268</v>
      </c>
      <c r="M156" s="12">
        <f>Tb_data[[#This Row],[Employees Growth]]/Tb_data[[#This Row],[previous_workers]]</f>
        <v>4.6206896551724137</v>
      </c>
    </row>
    <row r="157" spans="1:13" x14ac:dyDescent="0.25">
      <c r="A157" s="1" t="s">
        <v>10060</v>
      </c>
      <c r="B157" s="1" t="s">
        <v>10061</v>
      </c>
      <c r="C157" s="1">
        <v>57700000</v>
      </c>
      <c r="D157" s="1" t="s">
        <v>49</v>
      </c>
      <c r="E157">
        <v>52.670900000000003</v>
      </c>
      <c r="F157" s="1" t="s">
        <v>62</v>
      </c>
      <c r="G157">
        <v>31</v>
      </c>
      <c r="H157">
        <v>18</v>
      </c>
      <c r="I157" s="1" t="s">
        <v>26</v>
      </c>
      <c r="J157">
        <v>1</v>
      </c>
      <c r="K157" t="str">
        <f>IF(Tb_data[[#This Row],[previous_workers]]&lt;Tb_data[[#This Row],[workers]],"yes","no")</f>
        <v>yes</v>
      </c>
      <c r="L157">
        <f>Tb_data[[#This Row],[workers]]-Tb_data[[#This Row],[previous_workers]]</f>
        <v>13</v>
      </c>
      <c r="M157" s="12">
        <f>Tb_data[[#This Row],[Employees Growth]]/Tb_data[[#This Row],[previous_workers]]</f>
        <v>0.72222222222222221</v>
      </c>
    </row>
    <row r="158" spans="1:13" x14ac:dyDescent="0.25">
      <c r="A158" s="1" t="s">
        <v>2832</v>
      </c>
      <c r="B158" s="1" t="s">
        <v>2833</v>
      </c>
      <c r="C158" s="1">
        <v>23600000</v>
      </c>
      <c r="D158" s="1" t="s">
        <v>627</v>
      </c>
      <c r="E158">
        <v>305.32670000000002</v>
      </c>
      <c r="F158" s="1" t="s">
        <v>116</v>
      </c>
      <c r="G158">
        <v>117</v>
      </c>
      <c r="H158">
        <v>23</v>
      </c>
      <c r="I158" s="1" t="s">
        <v>295</v>
      </c>
      <c r="J158">
        <v>7</v>
      </c>
      <c r="K158" t="str">
        <f>IF(Tb_data[[#This Row],[previous_workers]]&lt;Tb_data[[#This Row],[workers]],"yes","no")</f>
        <v>yes</v>
      </c>
      <c r="L158">
        <f>Tb_data[[#This Row],[workers]]-Tb_data[[#This Row],[previous_workers]]</f>
        <v>94</v>
      </c>
      <c r="M158" s="12">
        <f>Tb_data[[#This Row],[Employees Growth]]/Tb_data[[#This Row],[previous_workers]]</f>
        <v>4.0869565217391308</v>
      </c>
    </row>
    <row r="159" spans="1:13" x14ac:dyDescent="0.25">
      <c r="A159" s="1" t="s">
        <v>4978</v>
      </c>
      <c r="B159" s="1" t="s">
        <v>4979</v>
      </c>
      <c r="C159" s="1">
        <v>13100000</v>
      </c>
      <c r="D159" s="1" t="s">
        <v>2568</v>
      </c>
      <c r="E159">
        <v>162.74029999999999</v>
      </c>
      <c r="F159" s="1" t="s">
        <v>156</v>
      </c>
      <c r="G159">
        <v>83</v>
      </c>
      <c r="H159">
        <v>40</v>
      </c>
      <c r="I159" s="1" t="s">
        <v>147</v>
      </c>
      <c r="J159">
        <v>1</v>
      </c>
      <c r="K159" t="str">
        <f>IF(Tb_data[[#This Row],[previous_workers]]&lt;Tb_data[[#This Row],[workers]],"yes","no")</f>
        <v>yes</v>
      </c>
      <c r="L159">
        <f>Tb_data[[#This Row],[workers]]-Tb_data[[#This Row],[previous_workers]]</f>
        <v>43</v>
      </c>
      <c r="M159" s="12">
        <f>Tb_data[[#This Row],[Employees Growth]]/Tb_data[[#This Row],[previous_workers]]</f>
        <v>1.075</v>
      </c>
    </row>
    <row r="160" spans="1:13" x14ac:dyDescent="0.25">
      <c r="A160" s="1" t="s">
        <v>9487</v>
      </c>
      <c r="B160" s="1" t="s">
        <v>9488</v>
      </c>
      <c r="C160" s="1">
        <v>5900000</v>
      </c>
      <c r="D160" s="1" t="s">
        <v>61</v>
      </c>
      <c r="E160">
        <v>60.439100000000003</v>
      </c>
      <c r="F160" s="1" t="s">
        <v>34</v>
      </c>
      <c r="G160">
        <v>27</v>
      </c>
      <c r="H160">
        <v>20</v>
      </c>
      <c r="I160" s="1" t="s">
        <v>194</v>
      </c>
      <c r="J160">
        <v>2</v>
      </c>
      <c r="K160" t="str">
        <f>IF(Tb_data[[#This Row],[previous_workers]]&lt;Tb_data[[#This Row],[workers]],"yes","no")</f>
        <v>yes</v>
      </c>
      <c r="L160">
        <f>Tb_data[[#This Row],[workers]]-Tb_data[[#This Row],[previous_workers]]</f>
        <v>7</v>
      </c>
      <c r="M160" s="12">
        <f>Tb_data[[#This Row],[Employees Growth]]/Tb_data[[#This Row],[previous_workers]]</f>
        <v>0.35</v>
      </c>
    </row>
    <row r="161" spans="1:13" x14ac:dyDescent="0.25">
      <c r="A161" s="1" t="s">
        <v>3553</v>
      </c>
      <c r="B161" s="1" t="s">
        <v>3554</v>
      </c>
      <c r="C161" s="1">
        <v>8300000</v>
      </c>
      <c r="D161" s="1" t="s">
        <v>16</v>
      </c>
      <c r="E161">
        <v>237.26169999999999</v>
      </c>
      <c r="F161" s="1" t="s">
        <v>34</v>
      </c>
      <c r="G161">
        <v>75</v>
      </c>
      <c r="H161">
        <v>30</v>
      </c>
      <c r="I161" s="1" t="s">
        <v>117</v>
      </c>
      <c r="J161">
        <v>1</v>
      </c>
      <c r="K161" t="str">
        <f>IF(Tb_data[[#This Row],[previous_workers]]&lt;Tb_data[[#This Row],[workers]],"yes","no")</f>
        <v>yes</v>
      </c>
      <c r="L161">
        <f>Tb_data[[#This Row],[workers]]-Tb_data[[#This Row],[previous_workers]]</f>
        <v>45</v>
      </c>
      <c r="M161" s="12">
        <f>Tb_data[[#This Row],[Employees Growth]]/Tb_data[[#This Row],[previous_workers]]</f>
        <v>1.5</v>
      </c>
    </row>
    <row r="162" spans="1:13" x14ac:dyDescent="0.25">
      <c r="A162" s="1" t="s">
        <v>942</v>
      </c>
      <c r="B162" s="1" t="s">
        <v>943</v>
      </c>
      <c r="C162" s="1">
        <v>6500000</v>
      </c>
      <c r="D162" s="1" t="s">
        <v>49</v>
      </c>
      <c r="E162">
        <v>1074.5554</v>
      </c>
      <c r="F162" s="1" t="s">
        <v>12</v>
      </c>
      <c r="G162">
        <v>38</v>
      </c>
      <c r="H162">
        <v>3</v>
      </c>
      <c r="I162" s="1" t="s">
        <v>130</v>
      </c>
      <c r="J162">
        <v>2</v>
      </c>
      <c r="K162" t="str">
        <f>IF(Tb_data[[#This Row],[previous_workers]]&lt;Tb_data[[#This Row],[workers]],"yes","no")</f>
        <v>yes</v>
      </c>
      <c r="L162">
        <f>Tb_data[[#This Row],[workers]]-Tb_data[[#This Row],[previous_workers]]</f>
        <v>35</v>
      </c>
      <c r="M162" s="12">
        <f>Tb_data[[#This Row],[Employees Growth]]/Tb_data[[#This Row],[previous_workers]]</f>
        <v>11.666666666666666</v>
      </c>
    </row>
    <row r="163" spans="1:13" x14ac:dyDescent="0.25">
      <c r="A163" s="1" t="s">
        <v>9576</v>
      </c>
      <c r="B163" s="1" t="s">
        <v>9577</v>
      </c>
      <c r="C163" s="1">
        <v>11800000</v>
      </c>
      <c r="D163" s="1" t="s">
        <v>91</v>
      </c>
      <c r="E163">
        <v>59.424999999999997</v>
      </c>
      <c r="F163" s="1" t="s">
        <v>12</v>
      </c>
      <c r="G163">
        <v>70</v>
      </c>
      <c r="H163">
        <v>25</v>
      </c>
      <c r="I163" s="1" t="s">
        <v>46</v>
      </c>
      <c r="J163">
        <v>4</v>
      </c>
      <c r="K163" t="str">
        <f>IF(Tb_data[[#This Row],[previous_workers]]&lt;Tb_data[[#This Row],[workers]],"yes","no")</f>
        <v>yes</v>
      </c>
      <c r="L163">
        <f>Tb_data[[#This Row],[workers]]-Tb_data[[#This Row],[previous_workers]]</f>
        <v>45</v>
      </c>
      <c r="M163" s="12">
        <f>Tb_data[[#This Row],[Employees Growth]]/Tb_data[[#This Row],[previous_workers]]</f>
        <v>1.8</v>
      </c>
    </row>
    <row r="164" spans="1:13" x14ac:dyDescent="0.25">
      <c r="A164" s="1" t="s">
        <v>650</v>
      </c>
      <c r="B164" s="1" t="s">
        <v>651</v>
      </c>
      <c r="C164" s="1">
        <v>2300000</v>
      </c>
      <c r="D164" s="1" t="s">
        <v>33</v>
      </c>
      <c r="E164">
        <v>1554.4394</v>
      </c>
      <c r="F164" s="1" t="s">
        <v>310</v>
      </c>
      <c r="G164">
        <v>9</v>
      </c>
      <c r="H164">
        <v>2</v>
      </c>
      <c r="I164" s="1" t="s">
        <v>164</v>
      </c>
      <c r="J164">
        <v>1</v>
      </c>
      <c r="K164" t="str">
        <f>IF(Tb_data[[#This Row],[previous_workers]]&lt;Tb_data[[#This Row],[workers]],"yes","no")</f>
        <v>yes</v>
      </c>
      <c r="L164">
        <f>Tb_data[[#This Row],[workers]]-Tb_data[[#This Row],[previous_workers]]</f>
        <v>7</v>
      </c>
      <c r="M164" s="12">
        <f>Tb_data[[#This Row],[Employees Growth]]/Tb_data[[#This Row],[previous_workers]]</f>
        <v>3.5</v>
      </c>
    </row>
    <row r="165" spans="1:13" x14ac:dyDescent="0.25">
      <c r="A165" s="1" t="s">
        <v>1330</v>
      </c>
      <c r="B165" s="1" t="s">
        <v>1331</v>
      </c>
      <c r="C165" s="1">
        <v>27600000</v>
      </c>
      <c r="D165" s="1" t="s">
        <v>49</v>
      </c>
      <c r="E165">
        <v>712.98050000000001</v>
      </c>
      <c r="F165" s="1" t="s">
        <v>176</v>
      </c>
      <c r="G165">
        <v>156</v>
      </c>
      <c r="H165">
        <v>55</v>
      </c>
      <c r="I165" s="1" t="s">
        <v>130</v>
      </c>
      <c r="J165">
        <v>1</v>
      </c>
      <c r="K165" t="str">
        <f>IF(Tb_data[[#This Row],[previous_workers]]&lt;Tb_data[[#This Row],[workers]],"yes","no")</f>
        <v>yes</v>
      </c>
      <c r="L165">
        <f>Tb_data[[#This Row],[workers]]-Tb_data[[#This Row],[previous_workers]]</f>
        <v>101</v>
      </c>
      <c r="M165" s="12">
        <f>Tb_data[[#This Row],[Employees Growth]]/Tb_data[[#This Row],[previous_workers]]</f>
        <v>1.8363636363636364</v>
      </c>
    </row>
    <row r="166" spans="1:13" x14ac:dyDescent="0.25">
      <c r="A166" s="1" t="s">
        <v>481</v>
      </c>
      <c r="B166" s="1" t="s">
        <v>482</v>
      </c>
      <c r="C166" s="1">
        <v>14300000</v>
      </c>
      <c r="D166" s="1" t="s">
        <v>483</v>
      </c>
      <c r="E166">
        <v>2026.9981</v>
      </c>
      <c r="F166" s="1" t="s">
        <v>12</v>
      </c>
      <c r="G166">
        <v>30</v>
      </c>
      <c r="H166">
        <v>1</v>
      </c>
      <c r="I166" s="1" t="s">
        <v>13</v>
      </c>
      <c r="J166">
        <v>1</v>
      </c>
      <c r="K166" t="str">
        <f>IF(Tb_data[[#This Row],[previous_workers]]&lt;Tb_data[[#This Row],[workers]],"yes","no")</f>
        <v>yes</v>
      </c>
      <c r="L166">
        <f>Tb_data[[#This Row],[workers]]-Tb_data[[#This Row],[previous_workers]]</f>
        <v>29</v>
      </c>
      <c r="M166" s="12">
        <f>Tb_data[[#This Row],[Employees Growth]]/Tb_data[[#This Row],[previous_workers]]</f>
        <v>29</v>
      </c>
    </row>
    <row r="167" spans="1:13" x14ac:dyDescent="0.25">
      <c r="A167" s="1" t="s">
        <v>5414</v>
      </c>
      <c r="B167" s="1" t="s">
        <v>5415</v>
      </c>
      <c r="C167" s="1">
        <v>25800000</v>
      </c>
      <c r="D167" s="1" t="s">
        <v>115</v>
      </c>
      <c r="E167">
        <v>145.57560000000001</v>
      </c>
      <c r="F167" s="1" t="s">
        <v>12</v>
      </c>
      <c r="G167">
        <v>98</v>
      </c>
      <c r="H167">
        <v>35</v>
      </c>
      <c r="I167" s="1" t="s">
        <v>55</v>
      </c>
      <c r="J167">
        <v>3</v>
      </c>
      <c r="K167" t="str">
        <f>IF(Tb_data[[#This Row],[previous_workers]]&lt;Tb_data[[#This Row],[workers]],"yes","no")</f>
        <v>yes</v>
      </c>
      <c r="L167">
        <f>Tb_data[[#This Row],[workers]]-Tb_data[[#This Row],[previous_workers]]</f>
        <v>63</v>
      </c>
      <c r="M167" s="12">
        <f>Tb_data[[#This Row],[Employees Growth]]/Tb_data[[#This Row],[previous_workers]]</f>
        <v>1.8</v>
      </c>
    </row>
    <row r="168" spans="1:13" x14ac:dyDescent="0.25">
      <c r="A168" s="1" t="s">
        <v>8193</v>
      </c>
      <c r="B168" s="1" t="s">
        <v>8194</v>
      </c>
      <c r="C168" s="1">
        <v>97700000</v>
      </c>
      <c r="D168" s="1" t="s">
        <v>29</v>
      </c>
      <c r="E168">
        <v>79.758899999999997</v>
      </c>
      <c r="F168" s="1" t="s">
        <v>3264</v>
      </c>
      <c r="G168">
        <v>123</v>
      </c>
      <c r="H168">
        <v>127</v>
      </c>
      <c r="I168" s="1" t="s">
        <v>1949</v>
      </c>
      <c r="J168">
        <v>4</v>
      </c>
      <c r="K168" t="str">
        <f>IF(Tb_data[[#This Row],[previous_workers]]&lt;Tb_data[[#This Row],[workers]],"yes","no")</f>
        <v>no</v>
      </c>
      <c r="L168">
        <f>Tb_data[[#This Row],[workers]]-Tb_data[[#This Row],[previous_workers]]</f>
        <v>-4</v>
      </c>
      <c r="M168" s="12">
        <f>Tb_data[[#This Row],[Employees Growth]]/Tb_data[[#This Row],[previous_workers]]</f>
        <v>-3.1496062992125984E-2</v>
      </c>
    </row>
    <row r="169" spans="1:13" x14ac:dyDescent="0.25">
      <c r="A169" s="1" t="s">
        <v>9095</v>
      </c>
      <c r="B169" s="1" t="s">
        <v>9096</v>
      </c>
      <c r="C169" s="1">
        <v>3800000</v>
      </c>
      <c r="D169" s="1" t="s">
        <v>422</v>
      </c>
      <c r="E169">
        <v>65.507999999999996</v>
      </c>
      <c r="F169" s="1" t="s">
        <v>176</v>
      </c>
      <c r="G169">
        <v>25</v>
      </c>
      <c r="H169">
        <v>15</v>
      </c>
      <c r="I169" s="1" t="s">
        <v>948</v>
      </c>
      <c r="J169">
        <v>1</v>
      </c>
      <c r="K169" t="str">
        <f>IF(Tb_data[[#This Row],[previous_workers]]&lt;Tb_data[[#This Row],[workers]],"yes","no")</f>
        <v>yes</v>
      </c>
      <c r="L169">
        <f>Tb_data[[#This Row],[workers]]-Tb_data[[#This Row],[previous_workers]]</f>
        <v>10</v>
      </c>
      <c r="M169" s="12">
        <f>Tb_data[[#This Row],[Employees Growth]]/Tb_data[[#This Row],[previous_workers]]</f>
        <v>0.66666666666666663</v>
      </c>
    </row>
    <row r="170" spans="1:13" x14ac:dyDescent="0.25">
      <c r="A170" s="1" t="s">
        <v>3169</v>
      </c>
      <c r="B170" s="1" t="s">
        <v>3170</v>
      </c>
      <c r="C170" s="1">
        <v>31100000</v>
      </c>
      <c r="D170" s="1" t="s">
        <v>33</v>
      </c>
      <c r="E170">
        <v>271.23809999999997</v>
      </c>
      <c r="F170" s="1" t="s">
        <v>112</v>
      </c>
      <c r="G170">
        <v>98</v>
      </c>
      <c r="H170">
        <v>19</v>
      </c>
      <c r="I170" s="1" t="s">
        <v>194</v>
      </c>
      <c r="J170">
        <v>1</v>
      </c>
      <c r="K170" t="str">
        <f>IF(Tb_data[[#This Row],[previous_workers]]&lt;Tb_data[[#This Row],[workers]],"yes","no")</f>
        <v>yes</v>
      </c>
      <c r="L170">
        <f>Tb_data[[#This Row],[workers]]-Tb_data[[#This Row],[previous_workers]]</f>
        <v>79</v>
      </c>
      <c r="M170" s="12">
        <f>Tb_data[[#This Row],[Employees Growth]]/Tb_data[[#This Row],[previous_workers]]</f>
        <v>4.1578947368421053</v>
      </c>
    </row>
    <row r="171" spans="1:13" x14ac:dyDescent="0.25">
      <c r="A171" s="1" t="s">
        <v>4920</v>
      </c>
      <c r="B171" s="1" t="s">
        <v>4921</v>
      </c>
      <c r="C171" s="1">
        <v>44300000</v>
      </c>
      <c r="D171" s="1" t="s">
        <v>33</v>
      </c>
      <c r="E171">
        <v>165.0617</v>
      </c>
      <c r="F171" s="1" t="s">
        <v>97</v>
      </c>
      <c r="G171">
        <v>399</v>
      </c>
      <c r="H171">
        <v>127</v>
      </c>
      <c r="I171" s="1" t="s">
        <v>74</v>
      </c>
      <c r="J171">
        <v>1</v>
      </c>
      <c r="K171" t="str">
        <f>IF(Tb_data[[#This Row],[previous_workers]]&lt;Tb_data[[#This Row],[workers]],"yes","no")</f>
        <v>yes</v>
      </c>
      <c r="L171">
        <f>Tb_data[[#This Row],[workers]]-Tb_data[[#This Row],[previous_workers]]</f>
        <v>272</v>
      </c>
      <c r="M171" s="12">
        <f>Tb_data[[#This Row],[Employees Growth]]/Tb_data[[#This Row],[previous_workers]]</f>
        <v>2.1417322834645671</v>
      </c>
    </row>
    <row r="172" spans="1:13" x14ac:dyDescent="0.25">
      <c r="A172" s="1" t="s">
        <v>7062</v>
      </c>
      <c r="B172" s="1" t="s">
        <v>7063</v>
      </c>
      <c r="C172" s="1">
        <v>117900000</v>
      </c>
      <c r="D172" s="1" t="s">
        <v>115</v>
      </c>
      <c r="E172">
        <v>100.8317</v>
      </c>
      <c r="F172" s="1" t="s">
        <v>34</v>
      </c>
      <c r="G172">
        <v>318</v>
      </c>
      <c r="H172">
        <v>101</v>
      </c>
      <c r="I172" s="1" t="s">
        <v>1051</v>
      </c>
      <c r="J172">
        <v>4</v>
      </c>
      <c r="K172" t="str">
        <f>IF(Tb_data[[#This Row],[previous_workers]]&lt;Tb_data[[#This Row],[workers]],"yes","no")</f>
        <v>yes</v>
      </c>
      <c r="L172">
        <f>Tb_data[[#This Row],[workers]]-Tb_data[[#This Row],[previous_workers]]</f>
        <v>217</v>
      </c>
      <c r="M172" s="12">
        <f>Tb_data[[#This Row],[Employees Growth]]/Tb_data[[#This Row],[previous_workers]]</f>
        <v>2.1485148514851486</v>
      </c>
    </row>
    <row r="173" spans="1:13" x14ac:dyDescent="0.25">
      <c r="A173" s="1" t="s">
        <v>2859</v>
      </c>
      <c r="B173" s="1" t="s">
        <v>2860</v>
      </c>
      <c r="C173" s="1">
        <v>36200000</v>
      </c>
      <c r="D173" s="1" t="s">
        <v>33</v>
      </c>
      <c r="E173">
        <v>301.75490000000002</v>
      </c>
      <c r="F173" s="1" t="s">
        <v>176</v>
      </c>
      <c r="G173">
        <v>32</v>
      </c>
      <c r="H173">
        <v>8</v>
      </c>
      <c r="I173" s="1" t="s">
        <v>55</v>
      </c>
      <c r="J173">
        <v>2</v>
      </c>
      <c r="K173" t="str">
        <f>IF(Tb_data[[#This Row],[previous_workers]]&lt;Tb_data[[#This Row],[workers]],"yes","no")</f>
        <v>yes</v>
      </c>
      <c r="L173">
        <f>Tb_data[[#This Row],[workers]]-Tb_data[[#This Row],[previous_workers]]</f>
        <v>24</v>
      </c>
      <c r="M173" s="12">
        <f>Tb_data[[#This Row],[Employees Growth]]/Tb_data[[#This Row],[previous_workers]]</f>
        <v>3</v>
      </c>
    </row>
    <row r="174" spans="1:13" x14ac:dyDescent="0.25">
      <c r="A174" s="1" t="s">
        <v>5558</v>
      </c>
      <c r="B174" s="1" t="s">
        <v>5559</v>
      </c>
      <c r="C174" s="1">
        <v>9600000</v>
      </c>
      <c r="D174" s="1" t="s">
        <v>20</v>
      </c>
      <c r="E174">
        <v>140.3057</v>
      </c>
      <c r="F174" s="1" t="s">
        <v>514</v>
      </c>
      <c r="G174">
        <v>37</v>
      </c>
      <c r="H174">
        <v>18</v>
      </c>
      <c r="I174" s="1" t="s">
        <v>35</v>
      </c>
      <c r="J174">
        <v>3</v>
      </c>
      <c r="K174" t="str">
        <f>IF(Tb_data[[#This Row],[previous_workers]]&lt;Tb_data[[#This Row],[workers]],"yes","no")</f>
        <v>yes</v>
      </c>
      <c r="L174">
        <f>Tb_data[[#This Row],[workers]]-Tb_data[[#This Row],[previous_workers]]</f>
        <v>19</v>
      </c>
      <c r="M174" s="12">
        <f>Tb_data[[#This Row],[Employees Growth]]/Tb_data[[#This Row],[previous_workers]]</f>
        <v>1.0555555555555556</v>
      </c>
    </row>
    <row r="175" spans="1:13" x14ac:dyDescent="0.25">
      <c r="A175" s="1" t="s">
        <v>6918</v>
      </c>
      <c r="B175" s="1" t="s">
        <v>6919</v>
      </c>
      <c r="C175" s="1">
        <v>5300000</v>
      </c>
      <c r="D175" s="1" t="s">
        <v>69</v>
      </c>
      <c r="E175">
        <v>103.6251</v>
      </c>
      <c r="F175" s="1" t="s">
        <v>34</v>
      </c>
      <c r="G175">
        <v>17</v>
      </c>
      <c r="H175">
        <v>12</v>
      </c>
      <c r="I175" s="1" t="s">
        <v>948</v>
      </c>
      <c r="J175">
        <v>1</v>
      </c>
      <c r="K175" t="str">
        <f>IF(Tb_data[[#This Row],[previous_workers]]&lt;Tb_data[[#This Row],[workers]],"yes","no")</f>
        <v>yes</v>
      </c>
      <c r="L175">
        <f>Tb_data[[#This Row],[workers]]-Tb_data[[#This Row],[previous_workers]]</f>
        <v>5</v>
      </c>
      <c r="M175" s="12">
        <f>Tb_data[[#This Row],[Employees Growth]]/Tb_data[[#This Row],[previous_workers]]</f>
        <v>0.41666666666666669</v>
      </c>
    </row>
    <row r="176" spans="1:13" x14ac:dyDescent="0.25">
      <c r="A176" s="1" t="s">
        <v>2510</v>
      </c>
      <c r="B176" s="1" t="s">
        <v>2511</v>
      </c>
      <c r="C176" s="1">
        <v>93900000</v>
      </c>
      <c r="D176" s="1" t="s">
        <v>49</v>
      </c>
      <c r="E176">
        <v>345.47390000000001</v>
      </c>
      <c r="F176" s="1" t="s">
        <v>97</v>
      </c>
      <c r="G176">
        <v>470</v>
      </c>
      <c r="H176">
        <v>101</v>
      </c>
      <c r="I176" s="1" t="s">
        <v>74</v>
      </c>
      <c r="J176">
        <v>1</v>
      </c>
      <c r="K176" t="str">
        <f>IF(Tb_data[[#This Row],[previous_workers]]&lt;Tb_data[[#This Row],[workers]],"yes","no")</f>
        <v>yes</v>
      </c>
      <c r="L176">
        <f>Tb_data[[#This Row],[workers]]-Tb_data[[#This Row],[previous_workers]]</f>
        <v>369</v>
      </c>
      <c r="M176" s="12">
        <f>Tb_data[[#This Row],[Employees Growth]]/Tb_data[[#This Row],[previous_workers]]</f>
        <v>3.6534653465346536</v>
      </c>
    </row>
    <row r="177" spans="1:13" x14ac:dyDescent="0.25">
      <c r="A177" s="1" t="s">
        <v>6217</v>
      </c>
      <c r="B177" s="1" t="s">
        <v>6218</v>
      </c>
      <c r="C177" s="1">
        <v>17000000</v>
      </c>
      <c r="D177" s="1" t="s">
        <v>49</v>
      </c>
      <c r="E177">
        <v>120.9798</v>
      </c>
      <c r="F177" s="1" t="s">
        <v>176</v>
      </c>
      <c r="G177">
        <v>256</v>
      </c>
      <c r="H177">
        <v>135</v>
      </c>
      <c r="I177" s="1" t="s">
        <v>4054</v>
      </c>
      <c r="J177">
        <v>3</v>
      </c>
      <c r="K177" t="str">
        <f>IF(Tb_data[[#This Row],[previous_workers]]&lt;Tb_data[[#This Row],[workers]],"yes","no")</f>
        <v>yes</v>
      </c>
      <c r="L177">
        <f>Tb_data[[#This Row],[workers]]-Tb_data[[#This Row],[previous_workers]]</f>
        <v>121</v>
      </c>
      <c r="M177" s="12">
        <f>Tb_data[[#This Row],[Employees Growth]]/Tb_data[[#This Row],[previous_workers]]</f>
        <v>0.89629629629629626</v>
      </c>
    </row>
    <row r="178" spans="1:13" x14ac:dyDescent="0.25">
      <c r="A178" s="1" t="s">
        <v>5010</v>
      </c>
      <c r="B178" s="1" t="s">
        <v>5011</v>
      </c>
      <c r="C178" s="1">
        <v>47500000</v>
      </c>
      <c r="D178" s="1" t="s">
        <v>20</v>
      </c>
      <c r="E178">
        <v>161.3777</v>
      </c>
      <c r="F178" s="1" t="s">
        <v>62</v>
      </c>
      <c r="G178">
        <v>130</v>
      </c>
      <c r="H178">
        <v>51</v>
      </c>
      <c r="I178" s="1" t="s">
        <v>295</v>
      </c>
      <c r="J178">
        <v>8</v>
      </c>
      <c r="K178" t="str">
        <f>IF(Tb_data[[#This Row],[previous_workers]]&lt;Tb_data[[#This Row],[workers]],"yes","no")</f>
        <v>yes</v>
      </c>
      <c r="L178">
        <f>Tb_data[[#This Row],[workers]]-Tb_data[[#This Row],[previous_workers]]</f>
        <v>79</v>
      </c>
      <c r="M178" s="12">
        <f>Tb_data[[#This Row],[Employees Growth]]/Tb_data[[#This Row],[previous_workers]]</f>
        <v>1.5490196078431373</v>
      </c>
    </row>
    <row r="179" spans="1:13" x14ac:dyDescent="0.25">
      <c r="A179" s="1" t="s">
        <v>3728</v>
      </c>
      <c r="B179" s="1" t="s">
        <v>3729</v>
      </c>
      <c r="C179" s="1">
        <v>25000000</v>
      </c>
      <c r="D179" s="1" t="s">
        <v>179</v>
      </c>
      <c r="E179">
        <v>226.3141</v>
      </c>
      <c r="F179" s="1" t="s">
        <v>34</v>
      </c>
      <c r="G179">
        <v>160</v>
      </c>
      <c r="H179">
        <v>42</v>
      </c>
      <c r="I179" s="1" t="s">
        <v>372</v>
      </c>
      <c r="J179">
        <v>1</v>
      </c>
      <c r="K179" t="str">
        <f>IF(Tb_data[[#This Row],[previous_workers]]&lt;Tb_data[[#This Row],[workers]],"yes","no")</f>
        <v>yes</v>
      </c>
      <c r="L179">
        <f>Tb_data[[#This Row],[workers]]-Tb_data[[#This Row],[previous_workers]]</f>
        <v>118</v>
      </c>
      <c r="M179" s="12">
        <f>Tb_data[[#This Row],[Employees Growth]]/Tb_data[[#This Row],[previous_workers]]</f>
        <v>2.8095238095238093</v>
      </c>
    </row>
    <row r="180" spans="1:13" x14ac:dyDescent="0.25">
      <c r="A180" s="1" t="s">
        <v>5364</v>
      </c>
      <c r="B180" s="1" t="s">
        <v>5365</v>
      </c>
      <c r="C180" s="1">
        <v>20100000</v>
      </c>
      <c r="D180" s="1" t="s">
        <v>61</v>
      </c>
      <c r="E180">
        <v>147.76429999999999</v>
      </c>
      <c r="F180" s="1" t="s">
        <v>25</v>
      </c>
      <c r="G180">
        <v>23</v>
      </c>
      <c r="H180">
        <v>7</v>
      </c>
      <c r="I180" s="1" t="s">
        <v>26</v>
      </c>
      <c r="J180">
        <v>2</v>
      </c>
      <c r="K180" t="str">
        <f>IF(Tb_data[[#This Row],[previous_workers]]&lt;Tb_data[[#This Row],[workers]],"yes","no")</f>
        <v>yes</v>
      </c>
      <c r="L180">
        <f>Tb_data[[#This Row],[workers]]-Tb_data[[#This Row],[previous_workers]]</f>
        <v>16</v>
      </c>
      <c r="M180" s="12">
        <f>Tb_data[[#This Row],[Employees Growth]]/Tb_data[[#This Row],[previous_workers]]</f>
        <v>2.2857142857142856</v>
      </c>
    </row>
    <row r="181" spans="1:13" x14ac:dyDescent="0.25">
      <c r="A181" s="1" t="s">
        <v>5038</v>
      </c>
      <c r="B181" s="1" t="s">
        <v>5039</v>
      </c>
      <c r="C181" s="1">
        <v>10800000</v>
      </c>
      <c r="D181" s="1" t="s">
        <v>49</v>
      </c>
      <c r="E181">
        <v>160.1446</v>
      </c>
      <c r="F181" s="1" t="s">
        <v>21</v>
      </c>
      <c r="G181">
        <v>350</v>
      </c>
      <c r="H181">
        <v>50</v>
      </c>
      <c r="I181" s="1" t="s">
        <v>26</v>
      </c>
      <c r="J181">
        <v>1</v>
      </c>
      <c r="K181" t="str">
        <f>IF(Tb_data[[#This Row],[previous_workers]]&lt;Tb_data[[#This Row],[workers]],"yes","no")</f>
        <v>yes</v>
      </c>
      <c r="L181">
        <f>Tb_data[[#This Row],[workers]]-Tb_data[[#This Row],[previous_workers]]</f>
        <v>300</v>
      </c>
      <c r="M181" s="12">
        <f>Tb_data[[#This Row],[Employees Growth]]/Tb_data[[#This Row],[previous_workers]]</f>
        <v>6</v>
      </c>
    </row>
    <row r="182" spans="1:13" x14ac:dyDescent="0.25">
      <c r="A182" s="1" t="s">
        <v>3179</v>
      </c>
      <c r="B182" s="1" t="s">
        <v>3180</v>
      </c>
      <c r="C182" s="1">
        <v>6300000</v>
      </c>
      <c r="D182" s="1" t="s">
        <v>58</v>
      </c>
      <c r="E182">
        <v>270.46469999999999</v>
      </c>
      <c r="F182" s="1" t="s">
        <v>176</v>
      </c>
      <c r="G182">
        <v>42</v>
      </c>
      <c r="H182">
        <v>4</v>
      </c>
      <c r="I182" s="1" t="s">
        <v>35</v>
      </c>
      <c r="J182">
        <v>1</v>
      </c>
      <c r="K182" t="str">
        <f>IF(Tb_data[[#This Row],[previous_workers]]&lt;Tb_data[[#This Row],[workers]],"yes","no")</f>
        <v>yes</v>
      </c>
      <c r="L182">
        <f>Tb_data[[#This Row],[workers]]-Tb_data[[#This Row],[previous_workers]]</f>
        <v>38</v>
      </c>
      <c r="M182" s="12">
        <f>Tb_data[[#This Row],[Employees Growth]]/Tb_data[[#This Row],[previous_workers]]</f>
        <v>9.5</v>
      </c>
    </row>
    <row r="183" spans="1:13" x14ac:dyDescent="0.25">
      <c r="A183" s="1" t="s">
        <v>3037</v>
      </c>
      <c r="B183" s="1" t="s">
        <v>3038</v>
      </c>
      <c r="C183" s="1">
        <v>29200000</v>
      </c>
      <c r="D183" s="1" t="s">
        <v>33</v>
      </c>
      <c r="E183">
        <v>284.29770000000002</v>
      </c>
      <c r="F183" s="1" t="s">
        <v>62</v>
      </c>
      <c r="G183">
        <v>55</v>
      </c>
      <c r="H183">
        <v>18</v>
      </c>
      <c r="I183" s="1" t="s">
        <v>26</v>
      </c>
      <c r="J183">
        <v>1</v>
      </c>
      <c r="K183" t="str">
        <f>IF(Tb_data[[#This Row],[previous_workers]]&lt;Tb_data[[#This Row],[workers]],"yes","no")</f>
        <v>yes</v>
      </c>
      <c r="L183">
        <f>Tb_data[[#This Row],[workers]]-Tb_data[[#This Row],[previous_workers]]</f>
        <v>37</v>
      </c>
      <c r="M183" s="12">
        <f>Tb_data[[#This Row],[Employees Growth]]/Tb_data[[#This Row],[previous_workers]]</f>
        <v>2.0555555555555554</v>
      </c>
    </row>
    <row r="184" spans="1:13" x14ac:dyDescent="0.25">
      <c r="A184" s="1" t="s">
        <v>2280</v>
      </c>
      <c r="B184" s="1" t="s">
        <v>2281</v>
      </c>
      <c r="C184" s="1">
        <v>43700000</v>
      </c>
      <c r="D184" s="1" t="s">
        <v>61</v>
      </c>
      <c r="E184">
        <v>386.87220000000002</v>
      </c>
      <c r="F184" s="1" t="s">
        <v>17</v>
      </c>
      <c r="G184">
        <v>60</v>
      </c>
      <c r="H184">
        <v>25</v>
      </c>
      <c r="I184" s="1" t="s">
        <v>130</v>
      </c>
      <c r="J184">
        <v>1</v>
      </c>
      <c r="K184" t="str">
        <f>IF(Tb_data[[#This Row],[previous_workers]]&lt;Tb_data[[#This Row],[workers]],"yes","no")</f>
        <v>yes</v>
      </c>
      <c r="L184">
        <f>Tb_data[[#This Row],[workers]]-Tb_data[[#This Row],[previous_workers]]</f>
        <v>35</v>
      </c>
      <c r="M184" s="12">
        <f>Tb_data[[#This Row],[Employees Growth]]/Tb_data[[#This Row],[previous_workers]]</f>
        <v>1.4</v>
      </c>
    </row>
    <row r="185" spans="1:13" x14ac:dyDescent="0.25">
      <c r="A185" s="1" t="s">
        <v>2601</v>
      </c>
      <c r="B185" s="1" t="s">
        <v>2602</v>
      </c>
      <c r="C185" s="1">
        <v>24200000</v>
      </c>
      <c r="D185" s="1" t="s">
        <v>254</v>
      </c>
      <c r="E185">
        <v>332.36680000000001</v>
      </c>
      <c r="F185" s="1" t="s">
        <v>176</v>
      </c>
      <c r="G185">
        <v>680</v>
      </c>
      <c r="H185">
        <v>120</v>
      </c>
      <c r="I185" s="1" t="s">
        <v>1051</v>
      </c>
      <c r="J185">
        <v>2</v>
      </c>
      <c r="K185" t="str">
        <f>IF(Tb_data[[#This Row],[previous_workers]]&lt;Tb_data[[#This Row],[workers]],"yes","no")</f>
        <v>yes</v>
      </c>
      <c r="L185">
        <f>Tb_data[[#This Row],[workers]]-Tb_data[[#This Row],[previous_workers]]</f>
        <v>560</v>
      </c>
      <c r="M185" s="12">
        <f>Tb_data[[#This Row],[Employees Growth]]/Tb_data[[#This Row],[previous_workers]]</f>
        <v>4.666666666666667</v>
      </c>
    </row>
    <row r="186" spans="1:13" x14ac:dyDescent="0.25">
      <c r="A186" s="1" t="s">
        <v>4343</v>
      </c>
      <c r="B186" s="1" t="s">
        <v>4344</v>
      </c>
      <c r="C186" s="1">
        <v>71600000</v>
      </c>
      <c r="D186" s="1" t="s">
        <v>254</v>
      </c>
      <c r="E186">
        <v>189.08250000000001</v>
      </c>
      <c r="F186" s="1" t="s">
        <v>12</v>
      </c>
      <c r="G186">
        <v>138</v>
      </c>
      <c r="H186">
        <v>77</v>
      </c>
      <c r="I186" s="1" t="s">
        <v>372</v>
      </c>
      <c r="J186">
        <v>5</v>
      </c>
      <c r="K186" t="str">
        <f>IF(Tb_data[[#This Row],[previous_workers]]&lt;Tb_data[[#This Row],[workers]],"yes","no")</f>
        <v>yes</v>
      </c>
      <c r="L186">
        <f>Tb_data[[#This Row],[workers]]-Tb_data[[#This Row],[previous_workers]]</f>
        <v>61</v>
      </c>
      <c r="M186" s="12">
        <f>Tb_data[[#This Row],[Employees Growth]]/Tb_data[[#This Row],[previous_workers]]</f>
        <v>0.79220779220779225</v>
      </c>
    </row>
    <row r="187" spans="1:13" x14ac:dyDescent="0.25">
      <c r="A187" s="1" t="s">
        <v>4824</v>
      </c>
      <c r="B187" s="1" t="s">
        <v>4825</v>
      </c>
      <c r="C187" s="1">
        <v>2100000</v>
      </c>
      <c r="D187" s="1" t="s">
        <v>69</v>
      </c>
      <c r="E187">
        <v>168.94810000000001</v>
      </c>
      <c r="F187" s="1" t="s">
        <v>12</v>
      </c>
      <c r="G187">
        <v>1</v>
      </c>
      <c r="H187">
        <v>1</v>
      </c>
      <c r="I187" s="1" t="s">
        <v>55</v>
      </c>
      <c r="J187">
        <v>1</v>
      </c>
      <c r="K187" t="str">
        <f>IF(Tb_data[[#This Row],[previous_workers]]&lt;Tb_data[[#This Row],[workers]],"yes","no")</f>
        <v>no</v>
      </c>
      <c r="L187">
        <f>Tb_data[[#This Row],[workers]]-Tb_data[[#This Row],[previous_workers]]</f>
        <v>0</v>
      </c>
      <c r="M187" s="12">
        <f>Tb_data[[#This Row],[Employees Growth]]/Tb_data[[#This Row],[previous_workers]]</f>
        <v>0</v>
      </c>
    </row>
    <row r="188" spans="1:13" x14ac:dyDescent="0.25">
      <c r="A188" s="1" t="s">
        <v>9914</v>
      </c>
      <c r="B188" s="1" t="s">
        <v>9915</v>
      </c>
      <c r="C188" s="1">
        <v>3100000</v>
      </c>
      <c r="D188" s="1" t="s">
        <v>49</v>
      </c>
      <c r="E188">
        <v>54.985900000000001</v>
      </c>
      <c r="F188" s="1" t="s">
        <v>12</v>
      </c>
      <c r="G188">
        <v>46</v>
      </c>
      <c r="H188">
        <v>21</v>
      </c>
      <c r="I188" s="1" t="s">
        <v>164</v>
      </c>
      <c r="J188">
        <v>1</v>
      </c>
      <c r="K188" t="str">
        <f>IF(Tb_data[[#This Row],[previous_workers]]&lt;Tb_data[[#This Row],[workers]],"yes","no")</f>
        <v>yes</v>
      </c>
      <c r="L188">
        <f>Tb_data[[#This Row],[workers]]-Tb_data[[#This Row],[previous_workers]]</f>
        <v>25</v>
      </c>
      <c r="M188" s="12">
        <f>Tb_data[[#This Row],[Employees Growth]]/Tb_data[[#This Row],[previous_workers]]</f>
        <v>1.1904761904761905</v>
      </c>
    </row>
    <row r="189" spans="1:13" x14ac:dyDescent="0.25">
      <c r="A189" s="1" t="s">
        <v>8977</v>
      </c>
      <c r="B189" s="1" t="s">
        <v>8978</v>
      </c>
      <c r="C189" s="1">
        <v>42300000</v>
      </c>
      <c r="D189" s="1" t="s">
        <v>69</v>
      </c>
      <c r="E189">
        <v>66.865099999999998</v>
      </c>
      <c r="F189" s="1" t="s">
        <v>142</v>
      </c>
      <c r="G189">
        <v>32</v>
      </c>
      <c r="H189">
        <v>28</v>
      </c>
      <c r="I189" s="1" t="s">
        <v>194</v>
      </c>
      <c r="J189">
        <v>1</v>
      </c>
      <c r="K189" t="str">
        <f>IF(Tb_data[[#This Row],[previous_workers]]&lt;Tb_data[[#This Row],[workers]],"yes","no")</f>
        <v>yes</v>
      </c>
      <c r="L189">
        <f>Tb_data[[#This Row],[workers]]-Tb_data[[#This Row],[previous_workers]]</f>
        <v>4</v>
      </c>
      <c r="M189" s="12">
        <f>Tb_data[[#This Row],[Employees Growth]]/Tb_data[[#This Row],[previous_workers]]</f>
        <v>0.14285714285714285</v>
      </c>
    </row>
    <row r="190" spans="1:13" x14ac:dyDescent="0.25">
      <c r="A190" s="1" t="s">
        <v>6055</v>
      </c>
      <c r="B190" s="1" t="s">
        <v>6056</v>
      </c>
      <c r="C190" s="1">
        <v>6600000</v>
      </c>
      <c r="D190" s="1" t="s">
        <v>20</v>
      </c>
      <c r="E190">
        <v>125.4379</v>
      </c>
      <c r="F190" s="1" t="s">
        <v>176</v>
      </c>
      <c r="G190">
        <v>15</v>
      </c>
      <c r="H190">
        <v>10</v>
      </c>
      <c r="I190" s="1" t="s">
        <v>117</v>
      </c>
      <c r="J190">
        <v>3</v>
      </c>
      <c r="K190" t="str">
        <f>IF(Tb_data[[#This Row],[previous_workers]]&lt;Tb_data[[#This Row],[workers]],"yes","no")</f>
        <v>yes</v>
      </c>
      <c r="L190">
        <f>Tb_data[[#This Row],[workers]]-Tb_data[[#This Row],[previous_workers]]</f>
        <v>5</v>
      </c>
      <c r="M190" s="12">
        <f>Tb_data[[#This Row],[Employees Growth]]/Tb_data[[#This Row],[previous_workers]]</f>
        <v>0.5</v>
      </c>
    </row>
    <row r="191" spans="1:13" x14ac:dyDescent="0.25">
      <c r="A191" s="1" t="s">
        <v>7355</v>
      </c>
      <c r="B191" s="1" t="s">
        <v>7356</v>
      </c>
      <c r="C191" s="1">
        <v>16500000</v>
      </c>
      <c r="D191" s="1" t="s">
        <v>41</v>
      </c>
      <c r="E191">
        <v>96.007499999999993</v>
      </c>
      <c r="F191" s="1" t="s">
        <v>86</v>
      </c>
      <c r="G191">
        <v>290</v>
      </c>
      <c r="H191">
        <v>99</v>
      </c>
      <c r="I191" s="1" t="s">
        <v>226</v>
      </c>
      <c r="J191">
        <v>4</v>
      </c>
      <c r="K191" t="str">
        <f>IF(Tb_data[[#This Row],[previous_workers]]&lt;Tb_data[[#This Row],[workers]],"yes","no")</f>
        <v>yes</v>
      </c>
      <c r="L191">
        <f>Tb_data[[#This Row],[workers]]-Tb_data[[#This Row],[previous_workers]]</f>
        <v>191</v>
      </c>
      <c r="M191" s="12">
        <f>Tb_data[[#This Row],[Employees Growth]]/Tb_data[[#This Row],[previous_workers]]</f>
        <v>1.9292929292929293</v>
      </c>
    </row>
    <row r="192" spans="1:13" x14ac:dyDescent="0.25">
      <c r="A192" s="1" t="s">
        <v>5238</v>
      </c>
      <c r="B192" s="1" t="s">
        <v>5239</v>
      </c>
      <c r="C192" s="1">
        <v>73300000</v>
      </c>
      <c r="D192" s="1" t="s">
        <v>33</v>
      </c>
      <c r="E192">
        <v>152.38900000000001</v>
      </c>
      <c r="F192" s="1" t="s">
        <v>86</v>
      </c>
      <c r="G192">
        <v>439</v>
      </c>
      <c r="H192">
        <v>191</v>
      </c>
      <c r="I192" s="1" t="s">
        <v>147</v>
      </c>
      <c r="J192">
        <v>12</v>
      </c>
      <c r="K192" t="str">
        <f>IF(Tb_data[[#This Row],[previous_workers]]&lt;Tb_data[[#This Row],[workers]],"yes","no")</f>
        <v>yes</v>
      </c>
      <c r="L192">
        <f>Tb_data[[#This Row],[workers]]-Tb_data[[#This Row],[previous_workers]]</f>
        <v>248</v>
      </c>
      <c r="M192" s="12">
        <f>Tb_data[[#This Row],[Employees Growth]]/Tb_data[[#This Row],[previous_workers]]</f>
        <v>1.2984293193717278</v>
      </c>
    </row>
    <row r="193" spans="1:13" x14ac:dyDescent="0.25">
      <c r="A193" s="1" t="s">
        <v>4738</v>
      </c>
      <c r="B193" s="1" t="s">
        <v>4739</v>
      </c>
      <c r="C193" s="1">
        <v>35600000</v>
      </c>
      <c r="D193" s="1" t="s">
        <v>422</v>
      </c>
      <c r="E193">
        <v>173.2945</v>
      </c>
      <c r="F193" s="1" t="s">
        <v>86</v>
      </c>
      <c r="G193">
        <v>104</v>
      </c>
      <c r="H193">
        <v>39</v>
      </c>
      <c r="I193" s="1" t="s">
        <v>147</v>
      </c>
      <c r="J193">
        <v>3</v>
      </c>
      <c r="K193" t="str">
        <f>IF(Tb_data[[#This Row],[previous_workers]]&lt;Tb_data[[#This Row],[workers]],"yes","no")</f>
        <v>yes</v>
      </c>
      <c r="L193">
        <f>Tb_data[[#This Row],[workers]]-Tb_data[[#This Row],[previous_workers]]</f>
        <v>65</v>
      </c>
      <c r="M193" s="12">
        <f>Tb_data[[#This Row],[Employees Growth]]/Tb_data[[#This Row],[previous_workers]]</f>
        <v>1.6666666666666667</v>
      </c>
    </row>
    <row r="194" spans="1:13" x14ac:dyDescent="0.25">
      <c r="A194" s="1" t="s">
        <v>3876</v>
      </c>
      <c r="B194" s="1" t="s">
        <v>3877</v>
      </c>
      <c r="C194" s="1">
        <v>13800000</v>
      </c>
      <c r="D194" s="1" t="s">
        <v>49</v>
      </c>
      <c r="E194">
        <v>216.04740000000001</v>
      </c>
      <c r="F194" s="1" t="s">
        <v>135</v>
      </c>
      <c r="G194">
        <v>250</v>
      </c>
      <c r="H194">
        <v>50</v>
      </c>
      <c r="I194" s="1" t="s">
        <v>55</v>
      </c>
      <c r="J194">
        <v>3</v>
      </c>
      <c r="K194" t="str">
        <f>IF(Tb_data[[#This Row],[previous_workers]]&lt;Tb_data[[#This Row],[workers]],"yes","no")</f>
        <v>yes</v>
      </c>
      <c r="L194">
        <f>Tb_data[[#This Row],[workers]]-Tb_data[[#This Row],[previous_workers]]</f>
        <v>200</v>
      </c>
      <c r="M194" s="12">
        <f>Tb_data[[#This Row],[Employees Growth]]/Tb_data[[#This Row],[previous_workers]]</f>
        <v>4</v>
      </c>
    </row>
    <row r="195" spans="1:13" x14ac:dyDescent="0.25">
      <c r="A195" s="1" t="s">
        <v>1395</v>
      </c>
      <c r="B195" s="1" t="s">
        <v>1396</v>
      </c>
      <c r="C195" s="1">
        <v>2400000</v>
      </c>
      <c r="D195" s="1" t="s">
        <v>69</v>
      </c>
      <c r="E195">
        <v>684.78039999999999</v>
      </c>
      <c r="F195" s="1" t="s">
        <v>17</v>
      </c>
      <c r="G195">
        <v>22</v>
      </c>
      <c r="H195">
        <v>6</v>
      </c>
      <c r="I195" s="1" t="s">
        <v>26</v>
      </c>
      <c r="J195">
        <v>1</v>
      </c>
      <c r="K195" t="str">
        <f>IF(Tb_data[[#This Row],[previous_workers]]&lt;Tb_data[[#This Row],[workers]],"yes","no")</f>
        <v>yes</v>
      </c>
      <c r="L195">
        <f>Tb_data[[#This Row],[workers]]-Tb_data[[#This Row],[previous_workers]]</f>
        <v>16</v>
      </c>
      <c r="M195" s="12">
        <f>Tb_data[[#This Row],[Employees Growth]]/Tb_data[[#This Row],[previous_workers]]</f>
        <v>2.6666666666666665</v>
      </c>
    </row>
    <row r="196" spans="1:13" x14ac:dyDescent="0.25">
      <c r="A196" s="1" t="s">
        <v>8431</v>
      </c>
      <c r="B196" s="1" t="s">
        <v>8432</v>
      </c>
      <c r="C196" s="1">
        <v>2300000</v>
      </c>
      <c r="D196" s="1" t="s">
        <v>16</v>
      </c>
      <c r="E196">
        <v>75.246300000000005</v>
      </c>
      <c r="F196" s="1" t="s">
        <v>17</v>
      </c>
      <c r="G196">
        <v>11</v>
      </c>
      <c r="H196">
        <v>2</v>
      </c>
      <c r="I196" s="1" t="s">
        <v>26</v>
      </c>
      <c r="J196">
        <v>1</v>
      </c>
      <c r="K196" t="str">
        <f>IF(Tb_data[[#This Row],[previous_workers]]&lt;Tb_data[[#This Row],[workers]],"yes","no")</f>
        <v>yes</v>
      </c>
      <c r="L196">
        <f>Tb_data[[#This Row],[workers]]-Tb_data[[#This Row],[previous_workers]]</f>
        <v>9</v>
      </c>
      <c r="M196" s="12">
        <f>Tb_data[[#This Row],[Employees Growth]]/Tb_data[[#This Row],[previous_workers]]</f>
        <v>4.5</v>
      </c>
    </row>
    <row r="197" spans="1:13" x14ac:dyDescent="0.25">
      <c r="A197" s="1" t="s">
        <v>2270</v>
      </c>
      <c r="B197" s="1" t="s">
        <v>2271</v>
      </c>
      <c r="C197" s="1">
        <v>3900000</v>
      </c>
      <c r="D197" s="1" t="s">
        <v>29</v>
      </c>
      <c r="E197">
        <v>387.68549999999999</v>
      </c>
      <c r="F197" s="1" t="s">
        <v>176</v>
      </c>
      <c r="G197">
        <v>12</v>
      </c>
      <c r="H197">
        <v>4</v>
      </c>
      <c r="I197" s="1" t="s">
        <v>35</v>
      </c>
      <c r="J197">
        <v>1</v>
      </c>
      <c r="K197" t="str">
        <f>IF(Tb_data[[#This Row],[previous_workers]]&lt;Tb_data[[#This Row],[workers]],"yes","no")</f>
        <v>yes</v>
      </c>
      <c r="L197">
        <f>Tb_data[[#This Row],[workers]]-Tb_data[[#This Row],[previous_workers]]</f>
        <v>8</v>
      </c>
      <c r="M197" s="12">
        <f>Tb_data[[#This Row],[Employees Growth]]/Tb_data[[#This Row],[previous_workers]]</f>
        <v>2</v>
      </c>
    </row>
    <row r="198" spans="1:13" x14ac:dyDescent="0.25">
      <c r="A198" s="1" t="s">
        <v>9792</v>
      </c>
      <c r="B198" s="1" t="s">
        <v>9793</v>
      </c>
      <c r="C198" s="1">
        <v>5000000</v>
      </c>
      <c r="D198" s="1" t="s">
        <v>11</v>
      </c>
      <c r="E198">
        <v>56.838299999999997</v>
      </c>
      <c r="F198" s="1" t="s">
        <v>124</v>
      </c>
      <c r="G198">
        <v>31</v>
      </c>
      <c r="H198">
        <v>12</v>
      </c>
      <c r="I198" s="1" t="s">
        <v>3426</v>
      </c>
      <c r="J198">
        <v>1</v>
      </c>
      <c r="K198" t="str">
        <f>IF(Tb_data[[#This Row],[previous_workers]]&lt;Tb_data[[#This Row],[workers]],"yes","no")</f>
        <v>yes</v>
      </c>
      <c r="L198">
        <f>Tb_data[[#This Row],[workers]]-Tb_data[[#This Row],[previous_workers]]</f>
        <v>19</v>
      </c>
      <c r="M198" s="12">
        <f>Tb_data[[#This Row],[Employees Growth]]/Tb_data[[#This Row],[previous_workers]]</f>
        <v>1.5833333333333333</v>
      </c>
    </row>
    <row r="199" spans="1:13" x14ac:dyDescent="0.25">
      <c r="A199" s="1" t="s">
        <v>7999</v>
      </c>
      <c r="B199" s="1" t="s">
        <v>8000</v>
      </c>
      <c r="C199" s="1">
        <v>9300000</v>
      </c>
      <c r="D199" s="1" t="s">
        <v>387</v>
      </c>
      <c r="E199">
        <v>82.755700000000004</v>
      </c>
      <c r="F199" s="1" t="s">
        <v>124</v>
      </c>
      <c r="G199">
        <v>78</v>
      </c>
      <c r="H199">
        <v>40</v>
      </c>
      <c r="I199" s="1" t="s">
        <v>229</v>
      </c>
      <c r="J199">
        <v>1</v>
      </c>
      <c r="K199" t="str">
        <f>IF(Tb_data[[#This Row],[previous_workers]]&lt;Tb_data[[#This Row],[workers]],"yes","no")</f>
        <v>yes</v>
      </c>
      <c r="L199">
        <f>Tb_data[[#This Row],[workers]]-Tb_data[[#This Row],[previous_workers]]</f>
        <v>38</v>
      </c>
      <c r="M199" s="12">
        <f>Tb_data[[#This Row],[Employees Growth]]/Tb_data[[#This Row],[previous_workers]]</f>
        <v>0.95</v>
      </c>
    </row>
    <row r="200" spans="1:13" x14ac:dyDescent="0.25">
      <c r="A200" s="1" t="s">
        <v>4768</v>
      </c>
      <c r="B200" s="1" t="s">
        <v>4769</v>
      </c>
      <c r="C200" s="1">
        <v>16000000</v>
      </c>
      <c r="D200" s="1" t="s">
        <v>61</v>
      </c>
      <c r="E200">
        <v>171.74080000000001</v>
      </c>
      <c r="F200" s="1" t="s">
        <v>42</v>
      </c>
      <c r="G200">
        <v>63</v>
      </c>
      <c r="H200">
        <v>26</v>
      </c>
      <c r="I200" s="1" t="s">
        <v>147</v>
      </c>
      <c r="J200">
        <v>3</v>
      </c>
      <c r="K200" t="str">
        <f>IF(Tb_data[[#This Row],[previous_workers]]&lt;Tb_data[[#This Row],[workers]],"yes","no")</f>
        <v>yes</v>
      </c>
      <c r="L200">
        <f>Tb_data[[#This Row],[workers]]-Tb_data[[#This Row],[previous_workers]]</f>
        <v>37</v>
      </c>
      <c r="M200" s="12">
        <f>Tb_data[[#This Row],[Employees Growth]]/Tb_data[[#This Row],[previous_workers]]</f>
        <v>1.4230769230769231</v>
      </c>
    </row>
    <row r="201" spans="1:13" x14ac:dyDescent="0.25">
      <c r="A201" s="1" t="s">
        <v>8891</v>
      </c>
      <c r="B201" s="1" t="s">
        <v>8892</v>
      </c>
      <c r="C201" s="1">
        <v>39300000</v>
      </c>
      <c r="D201" s="1" t="s">
        <v>20</v>
      </c>
      <c r="E201">
        <v>68.118499999999997</v>
      </c>
      <c r="F201" s="1" t="s">
        <v>176</v>
      </c>
      <c r="G201">
        <v>350</v>
      </c>
      <c r="H201">
        <v>650</v>
      </c>
      <c r="I201" s="1" t="s">
        <v>948</v>
      </c>
      <c r="J201">
        <v>4</v>
      </c>
      <c r="K201" t="str">
        <f>IF(Tb_data[[#This Row],[previous_workers]]&lt;Tb_data[[#This Row],[workers]],"yes","no")</f>
        <v>no</v>
      </c>
      <c r="L201">
        <f>Tb_data[[#This Row],[workers]]-Tb_data[[#This Row],[previous_workers]]</f>
        <v>-300</v>
      </c>
      <c r="M201" s="12">
        <f>Tb_data[[#This Row],[Employees Growth]]/Tb_data[[#This Row],[previous_workers]]</f>
        <v>-0.46153846153846156</v>
      </c>
    </row>
    <row r="202" spans="1:13" x14ac:dyDescent="0.25">
      <c r="A202" s="1" t="s">
        <v>4571</v>
      </c>
      <c r="B202" s="1" t="s">
        <v>4572</v>
      </c>
      <c r="C202" s="1">
        <v>22300000</v>
      </c>
      <c r="D202" s="1" t="s">
        <v>49</v>
      </c>
      <c r="E202">
        <v>179.6353</v>
      </c>
      <c r="F202" s="1" t="s">
        <v>86</v>
      </c>
      <c r="G202">
        <v>160</v>
      </c>
      <c r="H202">
        <v>60</v>
      </c>
      <c r="I202" s="1" t="s">
        <v>130</v>
      </c>
      <c r="J202">
        <v>2</v>
      </c>
      <c r="K202" t="str">
        <f>IF(Tb_data[[#This Row],[previous_workers]]&lt;Tb_data[[#This Row],[workers]],"yes","no")</f>
        <v>yes</v>
      </c>
      <c r="L202">
        <f>Tb_data[[#This Row],[workers]]-Tb_data[[#This Row],[previous_workers]]</f>
        <v>100</v>
      </c>
      <c r="M202" s="12">
        <f>Tb_data[[#This Row],[Employees Growth]]/Tb_data[[#This Row],[previous_workers]]</f>
        <v>1.6666666666666667</v>
      </c>
    </row>
    <row r="203" spans="1:13" x14ac:dyDescent="0.25">
      <c r="A203" s="1" t="s">
        <v>385</v>
      </c>
      <c r="B203" s="1" t="s">
        <v>386</v>
      </c>
      <c r="C203" s="1">
        <v>4400000</v>
      </c>
      <c r="D203" s="1" t="s">
        <v>387</v>
      </c>
      <c r="E203">
        <v>2474.5437000000002</v>
      </c>
      <c r="F203" s="1" t="s">
        <v>86</v>
      </c>
      <c r="G203">
        <v>48</v>
      </c>
      <c r="H203">
        <v>20</v>
      </c>
      <c r="I203" s="1" t="s">
        <v>164</v>
      </c>
      <c r="J203">
        <v>1</v>
      </c>
      <c r="K203" t="str">
        <f>IF(Tb_data[[#This Row],[previous_workers]]&lt;Tb_data[[#This Row],[workers]],"yes","no")</f>
        <v>yes</v>
      </c>
      <c r="L203">
        <f>Tb_data[[#This Row],[workers]]-Tb_data[[#This Row],[previous_workers]]</f>
        <v>28</v>
      </c>
      <c r="M203" s="12">
        <f>Tb_data[[#This Row],[Employees Growth]]/Tb_data[[#This Row],[previous_workers]]</f>
        <v>1.4</v>
      </c>
    </row>
    <row r="204" spans="1:13" x14ac:dyDescent="0.25">
      <c r="A204" s="1" t="s">
        <v>8500</v>
      </c>
      <c r="B204" s="1" t="s">
        <v>8501</v>
      </c>
      <c r="C204" s="1">
        <v>13800000</v>
      </c>
      <c r="D204" s="1" t="s">
        <v>49</v>
      </c>
      <c r="E204">
        <v>74.049499999999995</v>
      </c>
      <c r="F204" s="1" t="s">
        <v>21</v>
      </c>
      <c r="G204">
        <v>230</v>
      </c>
      <c r="H204">
        <v>120</v>
      </c>
      <c r="I204" s="1" t="s">
        <v>35</v>
      </c>
      <c r="J204">
        <v>1</v>
      </c>
      <c r="K204" t="str">
        <f>IF(Tb_data[[#This Row],[previous_workers]]&lt;Tb_data[[#This Row],[workers]],"yes","no")</f>
        <v>yes</v>
      </c>
      <c r="L204">
        <f>Tb_data[[#This Row],[workers]]-Tb_data[[#This Row],[previous_workers]]</f>
        <v>110</v>
      </c>
      <c r="M204" s="12">
        <f>Tb_data[[#This Row],[Employees Growth]]/Tb_data[[#This Row],[previous_workers]]</f>
        <v>0.91666666666666663</v>
      </c>
    </row>
    <row r="205" spans="1:13" x14ac:dyDescent="0.25">
      <c r="A205" s="1" t="s">
        <v>6629</v>
      </c>
      <c r="B205" s="1" t="s">
        <v>6630</v>
      </c>
      <c r="C205" s="1">
        <v>6800000</v>
      </c>
      <c r="D205" s="1" t="s">
        <v>120</v>
      </c>
      <c r="E205">
        <v>110.8365</v>
      </c>
      <c r="F205" s="1" t="s">
        <v>86</v>
      </c>
      <c r="G205">
        <v>39</v>
      </c>
      <c r="H205">
        <v>32</v>
      </c>
      <c r="I205" s="1" t="s">
        <v>295</v>
      </c>
      <c r="J205">
        <v>5</v>
      </c>
      <c r="K205" t="str">
        <f>IF(Tb_data[[#This Row],[previous_workers]]&lt;Tb_data[[#This Row],[workers]],"yes","no")</f>
        <v>yes</v>
      </c>
      <c r="L205">
        <f>Tb_data[[#This Row],[workers]]-Tb_data[[#This Row],[previous_workers]]</f>
        <v>7</v>
      </c>
      <c r="M205" s="12">
        <f>Tb_data[[#This Row],[Employees Growth]]/Tb_data[[#This Row],[previous_workers]]</f>
        <v>0.21875</v>
      </c>
    </row>
    <row r="206" spans="1:13" x14ac:dyDescent="0.25">
      <c r="A206" s="1" t="s">
        <v>5690</v>
      </c>
      <c r="B206" s="1" t="s">
        <v>5691</v>
      </c>
      <c r="C206" s="1">
        <v>3500000</v>
      </c>
      <c r="D206" s="1" t="s">
        <v>33</v>
      </c>
      <c r="E206">
        <v>134.68379999999999</v>
      </c>
      <c r="F206" s="1" t="s">
        <v>152</v>
      </c>
      <c r="G206">
        <v>15</v>
      </c>
      <c r="H206">
        <v>12</v>
      </c>
      <c r="I206" s="1" t="s">
        <v>130</v>
      </c>
      <c r="J206">
        <v>3</v>
      </c>
      <c r="K206" t="str">
        <f>IF(Tb_data[[#This Row],[previous_workers]]&lt;Tb_data[[#This Row],[workers]],"yes","no")</f>
        <v>yes</v>
      </c>
      <c r="L206">
        <f>Tb_data[[#This Row],[workers]]-Tb_data[[#This Row],[previous_workers]]</f>
        <v>3</v>
      </c>
      <c r="M206" s="12">
        <f>Tb_data[[#This Row],[Employees Growth]]/Tb_data[[#This Row],[previous_workers]]</f>
        <v>0.25</v>
      </c>
    </row>
    <row r="207" spans="1:13" x14ac:dyDescent="0.25">
      <c r="A207" s="1" t="s">
        <v>1359</v>
      </c>
      <c r="B207" s="1" t="s">
        <v>1360</v>
      </c>
      <c r="C207" s="1">
        <v>3100000</v>
      </c>
      <c r="D207" s="1" t="s">
        <v>155</v>
      </c>
      <c r="E207">
        <v>700.02</v>
      </c>
      <c r="F207" s="1" t="s">
        <v>25</v>
      </c>
      <c r="G207">
        <v>95</v>
      </c>
      <c r="H207">
        <v>8</v>
      </c>
      <c r="I207" s="1" t="s">
        <v>26</v>
      </c>
      <c r="J207">
        <v>1</v>
      </c>
      <c r="K207" t="str">
        <f>IF(Tb_data[[#This Row],[previous_workers]]&lt;Tb_data[[#This Row],[workers]],"yes","no")</f>
        <v>yes</v>
      </c>
      <c r="L207">
        <f>Tb_data[[#This Row],[workers]]-Tb_data[[#This Row],[previous_workers]]</f>
        <v>87</v>
      </c>
      <c r="M207" s="12">
        <f>Tb_data[[#This Row],[Employees Growth]]/Tb_data[[#This Row],[previous_workers]]</f>
        <v>10.875</v>
      </c>
    </row>
    <row r="208" spans="1:13" x14ac:dyDescent="0.25">
      <c r="A208" s="1" t="s">
        <v>2679</v>
      </c>
      <c r="B208" s="1" t="s">
        <v>2680</v>
      </c>
      <c r="C208" s="1">
        <v>5700000</v>
      </c>
      <c r="D208" s="1" t="s">
        <v>129</v>
      </c>
      <c r="E208">
        <v>321.17340000000002</v>
      </c>
      <c r="F208" s="1" t="s">
        <v>176</v>
      </c>
      <c r="G208">
        <v>57</v>
      </c>
      <c r="H208">
        <v>14</v>
      </c>
      <c r="I208" s="1" t="s">
        <v>55</v>
      </c>
      <c r="J208">
        <v>2</v>
      </c>
      <c r="K208" t="str">
        <f>IF(Tb_data[[#This Row],[previous_workers]]&lt;Tb_data[[#This Row],[workers]],"yes","no")</f>
        <v>yes</v>
      </c>
      <c r="L208">
        <f>Tb_data[[#This Row],[workers]]-Tb_data[[#This Row],[previous_workers]]</f>
        <v>43</v>
      </c>
      <c r="M208" s="12">
        <f>Tb_data[[#This Row],[Employees Growth]]/Tb_data[[#This Row],[previous_workers]]</f>
        <v>3.0714285714285716</v>
      </c>
    </row>
    <row r="209" spans="1:13" x14ac:dyDescent="0.25">
      <c r="A209" s="1" t="s">
        <v>1182</v>
      </c>
      <c r="B209" s="1" t="s">
        <v>1183</v>
      </c>
      <c r="C209" s="1">
        <v>8100000</v>
      </c>
      <c r="D209" s="1" t="s">
        <v>123</v>
      </c>
      <c r="E209">
        <v>813.06470000000002</v>
      </c>
      <c r="F209" s="1" t="s">
        <v>97</v>
      </c>
      <c r="G209">
        <v>13</v>
      </c>
      <c r="H209">
        <v>5</v>
      </c>
      <c r="I209" s="1" t="s">
        <v>35</v>
      </c>
      <c r="J209">
        <v>2</v>
      </c>
      <c r="K209" t="str">
        <f>IF(Tb_data[[#This Row],[previous_workers]]&lt;Tb_data[[#This Row],[workers]],"yes","no")</f>
        <v>yes</v>
      </c>
      <c r="L209">
        <f>Tb_data[[#This Row],[workers]]-Tb_data[[#This Row],[previous_workers]]</f>
        <v>8</v>
      </c>
      <c r="M209" s="12">
        <f>Tb_data[[#This Row],[Employees Growth]]/Tb_data[[#This Row],[previous_workers]]</f>
        <v>1.6</v>
      </c>
    </row>
    <row r="210" spans="1:13" x14ac:dyDescent="0.25">
      <c r="A210" s="1" t="s">
        <v>6359</v>
      </c>
      <c r="B210" s="1" t="s">
        <v>6360</v>
      </c>
      <c r="C210" s="1">
        <v>8300000</v>
      </c>
      <c r="D210" s="1" t="s">
        <v>33</v>
      </c>
      <c r="E210">
        <v>117.1678</v>
      </c>
      <c r="F210" s="1" t="s">
        <v>161</v>
      </c>
      <c r="G210">
        <v>80</v>
      </c>
      <c r="H210">
        <v>39</v>
      </c>
      <c r="I210" s="1" t="s">
        <v>948</v>
      </c>
      <c r="J210">
        <v>1</v>
      </c>
      <c r="K210" t="str">
        <f>IF(Tb_data[[#This Row],[previous_workers]]&lt;Tb_data[[#This Row],[workers]],"yes","no")</f>
        <v>yes</v>
      </c>
      <c r="L210">
        <f>Tb_data[[#This Row],[workers]]-Tb_data[[#This Row],[previous_workers]]</f>
        <v>41</v>
      </c>
      <c r="M210" s="12">
        <f>Tb_data[[#This Row],[Employees Growth]]/Tb_data[[#This Row],[previous_workers]]</f>
        <v>1.0512820512820513</v>
      </c>
    </row>
    <row r="211" spans="1:13" x14ac:dyDescent="0.25">
      <c r="A211" s="1" t="s">
        <v>658</v>
      </c>
      <c r="B211" s="1" t="s">
        <v>659</v>
      </c>
      <c r="C211" s="1">
        <v>4900000</v>
      </c>
      <c r="D211" s="1" t="s">
        <v>20</v>
      </c>
      <c r="E211">
        <v>1549.2845</v>
      </c>
      <c r="F211" s="1" t="s">
        <v>86</v>
      </c>
      <c r="G211">
        <v>73</v>
      </c>
      <c r="H211">
        <v>21</v>
      </c>
      <c r="I211" s="1" t="s">
        <v>55</v>
      </c>
      <c r="J211">
        <v>1</v>
      </c>
      <c r="K211" t="str">
        <f>IF(Tb_data[[#This Row],[previous_workers]]&lt;Tb_data[[#This Row],[workers]],"yes","no")</f>
        <v>yes</v>
      </c>
      <c r="L211">
        <f>Tb_data[[#This Row],[workers]]-Tb_data[[#This Row],[previous_workers]]</f>
        <v>52</v>
      </c>
      <c r="M211" s="12">
        <f>Tb_data[[#This Row],[Employees Growth]]/Tb_data[[#This Row],[previous_workers]]</f>
        <v>2.4761904761904763</v>
      </c>
    </row>
    <row r="212" spans="1:13" x14ac:dyDescent="0.25">
      <c r="A212" s="1" t="s">
        <v>991</v>
      </c>
      <c r="B212" s="1" t="s">
        <v>992</v>
      </c>
      <c r="C212" s="1">
        <v>31400000</v>
      </c>
      <c r="D212" s="1" t="s">
        <v>49</v>
      </c>
      <c r="E212">
        <v>1014.7548</v>
      </c>
      <c r="F212" s="1" t="s">
        <v>86</v>
      </c>
      <c r="G212">
        <v>238</v>
      </c>
      <c r="H212">
        <v>43</v>
      </c>
      <c r="I212" s="1" t="s">
        <v>130</v>
      </c>
      <c r="J212">
        <v>2</v>
      </c>
      <c r="K212" t="str">
        <f>IF(Tb_data[[#This Row],[previous_workers]]&lt;Tb_data[[#This Row],[workers]],"yes","no")</f>
        <v>yes</v>
      </c>
      <c r="L212">
        <f>Tb_data[[#This Row],[workers]]-Tb_data[[#This Row],[previous_workers]]</f>
        <v>195</v>
      </c>
      <c r="M212" s="12">
        <f>Tb_data[[#This Row],[Employees Growth]]/Tb_data[[#This Row],[previous_workers]]</f>
        <v>4.5348837209302326</v>
      </c>
    </row>
    <row r="213" spans="1:13" x14ac:dyDescent="0.25">
      <c r="A213" s="1" t="s">
        <v>4906</v>
      </c>
      <c r="B213" s="1" t="s">
        <v>4907</v>
      </c>
      <c r="C213" s="1">
        <v>5600000</v>
      </c>
      <c r="D213" s="1" t="s">
        <v>422</v>
      </c>
      <c r="E213">
        <v>165.41900000000001</v>
      </c>
      <c r="F213" s="1" t="s">
        <v>86</v>
      </c>
      <c r="G213">
        <v>49</v>
      </c>
      <c r="H213">
        <v>17</v>
      </c>
      <c r="I213" s="1" t="s">
        <v>194</v>
      </c>
      <c r="J213">
        <v>4</v>
      </c>
      <c r="K213" t="str">
        <f>IF(Tb_data[[#This Row],[previous_workers]]&lt;Tb_data[[#This Row],[workers]],"yes","no")</f>
        <v>yes</v>
      </c>
      <c r="L213">
        <f>Tb_data[[#This Row],[workers]]-Tb_data[[#This Row],[previous_workers]]</f>
        <v>32</v>
      </c>
      <c r="M213" s="12">
        <f>Tb_data[[#This Row],[Employees Growth]]/Tb_data[[#This Row],[previous_workers]]</f>
        <v>1.8823529411764706</v>
      </c>
    </row>
    <row r="214" spans="1:13" x14ac:dyDescent="0.25">
      <c r="A214" s="1" t="s">
        <v>2797</v>
      </c>
      <c r="B214" s="1" t="s">
        <v>2798</v>
      </c>
      <c r="C214" s="1">
        <v>31500000</v>
      </c>
      <c r="D214" s="1" t="s">
        <v>33</v>
      </c>
      <c r="E214">
        <v>308.63990000000001</v>
      </c>
      <c r="F214" s="1" t="s">
        <v>176</v>
      </c>
      <c r="G214">
        <v>200</v>
      </c>
      <c r="H214">
        <v>40</v>
      </c>
      <c r="I214" s="1" t="s">
        <v>35</v>
      </c>
      <c r="J214">
        <v>3</v>
      </c>
      <c r="K214" t="str">
        <f>IF(Tb_data[[#This Row],[previous_workers]]&lt;Tb_data[[#This Row],[workers]],"yes","no")</f>
        <v>yes</v>
      </c>
      <c r="L214">
        <f>Tb_data[[#This Row],[workers]]-Tb_data[[#This Row],[previous_workers]]</f>
        <v>160</v>
      </c>
      <c r="M214" s="12">
        <f>Tb_data[[#This Row],[Employees Growth]]/Tb_data[[#This Row],[previous_workers]]</f>
        <v>4</v>
      </c>
    </row>
    <row r="215" spans="1:13" x14ac:dyDescent="0.25">
      <c r="A215" s="1" t="s">
        <v>3912</v>
      </c>
      <c r="B215" s="1" t="s">
        <v>3913</v>
      </c>
      <c r="C215" s="1">
        <v>3900000</v>
      </c>
      <c r="D215" s="1" t="s">
        <v>49</v>
      </c>
      <c r="E215">
        <v>212.8964</v>
      </c>
      <c r="F215" s="1" t="s">
        <v>161</v>
      </c>
      <c r="G215">
        <v>28</v>
      </c>
      <c r="H215">
        <v>15</v>
      </c>
      <c r="I215" s="1" t="s">
        <v>130</v>
      </c>
      <c r="J215">
        <v>2</v>
      </c>
      <c r="K215" t="str">
        <f>IF(Tb_data[[#This Row],[previous_workers]]&lt;Tb_data[[#This Row],[workers]],"yes","no")</f>
        <v>yes</v>
      </c>
      <c r="L215">
        <f>Tb_data[[#This Row],[workers]]-Tb_data[[#This Row],[previous_workers]]</f>
        <v>13</v>
      </c>
      <c r="M215" s="12">
        <f>Tb_data[[#This Row],[Employees Growth]]/Tb_data[[#This Row],[previous_workers]]</f>
        <v>0.8666666666666667</v>
      </c>
    </row>
    <row r="216" spans="1:13" x14ac:dyDescent="0.25">
      <c r="A216" s="1" t="s">
        <v>6099</v>
      </c>
      <c r="B216" s="1" t="s">
        <v>6100</v>
      </c>
      <c r="C216" s="1">
        <v>2100000</v>
      </c>
      <c r="D216" s="1" t="s">
        <v>49</v>
      </c>
      <c r="E216">
        <v>123.92440000000001</v>
      </c>
      <c r="F216" s="1" t="s">
        <v>62</v>
      </c>
      <c r="G216">
        <v>7</v>
      </c>
      <c r="H216">
        <v>3</v>
      </c>
      <c r="I216" s="1" t="s">
        <v>164</v>
      </c>
      <c r="J216">
        <v>1</v>
      </c>
      <c r="K216" t="str">
        <f>IF(Tb_data[[#This Row],[previous_workers]]&lt;Tb_data[[#This Row],[workers]],"yes","no")</f>
        <v>yes</v>
      </c>
      <c r="L216">
        <f>Tb_data[[#This Row],[workers]]-Tb_data[[#This Row],[previous_workers]]</f>
        <v>4</v>
      </c>
      <c r="M216" s="12">
        <f>Tb_data[[#This Row],[Employees Growth]]/Tb_data[[#This Row],[previous_workers]]</f>
        <v>1.3333333333333333</v>
      </c>
    </row>
    <row r="217" spans="1:13" x14ac:dyDescent="0.25">
      <c r="A217" s="1" t="s">
        <v>7823</v>
      </c>
      <c r="B217" s="1" t="s">
        <v>7824</v>
      </c>
      <c r="C217" s="1">
        <v>2300000</v>
      </c>
      <c r="D217" s="1" t="s">
        <v>41</v>
      </c>
      <c r="E217">
        <v>85.933099999999996</v>
      </c>
      <c r="F217" s="1" t="s">
        <v>156</v>
      </c>
      <c r="G217">
        <v>18</v>
      </c>
      <c r="H217">
        <v>13</v>
      </c>
      <c r="I217" s="1" t="s">
        <v>117</v>
      </c>
      <c r="J217">
        <v>1</v>
      </c>
      <c r="K217" t="str">
        <f>IF(Tb_data[[#This Row],[previous_workers]]&lt;Tb_data[[#This Row],[workers]],"yes","no")</f>
        <v>yes</v>
      </c>
      <c r="L217">
        <f>Tb_data[[#This Row],[workers]]-Tb_data[[#This Row],[previous_workers]]</f>
        <v>5</v>
      </c>
      <c r="M217" s="12">
        <f>Tb_data[[#This Row],[Employees Growth]]/Tb_data[[#This Row],[previous_workers]]</f>
        <v>0.38461538461538464</v>
      </c>
    </row>
    <row r="218" spans="1:13" x14ac:dyDescent="0.25">
      <c r="A218" s="1" t="s">
        <v>2450</v>
      </c>
      <c r="B218" s="1" t="s">
        <v>2451</v>
      </c>
      <c r="C218" s="1">
        <v>39800000</v>
      </c>
      <c r="D218" s="1" t="s">
        <v>38</v>
      </c>
      <c r="E218">
        <v>355.24040000000002</v>
      </c>
      <c r="F218" s="1" t="s">
        <v>25</v>
      </c>
      <c r="G218">
        <v>30</v>
      </c>
      <c r="H218">
        <v>18</v>
      </c>
      <c r="I218" s="1" t="s">
        <v>26</v>
      </c>
      <c r="J218">
        <v>1</v>
      </c>
      <c r="K218" t="str">
        <f>IF(Tb_data[[#This Row],[previous_workers]]&lt;Tb_data[[#This Row],[workers]],"yes","no")</f>
        <v>yes</v>
      </c>
      <c r="L218">
        <f>Tb_data[[#This Row],[workers]]-Tb_data[[#This Row],[previous_workers]]</f>
        <v>12</v>
      </c>
      <c r="M218" s="12">
        <f>Tb_data[[#This Row],[Employees Growth]]/Tb_data[[#This Row],[previous_workers]]</f>
        <v>0.66666666666666663</v>
      </c>
    </row>
    <row r="219" spans="1:13" x14ac:dyDescent="0.25">
      <c r="A219" s="1" t="s">
        <v>689</v>
      </c>
      <c r="B219" s="1" t="s">
        <v>690</v>
      </c>
      <c r="C219" s="1">
        <v>14100000</v>
      </c>
      <c r="D219" s="1" t="s">
        <v>33</v>
      </c>
      <c r="E219">
        <v>1496.3723</v>
      </c>
      <c r="F219" s="1" t="s">
        <v>34</v>
      </c>
      <c r="G219">
        <v>100</v>
      </c>
      <c r="H219">
        <v>10</v>
      </c>
      <c r="I219" s="1" t="s">
        <v>130</v>
      </c>
      <c r="J219">
        <v>1</v>
      </c>
      <c r="K219" t="str">
        <f>IF(Tb_data[[#This Row],[previous_workers]]&lt;Tb_data[[#This Row],[workers]],"yes","no")</f>
        <v>yes</v>
      </c>
      <c r="L219">
        <f>Tb_data[[#This Row],[workers]]-Tb_data[[#This Row],[previous_workers]]</f>
        <v>90</v>
      </c>
      <c r="M219" s="12">
        <f>Tb_data[[#This Row],[Employees Growth]]/Tb_data[[#This Row],[previous_workers]]</f>
        <v>9</v>
      </c>
    </row>
    <row r="220" spans="1:13" x14ac:dyDescent="0.25">
      <c r="A220" s="1" t="s">
        <v>1037</v>
      </c>
      <c r="B220" s="1" t="s">
        <v>1038</v>
      </c>
      <c r="C220" s="1">
        <v>52300000</v>
      </c>
      <c r="D220" s="1" t="s">
        <v>20</v>
      </c>
      <c r="E220">
        <v>957.65920000000006</v>
      </c>
      <c r="F220" s="1" t="s">
        <v>86</v>
      </c>
      <c r="G220">
        <v>397</v>
      </c>
      <c r="H220">
        <v>155</v>
      </c>
      <c r="I220" s="1" t="s">
        <v>35</v>
      </c>
      <c r="J220">
        <v>3</v>
      </c>
      <c r="K220" t="str">
        <f>IF(Tb_data[[#This Row],[previous_workers]]&lt;Tb_data[[#This Row],[workers]],"yes","no")</f>
        <v>yes</v>
      </c>
      <c r="L220">
        <f>Tb_data[[#This Row],[workers]]-Tb_data[[#This Row],[previous_workers]]</f>
        <v>242</v>
      </c>
      <c r="M220" s="12">
        <f>Tb_data[[#This Row],[Employees Growth]]/Tb_data[[#This Row],[previous_workers]]</f>
        <v>1.5612903225806452</v>
      </c>
    </row>
    <row r="221" spans="1:13" x14ac:dyDescent="0.25">
      <c r="A221" s="1" t="s">
        <v>3418</v>
      </c>
      <c r="B221" s="1" t="s">
        <v>3419</v>
      </c>
      <c r="C221" s="1">
        <v>2100000</v>
      </c>
      <c r="D221" s="1" t="s">
        <v>387</v>
      </c>
      <c r="E221">
        <v>250.6396</v>
      </c>
      <c r="F221" s="1" t="s">
        <v>34</v>
      </c>
      <c r="G221">
        <v>5</v>
      </c>
      <c r="H221">
        <v>2</v>
      </c>
      <c r="I221" s="1" t="s">
        <v>130</v>
      </c>
      <c r="J221">
        <v>1</v>
      </c>
      <c r="K221" t="str">
        <f>IF(Tb_data[[#This Row],[previous_workers]]&lt;Tb_data[[#This Row],[workers]],"yes","no")</f>
        <v>yes</v>
      </c>
      <c r="L221">
        <f>Tb_data[[#This Row],[workers]]-Tb_data[[#This Row],[previous_workers]]</f>
        <v>3</v>
      </c>
      <c r="M221" s="12">
        <f>Tb_data[[#This Row],[Employees Growth]]/Tb_data[[#This Row],[previous_workers]]</f>
        <v>1.5</v>
      </c>
    </row>
    <row r="222" spans="1:13" x14ac:dyDescent="0.25">
      <c r="A222" s="1" t="s">
        <v>5516</v>
      </c>
      <c r="B222" s="1" t="s">
        <v>5517</v>
      </c>
      <c r="C222" s="1">
        <v>205700000</v>
      </c>
      <c r="D222" s="1" t="s">
        <v>179</v>
      </c>
      <c r="E222">
        <v>142.09</v>
      </c>
      <c r="F222" s="1" t="s">
        <v>176</v>
      </c>
      <c r="G222">
        <v>229</v>
      </c>
      <c r="H222">
        <v>67</v>
      </c>
      <c r="I222" s="1" t="s">
        <v>46</v>
      </c>
      <c r="J222">
        <v>8</v>
      </c>
      <c r="K222" t="str">
        <f>IF(Tb_data[[#This Row],[previous_workers]]&lt;Tb_data[[#This Row],[workers]],"yes","no")</f>
        <v>yes</v>
      </c>
      <c r="L222">
        <f>Tb_data[[#This Row],[workers]]-Tb_data[[#This Row],[previous_workers]]</f>
        <v>162</v>
      </c>
      <c r="M222" s="12">
        <f>Tb_data[[#This Row],[Employees Growth]]/Tb_data[[#This Row],[previous_workers]]</f>
        <v>2.4179104477611939</v>
      </c>
    </row>
    <row r="223" spans="1:13" x14ac:dyDescent="0.25">
      <c r="A223" s="1" t="s">
        <v>8209</v>
      </c>
      <c r="B223" s="1" t="s">
        <v>8210</v>
      </c>
      <c r="C223" s="1">
        <v>2700000</v>
      </c>
      <c r="D223" s="1" t="s">
        <v>33</v>
      </c>
      <c r="E223">
        <v>79.370599999999996</v>
      </c>
      <c r="F223" s="1" t="s">
        <v>25</v>
      </c>
      <c r="G223">
        <v>35</v>
      </c>
      <c r="H223">
        <v>15</v>
      </c>
      <c r="I223" s="1" t="s">
        <v>117</v>
      </c>
      <c r="J223">
        <v>2</v>
      </c>
      <c r="K223" t="str">
        <f>IF(Tb_data[[#This Row],[previous_workers]]&lt;Tb_data[[#This Row],[workers]],"yes","no")</f>
        <v>yes</v>
      </c>
      <c r="L223">
        <f>Tb_data[[#This Row],[workers]]-Tb_data[[#This Row],[previous_workers]]</f>
        <v>20</v>
      </c>
      <c r="M223" s="12">
        <f>Tb_data[[#This Row],[Employees Growth]]/Tb_data[[#This Row],[previous_workers]]</f>
        <v>1.3333333333333333</v>
      </c>
    </row>
    <row r="224" spans="1:13" x14ac:dyDescent="0.25">
      <c r="A224" s="1" t="s">
        <v>5032</v>
      </c>
      <c r="B224" s="1" t="s">
        <v>5033</v>
      </c>
      <c r="C224" s="1">
        <v>28800000</v>
      </c>
      <c r="D224" s="1" t="s">
        <v>115</v>
      </c>
      <c r="E224">
        <v>160.4057</v>
      </c>
      <c r="F224" s="1" t="s">
        <v>176</v>
      </c>
      <c r="G224">
        <v>30</v>
      </c>
      <c r="H224">
        <v>15</v>
      </c>
      <c r="I224" s="1" t="s">
        <v>229</v>
      </c>
      <c r="J224">
        <v>2</v>
      </c>
      <c r="K224" t="str">
        <f>IF(Tb_data[[#This Row],[previous_workers]]&lt;Tb_data[[#This Row],[workers]],"yes","no")</f>
        <v>yes</v>
      </c>
      <c r="L224">
        <f>Tb_data[[#This Row],[workers]]-Tb_data[[#This Row],[previous_workers]]</f>
        <v>15</v>
      </c>
      <c r="M224" s="12">
        <f>Tb_data[[#This Row],[Employees Growth]]/Tb_data[[#This Row],[previous_workers]]</f>
        <v>1</v>
      </c>
    </row>
    <row r="225" spans="1:13" x14ac:dyDescent="0.25">
      <c r="A225" s="1" t="s">
        <v>6659</v>
      </c>
      <c r="B225" s="1" t="s">
        <v>6660</v>
      </c>
      <c r="C225" s="1">
        <v>7800000</v>
      </c>
      <c r="D225" s="1" t="s">
        <v>91</v>
      </c>
      <c r="E225">
        <v>110.027</v>
      </c>
      <c r="F225" s="1" t="s">
        <v>30</v>
      </c>
      <c r="G225">
        <v>12</v>
      </c>
      <c r="H225">
        <v>6</v>
      </c>
      <c r="I225" s="1" t="s">
        <v>35</v>
      </c>
      <c r="J225">
        <v>3</v>
      </c>
      <c r="K225" t="str">
        <f>IF(Tb_data[[#This Row],[previous_workers]]&lt;Tb_data[[#This Row],[workers]],"yes","no")</f>
        <v>yes</v>
      </c>
      <c r="L225">
        <f>Tb_data[[#This Row],[workers]]-Tb_data[[#This Row],[previous_workers]]</f>
        <v>6</v>
      </c>
      <c r="M225" s="12">
        <f>Tb_data[[#This Row],[Employees Growth]]/Tb_data[[#This Row],[previous_workers]]</f>
        <v>1</v>
      </c>
    </row>
    <row r="226" spans="1:13" x14ac:dyDescent="0.25">
      <c r="A226" s="1" t="s">
        <v>4129</v>
      </c>
      <c r="B226" s="1" t="s">
        <v>4130</v>
      </c>
      <c r="C226" s="1">
        <v>2400000</v>
      </c>
      <c r="D226" s="1" t="s">
        <v>123</v>
      </c>
      <c r="E226">
        <v>198.60159999999999</v>
      </c>
      <c r="F226" s="1" t="s">
        <v>124</v>
      </c>
      <c r="G226">
        <v>7</v>
      </c>
      <c r="H226">
        <v>2</v>
      </c>
      <c r="I226" s="1" t="s">
        <v>55</v>
      </c>
      <c r="J226">
        <v>1</v>
      </c>
      <c r="K226" t="str">
        <f>IF(Tb_data[[#This Row],[previous_workers]]&lt;Tb_data[[#This Row],[workers]],"yes","no")</f>
        <v>yes</v>
      </c>
      <c r="L226">
        <f>Tb_data[[#This Row],[workers]]-Tb_data[[#This Row],[previous_workers]]</f>
        <v>5</v>
      </c>
      <c r="M226" s="12">
        <f>Tb_data[[#This Row],[Employees Growth]]/Tb_data[[#This Row],[previous_workers]]</f>
        <v>2.5</v>
      </c>
    </row>
    <row r="227" spans="1:13" x14ac:dyDescent="0.25">
      <c r="A227" s="1" t="s">
        <v>6381</v>
      </c>
      <c r="B227" s="1" t="s">
        <v>6382</v>
      </c>
      <c r="C227" s="1">
        <v>8500000</v>
      </c>
      <c r="D227" s="1" t="s">
        <v>49</v>
      </c>
      <c r="E227">
        <v>116.6927</v>
      </c>
      <c r="F227" s="1" t="s">
        <v>112</v>
      </c>
      <c r="G227">
        <v>16</v>
      </c>
      <c r="H227">
        <v>7</v>
      </c>
      <c r="I227" s="1" t="s">
        <v>117</v>
      </c>
      <c r="J227">
        <v>4</v>
      </c>
      <c r="K227" t="str">
        <f>IF(Tb_data[[#This Row],[previous_workers]]&lt;Tb_data[[#This Row],[workers]],"yes","no")</f>
        <v>yes</v>
      </c>
      <c r="L227">
        <f>Tb_data[[#This Row],[workers]]-Tb_data[[#This Row],[previous_workers]]</f>
        <v>9</v>
      </c>
      <c r="M227" s="12">
        <f>Tb_data[[#This Row],[Employees Growth]]/Tb_data[[#This Row],[previous_workers]]</f>
        <v>1.2857142857142858</v>
      </c>
    </row>
    <row r="228" spans="1:13" x14ac:dyDescent="0.25">
      <c r="A228" s="1" t="s">
        <v>6509</v>
      </c>
      <c r="B228" s="1" t="s">
        <v>6510</v>
      </c>
      <c r="C228" s="1">
        <v>5700000</v>
      </c>
      <c r="D228" s="1" t="s">
        <v>41</v>
      </c>
      <c r="E228">
        <v>113.53019999999999</v>
      </c>
      <c r="F228" s="1" t="s">
        <v>42</v>
      </c>
      <c r="G228">
        <v>40</v>
      </c>
      <c r="H228">
        <v>11</v>
      </c>
      <c r="I228" s="1" t="s">
        <v>26</v>
      </c>
      <c r="J228">
        <v>2</v>
      </c>
      <c r="K228" t="str">
        <f>IF(Tb_data[[#This Row],[previous_workers]]&lt;Tb_data[[#This Row],[workers]],"yes","no")</f>
        <v>yes</v>
      </c>
      <c r="L228">
        <f>Tb_data[[#This Row],[workers]]-Tb_data[[#This Row],[previous_workers]]</f>
        <v>29</v>
      </c>
      <c r="M228" s="12">
        <f>Tb_data[[#This Row],[Employees Growth]]/Tb_data[[#This Row],[previous_workers]]</f>
        <v>2.6363636363636362</v>
      </c>
    </row>
    <row r="229" spans="1:13" x14ac:dyDescent="0.25">
      <c r="A229" s="1" t="s">
        <v>5582</v>
      </c>
      <c r="B229" s="1" t="s">
        <v>5583</v>
      </c>
      <c r="C229" s="1">
        <v>3800000</v>
      </c>
      <c r="D229" s="1" t="s">
        <v>91</v>
      </c>
      <c r="E229">
        <v>139.1079</v>
      </c>
      <c r="F229" s="1" t="s">
        <v>152</v>
      </c>
      <c r="G229">
        <v>122</v>
      </c>
      <c r="H229">
        <v>79</v>
      </c>
      <c r="I229" s="1" t="s">
        <v>74</v>
      </c>
      <c r="J229">
        <v>1</v>
      </c>
      <c r="K229" t="str">
        <f>IF(Tb_data[[#This Row],[previous_workers]]&lt;Tb_data[[#This Row],[workers]],"yes","no")</f>
        <v>yes</v>
      </c>
      <c r="L229">
        <f>Tb_data[[#This Row],[workers]]-Tb_data[[#This Row],[previous_workers]]</f>
        <v>43</v>
      </c>
      <c r="M229" s="12">
        <f>Tb_data[[#This Row],[Employees Growth]]/Tb_data[[#This Row],[previous_workers]]</f>
        <v>0.54430379746835444</v>
      </c>
    </row>
    <row r="230" spans="1:13" x14ac:dyDescent="0.25">
      <c r="A230" s="1" t="s">
        <v>9169</v>
      </c>
      <c r="B230" s="1" t="s">
        <v>9170</v>
      </c>
      <c r="C230" s="1">
        <v>12300000</v>
      </c>
      <c r="D230" s="1" t="s">
        <v>79</v>
      </c>
      <c r="E230">
        <v>64.588800000000006</v>
      </c>
      <c r="F230" s="1" t="s">
        <v>152</v>
      </c>
      <c r="G230">
        <v>19</v>
      </c>
      <c r="H230">
        <v>14</v>
      </c>
      <c r="I230" s="1" t="s">
        <v>1411</v>
      </c>
      <c r="J230">
        <v>5</v>
      </c>
      <c r="K230" t="str">
        <f>IF(Tb_data[[#This Row],[previous_workers]]&lt;Tb_data[[#This Row],[workers]],"yes","no")</f>
        <v>yes</v>
      </c>
      <c r="L230">
        <f>Tb_data[[#This Row],[workers]]-Tb_data[[#This Row],[previous_workers]]</f>
        <v>5</v>
      </c>
      <c r="M230" s="12">
        <f>Tb_data[[#This Row],[Employees Growth]]/Tb_data[[#This Row],[previous_workers]]</f>
        <v>0.35714285714285715</v>
      </c>
    </row>
    <row r="231" spans="1:13" x14ac:dyDescent="0.25">
      <c r="A231" s="1" t="s">
        <v>9872</v>
      </c>
      <c r="B231" s="1" t="s">
        <v>9873</v>
      </c>
      <c r="C231" s="1">
        <v>6000000</v>
      </c>
      <c r="D231" s="1" t="s">
        <v>16</v>
      </c>
      <c r="E231">
        <v>55.693199999999997</v>
      </c>
      <c r="F231" s="1" t="s">
        <v>25</v>
      </c>
      <c r="G231">
        <v>45</v>
      </c>
      <c r="H231">
        <v>33</v>
      </c>
      <c r="I231" s="1" t="s">
        <v>4047</v>
      </c>
      <c r="J231">
        <v>1</v>
      </c>
      <c r="K231" t="str">
        <f>IF(Tb_data[[#This Row],[previous_workers]]&lt;Tb_data[[#This Row],[workers]],"yes","no")</f>
        <v>yes</v>
      </c>
      <c r="L231">
        <f>Tb_data[[#This Row],[workers]]-Tb_data[[#This Row],[previous_workers]]</f>
        <v>12</v>
      </c>
      <c r="M231" s="12">
        <f>Tb_data[[#This Row],[Employees Growth]]/Tb_data[[#This Row],[previous_workers]]</f>
        <v>0.36363636363636365</v>
      </c>
    </row>
    <row r="232" spans="1:13" x14ac:dyDescent="0.25">
      <c r="A232" s="1" t="s">
        <v>133</v>
      </c>
      <c r="B232" s="1" t="s">
        <v>134</v>
      </c>
      <c r="C232" s="1">
        <v>15200000</v>
      </c>
      <c r="D232" s="1" t="s">
        <v>20</v>
      </c>
      <c r="E232">
        <v>6134.3501999999999</v>
      </c>
      <c r="F232" s="1" t="s">
        <v>135</v>
      </c>
      <c r="G232">
        <v>71</v>
      </c>
      <c r="H232">
        <v>1</v>
      </c>
      <c r="I232" s="1" t="s">
        <v>26</v>
      </c>
      <c r="J232">
        <v>1</v>
      </c>
      <c r="K232" t="str">
        <f>IF(Tb_data[[#This Row],[previous_workers]]&lt;Tb_data[[#This Row],[workers]],"yes","no")</f>
        <v>yes</v>
      </c>
      <c r="L232">
        <f>Tb_data[[#This Row],[workers]]-Tb_data[[#This Row],[previous_workers]]</f>
        <v>70</v>
      </c>
      <c r="M232" s="12">
        <f>Tb_data[[#This Row],[Employees Growth]]/Tb_data[[#This Row],[previous_workers]]</f>
        <v>70</v>
      </c>
    </row>
    <row r="233" spans="1:13" x14ac:dyDescent="0.25">
      <c r="A233" s="1" t="s">
        <v>6139</v>
      </c>
      <c r="B233" s="1" t="s">
        <v>6140</v>
      </c>
      <c r="C233" s="1">
        <v>44700000</v>
      </c>
      <c r="D233" s="1" t="s">
        <v>2568</v>
      </c>
      <c r="E233">
        <v>122.89019999999999</v>
      </c>
      <c r="F233" s="1" t="s">
        <v>97</v>
      </c>
      <c r="G233">
        <v>200</v>
      </c>
      <c r="H233">
        <v>175</v>
      </c>
      <c r="I233" s="1" t="s">
        <v>35</v>
      </c>
      <c r="J233">
        <v>6</v>
      </c>
      <c r="K233" t="str">
        <f>IF(Tb_data[[#This Row],[previous_workers]]&lt;Tb_data[[#This Row],[workers]],"yes","no")</f>
        <v>yes</v>
      </c>
      <c r="L233">
        <f>Tb_data[[#This Row],[workers]]-Tb_data[[#This Row],[previous_workers]]</f>
        <v>25</v>
      </c>
      <c r="M233" s="12">
        <f>Tb_data[[#This Row],[Employees Growth]]/Tb_data[[#This Row],[previous_workers]]</f>
        <v>0.14285714285714285</v>
      </c>
    </row>
    <row r="234" spans="1:13" x14ac:dyDescent="0.25">
      <c r="A234" s="1" t="s">
        <v>2068</v>
      </c>
      <c r="B234" s="1" t="s">
        <v>2069</v>
      </c>
      <c r="C234" s="1">
        <v>6800000</v>
      </c>
      <c r="D234" s="1" t="s">
        <v>61</v>
      </c>
      <c r="E234">
        <v>432.84010000000001</v>
      </c>
      <c r="F234" s="1" t="s">
        <v>176</v>
      </c>
      <c r="G234">
        <v>50</v>
      </c>
      <c r="H234">
        <v>2</v>
      </c>
      <c r="I234" s="1" t="s">
        <v>130</v>
      </c>
      <c r="J234">
        <v>2</v>
      </c>
      <c r="K234" t="str">
        <f>IF(Tb_data[[#This Row],[previous_workers]]&lt;Tb_data[[#This Row],[workers]],"yes","no")</f>
        <v>yes</v>
      </c>
      <c r="L234">
        <f>Tb_data[[#This Row],[workers]]-Tb_data[[#This Row],[previous_workers]]</f>
        <v>48</v>
      </c>
      <c r="M234" s="12">
        <f>Tb_data[[#This Row],[Employees Growth]]/Tb_data[[#This Row],[previous_workers]]</f>
        <v>24</v>
      </c>
    </row>
    <row r="235" spans="1:13" x14ac:dyDescent="0.25">
      <c r="A235" s="1" t="s">
        <v>10030</v>
      </c>
      <c r="B235" s="1" t="s">
        <v>10031</v>
      </c>
      <c r="C235" s="1">
        <v>4400000</v>
      </c>
      <c r="D235" s="1" t="s">
        <v>58</v>
      </c>
      <c r="E235">
        <v>53.118099999999998</v>
      </c>
      <c r="F235" s="1" t="s">
        <v>176</v>
      </c>
      <c r="G235">
        <v>30</v>
      </c>
      <c r="H235">
        <v>15</v>
      </c>
      <c r="I235" s="1" t="s">
        <v>2407</v>
      </c>
      <c r="J235">
        <v>1</v>
      </c>
      <c r="K235" t="str">
        <f>IF(Tb_data[[#This Row],[previous_workers]]&lt;Tb_data[[#This Row],[workers]],"yes","no")</f>
        <v>yes</v>
      </c>
      <c r="L235">
        <f>Tb_data[[#This Row],[workers]]-Tb_data[[#This Row],[previous_workers]]</f>
        <v>15</v>
      </c>
      <c r="M235" s="12">
        <f>Tb_data[[#This Row],[Employees Growth]]/Tb_data[[#This Row],[previous_workers]]</f>
        <v>1</v>
      </c>
    </row>
    <row r="236" spans="1:13" x14ac:dyDescent="0.25">
      <c r="A236" s="1" t="s">
        <v>6581</v>
      </c>
      <c r="B236" s="1" t="s">
        <v>6582</v>
      </c>
      <c r="C236" s="1">
        <v>6600000</v>
      </c>
      <c r="D236" s="1" t="s">
        <v>41</v>
      </c>
      <c r="E236">
        <v>111.9967</v>
      </c>
      <c r="F236" s="1" t="s">
        <v>161</v>
      </c>
      <c r="G236">
        <v>55</v>
      </c>
      <c r="H236">
        <v>20</v>
      </c>
      <c r="I236" s="1" t="s">
        <v>164</v>
      </c>
      <c r="J236">
        <v>3</v>
      </c>
      <c r="K236" t="str">
        <f>IF(Tb_data[[#This Row],[previous_workers]]&lt;Tb_data[[#This Row],[workers]],"yes","no")</f>
        <v>yes</v>
      </c>
      <c r="L236">
        <f>Tb_data[[#This Row],[workers]]-Tb_data[[#This Row],[previous_workers]]</f>
        <v>35</v>
      </c>
      <c r="M236" s="12">
        <f>Tb_data[[#This Row],[Employees Growth]]/Tb_data[[#This Row],[previous_workers]]</f>
        <v>1.75</v>
      </c>
    </row>
    <row r="237" spans="1:13" x14ac:dyDescent="0.25">
      <c r="A237" s="1" t="s">
        <v>194</v>
      </c>
      <c r="B237" s="1" t="s">
        <v>4109</v>
      </c>
      <c r="C237" s="1">
        <v>79600000</v>
      </c>
      <c r="D237" s="1" t="s">
        <v>20</v>
      </c>
      <c r="E237">
        <v>200.2047</v>
      </c>
      <c r="F237" s="1" t="s">
        <v>34</v>
      </c>
      <c r="G237">
        <v>478</v>
      </c>
      <c r="H237">
        <v>44</v>
      </c>
      <c r="I237" s="1" t="s">
        <v>74</v>
      </c>
      <c r="J237">
        <v>5</v>
      </c>
      <c r="K237" t="str">
        <f>IF(Tb_data[[#This Row],[previous_workers]]&lt;Tb_data[[#This Row],[workers]],"yes","no")</f>
        <v>yes</v>
      </c>
      <c r="L237">
        <f>Tb_data[[#This Row],[workers]]-Tb_data[[#This Row],[previous_workers]]</f>
        <v>434</v>
      </c>
      <c r="M237" s="12">
        <f>Tb_data[[#This Row],[Employees Growth]]/Tb_data[[#This Row],[previous_workers]]</f>
        <v>9.8636363636363633</v>
      </c>
    </row>
    <row r="238" spans="1:13" x14ac:dyDescent="0.25">
      <c r="A238" s="1" t="s">
        <v>8663</v>
      </c>
      <c r="B238" s="1" t="s">
        <v>8664</v>
      </c>
      <c r="C238" s="1">
        <v>6800000</v>
      </c>
      <c r="D238" s="1" t="s">
        <v>49</v>
      </c>
      <c r="E238">
        <v>71.499600000000001</v>
      </c>
      <c r="F238" s="1" t="s">
        <v>161</v>
      </c>
      <c r="G238">
        <v>43</v>
      </c>
      <c r="H238">
        <v>48</v>
      </c>
      <c r="I238" s="1" t="s">
        <v>948</v>
      </c>
      <c r="J238">
        <v>2</v>
      </c>
      <c r="K238" t="str">
        <f>IF(Tb_data[[#This Row],[previous_workers]]&lt;Tb_data[[#This Row],[workers]],"yes","no")</f>
        <v>no</v>
      </c>
      <c r="L238">
        <f>Tb_data[[#This Row],[workers]]-Tb_data[[#This Row],[previous_workers]]</f>
        <v>-5</v>
      </c>
      <c r="M238" s="12">
        <f>Tb_data[[#This Row],[Employees Growth]]/Tb_data[[#This Row],[previous_workers]]</f>
        <v>-0.10416666666666667</v>
      </c>
    </row>
    <row r="239" spans="1:13" x14ac:dyDescent="0.25">
      <c r="A239" s="1" t="s">
        <v>8239</v>
      </c>
      <c r="B239" s="1" t="s">
        <v>8240</v>
      </c>
      <c r="C239" s="1">
        <v>7000000</v>
      </c>
      <c r="D239" s="1" t="s">
        <v>41</v>
      </c>
      <c r="E239">
        <v>78.580200000000005</v>
      </c>
      <c r="F239" s="1" t="s">
        <v>310</v>
      </c>
      <c r="G239">
        <v>19</v>
      </c>
      <c r="H239">
        <v>11</v>
      </c>
      <c r="I239" s="1" t="s">
        <v>117</v>
      </c>
      <c r="J239">
        <v>3</v>
      </c>
      <c r="K239" t="str">
        <f>IF(Tb_data[[#This Row],[previous_workers]]&lt;Tb_data[[#This Row],[workers]],"yes","no")</f>
        <v>yes</v>
      </c>
      <c r="L239">
        <f>Tb_data[[#This Row],[workers]]-Tb_data[[#This Row],[previous_workers]]</f>
        <v>8</v>
      </c>
      <c r="M239" s="12">
        <f>Tb_data[[#This Row],[Employees Growth]]/Tb_data[[#This Row],[previous_workers]]</f>
        <v>0.72727272727272729</v>
      </c>
    </row>
    <row r="240" spans="1:13" x14ac:dyDescent="0.25">
      <c r="A240" s="1" t="s">
        <v>3359</v>
      </c>
      <c r="B240" s="1" t="s">
        <v>3360</v>
      </c>
      <c r="C240" s="1">
        <v>5800000000</v>
      </c>
      <c r="D240" s="1" t="s">
        <v>49</v>
      </c>
      <c r="E240">
        <v>255.1902</v>
      </c>
      <c r="F240" s="1" t="s">
        <v>152</v>
      </c>
      <c r="G240">
        <v>155000</v>
      </c>
      <c r="H240">
        <v>36469</v>
      </c>
      <c r="I240" s="1" t="s">
        <v>3361</v>
      </c>
      <c r="J240">
        <v>10</v>
      </c>
      <c r="K240" t="str">
        <f>IF(Tb_data[[#This Row],[previous_workers]]&lt;Tb_data[[#This Row],[workers]],"yes","no")</f>
        <v>yes</v>
      </c>
      <c r="L240">
        <f>Tb_data[[#This Row],[workers]]-Tb_data[[#This Row],[previous_workers]]</f>
        <v>118531</v>
      </c>
      <c r="M240" s="12">
        <f>Tb_data[[#This Row],[Employees Growth]]/Tb_data[[#This Row],[previous_workers]]</f>
        <v>3.250185088705476</v>
      </c>
    </row>
    <row r="241" spans="1:13" x14ac:dyDescent="0.25">
      <c r="A241" s="1" t="s">
        <v>6201</v>
      </c>
      <c r="B241" s="1" t="s">
        <v>6202</v>
      </c>
      <c r="C241" s="1">
        <v>3100000</v>
      </c>
      <c r="D241" s="1" t="s">
        <v>58</v>
      </c>
      <c r="E241">
        <v>121.3468</v>
      </c>
      <c r="F241" s="1" t="s">
        <v>156</v>
      </c>
      <c r="G241">
        <v>21</v>
      </c>
      <c r="H241">
        <v>12</v>
      </c>
      <c r="I241" s="1" t="s">
        <v>35</v>
      </c>
      <c r="J241">
        <v>2</v>
      </c>
      <c r="K241" t="str">
        <f>IF(Tb_data[[#This Row],[previous_workers]]&lt;Tb_data[[#This Row],[workers]],"yes","no")</f>
        <v>yes</v>
      </c>
      <c r="L241">
        <f>Tb_data[[#This Row],[workers]]-Tb_data[[#This Row],[previous_workers]]</f>
        <v>9</v>
      </c>
      <c r="M241" s="12">
        <f>Tb_data[[#This Row],[Employees Growth]]/Tb_data[[#This Row],[previous_workers]]</f>
        <v>0.75</v>
      </c>
    </row>
    <row r="242" spans="1:13" x14ac:dyDescent="0.25">
      <c r="A242" s="1" t="s">
        <v>1254</v>
      </c>
      <c r="B242" s="1" t="s">
        <v>1255</v>
      </c>
      <c r="C242" s="1">
        <v>37300000</v>
      </c>
      <c r="D242" s="1" t="s">
        <v>179</v>
      </c>
      <c r="E242">
        <v>767.43389999999999</v>
      </c>
      <c r="F242" s="1" t="s">
        <v>124</v>
      </c>
      <c r="G242">
        <v>225</v>
      </c>
      <c r="H242">
        <v>30</v>
      </c>
      <c r="I242" s="1" t="s">
        <v>130</v>
      </c>
      <c r="J242">
        <v>1</v>
      </c>
      <c r="K242" t="str">
        <f>IF(Tb_data[[#This Row],[previous_workers]]&lt;Tb_data[[#This Row],[workers]],"yes","no")</f>
        <v>yes</v>
      </c>
      <c r="L242">
        <f>Tb_data[[#This Row],[workers]]-Tb_data[[#This Row],[previous_workers]]</f>
        <v>195</v>
      </c>
      <c r="M242" s="12">
        <f>Tb_data[[#This Row],[Employees Growth]]/Tb_data[[#This Row],[previous_workers]]</f>
        <v>6.5</v>
      </c>
    </row>
    <row r="243" spans="1:13" x14ac:dyDescent="0.25">
      <c r="A243" s="1" t="s">
        <v>4000</v>
      </c>
      <c r="B243" s="1" t="s">
        <v>4001</v>
      </c>
      <c r="C243" s="1">
        <v>2100000</v>
      </c>
      <c r="D243" s="1" t="s">
        <v>29</v>
      </c>
      <c r="E243">
        <v>206.233</v>
      </c>
      <c r="F243" s="1" t="s">
        <v>12</v>
      </c>
      <c r="G243">
        <v>10</v>
      </c>
      <c r="H243">
        <v>4</v>
      </c>
      <c r="I243" s="1" t="s">
        <v>130</v>
      </c>
      <c r="J243">
        <v>1</v>
      </c>
      <c r="K243" t="str">
        <f>IF(Tb_data[[#This Row],[previous_workers]]&lt;Tb_data[[#This Row],[workers]],"yes","no")</f>
        <v>yes</v>
      </c>
      <c r="L243">
        <f>Tb_data[[#This Row],[workers]]-Tb_data[[#This Row],[previous_workers]]</f>
        <v>6</v>
      </c>
      <c r="M243" s="12">
        <f>Tb_data[[#This Row],[Employees Growth]]/Tb_data[[#This Row],[previous_workers]]</f>
        <v>1.5</v>
      </c>
    </row>
    <row r="244" spans="1:13" x14ac:dyDescent="0.25">
      <c r="A244" s="1" t="s">
        <v>7232</v>
      </c>
      <c r="B244" s="1" t="s">
        <v>7233</v>
      </c>
      <c r="C244" s="1">
        <v>5100000</v>
      </c>
      <c r="D244" s="1" t="s">
        <v>16</v>
      </c>
      <c r="E244">
        <v>97.932299999999998</v>
      </c>
      <c r="F244" s="1" t="s">
        <v>514</v>
      </c>
      <c r="G244">
        <v>47</v>
      </c>
      <c r="H244">
        <v>13</v>
      </c>
      <c r="I244" s="1" t="s">
        <v>117</v>
      </c>
      <c r="J244">
        <v>1</v>
      </c>
      <c r="K244" t="str">
        <f>IF(Tb_data[[#This Row],[previous_workers]]&lt;Tb_data[[#This Row],[workers]],"yes","no")</f>
        <v>yes</v>
      </c>
      <c r="L244">
        <f>Tb_data[[#This Row],[workers]]-Tb_data[[#This Row],[previous_workers]]</f>
        <v>34</v>
      </c>
      <c r="M244" s="12">
        <f>Tb_data[[#This Row],[Employees Growth]]/Tb_data[[#This Row],[previous_workers]]</f>
        <v>2.6153846153846154</v>
      </c>
    </row>
    <row r="245" spans="1:13" x14ac:dyDescent="0.25">
      <c r="A245" s="1" t="s">
        <v>315</v>
      </c>
      <c r="B245" s="1" t="s">
        <v>316</v>
      </c>
      <c r="C245" s="1">
        <v>25800000</v>
      </c>
      <c r="D245" s="1" t="s">
        <v>123</v>
      </c>
      <c r="E245">
        <v>2872.1059</v>
      </c>
      <c r="F245" s="1" t="s">
        <v>17</v>
      </c>
      <c r="G245">
        <v>37</v>
      </c>
      <c r="H245">
        <v>12</v>
      </c>
      <c r="I245" s="1" t="s">
        <v>130</v>
      </c>
      <c r="J245">
        <v>1</v>
      </c>
      <c r="K245" t="str">
        <f>IF(Tb_data[[#This Row],[previous_workers]]&lt;Tb_data[[#This Row],[workers]],"yes","no")</f>
        <v>yes</v>
      </c>
      <c r="L245">
        <f>Tb_data[[#This Row],[workers]]-Tb_data[[#This Row],[previous_workers]]</f>
        <v>25</v>
      </c>
      <c r="M245" s="12">
        <f>Tb_data[[#This Row],[Employees Growth]]/Tb_data[[#This Row],[previous_workers]]</f>
        <v>2.0833333333333335</v>
      </c>
    </row>
    <row r="246" spans="1:13" x14ac:dyDescent="0.25">
      <c r="A246" s="1" t="s">
        <v>6974</v>
      </c>
      <c r="B246" s="1" t="s">
        <v>6975</v>
      </c>
      <c r="C246" s="1">
        <v>13600000</v>
      </c>
      <c r="D246" s="1" t="s">
        <v>49</v>
      </c>
      <c r="E246">
        <v>102.4528</v>
      </c>
      <c r="F246" s="1" t="s">
        <v>34</v>
      </c>
      <c r="G246">
        <v>90</v>
      </c>
      <c r="H246">
        <v>35</v>
      </c>
      <c r="I246" s="1" t="s">
        <v>55</v>
      </c>
      <c r="J246">
        <v>2</v>
      </c>
      <c r="K246" t="str">
        <f>IF(Tb_data[[#This Row],[previous_workers]]&lt;Tb_data[[#This Row],[workers]],"yes","no")</f>
        <v>yes</v>
      </c>
      <c r="L246">
        <f>Tb_data[[#This Row],[workers]]-Tb_data[[#This Row],[previous_workers]]</f>
        <v>55</v>
      </c>
      <c r="M246" s="12">
        <f>Tb_data[[#This Row],[Employees Growth]]/Tb_data[[#This Row],[previous_workers]]</f>
        <v>1.5714285714285714</v>
      </c>
    </row>
    <row r="247" spans="1:13" x14ac:dyDescent="0.25">
      <c r="A247" s="1" t="s">
        <v>7579</v>
      </c>
      <c r="B247" s="1" t="s">
        <v>7580</v>
      </c>
      <c r="C247" s="1">
        <v>2200000</v>
      </c>
      <c r="D247" s="1" t="s">
        <v>49</v>
      </c>
      <c r="E247">
        <v>90.900099999999995</v>
      </c>
      <c r="F247" s="1" t="s">
        <v>176</v>
      </c>
      <c r="G247">
        <v>96000</v>
      </c>
      <c r="H247">
        <v>53000</v>
      </c>
      <c r="I247" s="1" t="s">
        <v>372</v>
      </c>
      <c r="J247">
        <v>2</v>
      </c>
      <c r="K247" t="str">
        <f>IF(Tb_data[[#This Row],[previous_workers]]&lt;Tb_data[[#This Row],[workers]],"yes","no")</f>
        <v>yes</v>
      </c>
      <c r="L247">
        <f>Tb_data[[#This Row],[workers]]-Tb_data[[#This Row],[previous_workers]]</f>
        <v>43000</v>
      </c>
      <c r="M247" s="12">
        <f>Tb_data[[#This Row],[Employees Growth]]/Tb_data[[#This Row],[previous_workers]]</f>
        <v>0.81132075471698117</v>
      </c>
    </row>
    <row r="248" spans="1:13" x14ac:dyDescent="0.25">
      <c r="A248" s="1" t="s">
        <v>362</v>
      </c>
      <c r="B248" s="1" t="s">
        <v>363</v>
      </c>
      <c r="C248" s="1">
        <v>25100000</v>
      </c>
      <c r="D248" s="1" t="s">
        <v>41</v>
      </c>
      <c r="E248">
        <v>2596.3186000000001</v>
      </c>
      <c r="F248" s="1" t="s">
        <v>97</v>
      </c>
      <c r="G248">
        <v>145</v>
      </c>
      <c r="H248">
        <v>1</v>
      </c>
      <c r="I248" s="1" t="s">
        <v>117</v>
      </c>
      <c r="J248">
        <v>2</v>
      </c>
      <c r="K248" t="str">
        <f>IF(Tb_data[[#This Row],[previous_workers]]&lt;Tb_data[[#This Row],[workers]],"yes","no")</f>
        <v>yes</v>
      </c>
      <c r="L248">
        <f>Tb_data[[#This Row],[workers]]-Tb_data[[#This Row],[previous_workers]]</f>
        <v>144</v>
      </c>
      <c r="M248" s="12">
        <f>Tb_data[[#This Row],[Employees Growth]]/Tb_data[[#This Row],[previous_workers]]</f>
        <v>144</v>
      </c>
    </row>
    <row r="249" spans="1:13" x14ac:dyDescent="0.25">
      <c r="A249" s="1" t="s">
        <v>5900</v>
      </c>
      <c r="B249" s="1" t="s">
        <v>5901</v>
      </c>
      <c r="C249" s="1">
        <v>29900000</v>
      </c>
      <c r="D249" s="1" t="s">
        <v>20</v>
      </c>
      <c r="E249">
        <v>128.98410000000001</v>
      </c>
      <c r="F249" s="1" t="s">
        <v>124</v>
      </c>
      <c r="G249">
        <v>90</v>
      </c>
      <c r="H249">
        <v>42</v>
      </c>
      <c r="I249" s="1" t="s">
        <v>130</v>
      </c>
      <c r="J249">
        <v>4</v>
      </c>
      <c r="K249" t="str">
        <f>IF(Tb_data[[#This Row],[previous_workers]]&lt;Tb_data[[#This Row],[workers]],"yes","no")</f>
        <v>yes</v>
      </c>
      <c r="L249">
        <f>Tb_data[[#This Row],[workers]]-Tb_data[[#This Row],[previous_workers]]</f>
        <v>48</v>
      </c>
      <c r="M249" s="12">
        <f>Tb_data[[#This Row],[Employees Growth]]/Tb_data[[#This Row],[previous_workers]]</f>
        <v>1.1428571428571428</v>
      </c>
    </row>
    <row r="250" spans="1:13" x14ac:dyDescent="0.25">
      <c r="A250" s="1" t="s">
        <v>6009</v>
      </c>
      <c r="B250" s="1" t="s">
        <v>6010</v>
      </c>
      <c r="C250" s="1">
        <v>2600000</v>
      </c>
      <c r="D250" s="1" t="s">
        <v>20</v>
      </c>
      <c r="E250">
        <v>126.375</v>
      </c>
      <c r="F250" s="1" t="s">
        <v>124</v>
      </c>
      <c r="G250">
        <v>4</v>
      </c>
      <c r="H250">
        <v>5</v>
      </c>
      <c r="I250" s="1" t="s">
        <v>26</v>
      </c>
      <c r="J250">
        <v>1</v>
      </c>
      <c r="K250" t="str">
        <f>IF(Tb_data[[#This Row],[previous_workers]]&lt;Tb_data[[#This Row],[workers]],"yes","no")</f>
        <v>no</v>
      </c>
      <c r="L250">
        <f>Tb_data[[#This Row],[workers]]-Tb_data[[#This Row],[previous_workers]]</f>
        <v>-1</v>
      </c>
      <c r="M250" s="12">
        <f>Tb_data[[#This Row],[Employees Growth]]/Tb_data[[#This Row],[previous_workers]]</f>
        <v>-0.2</v>
      </c>
    </row>
    <row r="251" spans="1:13" x14ac:dyDescent="0.25">
      <c r="A251" s="1" t="s">
        <v>3643</v>
      </c>
      <c r="B251" s="1" t="s">
        <v>3644</v>
      </c>
      <c r="C251" s="1">
        <v>21500000</v>
      </c>
      <c r="D251" s="1" t="s">
        <v>49</v>
      </c>
      <c r="E251">
        <v>231.2064</v>
      </c>
      <c r="F251" s="1" t="s">
        <v>124</v>
      </c>
      <c r="G251">
        <v>134</v>
      </c>
      <c r="H251">
        <v>63</v>
      </c>
      <c r="I251" s="1" t="s">
        <v>1356</v>
      </c>
      <c r="J251">
        <v>2</v>
      </c>
      <c r="K251" t="str">
        <f>IF(Tb_data[[#This Row],[previous_workers]]&lt;Tb_data[[#This Row],[workers]],"yes","no")</f>
        <v>yes</v>
      </c>
      <c r="L251">
        <f>Tb_data[[#This Row],[workers]]-Tb_data[[#This Row],[previous_workers]]</f>
        <v>71</v>
      </c>
      <c r="M251" s="12">
        <f>Tb_data[[#This Row],[Employees Growth]]/Tb_data[[#This Row],[previous_workers]]</f>
        <v>1.126984126984127</v>
      </c>
    </row>
    <row r="252" spans="1:13" x14ac:dyDescent="0.25">
      <c r="A252" s="1" t="s">
        <v>1256</v>
      </c>
      <c r="B252" s="1" t="s">
        <v>1257</v>
      </c>
      <c r="C252" s="1">
        <v>4600000</v>
      </c>
      <c r="D252" s="1" t="s">
        <v>11</v>
      </c>
      <c r="E252">
        <v>766.89869999999996</v>
      </c>
      <c r="F252" s="1" t="s">
        <v>82</v>
      </c>
      <c r="G252">
        <v>23</v>
      </c>
      <c r="H252">
        <v>3</v>
      </c>
      <c r="I252" s="1" t="s">
        <v>130</v>
      </c>
      <c r="J252">
        <v>2</v>
      </c>
      <c r="K252" t="str">
        <f>IF(Tb_data[[#This Row],[previous_workers]]&lt;Tb_data[[#This Row],[workers]],"yes","no")</f>
        <v>yes</v>
      </c>
      <c r="L252">
        <f>Tb_data[[#This Row],[workers]]-Tb_data[[#This Row],[previous_workers]]</f>
        <v>20</v>
      </c>
      <c r="M252" s="12">
        <f>Tb_data[[#This Row],[Employees Growth]]/Tb_data[[#This Row],[previous_workers]]</f>
        <v>6.666666666666667</v>
      </c>
    </row>
    <row r="253" spans="1:13" x14ac:dyDescent="0.25">
      <c r="A253" s="1" t="s">
        <v>7853</v>
      </c>
      <c r="B253" s="1" t="s">
        <v>7854</v>
      </c>
      <c r="C253" s="1">
        <v>8300000</v>
      </c>
      <c r="D253" s="1" t="s">
        <v>79</v>
      </c>
      <c r="E253">
        <v>85.393900000000002</v>
      </c>
      <c r="F253" s="1" t="s">
        <v>124</v>
      </c>
      <c r="G253">
        <v>150</v>
      </c>
      <c r="H253">
        <v>80</v>
      </c>
      <c r="I253" s="1" t="s">
        <v>147</v>
      </c>
      <c r="J253">
        <v>2</v>
      </c>
      <c r="K253" t="str">
        <f>IF(Tb_data[[#This Row],[previous_workers]]&lt;Tb_data[[#This Row],[workers]],"yes","no")</f>
        <v>yes</v>
      </c>
      <c r="L253">
        <f>Tb_data[[#This Row],[workers]]-Tb_data[[#This Row],[previous_workers]]</f>
        <v>70</v>
      </c>
      <c r="M253" s="12">
        <f>Tb_data[[#This Row],[Employees Growth]]/Tb_data[[#This Row],[previous_workers]]</f>
        <v>0.875</v>
      </c>
    </row>
    <row r="254" spans="1:13" x14ac:dyDescent="0.25">
      <c r="A254" s="1" t="s">
        <v>7431</v>
      </c>
      <c r="B254" s="1" t="s">
        <v>7432</v>
      </c>
      <c r="C254" s="1">
        <v>4200000</v>
      </c>
      <c r="D254" s="1" t="s">
        <v>123</v>
      </c>
      <c r="E254">
        <v>94.675899999999999</v>
      </c>
      <c r="F254" s="1" t="s">
        <v>86</v>
      </c>
      <c r="G254">
        <v>20</v>
      </c>
      <c r="H254">
        <v>7</v>
      </c>
      <c r="I254" s="1" t="s">
        <v>26</v>
      </c>
      <c r="J254">
        <v>2</v>
      </c>
      <c r="K254" t="str">
        <f>IF(Tb_data[[#This Row],[previous_workers]]&lt;Tb_data[[#This Row],[workers]],"yes","no")</f>
        <v>yes</v>
      </c>
      <c r="L254">
        <f>Tb_data[[#This Row],[workers]]-Tb_data[[#This Row],[previous_workers]]</f>
        <v>13</v>
      </c>
      <c r="M254" s="12">
        <f>Tb_data[[#This Row],[Employees Growth]]/Tb_data[[#This Row],[previous_workers]]</f>
        <v>1.8571428571428572</v>
      </c>
    </row>
    <row r="255" spans="1:13" x14ac:dyDescent="0.25">
      <c r="A255" s="1" t="s">
        <v>7753</v>
      </c>
      <c r="B255" s="1" t="s">
        <v>7754</v>
      </c>
      <c r="C255" s="1">
        <v>2800000</v>
      </c>
      <c r="D255" s="1" t="s">
        <v>129</v>
      </c>
      <c r="E255">
        <v>87.093999999999994</v>
      </c>
      <c r="F255" s="1" t="s">
        <v>12</v>
      </c>
      <c r="G255">
        <v>18</v>
      </c>
      <c r="H255">
        <v>14</v>
      </c>
      <c r="I255" s="1" t="s">
        <v>164</v>
      </c>
      <c r="J255">
        <v>3</v>
      </c>
      <c r="K255" t="str">
        <f>IF(Tb_data[[#This Row],[previous_workers]]&lt;Tb_data[[#This Row],[workers]],"yes","no")</f>
        <v>yes</v>
      </c>
      <c r="L255">
        <f>Tb_data[[#This Row],[workers]]-Tb_data[[#This Row],[previous_workers]]</f>
        <v>4</v>
      </c>
      <c r="M255" s="12">
        <f>Tb_data[[#This Row],[Employees Growth]]/Tb_data[[#This Row],[previous_workers]]</f>
        <v>0.2857142857142857</v>
      </c>
    </row>
    <row r="256" spans="1:13" x14ac:dyDescent="0.25">
      <c r="A256" s="1" t="s">
        <v>3732</v>
      </c>
      <c r="B256" s="1" t="s">
        <v>3733</v>
      </c>
      <c r="C256" s="1">
        <v>7700000</v>
      </c>
      <c r="D256" s="1" t="s">
        <v>175</v>
      </c>
      <c r="E256">
        <v>226.26050000000001</v>
      </c>
      <c r="F256" s="1" t="s">
        <v>42</v>
      </c>
      <c r="G256">
        <v>19</v>
      </c>
      <c r="H256">
        <v>9</v>
      </c>
      <c r="I256" s="1" t="s">
        <v>1051</v>
      </c>
      <c r="J256">
        <v>3</v>
      </c>
      <c r="K256" t="str">
        <f>IF(Tb_data[[#This Row],[previous_workers]]&lt;Tb_data[[#This Row],[workers]],"yes","no")</f>
        <v>yes</v>
      </c>
      <c r="L256">
        <f>Tb_data[[#This Row],[workers]]-Tb_data[[#This Row],[previous_workers]]</f>
        <v>10</v>
      </c>
      <c r="M256" s="12">
        <f>Tb_data[[#This Row],[Employees Growth]]/Tb_data[[#This Row],[previous_workers]]</f>
        <v>1.1111111111111112</v>
      </c>
    </row>
    <row r="257" spans="1:13" x14ac:dyDescent="0.25">
      <c r="A257" s="1" t="s">
        <v>7607</v>
      </c>
      <c r="B257" s="1" t="s">
        <v>7608</v>
      </c>
      <c r="C257" s="1">
        <v>2100000</v>
      </c>
      <c r="D257" s="1" t="s">
        <v>49</v>
      </c>
      <c r="E257">
        <v>89.919700000000006</v>
      </c>
      <c r="F257" s="1" t="s">
        <v>135</v>
      </c>
      <c r="G257">
        <v>200</v>
      </c>
      <c r="H257">
        <v>150</v>
      </c>
      <c r="I257" s="1" t="s">
        <v>194</v>
      </c>
      <c r="J257">
        <v>2</v>
      </c>
      <c r="K257" t="str">
        <f>IF(Tb_data[[#This Row],[previous_workers]]&lt;Tb_data[[#This Row],[workers]],"yes","no")</f>
        <v>yes</v>
      </c>
      <c r="L257">
        <f>Tb_data[[#This Row],[workers]]-Tb_data[[#This Row],[previous_workers]]</f>
        <v>50</v>
      </c>
      <c r="M257" s="12">
        <f>Tb_data[[#This Row],[Employees Growth]]/Tb_data[[#This Row],[previous_workers]]</f>
        <v>0.33333333333333331</v>
      </c>
    </row>
    <row r="258" spans="1:13" x14ac:dyDescent="0.25">
      <c r="A258" s="1" t="s">
        <v>8556</v>
      </c>
      <c r="B258" s="1" t="s">
        <v>8557</v>
      </c>
      <c r="C258" s="1">
        <v>2600000</v>
      </c>
      <c r="D258" s="1" t="s">
        <v>29</v>
      </c>
      <c r="E258">
        <v>72.994799999999998</v>
      </c>
      <c r="F258" s="1" t="s">
        <v>12</v>
      </c>
      <c r="G258">
        <v>21</v>
      </c>
      <c r="H258">
        <v>13</v>
      </c>
      <c r="I258" s="1" t="s">
        <v>147</v>
      </c>
      <c r="J258">
        <v>1</v>
      </c>
      <c r="K258" t="str">
        <f>IF(Tb_data[[#This Row],[previous_workers]]&lt;Tb_data[[#This Row],[workers]],"yes","no")</f>
        <v>yes</v>
      </c>
      <c r="L258">
        <f>Tb_data[[#This Row],[workers]]-Tb_data[[#This Row],[previous_workers]]</f>
        <v>8</v>
      </c>
      <c r="M258" s="12">
        <f>Tb_data[[#This Row],[Employees Growth]]/Tb_data[[#This Row],[previous_workers]]</f>
        <v>0.61538461538461542</v>
      </c>
    </row>
    <row r="259" spans="1:13" x14ac:dyDescent="0.25">
      <c r="A259" s="1" t="s">
        <v>6531</v>
      </c>
      <c r="B259" s="1" t="s">
        <v>6532</v>
      </c>
      <c r="C259" s="1">
        <v>18800000</v>
      </c>
      <c r="D259" s="1" t="s">
        <v>895</v>
      </c>
      <c r="E259">
        <v>113.05710000000001</v>
      </c>
      <c r="F259" s="1" t="s">
        <v>86</v>
      </c>
      <c r="G259">
        <v>139</v>
      </c>
      <c r="H259">
        <v>63</v>
      </c>
      <c r="I259" s="1" t="s">
        <v>147</v>
      </c>
      <c r="J259">
        <v>6</v>
      </c>
      <c r="K259" t="str">
        <f>IF(Tb_data[[#This Row],[previous_workers]]&lt;Tb_data[[#This Row],[workers]],"yes","no")</f>
        <v>yes</v>
      </c>
      <c r="L259">
        <f>Tb_data[[#This Row],[workers]]-Tb_data[[#This Row],[previous_workers]]</f>
        <v>76</v>
      </c>
      <c r="M259" s="12">
        <f>Tb_data[[#This Row],[Employees Growth]]/Tb_data[[#This Row],[previous_workers]]</f>
        <v>1.2063492063492063</v>
      </c>
    </row>
    <row r="260" spans="1:13" x14ac:dyDescent="0.25">
      <c r="A260" s="1" t="s">
        <v>5686</v>
      </c>
      <c r="B260" s="1" t="s">
        <v>5687</v>
      </c>
      <c r="C260" s="1">
        <v>4900000</v>
      </c>
      <c r="D260" s="1" t="s">
        <v>20</v>
      </c>
      <c r="E260">
        <v>134.89330000000001</v>
      </c>
      <c r="F260" s="1" t="s">
        <v>514</v>
      </c>
      <c r="G260">
        <v>35</v>
      </c>
      <c r="H260">
        <v>13</v>
      </c>
      <c r="I260" s="1" t="s">
        <v>55</v>
      </c>
      <c r="J260">
        <v>3</v>
      </c>
      <c r="K260" t="str">
        <f>IF(Tb_data[[#This Row],[previous_workers]]&lt;Tb_data[[#This Row],[workers]],"yes","no")</f>
        <v>yes</v>
      </c>
      <c r="L260">
        <f>Tb_data[[#This Row],[workers]]-Tb_data[[#This Row],[previous_workers]]</f>
        <v>22</v>
      </c>
      <c r="M260" s="12">
        <f>Tb_data[[#This Row],[Employees Growth]]/Tb_data[[#This Row],[previous_workers]]</f>
        <v>1.6923076923076923</v>
      </c>
    </row>
    <row r="261" spans="1:13" x14ac:dyDescent="0.25">
      <c r="A261" s="1" t="s">
        <v>677</v>
      </c>
      <c r="B261" s="1" t="s">
        <v>678</v>
      </c>
      <c r="C261" s="1">
        <v>3600000</v>
      </c>
      <c r="D261" s="1" t="s">
        <v>33</v>
      </c>
      <c r="E261">
        <v>1515.61</v>
      </c>
      <c r="F261" s="1" t="s">
        <v>30</v>
      </c>
      <c r="G261">
        <v>63</v>
      </c>
      <c r="H261">
        <v>6</v>
      </c>
      <c r="I261" s="1" t="s">
        <v>13</v>
      </c>
      <c r="J261">
        <v>1</v>
      </c>
      <c r="K261" t="str">
        <f>IF(Tb_data[[#This Row],[previous_workers]]&lt;Tb_data[[#This Row],[workers]],"yes","no")</f>
        <v>yes</v>
      </c>
      <c r="L261">
        <f>Tb_data[[#This Row],[workers]]-Tb_data[[#This Row],[previous_workers]]</f>
        <v>57</v>
      </c>
      <c r="M261" s="12">
        <f>Tb_data[[#This Row],[Employees Growth]]/Tb_data[[#This Row],[previous_workers]]</f>
        <v>9.5</v>
      </c>
    </row>
    <row r="262" spans="1:13" x14ac:dyDescent="0.25">
      <c r="A262" s="1" t="s">
        <v>2195</v>
      </c>
      <c r="B262" s="1" t="s">
        <v>2196</v>
      </c>
      <c r="C262" s="1">
        <v>11600000</v>
      </c>
      <c r="D262" s="1" t="s">
        <v>11</v>
      </c>
      <c r="E262">
        <v>402.96890000000002</v>
      </c>
      <c r="F262" s="1" t="s">
        <v>25</v>
      </c>
      <c r="G262">
        <v>181</v>
      </c>
      <c r="H262">
        <v>12</v>
      </c>
      <c r="I262" s="1" t="s">
        <v>117</v>
      </c>
      <c r="J262">
        <v>2</v>
      </c>
      <c r="K262" t="str">
        <f>IF(Tb_data[[#This Row],[previous_workers]]&lt;Tb_data[[#This Row],[workers]],"yes","no")</f>
        <v>yes</v>
      </c>
      <c r="L262">
        <f>Tb_data[[#This Row],[workers]]-Tb_data[[#This Row],[previous_workers]]</f>
        <v>169</v>
      </c>
      <c r="M262" s="12">
        <f>Tb_data[[#This Row],[Employees Growth]]/Tb_data[[#This Row],[previous_workers]]</f>
        <v>14.083333333333334</v>
      </c>
    </row>
    <row r="263" spans="1:13" x14ac:dyDescent="0.25">
      <c r="A263" s="1" t="s">
        <v>7321</v>
      </c>
      <c r="B263" s="1" t="s">
        <v>7322</v>
      </c>
      <c r="C263" s="1">
        <v>9500000</v>
      </c>
      <c r="D263" s="1" t="s">
        <v>20</v>
      </c>
      <c r="E263">
        <v>96.640799999999999</v>
      </c>
      <c r="F263" s="1" t="s">
        <v>21</v>
      </c>
      <c r="G263">
        <v>128</v>
      </c>
      <c r="H263">
        <v>68</v>
      </c>
      <c r="I263" s="1" t="s">
        <v>4080</v>
      </c>
      <c r="J263">
        <v>4</v>
      </c>
      <c r="K263" t="str">
        <f>IF(Tb_data[[#This Row],[previous_workers]]&lt;Tb_data[[#This Row],[workers]],"yes","no")</f>
        <v>yes</v>
      </c>
      <c r="L263">
        <f>Tb_data[[#This Row],[workers]]-Tb_data[[#This Row],[previous_workers]]</f>
        <v>60</v>
      </c>
      <c r="M263" s="12">
        <f>Tb_data[[#This Row],[Employees Growth]]/Tb_data[[#This Row],[previous_workers]]</f>
        <v>0.88235294117647056</v>
      </c>
    </row>
    <row r="264" spans="1:13" x14ac:dyDescent="0.25">
      <c r="A264" s="1" t="s">
        <v>5012</v>
      </c>
      <c r="B264" s="1" t="s">
        <v>5013</v>
      </c>
      <c r="C264" s="1">
        <v>19600000</v>
      </c>
      <c r="D264" s="1" t="s">
        <v>179</v>
      </c>
      <c r="E264">
        <v>161.33760000000001</v>
      </c>
      <c r="F264" s="1" t="s">
        <v>86</v>
      </c>
      <c r="G264">
        <v>536</v>
      </c>
      <c r="H264">
        <v>276</v>
      </c>
      <c r="I264" s="1" t="s">
        <v>46</v>
      </c>
      <c r="J264">
        <v>4</v>
      </c>
      <c r="K264" t="str">
        <f>IF(Tb_data[[#This Row],[previous_workers]]&lt;Tb_data[[#This Row],[workers]],"yes","no")</f>
        <v>yes</v>
      </c>
      <c r="L264">
        <f>Tb_data[[#This Row],[workers]]-Tb_data[[#This Row],[previous_workers]]</f>
        <v>260</v>
      </c>
      <c r="M264" s="12">
        <f>Tb_data[[#This Row],[Employees Growth]]/Tb_data[[#This Row],[previous_workers]]</f>
        <v>0.94202898550724634</v>
      </c>
    </row>
    <row r="265" spans="1:13" x14ac:dyDescent="0.25">
      <c r="A265" s="1" t="s">
        <v>9109</v>
      </c>
      <c r="B265" s="1" t="s">
        <v>9110</v>
      </c>
      <c r="C265" s="1">
        <v>8600000</v>
      </c>
      <c r="D265" s="1" t="s">
        <v>254</v>
      </c>
      <c r="E265">
        <v>65.288799999999995</v>
      </c>
      <c r="F265" s="1" t="s">
        <v>86</v>
      </c>
      <c r="G265">
        <v>428</v>
      </c>
      <c r="H265">
        <v>307</v>
      </c>
      <c r="I265" s="1" t="s">
        <v>194</v>
      </c>
      <c r="J265">
        <v>6</v>
      </c>
      <c r="K265" t="str">
        <f>IF(Tb_data[[#This Row],[previous_workers]]&lt;Tb_data[[#This Row],[workers]],"yes","no")</f>
        <v>yes</v>
      </c>
      <c r="L265">
        <f>Tb_data[[#This Row],[workers]]-Tb_data[[#This Row],[previous_workers]]</f>
        <v>121</v>
      </c>
      <c r="M265" s="12">
        <f>Tb_data[[#This Row],[Employees Growth]]/Tb_data[[#This Row],[previous_workers]]</f>
        <v>0.39413680781758959</v>
      </c>
    </row>
    <row r="266" spans="1:13" x14ac:dyDescent="0.25">
      <c r="A266" s="1" t="s">
        <v>265</v>
      </c>
      <c r="B266" s="1" t="s">
        <v>266</v>
      </c>
      <c r="C266" s="1">
        <v>15300000</v>
      </c>
      <c r="D266" s="1" t="s">
        <v>49</v>
      </c>
      <c r="E266">
        <v>3357.7037999999998</v>
      </c>
      <c r="F266" s="1" t="s">
        <v>34</v>
      </c>
      <c r="G266">
        <v>16</v>
      </c>
      <c r="H266">
        <v>8</v>
      </c>
      <c r="I266" s="1" t="s">
        <v>164</v>
      </c>
      <c r="J266">
        <v>1</v>
      </c>
      <c r="K266" t="str">
        <f>IF(Tb_data[[#This Row],[previous_workers]]&lt;Tb_data[[#This Row],[workers]],"yes","no")</f>
        <v>yes</v>
      </c>
      <c r="L266">
        <f>Tb_data[[#This Row],[workers]]-Tb_data[[#This Row],[previous_workers]]</f>
        <v>8</v>
      </c>
      <c r="M266" s="12">
        <f>Tb_data[[#This Row],[Employees Growth]]/Tb_data[[#This Row],[previous_workers]]</f>
        <v>1</v>
      </c>
    </row>
    <row r="267" spans="1:13" x14ac:dyDescent="0.25">
      <c r="A267" s="1" t="s">
        <v>6831</v>
      </c>
      <c r="B267" s="1" t="s">
        <v>6832</v>
      </c>
      <c r="C267" s="1">
        <v>17800000</v>
      </c>
      <c r="D267" s="1" t="s">
        <v>115</v>
      </c>
      <c r="E267">
        <v>105.9455</v>
      </c>
      <c r="F267" s="1" t="s">
        <v>124</v>
      </c>
      <c r="G267">
        <v>62</v>
      </c>
      <c r="H267">
        <v>42</v>
      </c>
      <c r="I267" s="1" t="s">
        <v>1411</v>
      </c>
      <c r="J267">
        <v>1</v>
      </c>
      <c r="K267" t="str">
        <f>IF(Tb_data[[#This Row],[previous_workers]]&lt;Tb_data[[#This Row],[workers]],"yes","no")</f>
        <v>yes</v>
      </c>
      <c r="L267">
        <f>Tb_data[[#This Row],[workers]]-Tb_data[[#This Row],[previous_workers]]</f>
        <v>20</v>
      </c>
      <c r="M267" s="12">
        <f>Tb_data[[#This Row],[Employees Growth]]/Tb_data[[#This Row],[previous_workers]]</f>
        <v>0.47619047619047616</v>
      </c>
    </row>
    <row r="268" spans="1:13" x14ac:dyDescent="0.25">
      <c r="A268" s="1" t="s">
        <v>1904</v>
      </c>
      <c r="B268" s="1" t="s">
        <v>1905</v>
      </c>
      <c r="C268" s="1">
        <v>15700000</v>
      </c>
      <c r="D268" s="1" t="s">
        <v>91</v>
      </c>
      <c r="E268">
        <v>473.29239999999999</v>
      </c>
      <c r="F268" s="1" t="s">
        <v>176</v>
      </c>
      <c r="G268">
        <v>4</v>
      </c>
      <c r="H268">
        <v>1</v>
      </c>
      <c r="I268" s="1" t="s">
        <v>55</v>
      </c>
      <c r="J268">
        <v>3</v>
      </c>
      <c r="K268" t="str">
        <f>IF(Tb_data[[#This Row],[previous_workers]]&lt;Tb_data[[#This Row],[workers]],"yes","no")</f>
        <v>yes</v>
      </c>
      <c r="L268">
        <f>Tb_data[[#This Row],[workers]]-Tb_data[[#This Row],[previous_workers]]</f>
        <v>3</v>
      </c>
      <c r="M268" s="12">
        <f>Tb_data[[#This Row],[Employees Growth]]/Tb_data[[#This Row],[previous_workers]]</f>
        <v>3</v>
      </c>
    </row>
    <row r="269" spans="1:13" x14ac:dyDescent="0.25">
      <c r="A269" s="1" t="s">
        <v>9876</v>
      </c>
      <c r="B269" s="1" t="s">
        <v>9877</v>
      </c>
      <c r="C269" s="1">
        <v>3700000</v>
      </c>
      <c r="D269" s="1" t="s">
        <v>155</v>
      </c>
      <c r="E269">
        <v>55.662500000000001</v>
      </c>
      <c r="F269" s="1" t="s">
        <v>176</v>
      </c>
      <c r="G269">
        <v>4</v>
      </c>
      <c r="H269">
        <v>4</v>
      </c>
      <c r="I269" s="1" t="s">
        <v>3673</v>
      </c>
      <c r="J269">
        <v>1</v>
      </c>
      <c r="K269" t="str">
        <f>IF(Tb_data[[#This Row],[previous_workers]]&lt;Tb_data[[#This Row],[workers]],"yes","no")</f>
        <v>no</v>
      </c>
      <c r="L269">
        <f>Tb_data[[#This Row],[workers]]-Tb_data[[#This Row],[previous_workers]]</f>
        <v>0</v>
      </c>
      <c r="M269" s="12">
        <f>Tb_data[[#This Row],[Employees Growth]]/Tb_data[[#This Row],[previous_workers]]</f>
        <v>0</v>
      </c>
    </row>
    <row r="270" spans="1:13" x14ac:dyDescent="0.25">
      <c r="A270" s="1" t="s">
        <v>3577</v>
      </c>
      <c r="B270" s="1" t="s">
        <v>3578</v>
      </c>
      <c r="C270" s="1">
        <v>34700000</v>
      </c>
      <c r="D270" s="1" t="s">
        <v>49</v>
      </c>
      <c r="E270">
        <v>236.13409999999999</v>
      </c>
      <c r="F270" s="1" t="s">
        <v>62</v>
      </c>
      <c r="G270">
        <v>40</v>
      </c>
      <c r="H270">
        <v>8</v>
      </c>
      <c r="I270" s="1" t="s">
        <v>13</v>
      </c>
      <c r="J270">
        <v>1</v>
      </c>
      <c r="K270" t="str">
        <f>IF(Tb_data[[#This Row],[previous_workers]]&lt;Tb_data[[#This Row],[workers]],"yes","no")</f>
        <v>yes</v>
      </c>
      <c r="L270">
        <f>Tb_data[[#This Row],[workers]]-Tb_data[[#This Row],[previous_workers]]</f>
        <v>32</v>
      </c>
      <c r="M270" s="12">
        <f>Tb_data[[#This Row],[Employees Growth]]/Tb_data[[#This Row],[previous_workers]]</f>
        <v>4</v>
      </c>
    </row>
    <row r="271" spans="1:13" x14ac:dyDescent="0.25">
      <c r="A271" s="1" t="s">
        <v>5890</v>
      </c>
      <c r="B271" s="1" t="s">
        <v>5891</v>
      </c>
      <c r="C271" s="1">
        <v>29500000</v>
      </c>
      <c r="D271" s="1" t="s">
        <v>29</v>
      </c>
      <c r="E271">
        <v>129.24350000000001</v>
      </c>
      <c r="F271" s="1" t="s">
        <v>172</v>
      </c>
      <c r="G271">
        <v>60</v>
      </c>
      <c r="H271">
        <v>23</v>
      </c>
      <c r="I271" s="1" t="s">
        <v>295</v>
      </c>
      <c r="J271">
        <v>4</v>
      </c>
      <c r="K271" t="str">
        <f>IF(Tb_data[[#This Row],[previous_workers]]&lt;Tb_data[[#This Row],[workers]],"yes","no")</f>
        <v>yes</v>
      </c>
      <c r="L271">
        <f>Tb_data[[#This Row],[workers]]-Tb_data[[#This Row],[previous_workers]]</f>
        <v>37</v>
      </c>
      <c r="M271" s="12">
        <f>Tb_data[[#This Row],[Employees Growth]]/Tb_data[[#This Row],[previous_workers]]</f>
        <v>1.6086956521739131</v>
      </c>
    </row>
    <row r="272" spans="1:13" x14ac:dyDescent="0.25">
      <c r="A272" s="1" t="s">
        <v>9431</v>
      </c>
      <c r="B272" s="1" t="s">
        <v>9432</v>
      </c>
      <c r="C272" s="1">
        <v>24800000</v>
      </c>
      <c r="D272" s="1" t="s">
        <v>69</v>
      </c>
      <c r="E272">
        <v>61.043799999999997</v>
      </c>
      <c r="F272" s="1" t="s">
        <v>124</v>
      </c>
      <c r="G272">
        <v>22</v>
      </c>
      <c r="H272">
        <v>18</v>
      </c>
      <c r="I272" s="1" t="s">
        <v>2225</v>
      </c>
      <c r="J272">
        <v>6</v>
      </c>
      <c r="K272" t="str">
        <f>IF(Tb_data[[#This Row],[previous_workers]]&lt;Tb_data[[#This Row],[workers]],"yes","no")</f>
        <v>yes</v>
      </c>
      <c r="L272">
        <f>Tb_data[[#This Row],[workers]]-Tb_data[[#This Row],[previous_workers]]</f>
        <v>4</v>
      </c>
      <c r="M272" s="12">
        <f>Tb_data[[#This Row],[Employees Growth]]/Tb_data[[#This Row],[previous_workers]]</f>
        <v>0.22222222222222221</v>
      </c>
    </row>
    <row r="273" spans="1:13" x14ac:dyDescent="0.25">
      <c r="A273" s="1" t="s">
        <v>2066</v>
      </c>
      <c r="B273" s="1" t="s">
        <v>2067</v>
      </c>
      <c r="C273" s="1">
        <v>6600000</v>
      </c>
      <c r="D273" s="1" t="s">
        <v>29</v>
      </c>
      <c r="E273">
        <v>432.88470000000001</v>
      </c>
      <c r="F273" s="1" t="s">
        <v>176</v>
      </c>
      <c r="G273">
        <v>17</v>
      </c>
      <c r="H273">
        <v>4</v>
      </c>
      <c r="I273" s="1" t="s">
        <v>13</v>
      </c>
      <c r="J273">
        <v>1</v>
      </c>
      <c r="K273" t="str">
        <f>IF(Tb_data[[#This Row],[previous_workers]]&lt;Tb_data[[#This Row],[workers]],"yes","no")</f>
        <v>yes</v>
      </c>
      <c r="L273">
        <f>Tb_data[[#This Row],[workers]]-Tb_data[[#This Row],[previous_workers]]</f>
        <v>13</v>
      </c>
      <c r="M273" s="12">
        <f>Tb_data[[#This Row],[Employees Growth]]/Tb_data[[#This Row],[previous_workers]]</f>
        <v>3.25</v>
      </c>
    </row>
    <row r="274" spans="1:13" x14ac:dyDescent="0.25">
      <c r="A274" s="1" t="s">
        <v>10012</v>
      </c>
      <c r="B274" s="1" t="s">
        <v>10013</v>
      </c>
      <c r="C274" s="1">
        <v>509900000</v>
      </c>
      <c r="D274" s="1" t="s">
        <v>427</v>
      </c>
      <c r="E274">
        <v>53.286999999999999</v>
      </c>
      <c r="F274" s="1" t="s">
        <v>34</v>
      </c>
      <c r="G274">
        <v>1422</v>
      </c>
      <c r="H274">
        <v>1275</v>
      </c>
      <c r="I274" s="1" t="s">
        <v>2407</v>
      </c>
      <c r="J274">
        <v>10</v>
      </c>
      <c r="K274" t="str">
        <f>IF(Tb_data[[#This Row],[previous_workers]]&lt;Tb_data[[#This Row],[workers]],"yes","no")</f>
        <v>yes</v>
      </c>
      <c r="L274">
        <f>Tb_data[[#This Row],[workers]]-Tb_data[[#This Row],[previous_workers]]</f>
        <v>147</v>
      </c>
      <c r="M274" s="12">
        <f>Tb_data[[#This Row],[Employees Growth]]/Tb_data[[#This Row],[previous_workers]]</f>
        <v>0.11529411764705882</v>
      </c>
    </row>
    <row r="275" spans="1:13" x14ac:dyDescent="0.25">
      <c r="A275" s="1" t="s">
        <v>9780</v>
      </c>
      <c r="B275" s="1" t="s">
        <v>9781</v>
      </c>
      <c r="C275" s="1">
        <v>285600000</v>
      </c>
      <c r="D275" s="1" t="s">
        <v>49</v>
      </c>
      <c r="E275">
        <v>56.989100000000001</v>
      </c>
      <c r="F275" s="1" t="s">
        <v>124</v>
      </c>
      <c r="G275">
        <v>1170</v>
      </c>
      <c r="H275">
        <v>776</v>
      </c>
      <c r="I275" s="1" t="s">
        <v>1657</v>
      </c>
      <c r="J275">
        <v>10</v>
      </c>
      <c r="K275" t="str">
        <f>IF(Tb_data[[#This Row],[previous_workers]]&lt;Tb_data[[#This Row],[workers]],"yes","no")</f>
        <v>yes</v>
      </c>
      <c r="L275">
        <f>Tb_data[[#This Row],[workers]]-Tb_data[[#This Row],[previous_workers]]</f>
        <v>394</v>
      </c>
      <c r="M275" s="12">
        <f>Tb_data[[#This Row],[Employees Growth]]/Tb_data[[#This Row],[previous_workers]]</f>
        <v>0.50773195876288657</v>
      </c>
    </row>
    <row r="276" spans="1:13" x14ac:dyDescent="0.25">
      <c r="A276" s="1" t="s">
        <v>10080</v>
      </c>
      <c r="B276" s="1" t="s">
        <v>10081</v>
      </c>
      <c r="C276" s="1">
        <v>9300000</v>
      </c>
      <c r="D276" s="1" t="s">
        <v>20</v>
      </c>
      <c r="E276">
        <v>52.4803</v>
      </c>
      <c r="F276" s="1" t="s">
        <v>124</v>
      </c>
      <c r="G276">
        <v>19</v>
      </c>
      <c r="H276">
        <v>12</v>
      </c>
      <c r="I276" s="1" t="s">
        <v>1622</v>
      </c>
      <c r="J276">
        <v>1</v>
      </c>
      <c r="K276" t="str">
        <f>IF(Tb_data[[#This Row],[previous_workers]]&lt;Tb_data[[#This Row],[workers]],"yes","no")</f>
        <v>yes</v>
      </c>
      <c r="L276">
        <f>Tb_data[[#This Row],[workers]]-Tb_data[[#This Row],[previous_workers]]</f>
        <v>7</v>
      </c>
      <c r="M276" s="12">
        <f>Tb_data[[#This Row],[Employees Growth]]/Tb_data[[#This Row],[previous_workers]]</f>
        <v>0.58333333333333337</v>
      </c>
    </row>
    <row r="277" spans="1:13" x14ac:dyDescent="0.25">
      <c r="A277" s="1" t="s">
        <v>10036</v>
      </c>
      <c r="B277" s="1" t="s">
        <v>10037</v>
      </c>
      <c r="C277" s="1">
        <v>60700000</v>
      </c>
      <c r="D277" s="1" t="s">
        <v>254</v>
      </c>
      <c r="E277">
        <v>52.933500000000002</v>
      </c>
      <c r="F277" s="1" t="s">
        <v>176</v>
      </c>
      <c r="G277">
        <v>425</v>
      </c>
      <c r="H277">
        <v>316</v>
      </c>
      <c r="I277" s="1" t="s">
        <v>2676</v>
      </c>
      <c r="J277">
        <v>6</v>
      </c>
      <c r="K277" t="str">
        <f>IF(Tb_data[[#This Row],[previous_workers]]&lt;Tb_data[[#This Row],[workers]],"yes","no")</f>
        <v>yes</v>
      </c>
      <c r="L277">
        <f>Tb_data[[#This Row],[workers]]-Tb_data[[#This Row],[previous_workers]]</f>
        <v>109</v>
      </c>
      <c r="M277" s="12">
        <f>Tb_data[[#This Row],[Employees Growth]]/Tb_data[[#This Row],[previous_workers]]</f>
        <v>0.3449367088607595</v>
      </c>
    </row>
    <row r="278" spans="1:13" x14ac:dyDescent="0.25">
      <c r="A278" s="1" t="s">
        <v>6916</v>
      </c>
      <c r="B278" s="1" t="s">
        <v>6917</v>
      </c>
      <c r="C278" s="1">
        <v>10900000</v>
      </c>
      <c r="D278" s="1" t="s">
        <v>254</v>
      </c>
      <c r="E278">
        <v>103.8763</v>
      </c>
      <c r="F278" s="1" t="s">
        <v>112</v>
      </c>
      <c r="G278">
        <v>24</v>
      </c>
      <c r="H278">
        <v>18</v>
      </c>
      <c r="I278" s="1" t="s">
        <v>2225</v>
      </c>
      <c r="J278">
        <v>3</v>
      </c>
      <c r="K278" t="str">
        <f>IF(Tb_data[[#This Row],[previous_workers]]&lt;Tb_data[[#This Row],[workers]],"yes","no")</f>
        <v>yes</v>
      </c>
      <c r="L278">
        <f>Tb_data[[#This Row],[workers]]-Tb_data[[#This Row],[previous_workers]]</f>
        <v>6</v>
      </c>
      <c r="M278" s="12">
        <f>Tb_data[[#This Row],[Employees Growth]]/Tb_data[[#This Row],[previous_workers]]</f>
        <v>0.33333333333333331</v>
      </c>
    </row>
    <row r="279" spans="1:13" x14ac:dyDescent="0.25">
      <c r="A279" s="1" t="s">
        <v>9349</v>
      </c>
      <c r="B279" s="1" t="s">
        <v>9350</v>
      </c>
      <c r="C279" s="1">
        <v>28400000</v>
      </c>
      <c r="D279" s="1" t="s">
        <v>120</v>
      </c>
      <c r="E279">
        <v>62.075899999999997</v>
      </c>
      <c r="F279" s="1" t="s">
        <v>34</v>
      </c>
      <c r="G279">
        <v>275</v>
      </c>
      <c r="H279">
        <v>258</v>
      </c>
      <c r="I279" s="1" t="s">
        <v>4052</v>
      </c>
      <c r="J279">
        <v>11</v>
      </c>
      <c r="K279" t="str">
        <f>IF(Tb_data[[#This Row],[previous_workers]]&lt;Tb_data[[#This Row],[workers]],"yes","no")</f>
        <v>yes</v>
      </c>
      <c r="L279">
        <f>Tb_data[[#This Row],[workers]]-Tb_data[[#This Row],[previous_workers]]</f>
        <v>17</v>
      </c>
      <c r="M279" s="12">
        <f>Tb_data[[#This Row],[Employees Growth]]/Tb_data[[#This Row],[previous_workers]]</f>
        <v>6.589147286821706E-2</v>
      </c>
    </row>
    <row r="280" spans="1:13" x14ac:dyDescent="0.25">
      <c r="A280" s="1" t="s">
        <v>4264</v>
      </c>
      <c r="B280" s="1" t="s">
        <v>4265</v>
      </c>
      <c r="C280" s="1">
        <v>7200000</v>
      </c>
      <c r="D280" s="1" t="s">
        <v>61</v>
      </c>
      <c r="E280">
        <v>193.42429999999999</v>
      </c>
      <c r="F280" s="1" t="s">
        <v>34</v>
      </c>
      <c r="G280">
        <v>22</v>
      </c>
      <c r="H280">
        <v>7</v>
      </c>
      <c r="I280" s="1" t="s">
        <v>46</v>
      </c>
      <c r="J280">
        <v>5</v>
      </c>
      <c r="K280" t="str">
        <f>IF(Tb_data[[#This Row],[previous_workers]]&lt;Tb_data[[#This Row],[workers]],"yes","no")</f>
        <v>yes</v>
      </c>
      <c r="L280">
        <f>Tb_data[[#This Row],[workers]]-Tb_data[[#This Row],[previous_workers]]</f>
        <v>15</v>
      </c>
      <c r="M280" s="12">
        <f>Tb_data[[#This Row],[Employees Growth]]/Tb_data[[#This Row],[previous_workers]]</f>
        <v>2.1428571428571428</v>
      </c>
    </row>
    <row r="281" spans="1:13" x14ac:dyDescent="0.25">
      <c r="A281" s="1" t="s">
        <v>9273</v>
      </c>
      <c r="B281" s="1" t="s">
        <v>9274</v>
      </c>
      <c r="C281" s="1">
        <v>2800000</v>
      </c>
      <c r="D281" s="1" t="s">
        <v>254</v>
      </c>
      <c r="E281">
        <v>63.1646</v>
      </c>
      <c r="F281" s="1" t="s">
        <v>100</v>
      </c>
      <c r="G281">
        <v>9</v>
      </c>
      <c r="H281">
        <v>5</v>
      </c>
      <c r="I281" s="1" t="s">
        <v>2676</v>
      </c>
      <c r="J281">
        <v>4</v>
      </c>
      <c r="K281" t="str">
        <f>IF(Tb_data[[#This Row],[previous_workers]]&lt;Tb_data[[#This Row],[workers]],"yes","no")</f>
        <v>yes</v>
      </c>
      <c r="L281">
        <f>Tb_data[[#This Row],[workers]]-Tb_data[[#This Row],[previous_workers]]</f>
        <v>4</v>
      </c>
      <c r="M281" s="12">
        <f>Tb_data[[#This Row],[Employees Growth]]/Tb_data[[#This Row],[previous_workers]]</f>
        <v>0.8</v>
      </c>
    </row>
    <row r="282" spans="1:13" x14ac:dyDescent="0.25">
      <c r="A282" s="1" t="s">
        <v>1649</v>
      </c>
      <c r="B282" s="1" t="s">
        <v>1650</v>
      </c>
      <c r="C282" s="1">
        <v>3500000</v>
      </c>
      <c r="D282" s="1" t="s">
        <v>61</v>
      </c>
      <c r="E282">
        <v>560.48760000000004</v>
      </c>
      <c r="F282" s="1" t="s">
        <v>176</v>
      </c>
      <c r="G282">
        <v>6</v>
      </c>
      <c r="H282">
        <v>2</v>
      </c>
      <c r="I282" s="1" t="s">
        <v>55</v>
      </c>
      <c r="J282">
        <v>2</v>
      </c>
      <c r="K282" t="str">
        <f>IF(Tb_data[[#This Row],[previous_workers]]&lt;Tb_data[[#This Row],[workers]],"yes","no")</f>
        <v>yes</v>
      </c>
      <c r="L282">
        <f>Tb_data[[#This Row],[workers]]-Tb_data[[#This Row],[previous_workers]]</f>
        <v>4</v>
      </c>
      <c r="M282" s="12">
        <f>Tb_data[[#This Row],[Employees Growth]]/Tb_data[[#This Row],[previous_workers]]</f>
        <v>2</v>
      </c>
    </row>
    <row r="283" spans="1:13" x14ac:dyDescent="0.25">
      <c r="A283" s="1" t="s">
        <v>5846</v>
      </c>
      <c r="B283" s="1" t="s">
        <v>5847</v>
      </c>
      <c r="C283" s="1">
        <v>31700000</v>
      </c>
      <c r="D283" s="1" t="s">
        <v>49</v>
      </c>
      <c r="E283">
        <v>130.15450000000001</v>
      </c>
      <c r="F283" s="1" t="s">
        <v>34</v>
      </c>
      <c r="G283">
        <v>66</v>
      </c>
      <c r="H283">
        <v>21</v>
      </c>
      <c r="I283" s="1" t="s">
        <v>74</v>
      </c>
      <c r="J283">
        <v>1</v>
      </c>
      <c r="K283" t="str">
        <f>IF(Tb_data[[#This Row],[previous_workers]]&lt;Tb_data[[#This Row],[workers]],"yes","no")</f>
        <v>yes</v>
      </c>
      <c r="L283">
        <f>Tb_data[[#This Row],[workers]]-Tb_data[[#This Row],[previous_workers]]</f>
        <v>45</v>
      </c>
      <c r="M283" s="12">
        <f>Tb_data[[#This Row],[Employees Growth]]/Tb_data[[#This Row],[previous_workers]]</f>
        <v>2.1428571428571428</v>
      </c>
    </row>
    <row r="284" spans="1:13" x14ac:dyDescent="0.25">
      <c r="A284" s="1" t="s">
        <v>1744</v>
      </c>
      <c r="B284" s="1" t="s">
        <v>1745</v>
      </c>
      <c r="C284" s="1">
        <v>9200000</v>
      </c>
      <c r="D284" s="1" t="s">
        <v>179</v>
      </c>
      <c r="E284">
        <v>521.81870000000004</v>
      </c>
      <c r="F284" s="1" t="s">
        <v>34</v>
      </c>
      <c r="G284">
        <v>89</v>
      </c>
      <c r="H284">
        <v>17</v>
      </c>
      <c r="I284" s="1" t="s">
        <v>117</v>
      </c>
      <c r="J284">
        <v>2</v>
      </c>
      <c r="K284" t="str">
        <f>IF(Tb_data[[#This Row],[previous_workers]]&lt;Tb_data[[#This Row],[workers]],"yes","no")</f>
        <v>yes</v>
      </c>
      <c r="L284">
        <f>Tb_data[[#This Row],[workers]]-Tb_data[[#This Row],[previous_workers]]</f>
        <v>72</v>
      </c>
      <c r="M284" s="12">
        <f>Tb_data[[#This Row],[Employees Growth]]/Tb_data[[#This Row],[previous_workers]]</f>
        <v>4.2352941176470589</v>
      </c>
    </row>
    <row r="285" spans="1:13" x14ac:dyDescent="0.25">
      <c r="A285" s="1" t="s">
        <v>6875</v>
      </c>
      <c r="B285" s="1" t="s">
        <v>6876</v>
      </c>
      <c r="C285" s="1">
        <v>80100000</v>
      </c>
      <c r="D285" s="1" t="s">
        <v>49</v>
      </c>
      <c r="E285">
        <v>104.9806</v>
      </c>
      <c r="F285" s="1" t="s">
        <v>124</v>
      </c>
      <c r="G285">
        <v>40</v>
      </c>
      <c r="H285">
        <v>27</v>
      </c>
      <c r="I285" s="1" t="s">
        <v>295</v>
      </c>
      <c r="J285">
        <v>7</v>
      </c>
      <c r="K285" t="str">
        <f>IF(Tb_data[[#This Row],[previous_workers]]&lt;Tb_data[[#This Row],[workers]],"yes","no")</f>
        <v>yes</v>
      </c>
      <c r="L285">
        <f>Tb_data[[#This Row],[workers]]-Tb_data[[#This Row],[previous_workers]]</f>
        <v>13</v>
      </c>
      <c r="M285" s="12">
        <f>Tb_data[[#This Row],[Employees Growth]]/Tb_data[[#This Row],[previous_workers]]</f>
        <v>0.48148148148148145</v>
      </c>
    </row>
    <row r="286" spans="1:13" x14ac:dyDescent="0.25">
      <c r="A286" s="1" t="s">
        <v>98</v>
      </c>
      <c r="B286" s="1" t="s">
        <v>99</v>
      </c>
      <c r="C286" s="1">
        <v>7800000</v>
      </c>
      <c r="D286" s="1" t="s">
        <v>85</v>
      </c>
      <c r="E286">
        <v>7301.3353999999999</v>
      </c>
      <c r="F286" s="1" t="s">
        <v>100</v>
      </c>
      <c r="G286">
        <v>8</v>
      </c>
      <c r="H286">
        <v>1</v>
      </c>
      <c r="I286" s="1" t="s">
        <v>26</v>
      </c>
      <c r="J286">
        <v>2</v>
      </c>
      <c r="K286" t="str">
        <f>IF(Tb_data[[#This Row],[previous_workers]]&lt;Tb_data[[#This Row],[workers]],"yes","no")</f>
        <v>yes</v>
      </c>
      <c r="L286">
        <f>Tb_data[[#This Row],[workers]]-Tb_data[[#This Row],[previous_workers]]</f>
        <v>7</v>
      </c>
      <c r="M286" s="12">
        <f>Tb_data[[#This Row],[Employees Growth]]/Tb_data[[#This Row],[previous_workers]]</f>
        <v>7</v>
      </c>
    </row>
    <row r="287" spans="1:13" x14ac:dyDescent="0.25">
      <c r="A287" s="1" t="s">
        <v>4722</v>
      </c>
      <c r="B287" s="1" t="s">
        <v>4723</v>
      </c>
      <c r="C287" s="1">
        <v>3900000</v>
      </c>
      <c r="D287" s="1" t="s">
        <v>33</v>
      </c>
      <c r="E287">
        <v>173.874</v>
      </c>
      <c r="F287" s="1" t="s">
        <v>100</v>
      </c>
      <c r="G287">
        <v>31</v>
      </c>
      <c r="H287">
        <v>5</v>
      </c>
      <c r="I287" s="1" t="s">
        <v>295</v>
      </c>
      <c r="J287">
        <v>3</v>
      </c>
      <c r="K287" t="str">
        <f>IF(Tb_data[[#This Row],[previous_workers]]&lt;Tb_data[[#This Row],[workers]],"yes","no")</f>
        <v>yes</v>
      </c>
      <c r="L287">
        <f>Tb_data[[#This Row],[workers]]-Tb_data[[#This Row],[previous_workers]]</f>
        <v>26</v>
      </c>
      <c r="M287" s="12">
        <f>Tb_data[[#This Row],[Employees Growth]]/Tb_data[[#This Row],[previous_workers]]</f>
        <v>5.2</v>
      </c>
    </row>
    <row r="288" spans="1:13" x14ac:dyDescent="0.25">
      <c r="A288" s="1" t="s">
        <v>2961</v>
      </c>
      <c r="B288" s="1" t="s">
        <v>2962</v>
      </c>
      <c r="C288" s="1">
        <v>5900000</v>
      </c>
      <c r="D288" s="1" t="s">
        <v>49</v>
      </c>
      <c r="E288">
        <v>290.53930000000003</v>
      </c>
      <c r="F288" s="1" t="s">
        <v>116</v>
      </c>
      <c r="G288">
        <v>5</v>
      </c>
      <c r="H288">
        <v>2</v>
      </c>
      <c r="I288" s="1" t="s">
        <v>26</v>
      </c>
      <c r="J288">
        <v>1</v>
      </c>
      <c r="K288" t="str">
        <f>IF(Tb_data[[#This Row],[previous_workers]]&lt;Tb_data[[#This Row],[workers]],"yes","no")</f>
        <v>yes</v>
      </c>
      <c r="L288">
        <f>Tb_data[[#This Row],[workers]]-Tb_data[[#This Row],[previous_workers]]</f>
        <v>3</v>
      </c>
      <c r="M288" s="12">
        <f>Tb_data[[#This Row],[Employees Growth]]/Tb_data[[#This Row],[previous_workers]]</f>
        <v>1.5</v>
      </c>
    </row>
    <row r="289" spans="1:13" x14ac:dyDescent="0.25">
      <c r="A289" s="1" t="s">
        <v>4898</v>
      </c>
      <c r="B289" s="1" t="s">
        <v>4899</v>
      </c>
      <c r="C289" s="1">
        <v>2900000</v>
      </c>
      <c r="D289" s="1" t="s">
        <v>20</v>
      </c>
      <c r="E289">
        <v>165.96209999999999</v>
      </c>
      <c r="F289" s="1" t="s">
        <v>30</v>
      </c>
      <c r="G289">
        <v>7</v>
      </c>
      <c r="H289">
        <v>5</v>
      </c>
      <c r="I289" s="1" t="s">
        <v>1051</v>
      </c>
      <c r="J289">
        <v>2</v>
      </c>
      <c r="K289" t="str">
        <f>IF(Tb_data[[#This Row],[previous_workers]]&lt;Tb_data[[#This Row],[workers]],"yes","no")</f>
        <v>yes</v>
      </c>
      <c r="L289">
        <f>Tb_data[[#This Row],[workers]]-Tb_data[[#This Row],[previous_workers]]</f>
        <v>2</v>
      </c>
      <c r="M289" s="12">
        <f>Tb_data[[#This Row],[Employees Growth]]/Tb_data[[#This Row],[previous_workers]]</f>
        <v>0.4</v>
      </c>
    </row>
    <row r="290" spans="1:13" x14ac:dyDescent="0.25">
      <c r="A290" s="1" t="s">
        <v>3113</v>
      </c>
      <c r="B290" s="1" t="s">
        <v>3114</v>
      </c>
      <c r="C290" s="1">
        <v>52600000</v>
      </c>
      <c r="D290" s="1" t="s">
        <v>45</v>
      </c>
      <c r="E290">
        <v>276.18060000000003</v>
      </c>
      <c r="F290" s="1" t="s">
        <v>62</v>
      </c>
      <c r="G290">
        <v>500</v>
      </c>
      <c r="H290">
        <v>150</v>
      </c>
      <c r="I290" s="1" t="s">
        <v>147</v>
      </c>
      <c r="J290">
        <v>1</v>
      </c>
      <c r="K290" t="str">
        <f>IF(Tb_data[[#This Row],[previous_workers]]&lt;Tb_data[[#This Row],[workers]],"yes","no")</f>
        <v>yes</v>
      </c>
      <c r="L290">
        <f>Tb_data[[#This Row],[workers]]-Tb_data[[#This Row],[previous_workers]]</f>
        <v>350</v>
      </c>
      <c r="M290" s="12">
        <f>Tb_data[[#This Row],[Employees Growth]]/Tb_data[[#This Row],[previous_workers]]</f>
        <v>2.3333333333333335</v>
      </c>
    </row>
    <row r="291" spans="1:13" x14ac:dyDescent="0.25">
      <c r="A291" s="1" t="s">
        <v>2500</v>
      </c>
      <c r="B291" s="1" t="s">
        <v>2501</v>
      </c>
      <c r="C291" s="1">
        <v>12100000</v>
      </c>
      <c r="D291" s="1" t="s">
        <v>20</v>
      </c>
      <c r="E291">
        <v>348.29610000000002</v>
      </c>
      <c r="F291" s="1" t="s">
        <v>34</v>
      </c>
      <c r="G291">
        <v>18</v>
      </c>
      <c r="H291">
        <v>3</v>
      </c>
      <c r="I291" s="1" t="s">
        <v>13</v>
      </c>
      <c r="J291">
        <v>2</v>
      </c>
      <c r="K291" t="str">
        <f>IF(Tb_data[[#This Row],[previous_workers]]&lt;Tb_data[[#This Row],[workers]],"yes","no")</f>
        <v>yes</v>
      </c>
      <c r="L291">
        <f>Tb_data[[#This Row],[workers]]-Tb_data[[#This Row],[previous_workers]]</f>
        <v>15</v>
      </c>
      <c r="M291" s="12">
        <f>Tb_data[[#This Row],[Employees Growth]]/Tb_data[[#This Row],[previous_workers]]</f>
        <v>5</v>
      </c>
    </row>
    <row r="292" spans="1:13" x14ac:dyDescent="0.25">
      <c r="A292" s="1" t="s">
        <v>6769</v>
      </c>
      <c r="B292" s="1" t="s">
        <v>6770</v>
      </c>
      <c r="C292" s="1">
        <v>72800000</v>
      </c>
      <c r="D292" s="1" t="s">
        <v>41</v>
      </c>
      <c r="E292">
        <v>107.3082</v>
      </c>
      <c r="F292" s="1" t="s">
        <v>135</v>
      </c>
      <c r="G292">
        <v>836</v>
      </c>
      <c r="H292">
        <v>411</v>
      </c>
      <c r="I292" s="1" t="s">
        <v>147</v>
      </c>
      <c r="J292">
        <v>9</v>
      </c>
      <c r="K292" t="str">
        <f>IF(Tb_data[[#This Row],[previous_workers]]&lt;Tb_data[[#This Row],[workers]],"yes","no")</f>
        <v>yes</v>
      </c>
      <c r="L292">
        <f>Tb_data[[#This Row],[workers]]-Tb_data[[#This Row],[previous_workers]]</f>
        <v>425</v>
      </c>
      <c r="M292" s="12">
        <f>Tb_data[[#This Row],[Employees Growth]]/Tb_data[[#This Row],[previous_workers]]</f>
        <v>1.0340632603406326</v>
      </c>
    </row>
    <row r="293" spans="1:13" x14ac:dyDescent="0.25">
      <c r="A293" s="1" t="s">
        <v>2589</v>
      </c>
      <c r="B293" s="1" t="s">
        <v>2590</v>
      </c>
      <c r="C293" s="1">
        <v>2500000</v>
      </c>
      <c r="D293" s="1" t="s">
        <v>52</v>
      </c>
      <c r="E293">
        <v>333.16969999999998</v>
      </c>
      <c r="F293" s="1" t="s">
        <v>12</v>
      </c>
      <c r="G293">
        <v>20</v>
      </c>
      <c r="H293">
        <v>9</v>
      </c>
      <c r="I293" s="1" t="s">
        <v>26</v>
      </c>
      <c r="J293">
        <v>2</v>
      </c>
      <c r="K293" t="str">
        <f>IF(Tb_data[[#This Row],[previous_workers]]&lt;Tb_data[[#This Row],[workers]],"yes","no")</f>
        <v>yes</v>
      </c>
      <c r="L293">
        <f>Tb_data[[#This Row],[workers]]-Tb_data[[#This Row],[previous_workers]]</f>
        <v>11</v>
      </c>
      <c r="M293" s="12">
        <f>Tb_data[[#This Row],[Employees Growth]]/Tb_data[[#This Row],[previous_workers]]</f>
        <v>1.2222222222222223</v>
      </c>
    </row>
    <row r="294" spans="1:13" x14ac:dyDescent="0.25">
      <c r="A294" s="1" t="s">
        <v>7278</v>
      </c>
      <c r="B294" s="1" t="s">
        <v>7279</v>
      </c>
      <c r="C294" s="1">
        <v>2200000</v>
      </c>
      <c r="D294" s="1" t="s">
        <v>61</v>
      </c>
      <c r="E294">
        <v>97.41</v>
      </c>
      <c r="F294" s="1" t="s">
        <v>34</v>
      </c>
      <c r="G294">
        <v>68</v>
      </c>
      <c r="H294">
        <v>25</v>
      </c>
      <c r="I294" s="1" t="s">
        <v>948</v>
      </c>
      <c r="J294">
        <v>1</v>
      </c>
      <c r="K294" t="str">
        <f>IF(Tb_data[[#This Row],[previous_workers]]&lt;Tb_data[[#This Row],[workers]],"yes","no")</f>
        <v>yes</v>
      </c>
      <c r="L294">
        <f>Tb_data[[#This Row],[workers]]-Tb_data[[#This Row],[previous_workers]]</f>
        <v>43</v>
      </c>
      <c r="M294" s="12">
        <f>Tb_data[[#This Row],[Employees Growth]]/Tb_data[[#This Row],[previous_workers]]</f>
        <v>1.72</v>
      </c>
    </row>
    <row r="295" spans="1:13" x14ac:dyDescent="0.25">
      <c r="A295" s="1" t="s">
        <v>5080</v>
      </c>
      <c r="B295" s="1" t="s">
        <v>5081</v>
      </c>
      <c r="C295" s="1">
        <v>5400000</v>
      </c>
      <c r="D295" s="1" t="s">
        <v>20</v>
      </c>
      <c r="E295">
        <v>157.77189999999999</v>
      </c>
      <c r="F295" s="1" t="s">
        <v>124</v>
      </c>
      <c r="G295">
        <v>6</v>
      </c>
      <c r="H295">
        <v>1</v>
      </c>
      <c r="I295" s="1" t="s">
        <v>1768</v>
      </c>
      <c r="J295">
        <v>1</v>
      </c>
      <c r="K295" t="str">
        <f>IF(Tb_data[[#This Row],[previous_workers]]&lt;Tb_data[[#This Row],[workers]],"yes","no")</f>
        <v>yes</v>
      </c>
      <c r="L295">
        <f>Tb_data[[#This Row],[workers]]-Tb_data[[#This Row],[previous_workers]]</f>
        <v>5</v>
      </c>
      <c r="M295" s="12">
        <f>Tb_data[[#This Row],[Employees Growth]]/Tb_data[[#This Row],[previous_workers]]</f>
        <v>5</v>
      </c>
    </row>
    <row r="296" spans="1:13" x14ac:dyDescent="0.25">
      <c r="A296" s="1" t="s">
        <v>7913</v>
      </c>
      <c r="B296" s="1" t="s">
        <v>7914</v>
      </c>
      <c r="C296" s="1">
        <v>71000000</v>
      </c>
      <c r="D296" s="1" t="s">
        <v>20</v>
      </c>
      <c r="E296">
        <v>84.511099999999999</v>
      </c>
      <c r="F296" s="1" t="s">
        <v>30</v>
      </c>
      <c r="G296">
        <v>908</v>
      </c>
      <c r="H296">
        <v>530</v>
      </c>
      <c r="I296" s="1" t="s">
        <v>35</v>
      </c>
      <c r="J296">
        <v>2</v>
      </c>
      <c r="K296" t="str">
        <f>IF(Tb_data[[#This Row],[previous_workers]]&lt;Tb_data[[#This Row],[workers]],"yes","no")</f>
        <v>yes</v>
      </c>
      <c r="L296">
        <f>Tb_data[[#This Row],[workers]]-Tb_data[[#This Row],[previous_workers]]</f>
        <v>378</v>
      </c>
      <c r="M296" s="12">
        <f>Tb_data[[#This Row],[Employees Growth]]/Tb_data[[#This Row],[previous_workers]]</f>
        <v>0.71320754716981127</v>
      </c>
    </row>
    <row r="297" spans="1:13" x14ac:dyDescent="0.25">
      <c r="A297" s="1" t="s">
        <v>8051</v>
      </c>
      <c r="B297" s="1" t="s">
        <v>8052</v>
      </c>
      <c r="C297" s="1">
        <v>2900000</v>
      </c>
      <c r="D297" s="1" t="s">
        <v>49</v>
      </c>
      <c r="E297">
        <v>81.901399999999995</v>
      </c>
      <c r="F297" s="1" t="s">
        <v>176</v>
      </c>
      <c r="G297">
        <v>9</v>
      </c>
      <c r="H297">
        <v>5</v>
      </c>
      <c r="I297" s="1" t="s">
        <v>130</v>
      </c>
      <c r="J297">
        <v>2</v>
      </c>
      <c r="K297" t="str">
        <f>IF(Tb_data[[#This Row],[previous_workers]]&lt;Tb_data[[#This Row],[workers]],"yes","no")</f>
        <v>yes</v>
      </c>
      <c r="L297">
        <f>Tb_data[[#This Row],[workers]]-Tb_data[[#This Row],[previous_workers]]</f>
        <v>4</v>
      </c>
      <c r="M297" s="12">
        <f>Tb_data[[#This Row],[Employees Growth]]/Tb_data[[#This Row],[previous_workers]]</f>
        <v>0.8</v>
      </c>
    </row>
    <row r="298" spans="1:13" x14ac:dyDescent="0.25">
      <c r="A298" s="1" t="s">
        <v>8465</v>
      </c>
      <c r="B298" s="1" t="s">
        <v>8466</v>
      </c>
      <c r="C298" s="1">
        <v>23300000</v>
      </c>
      <c r="D298" s="1" t="s">
        <v>155</v>
      </c>
      <c r="E298">
        <v>74.761600000000001</v>
      </c>
      <c r="F298" s="1" t="s">
        <v>25</v>
      </c>
      <c r="G298">
        <v>32</v>
      </c>
      <c r="H298">
        <v>32</v>
      </c>
      <c r="I298" s="1" t="s">
        <v>2407</v>
      </c>
      <c r="J298">
        <v>3</v>
      </c>
      <c r="K298" t="str">
        <f>IF(Tb_data[[#This Row],[previous_workers]]&lt;Tb_data[[#This Row],[workers]],"yes","no")</f>
        <v>no</v>
      </c>
      <c r="L298">
        <f>Tb_data[[#This Row],[workers]]-Tb_data[[#This Row],[previous_workers]]</f>
        <v>0</v>
      </c>
      <c r="M298" s="12">
        <f>Tb_data[[#This Row],[Employees Growth]]/Tb_data[[#This Row],[previous_workers]]</f>
        <v>0</v>
      </c>
    </row>
    <row r="299" spans="1:13" x14ac:dyDescent="0.25">
      <c r="A299" s="1" t="s">
        <v>1620</v>
      </c>
      <c r="B299" s="1" t="s">
        <v>1621</v>
      </c>
      <c r="C299" s="1">
        <v>129600000</v>
      </c>
      <c r="D299" s="1" t="s">
        <v>49</v>
      </c>
      <c r="E299">
        <v>575.70500000000004</v>
      </c>
      <c r="F299" s="1" t="s">
        <v>62</v>
      </c>
      <c r="G299">
        <v>145</v>
      </c>
      <c r="H299">
        <v>108</v>
      </c>
      <c r="I299" s="1" t="s">
        <v>1622</v>
      </c>
      <c r="J299">
        <v>2</v>
      </c>
      <c r="K299" t="str">
        <f>IF(Tb_data[[#This Row],[previous_workers]]&lt;Tb_data[[#This Row],[workers]],"yes","no")</f>
        <v>yes</v>
      </c>
      <c r="L299">
        <f>Tb_data[[#This Row],[workers]]-Tb_data[[#This Row],[previous_workers]]</f>
        <v>37</v>
      </c>
      <c r="M299" s="12">
        <f>Tb_data[[#This Row],[Employees Growth]]/Tb_data[[#This Row],[previous_workers]]</f>
        <v>0.34259259259259262</v>
      </c>
    </row>
    <row r="300" spans="1:13" x14ac:dyDescent="0.25">
      <c r="A300" s="1" t="s">
        <v>65</v>
      </c>
      <c r="B300" s="1" t="s">
        <v>66</v>
      </c>
      <c r="C300" s="1">
        <v>10700000</v>
      </c>
      <c r="D300" s="1" t="s">
        <v>61</v>
      </c>
      <c r="E300">
        <v>9753.2009999999991</v>
      </c>
      <c r="F300" s="1" t="s">
        <v>12</v>
      </c>
      <c r="G300">
        <v>110</v>
      </c>
      <c r="H300">
        <v>3</v>
      </c>
      <c r="I300" s="1" t="s">
        <v>13</v>
      </c>
      <c r="J300">
        <v>1</v>
      </c>
      <c r="K300" t="str">
        <f>IF(Tb_data[[#This Row],[previous_workers]]&lt;Tb_data[[#This Row],[workers]],"yes","no")</f>
        <v>yes</v>
      </c>
      <c r="L300">
        <f>Tb_data[[#This Row],[workers]]-Tb_data[[#This Row],[previous_workers]]</f>
        <v>107</v>
      </c>
      <c r="M300" s="12">
        <f>Tb_data[[#This Row],[Employees Growth]]/Tb_data[[#This Row],[previous_workers]]</f>
        <v>35.666666666666664</v>
      </c>
    </row>
    <row r="301" spans="1:13" x14ac:dyDescent="0.25">
      <c r="A301" s="1" t="s">
        <v>1892</v>
      </c>
      <c r="B301" s="1" t="s">
        <v>1893</v>
      </c>
      <c r="C301" s="1">
        <v>2500000</v>
      </c>
      <c r="D301" s="1" t="s">
        <v>221</v>
      </c>
      <c r="E301">
        <v>476.03640000000001</v>
      </c>
      <c r="F301" s="1" t="s">
        <v>12</v>
      </c>
      <c r="G301">
        <v>19</v>
      </c>
      <c r="H301">
        <v>6</v>
      </c>
      <c r="I301" s="1" t="s">
        <v>55</v>
      </c>
      <c r="J301">
        <v>1</v>
      </c>
      <c r="K301" t="str">
        <f>IF(Tb_data[[#This Row],[previous_workers]]&lt;Tb_data[[#This Row],[workers]],"yes","no")</f>
        <v>yes</v>
      </c>
      <c r="L301">
        <f>Tb_data[[#This Row],[workers]]-Tb_data[[#This Row],[previous_workers]]</f>
        <v>13</v>
      </c>
      <c r="M301" s="12">
        <f>Tb_data[[#This Row],[Employees Growth]]/Tb_data[[#This Row],[previous_workers]]</f>
        <v>2.1666666666666665</v>
      </c>
    </row>
    <row r="302" spans="1:13" x14ac:dyDescent="0.25">
      <c r="A302" s="1" t="s">
        <v>5112</v>
      </c>
      <c r="B302" s="1" t="s">
        <v>5113</v>
      </c>
      <c r="C302" s="1">
        <v>18200000</v>
      </c>
      <c r="D302" s="1" t="s">
        <v>20</v>
      </c>
      <c r="E302">
        <v>157.10130000000001</v>
      </c>
      <c r="F302" s="1" t="s">
        <v>34</v>
      </c>
      <c r="G302">
        <v>30</v>
      </c>
      <c r="H302">
        <v>8</v>
      </c>
      <c r="I302" s="1" t="s">
        <v>117</v>
      </c>
      <c r="J302">
        <v>1</v>
      </c>
      <c r="K302" t="str">
        <f>IF(Tb_data[[#This Row],[previous_workers]]&lt;Tb_data[[#This Row],[workers]],"yes","no")</f>
        <v>yes</v>
      </c>
      <c r="L302">
        <f>Tb_data[[#This Row],[workers]]-Tb_data[[#This Row],[previous_workers]]</f>
        <v>22</v>
      </c>
      <c r="M302" s="12">
        <f>Tb_data[[#This Row],[Employees Growth]]/Tb_data[[#This Row],[previous_workers]]</f>
        <v>2.75</v>
      </c>
    </row>
    <row r="303" spans="1:13" x14ac:dyDescent="0.25">
      <c r="A303" s="1" t="s">
        <v>3003</v>
      </c>
      <c r="B303" s="1" t="s">
        <v>3004</v>
      </c>
      <c r="C303" s="1">
        <v>2400000</v>
      </c>
      <c r="D303" s="1" t="s">
        <v>2568</v>
      </c>
      <c r="E303">
        <v>286.72280000000001</v>
      </c>
      <c r="F303" s="1" t="s">
        <v>94</v>
      </c>
      <c r="G303">
        <v>27</v>
      </c>
      <c r="H303">
        <v>12</v>
      </c>
      <c r="I303" s="1" t="s">
        <v>26</v>
      </c>
      <c r="J303">
        <v>1</v>
      </c>
      <c r="K303" t="str">
        <f>IF(Tb_data[[#This Row],[previous_workers]]&lt;Tb_data[[#This Row],[workers]],"yes","no")</f>
        <v>yes</v>
      </c>
      <c r="L303">
        <f>Tb_data[[#This Row],[workers]]-Tb_data[[#This Row],[previous_workers]]</f>
        <v>15</v>
      </c>
      <c r="M303" s="12">
        <f>Tb_data[[#This Row],[Employees Growth]]/Tb_data[[#This Row],[previous_workers]]</f>
        <v>1.25</v>
      </c>
    </row>
    <row r="304" spans="1:13" x14ac:dyDescent="0.25">
      <c r="A304" s="1" t="s">
        <v>9688</v>
      </c>
      <c r="B304" s="1" t="s">
        <v>9689</v>
      </c>
      <c r="C304" s="1">
        <v>10200000</v>
      </c>
      <c r="D304" s="1" t="s">
        <v>29</v>
      </c>
      <c r="E304">
        <v>58.1526</v>
      </c>
      <c r="F304" s="1" t="s">
        <v>176</v>
      </c>
      <c r="G304">
        <v>70</v>
      </c>
      <c r="H304">
        <v>20</v>
      </c>
      <c r="I304" s="1" t="s">
        <v>26</v>
      </c>
      <c r="J304">
        <v>1</v>
      </c>
      <c r="K304" t="str">
        <f>IF(Tb_data[[#This Row],[previous_workers]]&lt;Tb_data[[#This Row],[workers]],"yes","no")</f>
        <v>yes</v>
      </c>
      <c r="L304">
        <f>Tb_data[[#This Row],[workers]]-Tb_data[[#This Row],[previous_workers]]</f>
        <v>50</v>
      </c>
      <c r="M304" s="12">
        <f>Tb_data[[#This Row],[Employees Growth]]/Tb_data[[#This Row],[previous_workers]]</f>
        <v>2.5</v>
      </c>
    </row>
    <row r="305" spans="1:13" x14ac:dyDescent="0.25">
      <c r="A305" s="1" t="s">
        <v>1019</v>
      </c>
      <c r="B305" s="1" t="s">
        <v>1020</v>
      </c>
      <c r="C305" s="1">
        <v>2800000</v>
      </c>
      <c r="D305" s="1" t="s">
        <v>1021</v>
      </c>
      <c r="E305">
        <v>980.62800000000004</v>
      </c>
      <c r="F305" s="1" t="s">
        <v>30</v>
      </c>
      <c r="G305">
        <v>6</v>
      </c>
      <c r="H305">
        <v>2</v>
      </c>
      <c r="I305" s="1" t="s">
        <v>13</v>
      </c>
      <c r="J305">
        <v>1</v>
      </c>
      <c r="K305" t="str">
        <f>IF(Tb_data[[#This Row],[previous_workers]]&lt;Tb_data[[#This Row],[workers]],"yes","no")</f>
        <v>yes</v>
      </c>
      <c r="L305">
        <f>Tb_data[[#This Row],[workers]]-Tb_data[[#This Row],[previous_workers]]</f>
        <v>4</v>
      </c>
      <c r="M305" s="12">
        <f>Tb_data[[#This Row],[Employees Growth]]/Tb_data[[#This Row],[previous_workers]]</f>
        <v>2</v>
      </c>
    </row>
    <row r="306" spans="1:13" x14ac:dyDescent="0.25">
      <c r="A306" s="1" t="s">
        <v>9219</v>
      </c>
      <c r="B306" s="1" t="s">
        <v>9220</v>
      </c>
      <c r="C306" s="1">
        <v>55600000</v>
      </c>
      <c r="D306" s="1" t="s">
        <v>20</v>
      </c>
      <c r="E306">
        <v>63.878599999999999</v>
      </c>
      <c r="F306" s="1" t="s">
        <v>124</v>
      </c>
      <c r="G306">
        <v>38</v>
      </c>
      <c r="H306">
        <v>17</v>
      </c>
      <c r="I306" s="1" t="s">
        <v>117</v>
      </c>
      <c r="J306">
        <v>2</v>
      </c>
      <c r="K306" t="str">
        <f>IF(Tb_data[[#This Row],[previous_workers]]&lt;Tb_data[[#This Row],[workers]],"yes","no")</f>
        <v>yes</v>
      </c>
      <c r="L306">
        <f>Tb_data[[#This Row],[workers]]-Tb_data[[#This Row],[previous_workers]]</f>
        <v>21</v>
      </c>
      <c r="M306" s="12">
        <f>Tb_data[[#This Row],[Employees Growth]]/Tb_data[[#This Row],[previous_workers]]</f>
        <v>1.2352941176470589</v>
      </c>
    </row>
    <row r="307" spans="1:13" x14ac:dyDescent="0.25">
      <c r="A307" s="1" t="s">
        <v>898</v>
      </c>
      <c r="B307" s="1" t="s">
        <v>899</v>
      </c>
      <c r="C307" s="1">
        <v>4100000</v>
      </c>
      <c r="D307" s="1" t="s">
        <v>49</v>
      </c>
      <c r="E307">
        <v>1135.5552</v>
      </c>
      <c r="F307" s="1" t="s">
        <v>176</v>
      </c>
      <c r="G307">
        <v>4</v>
      </c>
      <c r="H307">
        <v>1</v>
      </c>
      <c r="I307" s="1" t="s">
        <v>130</v>
      </c>
      <c r="J307">
        <v>1</v>
      </c>
      <c r="K307" t="str">
        <f>IF(Tb_data[[#This Row],[previous_workers]]&lt;Tb_data[[#This Row],[workers]],"yes","no")</f>
        <v>yes</v>
      </c>
      <c r="L307">
        <f>Tb_data[[#This Row],[workers]]-Tb_data[[#This Row],[previous_workers]]</f>
        <v>3</v>
      </c>
      <c r="M307" s="12">
        <f>Tb_data[[#This Row],[Employees Growth]]/Tb_data[[#This Row],[previous_workers]]</f>
        <v>3</v>
      </c>
    </row>
    <row r="308" spans="1:13" x14ac:dyDescent="0.25">
      <c r="A308" s="1" t="s">
        <v>9437</v>
      </c>
      <c r="B308" s="1" t="s">
        <v>9438</v>
      </c>
      <c r="C308" s="1">
        <v>18000000</v>
      </c>
      <c r="D308" s="1" t="s">
        <v>120</v>
      </c>
      <c r="E308">
        <v>60.944099999999999</v>
      </c>
      <c r="F308" s="1" t="s">
        <v>62</v>
      </c>
      <c r="G308">
        <v>70</v>
      </c>
      <c r="H308">
        <v>44</v>
      </c>
      <c r="I308" s="1" t="s">
        <v>1051</v>
      </c>
      <c r="J308">
        <v>2</v>
      </c>
      <c r="K308" t="str">
        <f>IF(Tb_data[[#This Row],[previous_workers]]&lt;Tb_data[[#This Row],[workers]],"yes","no")</f>
        <v>yes</v>
      </c>
      <c r="L308">
        <f>Tb_data[[#This Row],[workers]]-Tb_data[[#This Row],[previous_workers]]</f>
        <v>26</v>
      </c>
      <c r="M308" s="12">
        <f>Tb_data[[#This Row],[Employees Growth]]/Tb_data[[#This Row],[previous_workers]]</f>
        <v>0.59090909090909094</v>
      </c>
    </row>
    <row r="309" spans="1:13" x14ac:dyDescent="0.25">
      <c r="A309" s="1" t="s">
        <v>8121</v>
      </c>
      <c r="B309" s="1" t="s">
        <v>8122</v>
      </c>
      <c r="C309" s="1">
        <v>7200000</v>
      </c>
      <c r="D309" s="1" t="s">
        <v>179</v>
      </c>
      <c r="E309">
        <v>80.786600000000007</v>
      </c>
      <c r="F309" s="1" t="s">
        <v>86</v>
      </c>
      <c r="G309">
        <v>55</v>
      </c>
      <c r="H309">
        <v>41</v>
      </c>
      <c r="I309" s="1" t="s">
        <v>194</v>
      </c>
      <c r="J309">
        <v>3</v>
      </c>
      <c r="K309" t="str">
        <f>IF(Tb_data[[#This Row],[previous_workers]]&lt;Tb_data[[#This Row],[workers]],"yes","no")</f>
        <v>yes</v>
      </c>
      <c r="L309">
        <f>Tb_data[[#This Row],[workers]]-Tb_data[[#This Row],[previous_workers]]</f>
        <v>14</v>
      </c>
      <c r="M309" s="12">
        <f>Tb_data[[#This Row],[Employees Growth]]/Tb_data[[#This Row],[previous_workers]]</f>
        <v>0.34146341463414637</v>
      </c>
    </row>
    <row r="310" spans="1:13" x14ac:dyDescent="0.25">
      <c r="A310" s="1" t="s">
        <v>4884</v>
      </c>
      <c r="B310" s="1" t="s">
        <v>4885</v>
      </c>
      <c r="C310" s="1">
        <v>2200000</v>
      </c>
      <c r="D310" s="1" t="s">
        <v>1002</v>
      </c>
      <c r="E310">
        <v>166.6508</v>
      </c>
      <c r="F310" s="1" t="s">
        <v>34</v>
      </c>
      <c r="G310">
        <v>11</v>
      </c>
      <c r="H310">
        <v>8</v>
      </c>
      <c r="I310" s="1" t="s">
        <v>164</v>
      </c>
      <c r="J310">
        <v>2</v>
      </c>
      <c r="K310" t="str">
        <f>IF(Tb_data[[#This Row],[previous_workers]]&lt;Tb_data[[#This Row],[workers]],"yes","no")</f>
        <v>yes</v>
      </c>
      <c r="L310">
        <f>Tb_data[[#This Row],[workers]]-Tb_data[[#This Row],[previous_workers]]</f>
        <v>3</v>
      </c>
      <c r="M310" s="12">
        <f>Tb_data[[#This Row],[Employees Growth]]/Tb_data[[#This Row],[previous_workers]]</f>
        <v>0.375</v>
      </c>
    </row>
    <row r="311" spans="1:13" x14ac:dyDescent="0.25">
      <c r="A311" s="1" t="s">
        <v>6950</v>
      </c>
      <c r="B311" s="1" t="s">
        <v>6951</v>
      </c>
      <c r="C311" s="1">
        <v>7700000</v>
      </c>
      <c r="D311" s="1" t="s">
        <v>33</v>
      </c>
      <c r="E311">
        <v>102.7831</v>
      </c>
      <c r="F311" s="1" t="s">
        <v>172</v>
      </c>
      <c r="G311">
        <v>15</v>
      </c>
      <c r="H311">
        <v>6</v>
      </c>
      <c r="I311" s="1" t="s">
        <v>164</v>
      </c>
      <c r="J311">
        <v>4</v>
      </c>
      <c r="K311" t="str">
        <f>IF(Tb_data[[#This Row],[previous_workers]]&lt;Tb_data[[#This Row],[workers]],"yes","no")</f>
        <v>yes</v>
      </c>
      <c r="L311">
        <f>Tb_data[[#This Row],[workers]]-Tb_data[[#This Row],[previous_workers]]</f>
        <v>9</v>
      </c>
      <c r="M311" s="12">
        <f>Tb_data[[#This Row],[Employees Growth]]/Tb_data[[#This Row],[previous_workers]]</f>
        <v>1.5</v>
      </c>
    </row>
    <row r="312" spans="1:13" x14ac:dyDescent="0.25">
      <c r="A312" s="1" t="s">
        <v>1268</v>
      </c>
      <c r="B312" s="1" t="s">
        <v>1269</v>
      </c>
      <c r="C312" s="1">
        <v>21800000</v>
      </c>
      <c r="D312" s="1" t="s">
        <v>69</v>
      </c>
      <c r="E312">
        <v>758.47979999999995</v>
      </c>
      <c r="F312" s="1" t="s">
        <v>100</v>
      </c>
      <c r="G312">
        <v>22</v>
      </c>
      <c r="H312">
        <v>5</v>
      </c>
      <c r="I312" s="1" t="s">
        <v>13</v>
      </c>
      <c r="J312">
        <v>2</v>
      </c>
      <c r="K312" t="str">
        <f>IF(Tb_data[[#This Row],[previous_workers]]&lt;Tb_data[[#This Row],[workers]],"yes","no")</f>
        <v>yes</v>
      </c>
      <c r="L312">
        <f>Tb_data[[#This Row],[workers]]-Tb_data[[#This Row],[previous_workers]]</f>
        <v>17</v>
      </c>
      <c r="M312" s="12">
        <f>Tb_data[[#This Row],[Employees Growth]]/Tb_data[[#This Row],[previous_workers]]</f>
        <v>3.4</v>
      </c>
    </row>
    <row r="313" spans="1:13" x14ac:dyDescent="0.25">
      <c r="A313" s="1" t="s">
        <v>1278</v>
      </c>
      <c r="B313" s="1" t="s">
        <v>1279</v>
      </c>
      <c r="C313" s="1">
        <v>4100000</v>
      </c>
      <c r="D313" s="1" t="s">
        <v>627</v>
      </c>
      <c r="E313">
        <v>754.35900000000004</v>
      </c>
      <c r="F313" s="1" t="s">
        <v>25</v>
      </c>
      <c r="G313">
        <v>4</v>
      </c>
      <c r="H313">
        <v>2</v>
      </c>
      <c r="I313" s="1" t="s">
        <v>35</v>
      </c>
      <c r="J313">
        <v>2</v>
      </c>
      <c r="K313" t="str">
        <f>IF(Tb_data[[#This Row],[previous_workers]]&lt;Tb_data[[#This Row],[workers]],"yes","no")</f>
        <v>yes</v>
      </c>
      <c r="L313">
        <f>Tb_data[[#This Row],[workers]]-Tb_data[[#This Row],[previous_workers]]</f>
        <v>2</v>
      </c>
      <c r="M313" s="12">
        <f>Tb_data[[#This Row],[Employees Growth]]/Tb_data[[#This Row],[previous_workers]]</f>
        <v>1</v>
      </c>
    </row>
    <row r="314" spans="1:13" x14ac:dyDescent="0.25">
      <c r="A314" s="1" t="s">
        <v>9497</v>
      </c>
      <c r="B314" s="1" t="s">
        <v>9498</v>
      </c>
      <c r="C314" s="1">
        <v>4300000</v>
      </c>
      <c r="D314" s="1" t="s">
        <v>69</v>
      </c>
      <c r="E314">
        <v>60.386800000000001</v>
      </c>
      <c r="F314" s="1" t="s">
        <v>34</v>
      </c>
      <c r="G314">
        <v>36</v>
      </c>
      <c r="H314">
        <v>21</v>
      </c>
      <c r="I314" s="1" t="s">
        <v>194</v>
      </c>
      <c r="J314">
        <v>2</v>
      </c>
      <c r="K314" t="str">
        <f>IF(Tb_data[[#This Row],[previous_workers]]&lt;Tb_data[[#This Row],[workers]],"yes","no")</f>
        <v>yes</v>
      </c>
      <c r="L314">
        <f>Tb_data[[#This Row],[workers]]-Tb_data[[#This Row],[previous_workers]]</f>
        <v>15</v>
      </c>
      <c r="M314" s="12">
        <f>Tb_data[[#This Row],[Employees Growth]]/Tb_data[[#This Row],[previous_workers]]</f>
        <v>0.7142857142857143</v>
      </c>
    </row>
    <row r="315" spans="1:13" x14ac:dyDescent="0.25">
      <c r="A315" s="1" t="s">
        <v>5258</v>
      </c>
      <c r="B315" s="1" t="s">
        <v>5259</v>
      </c>
      <c r="C315" s="1">
        <v>4400000</v>
      </c>
      <c r="D315" s="1" t="s">
        <v>664</v>
      </c>
      <c r="E315">
        <v>151.4956</v>
      </c>
      <c r="F315" s="1" t="s">
        <v>124</v>
      </c>
      <c r="G315">
        <v>7</v>
      </c>
      <c r="H315">
        <v>3</v>
      </c>
      <c r="I315" s="1" t="s">
        <v>35</v>
      </c>
      <c r="J315">
        <v>1</v>
      </c>
      <c r="K315" t="str">
        <f>IF(Tb_data[[#This Row],[previous_workers]]&lt;Tb_data[[#This Row],[workers]],"yes","no")</f>
        <v>yes</v>
      </c>
      <c r="L315">
        <f>Tb_data[[#This Row],[workers]]-Tb_data[[#This Row],[previous_workers]]</f>
        <v>4</v>
      </c>
      <c r="M315" s="12">
        <f>Tb_data[[#This Row],[Employees Growth]]/Tb_data[[#This Row],[previous_workers]]</f>
        <v>1.3333333333333333</v>
      </c>
    </row>
    <row r="316" spans="1:13" x14ac:dyDescent="0.25">
      <c r="A316" s="1" t="s">
        <v>7825</v>
      </c>
      <c r="B316" s="1" t="s">
        <v>7826</v>
      </c>
      <c r="C316" s="1">
        <v>10900000</v>
      </c>
      <c r="D316" s="1" t="s">
        <v>33</v>
      </c>
      <c r="E316">
        <v>85.932199999999995</v>
      </c>
      <c r="F316" s="1" t="s">
        <v>142</v>
      </c>
      <c r="G316">
        <v>46</v>
      </c>
      <c r="H316">
        <v>27</v>
      </c>
      <c r="I316" s="1" t="s">
        <v>35</v>
      </c>
      <c r="J316">
        <v>2</v>
      </c>
      <c r="K316" t="str">
        <f>IF(Tb_data[[#This Row],[previous_workers]]&lt;Tb_data[[#This Row],[workers]],"yes","no")</f>
        <v>yes</v>
      </c>
      <c r="L316">
        <f>Tb_data[[#This Row],[workers]]-Tb_data[[#This Row],[previous_workers]]</f>
        <v>19</v>
      </c>
      <c r="M316" s="12">
        <f>Tb_data[[#This Row],[Employees Growth]]/Tb_data[[#This Row],[previous_workers]]</f>
        <v>0.70370370370370372</v>
      </c>
    </row>
    <row r="317" spans="1:13" x14ac:dyDescent="0.25">
      <c r="A317" s="1" t="s">
        <v>4953</v>
      </c>
      <c r="B317" s="1" t="s">
        <v>4954</v>
      </c>
      <c r="C317" s="1">
        <v>14600000</v>
      </c>
      <c r="D317" s="1" t="s">
        <v>422</v>
      </c>
      <c r="E317">
        <v>164.2011</v>
      </c>
      <c r="F317" s="1" t="s">
        <v>30</v>
      </c>
      <c r="G317">
        <v>17</v>
      </c>
      <c r="H317">
        <v>9</v>
      </c>
      <c r="I317" s="1" t="s">
        <v>74</v>
      </c>
      <c r="J317">
        <v>4</v>
      </c>
      <c r="K317" t="str">
        <f>IF(Tb_data[[#This Row],[previous_workers]]&lt;Tb_data[[#This Row],[workers]],"yes","no")</f>
        <v>yes</v>
      </c>
      <c r="L317">
        <f>Tb_data[[#This Row],[workers]]-Tb_data[[#This Row],[previous_workers]]</f>
        <v>8</v>
      </c>
      <c r="M317" s="12">
        <f>Tb_data[[#This Row],[Employees Growth]]/Tb_data[[#This Row],[previous_workers]]</f>
        <v>0.88888888888888884</v>
      </c>
    </row>
    <row r="318" spans="1:13" x14ac:dyDescent="0.25">
      <c r="A318" s="1" t="s">
        <v>2058</v>
      </c>
      <c r="B318" s="1" t="s">
        <v>2059</v>
      </c>
      <c r="C318" s="1">
        <v>10000000</v>
      </c>
      <c r="D318" s="1" t="s">
        <v>61</v>
      </c>
      <c r="E318">
        <v>436.58240000000001</v>
      </c>
      <c r="F318" s="1" t="s">
        <v>156</v>
      </c>
      <c r="G318">
        <v>10</v>
      </c>
      <c r="H318">
        <v>5</v>
      </c>
      <c r="I318" s="1" t="s">
        <v>130</v>
      </c>
      <c r="J318">
        <v>2</v>
      </c>
      <c r="K318" t="str">
        <f>IF(Tb_data[[#This Row],[previous_workers]]&lt;Tb_data[[#This Row],[workers]],"yes","no")</f>
        <v>yes</v>
      </c>
      <c r="L318">
        <f>Tb_data[[#This Row],[workers]]-Tb_data[[#This Row],[previous_workers]]</f>
        <v>5</v>
      </c>
      <c r="M318" s="12">
        <f>Tb_data[[#This Row],[Employees Growth]]/Tb_data[[#This Row],[previous_workers]]</f>
        <v>1</v>
      </c>
    </row>
    <row r="319" spans="1:13" x14ac:dyDescent="0.25">
      <c r="A319" s="1" t="s">
        <v>2318</v>
      </c>
      <c r="B319" s="1" t="s">
        <v>2319</v>
      </c>
      <c r="C319" s="1">
        <v>10300000</v>
      </c>
      <c r="D319" s="1" t="s">
        <v>58</v>
      </c>
      <c r="E319">
        <v>381.10180000000003</v>
      </c>
      <c r="F319" s="1" t="s">
        <v>124</v>
      </c>
      <c r="G319">
        <v>50</v>
      </c>
      <c r="H319">
        <v>19</v>
      </c>
      <c r="I319" s="1" t="s">
        <v>26</v>
      </c>
      <c r="J319">
        <v>2</v>
      </c>
      <c r="K319" t="str">
        <f>IF(Tb_data[[#This Row],[previous_workers]]&lt;Tb_data[[#This Row],[workers]],"yes","no")</f>
        <v>yes</v>
      </c>
      <c r="L319">
        <f>Tb_data[[#This Row],[workers]]-Tb_data[[#This Row],[previous_workers]]</f>
        <v>31</v>
      </c>
      <c r="M319" s="12">
        <f>Tb_data[[#This Row],[Employees Growth]]/Tb_data[[#This Row],[previous_workers]]</f>
        <v>1.631578947368421</v>
      </c>
    </row>
    <row r="320" spans="1:13" x14ac:dyDescent="0.25">
      <c r="A320" s="1" t="s">
        <v>3077</v>
      </c>
      <c r="B320" s="1" t="s">
        <v>3078</v>
      </c>
      <c r="C320" s="1">
        <v>29800000</v>
      </c>
      <c r="D320" s="1" t="s">
        <v>49</v>
      </c>
      <c r="E320">
        <v>279.50779999999997</v>
      </c>
      <c r="F320" s="1" t="s">
        <v>100</v>
      </c>
      <c r="G320">
        <v>71</v>
      </c>
      <c r="H320">
        <v>30</v>
      </c>
      <c r="I320" s="1" t="s">
        <v>35</v>
      </c>
      <c r="J320">
        <v>2</v>
      </c>
      <c r="K320" t="str">
        <f>IF(Tb_data[[#This Row],[previous_workers]]&lt;Tb_data[[#This Row],[workers]],"yes","no")</f>
        <v>yes</v>
      </c>
      <c r="L320">
        <f>Tb_data[[#This Row],[workers]]-Tb_data[[#This Row],[previous_workers]]</f>
        <v>41</v>
      </c>
      <c r="M320" s="12">
        <f>Tb_data[[#This Row],[Employees Growth]]/Tb_data[[#This Row],[previous_workers]]</f>
        <v>1.3666666666666667</v>
      </c>
    </row>
    <row r="321" spans="1:13" x14ac:dyDescent="0.25">
      <c r="A321" s="1" t="s">
        <v>1432</v>
      </c>
      <c r="B321" s="1" t="s">
        <v>1433</v>
      </c>
      <c r="C321" s="1">
        <v>17600000</v>
      </c>
      <c r="D321" s="1" t="s">
        <v>20</v>
      </c>
      <c r="E321">
        <v>656.01900000000001</v>
      </c>
      <c r="F321" s="1" t="s">
        <v>34</v>
      </c>
      <c r="G321">
        <v>150</v>
      </c>
      <c r="H321">
        <v>30</v>
      </c>
      <c r="I321" s="1" t="s">
        <v>26</v>
      </c>
      <c r="J321">
        <v>1</v>
      </c>
      <c r="K321" t="str">
        <f>IF(Tb_data[[#This Row],[previous_workers]]&lt;Tb_data[[#This Row],[workers]],"yes","no")</f>
        <v>yes</v>
      </c>
      <c r="L321">
        <f>Tb_data[[#This Row],[workers]]-Tb_data[[#This Row],[previous_workers]]</f>
        <v>120</v>
      </c>
      <c r="M321" s="12">
        <f>Tb_data[[#This Row],[Employees Growth]]/Tb_data[[#This Row],[previous_workers]]</f>
        <v>4</v>
      </c>
    </row>
    <row r="322" spans="1:13" x14ac:dyDescent="0.25">
      <c r="A322" s="1" t="s">
        <v>8478</v>
      </c>
      <c r="B322" s="1" t="s">
        <v>8479</v>
      </c>
      <c r="C322" s="1">
        <v>3800000</v>
      </c>
      <c r="D322" s="1" t="s">
        <v>427</v>
      </c>
      <c r="E322">
        <v>74.462299999999999</v>
      </c>
      <c r="F322" s="1" t="s">
        <v>124</v>
      </c>
      <c r="G322">
        <v>23</v>
      </c>
      <c r="H322">
        <v>16</v>
      </c>
      <c r="I322" s="1" t="s">
        <v>1622</v>
      </c>
      <c r="J322">
        <v>4</v>
      </c>
      <c r="K322" t="str">
        <f>IF(Tb_data[[#This Row],[previous_workers]]&lt;Tb_data[[#This Row],[workers]],"yes","no")</f>
        <v>yes</v>
      </c>
      <c r="L322">
        <f>Tb_data[[#This Row],[workers]]-Tb_data[[#This Row],[previous_workers]]</f>
        <v>7</v>
      </c>
      <c r="M322" s="12">
        <f>Tb_data[[#This Row],[Employees Growth]]/Tb_data[[#This Row],[previous_workers]]</f>
        <v>0.4375</v>
      </c>
    </row>
    <row r="323" spans="1:13" x14ac:dyDescent="0.25">
      <c r="A323" s="1" t="s">
        <v>4292</v>
      </c>
      <c r="B323" s="1" t="s">
        <v>4293</v>
      </c>
      <c r="C323" s="1">
        <v>5500000</v>
      </c>
      <c r="D323" s="1" t="s">
        <v>69</v>
      </c>
      <c r="E323">
        <v>191.2535</v>
      </c>
      <c r="F323" s="1" t="s">
        <v>124</v>
      </c>
      <c r="G323">
        <v>6</v>
      </c>
      <c r="H323">
        <v>2</v>
      </c>
      <c r="I323" s="1" t="s">
        <v>55</v>
      </c>
      <c r="J323">
        <v>1</v>
      </c>
      <c r="K323" t="str">
        <f>IF(Tb_data[[#This Row],[previous_workers]]&lt;Tb_data[[#This Row],[workers]],"yes","no")</f>
        <v>yes</v>
      </c>
      <c r="L323">
        <f>Tb_data[[#This Row],[workers]]-Tb_data[[#This Row],[previous_workers]]</f>
        <v>4</v>
      </c>
      <c r="M323" s="12">
        <f>Tb_data[[#This Row],[Employees Growth]]/Tb_data[[#This Row],[previous_workers]]</f>
        <v>2</v>
      </c>
    </row>
    <row r="324" spans="1:13" x14ac:dyDescent="0.25">
      <c r="A324" s="1" t="s">
        <v>7409</v>
      </c>
      <c r="B324" s="1" t="s">
        <v>7410</v>
      </c>
      <c r="C324" s="1">
        <v>8300000</v>
      </c>
      <c r="D324" s="1" t="s">
        <v>58</v>
      </c>
      <c r="E324">
        <v>95.155600000000007</v>
      </c>
      <c r="F324" s="1" t="s">
        <v>124</v>
      </c>
      <c r="G324">
        <v>35</v>
      </c>
      <c r="H324">
        <v>15</v>
      </c>
      <c r="I324" s="1" t="s">
        <v>46</v>
      </c>
      <c r="J324">
        <v>1</v>
      </c>
      <c r="K324" t="str">
        <f>IF(Tb_data[[#This Row],[previous_workers]]&lt;Tb_data[[#This Row],[workers]],"yes","no")</f>
        <v>yes</v>
      </c>
      <c r="L324">
        <f>Tb_data[[#This Row],[workers]]-Tb_data[[#This Row],[previous_workers]]</f>
        <v>20</v>
      </c>
      <c r="M324" s="12">
        <f>Tb_data[[#This Row],[Employees Growth]]/Tb_data[[#This Row],[previous_workers]]</f>
        <v>1.3333333333333333</v>
      </c>
    </row>
    <row r="325" spans="1:13" x14ac:dyDescent="0.25">
      <c r="A325" s="1" t="s">
        <v>9259</v>
      </c>
      <c r="B325" s="1" t="s">
        <v>9260</v>
      </c>
      <c r="C325" s="1">
        <v>10300000</v>
      </c>
      <c r="D325" s="1" t="s">
        <v>69</v>
      </c>
      <c r="E325">
        <v>63.287399999999998</v>
      </c>
      <c r="F325" s="1" t="s">
        <v>86</v>
      </c>
      <c r="G325">
        <v>56</v>
      </c>
      <c r="H325">
        <v>20</v>
      </c>
      <c r="I325" s="1" t="s">
        <v>46</v>
      </c>
      <c r="J325">
        <v>6</v>
      </c>
      <c r="K325" t="str">
        <f>IF(Tb_data[[#This Row],[previous_workers]]&lt;Tb_data[[#This Row],[workers]],"yes","no")</f>
        <v>yes</v>
      </c>
      <c r="L325">
        <f>Tb_data[[#This Row],[workers]]-Tb_data[[#This Row],[previous_workers]]</f>
        <v>36</v>
      </c>
      <c r="M325" s="12">
        <f>Tb_data[[#This Row],[Employees Growth]]/Tb_data[[#This Row],[previous_workers]]</f>
        <v>1.8</v>
      </c>
    </row>
    <row r="326" spans="1:13" x14ac:dyDescent="0.25">
      <c r="A326" s="1" t="s">
        <v>3775</v>
      </c>
      <c r="B326" s="1" t="s">
        <v>3776</v>
      </c>
      <c r="C326" s="1">
        <v>2100000</v>
      </c>
      <c r="D326" s="1" t="s">
        <v>427</v>
      </c>
      <c r="E326">
        <v>223.40469999999999</v>
      </c>
      <c r="F326" s="1" t="s">
        <v>156</v>
      </c>
      <c r="G326">
        <v>7</v>
      </c>
      <c r="H326">
        <v>3</v>
      </c>
      <c r="I326" s="1" t="s">
        <v>130</v>
      </c>
      <c r="J326">
        <v>1</v>
      </c>
      <c r="K326" t="str">
        <f>IF(Tb_data[[#This Row],[previous_workers]]&lt;Tb_data[[#This Row],[workers]],"yes","no")</f>
        <v>yes</v>
      </c>
      <c r="L326">
        <f>Tb_data[[#This Row],[workers]]-Tb_data[[#This Row],[previous_workers]]</f>
        <v>4</v>
      </c>
      <c r="M326" s="12">
        <f>Tb_data[[#This Row],[Employees Growth]]/Tb_data[[#This Row],[previous_workers]]</f>
        <v>1.3333333333333333</v>
      </c>
    </row>
    <row r="327" spans="1:13" x14ac:dyDescent="0.25">
      <c r="A327" s="1" t="s">
        <v>7885</v>
      </c>
      <c r="B327" s="1" t="s">
        <v>7886</v>
      </c>
      <c r="C327" s="1">
        <v>2400000</v>
      </c>
      <c r="D327" s="1" t="s">
        <v>49</v>
      </c>
      <c r="E327">
        <v>84.877499999999998</v>
      </c>
      <c r="F327" s="1" t="s">
        <v>34</v>
      </c>
      <c r="G327">
        <v>42</v>
      </c>
      <c r="H327">
        <v>14</v>
      </c>
      <c r="I327" s="1" t="s">
        <v>26</v>
      </c>
      <c r="J327">
        <v>1</v>
      </c>
      <c r="K327" t="str">
        <f>IF(Tb_data[[#This Row],[previous_workers]]&lt;Tb_data[[#This Row],[workers]],"yes","no")</f>
        <v>yes</v>
      </c>
      <c r="L327">
        <f>Tb_data[[#This Row],[workers]]-Tb_data[[#This Row],[previous_workers]]</f>
        <v>28</v>
      </c>
      <c r="M327" s="12">
        <f>Tb_data[[#This Row],[Employees Growth]]/Tb_data[[#This Row],[previous_workers]]</f>
        <v>2</v>
      </c>
    </row>
    <row r="328" spans="1:13" x14ac:dyDescent="0.25">
      <c r="A328" s="1" t="s">
        <v>6051</v>
      </c>
      <c r="B328" s="1" t="s">
        <v>6052</v>
      </c>
      <c r="C328" s="1">
        <v>16500000</v>
      </c>
      <c r="D328" s="1" t="s">
        <v>24</v>
      </c>
      <c r="E328">
        <v>125.5128</v>
      </c>
      <c r="F328" s="1" t="s">
        <v>124</v>
      </c>
      <c r="G328">
        <v>132</v>
      </c>
      <c r="H328">
        <v>35</v>
      </c>
      <c r="I328" s="1" t="s">
        <v>130</v>
      </c>
      <c r="J328">
        <v>1</v>
      </c>
      <c r="K328" t="str">
        <f>IF(Tb_data[[#This Row],[previous_workers]]&lt;Tb_data[[#This Row],[workers]],"yes","no")</f>
        <v>yes</v>
      </c>
      <c r="L328">
        <f>Tb_data[[#This Row],[workers]]-Tb_data[[#This Row],[previous_workers]]</f>
        <v>97</v>
      </c>
      <c r="M328" s="12">
        <f>Tb_data[[#This Row],[Employees Growth]]/Tb_data[[#This Row],[previous_workers]]</f>
        <v>2.7714285714285714</v>
      </c>
    </row>
    <row r="329" spans="1:13" x14ac:dyDescent="0.25">
      <c r="A329" s="1" t="s">
        <v>891</v>
      </c>
      <c r="B329" s="1" t="s">
        <v>892</v>
      </c>
      <c r="C329" s="1">
        <v>5400000</v>
      </c>
      <c r="D329" s="1" t="s">
        <v>254</v>
      </c>
      <c r="E329">
        <v>1141.9407000000001</v>
      </c>
      <c r="F329" s="1" t="s">
        <v>30</v>
      </c>
      <c r="G329">
        <v>5</v>
      </c>
      <c r="H329">
        <v>1</v>
      </c>
      <c r="I329" s="1" t="s">
        <v>26</v>
      </c>
      <c r="J329">
        <v>1</v>
      </c>
      <c r="K329" t="str">
        <f>IF(Tb_data[[#This Row],[previous_workers]]&lt;Tb_data[[#This Row],[workers]],"yes","no")</f>
        <v>yes</v>
      </c>
      <c r="L329">
        <f>Tb_data[[#This Row],[workers]]-Tb_data[[#This Row],[previous_workers]]</f>
        <v>4</v>
      </c>
      <c r="M329" s="12">
        <f>Tb_data[[#This Row],[Employees Growth]]/Tb_data[[#This Row],[previous_workers]]</f>
        <v>4</v>
      </c>
    </row>
    <row r="330" spans="1:13" x14ac:dyDescent="0.25">
      <c r="A330" s="1" t="s">
        <v>6873</v>
      </c>
      <c r="B330" s="1" t="s">
        <v>6874</v>
      </c>
      <c r="C330" s="1">
        <v>43900000</v>
      </c>
      <c r="D330" s="1" t="s">
        <v>49</v>
      </c>
      <c r="E330">
        <v>105.0909</v>
      </c>
      <c r="F330" s="1" t="s">
        <v>12</v>
      </c>
      <c r="G330">
        <v>35</v>
      </c>
      <c r="H330">
        <v>29</v>
      </c>
      <c r="I330" s="1" t="s">
        <v>468</v>
      </c>
      <c r="J330">
        <v>1</v>
      </c>
      <c r="K330" t="str">
        <f>IF(Tb_data[[#This Row],[previous_workers]]&lt;Tb_data[[#This Row],[workers]],"yes","no")</f>
        <v>yes</v>
      </c>
      <c r="L330">
        <f>Tb_data[[#This Row],[workers]]-Tb_data[[#This Row],[previous_workers]]</f>
        <v>6</v>
      </c>
      <c r="M330" s="12">
        <f>Tb_data[[#This Row],[Employees Growth]]/Tb_data[[#This Row],[previous_workers]]</f>
        <v>0.20689655172413793</v>
      </c>
    </row>
    <row r="331" spans="1:13" x14ac:dyDescent="0.25">
      <c r="A331" s="1" t="s">
        <v>1803</v>
      </c>
      <c r="B331" s="1" t="s">
        <v>1804</v>
      </c>
      <c r="C331" s="1">
        <v>4900000</v>
      </c>
      <c r="D331" s="1" t="s">
        <v>49</v>
      </c>
      <c r="E331">
        <v>500.60829999999999</v>
      </c>
      <c r="F331" s="1" t="s">
        <v>62</v>
      </c>
      <c r="G331">
        <v>42</v>
      </c>
      <c r="H331">
        <v>10</v>
      </c>
      <c r="I331" s="1" t="s">
        <v>26</v>
      </c>
      <c r="J331">
        <v>1</v>
      </c>
      <c r="K331" t="str">
        <f>IF(Tb_data[[#This Row],[previous_workers]]&lt;Tb_data[[#This Row],[workers]],"yes","no")</f>
        <v>yes</v>
      </c>
      <c r="L331">
        <f>Tb_data[[#This Row],[workers]]-Tb_data[[#This Row],[previous_workers]]</f>
        <v>32</v>
      </c>
      <c r="M331" s="12">
        <f>Tb_data[[#This Row],[Employees Growth]]/Tb_data[[#This Row],[previous_workers]]</f>
        <v>3.2</v>
      </c>
    </row>
    <row r="332" spans="1:13" x14ac:dyDescent="0.25">
      <c r="A332" s="1" t="s">
        <v>8544</v>
      </c>
      <c r="B332" s="1" t="s">
        <v>8545</v>
      </c>
      <c r="C332" s="1">
        <v>12300000</v>
      </c>
      <c r="D332" s="1" t="s">
        <v>91</v>
      </c>
      <c r="E332">
        <v>73.188599999999994</v>
      </c>
      <c r="F332" s="1" t="s">
        <v>161</v>
      </c>
      <c r="G332">
        <v>120</v>
      </c>
      <c r="H332">
        <v>62</v>
      </c>
      <c r="I332" s="1" t="s">
        <v>74</v>
      </c>
      <c r="J332">
        <v>7</v>
      </c>
      <c r="K332" t="str">
        <f>IF(Tb_data[[#This Row],[previous_workers]]&lt;Tb_data[[#This Row],[workers]],"yes","no")</f>
        <v>yes</v>
      </c>
      <c r="L332">
        <f>Tb_data[[#This Row],[workers]]-Tb_data[[#This Row],[previous_workers]]</f>
        <v>58</v>
      </c>
      <c r="M332" s="12">
        <f>Tb_data[[#This Row],[Employees Growth]]/Tb_data[[#This Row],[previous_workers]]</f>
        <v>0.93548387096774188</v>
      </c>
    </row>
    <row r="333" spans="1:13" x14ac:dyDescent="0.25">
      <c r="A333" s="1" t="s">
        <v>7292</v>
      </c>
      <c r="B333" s="1" t="s">
        <v>7293</v>
      </c>
      <c r="C333" s="1">
        <v>2500000</v>
      </c>
      <c r="D333" s="1" t="s">
        <v>61</v>
      </c>
      <c r="E333">
        <v>97.100800000000007</v>
      </c>
      <c r="F333" s="1" t="s">
        <v>12</v>
      </c>
      <c r="G333">
        <v>9</v>
      </c>
      <c r="H333">
        <v>5</v>
      </c>
      <c r="I333" s="1" t="s">
        <v>55</v>
      </c>
      <c r="J333">
        <v>1</v>
      </c>
      <c r="K333" t="str">
        <f>IF(Tb_data[[#This Row],[previous_workers]]&lt;Tb_data[[#This Row],[workers]],"yes","no")</f>
        <v>yes</v>
      </c>
      <c r="L333">
        <f>Tb_data[[#This Row],[workers]]-Tb_data[[#This Row],[previous_workers]]</f>
        <v>4</v>
      </c>
      <c r="M333" s="12">
        <f>Tb_data[[#This Row],[Employees Growth]]/Tb_data[[#This Row],[previous_workers]]</f>
        <v>0.8</v>
      </c>
    </row>
    <row r="334" spans="1:13" x14ac:dyDescent="0.25">
      <c r="A334" s="1" t="s">
        <v>2148</v>
      </c>
      <c r="B334" s="1" t="s">
        <v>2150</v>
      </c>
      <c r="C334" s="1">
        <v>2300000</v>
      </c>
      <c r="D334" s="1" t="s">
        <v>129</v>
      </c>
      <c r="E334">
        <v>413.33839999999998</v>
      </c>
      <c r="F334" s="1" t="s">
        <v>97</v>
      </c>
      <c r="G334">
        <v>25</v>
      </c>
      <c r="H334">
        <v>5</v>
      </c>
      <c r="I334" s="1" t="s">
        <v>164</v>
      </c>
      <c r="J334">
        <v>1</v>
      </c>
      <c r="K334" t="str">
        <f>IF(Tb_data[[#This Row],[previous_workers]]&lt;Tb_data[[#This Row],[workers]],"yes","no")</f>
        <v>yes</v>
      </c>
      <c r="L334">
        <f>Tb_data[[#This Row],[workers]]-Tb_data[[#This Row],[previous_workers]]</f>
        <v>20</v>
      </c>
      <c r="M334" s="12">
        <f>Tb_data[[#This Row],[Employees Growth]]/Tb_data[[#This Row],[previous_workers]]</f>
        <v>4</v>
      </c>
    </row>
    <row r="335" spans="1:13" x14ac:dyDescent="0.25">
      <c r="A335" s="1" t="s">
        <v>8301</v>
      </c>
      <c r="B335" s="1" t="s">
        <v>8302</v>
      </c>
      <c r="C335" s="1">
        <v>2900000</v>
      </c>
      <c r="D335" s="1" t="s">
        <v>29</v>
      </c>
      <c r="E335">
        <v>77.638099999999994</v>
      </c>
      <c r="F335" s="1" t="s">
        <v>310</v>
      </c>
      <c r="G335">
        <v>20</v>
      </c>
      <c r="H335">
        <v>11</v>
      </c>
      <c r="I335" s="1" t="s">
        <v>2407</v>
      </c>
      <c r="J335">
        <v>2</v>
      </c>
      <c r="K335" t="str">
        <f>IF(Tb_data[[#This Row],[previous_workers]]&lt;Tb_data[[#This Row],[workers]],"yes","no")</f>
        <v>yes</v>
      </c>
      <c r="L335">
        <f>Tb_data[[#This Row],[workers]]-Tb_data[[#This Row],[previous_workers]]</f>
        <v>9</v>
      </c>
      <c r="M335" s="12">
        <f>Tb_data[[#This Row],[Employees Growth]]/Tb_data[[#This Row],[previous_workers]]</f>
        <v>0.81818181818181823</v>
      </c>
    </row>
    <row r="336" spans="1:13" x14ac:dyDescent="0.25">
      <c r="A336" s="1" t="s">
        <v>9570</v>
      </c>
      <c r="B336" s="1" t="s">
        <v>9571</v>
      </c>
      <c r="C336" s="1">
        <v>91800000</v>
      </c>
      <c r="D336" s="1" t="s">
        <v>123</v>
      </c>
      <c r="E336">
        <v>59.477899999999998</v>
      </c>
      <c r="F336" s="1" t="s">
        <v>176</v>
      </c>
      <c r="G336">
        <v>401</v>
      </c>
      <c r="H336">
        <v>241</v>
      </c>
      <c r="I336" s="1" t="s">
        <v>2407</v>
      </c>
      <c r="J336">
        <v>1</v>
      </c>
      <c r="K336" t="str">
        <f>IF(Tb_data[[#This Row],[previous_workers]]&lt;Tb_data[[#This Row],[workers]],"yes","no")</f>
        <v>yes</v>
      </c>
      <c r="L336">
        <f>Tb_data[[#This Row],[workers]]-Tb_data[[#This Row],[previous_workers]]</f>
        <v>160</v>
      </c>
      <c r="M336" s="12">
        <f>Tb_data[[#This Row],[Employees Growth]]/Tb_data[[#This Row],[previous_workers]]</f>
        <v>0.66390041493775931</v>
      </c>
    </row>
    <row r="337" spans="1:13" x14ac:dyDescent="0.25">
      <c r="A337" s="1" t="s">
        <v>3829</v>
      </c>
      <c r="B337" s="1" t="s">
        <v>3830</v>
      </c>
      <c r="C337" s="1">
        <v>4600000</v>
      </c>
      <c r="D337" s="1" t="s">
        <v>69</v>
      </c>
      <c r="E337">
        <v>219.35890000000001</v>
      </c>
      <c r="F337" s="1" t="s">
        <v>156</v>
      </c>
      <c r="G337">
        <v>38</v>
      </c>
      <c r="H337">
        <v>13</v>
      </c>
      <c r="I337" s="1" t="s">
        <v>117</v>
      </c>
      <c r="J337">
        <v>3</v>
      </c>
      <c r="K337" t="str">
        <f>IF(Tb_data[[#This Row],[previous_workers]]&lt;Tb_data[[#This Row],[workers]],"yes","no")</f>
        <v>yes</v>
      </c>
      <c r="L337">
        <f>Tb_data[[#This Row],[workers]]-Tb_data[[#This Row],[previous_workers]]</f>
        <v>25</v>
      </c>
      <c r="M337" s="12">
        <f>Tb_data[[#This Row],[Employees Growth]]/Tb_data[[#This Row],[previous_workers]]</f>
        <v>1.9230769230769231</v>
      </c>
    </row>
    <row r="338" spans="1:13" x14ac:dyDescent="0.25">
      <c r="A338" s="1" t="s">
        <v>5640</v>
      </c>
      <c r="B338" s="1" t="s">
        <v>5641</v>
      </c>
      <c r="C338" s="1">
        <v>27100000</v>
      </c>
      <c r="D338" s="1" t="s">
        <v>129</v>
      </c>
      <c r="E338">
        <v>136.33840000000001</v>
      </c>
      <c r="F338" s="1" t="s">
        <v>97</v>
      </c>
      <c r="G338">
        <v>16</v>
      </c>
      <c r="H338">
        <v>10</v>
      </c>
      <c r="I338" s="1" t="s">
        <v>1051</v>
      </c>
      <c r="J338">
        <v>2</v>
      </c>
      <c r="K338" t="str">
        <f>IF(Tb_data[[#This Row],[previous_workers]]&lt;Tb_data[[#This Row],[workers]],"yes","no")</f>
        <v>yes</v>
      </c>
      <c r="L338">
        <f>Tb_data[[#This Row],[workers]]-Tb_data[[#This Row],[previous_workers]]</f>
        <v>6</v>
      </c>
      <c r="M338" s="12">
        <f>Tb_data[[#This Row],[Employees Growth]]/Tb_data[[#This Row],[previous_workers]]</f>
        <v>0.6</v>
      </c>
    </row>
    <row r="339" spans="1:13" x14ac:dyDescent="0.25">
      <c r="A339" s="1" t="s">
        <v>8649</v>
      </c>
      <c r="B339" s="1" t="s">
        <v>8650</v>
      </c>
      <c r="C339" s="1">
        <v>11900000</v>
      </c>
      <c r="D339" s="1" t="s">
        <v>41</v>
      </c>
      <c r="E339">
        <v>71.6785</v>
      </c>
      <c r="F339" s="1" t="s">
        <v>97</v>
      </c>
      <c r="G339">
        <v>113</v>
      </c>
      <c r="H339">
        <v>44</v>
      </c>
      <c r="I339" s="1" t="s">
        <v>35</v>
      </c>
      <c r="J339">
        <v>2</v>
      </c>
      <c r="K339" t="str">
        <f>IF(Tb_data[[#This Row],[previous_workers]]&lt;Tb_data[[#This Row],[workers]],"yes","no")</f>
        <v>yes</v>
      </c>
      <c r="L339">
        <f>Tb_data[[#This Row],[workers]]-Tb_data[[#This Row],[previous_workers]]</f>
        <v>69</v>
      </c>
      <c r="M339" s="12">
        <f>Tb_data[[#This Row],[Employees Growth]]/Tb_data[[#This Row],[previous_workers]]</f>
        <v>1.5681818181818181</v>
      </c>
    </row>
    <row r="340" spans="1:13" x14ac:dyDescent="0.25">
      <c r="A340" s="1" t="s">
        <v>5630</v>
      </c>
      <c r="B340" s="1" t="s">
        <v>5631</v>
      </c>
      <c r="C340" s="1">
        <v>19400000</v>
      </c>
      <c r="D340" s="1" t="s">
        <v>115</v>
      </c>
      <c r="E340">
        <v>136.76990000000001</v>
      </c>
      <c r="F340" s="1" t="s">
        <v>82</v>
      </c>
      <c r="G340">
        <v>13</v>
      </c>
      <c r="H340">
        <v>5</v>
      </c>
      <c r="I340" s="1" t="s">
        <v>46</v>
      </c>
      <c r="J340">
        <v>1</v>
      </c>
      <c r="K340" t="str">
        <f>IF(Tb_data[[#This Row],[previous_workers]]&lt;Tb_data[[#This Row],[workers]],"yes","no")</f>
        <v>yes</v>
      </c>
      <c r="L340">
        <f>Tb_data[[#This Row],[workers]]-Tb_data[[#This Row],[previous_workers]]</f>
        <v>8</v>
      </c>
      <c r="M340" s="12">
        <f>Tb_data[[#This Row],[Employees Growth]]/Tb_data[[#This Row],[previous_workers]]</f>
        <v>1.6</v>
      </c>
    </row>
    <row r="341" spans="1:13" x14ac:dyDescent="0.25">
      <c r="A341" s="1" t="s">
        <v>6765</v>
      </c>
      <c r="B341" s="1" t="s">
        <v>6766</v>
      </c>
      <c r="C341" s="1">
        <v>29300000</v>
      </c>
      <c r="D341" s="1" t="s">
        <v>115</v>
      </c>
      <c r="E341">
        <v>107.3775</v>
      </c>
      <c r="F341" s="1" t="s">
        <v>100</v>
      </c>
      <c r="G341">
        <v>150</v>
      </c>
      <c r="H341">
        <v>70</v>
      </c>
      <c r="I341" s="1" t="s">
        <v>194</v>
      </c>
      <c r="J341">
        <v>4</v>
      </c>
      <c r="K341" t="str">
        <f>IF(Tb_data[[#This Row],[previous_workers]]&lt;Tb_data[[#This Row],[workers]],"yes","no")</f>
        <v>yes</v>
      </c>
      <c r="L341">
        <f>Tb_data[[#This Row],[workers]]-Tb_data[[#This Row],[previous_workers]]</f>
        <v>80</v>
      </c>
      <c r="M341" s="12">
        <f>Tb_data[[#This Row],[Employees Growth]]/Tb_data[[#This Row],[previous_workers]]</f>
        <v>1.1428571428571428</v>
      </c>
    </row>
    <row r="342" spans="1:13" x14ac:dyDescent="0.25">
      <c r="A342" s="1" t="s">
        <v>5526</v>
      </c>
      <c r="B342" s="1" t="s">
        <v>5527</v>
      </c>
      <c r="C342" s="1">
        <v>27700000</v>
      </c>
      <c r="D342" s="1" t="s">
        <v>375</v>
      </c>
      <c r="E342">
        <v>141.64070000000001</v>
      </c>
      <c r="F342" s="1" t="s">
        <v>62</v>
      </c>
      <c r="G342">
        <v>22</v>
      </c>
      <c r="H342">
        <v>14</v>
      </c>
      <c r="I342" s="1" t="s">
        <v>35</v>
      </c>
      <c r="J342">
        <v>2</v>
      </c>
      <c r="K342" t="str">
        <f>IF(Tb_data[[#This Row],[previous_workers]]&lt;Tb_data[[#This Row],[workers]],"yes","no")</f>
        <v>yes</v>
      </c>
      <c r="L342">
        <f>Tb_data[[#This Row],[workers]]-Tb_data[[#This Row],[previous_workers]]</f>
        <v>8</v>
      </c>
      <c r="M342" s="12">
        <f>Tb_data[[#This Row],[Employees Growth]]/Tb_data[[#This Row],[previous_workers]]</f>
        <v>0.5714285714285714</v>
      </c>
    </row>
    <row r="343" spans="1:13" x14ac:dyDescent="0.25">
      <c r="A343" s="1" t="s">
        <v>5218</v>
      </c>
      <c r="B343" s="1" t="s">
        <v>5219</v>
      </c>
      <c r="C343" s="1">
        <v>16300000</v>
      </c>
      <c r="D343" s="1" t="s">
        <v>123</v>
      </c>
      <c r="E343">
        <v>152.9066</v>
      </c>
      <c r="F343" s="1" t="s">
        <v>135</v>
      </c>
      <c r="G343">
        <v>145</v>
      </c>
      <c r="H343">
        <v>43</v>
      </c>
      <c r="I343" s="1" t="s">
        <v>117</v>
      </c>
      <c r="J343">
        <v>4</v>
      </c>
      <c r="K343" t="str">
        <f>IF(Tb_data[[#This Row],[previous_workers]]&lt;Tb_data[[#This Row],[workers]],"yes","no")</f>
        <v>yes</v>
      </c>
      <c r="L343">
        <f>Tb_data[[#This Row],[workers]]-Tb_data[[#This Row],[previous_workers]]</f>
        <v>102</v>
      </c>
      <c r="M343" s="12">
        <f>Tb_data[[#This Row],[Employees Growth]]/Tb_data[[#This Row],[previous_workers]]</f>
        <v>2.3720930232558142</v>
      </c>
    </row>
    <row r="344" spans="1:13" x14ac:dyDescent="0.25">
      <c r="A344" s="1" t="s">
        <v>1564</v>
      </c>
      <c r="B344" s="1" t="s">
        <v>1565</v>
      </c>
      <c r="C344" s="1">
        <v>92700000</v>
      </c>
      <c r="D344" s="1" t="s">
        <v>49</v>
      </c>
      <c r="E344">
        <v>599.39670000000001</v>
      </c>
      <c r="F344" s="1" t="s">
        <v>86</v>
      </c>
      <c r="G344">
        <v>493</v>
      </c>
      <c r="H344">
        <v>161</v>
      </c>
      <c r="I344" s="1" t="s">
        <v>164</v>
      </c>
      <c r="J344">
        <v>1</v>
      </c>
      <c r="K344" t="str">
        <f>IF(Tb_data[[#This Row],[previous_workers]]&lt;Tb_data[[#This Row],[workers]],"yes","no")</f>
        <v>yes</v>
      </c>
      <c r="L344">
        <f>Tb_data[[#This Row],[workers]]-Tb_data[[#This Row],[previous_workers]]</f>
        <v>332</v>
      </c>
      <c r="M344" s="12">
        <f>Tb_data[[#This Row],[Employees Growth]]/Tb_data[[#This Row],[previous_workers]]</f>
        <v>2.0621118012422359</v>
      </c>
    </row>
    <row r="345" spans="1:13" x14ac:dyDescent="0.25">
      <c r="A345" s="1" t="s">
        <v>2128</v>
      </c>
      <c r="B345" s="1" t="s">
        <v>2129</v>
      </c>
      <c r="C345" s="1">
        <v>21500000</v>
      </c>
      <c r="D345" s="1" t="s">
        <v>20</v>
      </c>
      <c r="E345">
        <v>418.7937</v>
      </c>
      <c r="F345" s="1" t="s">
        <v>176</v>
      </c>
      <c r="G345">
        <v>81</v>
      </c>
      <c r="H345">
        <v>19</v>
      </c>
      <c r="I345" s="1" t="s">
        <v>26</v>
      </c>
      <c r="J345">
        <v>1</v>
      </c>
      <c r="K345" t="str">
        <f>IF(Tb_data[[#This Row],[previous_workers]]&lt;Tb_data[[#This Row],[workers]],"yes","no")</f>
        <v>yes</v>
      </c>
      <c r="L345">
        <f>Tb_data[[#This Row],[workers]]-Tb_data[[#This Row],[previous_workers]]</f>
        <v>62</v>
      </c>
      <c r="M345" s="12">
        <f>Tb_data[[#This Row],[Employees Growth]]/Tb_data[[#This Row],[previous_workers]]</f>
        <v>3.263157894736842</v>
      </c>
    </row>
    <row r="346" spans="1:13" x14ac:dyDescent="0.25">
      <c r="A346" s="1" t="s">
        <v>5694</v>
      </c>
      <c r="B346" s="1" t="s">
        <v>5695</v>
      </c>
      <c r="C346" s="1">
        <v>3000000</v>
      </c>
      <c r="D346" s="1" t="s">
        <v>61</v>
      </c>
      <c r="E346">
        <v>134.5359</v>
      </c>
      <c r="F346" s="1" t="s">
        <v>12</v>
      </c>
      <c r="G346">
        <v>14</v>
      </c>
      <c r="H346">
        <v>2</v>
      </c>
      <c r="I346" s="1" t="s">
        <v>295</v>
      </c>
      <c r="J346">
        <v>2</v>
      </c>
      <c r="K346" t="str">
        <f>IF(Tb_data[[#This Row],[previous_workers]]&lt;Tb_data[[#This Row],[workers]],"yes","no")</f>
        <v>yes</v>
      </c>
      <c r="L346">
        <f>Tb_data[[#This Row],[workers]]-Tb_data[[#This Row],[previous_workers]]</f>
        <v>12</v>
      </c>
      <c r="M346" s="12">
        <f>Tb_data[[#This Row],[Employees Growth]]/Tb_data[[#This Row],[previous_workers]]</f>
        <v>6</v>
      </c>
    </row>
    <row r="347" spans="1:13" x14ac:dyDescent="0.25">
      <c r="A347" s="1" t="s">
        <v>4125</v>
      </c>
      <c r="B347" s="1" t="s">
        <v>4126</v>
      </c>
      <c r="C347" s="1">
        <v>6500000</v>
      </c>
      <c r="D347" s="1" t="s">
        <v>52</v>
      </c>
      <c r="E347">
        <v>199.1208</v>
      </c>
      <c r="F347" s="1" t="s">
        <v>86</v>
      </c>
      <c r="G347">
        <v>75</v>
      </c>
      <c r="H347">
        <v>52</v>
      </c>
      <c r="I347" s="1" t="s">
        <v>130</v>
      </c>
      <c r="J347">
        <v>4</v>
      </c>
      <c r="K347" t="str">
        <f>IF(Tb_data[[#This Row],[previous_workers]]&lt;Tb_data[[#This Row],[workers]],"yes","no")</f>
        <v>yes</v>
      </c>
      <c r="L347">
        <f>Tb_data[[#This Row],[workers]]-Tb_data[[#This Row],[previous_workers]]</f>
        <v>23</v>
      </c>
      <c r="M347" s="12">
        <f>Tb_data[[#This Row],[Employees Growth]]/Tb_data[[#This Row],[previous_workers]]</f>
        <v>0.44230769230769229</v>
      </c>
    </row>
    <row r="348" spans="1:13" x14ac:dyDescent="0.25">
      <c r="A348" s="1" t="s">
        <v>6247</v>
      </c>
      <c r="B348" s="1" t="s">
        <v>6248</v>
      </c>
      <c r="C348" s="1">
        <v>2600000</v>
      </c>
      <c r="D348" s="1" t="s">
        <v>91</v>
      </c>
      <c r="E348">
        <v>120.33199999999999</v>
      </c>
      <c r="F348" s="1" t="s">
        <v>176</v>
      </c>
      <c r="G348">
        <v>27</v>
      </c>
      <c r="H348">
        <v>9</v>
      </c>
      <c r="I348" s="1" t="s">
        <v>26</v>
      </c>
      <c r="J348">
        <v>1</v>
      </c>
      <c r="K348" t="str">
        <f>IF(Tb_data[[#This Row],[previous_workers]]&lt;Tb_data[[#This Row],[workers]],"yes","no")</f>
        <v>yes</v>
      </c>
      <c r="L348">
        <f>Tb_data[[#This Row],[workers]]-Tb_data[[#This Row],[previous_workers]]</f>
        <v>18</v>
      </c>
      <c r="M348" s="12">
        <f>Tb_data[[#This Row],[Employees Growth]]/Tb_data[[#This Row],[previous_workers]]</f>
        <v>2</v>
      </c>
    </row>
    <row r="349" spans="1:13" x14ac:dyDescent="0.25">
      <c r="A349" s="1" t="s">
        <v>6723</v>
      </c>
      <c r="B349" s="1" t="s">
        <v>6724</v>
      </c>
      <c r="C349" s="1">
        <v>53600000</v>
      </c>
      <c r="D349" s="1" t="s">
        <v>179</v>
      </c>
      <c r="E349">
        <v>108.6036</v>
      </c>
      <c r="F349" s="1" t="s">
        <v>156</v>
      </c>
      <c r="G349">
        <v>97</v>
      </c>
      <c r="H349">
        <v>33</v>
      </c>
      <c r="I349" s="1" t="s">
        <v>164</v>
      </c>
      <c r="J349">
        <v>4</v>
      </c>
      <c r="K349" t="str">
        <f>IF(Tb_data[[#This Row],[previous_workers]]&lt;Tb_data[[#This Row],[workers]],"yes","no")</f>
        <v>yes</v>
      </c>
      <c r="L349">
        <f>Tb_data[[#This Row],[workers]]-Tb_data[[#This Row],[previous_workers]]</f>
        <v>64</v>
      </c>
      <c r="M349" s="12">
        <f>Tb_data[[#This Row],[Employees Growth]]/Tb_data[[#This Row],[previous_workers]]</f>
        <v>1.9393939393939394</v>
      </c>
    </row>
    <row r="350" spans="1:13" x14ac:dyDescent="0.25">
      <c r="A350" s="1" t="s">
        <v>6093</v>
      </c>
      <c r="B350" s="1" t="s">
        <v>6094</v>
      </c>
      <c r="C350" s="1">
        <v>4500000</v>
      </c>
      <c r="D350" s="1" t="s">
        <v>1557</v>
      </c>
      <c r="E350">
        <v>123.9907</v>
      </c>
      <c r="F350" s="1" t="s">
        <v>156</v>
      </c>
      <c r="G350">
        <v>30</v>
      </c>
      <c r="H350">
        <v>19</v>
      </c>
      <c r="I350" s="1" t="s">
        <v>35</v>
      </c>
      <c r="J350">
        <v>1</v>
      </c>
      <c r="K350" t="str">
        <f>IF(Tb_data[[#This Row],[previous_workers]]&lt;Tb_data[[#This Row],[workers]],"yes","no")</f>
        <v>yes</v>
      </c>
      <c r="L350">
        <f>Tb_data[[#This Row],[workers]]-Tb_data[[#This Row],[previous_workers]]</f>
        <v>11</v>
      </c>
      <c r="M350" s="12">
        <f>Tb_data[[#This Row],[Employees Growth]]/Tb_data[[#This Row],[previous_workers]]</f>
        <v>0.57894736842105265</v>
      </c>
    </row>
    <row r="351" spans="1:13" x14ac:dyDescent="0.25">
      <c r="A351" s="1" t="s">
        <v>7389</v>
      </c>
      <c r="B351" s="1" t="s">
        <v>7390</v>
      </c>
      <c r="C351" s="1">
        <v>11900000</v>
      </c>
      <c r="D351" s="1" t="s">
        <v>120</v>
      </c>
      <c r="E351">
        <v>95.428200000000004</v>
      </c>
      <c r="F351" s="1" t="s">
        <v>124</v>
      </c>
      <c r="G351">
        <v>42</v>
      </c>
      <c r="H351">
        <v>17</v>
      </c>
      <c r="I351" s="1" t="s">
        <v>74</v>
      </c>
      <c r="J351">
        <v>1</v>
      </c>
      <c r="K351" t="str">
        <f>IF(Tb_data[[#This Row],[previous_workers]]&lt;Tb_data[[#This Row],[workers]],"yes","no")</f>
        <v>yes</v>
      </c>
      <c r="L351">
        <f>Tb_data[[#This Row],[workers]]-Tb_data[[#This Row],[previous_workers]]</f>
        <v>25</v>
      </c>
      <c r="M351" s="12">
        <f>Tb_data[[#This Row],[Employees Growth]]/Tb_data[[#This Row],[previous_workers]]</f>
        <v>1.4705882352941178</v>
      </c>
    </row>
    <row r="352" spans="1:13" x14ac:dyDescent="0.25">
      <c r="A352" s="1" t="s">
        <v>2687</v>
      </c>
      <c r="B352" s="1" t="s">
        <v>2688</v>
      </c>
      <c r="C352" s="1">
        <v>4500000</v>
      </c>
      <c r="D352" s="1" t="s">
        <v>38</v>
      </c>
      <c r="E352">
        <v>320.64359999999999</v>
      </c>
      <c r="F352" s="1" t="s">
        <v>62</v>
      </c>
      <c r="G352">
        <v>22</v>
      </c>
      <c r="H352">
        <v>15</v>
      </c>
      <c r="I352" s="1" t="s">
        <v>35</v>
      </c>
      <c r="J352">
        <v>2</v>
      </c>
      <c r="K352" t="str">
        <f>IF(Tb_data[[#This Row],[previous_workers]]&lt;Tb_data[[#This Row],[workers]],"yes","no")</f>
        <v>yes</v>
      </c>
      <c r="L352">
        <f>Tb_data[[#This Row],[workers]]-Tb_data[[#This Row],[previous_workers]]</f>
        <v>7</v>
      </c>
      <c r="M352" s="12">
        <f>Tb_data[[#This Row],[Employees Growth]]/Tb_data[[#This Row],[previous_workers]]</f>
        <v>0.46666666666666667</v>
      </c>
    </row>
    <row r="353" spans="1:13" x14ac:dyDescent="0.25">
      <c r="A353" s="1" t="s">
        <v>5748</v>
      </c>
      <c r="B353" s="1" t="s">
        <v>5749</v>
      </c>
      <c r="C353" s="1">
        <v>35400000</v>
      </c>
      <c r="D353" s="1" t="s">
        <v>179</v>
      </c>
      <c r="E353">
        <v>132.81120000000001</v>
      </c>
      <c r="F353" s="1" t="s">
        <v>34</v>
      </c>
      <c r="G353">
        <v>200</v>
      </c>
      <c r="H353">
        <v>181</v>
      </c>
      <c r="I353" s="1" t="s">
        <v>229</v>
      </c>
      <c r="J353">
        <v>1</v>
      </c>
      <c r="K353" t="str">
        <f>IF(Tb_data[[#This Row],[previous_workers]]&lt;Tb_data[[#This Row],[workers]],"yes","no")</f>
        <v>yes</v>
      </c>
      <c r="L353">
        <f>Tb_data[[#This Row],[workers]]-Tb_data[[#This Row],[previous_workers]]</f>
        <v>19</v>
      </c>
      <c r="M353" s="12">
        <f>Tb_data[[#This Row],[Employees Growth]]/Tb_data[[#This Row],[previous_workers]]</f>
        <v>0.10497237569060773</v>
      </c>
    </row>
    <row r="354" spans="1:13" x14ac:dyDescent="0.25">
      <c r="A354" s="1" t="s">
        <v>376</v>
      </c>
      <c r="B354" s="1" t="s">
        <v>377</v>
      </c>
      <c r="C354" s="1">
        <v>2800000</v>
      </c>
      <c r="D354" s="1" t="s">
        <v>254</v>
      </c>
      <c r="E354">
        <v>2514.3020999999999</v>
      </c>
      <c r="F354" s="1" t="s">
        <v>12</v>
      </c>
      <c r="G354">
        <v>12</v>
      </c>
      <c r="H354">
        <v>2</v>
      </c>
      <c r="I354" s="1" t="s">
        <v>13</v>
      </c>
      <c r="J354">
        <v>1</v>
      </c>
      <c r="K354" t="str">
        <f>IF(Tb_data[[#This Row],[previous_workers]]&lt;Tb_data[[#This Row],[workers]],"yes","no")</f>
        <v>yes</v>
      </c>
      <c r="L354">
        <f>Tb_data[[#This Row],[workers]]-Tb_data[[#This Row],[previous_workers]]</f>
        <v>10</v>
      </c>
      <c r="M354" s="12">
        <f>Tb_data[[#This Row],[Employees Growth]]/Tb_data[[#This Row],[previous_workers]]</f>
        <v>5</v>
      </c>
    </row>
    <row r="355" spans="1:13" x14ac:dyDescent="0.25">
      <c r="A355" s="1" t="s">
        <v>2662</v>
      </c>
      <c r="B355" s="1" t="s">
        <v>2663</v>
      </c>
      <c r="C355" s="1">
        <v>21300000</v>
      </c>
      <c r="D355" s="1" t="s">
        <v>129</v>
      </c>
      <c r="E355">
        <v>324.50259999999997</v>
      </c>
      <c r="F355" s="1" t="s">
        <v>97</v>
      </c>
      <c r="G355">
        <v>75</v>
      </c>
      <c r="H355">
        <v>25</v>
      </c>
      <c r="I355" s="1" t="s">
        <v>74</v>
      </c>
      <c r="J355">
        <v>5</v>
      </c>
      <c r="K355" t="str">
        <f>IF(Tb_data[[#This Row],[previous_workers]]&lt;Tb_data[[#This Row],[workers]],"yes","no")</f>
        <v>yes</v>
      </c>
      <c r="L355">
        <f>Tb_data[[#This Row],[workers]]-Tb_data[[#This Row],[previous_workers]]</f>
        <v>50</v>
      </c>
      <c r="M355" s="12">
        <f>Tb_data[[#This Row],[Employees Growth]]/Tb_data[[#This Row],[previous_workers]]</f>
        <v>2</v>
      </c>
    </row>
    <row r="356" spans="1:13" x14ac:dyDescent="0.25">
      <c r="A356" s="1" t="s">
        <v>6491</v>
      </c>
      <c r="B356" s="1" t="s">
        <v>6492</v>
      </c>
      <c r="C356" s="1">
        <v>372200000</v>
      </c>
      <c r="D356" s="1" t="s">
        <v>20</v>
      </c>
      <c r="E356">
        <v>114.2646</v>
      </c>
      <c r="F356" s="1" t="s">
        <v>124</v>
      </c>
      <c r="G356">
        <v>150</v>
      </c>
      <c r="H356">
        <v>85</v>
      </c>
      <c r="I356" s="1" t="s">
        <v>226</v>
      </c>
      <c r="J356">
        <v>6</v>
      </c>
      <c r="K356" t="str">
        <f>IF(Tb_data[[#This Row],[previous_workers]]&lt;Tb_data[[#This Row],[workers]],"yes","no")</f>
        <v>yes</v>
      </c>
      <c r="L356">
        <f>Tb_data[[#This Row],[workers]]-Tb_data[[#This Row],[previous_workers]]</f>
        <v>65</v>
      </c>
      <c r="M356" s="12">
        <f>Tb_data[[#This Row],[Employees Growth]]/Tb_data[[#This Row],[previous_workers]]</f>
        <v>0.76470588235294112</v>
      </c>
    </row>
    <row r="357" spans="1:13" x14ac:dyDescent="0.25">
      <c r="A357" s="1" t="s">
        <v>8033</v>
      </c>
      <c r="B357" s="1" t="s">
        <v>8034</v>
      </c>
      <c r="C357" s="1">
        <v>15100000</v>
      </c>
      <c r="D357" s="1" t="s">
        <v>29</v>
      </c>
      <c r="E357">
        <v>82.188800000000001</v>
      </c>
      <c r="F357" s="1" t="s">
        <v>62</v>
      </c>
      <c r="G357">
        <v>74</v>
      </c>
      <c r="H357">
        <v>42</v>
      </c>
      <c r="I357" s="1" t="s">
        <v>226</v>
      </c>
      <c r="J357">
        <v>3</v>
      </c>
      <c r="K357" t="str">
        <f>IF(Tb_data[[#This Row],[previous_workers]]&lt;Tb_data[[#This Row],[workers]],"yes","no")</f>
        <v>yes</v>
      </c>
      <c r="L357">
        <f>Tb_data[[#This Row],[workers]]-Tb_data[[#This Row],[previous_workers]]</f>
        <v>32</v>
      </c>
      <c r="M357" s="12">
        <f>Tb_data[[#This Row],[Employees Growth]]/Tb_data[[#This Row],[previous_workers]]</f>
        <v>0.76190476190476186</v>
      </c>
    </row>
    <row r="358" spans="1:13" x14ac:dyDescent="0.25">
      <c r="A358" s="1" t="s">
        <v>6701</v>
      </c>
      <c r="B358" s="1" t="s">
        <v>6702</v>
      </c>
      <c r="C358" s="1">
        <v>14600000</v>
      </c>
      <c r="D358" s="1" t="s">
        <v>254</v>
      </c>
      <c r="E358">
        <v>109.25839999999999</v>
      </c>
      <c r="F358" s="1" t="s">
        <v>17</v>
      </c>
      <c r="G358">
        <v>12</v>
      </c>
      <c r="H358">
        <v>3</v>
      </c>
      <c r="I358" s="1" t="s">
        <v>55</v>
      </c>
      <c r="J358">
        <v>1</v>
      </c>
      <c r="K358" t="str">
        <f>IF(Tb_data[[#This Row],[previous_workers]]&lt;Tb_data[[#This Row],[workers]],"yes","no")</f>
        <v>yes</v>
      </c>
      <c r="L358">
        <f>Tb_data[[#This Row],[workers]]-Tb_data[[#This Row],[previous_workers]]</f>
        <v>9</v>
      </c>
      <c r="M358" s="12">
        <f>Tb_data[[#This Row],[Employees Growth]]/Tb_data[[#This Row],[previous_workers]]</f>
        <v>3</v>
      </c>
    </row>
    <row r="359" spans="1:13" x14ac:dyDescent="0.25">
      <c r="A359" s="1" t="s">
        <v>7307</v>
      </c>
      <c r="B359" s="1" t="s">
        <v>7308</v>
      </c>
      <c r="C359" s="1">
        <v>16200000</v>
      </c>
      <c r="D359" s="1" t="s">
        <v>179</v>
      </c>
      <c r="E359">
        <v>96.956800000000001</v>
      </c>
      <c r="F359" s="1" t="s">
        <v>176</v>
      </c>
      <c r="G359">
        <v>67</v>
      </c>
      <c r="H359">
        <v>25</v>
      </c>
      <c r="I359" s="1" t="s">
        <v>74</v>
      </c>
      <c r="J359">
        <v>4</v>
      </c>
      <c r="K359" t="str">
        <f>IF(Tb_data[[#This Row],[previous_workers]]&lt;Tb_data[[#This Row],[workers]],"yes","no")</f>
        <v>yes</v>
      </c>
      <c r="L359">
        <f>Tb_data[[#This Row],[workers]]-Tb_data[[#This Row],[previous_workers]]</f>
        <v>42</v>
      </c>
      <c r="M359" s="12">
        <f>Tb_data[[#This Row],[Employees Growth]]/Tb_data[[#This Row],[previous_workers]]</f>
        <v>1.68</v>
      </c>
    </row>
    <row r="360" spans="1:13" x14ac:dyDescent="0.25">
      <c r="A360" s="1" t="s">
        <v>8331</v>
      </c>
      <c r="B360" s="1" t="s">
        <v>8332</v>
      </c>
      <c r="C360" s="1">
        <v>11200000</v>
      </c>
      <c r="D360" s="1" t="s">
        <v>20</v>
      </c>
      <c r="E360">
        <v>77.4024</v>
      </c>
      <c r="F360" s="1" t="s">
        <v>124</v>
      </c>
      <c r="G360">
        <v>88</v>
      </c>
      <c r="H360">
        <v>50</v>
      </c>
      <c r="I360" s="1" t="s">
        <v>1411</v>
      </c>
      <c r="J360">
        <v>4</v>
      </c>
      <c r="K360" t="str">
        <f>IF(Tb_data[[#This Row],[previous_workers]]&lt;Tb_data[[#This Row],[workers]],"yes","no")</f>
        <v>yes</v>
      </c>
      <c r="L360">
        <f>Tb_data[[#This Row],[workers]]-Tb_data[[#This Row],[previous_workers]]</f>
        <v>38</v>
      </c>
      <c r="M360" s="12">
        <f>Tb_data[[#This Row],[Employees Growth]]/Tb_data[[#This Row],[previous_workers]]</f>
        <v>0.76</v>
      </c>
    </row>
    <row r="361" spans="1:13" x14ac:dyDescent="0.25">
      <c r="A361" s="1" t="s">
        <v>5058</v>
      </c>
      <c r="B361" s="1" t="s">
        <v>5059</v>
      </c>
      <c r="C361" s="1">
        <v>7100000</v>
      </c>
      <c r="D361" s="1" t="s">
        <v>49</v>
      </c>
      <c r="E361">
        <v>158.9605</v>
      </c>
      <c r="F361" s="1" t="s">
        <v>514</v>
      </c>
      <c r="G361">
        <v>33</v>
      </c>
      <c r="H361">
        <v>25</v>
      </c>
      <c r="I361" s="1" t="s">
        <v>26</v>
      </c>
      <c r="J361">
        <v>2</v>
      </c>
      <c r="K361" t="str">
        <f>IF(Tb_data[[#This Row],[previous_workers]]&lt;Tb_data[[#This Row],[workers]],"yes","no")</f>
        <v>yes</v>
      </c>
      <c r="L361">
        <f>Tb_data[[#This Row],[workers]]-Tb_data[[#This Row],[previous_workers]]</f>
        <v>8</v>
      </c>
      <c r="M361" s="12">
        <f>Tb_data[[#This Row],[Employees Growth]]/Tb_data[[#This Row],[previous_workers]]</f>
        <v>0.32</v>
      </c>
    </row>
    <row r="362" spans="1:13" x14ac:dyDescent="0.25">
      <c r="A362" s="1" t="s">
        <v>6683</v>
      </c>
      <c r="B362" s="1" t="s">
        <v>6684</v>
      </c>
      <c r="C362" s="1">
        <v>29800000</v>
      </c>
      <c r="D362" s="1" t="s">
        <v>45</v>
      </c>
      <c r="E362">
        <v>109.6134</v>
      </c>
      <c r="F362" s="1" t="s">
        <v>86</v>
      </c>
      <c r="G362">
        <v>100</v>
      </c>
      <c r="H362">
        <v>53</v>
      </c>
      <c r="I362" s="1" t="s">
        <v>2628</v>
      </c>
      <c r="J362">
        <v>5</v>
      </c>
      <c r="K362" t="str">
        <f>IF(Tb_data[[#This Row],[previous_workers]]&lt;Tb_data[[#This Row],[workers]],"yes","no")</f>
        <v>yes</v>
      </c>
      <c r="L362">
        <f>Tb_data[[#This Row],[workers]]-Tb_data[[#This Row],[previous_workers]]</f>
        <v>47</v>
      </c>
      <c r="M362" s="12">
        <f>Tb_data[[#This Row],[Employees Growth]]/Tb_data[[#This Row],[previous_workers]]</f>
        <v>0.8867924528301887</v>
      </c>
    </row>
    <row r="363" spans="1:13" x14ac:dyDescent="0.25">
      <c r="A363" s="1" t="s">
        <v>6663</v>
      </c>
      <c r="B363" s="1" t="s">
        <v>6664</v>
      </c>
      <c r="C363" s="1">
        <v>3000000</v>
      </c>
      <c r="D363" s="1" t="s">
        <v>33</v>
      </c>
      <c r="E363">
        <v>109.9464</v>
      </c>
      <c r="F363" s="1" t="s">
        <v>21</v>
      </c>
      <c r="G363">
        <v>4</v>
      </c>
      <c r="H363">
        <v>1</v>
      </c>
      <c r="I363" s="1" t="s">
        <v>130</v>
      </c>
      <c r="J363">
        <v>2</v>
      </c>
      <c r="K363" t="str">
        <f>IF(Tb_data[[#This Row],[previous_workers]]&lt;Tb_data[[#This Row],[workers]],"yes","no")</f>
        <v>yes</v>
      </c>
      <c r="L363">
        <f>Tb_data[[#This Row],[workers]]-Tb_data[[#This Row],[previous_workers]]</f>
        <v>3</v>
      </c>
      <c r="M363" s="12">
        <f>Tb_data[[#This Row],[Employees Growth]]/Tb_data[[#This Row],[previous_workers]]</f>
        <v>3</v>
      </c>
    </row>
    <row r="364" spans="1:13" x14ac:dyDescent="0.25">
      <c r="A364" s="1" t="s">
        <v>755</v>
      </c>
      <c r="B364" s="1" t="s">
        <v>756</v>
      </c>
      <c r="C364" s="1">
        <v>3400000</v>
      </c>
      <c r="D364" s="1" t="s">
        <v>61</v>
      </c>
      <c r="E364">
        <v>1404.0037</v>
      </c>
      <c r="F364" s="1" t="s">
        <v>62</v>
      </c>
      <c r="G364">
        <v>54</v>
      </c>
      <c r="H364">
        <v>20</v>
      </c>
      <c r="I364" s="1" t="s">
        <v>55</v>
      </c>
      <c r="J364">
        <v>1</v>
      </c>
      <c r="K364" t="str">
        <f>IF(Tb_data[[#This Row],[previous_workers]]&lt;Tb_data[[#This Row],[workers]],"yes","no")</f>
        <v>yes</v>
      </c>
      <c r="L364">
        <f>Tb_data[[#This Row],[workers]]-Tb_data[[#This Row],[previous_workers]]</f>
        <v>34</v>
      </c>
      <c r="M364" s="12">
        <f>Tb_data[[#This Row],[Employees Growth]]/Tb_data[[#This Row],[previous_workers]]</f>
        <v>1.7</v>
      </c>
    </row>
    <row r="365" spans="1:13" x14ac:dyDescent="0.25">
      <c r="A365" s="1" t="s">
        <v>3242</v>
      </c>
      <c r="B365" s="1" t="s">
        <v>3243</v>
      </c>
      <c r="C365" s="1">
        <v>11800000</v>
      </c>
      <c r="D365" s="1" t="s">
        <v>33</v>
      </c>
      <c r="E365">
        <v>266.49119999999999</v>
      </c>
      <c r="F365" s="1" t="s">
        <v>97</v>
      </c>
      <c r="G365">
        <v>117</v>
      </c>
      <c r="H365">
        <v>21</v>
      </c>
      <c r="I365" s="1" t="s">
        <v>130</v>
      </c>
      <c r="J365">
        <v>4</v>
      </c>
      <c r="K365" t="str">
        <f>IF(Tb_data[[#This Row],[previous_workers]]&lt;Tb_data[[#This Row],[workers]],"yes","no")</f>
        <v>yes</v>
      </c>
      <c r="L365">
        <f>Tb_data[[#This Row],[workers]]-Tb_data[[#This Row],[previous_workers]]</f>
        <v>96</v>
      </c>
      <c r="M365" s="12">
        <f>Tb_data[[#This Row],[Employees Growth]]/Tb_data[[#This Row],[previous_workers]]</f>
        <v>4.5714285714285712</v>
      </c>
    </row>
    <row r="366" spans="1:13" x14ac:dyDescent="0.25">
      <c r="A366" s="1" t="s">
        <v>8679</v>
      </c>
      <c r="B366" s="1" t="s">
        <v>8680</v>
      </c>
      <c r="C366" s="1">
        <v>14500000</v>
      </c>
      <c r="D366" s="1" t="s">
        <v>61</v>
      </c>
      <c r="E366">
        <v>71.346400000000003</v>
      </c>
      <c r="F366" s="1" t="s">
        <v>176</v>
      </c>
      <c r="G366">
        <v>33</v>
      </c>
      <c r="H366">
        <v>28</v>
      </c>
      <c r="I366" s="1" t="s">
        <v>1949</v>
      </c>
      <c r="J366">
        <v>2</v>
      </c>
      <c r="K366" t="str">
        <f>IF(Tb_data[[#This Row],[previous_workers]]&lt;Tb_data[[#This Row],[workers]],"yes","no")</f>
        <v>yes</v>
      </c>
      <c r="L366">
        <f>Tb_data[[#This Row],[workers]]-Tb_data[[#This Row],[previous_workers]]</f>
        <v>5</v>
      </c>
      <c r="M366" s="12">
        <f>Tb_data[[#This Row],[Employees Growth]]/Tb_data[[#This Row],[previous_workers]]</f>
        <v>0.17857142857142858</v>
      </c>
    </row>
    <row r="367" spans="1:13" x14ac:dyDescent="0.25">
      <c r="A367" s="1" t="s">
        <v>1465</v>
      </c>
      <c r="B367" s="1" t="s">
        <v>1466</v>
      </c>
      <c r="C367" s="1">
        <v>4200000</v>
      </c>
      <c r="D367" s="1" t="s">
        <v>91</v>
      </c>
      <c r="E367">
        <v>641.67600000000004</v>
      </c>
      <c r="F367" s="1" t="s">
        <v>25</v>
      </c>
      <c r="G367">
        <v>60</v>
      </c>
      <c r="H367">
        <v>9</v>
      </c>
      <c r="I367" s="1" t="s">
        <v>55</v>
      </c>
      <c r="J367">
        <v>2</v>
      </c>
      <c r="K367" t="str">
        <f>IF(Tb_data[[#This Row],[previous_workers]]&lt;Tb_data[[#This Row],[workers]],"yes","no")</f>
        <v>yes</v>
      </c>
      <c r="L367">
        <f>Tb_data[[#This Row],[workers]]-Tb_data[[#This Row],[previous_workers]]</f>
        <v>51</v>
      </c>
      <c r="M367" s="12">
        <f>Tb_data[[#This Row],[Employees Growth]]/Tb_data[[#This Row],[previous_workers]]</f>
        <v>5.666666666666667</v>
      </c>
    </row>
    <row r="368" spans="1:13" x14ac:dyDescent="0.25">
      <c r="A368" s="1" t="s">
        <v>9379</v>
      </c>
      <c r="B368" s="1" t="s">
        <v>9380</v>
      </c>
      <c r="C368" s="1">
        <v>16300000</v>
      </c>
      <c r="D368" s="1" t="s">
        <v>69</v>
      </c>
      <c r="E368">
        <v>61.795499999999997</v>
      </c>
      <c r="F368" s="1" t="s">
        <v>161</v>
      </c>
      <c r="G368">
        <v>285</v>
      </c>
      <c r="H368">
        <v>162</v>
      </c>
      <c r="I368" s="1" t="s">
        <v>1622</v>
      </c>
      <c r="J368">
        <v>4</v>
      </c>
      <c r="K368" t="str">
        <f>IF(Tb_data[[#This Row],[previous_workers]]&lt;Tb_data[[#This Row],[workers]],"yes","no")</f>
        <v>yes</v>
      </c>
      <c r="L368">
        <f>Tb_data[[#This Row],[workers]]-Tb_data[[#This Row],[previous_workers]]</f>
        <v>123</v>
      </c>
      <c r="M368" s="12">
        <f>Tb_data[[#This Row],[Employees Growth]]/Tb_data[[#This Row],[previous_workers]]</f>
        <v>0.7592592592592593</v>
      </c>
    </row>
    <row r="369" spans="1:13" x14ac:dyDescent="0.25">
      <c r="A369" s="1" t="s">
        <v>9866</v>
      </c>
      <c r="B369" s="1" t="s">
        <v>9867</v>
      </c>
      <c r="C369" s="1">
        <v>60400000</v>
      </c>
      <c r="D369" s="1" t="s">
        <v>664</v>
      </c>
      <c r="E369">
        <v>55.752899999999997</v>
      </c>
      <c r="F369" s="1" t="s">
        <v>62</v>
      </c>
      <c r="G369">
        <v>285</v>
      </c>
      <c r="H369">
        <v>126</v>
      </c>
      <c r="I369" s="1" t="s">
        <v>3426</v>
      </c>
      <c r="J369">
        <v>2</v>
      </c>
      <c r="K369" t="str">
        <f>IF(Tb_data[[#This Row],[previous_workers]]&lt;Tb_data[[#This Row],[workers]],"yes","no")</f>
        <v>yes</v>
      </c>
      <c r="L369">
        <f>Tb_data[[#This Row],[workers]]-Tb_data[[#This Row],[previous_workers]]</f>
        <v>159</v>
      </c>
      <c r="M369" s="12">
        <f>Tb_data[[#This Row],[Employees Growth]]/Tb_data[[#This Row],[previous_workers]]</f>
        <v>1.2619047619047619</v>
      </c>
    </row>
    <row r="370" spans="1:13" x14ac:dyDescent="0.25">
      <c r="A370" s="1" t="s">
        <v>6549</v>
      </c>
      <c r="B370" s="1" t="s">
        <v>6550</v>
      </c>
      <c r="C370" s="1">
        <v>26700000</v>
      </c>
      <c r="D370" s="1" t="s">
        <v>79</v>
      </c>
      <c r="E370">
        <v>112.5778</v>
      </c>
      <c r="F370" s="1" t="s">
        <v>62</v>
      </c>
      <c r="G370">
        <v>149</v>
      </c>
      <c r="H370">
        <v>82</v>
      </c>
      <c r="I370" s="1" t="s">
        <v>468</v>
      </c>
      <c r="J370">
        <v>11</v>
      </c>
      <c r="K370" t="str">
        <f>IF(Tb_data[[#This Row],[previous_workers]]&lt;Tb_data[[#This Row],[workers]],"yes","no")</f>
        <v>yes</v>
      </c>
      <c r="L370">
        <f>Tb_data[[#This Row],[workers]]-Tb_data[[#This Row],[previous_workers]]</f>
        <v>67</v>
      </c>
      <c r="M370" s="12">
        <f>Tb_data[[#This Row],[Employees Growth]]/Tb_data[[#This Row],[previous_workers]]</f>
        <v>0.81707317073170727</v>
      </c>
    </row>
    <row r="371" spans="1:13" x14ac:dyDescent="0.25">
      <c r="A371" s="1" t="s">
        <v>4703</v>
      </c>
      <c r="B371" s="1" t="s">
        <v>4704</v>
      </c>
      <c r="C371" s="1">
        <v>3900000</v>
      </c>
      <c r="D371" s="1" t="s">
        <v>33</v>
      </c>
      <c r="E371">
        <v>174.32929999999999</v>
      </c>
      <c r="F371" s="1" t="s">
        <v>176</v>
      </c>
      <c r="G371">
        <v>10</v>
      </c>
      <c r="H371">
        <v>8</v>
      </c>
      <c r="I371" s="1" t="s">
        <v>35</v>
      </c>
      <c r="J371">
        <v>3</v>
      </c>
      <c r="K371" t="str">
        <f>IF(Tb_data[[#This Row],[previous_workers]]&lt;Tb_data[[#This Row],[workers]],"yes","no")</f>
        <v>yes</v>
      </c>
      <c r="L371">
        <f>Tb_data[[#This Row],[workers]]-Tb_data[[#This Row],[previous_workers]]</f>
        <v>2</v>
      </c>
      <c r="M371" s="12">
        <f>Tb_data[[#This Row],[Employees Growth]]/Tb_data[[#This Row],[previous_workers]]</f>
        <v>0.25</v>
      </c>
    </row>
    <row r="372" spans="1:13" x14ac:dyDescent="0.25">
      <c r="A372" s="1" t="s">
        <v>3659</v>
      </c>
      <c r="B372" s="1" t="s">
        <v>3660</v>
      </c>
      <c r="C372" s="1">
        <v>5800000</v>
      </c>
      <c r="D372" s="1" t="s">
        <v>61</v>
      </c>
      <c r="E372">
        <v>230.7441</v>
      </c>
      <c r="F372" s="1" t="s">
        <v>62</v>
      </c>
      <c r="G372">
        <v>20</v>
      </c>
      <c r="H372">
        <v>10</v>
      </c>
      <c r="I372" s="1" t="s">
        <v>26</v>
      </c>
      <c r="J372">
        <v>2</v>
      </c>
      <c r="K372" t="str">
        <f>IF(Tb_data[[#This Row],[previous_workers]]&lt;Tb_data[[#This Row],[workers]],"yes","no")</f>
        <v>yes</v>
      </c>
      <c r="L372">
        <f>Tb_data[[#This Row],[workers]]-Tb_data[[#This Row],[previous_workers]]</f>
        <v>10</v>
      </c>
      <c r="M372" s="12">
        <f>Tb_data[[#This Row],[Employees Growth]]/Tb_data[[#This Row],[previous_workers]]</f>
        <v>1</v>
      </c>
    </row>
    <row r="373" spans="1:13" x14ac:dyDescent="0.25">
      <c r="A373" s="1" t="s">
        <v>7351</v>
      </c>
      <c r="B373" s="1" t="s">
        <v>7352</v>
      </c>
      <c r="C373" s="1">
        <v>219800000</v>
      </c>
      <c r="D373" s="1" t="s">
        <v>91</v>
      </c>
      <c r="E373">
        <v>96.152000000000001</v>
      </c>
      <c r="F373" s="1" t="s">
        <v>25</v>
      </c>
      <c r="G373">
        <v>315</v>
      </c>
      <c r="H373">
        <v>200</v>
      </c>
      <c r="I373" s="1" t="s">
        <v>164</v>
      </c>
      <c r="J373">
        <v>4</v>
      </c>
      <c r="K373" t="str">
        <f>IF(Tb_data[[#This Row],[previous_workers]]&lt;Tb_data[[#This Row],[workers]],"yes","no")</f>
        <v>yes</v>
      </c>
      <c r="L373">
        <f>Tb_data[[#This Row],[workers]]-Tb_data[[#This Row],[previous_workers]]</f>
        <v>115</v>
      </c>
      <c r="M373" s="12">
        <f>Tb_data[[#This Row],[Employees Growth]]/Tb_data[[#This Row],[previous_workers]]</f>
        <v>0.57499999999999996</v>
      </c>
    </row>
    <row r="374" spans="1:13" x14ac:dyDescent="0.25">
      <c r="A374" s="1" t="s">
        <v>4860</v>
      </c>
      <c r="B374" s="1" t="s">
        <v>4861</v>
      </c>
      <c r="C374" s="1">
        <v>7800000</v>
      </c>
      <c r="D374" s="1" t="s">
        <v>49</v>
      </c>
      <c r="E374">
        <v>167.56229999999999</v>
      </c>
      <c r="F374" s="1" t="s">
        <v>62</v>
      </c>
      <c r="G374">
        <v>25</v>
      </c>
      <c r="H374">
        <v>11</v>
      </c>
      <c r="I374" s="1" t="s">
        <v>74</v>
      </c>
      <c r="J374">
        <v>1</v>
      </c>
      <c r="K374" t="str">
        <f>IF(Tb_data[[#This Row],[previous_workers]]&lt;Tb_data[[#This Row],[workers]],"yes","no")</f>
        <v>yes</v>
      </c>
      <c r="L374">
        <f>Tb_data[[#This Row],[workers]]-Tb_data[[#This Row],[previous_workers]]</f>
        <v>14</v>
      </c>
      <c r="M374" s="12">
        <f>Tb_data[[#This Row],[Employees Growth]]/Tb_data[[#This Row],[previous_workers]]</f>
        <v>1.2727272727272727</v>
      </c>
    </row>
    <row r="375" spans="1:13" x14ac:dyDescent="0.25">
      <c r="A375" s="1" t="s">
        <v>8532</v>
      </c>
      <c r="B375" s="1" t="s">
        <v>8533</v>
      </c>
      <c r="C375" s="1">
        <v>14500000</v>
      </c>
      <c r="D375" s="1" t="s">
        <v>69</v>
      </c>
      <c r="E375">
        <v>73.386600000000001</v>
      </c>
      <c r="F375" s="1" t="s">
        <v>12</v>
      </c>
      <c r="G375">
        <v>70</v>
      </c>
      <c r="H375">
        <v>45</v>
      </c>
      <c r="I375" s="1" t="s">
        <v>295</v>
      </c>
      <c r="J375">
        <v>5</v>
      </c>
      <c r="K375" t="str">
        <f>IF(Tb_data[[#This Row],[previous_workers]]&lt;Tb_data[[#This Row],[workers]],"yes","no")</f>
        <v>yes</v>
      </c>
      <c r="L375">
        <f>Tb_data[[#This Row],[workers]]-Tb_data[[#This Row],[previous_workers]]</f>
        <v>25</v>
      </c>
      <c r="M375" s="12">
        <f>Tb_data[[#This Row],[Employees Growth]]/Tb_data[[#This Row],[previous_workers]]</f>
        <v>0.55555555555555558</v>
      </c>
    </row>
    <row r="376" spans="1:13" x14ac:dyDescent="0.25">
      <c r="A376" s="1" t="s">
        <v>1022</v>
      </c>
      <c r="B376" s="1" t="s">
        <v>1023</v>
      </c>
      <c r="C376" s="1">
        <v>3200000</v>
      </c>
      <c r="D376" s="1" t="s">
        <v>41</v>
      </c>
      <c r="E376">
        <v>976.76110000000006</v>
      </c>
      <c r="F376" s="1" t="s">
        <v>97</v>
      </c>
      <c r="G376">
        <v>15</v>
      </c>
      <c r="H376">
        <v>11</v>
      </c>
      <c r="I376" s="1" t="s">
        <v>295</v>
      </c>
      <c r="J376">
        <v>2</v>
      </c>
      <c r="K376" t="str">
        <f>IF(Tb_data[[#This Row],[previous_workers]]&lt;Tb_data[[#This Row],[workers]],"yes","no")</f>
        <v>yes</v>
      </c>
      <c r="L376">
        <f>Tb_data[[#This Row],[workers]]-Tb_data[[#This Row],[previous_workers]]</f>
        <v>4</v>
      </c>
      <c r="M376" s="12">
        <f>Tb_data[[#This Row],[Employees Growth]]/Tb_data[[#This Row],[previous_workers]]</f>
        <v>0.36363636363636365</v>
      </c>
    </row>
    <row r="377" spans="1:13" x14ac:dyDescent="0.25">
      <c r="A377" s="1" t="s">
        <v>4491</v>
      </c>
      <c r="B377" s="1" t="s">
        <v>4492</v>
      </c>
      <c r="C377" s="1">
        <v>18800000</v>
      </c>
      <c r="D377" s="1" t="s">
        <v>29</v>
      </c>
      <c r="E377">
        <v>182.81620000000001</v>
      </c>
      <c r="F377" s="1" t="s">
        <v>176</v>
      </c>
      <c r="G377">
        <v>61</v>
      </c>
      <c r="H377">
        <v>25</v>
      </c>
      <c r="I377" s="1" t="s">
        <v>3986</v>
      </c>
      <c r="J377">
        <v>2</v>
      </c>
      <c r="K377" t="str">
        <f>IF(Tb_data[[#This Row],[previous_workers]]&lt;Tb_data[[#This Row],[workers]],"yes","no")</f>
        <v>yes</v>
      </c>
      <c r="L377">
        <f>Tb_data[[#This Row],[workers]]-Tb_data[[#This Row],[previous_workers]]</f>
        <v>36</v>
      </c>
      <c r="M377" s="12">
        <f>Tb_data[[#This Row],[Employees Growth]]/Tb_data[[#This Row],[previous_workers]]</f>
        <v>1.44</v>
      </c>
    </row>
    <row r="378" spans="1:13" x14ac:dyDescent="0.25">
      <c r="A378" s="1" t="s">
        <v>9738</v>
      </c>
      <c r="B378" s="1" t="s">
        <v>9739</v>
      </c>
      <c r="C378" s="1">
        <v>26500000</v>
      </c>
      <c r="D378" s="1" t="s">
        <v>29</v>
      </c>
      <c r="E378">
        <v>57.634</v>
      </c>
      <c r="F378" s="1" t="s">
        <v>514</v>
      </c>
      <c r="G378">
        <v>160</v>
      </c>
      <c r="H378">
        <v>101</v>
      </c>
      <c r="I378" s="1" t="s">
        <v>3843</v>
      </c>
      <c r="J378">
        <v>11</v>
      </c>
      <c r="K378" t="str">
        <f>IF(Tb_data[[#This Row],[previous_workers]]&lt;Tb_data[[#This Row],[workers]],"yes","no")</f>
        <v>yes</v>
      </c>
      <c r="L378">
        <f>Tb_data[[#This Row],[workers]]-Tb_data[[#This Row],[previous_workers]]</f>
        <v>59</v>
      </c>
      <c r="M378" s="12">
        <f>Tb_data[[#This Row],[Employees Growth]]/Tb_data[[#This Row],[previous_workers]]</f>
        <v>0.58415841584158412</v>
      </c>
    </row>
    <row r="379" spans="1:13" x14ac:dyDescent="0.25">
      <c r="A379" s="1" t="s">
        <v>918</v>
      </c>
      <c r="B379" s="1" t="s">
        <v>919</v>
      </c>
      <c r="C379" s="1">
        <v>368600000</v>
      </c>
      <c r="D379" s="1" t="s">
        <v>20</v>
      </c>
      <c r="E379">
        <v>1107.0863999999999</v>
      </c>
      <c r="F379" s="1" t="s">
        <v>17</v>
      </c>
      <c r="G379">
        <v>614</v>
      </c>
      <c r="H379">
        <v>51</v>
      </c>
      <c r="I379" s="1" t="s">
        <v>26</v>
      </c>
      <c r="J379">
        <v>1</v>
      </c>
      <c r="K379" t="str">
        <f>IF(Tb_data[[#This Row],[previous_workers]]&lt;Tb_data[[#This Row],[workers]],"yes","no")</f>
        <v>yes</v>
      </c>
      <c r="L379">
        <f>Tb_data[[#This Row],[workers]]-Tb_data[[#This Row],[previous_workers]]</f>
        <v>563</v>
      </c>
      <c r="M379" s="12">
        <f>Tb_data[[#This Row],[Employees Growth]]/Tb_data[[#This Row],[previous_workers]]</f>
        <v>11.03921568627451</v>
      </c>
    </row>
    <row r="380" spans="1:13" x14ac:dyDescent="0.25">
      <c r="A380" s="1" t="s">
        <v>364</v>
      </c>
      <c r="B380" s="1" t="s">
        <v>365</v>
      </c>
      <c r="C380" s="1">
        <v>4700000</v>
      </c>
      <c r="D380" s="1" t="s">
        <v>16</v>
      </c>
      <c r="E380">
        <v>2578.6271999999999</v>
      </c>
      <c r="F380" s="1" t="s">
        <v>176</v>
      </c>
      <c r="G380">
        <v>4</v>
      </c>
      <c r="H380">
        <v>2</v>
      </c>
      <c r="I380" s="1" t="s">
        <v>26</v>
      </c>
      <c r="J380">
        <v>1</v>
      </c>
      <c r="K380" t="str">
        <f>IF(Tb_data[[#This Row],[previous_workers]]&lt;Tb_data[[#This Row],[workers]],"yes","no")</f>
        <v>yes</v>
      </c>
      <c r="L380">
        <f>Tb_data[[#This Row],[workers]]-Tb_data[[#This Row],[previous_workers]]</f>
        <v>2</v>
      </c>
      <c r="M380" s="12">
        <f>Tb_data[[#This Row],[Employees Growth]]/Tb_data[[#This Row],[previous_workers]]</f>
        <v>1</v>
      </c>
    </row>
    <row r="381" spans="1:13" x14ac:dyDescent="0.25">
      <c r="A381" s="1" t="s">
        <v>9558</v>
      </c>
      <c r="B381" s="1" t="s">
        <v>9559</v>
      </c>
      <c r="C381" s="1">
        <v>17000000</v>
      </c>
      <c r="D381" s="1" t="s">
        <v>41</v>
      </c>
      <c r="E381">
        <v>59.581800000000001</v>
      </c>
      <c r="F381" s="1" t="s">
        <v>97</v>
      </c>
      <c r="G381">
        <v>105</v>
      </c>
      <c r="H381">
        <v>93</v>
      </c>
      <c r="I381" s="1" t="s">
        <v>948</v>
      </c>
      <c r="J381">
        <v>5</v>
      </c>
      <c r="K381" t="str">
        <f>IF(Tb_data[[#This Row],[previous_workers]]&lt;Tb_data[[#This Row],[workers]],"yes","no")</f>
        <v>yes</v>
      </c>
      <c r="L381">
        <f>Tb_data[[#This Row],[workers]]-Tb_data[[#This Row],[previous_workers]]</f>
        <v>12</v>
      </c>
      <c r="M381" s="12">
        <f>Tb_data[[#This Row],[Employees Growth]]/Tb_data[[#This Row],[previous_workers]]</f>
        <v>0.12903225806451613</v>
      </c>
    </row>
    <row r="382" spans="1:13" x14ac:dyDescent="0.25">
      <c r="A382" s="1" t="s">
        <v>3509</v>
      </c>
      <c r="B382" s="1" t="s">
        <v>3510</v>
      </c>
      <c r="C382" s="1">
        <v>11700000</v>
      </c>
      <c r="D382" s="1" t="s">
        <v>41</v>
      </c>
      <c r="E382">
        <v>241.6266</v>
      </c>
      <c r="F382" s="1" t="s">
        <v>156</v>
      </c>
      <c r="G382">
        <v>48</v>
      </c>
      <c r="H382">
        <v>15</v>
      </c>
      <c r="I382" s="1" t="s">
        <v>372</v>
      </c>
      <c r="J382">
        <v>4</v>
      </c>
      <c r="K382" t="str">
        <f>IF(Tb_data[[#This Row],[previous_workers]]&lt;Tb_data[[#This Row],[workers]],"yes","no")</f>
        <v>yes</v>
      </c>
      <c r="L382">
        <f>Tb_data[[#This Row],[workers]]-Tb_data[[#This Row],[previous_workers]]</f>
        <v>33</v>
      </c>
      <c r="M382" s="12">
        <f>Tb_data[[#This Row],[Employees Growth]]/Tb_data[[#This Row],[previous_workers]]</f>
        <v>2.2000000000000002</v>
      </c>
    </row>
    <row r="383" spans="1:13" x14ac:dyDescent="0.25">
      <c r="A383" s="1" t="s">
        <v>9277</v>
      </c>
      <c r="B383" s="1" t="s">
        <v>9278</v>
      </c>
      <c r="C383" s="1">
        <v>2700000</v>
      </c>
      <c r="D383" s="1" t="s">
        <v>155</v>
      </c>
      <c r="E383">
        <v>63.106999999999999</v>
      </c>
      <c r="F383" s="1" t="s">
        <v>116</v>
      </c>
      <c r="G383">
        <v>10</v>
      </c>
      <c r="H383">
        <v>5</v>
      </c>
      <c r="I383" s="1" t="s">
        <v>46</v>
      </c>
      <c r="J383">
        <v>1</v>
      </c>
      <c r="K383" t="str">
        <f>IF(Tb_data[[#This Row],[previous_workers]]&lt;Tb_data[[#This Row],[workers]],"yes","no")</f>
        <v>yes</v>
      </c>
      <c r="L383">
        <f>Tb_data[[#This Row],[workers]]-Tb_data[[#This Row],[previous_workers]]</f>
        <v>5</v>
      </c>
      <c r="M383" s="12">
        <f>Tb_data[[#This Row],[Employees Growth]]/Tb_data[[#This Row],[previous_workers]]</f>
        <v>1</v>
      </c>
    </row>
    <row r="384" spans="1:13" x14ac:dyDescent="0.25">
      <c r="A384" s="1" t="s">
        <v>4555</v>
      </c>
      <c r="B384" s="1" t="s">
        <v>4556</v>
      </c>
      <c r="C384" s="1">
        <v>5600000</v>
      </c>
      <c r="D384" s="1" t="s">
        <v>33</v>
      </c>
      <c r="E384">
        <v>180.1815</v>
      </c>
      <c r="F384" s="1" t="s">
        <v>12</v>
      </c>
      <c r="G384">
        <v>16</v>
      </c>
      <c r="H384">
        <v>6</v>
      </c>
      <c r="I384" s="1" t="s">
        <v>74</v>
      </c>
      <c r="J384">
        <v>1</v>
      </c>
      <c r="K384" t="str">
        <f>IF(Tb_data[[#This Row],[previous_workers]]&lt;Tb_data[[#This Row],[workers]],"yes","no")</f>
        <v>yes</v>
      </c>
      <c r="L384">
        <f>Tb_data[[#This Row],[workers]]-Tb_data[[#This Row],[previous_workers]]</f>
        <v>10</v>
      </c>
      <c r="M384" s="12">
        <f>Tb_data[[#This Row],[Employees Growth]]/Tb_data[[#This Row],[previous_workers]]</f>
        <v>1.6666666666666667</v>
      </c>
    </row>
    <row r="385" spans="1:13" x14ac:dyDescent="0.25">
      <c r="A385" s="1" t="s">
        <v>4509</v>
      </c>
      <c r="B385" s="1" t="s">
        <v>4510</v>
      </c>
      <c r="C385" s="1">
        <v>20900000</v>
      </c>
      <c r="D385" s="1" t="s">
        <v>41</v>
      </c>
      <c r="E385">
        <v>182.0942</v>
      </c>
      <c r="F385" s="1" t="s">
        <v>97</v>
      </c>
      <c r="G385">
        <v>77</v>
      </c>
      <c r="H385">
        <v>23</v>
      </c>
      <c r="I385" s="1" t="s">
        <v>164</v>
      </c>
      <c r="J385">
        <v>1</v>
      </c>
      <c r="K385" t="str">
        <f>IF(Tb_data[[#This Row],[previous_workers]]&lt;Tb_data[[#This Row],[workers]],"yes","no")</f>
        <v>yes</v>
      </c>
      <c r="L385">
        <f>Tb_data[[#This Row],[workers]]-Tb_data[[#This Row],[previous_workers]]</f>
        <v>54</v>
      </c>
      <c r="M385" s="12">
        <f>Tb_data[[#This Row],[Employees Growth]]/Tb_data[[#This Row],[previous_workers]]</f>
        <v>2.347826086956522</v>
      </c>
    </row>
    <row r="386" spans="1:13" x14ac:dyDescent="0.25">
      <c r="A386" s="1" t="s">
        <v>2818</v>
      </c>
      <c r="B386" s="1" t="s">
        <v>2819</v>
      </c>
      <c r="C386" s="1">
        <v>9700000</v>
      </c>
      <c r="D386" s="1" t="s">
        <v>38</v>
      </c>
      <c r="E386">
        <v>306.2176</v>
      </c>
      <c r="F386" s="1" t="s">
        <v>156</v>
      </c>
      <c r="G386">
        <v>80</v>
      </c>
      <c r="H386">
        <v>20</v>
      </c>
      <c r="I386" s="1" t="s">
        <v>147</v>
      </c>
      <c r="J386">
        <v>4</v>
      </c>
      <c r="K386" t="str">
        <f>IF(Tb_data[[#This Row],[previous_workers]]&lt;Tb_data[[#This Row],[workers]],"yes","no")</f>
        <v>yes</v>
      </c>
      <c r="L386">
        <f>Tb_data[[#This Row],[workers]]-Tb_data[[#This Row],[previous_workers]]</f>
        <v>60</v>
      </c>
      <c r="M386" s="12">
        <f>Tb_data[[#This Row],[Employees Growth]]/Tb_data[[#This Row],[previous_workers]]</f>
        <v>3</v>
      </c>
    </row>
    <row r="387" spans="1:13" x14ac:dyDescent="0.25">
      <c r="A387" s="1" t="s">
        <v>9177</v>
      </c>
      <c r="B387" s="1" t="s">
        <v>9178</v>
      </c>
      <c r="C387" s="1">
        <v>73700000</v>
      </c>
      <c r="D387" s="1" t="s">
        <v>91</v>
      </c>
      <c r="E387">
        <v>64.482600000000005</v>
      </c>
      <c r="F387" s="1" t="s">
        <v>161</v>
      </c>
      <c r="G387">
        <v>131</v>
      </c>
      <c r="H387">
        <v>79</v>
      </c>
      <c r="I387" s="1" t="s">
        <v>4062</v>
      </c>
      <c r="J387">
        <v>1</v>
      </c>
      <c r="K387" t="str">
        <f>IF(Tb_data[[#This Row],[previous_workers]]&lt;Tb_data[[#This Row],[workers]],"yes","no")</f>
        <v>yes</v>
      </c>
      <c r="L387">
        <f>Tb_data[[#This Row],[workers]]-Tb_data[[#This Row],[previous_workers]]</f>
        <v>52</v>
      </c>
      <c r="M387" s="12">
        <f>Tb_data[[#This Row],[Employees Growth]]/Tb_data[[#This Row],[previous_workers]]</f>
        <v>0.65822784810126578</v>
      </c>
    </row>
    <row r="388" spans="1:13" x14ac:dyDescent="0.25">
      <c r="A388" s="1" t="s">
        <v>2905</v>
      </c>
      <c r="B388" s="1" t="s">
        <v>2906</v>
      </c>
      <c r="C388" s="1">
        <v>3400000</v>
      </c>
      <c r="D388" s="1" t="s">
        <v>254</v>
      </c>
      <c r="E388">
        <v>296.86369999999999</v>
      </c>
      <c r="F388" s="1" t="s">
        <v>135</v>
      </c>
      <c r="G388">
        <v>38</v>
      </c>
      <c r="H388">
        <v>6</v>
      </c>
      <c r="I388" s="1" t="s">
        <v>35</v>
      </c>
      <c r="J388">
        <v>1</v>
      </c>
      <c r="K388" t="str">
        <f>IF(Tb_data[[#This Row],[previous_workers]]&lt;Tb_data[[#This Row],[workers]],"yes","no")</f>
        <v>yes</v>
      </c>
      <c r="L388">
        <f>Tb_data[[#This Row],[workers]]-Tb_data[[#This Row],[previous_workers]]</f>
        <v>32</v>
      </c>
      <c r="M388" s="12">
        <f>Tb_data[[#This Row],[Employees Growth]]/Tb_data[[#This Row],[previous_workers]]</f>
        <v>5.333333333333333</v>
      </c>
    </row>
    <row r="389" spans="1:13" x14ac:dyDescent="0.25">
      <c r="A389" s="1" t="s">
        <v>8707</v>
      </c>
      <c r="B389" s="1" t="s">
        <v>8708</v>
      </c>
      <c r="C389" s="1">
        <v>23000000</v>
      </c>
      <c r="D389" s="1" t="s">
        <v>123</v>
      </c>
      <c r="E389">
        <v>70.996899999999997</v>
      </c>
      <c r="F389" s="1" t="s">
        <v>3264</v>
      </c>
      <c r="G389">
        <v>290</v>
      </c>
      <c r="H389">
        <v>132</v>
      </c>
      <c r="I389" s="1" t="s">
        <v>164</v>
      </c>
      <c r="J389">
        <v>1</v>
      </c>
      <c r="K389" t="str">
        <f>IF(Tb_data[[#This Row],[previous_workers]]&lt;Tb_data[[#This Row],[workers]],"yes","no")</f>
        <v>yes</v>
      </c>
      <c r="L389">
        <f>Tb_data[[#This Row],[workers]]-Tb_data[[#This Row],[previous_workers]]</f>
        <v>158</v>
      </c>
      <c r="M389" s="12">
        <f>Tb_data[[#This Row],[Employees Growth]]/Tb_data[[#This Row],[previous_workers]]</f>
        <v>1.196969696969697</v>
      </c>
    </row>
    <row r="390" spans="1:13" x14ac:dyDescent="0.25">
      <c r="A390" s="1" t="s">
        <v>1230</v>
      </c>
      <c r="B390" s="1" t="s">
        <v>1231</v>
      </c>
      <c r="C390" s="1">
        <v>16700000</v>
      </c>
      <c r="D390" s="1" t="s">
        <v>20</v>
      </c>
      <c r="E390">
        <v>784.26469999999995</v>
      </c>
      <c r="F390" s="1" t="s">
        <v>25</v>
      </c>
      <c r="G390">
        <v>11</v>
      </c>
      <c r="H390">
        <v>4</v>
      </c>
      <c r="I390" s="1" t="s">
        <v>26</v>
      </c>
      <c r="J390">
        <v>1</v>
      </c>
      <c r="K390" t="str">
        <f>IF(Tb_data[[#This Row],[previous_workers]]&lt;Tb_data[[#This Row],[workers]],"yes","no")</f>
        <v>yes</v>
      </c>
      <c r="L390">
        <f>Tb_data[[#This Row],[workers]]-Tb_data[[#This Row],[previous_workers]]</f>
        <v>7</v>
      </c>
      <c r="M390" s="12">
        <f>Tb_data[[#This Row],[Employees Growth]]/Tb_data[[#This Row],[previous_workers]]</f>
        <v>1.75</v>
      </c>
    </row>
    <row r="391" spans="1:13" x14ac:dyDescent="0.25">
      <c r="A391" s="1" t="s">
        <v>6789</v>
      </c>
      <c r="B391" s="1" t="s">
        <v>6790</v>
      </c>
      <c r="C391" s="1">
        <v>57500000</v>
      </c>
      <c r="D391" s="1" t="s">
        <v>69</v>
      </c>
      <c r="E391">
        <v>106.9379</v>
      </c>
      <c r="F391" s="1" t="s">
        <v>34</v>
      </c>
      <c r="G391">
        <v>73</v>
      </c>
      <c r="H391">
        <v>28</v>
      </c>
      <c r="I391" s="1" t="s">
        <v>948</v>
      </c>
      <c r="J391">
        <v>11</v>
      </c>
      <c r="K391" t="str">
        <f>IF(Tb_data[[#This Row],[previous_workers]]&lt;Tb_data[[#This Row],[workers]],"yes","no")</f>
        <v>yes</v>
      </c>
      <c r="L391">
        <f>Tb_data[[#This Row],[workers]]-Tb_data[[#This Row],[previous_workers]]</f>
        <v>45</v>
      </c>
      <c r="M391" s="12">
        <f>Tb_data[[#This Row],[Employees Growth]]/Tb_data[[#This Row],[previous_workers]]</f>
        <v>1.6071428571428572</v>
      </c>
    </row>
    <row r="392" spans="1:13" x14ac:dyDescent="0.25">
      <c r="A392" s="1" t="s">
        <v>6731</v>
      </c>
      <c r="B392" s="1" t="s">
        <v>6732</v>
      </c>
      <c r="C392" s="1">
        <v>54600000</v>
      </c>
      <c r="D392" s="1" t="s">
        <v>69</v>
      </c>
      <c r="E392">
        <v>108.20269999999999</v>
      </c>
      <c r="F392" s="1" t="s">
        <v>25</v>
      </c>
      <c r="G392">
        <v>401</v>
      </c>
      <c r="H392">
        <v>260</v>
      </c>
      <c r="I392" s="1" t="s">
        <v>229</v>
      </c>
      <c r="J392">
        <v>8</v>
      </c>
      <c r="K392" t="str">
        <f>IF(Tb_data[[#This Row],[previous_workers]]&lt;Tb_data[[#This Row],[workers]],"yes","no")</f>
        <v>yes</v>
      </c>
      <c r="L392">
        <f>Tb_data[[#This Row],[workers]]-Tb_data[[#This Row],[previous_workers]]</f>
        <v>141</v>
      </c>
      <c r="M392" s="12">
        <f>Tb_data[[#This Row],[Employees Growth]]/Tb_data[[#This Row],[previous_workers]]</f>
        <v>0.54230769230769227</v>
      </c>
    </row>
    <row r="393" spans="1:13" x14ac:dyDescent="0.25">
      <c r="A393" s="1" t="s">
        <v>5550</v>
      </c>
      <c r="B393" s="1" t="s">
        <v>5551</v>
      </c>
      <c r="C393" s="1">
        <v>17900000</v>
      </c>
      <c r="D393" s="1" t="s">
        <v>155</v>
      </c>
      <c r="E393">
        <v>140.58519999999999</v>
      </c>
      <c r="F393" s="1" t="s">
        <v>124</v>
      </c>
      <c r="G393">
        <v>21</v>
      </c>
      <c r="H393">
        <v>12</v>
      </c>
      <c r="I393" s="1" t="s">
        <v>229</v>
      </c>
      <c r="J393">
        <v>6</v>
      </c>
      <c r="K393" t="str">
        <f>IF(Tb_data[[#This Row],[previous_workers]]&lt;Tb_data[[#This Row],[workers]],"yes","no")</f>
        <v>yes</v>
      </c>
      <c r="L393">
        <f>Tb_data[[#This Row],[workers]]-Tb_data[[#This Row],[previous_workers]]</f>
        <v>9</v>
      </c>
      <c r="M393" s="12">
        <f>Tb_data[[#This Row],[Employees Growth]]/Tb_data[[#This Row],[previous_workers]]</f>
        <v>0.75</v>
      </c>
    </row>
    <row r="394" spans="1:13" x14ac:dyDescent="0.25">
      <c r="A394" s="1" t="s">
        <v>6447</v>
      </c>
      <c r="B394" s="1" t="s">
        <v>6448</v>
      </c>
      <c r="C394" s="1">
        <v>10900000</v>
      </c>
      <c r="D394" s="1" t="s">
        <v>52</v>
      </c>
      <c r="E394">
        <v>115.27679999999999</v>
      </c>
      <c r="F394" s="1" t="s">
        <v>82</v>
      </c>
      <c r="G394">
        <v>14</v>
      </c>
      <c r="H394">
        <v>10</v>
      </c>
      <c r="I394" s="1" t="s">
        <v>2611</v>
      </c>
      <c r="J394">
        <v>2</v>
      </c>
      <c r="K394" t="str">
        <f>IF(Tb_data[[#This Row],[previous_workers]]&lt;Tb_data[[#This Row],[workers]],"yes","no")</f>
        <v>yes</v>
      </c>
      <c r="L394">
        <f>Tb_data[[#This Row],[workers]]-Tb_data[[#This Row],[previous_workers]]</f>
        <v>4</v>
      </c>
      <c r="M394" s="12">
        <f>Tb_data[[#This Row],[Employees Growth]]/Tb_data[[#This Row],[previous_workers]]</f>
        <v>0.4</v>
      </c>
    </row>
    <row r="395" spans="1:13" x14ac:dyDescent="0.25">
      <c r="A395" s="1" t="s">
        <v>5150</v>
      </c>
      <c r="B395" s="1" t="s">
        <v>5151</v>
      </c>
      <c r="C395" s="1">
        <v>15600000</v>
      </c>
      <c r="D395" s="1" t="s">
        <v>69</v>
      </c>
      <c r="E395">
        <v>155.4306</v>
      </c>
      <c r="F395" s="1" t="s">
        <v>156</v>
      </c>
      <c r="G395">
        <v>85</v>
      </c>
      <c r="H395">
        <v>45</v>
      </c>
      <c r="I395" s="1" t="s">
        <v>130</v>
      </c>
      <c r="J395">
        <v>4</v>
      </c>
      <c r="K395" t="str">
        <f>IF(Tb_data[[#This Row],[previous_workers]]&lt;Tb_data[[#This Row],[workers]],"yes","no")</f>
        <v>yes</v>
      </c>
      <c r="L395">
        <f>Tb_data[[#This Row],[workers]]-Tb_data[[#This Row],[previous_workers]]</f>
        <v>40</v>
      </c>
      <c r="M395" s="12">
        <f>Tb_data[[#This Row],[Employees Growth]]/Tb_data[[#This Row],[previous_workers]]</f>
        <v>0.88888888888888884</v>
      </c>
    </row>
    <row r="396" spans="1:13" x14ac:dyDescent="0.25">
      <c r="A396" s="1" t="s">
        <v>6735</v>
      </c>
      <c r="B396" s="1" t="s">
        <v>6736</v>
      </c>
      <c r="C396" s="1">
        <v>13500000</v>
      </c>
      <c r="D396" s="1" t="s">
        <v>38</v>
      </c>
      <c r="E396">
        <v>108.1803</v>
      </c>
      <c r="F396" s="1" t="s">
        <v>100</v>
      </c>
      <c r="G396">
        <v>18</v>
      </c>
      <c r="H396">
        <v>9</v>
      </c>
      <c r="I396" s="1" t="s">
        <v>117</v>
      </c>
      <c r="J396">
        <v>2</v>
      </c>
      <c r="K396" t="str">
        <f>IF(Tb_data[[#This Row],[previous_workers]]&lt;Tb_data[[#This Row],[workers]],"yes","no")</f>
        <v>yes</v>
      </c>
      <c r="L396">
        <f>Tb_data[[#This Row],[workers]]-Tb_data[[#This Row],[previous_workers]]</f>
        <v>9</v>
      </c>
      <c r="M396" s="12">
        <f>Tb_data[[#This Row],[Employees Growth]]/Tb_data[[#This Row],[previous_workers]]</f>
        <v>1</v>
      </c>
    </row>
    <row r="397" spans="1:13" x14ac:dyDescent="0.25">
      <c r="A397" s="1" t="s">
        <v>237</v>
      </c>
      <c r="B397" s="1" t="s">
        <v>238</v>
      </c>
      <c r="C397" s="1">
        <v>5100000</v>
      </c>
      <c r="D397" s="1" t="s">
        <v>20</v>
      </c>
      <c r="E397">
        <v>3778.5391</v>
      </c>
      <c r="F397" s="1" t="s">
        <v>86</v>
      </c>
      <c r="G397">
        <v>50</v>
      </c>
      <c r="H397">
        <v>15</v>
      </c>
      <c r="I397" s="1" t="s">
        <v>130</v>
      </c>
      <c r="J397">
        <v>2</v>
      </c>
      <c r="K397" t="str">
        <f>IF(Tb_data[[#This Row],[previous_workers]]&lt;Tb_data[[#This Row],[workers]],"yes","no")</f>
        <v>yes</v>
      </c>
      <c r="L397">
        <f>Tb_data[[#This Row],[workers]]-Tb_data[[#This Row],[previous_workers]]</f>
        <v>35</v>
      </c>
      <c r="M397" s="12">
        <f>Tb_data[[#This Row],[Employees Growth]]/Tb_data[[#This Row],[previous_workers]]</f>
        <v>2.3333333333333335</v>
      </c>
    </row>
    <row r="398" spans="1:13" x14ac:dyDescent="0.25">
      <c r="A398" s="1" t="s">
        <v>3762</v>
      </c>
      <c r="B398" s="1" t="s">
        <v>3763</v>
      </c>
      <c r="C398" s="1">
        <v>2600000</v>
      </c>
      <c r="D398" s="1" t="s">
        <v>11</v>
      </c>
      <c r="E398">
        <v>224.35890000000001</v>
      </c>
      <c r="F398" s="1" t="s">
        <v>34</v>
      </c>
      <c r="G398">
        <v>8</v>
      </c>
      <c r="H398">
        <v>4</v>
      </c>
      <c r="I398" s="1" t="s">
        <v>74</v>
      </c>
      <c r="J398">
        <v>1</v>
      </c>
      <c r="K398" t="str">
        <f>IF(Tb_data[[#This Row],[previous_workers]]&lt;Tb_data[[#This Row],[workers]],"yes","no")</f>
        <v>yes</v>
      </c>
      <c r="L398">
        <f>Tb_data[[#This Row],[workers]]-Tb_data[[#This Row],[previous_workers]]</f>
        <v>4</v>
      </c>
      <c r="M398" s="12">
        <f>Tb_data[[#This Row],[Employees Growth]]/Tb_data[[#This Row],[previous_workers]]</f>
        <v>1</v>
      </c>
    </row>
    <row r="399" spans="1:13" x14ac:dyDescent="0.25">
      <c r="A399" s="1" t="s">
        <v>6603</v>
      </c>
      <c r="B399" s="1" t="s">
        <v>6604</v>
      </c>
      <c r="C399" s="1">
        <v>66100000</v>
      </c>
      <c r="D399" s="1" t="s">
        <v>85</v>
      </c>
      <c r="E399">
        <v>111.3998</v>
      </c>
      <c r="F399" s="1" t="s">
        <v>34</v>
      </c>
      <c r="G399">
        <v>9</v>
      </c>
      <c r="H399">
        <v>6</v>
      </c>
      <c r="I399" s="1" t="s">
        <v>74</v>
      </c>
      <c r="J399">
        <v>2</v>
      </c>
      <c r="K399" t="str">
        <f>IF(Tb_data[[#This Row],[previous_workers]]&lt;Tb_data[[#This Row],[workers]],"yes","no")</f>
        <v>yes</v>
      </c>
      <c r="L399">
        <f>Tb_data[[#This Row],[workers]]-Tb_data[[#This Row],[previous_workers]]</f>
        <v>3</v>
      </c>
      <c r="M399" s="12">
        <f>Tb_data[[#This Row],[Employees Growth]]/Tb_data[[#This Row],[previous_workers]]</f>
        <v>0.5</v>
      </c>
    </row>
    <row r="400" spans="1:13" x14ac:dyDescent="0.25">
      <c r="A400" s="1" t="s">
        <v>201</v>
      </c>
      <c r="B400" s="1" t="s">
        <v>202</v>
      </c>
      <c r="C400" s="1">
        <v>12800000</v>
      </c>
      <c r="D400" s="1" t="s">
        <v>41</v>
      </c>
      <c r="E400">
        <v>4345.7790000000005</v>
      </c>
      <c r="F400" s="1" t="s">
        <v>97</v>
      </c>
      <c r="G400">
        <v>64</v>
      </c>
      <c r="H400">
        <v>1</v>
      </c>
      <c r="I400" s="1" t="s">
        <v>194</v>
      </c>
      <c r="J400">
        <v>2</v>
      </c>
      <c r="K400" t="str">
        <f>IF(Tb_data[[#This Row],[previous_workers]]&lt;Tb_data[[#This Row],[workers]],"yes","no")</f>
        <v>yes</v>
      </c>
      <c r="L400">
        <f>Tb_data[[#This Row],[workers]]-Tb_data[[#This Row],[previous_workers]]</f>
        <v>63</v>
      </c>
      <c r="M400" s="12">
        <f>Tb_data[[#This Row],[Employees Growth]]/Tb_data[[#This Row],[previous_workers]]</f>
        <v>63</v>
      </c>
    </row>
    <row r="401" spans="1:13" x14ac:dyDescent="0.25">
      <c r="A401" s="1" t="s">
        <v>2889</v>
      </c>
      <c r="B401" s="1" t="s">
        <v>2890</v>
      </c>
      <c r="C401" s="1">
        <v>11200000</v>
      </c>
      <c r="D401" s="1" t="s">
        <v>91</v>
      </c>
      <c r="E401">
        <v>299.3963</v>
      </c>
      <c r="F401" s="1" t="s">
        <v>62</v>
      </c>
      <c r="G401">
        <v>53</v>
      </c>
      <c r="H401">
        <v>15</v>
      </c>
      <c r="I401" s="1" t="s">
        <v>26</v>
      </c>
      <c r="J401">
        <v>1</v>
      </c>
      <c r="K401" t="str">
        <f>IF(Tb_data[[#This Row],[previous_workers]]&lt;Tb_data[[#This Row],[workers]],"yes","no")</f>
        <v>yes</v>
      </c>
      <c r="L401">
        <f>Tb_data[[#This Row],[workers]]-Tb_data[[#This Row],[previous_workers]]</f>
        <v>38</v>
      </c>
      <c r="M401" s="12">
        <f>Tb_data[[#This Row],[Employees Growth]]/Tb_data[[#This Row],[previous_workers]]</f>
        <v>2.5333333333333332</v>
      </c>
    </row>
    <row r="402" spans="1:13" x14ac:dyDescent="0.25">
      <c r="A402" s="1" t="s">
        <v>966</v>
      </c>
      <c r="B402" s="1" t="s">
        <v>967</v>
      </c>
      <c r="C402" s="1">
        <v>21300000</v>
      </c>
      <c r="D402" s="1" t="s">
        <v>41</v>
      </c>
      <c r="E402">
        <v>1043.6166000000001</v>
      </c>
      <c r="F402" s="1" t="s">
        <v>156</v>
      </c>
      <c r="G402">
        <v>50</v>
      </c>
      <c r="H402">
        <v>17</v>
      </c>
      <c r="I402" s="1" t="s">
        <v>164</v>
      </c>
      <c r="J402">
        <v>2</v>
      </c>
      <c r="K402" t="str">
        <f>IF(Tb_data[[#This Row],[previous_workers]]&lt;Tb_data[[#This Row],[workers]],"yes","no")</f>
        <v>yes</v>
      </c>
      <c r="L402">
        <f>Tb_data[[#This Row],[workers]]-Tb_data[[#This Row],[previous_workers]]</f>
        <v>33</v>
      </c>
      <c r="M402" s="12">
        <f>Tb_data[[#This Row],[Employees Growth]]/Tb_data[[#This Row],[previous_workers]]</f>
        <v>1.9411764705882353</v>
      </c>
    </row>
    <row r="403" spans="1:13" x14ac:dyDescent="0.25">
      <c r="A403" s="1" t="s">
        <v>6537</v>
      </c>
      <c r="B403" s="1" t="s">
        <v>6538</v>
      </c>
      <c r="C403" s="1">
        <v>48600000</v>
      </c>
      <c r="D403" s="1" t="s">
        <v>45</v>
      </c>
      <c r="E403">
        <v>112.90730000000001</v>
      </c>
      <c r="F403" s="1" t="s">
        <v>176</v>
      </c>
      <c r="G403">
        <v>350</v>
      </c>
      <c r="H403">
        <v>200</v>
      </c>
      <c r="I403" s="1" t="s">
        <v>147</v>
      </c>
      <c r="J403">
        <v>5</v>
      </c>
      <c r="K403" t="str">
        <f>IF(Tb_data[[#This Row],[previous_workers]]&lt;Tb_data[[#This Row],[workers]],"yes","no")</f>
        <v>yes</v>
      </c>
      <c r="L403">
        <f>Tb_data[[#This Row],[workers]]-Tb_data[[#This Row],[previous_workers]]</f>
        <v>150</v>
      </c>
      <c r="M403" s="12">
        <f>Tb_data[[#This Row],[Employees Growth]]/Tb_data[[#This Row],[previous_workers]]</f>
        <v>0.75</v>
      </c>
    </row>
    <row r="404" spans="1:13" x14ac:dyDescent="0.25">
      <c r="A404" s="1" t="s">
        <v>9221</v>
      </c>
      <c r="B404" s="1" t="s">
        <v>9222</v>
      </c>
      <c r="C404" s="1">
        <v>3600000</v>
      </c>
      <c r="D404" s="1" t="s">
        <v>49</v>
      </c>
      <c r="E404">
        <v>63.8688</v>
      </c>
      <c r="F404" s="1" t="s">
        <v>169</v>
      </c>
      <c r="G404">
        <v>32</v>
      </c>
      <c r="H404">
        <v>16</v>
      </c>
      <c r="I404" s="1" t="s">
        <v>229</v>
      </c>
      <c r="J404">
        <v>2</v>
      </c>
      <c r="K404" t="str">
        <f>IF(Tb_data[[#This Row],[previous_workers]]&lt;Tb_data[[#This Row],[workers]],"yes","no")</f>
        <v>yes</v>
      </c>
      <c r="L404">
        <f>Tb_data[[#This Row],[workers]]-Tb_data[[#This Row],[previous_workers]]</f>
        <v>16</v>
      </c>
      <c r="M404" s="12">
        <f>Tb_data[[#This Row],[Employees Growth]]/Tb_data[[#This Row],[previous_workers]]</f>
        <v>1</v>
      </c>
    </row>
    <row r="405" spans="1:13" x14ac:dyDescent="0.25">
      <c r="A405" s="1" t="s">
        <v>9073</v>
      </c>
      <c r="B405" s="1" t="s">
        <v>9074</v>
      </c>
      <c r="C405" s="1">
        <v>7300000</v>
      </c>
      <c r="D405" s="1" t="s">
        <v>1002</v>
      </c>
      <c r="E405">
        <v>65.770700000000005</v>
      </c>
      <c r="F405" s="1" t="s">
        <v>100</v>
      </c>
      <c r="G405">
        <v>10</v>
      </c>
      <c r="H405">
        <v>6</v>
      </c>
      <c r="I405" s="1" t="s">
        <v>948</v>
      </c>
      <c r="J405">
        <v>5</v>
      </c>
      <c r="K405" t="str">
        <f>IF(Tb_data[[#This Row],[previous_workers]]&lt;Tb_data[[#This Row],[workers]],"yes","no")</f>
        <v>yes</v>
      </c>
      <c r="L405">
        <f>Tb_data[[#This Row],[workers]]-Tb_data[[#This Row],[previous_workers]]</f>
        <v>4</v>
      </c>
      <c r="M405" s="12">
        <f>Tb_data[[#This Row],[Employees Growth]]/Tb_data[[#This Row],[previous_workers]]</f>
        <v>0.66666666666666663</v>
      </c>
    </row>
    <row r="406" spans="1:13" x14ac:dyDescent="0.25">
      <c r="A406" s="1" t="s">
        <v>9511</v>
      </c>
      <c r="B406" s="1" t="s">
        <v>9512</v>
      </c>
      <c r="C406" s="1">
        <v>2600000</v>
      </c>
      <c r="D406" s="1" t="s">
        <v>49</v>
      </c>
      <c r="E406">
        <v>60.169899999999998</v>
      </c>
      <c r="F406" s="1" t="s">
        <v>112</v>
      </c>
      <c r="G406">
        <v>22</v>
      </c>
      <c r="H406">
        <v>10</v>
      </c>
      <c r="I406" s="1" t="s">
        <v>372</v>
      </c>
      <c r="J406">
        <v>1</v>
      </c>
      <c r="K406" t="str">
        <f>IF(Tb_data[[#This Row],[previous_workers]]&lt;Tb_data[[#This Row],[workers]],"yes","no")</f>
        <v>yes</v>
      </c>
      <c r="L406">
        <f>Tb_data[[#This Row],[workers]]-Tb_data[[#This Row],[previous_workers]]</f>
        <v>12</v>
      </c>
      <c r="M406" s="12">
        <f>Tb_data[[#This Row],[Employees Growth]]/Tb_data[[#This Row],[previous_workers]]</f>
        <v>1.2</v>
      </c>
    </row>
    <row r="407" spans="1:13" x14ac:dyDescent="0.25">
      <c r="A407" s="1" t="s">
        <v>4844</v>
      </c>
      <c r="B407" s="1" t="s">
        <v>4845</v>
      </c>
      <c r="C407" s="1">
        <v>7200000</v>
      </c>
      <c r="D407" s="1" t="s">
        <v>41</v>
      </c>
      <c r="E407">
        <v>168.17240000000001</v>
      </c>
      <c r="F407" s="1" t="s">
        <v>97</v>
      </c>
      <c r="G407">
        <v>46</v>
      </c>
      <c r="H407">
        <v>21</v>
      </c>
      <c r="I407" s="1" t="s">
        <v>117</v>
      </c>
      <c r="J407">
        <v>3</v>
      </c>
      <c r="K407" t="str">
        <f>IF(Tb_data[[#This Row],[previous_workers]]&lt;Tb_data[[#This Row],[workers]],"yes","no")</f>
        <v>yes</v>
      </c>
      <c r="L407">
        <f>Tb_data[[#This Row],[workers]]-Tb_data[[#This Row],[previous_workers]]</f>
        <v>25</v>
      </c>
      <c r="M407" s="12">
        <f>Tb_data[[#This Row],[Employees Growth]]/Tb_data[[#This Row],[previous_workers]]</f>
        <v>1.1904761904761905</v>
      </c>
    </row>
    <row r="408" spans="1:13" x14ac:dyDescent="0.25">
      <c r="A408" s="1" t="s">
        <v>4798</v>
      </c>
      <c r="B408" s="1" t="s">
        <v>4799</v>
      </c>
      <c r="C408" s="1">
        <v>9500000</v>
      </c>
      <c r="D408" s="1" t="s">
        <v>79</v>
      </c>
      <c r="E408">
        <v>170.1207</v>
      </c>
      <c r="F408" s="1" t="s">
        <v>25</v>
      </c>
      <c r="G408">
        <v>41</v>
      </c>
      <c r="H408">
        <v>10</v>
      </c>
      <c r="I408" s="1" t="s">
        <v>130</v>
      </c>
      <c r="J408">
        <v>2</v>
      </c>
      <c r="K408" t="str">
        <f>IF(Tb_data[[#This Row],[previous_workers]]&lt;Tb_data[[#This Row],[workers]],"yes","no")</f>
        <v>yes</v>
      </c>
      <c r="L408">
        <f>Tb_data[[#This Row],[workers]]-Tb_data[[#This Row],[previous_workers]]</f>
        <v>31</v>
      </c>
      <c r="M408" s="12">
        <f>Tb_data[[#This Row],[Employees Growth]]/Tb_data[[#This Row],[previous_workers]]</f>
        <v>3.1</v>
      </c>
    </row>
    <row r="409" spans="1:13" x14ac:dyDescent="0.25">
      <c r="A409" s="1" t="s">
        <v>8173</v>
      </c>
      <c r="B409" s="1" t="s">
        <v>8174</v>
      </c>
      <c r="C409" s="1">
        <v>10300000</v>
      </c>
      <c r="D409" s="1" t="s">
        <v>422</v>
      </c>
      <c r="E409">
        <v>80.058400000000006</v>
      </c>
      <c r="F409" s="1" t="s">
        <v>176</v>
      </c>
      <c r="G409">
        <v>142</v>
      </c>
      <c r="H409">
        <v>87</v>
      </c>
      <c r="I409" s="1" t="s">
        <v>55</v>
      </c>
      <c r="J409">
        <v>2</v>
      </c>
      <c r="K409" t="str">
        <f>IF(Tb_data[[#This Row],[previous_workers]]&lt;Tb_data[[#This Row],[workers]],"yes","no")</f>
        <v>yes</v>
      </c>
      <c r="L409">
        <f>Tb_data[[#This Row],[workers]]-Tb_data[[#This Row],[previous_workers]]</f>
        <v>55</v>
      </c>
      <c r="M409" s="12">
        <f>Tb_data[[#This Row],[Employees Growth]]/Tb_data[[#This Row],[previous_workers]]</f>
        <v>0.63218390804597702</v>
      </c>
    </row>
    <row r="410" spans="1:13" x14ac:dyDescent="0.25">
      <c r="A410" s="1" t="s">
        <v>8363</v>
      </c>
      <c r="B410" s="1" t="s">
        <v>8364</v>
      </c>
      <c r="C410" s="1">
        <v>65800000</v>
      </c>
      <c r="D410" s="1" t="s">
        <v>69</v>
      </c>
      <c r="E410">
        <v>76.8005</v>
      </c>
      <c r="F410" s="1" t="s">
        <v>100</v>
      </c>
      <c r="G410">
        <v>1229</v>
      </c>
      <c r="H410">
        <v>697</v>
      </c>
      <c r="I410" s="1" t="s">
        <v>35</v>
      </c>
      <c r="J410">
        <v>6</v>
      </c>
      <c r="K410" t="str">
        <f>IF(Tb_data[[#This Row],[previous_workers]]&lt;Tb_data[[#This Row],[workers]],"yes","no")</f>
        <v>yes</v>
      </c>
      <c r="L410">
        <f>Tb_data[[#This Row],[workers]]-Tb_data[[#This Row],[previous_workers]]</f>
        <v>532</v>
      </c>
      <c r="M410" s="12">
        <f>Tb_data[[#This Row],[Employees Growth]]/Tb_data[[#This Row],[previous_workers]]</f>
        <v>0.76327116212338597</v>
      </c>
    </row>
    <row r="411" spans="1:13" x14ac:dyDescent="0.25">
      <c r="A411" s="1" t="s">
        <v>2094</v>
      </c>
      <c r="B411" s="1" t="s">
        <v>2095</v>
      </c>
      <c r="C411" s="1">
        <v>6300000</v>
      </c>
      <c r="D411" s="1" t="s">
        <v>69</v>
      </c>
      <c r="E411">
        <v>426.63119999999998</v>
      </c>
      <c r="F411" s="1" t="s">
        <v>176</v>
      </c>
      <c r="G411">
        <v>27</v>
      </c>
      <c r="H411">
        <v>11</v>
      </c>
      <c r="I411" s="1" t="s">
        <v>26</v>
      </c>
      <c r="J411">
        <v>1</v>
      </c>
      <c r="K411" t="str">
        <f>IF(Tb_data[[#This Row],[previous_workers]]&lt;Tb_data[[#This Row],[workers]],"yes","no")</f>
        <v>yes</v>
      </c>
      <c r="L411">
        <f>Tb_data[[#This Row],[workers]]-Tb_data[[#This Row],[previous_workers]]</f>
        <v>16</v>
      </c>
      <c r="M411" s="12">
        <f>Tb_data[[#This Row],[Employees Growth]]/Tb_data[[#This Row],[previous_workers]]</f>
        <v>1.4545454545454546</v>
      </c>
    </row>
    <row r="412" spans="1:13" x14ac:dyDescent="0.25">
      <c r="A412" s="1" t="s">
        <v>9229</v>
      </c>
      <c r="B412" s="1" t="s">
        <v>9230</v>
      </c>
      <c r="C412" s="1">
        <v>3200000</v>
      </c>
      <c r="D412" s="1" t="s">
        <v>20</v>
      </c>
      <c r="E412">
        <v>63.757300000000001</v>
      </c>
      <c r="F412" s="1" t="s">
        <v>112</v>
      </c>
      <c r="G412">
        <v>8</v>
      </c>
      <c r="H412">
        <v>9</v>
      </c>
      <c r="I412" s="1" t="s">
        <v>295</v>
      </c>
      <c r="J412">
        <v>2</v>
      </c>
      <c r="K412" t="str">
        <f>IF(Tb_data[[#This Row],[previous_workers]]&lt;Tb_data[[#This Row],[workers]],"yes","no")</f>
        <v>no</v>
      </c>
      <c r="L412">
        <f>Tb_data[[#This Row],[workers]]-Tb_data[[#This Row],[previous_workers]]</f>
        <v>-1</v>
      </c>
      <c r="M412" s="12">
        <f>Tb_data[[#This Row],[Employees Growth]]/Tb_data[[#This Row],[previous_workers]]</f>
        <v>-0.1111111111111111</v>
      </c>
    </row>
    <row r="413" spans="1:13" x14ac:dyDescent="0.25">
      <c r="A413" s="1" t="s">
        <v>5164</v>
      </c>
      <c r="B413" s="1" t="s">
        <v>5165</v>
      </c>
      <c r="C413" s="1">
        <v>3800000</v>
      </c>
      <c r="D413" s="1" t="s">
        <v>129</v>
      </c>
      <c r="E413">
        <v>154.8854</v>
      </c>
      <c r="F413" s="1" t="s">
        <v>176</v>
      </c>
      <c r="G413">
        <v>24</v>
      </c>
      <c r="H413">
        <v>11</v>
      </c>
      <c r="I413" s="1" t="s">
        <v>836</v>
      </c>
      <c r="J413">
        <v>2</v>
      </c>
      <c r="K413" t="str">
        <f>IF(Tb_data[[#This Row],[previous_workers]]&lt;Tb_data[[#This Row],[workers]],"yes","no")</f>
        <v>yes</v>
      </c>
      <c r="L413">
        <f>Tb_data[[#This Row],[workers]]-Tb_data[[#This Row],[previous_workers]]</f>
        <v>13</v>
      </c>
      <c r="M413" s="12">
        <f>Tb_data[[#This Row],[Employees Growth]]/Tb_data[[#This Row],[previous_workers]]</f>
        <v>1.1818181818181819</v>
      </c>
    </row>
    <row r="414" spans="1:13" x14ac:dyDescent="0.25">
      <c r="A414" s="1" t="s">
        <v>8510</v>
      </c>
      <c r="B414" s="1" t="s">
        <v>8511</v>
      </c>
      <c r="C414" s="1">
        <v>7400000</v>
      </c>
      <c r="D414" s="1" t="s">
        <v>38</v>
      </c>
      <c r="E414">
        <v>73.938999999999993</v>
      </c>
      <c r="F414" s="1" t="s">
        <v>169</v>
      </c>
      <c r="G414">
        <v>23</v>
      </c>
      <c r="H414">
        <v>15</v>
      </c>
      <c r="I414" s="1" t="s">
        <v>2628</v>
      </c>
      <c r="J414">
        <v>2</v>
      </c>
      <c r="K414" t="str">
        <f>IF(Tb_data[[#This Row],[previous_workers]]&lt;Tb_data[[#This Row],[workers]],"yes","no")</f>
        <v>yes</v>
      </c>
      <c r="L414">
        <f>Tb_data[[#This Row],[workers]]-Tb_data[[#This Row],[previous_workers]]</f>
        <v>8</v>
      </c>
      <c r="M414" s="12">
        <f>Tb_data[[#This Row],[Employees Growth]]/Tb_data[[#This Row],[previous_workers]]</f>
        <v>0.53333333333333333</v>
      </c>
    </row>
    <row r="415" spans="1:13" x14ac:dyDescent="0.25">
      <c r="A415" s="1" t="s">
        <v>6489</v>
      </c>
      <c r="B415" s="1" t="s">
        <v>6490</v>
      </c>
      <c r="C415" s="1">
        <v>2200000</v>
      </c>
      <c r="D415" s="1" t="s">
        <v>20</v>
      </c>
      <c r="E415">
        <v>114.27460000000001</v>
      </c>
      <c r="F415" s="1" t="s">
        <v>94</v>
      </c>
      <c r="G415">
        <v>11</v>
      </c>
      <c r="H415">
        <v>6</v>
      </c>
      <c r="I415" s="1" t="s">
        <v>117</v>
      </c>
      <c r="J415">
        <v>1</v>
      </c>
      <c r="K415" t="str">
        <f>IF(Tb_data[[#This Row],[previous_workers]]&lt;Tb_data[[#This Row],[workers]],"yes","no")</f>
        <v>yes</v>
      </c>
      <c r="L415">
        <f>Tb_data[[#This Row],[workers]]-Tb_data[[#This Row],[previous_workers]]</f>
        <v>5</v>
      </c>
      <c r="M415" s="12">
        <f>Tb_data[[#This Row],[Employees Growth]]/Tb_data[[#This Row],[previous_workers]]</f>
        <v>0.83333333333333337</v>
      </c>
    </row>
    <row r="416" spans="1:13" x14ac:dyDescent="0.25">
      <c r="A416" s="1" t="s">
        <v>7625</v>
      </c>
      <c r="B416" s="1" t="s">
        <v>7626</v>
      </c>
      <c r="C416" s="1">
        <v>24100000</v>
      </c>
      <c r="D416" s="1" t="s">
        <v>155</v>
      </c>
      <c r="E416">
        <v>89.465199999999996</v>
      </c>
      <c r="F416" s="1" t="s">
        <v>172</v>
      </c>
      <c r="G416">
        <v>23</v>
      </c>
      <c r="H416">
        <v>16</v>
      </c>
      <c r="I416" s="1" t="s">
        <v>226</v>
      </c>
      <c r="J416">
        <v>3</v>
      </c>
      <c r="K416" t="str">
        <f>IF(Tb_data[[#This Row],[previous_workers]]&lt;Tb_data[[#This Row],[workers]],"yes","no")</f>
        <v>yes</v>
      </c>
      <c r="L416">
        <f>Tb_data[[#This Row],[workers]]-Tb_data[[#This Row],[previous_workers]]</f>
        <v>7</v>
      </c>
      <c r="M416" s="12">
        <f>Tb_data[[#This Row],[Employees Growth]]/Tb_data[[#This Row],[previous_workers]]</f>
        <v>0.4375</v>
      </c>
    </row>
    <row r="417" spans="1:13" x14ac:dyDescent="0.25">
      <c r="A417" s="1" t="s">
        <v>3093</v>
      </c>
      <c r="B417" s="1" t="s">
        <v>3094</v>
      </c>
      <c r="C417" s="1">
        <v>88000000</v>
      </c>
      <c r="D417" s="1" t="s">
        <v>500</v>
      </c>
      <c r="E417">
        <v>277.3546</v>
      </c>
      <c r="F417" s="1" t="s">
        <v>34</v>
      </c>
      <c r="G417">
        <v>750</v>
      </c>
      <c r="H417">
        <v>250</v>
      </c>
      <c r="I417" s="1" t="s">
        <v>130</v>
      </c>
      <c r="J417">
        <v>4</v>
      </c>
      <c r="K417" t="str">
        <f>IF(Tb_data[[#This Row],[previous_workers]]&lt;Tb_data[[#This Row],[workers]],"yes","no")</f>
        <v>yes</v>
      </c>
      <c r="L417">
        <f>Tb_data[[#This Row],[workers]]-Tb_data[[#This Row],[previous_workers]]</f>
        <v>500</v>
      </c>
      <c r="M417" s="12">
        <f>Tb_data[[#This Row],[Employees Growth]]/Tb_data[[#This Row],[previous_workers]]</f>
        <v>2</v>
      </c>
    </row>
    <row r="418" spans="1:13" x14ac:dyDescent="0.25">
      <c r="A418" s="1" t="s">
        <v>10032</v>
      </c>
      <c r="B418" s="1" t="s">
        <v>10033</v>
      </c>
      <c r="C418" s="1">
        <v>1100000000</v>
      </c>
      <c r="D418" s="1" t="s">
        <v>123</v>
      </c>
      <c r="E418">
        <v>53.016100000000002</v>
      </c>
      <c r="F418" s="1" t="s">
        <v>94</v>
      </c>
      <c r="G418">
        <v>538</v>
      </c>
      <c r="H418">
        <v>611</v>
      </c>
      <c r="I418" s="1" t="s">
        <v>980</v>
      </c>
      <c r="J418">
        <v>6</v>
      </c>
      <c r="K418" t="str">
        <f>IF(Tb_data[[#This Row],[previous_workers]]&lt;Tb_data[[#This Row],[workers]],"yes","no")</f>
        <v>no</v>
      </c>
      <c r="L418">
        <f>Tb_data[[#This Row],[workers]]-Tb_data[[#This Row],[previous_workers]]</f>
        <v>-73</v>
      </c>
      <c r="M418" s="12">
        <f>Tb_data[[#This Row],[Employees Growth]]/Tb_data[[#This Row],[previous_workers]]</f>
        <v>-0.11947626841243862</v>
      </c>
    </row>
    <row r="419" spans="1:13" x14ac:dyDescent="0.25">
      <c r="A419" s="1" t="s">
        <v>4916</v>
      </c>
      <c r="B419" s="1" t="s">
        <v>4917</v>
      </c>
      <c r="C419" s="1">
        <v>56100000</v>
      </c>
      <c r="D419" s="1" t="s">
        <v>483</v>
      </c>
      <c r="E419">
        <v>165.1328</v>
      </c>
      <c r="F419" s="1" t="s">
        <v>97</v>
      </c>
      <c r="G419">
        <v>202</v>
      </c>
      <c r="H419">
        <v>89</v>
      </c>
      <c r="I419" s="1" t="s">
        <v>46</v>
      </c>
      <c r="J419">
        <v>6</v>
      </c>
      <c r="K419" t="str">
        <f>IF(Tb_data[[#This Row],[previous_workers]]&lt;Tb_data[[#This Row],[workers]],"yes","no")</f>
        <v>yes</v>
      </c>
      <c r="L419">
        <f>Tb_data[[#This Row],[workers]]-Tb_data[[#This Row],[previous_workers]]</f>
        <v>113</v>
      </c>
      <c r="M419" s="12">
        <f>Tb_data[[#This Row],[Employees Growth]]/Tb_data[[#This Row],[previous_workers]]</f>
        <v>1.2696629213483146</v>
      </c>
    </row>
    <row r="420" spans="1:13" x14ac:dyDescent="0.25">
      <c r="A420" s="1" t="s">
        <v>3097</v>
      </c>
      <c r="B420" s="1" t="s">
        <v>3098</v>
      </c>
      <c r="C420" s="1">
        <v>5600000</v>
      </c>
      <c r="D420" s="1" t="s">
        <v>422</v>
      </c>
      <c r="E420">
        <v>277.2509</v>
      </c>
      <c r="F420" s="1" t="s">
        <v>156</v>
      </c>
      <c r="G420">
        <v>27</v>
      </c>
      <c r="H420">
        <v>8</v>
      </c>
      <c r="I420" s="1" t="s">
        <v>55</v>
      </c>
      <c r="J420">
        <v>2</v>
      </c>
      <c r="K420" t="str">
        <f>IF(Tb_data[[#This Row],[previous_workers]]&lt;Tb_data[[#This Row],[workers]],"yes","no")</f>
        <v>yes</v>
      </c>
      <c r="L420">
        <f>Tb_data[[#This Row],[workers]]-Tb_data[[#This Row],[previous_workers]]</f>
        <v>19</v>
      </c>
      <c r="M420" s="12">
        <f>Tb_data[[#This Row],[Employees Growth]]/Tb_data[[#This Row],[previous_workers]]</f>
        <v>2.375</v>
      </c>
    </row>
    <row r="421" spans="1:13" x14ac:dyDescent="0.25">
      <c r="A421" s="1" t="s">
        <v>7471</v>
      </c>
      <c r="B421" s="1" t="s">
        <v>7472</v>
      </c>
      <c r="C421" s="1">
        <v>3200000</v>
      </c>
      <c r="D421" s="1" t="s">
        <v>38</v>
      </c>
      <c r="E421">
        <v>93.871099999999998</v>
      </c>
      <c r="F421" s="1" t="s">
        <v>161</v>
      </c>
      <c r="G421">
        <v>29</v>
      </c>
      <c r="H421">
        <v>6</v>
      </c>
      <c r="I421" s="1" t="s">
        <v>74</v>
      </c>
      <c r="J421">
        <v>1</v>
      </c>
      <c r="K421" t="str">
        <f>IF(Tb_data[[#This Row],[previous_workers]]&lt;Tb_data[[#This Row],[workers]],"yes","no")</f>
        <v>yes</v>
      </c>
      <c r="L421">
        <f>Tb_data[[#This Row],[workers]]-Tb_data[[#This Row],[previous_workers]]</f>
        <v>23</v>
      </c>
      <c r="M421" s="12">
        <f>Tb_data[[#This Row],[Employees Growth]]/Tb_data[[#This Row],[previous_workers]]</f>
        <v>3.8333333333333335</v>
      </c>
    </row>
    <row r="422" spans="1:13" x14ac:dyDescent="0.25">
      <c r="A422" s="1" t="s">
        <v>9990</v>
      </c>
      <c r="B422" s="1" t="s">
        <v>9991</v>
      </c>
      <c r="C422" s="1">
        <v>22500000</v>
      </c>
      <c r="D422" s="1" t="s">
        <v>129</v>
      </c>
      <c r="E422">
        <v>53.551499999999997</v>
      </c>
      <c r="F422" s="1" t="s">
        <v>86</v>
      </c>
      <c r="G422">
        <v>125</v>
      </c>
      <c r="H422">
        <v>71</v>
      </c>
      <c r="I422" s="1" t="s">
        <v>147</v>
      </c>
      <c r="J422">
        <v>9</v>
      </c>
      <c r="K422" t="str">
        <f>IF(Tb_data[[#This Row],[previous_workers]]&lt;Tb_data[[#This Row],[workers]],"yes","no")</f>
        <v>yes</v>
      </c>
      <c r="L422">
        <f>Tb_data[[#This Row],[workers]]-Tb_data[[#This Row],[previous_workers]]</f>
        <v>54</v>
      </c>
      <c r="M422" s="12">
        <f>Tb_data[[#This Row],[Employees Growth]]/Tb_data[[#This Row],[previous_workers]]</f>
        <v>0.76056338028169013</v>
      </c>
    </row>
    <row r="423" spans="1:13" x14ac:dyDescent="0.25">
      <c r="A423" s="1" t="s">
        <v>2048</v>
      </c>
      <c r="B423" s="1" t="s">
        <v>2049</v>
      </c>
      <c r="C423" s="1">
        <v>2500000</v>
      </c>
      <c r="D423" s="1" t="s">
        <v>58</v>
      </c>
      <c r="E423">
        <v>438.34820000000002</v>
      </c>
      <c r="F423" s="1" t="s">
        <v>176</v>
      </c>
      <c r="G423">
        <v>7</v>
      </c>
      <c r="H423">
        <v>3</v>
      </c>
      <c r="I423" s="1" t="s">
        <v>26</v>
      </c>
      <c r="J423">
        <v>1</v>
      </c>
      <c r="K423" t="str">
        <f>IF(Tb_data[[#This Row],[previous_workers]]&lt;Tb_data[[#This Row],[workers]],"yes","no")</f>
        <v>yes</v>
      </c>
      <c r="L423">
        <f>Tb_data[[#This Row],[workers]]-Tb_data[[#This Row],[previous_workers]]</f>
        <v>4</v>
      </c>
      <c r="M423" s="12">
        <f>Tb_data[[#This Row],[Employees Growth]]/Tb_data[[#This Row],[previous_workers]]</f>
        <v>1.3333333333333333</v>
      </c>
    </row>
    <row r="424" spans="1:13" x14ac:dyDescent="0.25">
      <c r="A424" s="1" t="s">
        <v>924</v>
      </c>
      <c r="B424" s="1" t="s">
        <v>925</v>
      </c>
      <c r="C424" s="1">
        <v>14000000</v>
      </c>
      <c r="D424" s="1" t="s">
        <v>49</v>
      </c>
      <c r="E424">
        <v>1103.0117</v>
      </c>
      <c r="F424" s="1" t="s">
        <v>12</v>
      </c>
      <c r="G424">
        <v>80</v>
      </c>
      <c r="H424">
        <v>12</v>
      </c>
      <c r="I424" s="1" t="s">
        <v>46</v>
      </c>
      <c r="J424">
        <v>1</v>
      </c>
      <c r="K424" t="str">
        <f>IF(Tb_data[[#This Row],[previous_workers]]&lt;Tb_data[[#This Row],[workers]],"yes","no")</f>
        <v>yes</v>
      </c>
      <c r="L424">
        <f>Tb_data[[#This Row],[workers]]-Tb_data[[#This Row],[previous_workers]]</f>
        <v>68</v>
      </c>
      <c r="M424" s="12">
        <f>Tb_data[[#This Row],[Employees Growth]]/Tb_data[[#This Row],[previous_workers]]</f>
        <v>5.666666666666667</v>
      </c>
    </row>
    <row r="425" spans="1:13" x14ac:dyDescent="0.25">
      <c r="A425" s="1" t="s">
        <v>9922</v>
      </c>
      <c r="B425" s="1" t="s">
        <v>9923</v>
      </c>
      <c r="C425" s="1">
        <v>33200000</v>
      </c>
      <c r="D425" s="1" t="s">
        <v>58</v>
      </c>
      <c r="E425">
        <v>54.885100000000001</v>
      </c>
      <c r="F425" s="1" t="s">
        <v>142</v>
      </c>
      <c r="G425">
        <v>326</v>
      </c>
      <c r="H425">
        <v>242</v>
      </c>
      <c r="I425" s="1" t="s">
        <v>372</v>
      </c>
      <c r="J425">
        <v>1</v>
      </c>
      <c r="K425" t="str">
        <f>IF(Tb_data[[#This Row],[previous_workers]]&lt;Tb_data[[#This Row],[workers]],"yes","no")</f>
        <v>yes</v>
      </c>
      <c r="L425">
        <f>Tb_data[[#This Row],[workers]]-Tb_data[[#This Row],[previous_workers]]</f>
        <v>84</v>
      </c>
      <c r="M425" s="12">
        <f>Tb_data[[#This Row],[Employees Growth]]/Tb_data[[#This Row],[previous_workers]]</f>
        <v>0.34710743801652894</v>
      </c>
    </row>
    <row r="426" spans="1:13" x14ac:dyDescent="0.25">
      <c r="A426" s="1" t="s">
        <v>3269</v>
      </c>
      <c r="B426" s="1" t="s">
        <v>3270</v>
      </c>
      <c r="C426" s="1">
        <v>18900000</v>
      </c>
      <c r="D426" s="1" t="s">
        <v>33</v>
      </c>
      <c r="E426">
        <v>262.78179999999998</v>
      </c>
      <c r="F426" s="1" t="s">
        <v>42</v>
      </c>
      <c r="G426">
        <v>67</v>
      </c>
      <c r="H426">
        <v>50</v>
      </c>
      <c r="I426" s="1" t="s">
        <v>948</v>
      </c>
      <c r="J426">
        <v>4</v>
      </c>
      <c r="K426" t="str">
        <f>IF(Tb_data[[#This Row],[previous_workers]]&lt;Tb_data[[#This Row],[workers]],"yes","no")</f>
        <v>yes</v>
      </c>
      <c r="L426">
        <f>Tb_data[[#This Row],[workers]]-Tb_data[[#This Row],[previous_workers]]</f>
        <v>17</v>
      </c>
      <c r="M426" s="12">
        <f>Tb_data[[#This Row],[Employees Growth]]/Tb_data[[#This Row],[previous_workers]]</f>
        <v>0.34</v>
      </c>
    </row>
    <row r="427" spans="1:13" x14ac:dyDescent="0.25">
      <c r="A427" s="1" t="s">
        <v>2793</v>
      </c>
      <c r="B427" s="1" t="s">
        <v>2794</v>
      </c>
      <c r="C427" s="1">
        <v>99700000</v>
      </c>
      <c r="D427" s="1" t="s">
        <v>179</v>
      </c>
      <c r="E427">
        <v>308.92610000000002</v>
      </c>
      <c r="F427" s="1" t="s">
        <v>142</v>
      </c>
      <c r="G427">
        <v>216</v>
      </c>
      <c r="H427">
        <v>65</v>
      </c>
      <c r="I427" s="1" t="s">
        <v>55</v>
      </c>
      <c r="J427">
        <v>2</v>
      </c>
      <c r="K427" t="str">
        <f>IF(Tb_data[[#This Row],[previous_workers]]&lt;Tb_data[[#This Row],[workers]],"yes","no")</f>
        <v>yes</v>
      </c>
      <c r="L427">
        <f>Tb_data[[#This Row],[workers]]-Tb_data[[#This Row],[previous_workers]]</f>
        <v>151</v>
      </c>
      <c r="M427" s="12">
        <f>Tb_data[[#This Row],[Employees Growth]]/Tb_data[[#This Row],[previous_workers]]</f>
        <v>2.3230769230769233</v>
      </c>
    </row>
    <row r="428" spans="1:13" x14ac:dyDescent="0.25">
      <c r="A428" s="1" t="s">
        <v>1469</v>
      </c>
      <c r="B428" s="1" t="s">
        <v>1470</v>
      </c>
      <c r="C428" s="1">
        <v>49400000</v>
      </c>
      <c r="D428" s="1" t="s">
        <v>49</v>
      </c>
      <c r="E428">
        <v>640.11</v>
      </c>
      <c r="F428" s="1" t="s">
        <v>62</v>
      </c>
      <c r="G428">
        <v>161</v>
      </c>
      <c r="H428">
        <v>72</v>
      </c>
      <c r="I428" s="1" t="s">
        <v>130</v>
      </c>
      <c r="J428">
        <v>1</v>
      </c>
      <c r="K428" t="str">
        <f>IF(Tb_data[[#This Row],[previous_workers]]&lt;Tb_data[[#This Row],[workers]],"yes","no")</f>
        <v>yes</v>
      </c>
      <c r="L428">
        <f>Tb_data[[#This Row],[workers]]-Tb_data[[#This Row],[previous_workers]]</f>
        <v>89</v>
      </c>
      <c r="M428" s="12">
        <f>Tb_data[[#This Row],[Employees Growth]]/Tb_data[[#This Row],[previous_workers]]</f>
        <v>1.2361111111111112</v>
      </c>
    </row>
    <row r="429" spans="1:13" x14ac:dyDescent="0.25">
      <c r="A429" s="1" t="s">
        <v>4375</v>
      </c>
      <c r="B429" s="1" t="s">
        <v>4376</v>
      </c>
      <c r="C429" s="1">
        <v>6600000</v>
      </c>
      <c r="D429" s="1" t="s">
        <v>52</v>
      </c>
      <c r="E429">
        <v>187.60550000000001</v>
      </c>
      <c r="F429" s="1" t="s">
        <v>86</v>
      </c>
      <c r="G429">
        <v>90</v>
      </c>
      <c r="H429">
        <v>14</v>
      </c>
      <c r="I429" s="1" t="s">
        <v>46</v>
      </c>
      <c r="J429">
        <v>3</v>
      </c>
      <c r="K429" t="str">
        <f>IF(Tb_data[[#This Row],[previous_workers]]&lt;Tb_data[[#This Row],[workers]],"yes","no")</f>
        <v>yes</v>
      </c>
      <c r="L429">
        <f>Tb_data[[#This Row],[workers]]-Tb_data[[#This Row],[previous_workers]]</f>
        <v>76</v>
      </c>
      <c r="M429" s="12">
        <f>Tb_data[[#This Row],[Employees Growth]]/Tb_data[[#This Row],[previous_workers]]</f>
        <v>5.4285714285714288</v>
      </c>
    </row>
    <row r="430" spans="1:13" x14ac:dyDescent="0.25">
      <c r="A430" s="1" t="s">
        <v>7789</v>
      </c>
      <c r="B430" s="1" t="s">
        <v>7790</v>
      </c>
      <c r="C430" s="1">
        <v>5400000</v>
      </c>
      <c r="D430" s="1" t="s">
        <v>29</v>
      </c>
      <c r="E430">
        <v>86.499899999999997</v>
      </c>
      <c r="F430" s="1" t="s">
        <v>116</v>
      </c>
      <c r="G430">
        <v>35</v>
      </c>
      <c r="H430">
        <v>15</v>
      </c>
      <c r="I430" s="1" t="s">
        <v>1051</v>
      </c>
      <c r="J430">
        <v>1</v>
      </c>
      <c r="K430" t="str">
        <f>IF(Tb_data[[#This Row],[previous_workers]]&lt;Tb_data[[#This Row],[workers]],"yes","no")</f>
        <v>yes</v>
      </c>
      <c r="L430">
        <f>Tb_data[[#This Row],[workers]]-Tb_data[[#This Row],[previous_workers]]</f>
        <v>20</v>
      </c>
      <c r="M430" s="12">
        <f>Tb_data[[#This Row],[Employees Growth]]/Tb_data[[#This Row],[previous_workers]]</f>
        <v>1.3333333333333333</v>
      </c>
    </row>
    <row r="431" spans="1:13" x14ac:dyDescent="0.25">
      <c r="A431" s="1" t="s">
        <v>4208</v>
      </c>
      <c r="B431" s="1" t="s">
        <v>4209</v>
      </c>
      <c r="C431" s="1">
        <v>11300000</v>
      </c>
      <c r="D431" s="1" t="s">
        <v>20</v>
      </c>
      <c r="E431">
        <v>195.44030000000001</v>
      </c>
      <c r="F431" s="1" t="s">
        <v>62</v>
      </c>
      <c r="G431">
        <v>97</v>
      </c>
      <c r="H431">
        <v>12</v>
      </c>
      <c r="I431" s="1" t="s">
        <v>74</v>
      </c>
      <c r="J431">
        <v>4</v>
      </c>
      <c r="K431" t="str">
        <f>IF(Tb_data[[#This Row],[previous_workers]]&lt;Tb_data[[#This Row],[workers]],"yes","no")</f>
        <v>yes</v>
      </c>
      <c r="L431">
        <f>Tb_data[[#This Row],[workers]]-Tb_data[[#This Row],[previous_workers]]</f>
        <v>85</v>
      </c>
      <c r="M431" s="12">
        <f>Tb_data[[#This Row],[Employees Growth]]/Tb_data[[#This Row],[previous_workers]]</f>
        <v>7.083333333333333</v>
      </c>
    </row>
    <row r="432" spans="1:13" x14ac:dyDescent="0.25">
      <c r="A432" s="1" t="s">
        <v>300</v>
      </c>
      <c r="B432" s="1" t="s">
        <v>301</v>
      </c>
      <c r="C432" s="1">
        <v>5100000</v>
      </c>
      <c r="D432" s="1" t="s">
        <v>20</v>
      </c>
      <c r="E432">
        <v>3031.4203000000002</v>
      </c>
      <c r="F432" s="1" t="s">
        <v>34</v>
      </c>
      <c r="G432">
        <v>15</v>
      </c>
      <c r="H432">
        <v>2</v>
      </c>
      <c r="I432" s="1" t="s">
        <v>13</v>
      </c>
      <c r="J432">
        <v>1</v>
      </c>
      <c r="K432" t="str">
        <f>IF(Tb_data[[#This Row],[previous_workers]]&lt;Tb_data[[#This Row],[workers]],"yes","no")</f>
        <v>yes</v>
      </c>
      <c r="L432">
        <f>Tb_data[[#This Row],[workers]]-Tb_data[[#This Row],[previous_workers]]</f>
        <v>13</v>
      </c>
      <c r="M432" s="12">
        <f>Tb_data[[#This Row],[Employees Growth]]/Tb_data[[#This Row],[previous_workers]]</f>
        <v>6.5</v>
      </c>
    </row>
    <row r="433" spans="1:13" x14ac:dyDescent="0.25">
      <c r="A433" s="1" t="s">
        <v>8584</v>
      </c>
      <c r="B433" s="1" t="s">
        <v>8585</v>
      </c>
      <c r="C433" s="1">
        <v>17300000</v>
      </c>
      <c r="D433" s="1" t="s">
        <v>1021</v>
      </c>
      <c r="E433">
        <v>72.616699999999994</v>
      </c>
      <c r="F433" s="1" t="s">
        <v>100</v>
      </c>
      <c r="G433">
        <v>16</v>
      </c>
      <c r="H433">
        <v>14</v>
      </c>
      <c r="I433" s="1" t="s">
        <v>74</v>
      </c>
      <c r="J433">
        <v>1</v>
      </c>
      <c r="K433" t="str">
        <f>IF(Tb_data[[#This Row],[previous_workers]]&lt;Tb_data[[#This Row],[workers]],"yes","no")</f>
        <v>yes</v>
      </c>
      <c r="L433">
        <f>Tb_data[[#This Row],[workers]]-Tb_data[[#This Row],[previous_workers]]</f>
        <v>2</v>
      </c>
      <c r="M433" s="12">
        <f>Tb_data[[#This Row],[Employees Growth]]/Tb_data[[#This Row],[previous_workers]]</f>
        <v>0.14285714285714285</v>
      </c>
    </row>
    <row r="434" spans="1:13" x14ac:dyDescent="0.25">
      <c r="A434" s="1" t="s">
        <v>7703</v>
      </c>
      <c r="B434" s="1" t="s">
        <v>7704</v>
      </c>
      <c r="C434" s="1">
        <v>42900000</v>
      </c>
      <c r="D434" s="1" t="s">
        <v>69</v>
      </c>
      <c r="E434">
        <v>88.038700000000006</v>
      </c>
      <c r="F434" s="1" t="s">
        <v>156</v>
      </c>
      <c r="G434">
        <v>75</v>
      </c>
      <c r="H434">
        <v>40</v>
      </c>
      <c r="I434" s="1" t="s">
        <v>2407</v>
      </c>
      <c r="J434">
        <v>6</v>
      </c>
      <c r="K434" t="str">
        <f>IF(Tb_data[[#This Row],[previous_workers]]&lt;Tb_data[[#This Row],[workers]],"yes","no")</f>
        <v>yes</v>
      </c>
      <c r="L434">
        <f>Tb_data[[#This Row],[workers]]-Tb_data[[#This Row],[previous_workers]]</f>
        <v>35</v>
      </c>
      <c r="M434" s="12">
        <f>Tb_data[[#This Row],[Employees Growth]]/Tb_data[[#This Row],[previous_workers]]</f>
        <v>0.875</v>
      </c>
    </row>
    <row r="435" spans="1:13" x14ac:dyDescent="0.25">
      <c r="A435" s="1" t="s">
        <v>4427</v>
      </c>
      <c r="B435" s="1" t="s">
        <v>4428</v>
      </c>
      <c r="C435" s="1">
        <v>91100000</v>
      </c>
      <c r="D435" s="1" t="s">
        <v>38</v>
      </c>
      <c r="E435">
        <v>185.66120000000001</v>
      </c>
      <c r="F435" s="1" t="s">
        <v>30</v>
      </c>
      <c r="G435">
        <v>60</v>
      </c>
      <c r="H435">
        <v>25</v>
      </c>
      <c r="I435" s="1" t="s">
        <v>117</v>
      </c>
      <c r="J435">
        <v>2</v>
      </c>
      <c r="K435" t="str">
        <f>IF(Tb_data[[#This Row],[previous_workers]]&lt;Tb_data[[#This Row],[workers]],"yes","no")</f>
        <v>yes</v>
      </c>
      <c r="L435">
        <f>Tb_data[[#This Row],[workers]]-Tb_data[[#This Row],[previous_workers]]</f>
        <v>35</v>
      </c>
      <c r="M435" s="12">
        <f>Tb_data[[#This Row],[Employees Growth]]/Tb_data[[#This Row],[previous_workers]]</f>
        <v>1.4</v>
      </c>
    </row>
    <row r="436" spans="1:13" x14ac:dyDescent="0.25">
      <c r="A436" s="1" t="s">
        <v>7945</v>
      </c>
      <c r="B436" s="1" t="s">
        <v>7946</v>
      </c>
      <c r="C436" s="1">
        <v>3200000</v>
      </c>
      <c r="D436" s="1" t="s">
        <v>254</v>
      </c>
      <c r="E436">
        <v>84.136200000000002</v>
      </c>
      <c r="F436" s="1" t="s">
        <v>12</v>
      </c>
      <c r="G436">
        <v>15</v>
      </c>
      <c r="H436">
        <v>10</v>
      </c>
      <c r="I436" s="1" t="s">
        <v>35</v>
      </c>
      <c r="J436">
        <v>1</v>
      </c>
      <c r="K436" t="str">
        <f>IF(Tb_data[[#This Row],[previous_workers]]&lt;Tb_data[[#This Row],[workers]],"yes","no")</f>
        <v>yes</v>
      </c>
      <c r="L436">
        <f>Tb_data[[#This Row],[workers]]-Tb_data[[#This Row],[previous_workers]]</f>
        <v>5</v>
      </c>
      <c r="M436" s="12">
        <f>Tb_data[[#This Row],[Employees Growth]]/Tb_data[[#This Row],[previous_workers]]</f>
        <v>0.5</v>
      </c>
    </row>
    <row r="437" spans="1:13" x14ac:dyDescent="0.25">
      <c r="A437" s="1" t="s">
        <v>2268</v>
      </c>
      <c r="B437" s="1" t="s">
        <v>2269</v>
      </c>
      <c r="C437" s="1">
        <v>2200000</v>
      </c>
      <c r="D437" s="1" t="s">
        <v>38</v>
      </c>
      <c r="E437">
        <v>388.22660000000002</v>
      </c>
      <c r="F437" s="1" t="s">
        <v>116</v>
      </c>
      <c r="G437">
        <v>15</v>
      </c>
      <c r="H437">
        <v>2</v>
      </c>
      <c r="I437" s="1" t="s">
        <v>26</v>
      </c>
      <c r="J437">
        <v>1</v>
      </c>
      <c r="K437" t="str">
        <f>IF(Tb_data[[#This Row],[previous_workers]]&lt;Tb_data[[#This Row],[workers]],"yes","no")</f>
        <v>yes</v>
      </c>
      <c r="L437">
        <f>Tb_data[[#This Row],[workers]]-Tb_data[[#This Row],[previous_workers]]</f>
        <v>13</v>
      </c>
      <c r="M437" s="12">
        <f>Tb_data[[#This Row],[Employees Growth]]/Tb_data[[#This Row],[previous_workers]]</f>
        <v>6.5</v>
      </c>
    </row>
    <row r="438" spans="1:13" x14ac:dyDescent="0.25">
      <c r="A438" s="1" t="s">
        <v>3161</v>
      </c>
      <c r="B438" s="1" t="s">
        <v>3162</v>
      </c>
      <c r="C438" s="1">
        <v>27700000</v>
      </c>
      <c r="D438" s="1" t="s">
        <v>123</v>
      </c>
      <c r="E438">
        <v>272.5326</v>
      </c>
      <c r="F438" s="1" t="s">
        <v>25</v>
      </c>
      <c r="G438">
        <v>77</v>
      </c>
      <c r="H438">
        <v>32</v>
      </c>
      <c r="I438" s="1" t="s">
        <v>226</v>
      </c>
      <c r="J438">
        <v>3</v>
      </c>
      <c r="K438" t="str">
        <f>IF(Tb_data[[#This Row],[previous_workers]]&lt;Tb_data[[#This Row],[workers]],"yes","no")</f>
        <v>yes</v>
      </c>
      <c r="L438">
        <f>Tb_data[[#This Row],[workers]]-Tb_data[[#This Row],[previous_workers]]</f>
        <v>45</v>
      </c>
      <c r="M438" s="12">
        <f>Tb_data[[#This Row],[Employees Growth]]/Tb_data[[#This Row],[previous_workers]]</f>
        <v>1.40625</v>
      </c>
    </row>
    <row r="439" spans="1:13" x14ac:dyDescent="0.25">
      <c r="A439" s="1" t="s">
        <v>3041</v>
      </c>
      <c r="B439" s="1" t="s">
        <v>3042</v>
      </c>
      <c r="C439" s="1">
        <v>195800000</v>
      </c>
      <c r="D439" s="1" t="s">
        <v>91</v>
      </c>
      <c r="E439">
        <v>283.89580000000001</v>
      </c>
      <c r="F439" s="1" t="s">
        <v>176</v>
      </c>
      <c r="G439">
        <v>285</v>
      </c>
      <c r="H439">
        <v>42</v>
      </c>
      <c r="I439" s="1" t="s">
        <v>948</v>
      </c>
      <c r="J439">
        <v>1</v>
      </c>
      <c r="K439" t="str">
        <f>IF(Tb_data[[#This Row],[previous_workers]]&lt;Tb_data[[#This Row],[workers]],"yes","no")</f>
        <v>yes</v>
      </c>
      <c r="L439">
        <f>Tb_data[[#This Row],[workers]]-Tb_data[[#This Row],[previous_workers]]</f>
        <v>243</v>
      </c>
      <c r="M439" s="12">
        <f>Tb_data[[#This Row],[Employees Growth]]/Tb_data[[#This Row],[previous_workers]]</f>
        <v>5.7857142857142856</v>
      </c>
    </row>
    <row r="440" spans="1:13" x14ac:dyDescent="0.25">
      <c r="A440" s="1" t="s">
        <v>6245</v>
      </c>
      <c r="B440" s="1" t="s">
        <v>6246</v>
      </c>
      <c r="C440" s="1">
        <v>67100000</v>
      </c>
      <c r="D440" s="1" t="s">
        <v>11</v>
      </c>
      <c r="E440">
        <v>120.3639</v>
      </c>
      <c r="F440" s="1" t="s">
        <v>17</v>
      </c>
      <c r="G440">
        <v>80</v>
      </c>
      <c r="H440">
        <v>57</v>
      </c>
      <c r="I440" s="1" t="s">
        <v>226</v>
      </c>
      <c r="J440">
        <v>2</v>
      </c>
      <c r="K440" t="str">
        <f>IF(Tb_data[[#This Row],[previous_workers]]&lt;Tb_data[[#This Row],[workers]],"yes","no")</f>
        <v>yes</v>
      </c>
      <c r="L440">
        <f>Tb_data[[#This Row],[workers]]-Tb_data[[#This Row],[previous_workers]]</f>
        <v>23</v>
      </c>
      <c r="M440" s="12">
        <f>Tb_data[[#This Row],[Employees Growth]]/Tb_data[[#This Row],[previous_workers]]</f>
        <v>0.40350877192982454</v>
      </c>
    </row>
    <row r="441" spans="1:13" x14ac:dyDescent="0.25">
      <c r="A441" s="1" t="s">
        <v>6575</v>
      </c>
      <c r="B441" s="1" t="s">
        <v>6576</v>
      </c>
      <c r="C441" s="1">
        <v>9200000</v>
      </c>
      <c r="D441" s="1" t="s">
        <v>49</v>
      </c>
      <c r="E441">
        <v>112.10420000000001</v>
      </c>
      <c r="F441" s="1" t="s">
        <v>100</v>
      </c>
      <c r="G441">
        <v>209</v>
      </c>
      <c r="H441">
        <v>58</v>
      </c>
      <c r="I441" s="1" t="s">
        <v>46</v>
      </c>
      <c r="J441">
        <v>2</v>
      </c>
      <c r="K441" t="str">
        <f>IF(Tb_data[[#This Row],[previous_workers]]&lt;Tb_data[[#This Row],[workers]],"yes","no")</f>
        <v>yes</v>
      </c>
      <c r="L441">
        <f>Tb_data[[#This Row],[workers]]-Tb_data[[#This Row],[previous_workers]]</f>
        <v>151</v>
      </c>
      <c r="M441" s="12">
        <f>Tb_data[[#This Row],[Employees Growth]]/Tb_data[[#This Row],[previous_workers]]</f>
        <v>2.603448275862069</v>
      </c>
    </row>
    <row r="442" spans="1:13" x14ac:dyDescent="0.25">
      <c r="A442" s="1" t="s">
        <v>3547</v>
      </c>
      <c r="B442" s="1" t="s">
        <v>3548</v>
      </c>
      <c r="C442" s="1">
        <v>77000000</v>
      </c>
      <c r="D442" s="1" t="s">
        <v>33</v>
      </c>
      <c r="E442">
        <v>238.29750000000001</v>
      </c>
      <c r="F442" s="1" t="s">
        <v>34</v>
      </c>
      <c r="G442">
        <v>173</v>
      </c>
      <c r="H442">
        <v>56</v>
      </c>
      <c r="I442" s="1" t="s">
        <v>948</v>
      </c>
      <c r="J442">
        <v>5</v>
      </c>
      <c r="K442" t="str">
        <f>IF(Tb_data[[#This Row],[previous_workers]]&lt;Tb_data[[#This Row],[workers]],"yes","no")</f>
        <v>yes</v>
      </c>
      <c r="L442">
        <f>Tb_data[[#This Row],[workers]]-Tb_data[[#This Row],[previous_workers]]</f>
        <v>117</v>
      </c>
      <c r="M442" s="12">
        <f>Tb_data[[#This Row],[Employees Growth]]/Tb_data[[#This Row],[previous_workers]]</f>
        <v>2.0892857142857144</v>
      </c>
    </row>
    <row r="443" spans="1:13" x14ac:dyDescent="0.25">
      <c r="A443" s="1" t="s">
        <v>2298</v>
      </c>
      <c r="B443" s="1" t="s">
        <v>2299</v>
      </c>
      <c r="C443" s="1">
        <v>43800000</v>
      </c>
      <c r="D443" s="1" t="s">
        <v>11</v>
      </c>
      <c r="E443">
        <v>384.70690000000002</v>
      </c>
      <c r="F443" s="1" t="s">
        <v>112</v>
      </c>
      <c r="G443">
        <v>280</v>
      </c>
      <c r="H443">
        <v>88</v>
      </c>
      <c r="I443" s="1" t="s">
        <v>26</v>
      </c>
      <c r="J443">
        <v>2</v>
      </c>
      <c r="K443" t="str">
        <f>IF(Tb_data[[#This Row],[previous_workers]]&lt;Tb_data[[#This Row],[workers]],"yes","no")</f>
        <v>yes</v>
      </c>
      <c r="L443">
        <f>Tb_data[[#This Row],[workers]]-Tb_data[[#This Row],[previous_workers]]</f>
        <v>192</v>
      </c>
      <c r="M443" s="12">
        <f>Tb_data[[#This Row],[Employees Growth]]/Tb_data[[#This Row],[previous_workers]]</f>
        <v>2.1818181818181817</v>
      </c>
    </row>
    <row r="444" spans="1:13" x14ac:dyDescent="0.25">
      <c r="A444" s="1" t="s">
        <v>3846</v>
      </c>
      <c r="B444" s="1" t="s">
        <v>3847</v>
      </c>
      <c r="C444" s="1">
        <v>3800000</v>
      </c>
      <c r="D444" s="1" t="s">
        <v>321</v>
      </c>
      <c r="E444">
        <v>217.8708</v>
      </c>
      <c r="F444" s="1" t="s">
        <v>124</v>
      </c>
      <c r="G444">
        <v>9</v>
      </c>
      <c r="H444">
        <v>4</v>
      </c>
      <c r="I444" s="1" t="s">
        <v>74</v>
      </c>
      <c r="J444">
        <v>3</v>
      </c>
      <c r="K444" t="str">
        <f>IF(Tb_data[[#This Row],[previous_workers]]&lt;Tb_data[[#This Row],[workers]],"yes","no")</f>
        <v>yes</v>
      </c>
      <c r="L444">
        <f>Tb_data[[#This Row],[workers]]-Tb_data[[#This Row],[previous_workers]]</f>
        <v>5</v>
      </c>
      <c r="M444" s="12">
        <f>Tb_data[[#This Row],[Employees Growth]]/Tb_data[[#This Row],[previous_workers]]</f>
        <v>1.25</v>
      </c>
    </row>
    <row r="445" spans="1:13" x14ac:dyDescent="0.25">
      <c r="A445" s="1" t="s">
        <v>5368</v>
      </c>
      <c r="B445" s="1" t="s">
        <v>5369</v>
      </c>
      <c r="C445" s="1">
        <v>4300000</v>
      </c>
      <c r="D445" s="1" t="s">
        <v>254</v>
      </c>
      <c r="E445">
        <v>147.63470000000001</v>
      </c>
      <c r="F445" s="1" t="s">
        <v>86</v>
      </c>
      <c r="G445">
        <v>13</v>
      </c>
      <c r="H445">
        <v>6</v>
      </c>
      <c r="I445" s="1" t="s">
        <v>26</v>
      </c>
      <c r="J445">
        <v>1</v>
      </c>
      <c r="K445" t="str">
        <f>IF(Tb_data[[#This Row],[previous_workers]]&lt;Tb_data[[#This Row],[workers]],"yes","no")</f>
        <v>yes</v>
      </c>
      <c r="L445">
        <f>Tb_data[[#This Row],[workers]]-Tb_data[[#This Row],[previous_workers]]</f>
        <v>7</v>
      </c>
      <c r="M445" s="12">
        <f>Tb_data[[#This Row],[Employees Growth]]/Tb_data[[#This Row],[previous_workers]]</f>
        <v>1.1666666666666667</v>
      </c>
    </row>
    <row r="446" spans="1:13" x14ac:dyDescent="0.25">
      <c r="A446" s="1" t="s">
        <v>543</v>
      </c>
      <c r="B446" s="1" t="s">
        <v>544</v>
      </c>
      <c r="C446" s="1">
        <v>7200000</v>
      </c>
      <c r="D446" s="1" t="s">
        <v>69</v>
      </c>
      <c r="E446">
        <v>1808.729</v>
      </c>
      <c r="F446" s="1" t="s">
        <v>135</v>
      </c>
      <c r="G446">
        <v>40</v>
      </c>
      <c r="H446">
        <v>8</v>
      </c>
      <c r="I446" s="1" t="s">
        <v>26</v>
      </c>
      <c r="J446">
        <v>2</v>
      </c>
      <c r="K446" t="str">
        <f>IF(Tb_data[[#This Row],[previous_workers]]&lt;Tb_data[[#This Row],[workers]],"yes","no")</f>
        <v>yes</v>
      </c>
      <c r="L446">
        <f>Tb_data[[#This Row],[workers]]-Tb_data[[#This Row],[previous_workers]]</f>
        <v>32</v>
      </c>
      <c r="M446" s="12">
        <f>Tb_data[[#This Row],[Employees Growth]]/Tb_data[[#This Row],[previous_workers]]</f>
        <v>4</v>
      </c>
    </row>
    <row r="447" spans="1:13" x14ac:dyDescent="0.25">
      <c r="A447" s="1" t="s">
        <v>5979</v>
      </c>
      <c r="B447" s="1" t="s">
        <v>5980</v>
      </c>
      <c r="C447" s="1">
        <v>29600000</v>
      </c>
      <c r="D447" s="1" t="s">
        <v>321</v>
      </c>
      <c r="E447">
        <v>127.0468</v>
      </c>
      <c r="F447" s="1" t="s">
        <v>86</v>
      </c>
      <c r="G447">
        <v>380</v>
      </c>
      <c r="H447">
        <v>100</v>
      </c>
      <c r="I447" s="1" t="s">
        <v>46</v>
      </c>
      <c r="J447">
        <v>1</v>
      </c>
      <c r="K447" t="str">
        <f>IF(Tb_data[[#This Row],[previous_workers]]&lt;Tb_data[[#This Row],[workers]],"yes","no")</f>
        <v>yes</v>
      </c>
      <c r="L447">
        <f>Tb_data[[#This Row],[workers]]-Tb_data[[#This Row],[previous_workers]]</f>
        <v>280</v>
      </c>
      <c r="M447" s="12">
        <f>Tb_data[[#This Row],[Employees Growth]]/Tb_data[[#This Row],[previous_workers]]</f>
        <v>2.8</v>
      </c>
    </row>
    <row r="448" spans="1:13" x14ac:dyDescent="0.25">
      <c r="A448" s="1" t="s">
        <v>9936</v>
      </c>
      <c r="B448" s="1" t="s">
        <v>9937</v>
      </c>
      <c r="C448" s="1">
        <v>13200000</v>
      </c>
      <c r="D448" s="1" t="s">
        <v>236</v>
      </c>
      <c r="E448">
        <v>54.666400000000003</v>
      </c>
      <c r="F448" s="1" t="s">
        <v>12</v>
      </c>
      <c r="G448">
        <v>23</v>
      </c>
      <c r="H448">
        <v>13</v>
      </c>
      <c r="I448" s="1" t="s">
        <v>117</v>
      </c>
      <c r="J448">
        <v>6</v>
      </c>
      <c r="K448" t="str">
        <f>IF(Tb_data[[#This Row],[previous_workers]]&lt;Tb_data[[#This Row],[workers]],"yes","no")</f>
        <v>yes</v>
      </c>
      <c r="L448">
        <f>Tb_data[[#This Row],[workers]]-Tb_data[[#This Row],[previous_workers]]</f>
        <v>10</v>
      </c>
      <c r="M448" s="12">
        <f>Tb_data[[#This Row],[Employees Growth]]/Tb_data[[#This Row],[previous_workers]]</f>
        <v>0.76923076923076927</v>
      </c>
    </row>
    <row r="449" spans="1:13" x14ac:dyDescent="0.25">
      <c r="A449" s="1" t="s">
        <v>6559</v>
      </c>
      <c r="B449" s="1" t="s">
        <v>6560</v>
      </c>
      <c r="C449" s="1">
        <v>17800000</v>
      </c>
      <c r="D449" s="1" t="s">
        <v>41</v>
      </c>
      <c r="E449">
        <v>112.3571</v>
      </c>
      <c r="F449" s="1" t="s">
        <v>34</v>
      </c>
      <c r="G449">
        <v>227</v>
      </c>
      <c r="H449">
        <v>101</v>
      </c>
      <c r="I449" s="1" t="s">
        <v>468</v>
      </c>
      <c r="J449">
        <v>1</v>
      </c>
      <c r="K449" t="str">
        <f>IF(Tb_data[[#This Row],[previous_workers]]&lt;Tb_data[[#This Row],[workers]],"yes","no")</f>
        <v>yes</v>
      </c>
      <c r="L449">
        <f>Tb_data[[#This Row],[workers]]-Tb_data[[#This Row],[previous_workers]]</f>
        <v>126</v>
      </c>
      <c r="M449" s="12">
        <f>Tb_data[[#This Row],[Employees Growth]]/Tb_data[[#This Row],[previous_workers]]</f>
        <v>1.2475247524752475</v>
      </c>
    </row>
    <row r="450" spans="1:13" x14ac:dyDescent="0.25">
      <c r="A450" s="1" t="s">
        <v>9087</v>
      </c>
      <c r="B450" s="1" t="s">
        <v>9088</v>
      </c>
      <c r="C450" s="1">
        <v>43400000</v>
      </c>
      <c r="D450" s="1" t="s">
        <v>129</v>
      </c>
      <c r="E450">
        <v>65.544600000000003</v>
      </c>
      <c r="F450" s="1" t="s">
        <v>97</v>
      </c>
      <c r="G450">
        <v>252</v>
      </c>
      <c r="H450">
        <v>150</v>
      </c>
      <c r="I450" s="1" t="s">
        <v>295</v>
      </c>
      <c r="J450">
        <v>10</v>
      </c>
      <c r="K450" t="str">
        <f>IF(Tb_data[[#This Row],[previous_workers]]&lt;Tb_data[[#This Row],[workers]],"yes","no")</f>
        <v>yes</v>
      </c>
      <c r="L450">
        <f>Tb_data[[#This Row],[workers]]-Tb_data[[#This Row],[previous_workers]]</f>
        <v>102</v>
      </c>
      <c r="M450" s="12">
        <f>Tb_data[[#This Row],[Employees Growth]]/Tb_data[[#This Row],[previous_workers]]</f>
        <v>0.68</v>
      </c>
    </row>
    <row r="451" spans="1:13" x14ac:dyDescent="0.25">
      <c r="A451" s="1" t="s">
        <v>4575</v>
      </c>
      <c r="B451" s="1" t="s">
        <v>4576</v>
      </c>
      <c r="C451" s="1">
        <v>124900000</v>
      </c>
      <c r="D451" s="1" t="s">
        <v>115</v>
      </c>
      <c r="E451">
        <v>179.40649999999999</v>
      </c>
      <c r="F451" s="1" t="s">
        <v>86</v>
      </c>
      <c r="G451">
        <v>1200</v>
      </c>
      <c r="H451">
        <v>508</v>
      </c>
      <c r="I451" s="1" t="s">
        <v>226</v>
      </c>
      <c r="J451">
        <v>7</v>
      </c>
      <c r="K451" t="str">
        <f>IF(Tb_data[[#This Row],[previous_workers]]&lt;Tb_data[[#This Row],[workers]],"yes","no")</f>
        <v>yes</v>
      </c>
      <c r="L451">
        <f>Tb_data[[#This Row],[workers]]-Tb_data[[#This Row],[previous_workers]]</f>
        <v>692</v>
      </c>
      <c r="M451" s="12">
        <f>Tb_data[[#This Row],[Employees Growth]]/Tb_data[[#This Row],[previous_workers]]</f>
        <v>1.3622047244094488</v>
      </c>
    </row>
    <row r="452" spans="1:13" x14ac:dyDescent="0.25">
      <c r="A452" s="1" t="s">
        <v>6555</v>
      </c>
      <c r="B452" s="1" t="s">
        <v>6556</v>
      </c>
      <c r="C452" s="1">
        <v>9600000</v>
      </c>
      <c r="D452" s="1" t="s">
        <v>20</v>
      </c>
      <c r="E452">
        <v>112.4324</v>
      </c>
      <c r="F452" s="1" t="s">
        <v>135</v>
      </c>
      <c r="G452">
        <v>39</v>
      </c>
      <c r="H452">
        <v>18</v>
      </c>
      <c r="I452" s="1" t="s">
        <v>194</v>
      </c>
      <c r="J452">
        <v>1</v>
      </c>
      <c r="K452" t="str">
        <f>IF(Tb_data[[#This Row],[previous_workers]]&lt;Tb_data[[#This Row],[workers]],"yes","no")</f>
        <v>yes</v>
      </c>
      <c r="L452">
        <f>Tb_data[[#This Row],[workers]]-Tb_data[[#This Row],[previous_workers]]</f>
        <v>21</v>
      </c>
      <c r="M452" s="12">
        <f>Tb_data[[#This Row],[Employees Growth]]/Tb_data[[#This Row],[previous_workers]]</f>
        <v>1.1666666666666667</v>
      </c>
    </row>
    <row r="453" spans="1:13" x14ac:dyDescent="0.25">
      <c r="A453" s="1" t="s">
        <v>1582</v>
      </c>
      <c r="B453" s="1" t="s">
        <v>1583</v>
      </c>
      <c r="C453" s="1">
        <v>12900000</v>
      </c>
      <c r="D453" s="1" t="s">
        <v>254</v>
      </c>
      <c r="E453">
        <v>591.62549999999999</v>
      </c>
      <c r="F453" s="1" t="s">
        <v>176</v>
      </c>
      <c r="G453">
        <v>47</v>
      </c>
      <c r="H453">
        <v>15</v>
      </c>
      <c r="I453" s="1" t="s">
        <v>26</v>
      </c>
      <c r="J453">
        <v>1</v>
      </c>
      <c r="K453" t="str">
        <f>IF(Tb_data[[#This Row],[previous_workers]]&lt;Tb_data[[#This Row],[workers]],"yes","no")</f>
        <v>yes</v>
      </c>
      <c r="L453">
        <f>Tb_data[[#This Row],[workers]]-Tb_data[[#This Row],[previous_workers]]</f>
        <v>32</v>
      </c>
      <c r="M453" s="12">
        <f>Tb_data[[#This Row],[Employees Growth]]/Tb_data[[#This Row],[previous_workers]]</f>
        <v>2.1333333333333333</v>
      </c>
    </row>
    <row r="454" spans="1:13" x14ac:dyDescent="0.25">
      <c r="A454" s="1" t="s">
        <v>7367</v>
      </c>
      <c r="B454" s="1" t="s">
        <v>7368</v>
      </c>
      <c r="C454" s="1">
        <v>26600000</v>
      </c>
      <c r="D454" s="1" t="s">
        <v>155</v>
      </c>
      <c r="E454">
        <v>95.815600000000003</v>
      </c>
      <c r="F454" s="1" t="s">
        <v>161</v>
      </c>
      <c r="G454">
        <v>165</v>
      </c>
      <c r="H454">
        <v>108</v>
      </c>
      <c r="I454" s="1" t="s">
        <v>295</v>
      </c>
      <c r="J454">
        <v>8</v>
      </c>
      <c r="K454" t="str">
        <f>IF(Tb_data[[#This Row],[previous_workers]]&lt;Tb_data[[#This Row],[workers]],"yes","no")</f>
        <v>yes</v>
      </c>
      <c r="L454">
        <f>Tb_data[[#This Row],[workers]]-Tb_data[[#This Row],[previous_workers]]</f>
        <v>57</v>
      </c>
      <c r="M454" s="12">
        <f>Tb_data[[#This Row],[Employees Growth]]/Tb_data[[#This Row],[previous_workers]]</f>
        <v>0.52777777777777779</v>
      </c>
    </row>
    <row r="455" spans="1:13" x14ac:dyDescent="0.25">
      <c r="A455" s="1" t="s">
        <v>9227</v>
      </c>
      <c r="B455" s="1" t="s">
        <v>9228</v>
      </c>
      <c r="C455" s="1">
        <v>5400000</v>
      </c>
      <c r="D455" s="1" t="s">
        <v>20</v>
      </c>
      <c r="E455">
        <v>63.8155</v>
      </c>
      <c r="F455" s="1" t="s">
        <v>3264</v>
      </c>
      <c r="G455">
        <v>42</v>
      </c>
      <c r="H455">
        <v>30</v>
      </c>
      <c r="I455" s="1" t="s">
        <v>226</v>
      </c>
      <c r="J455">
        <v>1</v>
      </c>
      <c r="K455" t="str">
        <f>IF(Tb_data[[#This Row],[previous_workers]]&lt;Tb_data[[#This Row],[workers]],"yes","no")</f>
        <v>yes</v>
      </c>
      <c r="L455">
        <f>Tb_data[[#This Row],[workers]]-Tb_data[[#This Row],[previous_workers]]</f>
        <v>12</v>
      </c>
      <c r="M455" s="12">
        <f>Tb_data[[#This Row],[Employees Growth]]/Tb_data[[#This Row],[previous_workers]]</f>
        <v>0.4</v>
      </c>
    </row>
    <row r="456" spans="1:13" x14ac:dyDescent="0.25">
      <c r="A456" s="1" t="s">
        <v>9319</v>
      </c>
      <c r="B456" s="1" t="s">
        <v>9320</v>
      </c>
      <c r="C456" s="1">
        <v>20900000</v>
      </c>
      <c r="D456" s="1" t="s">
        <v>61</v>
      </c>
      <c r="E456">
        <v>62.5227</v>
      </c>
      <c r="F456" s="1" t="s">
        <v>124</v>
      </c>
      <c r="G456">
        <v>101</v>
      </c>
      <c r="H456">
        <v>79</v>
      </c>
      <c r="I456" s="1" t="s">
        <v>1051</v>
      </c>
      <c r="J456">
        <v>2</v>
      </c>
      <c r="K456" t="str">
        <f>IF(Tb_data[[#This Row],[previous_workers]]&lt;Tb_data[[#This Row],[workers]],"yes","no")</f>
        <v>yes</v>
      </c>
      <c r="L456">
        <f>Tb_data[[#This Row],[workers]]-Tb_data[[#This Row],[previous_workers]]</f>
        <v>22</v>
      </c>
      <c r="M456" s="12">
        <f>Tb_data[[#This Row],[Employees Growth]]/Tb_data[[#This Row],[previous_workers]]</f>
        <v>0.27848101265822783</v>
      </c>
    </row>
    <row r="457" spans="1:13" x14ac:dyDescent="0.25">
      <c r="A457" s="1" t="s">
        <v>2393</v>
      </c>
      <c r="B457" s="1" t="s">
        <v>2394</v>
      </c>
      <c r="C457" s="1">
        <v>19900000</v>
      </c>
      <c r="D457" s="1" t="s">
        <v>33</v>
      </c>
      <c r="E457">
        <v>366.72199999999998</v>
      </c>
      <c r="F457" s="1" t="s">
        <v>124</v>
      </c>
      <c r="G457">
        <v>19</v>
      </c>
      <c r="H457">
        <v>8</v>
      </c>
      <c r="I457" s="1" t="s">
        <v>295</v>
      </c>
      <c r="J457">
        <v>3</v>
      </c>
      <c r="K457" t="str">
        <f>IF(Tb_data[[#This Row],[previous_workers]]&lt;Tb_data[[#This Row],[workers]],"yes","no")</f>
        <v>yes</v>
      </c>
      <c r="L457">
        <f>Tb_data[[#This Row],[workers]]-Tb_data[[#This Row],[previous_workers]]</f>
        <v>11</v>
      </c>
      <c r="M457" s="12">
        <f>Tb_data[[#This Row],[Employees Growth]]/Tb_data[[#This Row],[previous_workers]]</f>
        <v>1.375</v>
      </c>
    </row>
    <row r="458" spans="1:13" x14ac:dyDescent="0.25">
      <c r="A458" s="1" t="s">
        <v>89</v>
      </c>
      <c r="B458" s="1" t="s">
        <v>90</v>
      </c>
      <c r="C458" s="1">
        <v>8900000</v>
      </c>
      <c r="D458" s="1" t="s">
        <v>91</v>
      </c>
      <c r="E458">
        <v>7478.1477999999997</v>
      </c>
      <c r="F458" s="1" t="s">
        <v>86</v>
      </c>
      <c r="G458">
        <v>42</v>
      </c>
      <c r="H458">
        <v>2</v>
      </c>
      <c r="I458" s="1" t="s">
        <v>13</v>
      </c>
      <c r="J458">
        <v>1</v>
      </c>
      <c r="K458" t="str">
        <f>IF(Tb_data[[#This Row],[previous_workers]]&lt;Tb_data[[#This Row],[workers]],"yes","no")</f>
        <v>yes</v>
      </c>
      <c r="L458">
        <f>Tb_data[[#This Row],[workers]]-Tb_data[[#This Row],[previous_workers]]</f>
        <v>40</v>
      </c>
      <c r="M458" s="12">
        <f>Tb_data[[#This Row],[Employees Growth]]/Tb_data[[#This Row],[previous_workers]]</f>
        <v>20</v>
      </c>
    </row>
    <row r="459" spans="1:13" x14ac:dyDescent="0.25">
      <c r="A459" s="1" t="s">
        <v>3376</v>
      </c>
      <c r="B459" s="1" t="s">
        <v>3377</v>
      </c>
      <c r="C459" s="1">
        <v>3100000</v>
      </c>
      <c r="D459" s="1" t="s">
        <v>38</v>
      </c>
      <c r="E459">
        <v>253.78059999999999</v>
      </c>
      <c r="F459" s="1" t="s">
        <v>34</v>
      </c>
      <c r="G459">
        <v>7</v>
      </c>
      <c r="H459">
        <v>3</v>
      </c>
      <c r="I459" s="1" t="s">
        <v>13</v>
      </c>
      <c r="J459">
        <v>1</v>
      </c>
      <c r="K459" t="str">
        <f>IF(Tb_data[[#This Row],[previous_workers]]&lt;Tb_data[[#This Row],[workers]],"yes","no")</f>
        <v>yes</v>
      </c>
      <c r="L459">
        <f>Tb_data[[#This Row],[workers]]-Tb_data[[#This Row],[previous_workers]]</f>
        <v>4</v>
      </c>
      <c r="M459" s="12">
        <f>Tb_data[[#This Row],[Employees Growth]]/Tb_data[[#This Row],[previous_workers]]</f>
        <v>1.3333333333333333</v>
      </c>
    </row>
    <row r="460" spans="1:13" x14ac:dyDescent="0.25">
      <c r="A460" s="1" t="s">
        <v>5056</v>
      </c>
      <c r="B460" s="1" t="s">
        <v>5057</v>
      </c>
      <c r="C460" s="1">
        <v>9600000</v>
      </c>
      <c r="D460" s="1" t="s">
        <v>33</v>
      </c>
      <c r="E460">
        <v>159.11199999999999</v>
      </c>
      <c r="F460" s="1" t="s">
        <v>112</v>
      </c>
      <c r="G460">
        <v>38</v>
      </c>
      <c r="H460">
        <v>21</v>
      </c>
      <c r="I460" s="1" t="s">
        <v>1949</v>
      </c>
      <c r="J460">
        <v>1</v>
      </c>
      <c r="K460" t="str">
        <f>IF(Tb_data[[#This Row],[previous_workers]]&lt;Tb_data[[#This Row],[workers]],"yes","no")</f>
        <v>yes</v>
      </c>
      <c r="L460">
        <f>Tb_data[[#This Row],[workers]]-Tb_data[[#This Row],[previous_workers]]</f>
        <v>17</v>
      </c>
      <c r="M460" s="12">
        <f>Tb_data[[#This Row],[Employees Growth]]/Tb_data[[#This Row],[previous_workers]]</f>
        <v>0.80952380952380953</v>
      </c>
    </row>
    <row r="461" spans="1:13" x14ac:dyDescent="0.25">
      <c r="A461" s="1" t="s">
        <v>1645</v>
      </c>
      <c r="B461" s="1" t="s">
        <v>1646</v>
      </c>
      <c r="C461" s="1">
        <v>39300000</v>
      </c>
      <c r="D461" s="1" t="s">
        <v>41</v>
      </c>
      <c r="E461">
        <v>561.84699999999998</v>
      </c>
      <c r="F461" s="1" t="s">
        <v>97</v>
      </c>
      <c r="G461">
        <v>105</v>
      </c>
      <c r="H461">
        <v>25</v>
      </c>
      <c r="I461" s="1" t="s">
        <v>35</v>
      </c>
      <c r="J461">
        <v>4</v>
      </c>
      <c r="K461" t="str">
        <f>IF(Tb_data[[#This Row],[previous_workers]]&lt;Tb_data[[#This Row],[workers]],"yes","no")</f>
        <v>yes</v>
      </c>
      <c r="L461">
        <f>Tb_data[[#This Row],[workers]]-Tb_data[[#This Row],[previous_workers]]</f>
        <v>80</v>
      </c>
      <c r="M461" s="12">
        <f>Tb_data[[#This Row],[Employees Growth]]/Tb_data[[#This Row],[previous_workers]]</f>
        <v>3.2</v>
      </c>
    </row>
    <row r="462" spans="1:13" x14ac:dyDescent="0.25">
      <c r="A462" s="1" t="s">
        <v>6001</v>
      </c>
      <c r="B462" s="1" t="s">
        <v>6002</v>
      </c>
      <c r="C462" s="1">
        <v>5400000</v>
      </c>
      <c r="D462" s="1" t="s">
        <v>895</v>
      </c>
      <c r="E462">
        <v>126.5569</v>
      </c>
      <c r="F462" s="1" t="s">
        <v>25</v>
      </c>
      <c r="G462">
        <v>46</v>
      </c>
      <c r="H462">
        <v>16</v>
      </c>
      <c r="I462" s="1" t="s">
        <v>46</v>
      </c>
      <c r="J462">
        <v>2</v>
      </c>
      <c r="K462" t="str">
        <f>IF(Tb_data[[#This Row],[previous_workers]]&lt;Tb_data[[#This Row],[workers]],"yes","no")</f>
        <v>yes</v>
      </c>
      <c r="L462">
        <f>Tb_data[[#This Row],[workers]]-Tb_data[[#This Row],[previous_workers]]</f>
        <v>30</v>
      </c>
      <c r="M462" s="12">
        <f>Tb_data[[#This Row],[Employees Growth]]/Tb_data[[#This Row],[previous_workers]]</f>
        <v>1.875</v>
      </c>
    </row>
    <row r="463" spans="1:13" x14ac:dyDescent="0.25">
      <c r="A463" s="1" t="s">
        <v>2278</v>
      </c>
      <c r="B463" s="1" t="s">
        <v>2279</v>
      </c>
      <c r="C463" s="1">
        <v>2100000</v>
      </c>
      <c r="D463" s="1" t="s">
        <v>115</v>
      </c>
      <c r="E463">
        <v>386.9726</v>
      </c>
      <c r="F463" s="1" t="s">
        <v>156</v>
      </c>
      <c r="G463">
        <v>27</v>
      </c>
      <c r="H463">
        <v>3</v>
      </c>
      <c r="I463" s="1" t="s">
        <v>26</v>
      </c>
      <c r="J463">
        <v>1</v>
      </c>
      <c r="K463" t="str">
        <f>IF(Tb_data[[#This Row],[previous_workers]]&lt;Tb_data[[#This Row],[workers]],"yes","no")</f>
        <v>yes</v>
      </c>
      <c r="L463">
        <f>Tb_data[[#This Row],[workers]]-Tb_data[[#This Row],[previous_workers]]</f>
        <v>24</v>
      </c>
      <c r="M463" s="12">
        <f>Tb_data[[#This Row],[Employees Growth]]/Tb_data[[#This Row],[previous_workers]]</f>
        <v>8</v>
      </c>
    </row>
    <row r="464" spans="1:13" x14ac:dyDescent="0.25">
      <c r="A464" s="1" t="s">
        <v>486</v>
      </c>
      <c r="B464" s="1" t="s">
        <v>487</v>
      </c>
      <c r="C464" s="1">
        <v>138400000</v>
      </c>
      <c r="D464" s="1" t="s">
        <v>422</v>
      </c>
      <c r="E464">
        <v>2013.4739999999999</v>
      </c>
      <c r="F464" s="1" t="s">
        <v>12</v>
      </c>
      <c r="G464">
        <v>102</v>
      </c>
      <c r="H464">
        <v>27</v>
      </c>
      <c r="I464" s="1" t="s">
        <v>295</v>
      </c>
      <c r="J464">
        <v>1</v>
      </c>
      <c r="K464" t="str">
        <f>IF(Tb_data[[#This Row],[previous_workers]]&lt;Tb_data[[#This Row],[workers]],"yes","no")</f>
        <v>yes</v>
      </c>
      <c r="L464">
        <f>Tb_data[[#This Row],[workers]]-Tb_data[[#This Row],[previous_workers]]</f>
        <v>75</v>
      </c>
      <c r="M464" s="12">
        <f>Tb_data[[#This Row],[Employees Growth]]/Tb_data[[#This Row],[previous_workers]]</f>
        <v>2.7777777777777777</v>
      </c>
    </row>
    <row r="465" spans="1:13" x14ac:dyDescent="0.25">
      <c r="A465" s="1" t="s">
        <v>7238</v>
      </c>
      <c r="B465" s="1" t="s">
        <v>7239</v>
      </c>
      <c r="C465" s="1">
        <v>11500000</v>
      </c>
      <c r="D465" s="1" t="s">
        <v>41</v>
      </c>
      <c r="E465">
        <v>97.855599999999995</v>
      </c>
      <c r="F465" s="1" t="s">
        <v>97</v>
      </c>
      <c r="G465">
        <v>38</v>
      </c>
      <c r="H465">
        <v>28</v>
      </c>
      <c r="I465" s="1" t="s">
        <v>35</v>
      </c>
      <c r="J465">
        <v>4</v>
      </c>
      <c r="K465" t="str">
        <f>IF(Tb_data[[#This Row],[previous_workers]]&lt;Tb_data[[#This Row],[workers]],"yes","no")</f>
        <v>yes</v>
      </c>
      <c r="L465">
        <f>Tb_data[[#This Row],[workers]]-Tb_data[[#This Row],[previous_workers]]</f>
        <v>10</v>
      </c>
      <c r="M465" s="12">
        <f>Tb_data[[#This Row],[Employees Growth]]/Tb_data[[#This Row],[previous_workers]]</f>
        <v>0.35714285714285715</v>
      </c>
    </row>
    <row r="466" spans="1:13" x14ac:dyDescent="0.25">
      <c r="A466" s="1" t="s">
        <v>6265</v>
      </c>
      <c r="B466" s="1" t="s">
        <v>6266</v>
      </c>
      <c r="C466" s="1">
        <v>24900000</v>
      </c>
      <c r="D466" s="1" t="s">
        <v>61</v>
      </c>
      <c r="E466">
        <v>119.9806</v>
      </c>
      <c r="F466" s="1" t="s">
        <v>86</v>
      </c>
      <c r="G466">
        <v>90</v>
      </c>
      <c r="H466">
        <v>39</v>
      </c>
      <c r="I466" s="1" t="s">
        <v>836</v>
      </c>
      <c r="J466">
        <v>8</v>
      </c>
      <c r="K466" t="str">
        <f>IF(Tb_data[[#This Row],[previous_workers]]&lt;Tb_data[[#This Row],[workers]],"yes","no")</f>
        <v>yes</v>
      </c>
      <c r="L466">
        <f>Tb_data[[#This Row],[workers]]-Tb_data[[#This Row],[previous_workers]]</f>
        <v>51</v>
      </c>
      <c r="M466" s="12">
        <f>Tb_data[[#This Row],[Employees Growth]]/Tb_data[[#This Row],[previous_workers]]</f>
        <v>1.3076923076923077</v>
      </c>
    </row>
    <row r="467" spans="1:13" x14ac:dyDescent="0.25">
      <c r="A467" s="1" t="s">
        <v>2348</v>
      </c>
      <c r="B467" s="1" t="s">
        <v>2349</v>
      </c>
      <c r="C467" s="1">
        <v>81600000</v>
      </c>
      <c r="D467" s="1" t="s">
        <v>16</v>
      </c>
      <c r="E467">
        <v>372.37709999999998</v>
      </c>
      <c r="F467" s="1" t="s">
        <v>17</v>
      </c>
      <c r="G467">
        <v>66</v>
      </c>
      <c r="H467">
        <v>19</v>
      </c>
      <c r="I467" s="1" t="s">
        <v>130</v>
      </c>
      <c r="J467">
        <v>4</v>
      </c>
      <c r="K467" t="str">
        <f>IF(Tb_data[[#This Row],[previous_workers]]&lt;Tb_data[[#This Row],[workers]],"yes","no")</f>
        <v>yes</v>
      </c>
      <c r="L467">
        <f>Tb_data[[#This Row],[workers]]-Tb_data[[#This Row],[previous_workers]]</f>
        <v>47</v>
      </c>
      <c r="M467" s="12">
        <f>Tb_data[[#This Row],[Employees Growth]]/Tb_data[[#This Row],[previous_workers]]</f>
        <v>2.4736842105263159</v>
      </c>
    </row>
    <row r="468" spans="1:13" x14ac:dyDescent="0.25">
      <c r="A468" s="1" t="s">
        <v>2865</v>
      </c>
      <c r="B468" s="1" t="s">
        <v>2866</v>
      </c>
      <c r="C468" s="1">
        <v>566000000</v>
      </c>
      <c r="D468" s="1" t="s">
        <v>49</v>
      </c>
      <c r="E468">
        <v>301.2226</v>
      </c>
      <c r="F468" s="1" t="s">
        <v>34</v>
      </c>
      <c r="G468">
        <v>779</v>
      </c>
      <c r="H468">
        <v>243</v>
      </c>
      <c r="I468" s="1" t="s">
        <v>1051</v>
      </c>
      <c r="J468">
        <v>1</v>
      </c>
      <c r="K468" t="str">
        <f>IF(Tb_data[[#This Row],[previous_workers]]&lt;Tb_data[[#This Row],[workers]],"yes","no")</f>
        <v>yes</v>
      </c>
      <c r="L468">
        <f>Tb_data[[#This Row],[workers]]-Tb_data[[#This Row],[previous_workers]]</f>
        <v>536</v>
      </c>
      <c r="M468" s="12">
        <f>Tb_data[[#This Row],[Employees Growth]]/Tb_data[[#This Row],[previous_workers]]</f>
        <v>2.2057613168724282</v>
      </c>
    </row>
    <row r="469" spans="1:13" x14ac:dyDescent="0.25">
      <c r="A469" s="1" t="s">
        <v>959</v>
      </c>
      <c r="B469" s="1" t="s">
        <v>960</v>
      </c>
      <c r="C469" s="1">
        <v>20400000</v>
      </c>
      <c r="D469" s="1" t="s">
        <v>45</v>
      </c>
      <c r="E469">
        <v>1045.6964</v>
      </c>
      <c r="F469" s="1" t="s">
        <v>152</v>
      </c>
      <c r="G469">
        <v>34</v>
      </c>
      <c r="H469">
        <v>12</v>
      </c>
      <c r="I469" s="1" t="s">
        <v>961</v>
      </c>
      <c r="J469">
        <v>1</v>
      </c>
      <c r="K469" t="str">
        <f>IF(Tb_data[[#This Row],[previous_workers]]&lt;Tb_data[[#This Row],[workers]],"yes","no")</f>
        <v>yes</v>
      </c>
      <c r="L469">
        <f>Tb_data[[#This Row],[workers]]-Tb_data[[#This Row],[previous_workers]]</f>
        <v>22</v>
      </c>
      <c r="M469" s="12">
        <f>Tb_data[[#This Row],[Employees Growth]]/Tb_data[[#This Row],[previous_workers]]</f>
        <v>1.8333333333333333</v>
      </c>
    </row>
    <row r="470" spans="1:13" x14ac:dyDescent="0.25">
      <c r="A470" s="1" t="s">
        <v>4667</v>
      </c>
      <c r="B470" s="1" t="s">
        <v>4668</v>
      </c>
      <c r="C470" s="1">
        <v>14100000</v>
      </c>
      <c r="D470" s="1" t="s">
        <v>69</v>
      </c>
      <c r="E470">
        <v>175.65100000000001</v>
      </c>
      <c r="F470" s="1" t="s">
        <v>34</v>
      </c>
      <c r="G470">
        <v>171</v>
      </c>
      <c r="H470">
        <v>69</v>
      </c>
      <c r="I470" s="1" t="s">
        <v>46</v>
      </c>
      <c r="J470">
        <v>3</v>
      </c>
      <c r="K470" t="str">
        <f>IF(Tb_data[[#This Row],[previous_workers]]&lt;Tb_data[[#This Row],[workers]],"yes","no")</f>
        <v>yes</v>
      </c>
      <c r="L470">
        <f>Tb_data[[#This Row],[workers]]-Tb_data[[#This Row],[previous_workers]]</f>
        <v>102</v>
      </c>
      <c r="M470" s="12">
        <f>Tb_data[[#This Row],[Employees Growth]]/Tb_data[[#This Row],[previous_workers]]</f>
        <v>1.4782608695652173</v>
      </c>
    </row>
    <row r="471" spans="1:13" x14ac:dyDescent="0.25">
      <c r="A471" s="1" t="s">
        <v>1298</v>
      </c>
      <c r="B471" s="1" t="s">
        <v>1299</v>
      </c>
      <c r="C471" s="1">
        <v>44000000</v>
      </c>
      <c r="D471" s="1" t="s">
        <v>49</v>
      </c>
      <c r="E471">
        <v>741.23900000000003</v>
      </c>
      <c r="F471" s="1" t="s">
        <v>30</v>
      </c>
      <c r="G471">
        <v>55</v>
      </c>
      <c r="H471">
        <v>15</v>
      </c>
      <c r="I471" s="1" t="s">
        <v>26</v>
      </c>
      <c r="J471">
        <v>1</v>
      </c>
      <c r="K471" t="str">
        <f>IF(Tb_data[[#This Row],[previous_workers]]&lt;Tb_data[[#This Row],[workers]],"yes","no")</f>
        <v>yes</v>
      </c>
      <c r="L471">
        <f>Tb_data[[#This Row],[workers]]-Tb_data[[#This Row],[previous_workers]]</f>
        <v>40</v>
      </c>
      <c r="M471" s="12">
        <f>Tb_data[[#This Row],[Employees Growth]]/Tb_data[[#This Row],[previous_workers]]</f>
        <v>2.6666666666666665</v>
      </c>
    </row>
    <row r="472" spans="1:13" x14ac:dyDescent="0.25">
      <c r="A472" s="1" t="s">
        <v>9097</v>
      </c>
      <c r="B472" s="1" t="s">
        <v>9098</v>
      </c>
      <c r="C472" s="1">
        <v>20300000</v>
      </c>
      <c r="D472" s="1" t="s">
        <v>45</v>
      </c>
      <c r="E472">
        <v>65.460499999999996</v>
      </c>
      <c r="F472" s="1" t="s">
        <v>97</v>
      </c>
      <c r="G472">
        <v>120</v>
      </c>
      <c r="H472">
        <v>75</v>
      </c>
      <c r="I472" s="1" t="s">
        <v>1051</v>
      </c>
      <c r="J472">
        <v>4</v>
      </c>
      <c r="K472" t="str">
        <f>IF(Tb_data[[#This Row],[previous_workers]]&lt;Tb_data[[#This Row],[workers]],"yes","no")</f>
        <v>yes</v>
      </c>
      <c r="L472">
        <f>Tb_data[[#This Row],[workers]]-Tb_data[[#This Row],[previous_workers]]</f>
        <v>45</v>
      </c>
      <c r="M472" s="12">
        <f>Tb_data[[#This Row],[Employees Growth]]/Tb_data[[#This Row],[previous_workers]]</f>
        <v>0.6</v>
      </c>
    </row>
    <row r="473" spans="1:13" x14ac:dyDescent="0.25">
      <c r="A473" s="1" t="s">
        <v>9075</v>
      </c>
      <c r="B473" s="1" t="s">
        <v>9076</v>
      </c>
      <c r="C473" s="1">
        <v>11700000</v>
      </c>
      <c r="D473" s="1" t="s">
        <v>11</v>
      </c>
      <c r="E473">
        <v>65.645700000000005</v>
      </c>
      <c r="F473" s="1" t="s">
        <v>176</v>
      </c>
      <c r="G473">
        <v>91</v>
      </c>
      <c r="H473">
        <v>68</v>
      </c>
      <c r="I473" s="1" t="s">
        <v>147</v>
      </c>
      <c r="J473">
        <v>2</v>
      </c>
      <c r="K473" t="str">
        <f>IF(Tb_data[[#This Row],[previous_workers]]&lt;Tb_data[[#This Row],[workers]],"yes","no")</f>
        <v>yes</v>
      </c>
      <c r="L473">
        <f>Tb_data[[#This Row],[workers]]-Tb_data[[#This Row],[previous_workers]]</f>
        <v>23</v>
      </c>
      <c r="M473" s="12">
        <f>Tb_data[[#This Row],[Employees Growth]]/Tb_data[[#This Row],[previous_workers]]</f>
        <v>0.33823529411764708</v>
      </c>
    </row>
    <row r="474" spans="1:13" x14ac:dyDescent="0.25">
      <c r="A474" s="1" t="s">
        <v>798</v>
      </c>
      <c r="B474" s="1" t="s">
        <v>799</v>
      </c>
      <c r="C474" s="1">
        <v>19700000</v>
      </c>
      <c r="D474" s="1" t="s">
        <v>38</v>
      </c>
      <c r="E474">
        <v>1287.5316</v>
      </c>
      <c r="F474" s="1" t="s">
        <v>176</v>
      </c>
      <c r="G474">
        <v>185</v>
      </c>
      <c r="H474">
        <v>32</v>
      </c>
      <c r="I474" s="1" t="s">
        <v>117</v>
      </c>
      <c r="J474">
        <v>2</v>
      </c>
      <c r="K474" t="str">
        <f>IF(Tb_data[[#This Row],[previous_workers]]&lt;Tb_data[[#This Row],[workers]],"yes","no")</f>
        <v>yes</v>
      </c>
      <c r="L474">
        <f>Tb_data[[#This Row],[workers]]-Tb_data[[#This Row],[previous_workers]]</f>
        <v>153</v>
      </c>
      <c r="M474" s="12">
        <f>Tb_data[[#This Row],[Employees Growth]]/Tb_data[[#This Row],[previous_workers]]</f>
        <v>4.78125</v>
      </c>
    </row>
    <row r="475" spans="1:13" x14ac:dyDescent="0.25">
      <c r="A475" s="1" t="s">
        <v>1860</v>
      </c>
      <c r="B475" s="1" t="s">
        <v>1861</v>
      </c>
      <c r="C475" s="1">
        <v>2700000</v>
      </c>
      <c r="D475" s="1" t="s">
        <v>175</v>
      </c>
      <c r="E475">
        <v>485.6782</v>
      </c>
      <c r="F475" s="1" t="s">
        <v>21</v>
      </c>
      <c r="G475">
        <v>11</v>
      </c>
      <c r="H475">
        <v>3</v>
      </c>
      <c r="I475" s="1" t="s">
        <v>46</v>
      </c>
      <c r="J475">
        <v>1</v>
      </c>
      <c r="K475" t="str">
        <f>IF(Tb_data[[#This Row],[previous_workers]]&lt;Tb_data[[#This Row],[workers]],"yes","no")</f>
        <v>yes</v>
      </c>
      <c r="L475">
        <f>Tb_data[[#This Row],[workers]]-Tb_data[[#This Row],[previous_workers]]</f>
        <v>8</v>
      </c>
      <c r="M475" s="12">
        <f>Tb_data[[#This Row],[Employees Growth]]/Tb_data[[#This Row],[previous_workers]]</f>
        <v>2.6666666666666665</v>
      </c>
    </row>
    <row r="476" spans="1:13" x14ac:dyDescent="0.25">
      <c r="A476" s="1" t="s">
        <v>5472</v>
      </c>
      <c r="B476" s="1" t="s">
        <v>5473</v>
      </c>
      <c r="C476" s="1">
        <v>3500000</v>
      </c>
      <c r="D476" s="1" t="s">
        <v>175</v>
      </c>
      <c r="E476">
        <v>143.39660000000001</v>
      </c>
      <c r="F476" s="1" t="s">
        <v>124</v>
      </c>
      <c r="G476">
        <v>35</v>
      </c>
      <c r="H476">
        <v>15</v>
      </c>
      <c r="I476" s="1" t="s">
        <v>194</v>
      </c>
      <c r="J476">
        <v>3</v>
      </c>
      <c r="K476" t="str">
        <f>IF(Tb_data[[#This Row],[previous_workers]]&lt;Tb_data[[#This Row],[workers]],"yes","no")</f>
        <v>yes</v>
      </c>
      <c r="L476">
        <f>Tb_data[[#This Row],[workers]]-Tb_data[[#This Row],[previous_workers]]</f>
        <v>20</v>
      </c>
      <c r="M476" s="12">
        <f>Tb_data[[#This Row],[Employees Growth]]/Tb_data[[#This Row],[previous_workers]]</f>
        <v>1.3333333333333333</v>
      </c>
    </row>
    <row r="477" spans="1:13" x14ac:dyDescent="0.25">
      <c r="A477" s="1" t="s">
        <v>3211</v>
      </c>
      <c r="B477" s="1" t="s">
        <v>3212</v>
      </c>
      <c r="C477" s="1">
        <v>8700000</v>
      </c>
      <c r="D477" s="1" t="s">
        <v>91</v>
      </c>
      <c r="E477">
        <v>268.6139</v>
      </c>
      <c r="F477" s="1" t="s">
        <v>62</v>
      </c>
      <c r="G477">
        <v>32</v>
      </c>
      <c r="H477">
        <v>12</v>
      </c>
      <c r="I477" s="1" t="s">
        <v>46</v>
      </c>
      <c r="J477">
        <v>4</v>
      </c>
      <c r="K477" t="str">
        <f>IF(Tb_data[[#This Row],[previous_workers]]&lt;Tb_data[[#This Row],[workers]],"yes","no")</f>
        <v>yes</v>
      </c>
      <c r="L477">
        <f>Tb_data[[#This Row],[workers]]-Tb_data[[#This Row],[previous_workers]]</f>
        <v>20</v>
      </c>
      <c r="M477" s="12">
        <f>Tb_data[[#This Row],[Employees Growth]]/Tb_data[[#This Row],[previous_workers]]</f>
        <v>1.6666666666666667</v>
      </c>
    </row>
    <row r="478" spans="1:13" x14ac:dyDescent="0.25">
      <c r="A478" s="1" t="s">
        <v>8492</v>
      </c>
      <c r="B478" s="1" t="s">
        <v>8493</v>
      </c>
      <c r="C478" s="1">
        <v>11300000</v>
      </c>
      <c r="D478" s="1" t="s">
        <v>11</v>
      </c>
      <c r="E478">
        <v>74.200199999999995</v>
      </c>
      <c r="F478" s="1" t="s">
        <v>86</v>
      </c>
      <c r="G478">
        <v>60</v>
      </c>
      <c r="H478">
        <v>36</v>
      </c>
      <c r="I478" s="1" t="s">
        <v>372</v>
      </c>
      <c r="J478">
        <v>7</v>
      </c>
      <c r="K478" t="str">
        <f>IF(Tb_data[[#This Row],[previous_workers]]&lt;Tb_data[[#This Row],[workers]],"yes","no")</f>
        <v>yes</v>
      </c>
      <c r="L478">
        <f>Tb_data[[#This Row],[workers]]-Tb_data[[#This Row],[previous_workers]]</f>
        <v>24</v>
      </c>
      <c r="M478" s="12">
        <f>Tb_data[[#This Row],[Employees Growth]]/Tb_data[[#This Row],[previous_workers]]</f>
        <v>0.66666666666666663</v>
      </c>
    </row>
    <row r="479" spans="1:13" x14ac:dyDescent="0.25">
      <c r="A479" s="1" t="s">
        <v>291</v>
      </c>
      <c r="B479" s="1" t="s">
        <v>292</v>
      </c>
      <c r="C479" s="1">
        <v>59300000</v>
      </c>
      <c r="D479" s="1" t="s">
        <v>41</v>
      </c>
      <c r="E479">
        <v>3134.4692</v>
      </c>
      <c r="F479" s="1" t="s">
        <v>97</v>
      </c>
      <c r="G479">
        <v>145</v>
      </c>
      <c r="H479">
        <v>17</v>
      </c>
      <c r="I479" s="1" t="s">
        <v>46</v>
      </c>
      <c r="J479">
        <v>3</v>
      </c>
      <c r="K479" t="str">
        <f>IF(Tb_data[[#This Row],[previous_workers]]&lt;Tb_data[[#This Row],[workers]],"yes","no")</f>
        <v>yes</v>
      </c>
      <c r="L479">
        <f>Tb_data[[#This Row],[workers]]-Tb_data[[#This Row],[previous_workers]]</f>
        <v>128</v>
      </c>
      <c r="M479" s="12">
        <f>Tb_data[[#This Row],[Employees Growth]]/Tb_data[[#This Row],[previous_workers]]</f>
        <v>7.5294117647058822</v>
      </c>
    </row>
    <row r="480" spans="1:13" x14ac:dyDescent="0.25">
      <c r="A480" s="1" t="s">
        <v>3087</v>
      </c>
      <c r="B480" s="1" t="s">
        <v>3088</v>
      </c>
      <c r="C480" s="1">
        <v>6400000</v>
      </c>
      <c r="D480" s="1" t="s">
        <v>33</v>
      </c>
      <c r="E480">
        <v>278.22230000000002</v>
      </c>
      <c r="F480" s="1" t="s">
        <v>34</v>
      </c>
      <c r="G480">
        <v>45</v>
      </c>
      <c r="H480">
        <v>30</v>
      </c>
      <c r="I480" s="1" t="s">
        <v>13</v>
      </c>
      <c r="J480">
        <v>1</v>
      </c>
      <c r="K480" t="str">
        <f>IF(Tb_data[[#This Row],[previous_workers]]&lt;Tb_data[[#This Row],[workers]],"yes","no")</f>
        <v>yes</v>
      </c>
      <c r="L480">
        <f>Tb_data[[#This Row],[workers]]-Tb_data[[#This Row],[previous_workers]]</f>
        <v>15</v>
      </c>
      <c r="M480" s="12">
        <f>Tb_data[[#This Row],[Employees Growth]]/Tb_data[[#This Row],[previous_workers]]</f>
        <v>0.5</v>
      </c>
    </row>
    <row r="481" spans="1:13" x14ac:dyDescent="0.25">
      <c r="A481" s="1" t="s">
        <v>3843</v>
      </c>
      <c r="B481" s="1" t="s">
        <v>4088</v>
      </c>
      <c r="C481" s="1">
        <v>5500000</v>
      </c>
      <c r="D481" s="1" t="s">
        <v>91</v>
      </c>
      <c r="E481">
        <v>202.08359999999999</v>
      </c>
      <c r="F481" s="1" t="s">
        <v>25</v>
      </c>
      <c r="G481">
        <v>20</v>
      </c>
      <c r="H481">
        <v>10</v>
      </c>
      <c r="I481" s="1" t="s">
        <v>295</v>
      </c>
      <c r="J481">
        <v>2</v>
      </c>
      <c r="K481" t="str">
        <f>IF(Tb_data[[#This Row],[previous_workers]]&lt;Tb_data[[#This Row],[workers]],"yes","no")</f>
        <v>yes</v>
      </c>
      <c r="L481">
        <f>Tb_data[[#This Row],[workers]]-Tb_data[[#This Row],[previous_workers]]</f>
        <v>10</v>
      </c>
      <c r="M481" s="12">
        <f>Tb_data[[#This Row],[Employees Growth]]/Tb_data[[#This Row],[previous_workers]]</f>
        <v>1</v>
      </c>
    </row>
    <row r="482" spans="1:13" x14ac:dyDescent="0.25">
      <c r="A482" s="1" t="s">
        <v>4150</v>
      </c>
      <c r="B482" s="1" t="s">
        <v>4151</v>
      </c>
      <c r="C482" s="1">
        <v>7100000</v>
      </c>
      <c r="D482" s="1" t="s">
        <v>49</v>
      </c>
      <c r="E482">
        <v>197.9975</v>
      </c>
      <c r="F482" s="1" t="s">
        <v>86</v>
      </c>
      <c r="G482">
        <v>40</v>
      </c>
      <c r="H482">
        <v>17</v>
      </c>
      <c r="I482" s="1" t="s">
        <v>164</v>
      </c>
      <c r="J482">
        <v>3</v>
      </c>
      <c r="K482" t="str">
        <f>IF(Tb_data[[#This Row],[previous_workers]]&lt;Tb_data[[#This Row],[workers]],"yes","no")</f>
        <v>yes</v>
      </c>
      <c r="L482">
        <f>Tb_data[[#This Row],[workers]]-Tb_data[[#This Row],[previous_workers]]</f>
        <v>23</v>
      </c>
      <c r="M482" s="12">
        <f>Tb_data[[#This Row],[Employees Growth]]/Tb_data[[#This Row],[previous_workers]]</f>
        <v>1.3529411764705883</v>
      </c>
    </row>
    <row r="483" spans="1:13" x14ac:dyDescent="0.25">
      <c r="A483" s="1" t="s">
        <v>6563</v>
      </c>
      <c r="B483" s="1" t="s">
        <v>6564</v>
      </c>
      <c r="C483" s="1">
        <v>29900000</v>
      </c>
      <c r="D483" s="1" t="s">
        <v>49</v>
      </c>
      <c r="E483">
        <v>112.26139999999999</v>
      </c>
      <c r="F483" s="1" t="s">
        <v>86</v>
      </c>
      <c r="G483">
        <v>89</v>
      </c>
      <c r="H483">
        <v>26</v>
      </c>
      <c r="I483" s="1" t="s">
        <v>194</v>
      </c>
      <c r="J483">
        <v>2</v>
      </c>
      <c r="K483" t="str">
        <f>IF(Tb_data[[#This Row],[previous_workers]]&lt;Tb_data[[#This Row],[workers]],"yes","no")</f>
        <v>yes</v>
      </c>
      <c r="L483">
        <f>Tb_data[[#This Row],[workers]]-Tb_data[[#This Row],[previous_workers]]</f>
        <v>63</v>
      </c>
      <c r="M483" s="12">
        <f>Tb_data[[#This Row],[Employees Growth]]/Tb_data[[#This Row],[previous_workers]]</f>
        <v>2.4230769230769229</v>
      </c>
    </row>
    <row r="484" spans="1:13" x14ac:dyDescent="0.25">
      <c r="A484" s="1" t="s">
        <v>7785</v>
      </c>
      <c r="B484" s="1" t="s">
        <v>7786</v>
      </c>
      <c r="C484" s="1">
        <v>2800000</v>
      </c>
      <c r="D484" s="1" t="s">
        <v>49</v>
      </c>
      <c r="E484">
        <v>86.541200000000003</v>
      </c>
      <c r="F484" s="1" t="s">
        <v>25</v>
      </c>
      <c r="G484">
        <v>18</v>
      </c>
      <c r="H484">
        <v>11</v>
      </c>
      <c r="I484" s="1" t="s">
        <v>26</v>
      </c>
      <c r="J484">
        <v>1</v>
      </c>
      <c r="K484" t="str">
        <f>IF(Tb_data[[#This Row],[previous_workers]]&lt;Tb_data[[#This Row],[workers]],"yes","no")</f>
        <v>yes</v>
      </c>
      <c r="L484">
        <f>Tb_data[[#This Row],[workers]]-Tb_data[[#This Row],[previous_workers]]</f>
        <v>7</v>
      </c>
      <c r="M484" s="12">
        <f>Tb_data[[#This Row],[Employees Growth]]/Tb_data[[#This Row],[previous_workers]]</f>
        <v>0.63636363636363635</v>
      </c>
    </row>
    <row r="485" spans="1:13" x14ac:dyDescent="0.25">
      <c r="A485" s="1" t="s">
        <v>3760</v>
      </c>
      <c r="B485" s="1" t="s">
        <v>3761</v>
      </c>
      <c r="C485" s="1">
        <v>44700000</v>
      </c>
      <c r="D485" s="1" t="s">
        <v>895</v>
      </c>
      <c r="E485">
        <v>224.50720000000001</v>
      </c>
      <c r="F485" s="1" t="s">
        <v>97</v>
      </c>
      <c r="G485">
        <v>15</v>
      </c>
      <c r="H485">
        <v>9</v>
      </c>
      <c r="I485" s="1" t="s">
        <v>164</v>
      </c>
      <c r="J485">
        <v>4</v>
      </c>
      <c r="K485" t="str">
        <f>IF(Tb_data[[#This Row],[previous_workers]]&lt;Tb_data[[#This Row],[workers]],"yes","no")</f>
        <v>yes</v>
      </c>
      <c r="L485">
        <f>Tb_data[[#This Row],[workers]]-Tb_data[[#This Row],[previous_workers]]</f>
        <v>6</v>
      </c>
      <c r="M485" s="12">
        <f>Tb_data[[#This Row],[Employees Growth]]/Tb_data[[#This Row],[previous_workers]]</f>
        <v>0.66666666666666663</v>
      </c>
    </row>
    <row r="486" spans="1:13" x14ac:dyDescent="0.25">
      <c r="A486" s="1" t="s">
        <v>949</v>
      </c>
      <c r="B486" s="1" t="s">
        <v>950</v>
      </c>
      <c r="C486" s="1">
        <v>5900000</v>
      </c>
      <c r="D486" s="1" t="s">
        <v>20</v>
      </c>
      <c r="E486">
        <v>1056.2826</v>
      </c>
      <c r="F486" s="1" t="s">
        <v>30</v>
      </c>
      <c r="G486">
        <v>24</v>
      </c>
      <c r="H486">
        <v>5</v>
      </c>
      <c r="I486" s="1" t="s">
        <v>55</v>
      </c>
      <c r="J486">
        <v>2</v>
      </c>
      <c r="K486" t="str">
        <f>IF(Tb_data[[#This Row],[previous_workers]]&lt;Tb_data[[#This Row],[workers]],"yes","no")</f>
        <v>yes</v>
      </c>
      <c r="L486">
        <f>Tb_data[[#This Row],[workers]]-Tb_data[[#This Row],[previous_workers]]</f>
        <v>19</v>
      </c>
      <c r="M486" s="12">
        <f>Tb_data[[#This Row],[Employees Growth]]/Tb_data[[#This Row],[previous_workers]]</f>
        <v>3.8</v>
      </c>
    </row>
    <row r="487" spans="1:13" x14ac:dyDescent="0.25">
      <c r="A487" s="1" t="s">
        <v>1222</v>
      </c>
      <c r="B487" s="1" t="s">
        <v>1223</v>
      </c>
      <c r="C487" s="1">
        <v>17200000</v>
      </c>
      <c r="D487" s="1" t="s">
        <v>49</v>
      </c>
      <c r="E487">
        <v>791.56119999999999</v>
      </c>
      <c r="F487" s="1" t="s">
        <v>135</v>
      </c>
      <c r="G487">
        <v>700</v>
      </c>
      <c r="H487">
        <v>250</v>
      </c>
      <c r="I487" s="1" t="s">
        <v>35</v>
      </c>
      <c r="J487">
        <v>1</v>
      </c>
      <c r="K487" t="str">
        <f>IF(Tb_data[[#This Row],[previous_workers]]&lt;Tb_data[[#This Row],[workers]],"yes","no")</f>
        <v>yes</v>
      </c>
      <c r="L487">
        <f>Tb_data[[#This Row],[workers]]-Tb_data[[#This Row],[previous_workers]]</f>
        <v>450</v>
      </c>
      <c r="M487" s="12">
        <f>Tb_data[[#This Row],[Employees Growth]]/Tb_data[[#This Row],[previous_workers]]</f>
        <v>1.8</v>
      </c>
    </row>
    <row r="488" spans="1:13" x14ac:dyDescent="0.25">
      <c r="A488" s="1" t="s">
        <v>3740</v>
      </c>
      <c r="B488" s="1" t="s">
        <v>3741</v>
      </c>
      <c r="C488" s="1">
        <v>79800000</v>
      </c>
      <c r="D488" s="1" t="s">
        <v>33</v>
      </c>
      <c r="E488">
        <v>225.66120000000001</v>
      </c>
      <c r="F488" s="1" t="s">
        <v>172</v>
      </c>
      <c r="G488">
        <v>470</v>
      </c>
      <c r="H488">
        <v>220</v>
      </c>
      <c r="I488" s="1" t="s">
        <v>164</v>
      </c>
      <c r="J488">
        <v>6</v>
      </c>
      <c r="K488" t="str">
        <f>IF(Tb_data[[#This Row],[previous_workers]]&lt;Tb_data[[#This Row],[workers]],"yes","no")</f>
        <v>yes</v>
      </c>
      <c r="L488">
        <f>Tb_data[[#This Row],[workers]]-Tb_data[[#This Row],[previous_workers]]</f>
        <v>250</v>
      </c>
      <c r="M488" s="12">
        <f>Tb_data[[#This Row],[Employees Growth]]/Tb_data[[#This Row],[previous_workers]]</f>
        <v>1.1363636363636365</v>
      </c>
    </row>
    <row r="489" spans="1:13" x14ac:dyDescent="0.25">
      <c r="A489" s="1" t="s">
        <v>6865</v>
      </c>
      <c r="B489" s="1" t="s">
        <v>6866</v>
      </c>
      <c r="C489" s="1">
        <v>11500000</v>
      </c>
      <c r="D489" s="1" t="s">
        <v>49</v>
      </c>
      <c r="E489">
        <v>105.3408</v>
      </c>
      <c r="F489" s="1" t="s">
        <v>124</v>
      </c>
      <c r="G489">
        <v>20</v>
      </c>
      <c r="H489">
        <v>11</v>
      </c>
      <c r="I489" s="1" t="s">
        <v>117</v>
      </c>
      <c r="J489">
        <v>2</v>
      </c>
      <c r="K489" t="str">
        <f>IF(Tb_data[[#This Row],[previous_workers]]&lt;Tb_data[[#This Row],[workers]],"yes","no")</f>
        <v>yes</v>
      </c>
      <c r="L489">
        <f>Tb_data[[#This Row],[workers]]-Tb_data[[#This Row],[previous_workers]]</f>
        <v>9</v>
      </c>
      <c r="M489" s="12">
        <f>Tb_data[[#This Row],[Employees Growth]]/Tb_data[[#This Row],[previous_workers]]</f>
        <v>0.81818181818181823</v>
      </c>
    </row>
    <row r="490" spans="1:13" x14ac:dyDescent="0.25">
      <c r="A490" s="1" t="s">
        <v>8461</v>
      </c>
      <c r="B490" s="1" t="s">
        <v>8462</v>
      </c>
      <c r="C490" s="1">
        <v>161400000</v>
      </c>
      <c r="D490" s="1" t="s">
        <v>49</v>
      </c>
      <c r="E490">
        <v>74.870500000000007</v>
      </c>
      <c r="F490" s="1" t="s">
        <v>30</v>
      </c>
      <c r="G490">
        <v>150</v>
      </c>
      <c r="H490">
        <v>111</v>
      </c>
      <c r="I490" s="1" t="s">
        <v>1411</v>
      </c>
      <c r="J490">
        <v>8</v>
      </c>
      <c r="K490" t="str">
        <f>IF(Tb_data[[#This Row],[previous_workers]]&lt;Tb_data[[#This Row],[workers]],"yes","no")</f>
        <v>yes</v>
      </c>
      <c r="L490">
        <f>Tb_data[[#This Row],[workers]]-Tb_data[[#This Row],[previous_workers]]</f>
        <v>39</v>
      </c>
      <c r="M490" s="12">
        <f>Tb_data[[#This Row],[Employees Growth]]/Tb_data[[#This Row],[previous_workers]]</f>
        <v>0.35135135135135137</v>
      </c>
    </row>
    <row r="491" spans="1:13" x14ac:dyDescent="0.25">
      <c r="A491" s="1" t="s">
        <v>317</v>
      </c>
      <c r="B491" s="1" t="s">
        <v>318</v>
      </c>
      <c r="C491" s="1">
        <v>12300000</v>
      </c>
      <c r="D491" s="1" t="s">
        <v>69</v>
      </c>
      <c r="E491">
        <v>2861.2368999999999</v>
      </c>
      <c r="F491" s="1" t="s">
        <v>62</v>
      </c>
      <c r="G491">
        <v>66</v>
      </c>
      <c r="H491">
        <v>12</v>
      </c>
      <c r="I491" s="1" t="s">
        <v>130</v>
      </c>
      <c r="J491">
        <v>1</v>
      </c>
      <c r="K491" t="str">
        <f>IF(Tb_data[[#This Row],[previous_workers]]&lt;Tb_data[[#This Row],[workers]],"yes","no")</f>
        <v>yes</v>
      </c>
      <c r="L491">
        <f>Tb_data[[#This Row],[workers]]-Tb_data[[#This Row],[previous_workers]]</f>
        <v>54</v>
      </c>
      <c r="M491" s="12">
        <f>Tb_data[[#This Row],[Employees Growth]]/Tb_data[[#This Row],[previous_workers]]</f>
        <v>4.5</v>
      </c>
    </row>
    <row r="492" spans="1:13" x14ac:dyDescent="0.25">
      <c r="A492" s="1" t="s">
        <v>6435</v>
      </c>
      <c r="B492" s="1" t="s">
        <v>6436</v>
      </c>
      <c r="C492" s="1">
        <v>7700000</v>
      </c>
      <c r="D492" s="1" t="s">
        <v>38</v>
      </c>
      <c r="E492">
        <v>115.41540000000001</v>
      </c>
      <c r="F492" s="1" t="s">
        <v>42</v>
      </c>
      <c r="G492">
        <v>23</v>
      </c>
      <c r="H492">
        <v>13</v>
      </c>
      <c r="I492" s="1" t="s">
        <v>226</v>
      </c>
      <c r="J492">
        <v>5</v>
      </c>
      <c r="K492" t="str">
        <f>IF(Tb_data[[#This Row],[previous_workers]]&lt;Tb_data[[#This Row],[workers]],"yes","no")</f>
        <v>yes</v>
      </c>
      <c r="L492">
        <f>Tb_data[[#This Row],[workers]]-Tb_data[[#This Row],[previous_workers]]</f>
        <v>10</v>
      </c>
      <c r="M492" s="12">
        <f>Tb_data[[#This Row],[Employees Growth]]/Tb_data[[#This Row],[previous_workers]]</f>
        <v>0.76923076923076927</v>
      </c>
    </row>
    <row r="493" spans="1:13" x14ac:dyDescent="0.25">
      <c r="A493" s="1" t="s">
        <v>9994</v>
      </c>
      <c r="B493" s="1" t="s">
        <v>9995</v>
      </c>
      <c r="C493" s="1">
        <v>220300000</v>
      </c>
      <c r="D493" s="1" t="s">
        <v>33</v>
      </c>
      <c r="E493">
        <v>53.537300000000002</v>
      </c>
      <c r="F493" s="1" t="s">
        <v>62</v>
      </c>
      <c r="G493">
        <v>400</v>
      </c>
      <c r="H493">
        <v>260</v>
      </c>
      <c r="I493" s="1" t="s">
        <v>1051</v>
      </c>
      <c r="J493">
        <v>13</v>
      </c>
      <c r="K493" t="str">
        <f>IF(Tb_data[[#This Row],[previous_workers]]&lt;Tb_data[[#This Row],[workers]],"yes","no")</f>
        <v>yes</v>
      </c>
      <c r="L493">
        <f>Tb_data[[#This Row],[workers]]-Tb_data[[#This Row],[previous_workers]]</f>
        <v>140</v>
      </c>
      <c r="M493" s="12">
        <f>Tb_data[[#This Row],[Employees Growth]]/Tb_data[[#This Row],[previous_workers]]</f>
        <v>0.53846153846153844</v>
      </c>
    </row>
    <row r="494" spans="1:13" x14ac:dyDescent="0.25">
      <c r="A494" s="1" t="s">
        <v>3908</v>
      </c>
      <c r="B494" s="1" t="s">
        <v>3909</v>
      </c>
      <c r="C494" s="1">
        <v>3700000</v>
      </c>
      <c r="D494" s="1" t="s">
        <v>38</v>
      </c>
      <c r="E494">
        <v>212.98480000000001</v>
      </c>
      <c r="F494" s="1" t="s">
        <v>62</v>
      </c>
      <c r="G494">
        <v>12</v>
      </c>
      <c r="H494">
        <v>5</v>
      </c>
      <c r="I494" s="1" t="s">
        <v>164</v>
      </c>
      <c r="J494">
        <v>2</v>
      </c>
      <c r="K494" t="str">
        <f>IF(Tb_data[[#This Row],[previous_workers]]&lt;Tb_data[[#This Row],[workers]],"yes","no")</f>
        <v>yes</v>
      </c>
      <c r="L494">
        <f>Tb_data[[#This Row],[workers]]-Tb_data[[#This Row],[previous_workers]]</f>
        <v>7</v>
      </c>
      <c r="M494" s="12">
        <f>Tb_data[[#This Row],[Employees Growth]]/Tb_data[[#This Row],[previous_workers]]</f>
        <v>1.4</v>
      </c>
    </row>
    <row r="495" spans="1:13" x14ac:dyDescent="0.25">
      <c r="A495" s="1" t="s">
        <v>2701</v>
      </c>
      <c r="B495" s="1" t="s">
        <v>2702</v>
      </c>
      <c r="C495" s="1">
        <v>8900000</v>
      </c>
      <c r="D495" s="1" t="s">
        <v>69</v>
      </c>
      <c r="E495">
        <v>318.79899999999998</v>
      </c>
      <c r="F495" s="1" t="s">
        <v>86</v>
      </c>
      <c r="G495">
        <v>29</v>
      </c>
      <c r="H495">
        <v>11</v>
      </c>
      <c r="I495" s="1" t="s">
        <v>55</v>
      </c>
      <c r="J495">
        <v>2</v>
      </c>
      <c r="K495" t="str">
        <f>IF(Tb_data[[#This Row],[previous_workers]]&lt;Tb_data[[#This Row],[workers]],"yes","no")</f>
        <v>yes</v>
      </c>
      <c r="L495">
        <f>Tb_data[[#This Row],[workers]]-Tb_data[[#This Row],[previous_workers]]</f>
        <v>18</v>
      </c>
      <c r="M495" s="12">
        <f>Tb_data[[#This Row],[Employees Growth]]/Tb_data[[#This Row],[previous_workers]]</f>
        <v>1.6363636363636365</v>
      </c>
    </row>
    <row r="496" spans="1:13" x14ac:dyDescent="0.25">
      <c r="A496" s="1" t="s">
        <v>7653</v>
      </c>
      <c r="B496" s="1" t="s">
        <v>7654</v>
      </c>
      <c r="C496" s="1">
        <v>4300000</v>
      </c>
      <c r="D496" s="1" t="s">
        <v>45</v>
      </c>
      <c r="E496">
        <v>88.859399999999994</v>
      </c>
      <c r="F496" s="1" t="s">
        <v>17</v>
      </c>
      <c r="G496">
        <v>55</v>
      </c>
      <c r="H496">
        <v>25</v>
      </c>
      <c r="I496" s="1" t="s">
        <v>1051</v>
      </c>
      <c r="J496">
        <v>2</v>
      </c>
      <c r="K496" t="str">
        <f>IF(Tb_data[[#This Row],[previous_workers]]&lt;Tb_data[[#This Row],[workers]],"yes","no")</f>
        <v>yes</v>
      </c>
      <c r="L496">
        <f>Tb_data[[#This Row],[workers]]-Tb_data[[#This Row],[previous_workers]]</f>
        <v>30</v>
      </c>
      <c r="M496" s="12">
        <f>Tb_data[[#This Row],[Employees Growth]]/Tb_data[[#This Row],[previous_workers]]</f>
        <v>1.2</v>
      </c>
    </row>
    <row r="497" spans="1:13" x14ac:dyDescent="0.25">
      <c r="A497" s="1" t="s">
        <v>5674</v>
      </c>
      <c r="B497" s="1" t="s">
        <v>5675</v>
      </c>
      <c r="C497" s="1">
        <v>19800000</v>
      </c>
      <c r="D497" s="1" t="s">
        <v>16</v>
      </c>
      <c r="E497">
        <v>135.20930000000001</v>
      </c>
      <c r="F497" s="1" t="s">
        <v>34</v>
      </c>
      <c r="G497">
        <v>48</v>
      </c>
      <c r="H497">
        <v>12</v>
      </c>
      <c r="I497" s="1" t="s">
        <v>26</v>
      </c>
      <c r="J497">
        <v>1</v>
      </c>
      <c r="K497" t="str">
        <f>IF(Tb_data[[#This Row],[previous_workers]]&lt;Tb_data[[#This Row],[workers]],"yes","no")</f>
        <v>yes</v>
      </c>
      <c r="L497">
        <f>Tb_data[[#This Row],[workers]]-Tb_data[[#This Row],[previous_workers]]</f>
        <v>36</v>
      </c>
      <c r="M497" s="12">
        <f>Tb_data[[#This Row],[Employees Growth]]/Tb_data[[#This Row],[previous_workers]]</f>
        <v>3</v>
      </c>
    </row>
    <row r="498" spans="1:13" x14ac:dyDescent="0.25">
      <c r="A498" s="1" t="s">
        <v>3370</v>
      </c>
      <c r="B498" s="1" t="s">
        <v>3371</v>
      </c>
      <c r="C498" s="1">
        <v>6300000</v>
      </c>
      <c r="D498" s="1" t="s">
        <v>33</v>
      </c>
      <c r="E498">
        <v>254.35390000000001</v>
      </c>
      <c r="F498" s="1" t="s">
        <v>172</v>
      </c>
      <c r="G498">
        <v>7</v>
      </c>
      <c r="H498">
        <v>3</v>
      </c>
      <c r="I498" s="1" t="s">
        <v>35</v>
      </c>
      <c r="J498">
        <v>1</v>
      </c>
      <c r="K498" t="str">
        <f>IF(Tb_data[[#This Row],[previous_workers]]&lt;Tb_data[[#This Row],[workers]],"yes","no")</f>
        <v>yes</v>
      </c>
      <c r="L498">
        <f>Tb_data[[#This Row],[workers]]-Tb_data[[#This Row],[previous_workers]]</f>
        <v>4</v>
      </c>
      <c r="M498" s="12">
        <f>Tb_data[[#This Row],[Employees Growth]]/Tb_data[[#This Row],[previous_workers]]</f>
        <v>1.3333333333333333</v>
      </c>
    </row>
    <row r="499" spans="1:13" x14ac:dyDescent="0.25">
      <c r="A499" s="1" t="s">
        <v>2044</v>
      </c>
      <c r="B499" s="1" t="s">
        <v>2045</v>
      </c>
      <c r="C499" s="1">
        <v>63200000</v>
      </c>
      <c r="D499" s="1" t="s">
        <v>129</v>
      </c>
      <c r="E499">
        <v>438.57549999999998</v>
      </c>
      <c r="F499" s="1" t="s">
        <v>156</v>
      </c>
      <c r="G499">
        <v>483</v>
      </c>
      <c r="H499">
        <v>132</v>
      </c>
      <c r="I499" s="1" t="s">
        <v>35</v>
      </c>
      <c r="J499">
        <v>4</v>
      </c>
      <c r="K499" t="str">
        <f>IF(Tb_data[[#This Row],[previous_workers]]&lt;Tb_data[[#This Row],[workers]],"yes","no")</f>
        <v>yes</v>
      </c>
      <c r="L499">
        <f>Tb_data[[#This Row],[workers]]-Tb_data[[#This Row],[previous_workers]]</f>
        <v>351</v>
      </c>
      <c r="M499" s="12">
        <f>Tb_data[[#This Row],[Employees Growth]]/Tb_data[[#This Row],[previous_workers]]</f>
        <v>2.6590909090909092</v>
      </c>
    </row>
    <row r="500" spans="1:13" x14ac:dyDescent="0.25">
      <c r="A500" s="1" t="s">
        <v>9732</v>
      </c>
      <c r="B500" s="1" t="s">
        <v>9733</v>
      </c>
      <c r="C500" s="1">
        <v>2400000</v>
      </c>
      <c r="D500" s="1" t="s">
        <v>41</v>
      </c>
      <c r="E500">
        <v>57.781100000000002</v>
      </c>
      <c r="F500" s="1" t="s">
        <v>97</v>
      </c>
      <c r="G500">
        <v>12</v>
      </c>
      <c r="H500">
        <v>8</v>
      </c>
      <c r="I500" s="1" t="s">
        <v>130</v>
      </c>
      <c r="J500">
        <v>1</v>
      </c>
      <c r="K500" t="str">
        <f>IF(Tb_data[[#This Row],[previous_workers]]&lt;Tb_data[[#This Row],[workers]],"yes","no")</f>
        <v>yes</v>
      </c>
      <c r="L500">
        <f>Tb_data[[#This Row],[workers]]-Tb_data[[#This Row],[previous_workers]]</f>
        <v>4</v>
      </c>
      <c r="M500" s="12">
        <f>Tb_data[[#This Row],[Employees Growth]]/Tb_data[[#This Row],[previous_workers]]</f>
        <v>0.5</v>
      </c>
    </row>
    <row r="501" spans="1:13" x14ac:dyDescent="0.25">
      <c r="A501" s="1" t="s">
        <v>8687</v>
      </c>
      <c r="B501" s="1" t="s">
        <v>8688</v>
      </c>
      <c r="C501" s="1">
        <v>6000000</v>
      </c>
      <c r="D501" s="1" t="s">
        <v>254</v>
      </c>
      <c r="E501">
        <v>71.179199999999994</v>
      </c>
      <c r="F501" s="1" t="s">
        <v>172</v>
      </c>
      <c r="G501">
        <v>65</v>
      </c>
      <c r="H501">
        <v>20</v>
      </c>
      <c r="I501" s="1" t="s">
        <v>147</v>
      </c>
      <c r="J501">
        <v>2</v>
      </c>
      <c r="K501" t="str">
        <f>IF(Tb_data[[#This Row],[previous_workers]]&lt;Tb_data[[#This Row],[workers]],"yes","no")</f>
        <v>yes</v>
      </c>
      <c r="L501">
        <f>Tb_data[[#This Row],[workers]]-Tb_data[[#This Row],[previous_workers]]</f>
        <v>45</v>
      </c>
      <c r="M501" s="12">
        <f>Tb_data[[#This Row],[Employees Growth]]/Tb_data[[#This Row],[previous_workers]]</f>
        <v>2.25</v>
      </c>
    </row>
    <row r="502" spans="1:13" x14ac:dyDescent="0.25">
      <c r="A502" s="1" t="s">
        <v>5252</v>
      </c>
      <c r="B502" s="1" t="s">
        <v>5253</v>
      </c>
      <c r="C502" s="1">
        <v>7300000</v>
      </c>
      <c r="D502" s="1" t="s">
        <v>1021</v>
      </c>
      <c r="E502">
        <v>151.67420000000001</v>
      </c>
      <c r="F502" s="1" t="s">
        <v>161</v>
      </c>
      <c r="G502">
        <v>14</v>
      </c>
      <c r="H502">
        <v>5</v>
      </c>
      <c r="I502" s="1" t="s">
        <v>35</v>
      </c>
      <c r="J502">
        <v>2</v>
      </c>
      <c r="K502" t="str">
        <f>IF(Tb_data[[#This Row],[previous_workers]]&lt;Tb_data[[#This Row],[workers]],"yes","no")</f>
        <v>yes</v>
      </c>
      <c r="L502">
        <f>Tb_data[[#This Row],[workers]]-Tb_data[[#This Row],[previous_workers]]</f>
        <v>9</v>
      </c>
      <c r="M502" s="12">
        <f>Tb_data[[#This Row],[Employees Growth]]/Tb_data[[#This Row],[previous_workers]]</f>
        <v>1.8</v>
      </c>
    </row>
    <row r="503" spans="1:13" x14ac:dyDescent="0.25">
      <c r="A503" s="1" t="s">
        <v>2350</v>
      </c>
      <c r="B503" s="1" t="s">
        <v>2351</v>
      </c>
      <c r="C503" s="1">
        <v>4000000</v>
      </c>
      <c r="D503" s="1" t="s">
        <v>427</v>
      </c>
      <c r="E503">
        <v>372.08429999999998</v>
      </c>
      <c r="F503" s="1" t="s">
        <v>100</v>
      </c>
      <c r="G503">
        <v>70</v>
      </c>
      <c r="H503">
        <v>12</v>
      </c>
      <c r="I503" s="1" t="s">
        <v>117</v>
      </c>
      <c r="J503">
        <v>2</v>
      </c>
      <c r="K503" t="str">
        <f>IF(Tb_data[[#This Row],[previous_workers]]&lt;Tb_data[[#This Row],[workers]],"yes","no")</f>
        <v>yes</v>
      </c>
      <c r="L503">
        <f>Tb_data[[#This Row],[workers]]-Tb_data[[#This Row],[previous_workers]]</f>
        <v>58</v>
      </c>
      <c r="M503" s="12">
        <f>Tb_data[[#This Row],[Employees Growth]]/Tb_data[[#This Row],[previous_workers]]</f>
        <v>4.833333333333333</v>
      </c>
    </row>
    <row r="504" spans="1:13" x14ac:dyDescent="0.25">
      <c r="A504" s="1" t="s">
        <v>8181</v>
      </c>
      <c r="B504" s="1" t="s">
        <v>8182</v>
      </c>
      <c r="C504" s="1">
        <v>110900000</v>
      </c>
      <c r="D504" s="1" t="s">
        <v>179</v>
      </c>
      <c r="E504">
        <v>79.998699999999999</v>
      </c>
      <c r="F504" s="1" t="s">
        <v>17</v>
      </c>
      <c r="G504">
        <v>570</v>
      </c>
      <c r="H504">
        <v>340</v>
      </c>
      <c r="I504" s="1" t="s">
        <v>4010</v>
      </c>
      <c r="J504">
        <v>11</v>
      </c>
      <c r="K504" t="str">
        <f>IF(Tb_data[[#This Row],[previous_workers]]&lt;Tb_data[[#This Row],[workers]],"yes","no")</f>
        <v>yes</v>
      </c>
      <c r="L504">
        <f>Tb_data[[#This Row],[workers]]-Tb_data[[#This Row],[previous_workers]]</f>
        <v>230</v>
      </c>
      <c r="M504" s="12">
        <f>Tb_data[[#This Row],[Employees Growth]]/Tb_data[[#This Row],[previous_workers]]</f>
        <v>0.67647058823529416</v>
      </c>
    </row>
    <row r="505" spans="1:13" x14ac:dyDescent="0.25">
      <c r="A505" s="1" t="s">
        <v>3823</v>
      </c>
      <c r="B505" s="1" t="s">
        <v>3824</v>
      </c>
      <c r="C505" s="1">
        <v>11000000</v>
      </c>
      <c r="D505" s="1" t="s">
        <v>33</v>
      </c>
      <c r="E505">
        <v>219.70310000000001</v>
      </c>
      <c r="F505" s="1" t="s">
        <v>514</v>
      </c>
      <c r="G505">
        <v>275</v>
      </c>
      <c r="H505">
        <v>125</v>
      </c>
      <c r="I505" s="1" t="s">
        <v>35</v>
      </c>
      <c r="J505">
        <v>4</v>
      </c>
      <c r="K505" t="str">
        <f>IF(Tb_data[[#This Row],[previous_workers]]&lt;Tb_data[[#This Row],[workers]],"yes","no")</f>
        <v>yes</v>
      </c>
      <c r="L505">
        <f>Tb_data[[#This Row],[workers]]-Tb_data[[#This Row],[previous_workers]]</f>
        <v>150</v>
      </c>
      <c r="M505" s="12">
        <f>Tb_data[[#This Row],[Employees Growth]]/Tb_data[[#This Row],[previous_workers]]</f>
        <v>1.2</v>
      </c>
    </row>
    <row r="506" spans="1:13" x14ac:dyDescent="0.25">
      <c r="A506" s="1" t="s">
        <v>1839</v>
      </c>
      <c r="B506" s="1" t="s">
        <v>1840</v>
      </c>
      <c r="C506" s="1">
        <v>13000000</v>
      </c>
      <c r="D506" s="1" t="s">
        <v>895</v>
      </c>
      <c r="E506">
        <v>490.55279999999999</v>
      </c>
      <c r="F506" s="1" t="s">
        <v>30</v>
      </c>
      <c r="G506">
        <v>115</v>
      </c>
      <c r="H506">
        <v>30</v>
      </c>
      <c r="I506" s="1" t="s">
        <v>130</v>
      </c>
      <c r="J506">
        <v>1</v>
      </c>
      <c r="K506" t="str">
        <f>IF(Tb_data[[#This Row],[previous_workers]]&lt;Tb_data[[#This Row],[workers]],"yes","no")</f>
        <v>yes</v>
      </c>
      <c r="L506">
        <f>Tb_data[[#This Row],[workers]]-Tb_data[[#This Row],[previous_workers]]</f>
        <v>85</v>
      </c>
      <c r="M506" s="12">
        <f>Tb_data[[#This Row],[Employees Growth]]/Tb_data[[#This Row],[previous_workers]]</f>
        <v>2.8333333333333335</v>
      </c>
    </row>
    <row r="507" spans="1:13" x14ac:dyDescent="0.25">
      <c r="A507" s="1" t="s">
        <v>713</v>
      </c>
      <c r="B507" s="1" t="s">
        <v>714</v>
      </c>
      <c r="C507" s="1">
        <v>3200000</v>
      </c>
      <c r="D507" s="1" t="s">
        <v>49</v>
      </c>
      <c r="E507">
        <v>1460.6844000000001</v>
      </c>
      <c r="F507" s="1" t="s">
        <v>176</v>
      </c>
      <c r="G507">
        <v>55</v>
      </c>
      <c r="H507">
        <v>4</v>
      </c>
      <c r="I507" s="1" t="s">
        <v>13</v>
      </c>
      <c r="J507">
        <v>1</v>
      </c>
      <c r="K507" t="str">
        <f>IF(Tb_data[[#This Row],[previous_workers]]&lt;Tb_data[[#This Row],[workers]],"yes","no")</f>
        <v>yes</v>
      </c>
      <c r="L507">
        <f>Tb_data[[#This Row],[workers]]-Tb_data[[#This Row],[previous_workers]]</f>
        <v>51</v>
      </c>
      <c r="M507" s="12">
        <f>Tb_data[[#This Row],[Employees Growth]]/Tb_data[[#This Row],[previous_workers]]</f>
        <v>12.75</v>
      </c>
    </row>
    <row r="508" spans="1:13" x14ac:dyDescent="0.25">
      <c r="A508" s="1" t="s">
        <v>7218</v>
      </c>
      <c r="B508" s="1" t="s">
        <v>7219</v>
      </c>
      <c r="C508" s="1">
        <v>9700000</v>
      </c>
      <c r="D508" s="1" t="s">
        <v>49</v>
      </c>
      <c r="E508">
        <v>98.132800000000003</v>
      </c>
      <c r="F508" s="1" t="s">
        <v>30</v>
      </c>
      <c r="G508">
        <v>25</v>
      </c>
      <c r="H508">
        <v>15</v>
      </c>
      <c r="I508" s="1" t="s">
        <v>2628</v>
      </c>
      <c r="J508">
        <v>5</v>
      </c>
      <c r="K508" t="str">
        <f>IF(Tb_data[[#This Row],[previous_workers]]&lt;Tb_data[[#This Row],[workers]],"yes","no")</f>
        <v>yes</v>
      </c>
      <c r="L508">
        <f>Tb_data[[#This Row],[workers]]-Tb_data[[#This Row],[previous_workers]]</f>
        <v>10</v>
      </c>
      <c r="M508" s="12">
        <f>Tb_data[[#This Row],[Employees Growth]]/Tb_data[[#This Row],[previous_workers]]</f>
        <v>0.66666666666666663</v>
      </c>
    </row>
    <row r="509" spans="1:13" x14ac:dyDescent="0.25">
      <c r="A509" s="1" t="s">
        <v>9067</v>
      </c>
      <c r="B509" s="1" t="s">
        <v>9068</v>
      </c>
      <c r="C509" s="1">
        <v>23700000</v>
      </c>
      <c r="D509" s="1" t="s">
        <v>41</v>
      </c>
      <c r="E509">
        <v>65.8416</v>
      </c>
      <c r="F509" s="1" t="s">
        <v>514</v>
      </c>
      <c r="G509">
        <v>152</v>
      </c>
      <c r="H509">
        <v>108</v>
      </c>
      <c r="I509" s="1" t="s">
        <v>3922</v>
      </c>
      <c r="J509">
        <v>1</v>
      </c>
      <c r="K509" t="str">
        <f>IF(Tb_data[[#This Row],[previous_workers]]&lt;Tb_data[[#This Row],[workers]],"yes","no")</f>
        <v>yes</v>
      </c>
      <c r="L509">
        <f>Tb_data[[#This Row],[workers]]-Tb_data[[#This Row],[previous_workers]]</f>
        <v>44</v>
      </c>
      <c r="M509" s="12">
        <f>Tb_data[[#This Row],[Employees Growth]]/Tb_data[[#This Row],[previous_workers]]</f>
        <v>0.40740740740740738</v>
      </c>
    </row>
    <row r="510" spans="1:13" x14ac:dyDescent="0.25">
      <c r="A510" s="1" t="s">
        <v>9786</v>
      </c>
      <c r="B510" s="1" t="s">
        <v>9787</v>
      </c>
      <c r="C510" s="1">
        <v>8500000</v>
      </c>
      <c r="D510" s="1" t="s">
        <v>33</v>
      </c>
      <c r="E510">
        <v>56.895600000000002</v>
      </c>
      <c r="F510" s="1" t="s">
        <v>176</v>
      </c>
      <c r="G510">
        <v>21</v>
      </c>
      <c r="H510">
        <v>21</v>
      </c>
      <c r="I510" s="1" t="s">
        <v>35</v>
      </c>
      <c r="J510">
        <v>2</v>
      </c>
      <c r="K510" t="str">
        <f>IF(Tb_data[[#This Row],[previous_workers]]&lt;Tb_data[[#This Row],[workers]],"yes","no")</f>
        <v>no</v>
      </c>
      <c r="L510">
        <f>Tb_data[[#This Row],[workers]]-Tb_data[[#This Row],[previous_workers]]</f>
        <v>0</v>
      </c>
      <c r="M510" s="12">
        <f>Tb_data[[#This Row],[Employees Growth]]/Tb_data[[#This Row],[previous_workers]]</f>
        <v>0</v>
      </c>
    </row>
    <row r="511" spans="1:13" x14ac:dyDescent="0.25">
      <c r="A511" s="1" t="s">
        <v>2536</v>
      </c>
      <c r="B511" s="1" t="s">
        <v>2537</v>
      </c>
      <c r="C511" s="1">
        <v>10700000</v>
      </c>
      <c r="D511" s="1" t="s">
        <v>20</v>
      </c>
      <c r="E511">
        <v>338.79880000000003</v>
      </c>
      <c r="F511" s="1" t="s">
        <v>169</v>
      </c>
      <c r="G511">
        <v>7</v>
      </c>
      <c r="H511">
        <v>4</v>
      </c>
      <c r="I511" s="1" t="s">
        <v>35</v>
      </c>
      <c r="J511">
        <v>1</v>
      </c>
      <c r="K511" t="str">
        <f>IF(Tb_data[[#This Row],[previous_workers]]&lt;Tb_data[[#This Row],[workers]],"yes","no")</f>
        <v>yes</v>
      </c>
      <c r="L511">
        <f>Tb_data[[#This Row],[workers]]-Tb_data[[#This Row],[previous_workers]]</f>
        <v>3</v>
      </c>
      <c r="M511" s="12">
        <f>Tb_data[[#This Row],[Employees Growth]]/Tb_data[[#This Row],[previous_workers]]</f>
        <v>0.75</v>
      </c>
    </row>
    <row r="512" spans="1:13" x14ac:dyDescent="0.25">
      <c r="A512" s="1" t="s">
        <v>4846</v>
      </c>
      <c r="B512" s="1" t="s">
        <v>4847</v>
      </c>
      <c r="C512" s="1">
        <v>11900000</v>
      </c>
      <c r="D512" s="1" t="s">
        <v>69</v>
      </c>
      <c r="E512">
        <v>168.09639999999999</v>
      </c>
      <c r="F512" s="1" t="s">
        <v>25</v>
      </c>
      <c r="G512">
        <v>35</v>
      </c>
      <c r="H512">
        <v>6</v>
      </c>
      <c r="I512" s="1" t="s">
        <v>13</v>
      </c>
      <c r="J512">
        <v>1</v>
      </c>
      <c r="K512" t="str">
        <f>IF(Tb_data[[#This Row],[previous_workers]]&lt;Tb_data[[#This Row],[workers]],"yes","no")</f>
        <v>yes</v>
      </c>
      <c r="L512">
        <f>Tb_data[[#This Row],[workers]]-Tb_data[[#This Row],[previous_workers]]</f>
        <v>29</v>
      </c>
      <c r="M512" s="12">
        <f>Tb_data[[#This Row],[Employees Growth]]/Tb_data[[#This Row],[previous_workers]]</f>
        <v>4.833333333333333</v>
      </c>
    </row>
    <row r="513" spans="1:13" x14ac:dyDescent="0.25">
      <c r="A513" s="1" t="s">
        <v>599</v>
      </c>
      <c r="B513" s="1" t="s">
        <v>600</v>
      </c>
      <c r="C513" s="1">
        <v>10100000</v>
      </c>
      <c r="D513" s="1" t="s">
        <v>61</v>
      </c>
      <c r="E513">
        <v>1681.6204</v>
      </c>
      <c r="F513" s="1" t="s">
        <v>161</v>
      </c>
      <c r="G513">
        <v>2</v>
      </c>
      <c r="H513">
        <v>1</v>
      </c>
      <c r="I513" s="1" t="s">
        <v>26</v>
      </c>
      <c r="J513">
        <v>1</v>
      </c>
      <c r="K513" t="str">
        <f>IF(Tb_data[[#This Row],[previous_workers]]&lt;Tb_data[[#This Row],[workers]],"yes","no")</f>
        <v>yes</v>
      </c>
      <c r="L513">
        <f>Tb_data[[#This Row],[workers]]-Tb_data[[#This Row],[previous_workers]]</f>
        <v>1</v>
      </c>
      <c r="M513" s="12">
        <f>Tb_data[[#This Row],[Employees Growth]]/Tb_data[[#This Row],[previous_workers]]</f>
        <v>1</v>
      </c>
    </row>
    <row r="514" spans="1:13" x14ac:dyDescent="0.25">
      <c r="A514" s="1" t="s">
        <v>6151</v>
      </c>
      <c r="B514" s="1" t="s">
        <v>6152</v>
      </c>
      <c r="C514" s="1">
        <v>14500000</v>
      </c>
      <c r="D514" s="1" t="s">
        <v>179</v>
      </c>
      <c r="E514">
        <v>122.373</v>
      </c>
      <c r="F514" s="1" t="s">
        <v>161</v>
      </c>
      <c r="G514">
        <v>16</v>
      </c>
      <c r="H514">
        <v>10</v>
      </c>
      <c r="I514" s="1" t="s">
        <v>55</v>
      </c>
      <c r="J514">
        <v>3</v>
      </c>
      <c r="K514" t="str">
        <f>IF(Tb_data[[#This Row],[previous_workers]]&lt;Tb_data[[#This Row],[workers]],"yes","no")</f>
        <v>yes</v>
      </c>
      <c r="L514">
        <f>Tb_data[[#This Row],[workers]]-Tb_data[[#This Row],[previous_workers]]</f>
        <v>6</v>
      </c>
      <c r="M514" s="12">
        <f>Tb_data[[#This Row],[Employees Growth]]/Tb_data[[#This Row],[previous_workers]]</f>
        <v>0.6</v>
      </c>
    </row>
    <row r="515" spans="1:13" x14ac:dyDescent="0.25">
      <c r="A515" s="1" t="s">
        <v>6157</v>
      </c>
      <c r="B515" s="1" t="s">
        <v>6158</v>
      </c>
      <c r="C515" s="1">
        <v>75100000</v>
      </c>
      <c r="D515" s="1" t="s">
        <v>33</v>
      </c>
      <c r="E515">
        <v>122.2889</v>
      </c>
      <c r="F515" s="1" t="s">
        <v>124</v>
      </c>
      <c r="G515">
        <v>62</v>
      </c>
      <c r="H515">
        <v>30</v>
      </c>
      <c r="I515" s="1" t="s">
        <v>948</v>
      </c>
      <c r="J515">
        <v>1</v>
      </c>
      <c r="K515" t="str">
        <f>IF(Tb_data[[#This Row],[previous_workers]]&lt;Tb_data[[#This Row],[workers]],"yes","no")</f>
        <v>yes</v>
      </c>
      <c r="L515">
        <f>Tb_data[[#This Row],[workers]]-Tb_data[[#This Row],[previous_workers]]</f>
        <v>32</v>
      </c>
      <c r="M515" s="12">
        <f>Tb_data[[#This Row],[Employees Growth]]/Tb_data[[#This Row],[previous_workers]]</f>
        <v>1.0666666666666667</v>
      </c>
    </row>
    <row r="516" spans="1:13" x14ac:dyDescent="0.25">
      <c r="A516" s="1" t="s">
        <v>1148</v>
      </c>
      <c r="B516" s="1" t="s">
        <v>1149</v>
      </c>
      <c r="C516" s="1">
        <v>17500000</v>
      </c>
      <c r="D516" s="1" t="s">
        <v>61</v>
      </c>
      <c r="E516">
        <v>833.85770000000002</v>
      </c>
      <c r="F516" s="1" t="s">
        <v>34</v>
      </c>
      <c r="G516">
        <v>27</v>
      </c>
      <c r="H516">
        <v>6</v>
      </c>
      <c r="I516" s="1" t="s">
        <v>13</v>
      </c>
      <c r="J516">
        <v>1</v>
      </c>
      <c r="K516" t="str">
        <f>IF(Tb_data[[#This Row],[previous_workers]]&lt;Tb_data[[#This Row],[workers]],"yes","no")</f>
        <v>yes</v>
      </c>
      <c r="L516">
        <f>Tb_data[[#This Row],[workers]]-Tb_data[[#This Row],[previous_workers]]</f>
        <v>21</v>
      </c>
      <c r="M516" s="12">
        <f>Tb_data[[#This Row],[Employees Growth]]/Tb_data[[#This Row],[previous_workers]]</f>
        <v>3.5</v>
      </c>
    </row>
    <row r="517" spans="1:13" x14ac:dyDescent="0.25">
      <c r="A517" s="1" t="s">
        <v>1204</v>
      </c>
      <c r="B517" s="1" t="s">
        <v>1205</v>
      </c>
      <c r="C517" s="1">
        <v>11000000</v>
      </c>
      <c r="D517" s="1" t="s">
        <v>49</v>
      </c>
      <c r="E517">
        <v>805.07410000000004</v>
      </c>
      <c r="F517" s="1" t="s">
        <v>86</v>
      </c>
      <c r="G517">
        <v>66</v>
      </c>
      <c r="H517">
        <v>12</v>
      </c>
      <c r="I517" s="1" t="s">
        <v>164</v>
      </c>
      <c r="J517">
        <v>2</v>
      </c>
      <c r="K517" t="str">
        <f>IF(Tb_data[[#This Row],[previous_workers]]&lt;Tb_data[[#This Row],[workers]],"yes","no")</f>
        <v>yes</v>
      </c>
      <c r="L517">
        <f>Tb_data[[#This Row],[workers]]-Tb_data[[#This Row],[previous_workers]]</f>
        <v>54</v>
      </c>
      <c r="M517" s="12">
        <f>Tb_data[[#This Row],[Employees Growth]]/Tb_data[[#This Row],[previous_workers]]</f>
        <v>4.5</v>
      </c>
    </row>
    <row r="518" spans="1:13" x14ac:dyDescent="0.25">
      <c r="A518" s="1" t="s">
        <v>5332</v>
      </c>
      <c r="B518" s="1" t="s">
        <v>5333</v>
      </c>
      <c r="C518" s="1">
        <v>15700000</v>
      </c>
      <c r="D518" s="1" t="s">
        <v>11</v>
      </c>
      <c r="E518">
        <v>148.49279999999999</v>
      </c>
      <c r="F518" s="1" t="s">
        <v>34</v>
      </c>
      <c r="G518">
        <v>155</v>
      </c>
      <c r="H518">
        <v>50</v>
      </c>
      <c r="I518" s="1" t="s">
        <v>2611</v>
      </c>
      <c r="J518">
        <v>2</v>
      </c>
      <c r="K518" t="str">
        <f>IF(Tb_data[[#This Row],[previous_workers]]&lt;Tb_data[[#This Row],[workers]],"yes","no")</f>
        <v>yes</v>
      </c>
      <c r="L518">
        <f>Tb_data[[#This Row],[workers]]-Tb_data[[#This Row],[previous_workers]]</f>
        <v>105</v>
      </c>
      <c r="M518" s="12">
        <f>Tb_data[[#This Row],[Employees Growth]]/Tb_data[[#This Row],[previous_workers]]</f>
        <v>2.1</v>
      </c>
    </row>
    <row r="519" spans="1:13" x14ac:dyDescent="0.25">
      <c r="A519" s="1" t="s">
        <v>5784</v>
      </c>
      <c r="B519" s="1" t="s">
        <v>5785</v>
      </c>
      <c r="C519" s="1">
        <v>39600000</v>
      </c>
      <c r="D519" s="1" t="s">
        <v>49</v>
      </c>
      <c r="E519">
        <v>131.66489999999999</v>
      </c>
      <c r="F519" s="1" t="s">
        <v>156</v>
      </c>
      <c r="G519">
        <v>225</v>
      </c>
      <c r="H519">
        <v>62</v>
      </c>
      <c r="I519" s="1" t="s">
        <v>130</v>
      </c>
      <c r="J519">
        <v>3</v>
      </c>
      <c r="K519" t="str">
        <f>IF(Tb_data[[#This Row],[previous_workers]]&lt;Tb_data[[#This Row],[workers]],"yes","no")</f>
        <v>yes</v>
      </c>
      <c r="L519">
        <f>Tb_data[[#This Row],[workers]]-Tb_data[[#This Row],[previous_workers]]</f>
        <v>163</v>
      </c>
      <c r="M519" s="12">
        <f>Tb_data[[#This Row],[Employees Growth]]/Tb_data[[#This Row],[previous_workers]]</f>
        <v>2.629032258064516</v>
      </c>
    </row>
    <row r="520" spans="1:13" x14ac:dyDescent="0.25">
      <c r="A520" s="1" t="s">
        <v>5434</v>
      </c>
      <c r="B520" s="1" t="s">
        <v>5435</v>
      </c>
      <c r="C520" s="1">
        <v>34900000</v>
      </c>
      <c r="D520" s="1" t="s">
        <v>664</v>
      </c>
      <c r="E520">
        <v>145.08439999999999</v>
      </c>
      <c r="F520" s="1" t="s">
        <v>112</v>
      </c>
      <c r="G520">
        <v>27</v>
      </c>
      <c r="H520">
        <v>10</v>
      </c>
      <c r="I520" s="1" t="s">
        <v>130</v>
      </c>
      <c r="J520">
        <v>1</v>
      </c>
      <c r="K520" t="str">
        <f>IF(Tb_data[[#This Row],[previous_workers]]&lt;Tb_data[[#This Row],[workers]],"yes","no")</f>
        <v>yes</v>
      </c>
      <c r="L520">
        <f>Tb_data[[#This Row],[workers]]-Tb_data[[#This Row],[previous_workers]]</f>
        <v>17</v>
      </c>
      <c r="M520" s="12">
        <f>Tb_data[[#This Row],[Employees Growth]]/Tb_data[[#This Row],[previous_workers]]</f>
        <v>1.7</v>
      </c>
    </row>
    <row r="521" spans="1:13" x14ac:dyDescent="0.25">
      <c r="A521" s="1" t="s">
        <v>7469</v>
      </c>
      <c r="B521" s="1" t="s">
        <v>7470</v>
      </c>
      <c r="C521" s="1">
        <v>69300000</v>
      </c>
      <c r="D521" s="1" t="s">
        <v>254</v>
      </c>
      <c r="E521">
        <v>93.872699999999995</v>
      </c>
      <c r="F521" s="1" t="s">
        <v>152</v>
      </c>
      <c r="G521">
        <v>70</v>
      </c>
      <c r="H521">
        <v>40</v>
      </c>
      <c r="I521" s="1" t="s">
        <v>372</v>
      </c>
      <c r="J521">
        <v>4</v>
      </c>
      <c r="K521" t="str">
        <f>IF(Tb_data[[#This Row],[previous_workers]]&lt;Tb_data[[#This Row],[workers]],"yes","no")</f>
        <v>yes</v>
      </c>
      <c r="L521">
        <f>Tb_data[[#This Row],[workers]]-Tb_data[[#This Row],[previous_workers]]</f>
        <v>30</v>
      </c>
      <c r="M521" s="12">
        <f>Tb_data[[#This Row],[Employees Growth]]/Tb_data[[#This Row],[previous_workers]]</f>
        <v>0.75</v>
      </c>
    </row>
    <row r="522" spans="1:13" x14ac:dyDescent="0.25">
      <c r="A522" s="1" t="s">
        <v>976</v>
      </c>
      <c r="B522" s="1" t="s">
        <v>977</v>
      </c>
      <c r="C522" s="1">
        <v>2400000</v>
      </c>
      <c r="D522" s="1" t="s">
        <v>69</v>
      </c>
      <c r="E522">
        <v>1033.3862999999999</v>
      </c>
      <c r="F522" s="1" t="s">
        <v>124</v>
      </c>
      <c r="G522">
        <v>5</v>
      </c>
      <c r="H522">
        <v>1</v>
      </c>
      <c r="I522" s="1" t="s">
        <v>194</v>
      </c>
      <c r="J522">
        <v>1</v>
      </c>
      <c r="K522" t="str">
        <f>IF(Tb_data[[#This Row],[previous_workers]]&lt;Tb_data[[#This Row],[workers]],"yes","no")</f>
        <v>yes</v>
      </c>
      <c r="L522">
        <f>Tb_data[[#This Row],[workers]]-Tb_data[[#This Row],[previous_workers]]</f>
        <v>4</v>
      </c>
      <c r="M522" s="12">
        <f>Tb_data[[#This Row],[Employees Growth]]/Tb_data[[#This Row],[previous_workers]]</f>
        <v>4</v>
      </c>
    </row>
    <row r="523" spans="1:13" x14ac:dyDescent="0.25">
      <c r="A523" s="1" t="s">
        <v>5048</v>
      </c>
      <c r="B523" s="1" t="s">
        <v>5049</v>
      </c>
      <c r="C523" s="1">
        <v>12700000</v>
      </c>
      <c r="D523" s="1" t="s">
        <v>179</v>
      </c>
      <c r="E523">
        <v>159.39160000000001</v>
      </c>
      <c r="F523" s="1" t="s">
        <v>156</v>
      </c>
      <c r="G523">
        <v>80</v>
      </c>
      <c r="H523">
        <v>30</v>
      </c>
      <c r="I523" s="1" t="s">
        <v>164</v>
      </c>
      <c r="J523">
        <v>2</v>
      </c>
      <c r="K523" t="str">
        <f>IF(Tb_data[[#This Row],[previous_workers]]&lt;Tb_data[[#This Row],[workers]],"yes","no")</f>
        <v>yes</v>
      </c>
      <c r="L523">
        <f>Tb_data[[#This Row],[workers]]-Tb_data[[#This Row],[previous_workers]]</f>
        <v>50</v>
      </c>
      <c r="M523" s="12">
        <f>Tb_data[[#This Row],[Employees Growth]]/Tb_data[[#This Row],[previous_workers]]</f>
        <v>1.6666666666666667</v>
      </c>
    </row>
    <row r="524" spans="1:13" x14ac:dyDescent="0.25">
      <c r="A524" s="1" t="s">
        <v>5474</v>
      </c>
      <c r="B524" s="1" t="s">
        <v>5475</v>
      </c>
      <c r="C524" s="1">
        <v>10900000</v>
      </c>
      <c r="D524" s="1" t="s">
        <v>254</v>
      </c>
      <c r="E524">
        <v>143.3937</v>
      </c>
      <c r="F524" s="1" t="s">
        <v>12</v>
      </c>
      <c r="G524">
        <v>148</v>
      </c>
      <c r="H524">
        <v>68</v>
      </c>
      <c r="I524" s="1" t="s">
        <v>117</v>
      </c>
      <c r="J524">
        <v>4</v>
      </c>
      <c r="K524" t="str">
        <f>IF(Tb_data[[#This Row],[previous_workers]]&lt;Tb_data[[#This Row],[workers]],"yes","no")</f>
        <v>yes</v>
      </c>
      <c r="L524">
        <f>Tb_data[[#This Row],[workers]]-Tb_data[[#This Row],[previous_workers]]</f>
        <v>80</v>
      </c>
      <c r="M524" s="12">
        <f>Tb_data[[#This Row],[Employees Growth]]/Tb_data[[#This Row],[previous_workers]]</f>
        <v>1.1764705882352942</v>
      </c>
    </row>
    <row r="525" spans="1:13" x14ac:dyDescent="0.25">
      <c r="A525" s="1" t="s">
        <v>3837</v>
      </c>
      <c r="B525" s="1" t="s">
        <v>3838</v>
      </c>
      <c r="C525" s="1">
        <v>2200000</v>
      </c>
      <c r="D525" s="1" t="s">
        <v>61</v>
      </c>
      <c r="E525">
        <v>218.21369999999999</v>
      </c>
      <c r="F525" s="1" t="s">
        <v>12</v>
      </c>
      <c r="G525">
        <v>17</v>
      </c>
      <c r="H525">
        <v>4</v>
      </c>
      <c r="I525" s="1" t="s">
        <v>1051</v>
      </c>
      <c r="J525">
        <v>1</v>
      </c>
      <c r="K525" t="str">
        <f>IF(Tb_data[[#This Row],[previous_workers]]&lt;Tb_data[[#This Row],[workers]],"yes","no")</f>
        <v>yes</v>
      </c>
      <c r="L525">
        <f>Tb_data[[#This Row],[workers]]-Tb_data[[#This Row],[previous_workers]]</f>
        <v>13</v>
      </c>
      <c r="M525" s="12">
        <f>Tb_data[[#This Row],[Employees Growth]]/Tb_data[[#This Row],[previous_workers]]</f>
        <v>3.25</v>
      </c>
    </row>
    <row r="526" spans="1:13" x14ac:dyDescent="0.25">
      <c r="A526" s="1" t="s">
        <v>1457</v>
      </c>
      <c r="B526" s="1" t="s">
        <v>1458</v>
      </c>
      <c r="C526" s="1">
        <v>6300000</v>
      </c>
      <c r="D526" s="1" t="s">
        <v>49</v>
      </c>
      <c r="E526">
        <v>643.6019</v>
      </c>
      <c r="F526" s="1" t="s">
        <v>12</v>
      </c>
      <c r="G526">
        <v>35</v>
      </c>
      <c r="H526">
        <v>14</v>
      </c>
      <c r="I526" s="1" t="s">
        <v>164</v>
      </c>
      <c r="J526">
        <v>2</v>
      </c>
      <c r="K526" t="str">
        <f>IF(Tb_data[[#This Row],[previous_workers]]&lt;Tb_data[[#This Row],[workers]],"yes","no")</f>
        <v>yes</v>
      </c>
      <c r="L526">
        <f>Tb_data[[#This Row],[workers]]-Tb_data[[#This Row],[previous_workers]]</f>
        <v>21</v>
      </c>
      <c r="M526" s="12">
        <f>Tb_data[[#This Row],[Employees Growth]]/Tb_data[[#This Row],[previous_workers]]</f>
        <v>1.5</v>
      </c>
    </row>
    <row r="527" spans="1:13" x14ac:dyDescent="0.25">
      <c r="A527" s="1" t="s">
        <v>8341</v>
      </c>
      <c r="B527" s="1" t="s">
        <v>8342</v>
      </c>
      <c r="C527" s="1">
        <v>33000000</v>
      </c>
      <c r="D527" s="1" t="s">
        <v>45</v>
      </c>
      <c r="E527">
        <v>77.266400000000004</v>
      </c>
      <c r="F527" s="1" t="s">
        <v>62</v>
      </c>
      <c r="G527">
        <v>23</v>
      </c>
      <c r="H527">
        <v>21</v>
      </c>
      <c r="I527" s="1" t="s">
        <v>226</v>
      </c>
      <c r="J527">
        <v>3</v>
      </c>
      <c r="K527" t="str">
        <f>IF(Tb_data[[#This Row],[previous_workers]]&lt;Tb_data[[#This Row],[workers]],"yes","no")</f>
        <v>yes</v>
      </c>
      <c r="L527">
        <f>Tb_data[[#This Row],[workers]]-Tb_data[[#This Row],[previous_workers]]</f>
        <v>2</v>
      </c>
      <c r="M527" s="12">
        <f>Tb_data[[#This Row],[Employees Growth]]/Tb_data[[#This Row],[previous_workers]]</f>
        <v>9.5238095238095233E-2</v>
      </c>
    </row>
    <row r="528" spans="1:13" x14ac:dyDescent="0.25">
      <c r="A528" s="1" t="s">
        <v>1712</v>
      </c>
      <c r="B528" s="1" t="s">
        <v>1713</v>
      </c>
      <c r="C528" s="1">
        <v>3000000</v>
      </c>
      <c r="D528" s="1" t="s">
        <v>58</v>
      </c>
      <c r="E528">
        <v>533.63580000000002</v>
      </c>
      <c r="F528" s="1" t="s">
        <v>30</v>
      </c>
      <c r="G528">
        <v>7</v>
      </c>
      <c r="H528">
        <v>3</v>
      </c>
      <c r="I528" s="1" t="s">
        <v>26</v>
      </c>
      <c r="J528">
        <v>1</v>
      </c>
      <c r="K528" t="str">
        <f>IF(Tb_data[[#This Row],[previous_workers]]&lt;Tb_data[[#This Row],[workers]],"yes","no")</f>
        <v>yes</v>
      </c>
      <c r="L528">
        <f>Tb_data[[#This Row],[workers]]-Tb_data[[#This Row],[previous_workers]]</f>
        <v>4</v>
      </c>
      <c r="M528" s="12">
        <f>Tb_data[[#This Row],[Employees Growth]]/Tb_data[[#This Row],[previous_workers]]</f>
        <v>1.3333333333333333</v>
      </c>
    </row>
    <row r="529" spans="1:13" x14ac:dyDescent="0.25">
      <c r="A529" s="1" t="s">
        <v>6195</v>
      </c>
      <c r="B529" s="1" t="s">
        <v>6196</v>
      </c>
      <c r="C529" s="1">
        <v>49400000</v>
      </c>
      <c r="D529" s="1" t="s">
        <v>387</v>
      </c>
      <c r="E529">
        <v>121.4379</v>
      </c>
      <c r="F529" s="1" t="s">
        <v>100</v>
      </c>
      <c r="G529">
        <v>22</v>
      </c>
      <c r="H529">
        <v>16</v>
      </c>
      <c r="I529" s="1" t="s">
        <v>948</v>
      </c>
      <c r="J529">
        <v>8</v>
      </c>
      <c r="K529" t="str">
        <f>IF(Tb_data[[#This Row],[previous_workers]]&lt;Tb_data[[#This Row],[workers]],"yes","no")</f>
        <v>yes</v>
      </c>
      <c r="L529">
        <f>Tb_data[[#This Row],[workers]]-Tb_data[[#This Row],[previous_workers]]</f>
        <v>6</v>
      </c>
      <c r="M529" s="12">
        <f>Tb_data[[#This Row],[Employees Growth]]/Tb_data[[#This Row],[previous_workers]]</f>
        <v>0.375</v>
      </c>
    </row>
    <row r="530" spans="1:13" x14ac:dyDescent="0.25">
      <c r="A530" s="1" t="s">
        <v>36</v>
      </c>
      <c r="B530" s="1" t="s">
        <v>37</v>
      </c>
      <c r="C530" s="1">
        <v>20500000</v>
      </c>
      <c r="D530" s="1" t="s">
        <v>38</v>
      </c>
      <c r="E530">
        <v>13480.731</v>
      </c>
      <c r="F530" s="1" t="s">
        <v>25</v>
      </c>
      <c r="G530">
        <v>12</v>
      </c>
      <c r="H530">
        <v>1</v>
      </c>
      <c r="I530" s="1" t="s">
        <v>26</v>
      </c>
      <c r="J530">
        <v>1</v>
      </c>
      <c r="K530" t="str">
        <f>IF(Tb_data[[#This Row],[previous_workers]]&lt;Tb_data[[#This Row],[workers]],"yes","no")</f>
        <v>yes</v>
      </c>
      <c r="L530">
        <f>Tb_data[[#This Row],[workers]]-Tb_data[[#This Row],[previous_workers]]</f>
        <v>11</v>
      </c>
      <c r="M530" s="12">
        <f>Tb_data[[#This Row],[Employees Growth]]/Tb_data[[#This Row],[previous_workers]]</f>
        <v>11</v>
      </c>
    </row>
    <row r="531" spans="1:13" x14ac:dyDescent="0.25">
      <c r="A531" s="1" t="s">
        <v>4290</v>
      </c>
      <c r="B531" s="1" t="s">
        <v>4291</v>
      </c>
      <c r="C531" s="1">
        <v>2300000</v>
      </c>
      <c r="D531" s="1" t="s">
        <v>20</v>
      </c>
      <c r="E531">
        <v>191.25919999999999</v>
      </c>
      <c r="F531" s="1" t="s">
        <v>21</v>
      </c>
      <c r="G531">
        <v>15</v>
      </c>
      <c r="H531">
        <v>5</v>
      </c>
      <c r="I531" s="1" t="s">
        <v>130</v>
      </c>
      <c r="J531">
        <v>1</v>
      </c>
      <c r="K531" t="str">
        <f>IF(Tb_data[[#This Row],[previous_workers]]&lt;Tb_data[[#This Row],[workers]],"yes","no")</f>
        <v>yes</v>
      </c>
      <c r="L531">
        <f>Tb_data[[#This Row],[workers]]-Tb_data[[#This Row],[previous_workers]]</f>
        <v>10</v>
      </c>
      <c r="M531" s="12">
        <f>Tb_data[[#This Row],[Employees Growth]]/Tb_data[[#This Row],[previous_workers]]</f>
        <v>2</v>
      </c>
    </row>
    <row r="532" spans="1:13" x14ac:dyDescent="0.25">
      <c r="A532" s="1" t="s">
        <v>1734</v>
      </c>
      <c r="B532" s="1" t="s">
        <v>1735</v>
      </c>
      <c r="C532" s="1">
        <v>84700000</v>
      </c>
      <c r="D532" s="1" t="s">
        <v>20</v>
      </c>
      <c r="E532">
        <v>525.69230000000005</v>
      </c>
      <c r="F532" s="1" t="s">
        <v>176</v>
      </c>
      <c r="G532">
        <v>14</v>
      </c>
      <c r="H532">
        <v>5</v>
      </c>
      <c r="I532" s="1" t="s">
        <v>164</v>
      </c>
      <c r="J532">
        <v>1</v>
      </c>
      <c r="K532" t="str">
        <f>IF(Tb_data[[#This Row],[previous_workers]]&lt;Tb_data[[#This Row],[workers]],"yes","no")</f>
        <v>yes</v>
      </c>
      <c r="L532">
        <f>Tb_data[[#This Row],[workers]]-Tb_data[[#This Row],[previous_workers]]</f>
        <v>9</v>
      </c>
      <c r="M532" s="12">
        <f>Tb_data[[#This Row],[Employees Growth]]/Tb_data[[#This Row],[previous_workers]]</f>
        <v>1.8</v>
      </c>
    </row>
    <row r="533" spans="1:13" x14ac:dyDescent="0.25">
      <c r="A533" s="1" t="s">
        <v>2300</v>
      </c>
      <c r="B533" s="1" t="s">
        <v>2301</v>
      </c>
      <c r="C533" s="1">
        <v>2700000</v>
      </c>
      <c r="D533" s="1" t="s">
        <v>1853</v>
      </c>
      <c r="E533">
        <v>384.49130000000002</v>
      </c>
      <c r="F533" s="1" t="s">
        <v>30</v>
      </c>
      <c r="G533">
        <v>20</v>
      </c>
      <c r="H533">
        <v>4</v>
      </c>
      <c r="I533" s="1" t="s">
        <v>26</v>
      </c>
      <c r="J533">
        <v>1</v>
      </c>
      <c r="K533" t="str">
        <f>IF(Tb_data[[#This Row],[previous_workers]]&lt;Tb_data[[#This Row],[workers]],"yes","no")</f>
        <v>yes</v>
      </c>
      <c r="L533">
        <f>Tb_data[[#This Row],[workers]]-Tb_data[[#This Row],[previous_workers]]</f>
        <v>16</v>
      </c>
      <c r="M533" s="12">
        <f>Tb_data[[#This Row],[Employees Growth]]/Tb_data[[#This Row],[previous_workers]]</f>
        <v>4</v>
      </c>
    </row>
    <row r="534" spans="1:13" x14ac:dyDescent="0.25">
      <c r="A534" s="1" t="s">
        <v>1154</v>
      </c>
      <c r="B534" s="1" t="s">
        <v>1155</v>
      </c>
      <c r="C534" s="1">
        <v>4500000</v>
      </c>
      <c r="D534" s="1" t="s">
        <v>49</v>
      </c>
      <c r="E534">
        <v>828.26499999999999</v>
      </c>
      <c r="F534" s="1" t="s">
        <v>25</v>
      </c>
      <c r="G534">
        <v>30</v>
      </c>
      <c r="H534">
        <v>4</v>
      </c>
      <c r="I534" s="1" t="s">
        <v>164</v>
      </c>
      <c r="J534">
        <v>1</v>
      </c>
      <c r="K534" t="str">
        <f>IF(Tb_data[[#This Row],[previous_workers]]&lt;Tb_data[[#This Row],[workers]],"yes","no")</f>
        <v>yes</v>
      </c>
      <c r="L534">
        <f>Tb_data[[#This Row],[workers]]-Tb_data[[#This Row],[previous_workers]]</f>
        <v>26</v>
      </c>
      <c r="M534" s="12">
        <f>Tb_data[[#This Row],[Employees Growth]]/Tb_data[[#This Row],[previous_workers]]</f>
        <v>6.5</v>
      </c>
    </row>
    <row r="535" spans="1:13" x14ac:dyDescent="0.25">
      <c r="A535" s="1" t="s">
        <v>2401</v>
      </c>
      <c r="B535" s="1" t="s">
        <v>2402</v>
      </c>
      <c r="C535" s="1">
        <v>6000000</v>
      </c>
      <c r="D535" s="1" t="s">
        <v>49</v>
      </c>
      <c r="E535">
        <v>364.54230000000001</v>
      </c>
      <c r="F535" s="1" t="s">
        <v>25</v>
      </c>
      <c r="G535">
        <v>24</v>
      </c>
      <c r="H535">
        <v>3</v>
      </c>
      <c r="I535" s="1" t="s">
        <v>13</v>
      </c>
      <c r="J535">
        <v>1</v>
      </c>
      <c r="K535" t="str">
        <f>IF(Tb_data[[#This Row],[previous_workers]]&lt;Tb_data[[#This Row],[workers]],"yes","no")</f>
        <v>yes</v>
      </c>
      <c r="L535">
        <f>Tb_data[[#This Row],[workers]]-Tb_data[[#This Row],[previous_workers]]</f>
        <v>21</v>
      </c>
      <c r="M535" s="12">
        <f>Tb_data[[#This Row],[Employees Growth]]/Tb_data[[#This Row],[previous_workers]]</f>
        <v>7</v>
      </c>
    </row>
    <row r="536" spans="1:13" x14ac:dyDescent="0.25">
      <c r="A536" s="1" t="s">
        <v>1724</v>
      </c>
      <c r="B536" s="1" t="s">
        <v>1725</v>
      </c>
      <c r="C536" s="1">
        <v>6400000</v>
      </c>
      <c r="D536" s="1" t="s">
        <v>20</v>
      </c>
      <c r="E536">
        <v>528.05899999999997</v>
      </c>
      <c r="F536" s="1" t="s">
        <v>25</v>
      </c>
      <c r="G536">
        <v>7</v>
      </c>
      <c r="H536">
        <v>2</v>
      </c>
      <c r="I536" s="1" t="s">
        <v>26</v>
      </c>
      <c r="J536">
        <v>1</v>
      </c>
      <c r="K536" t="str">
        <f>IF(Tb_data[[#This Row],[previous_workers]]&lt;Tb_data[[#This Row],[workers]],"yes","no")</f>
        <v>yes</v>
      </c>
      <c r="L536">
        <f>Tb_data[[#This Row],[workers]]-Tb_data[[#This Row],[previous_workers]]</f>
        <v>5</v>
      </c>
      <c r="M536" s="12">
        <f>Tb_data[[#This Row],[Employees Growth]]/Tb_data[[#This Row],[previous_workers]]</f>
        <v>2.5</v>
      </c>
    </row>
    <row r="537" spans="1:13" x14ac:dyDescent="0.25">
      <c r="A537" s="1" t="s">
        <v>8665</v>
      </c>
      <c r="B537" s="1" t="s">
        <v>8666</v>
      </c>
      <c r="C537" s="1">
        <v>20300000</v>
      </c>
      <c r="D537" s="1" t="s">
        <v>49</v>
      </c>
      <c r="E537">
        <v>71.495599999999996</v>
      </c>
      <c r="F537" s="1" t="s">
        <v>25</v>
      </c>
      <c r="G537">
        <v>88</v>
      </c>
      <c r="H537">
        <v>55</v>
      </c>
      <c r="I537" s="1" t="s">
        <v>194</v>
      </c>
      <c r="J537">
        <v>1</v>
      </c>
      <c r="K537" t="str">
        <f>IF(Tb_data[[#This Row],[previous_workers]]&lt;Tb_data[[#This Row],[workers]],"yes","no")</f>
        <v>yes</v>
      </c>
      <c r="L537">
        <f>Tb_data[[#This Row],[workers]]-Tb_data[[#This Row],[previous_workers]]</f>
        <v>33</v>
      </c>
      <c r="M537" s="12">
        <f>Tb_data[[#This Row],[Employees Growth]]/Tb_data[[#This Row],[previous_workers]]</f>
        <v>0.6</v>
      </c>
    </row>
    <row r="538" spans="1:13" x14ac:dyDescent="0.25">
      <c r="A538" s="1" t="s">
        <v>7879</v>
      </c>
      <c r="B538" s="1" t="s">
        <v>7880</v>
      </c>
      <c r="C538" s="1">
        <v>4200000</v>
      </c>
      <c r="D538" s="1" t="s">
        <v>33</v>
      </c>
      <c r="E538">
        <v>84.939300000000003</v>
      </c>
      <c r="F538" s="1" t="s">
        <v>100</v>
      </c>
      <c r="G538">
        <v>40</v>
      </c>
      <c r="H538">
        <v>20</v>
      </c>
      <c r="I538" s="1" t="s">
        <v>26</v>
      </c>
      <c r="J538">
        <v>2</v>
      </c>
      <c r="K538" t="str">
        <f>IF(Tb_data[[#This Row],[previous_workers]]&lt;Tb_data[[#This Row],[workers]],"yes","no")</f>
        <v>yes</v>
      </c>
      <c r="L538">
        <f>Tb_data[[#This Row],[workers]]-Tb_data[[#This Row],[previous_workers]]</f>
        <v>20</v>
      </c>
      <c r="M538" s="12">
        <f>Tb_data[[#This Row],[Employees Growth]]/Tb_data[[#This Row],[previous_workers]]</f>
        <v>1</v>
      </c>
    </row>
    <row r="539" spans="1:13" x14ac:dyDescent="0.25">
      <c r="A539" s="1" t="s">
        <v>3317</v>
      </c>
      <c r="B539" s="1" t="s">
        <v>3318</v>
      </c>
      <c r="C539" s="1">
        <v>80500000</v>
      </c>
      <c r="D539" s="1" t="s">
        <v>254</v>
      </c>
      <c r="E539">
        <v>257.67989999999998</v>
      </c>
      <c r="F539" s="1" t="s">
        <v>17</v>
      </c>
      <c r="G539">
        <v>120</v>
      </c>
      <c r="H539">
        <v>36</v>
      </c>
      <c r="I539" s="1" t="s">
        <v>2628</v>
      </c>
      <c r="J539">
        <v>2</v>
      </c>
      <c r="K539" t="str">
        <f>IF(Tb_data[[#This Row],[previous_workers]]&lt;Tb_data[[#This Row],[workers]],"yes","no")</f>
        <v>yes</v>
      </c>
      <c r="L539">
        <f>Tb_data[[#This Row],[workers]]-Tb_data[[#This Row],[previous_workers]]</f>
        <v>84</v>
      </c>
      <c r="M539" s="12">
        <f>Tb_data[[#This Row],[Employees Growth]]/Tb_data[[#This Row],[previous_workers]]</f>
        <v>2.3333333333333335</v>
      </c>
    </row>
    <row r="540" spans="1:13" x14ac:dyDescent="0.25">
      <c r="A540" s="1" t="s">
        <v>4577</v>
      </c>
      <c r="B540" s="1" t="s">
        <v>4578</v>
      </c>
      <c r="C540" s="1">
        <v>4300000</v>
      </c>
      <c r="D540" s="1" t="s">
        <v>20</v>
      </c>
      <c r="E540">
        <v>179.386</v>
      </c>
      <c r="F540" s="1" t="s">
        <v>161</v>
      </c>
      <c r="G540">
        <v>22</v>
      </c>
      <c r="H540">
        <v>15</v>
      </c>
      <c r="I540" s="1" t="s">
        <v>948</v>
      </c>
      <c r="J540">
        <v>3</v>
      </c>
      <c r="K540" t="str">
        <f>IF(Tb_data[[#This Row],[previous_workers]]&lt;Tb_data[[#This Row],[workers]],"yes","no")</f>
        <v>yes</v>
      </c>
      <c r="L540">
        <f>Tb_data[[#This Row],[workers]]-Tb_data[[#This Row],[previous_workers]]</f>
        <v>7</v>
      </c>
      <c r="M540" s="12">
        <f>Tb_data[[#This Row],[Employees Growth]]/Tb_data[[#This Row],[previous_workers]]</f>
        <v>0.46666666666666667</v>
      </c>
    </row>
    <row r="541" spans="1:13" x14ac:dyDescent="0.25">
      <c r="A541" s="1" t="s">
        <v>5392</v>
      </c>
      <c r="B541" s="1" t="s">
        <v>5393</v>
      </c>
      <c r="C541" s="1">
        <v>30500000</v>
      </c>
      <c r="D541" s="1" t="s">
        <v>254</v>
      </c>
      <c r="E541">
        <v>146.5685</v>
      </c>
      <c r="F541" s="1" t="s">
        <v>116</v>
      </c>
      <c r="G541">
        <v>56</v>
      </c>
      <c r="H541">
        <v>38</v>
      </c>
      <c r="I541" s="1" t="s">
        <v>1411</v>
      </c>
      <c r="J541">
        <v>1</v>
      </c>
      <c r="K541" t="str">
        <f>IF(Tb_data[[#This Row],[previous_workers]]&lt;Tb_data[[#This Row],[workers]],"yes","no")</f>
        <v>yes</v>
      </c>
      <c r="L541">
        <f>Tb_data[[#This Row],[workers]]-Tb_data[[#This Row],[previous_workers]]</f>
        <v>18</v>
      </c>
      <c r="M541" s="12">
        <f>Tb_data[[#This Row],[Employees Growth]]/Tb_data[[#This Row],[previous_workers]]</f>
        <v>0.47368421052631576</v>
      </c>
    </row>
    <row r="542" spans="1:13" x14ac:dyDescent="0.25">
      <c r="A542" s="1" t="s">
        <v>2893</v>
      </c>
      <c r="B542" s="1" t="s">
        <v>2894</v>
      </c>
      <c r="C542" s="1">
        <v>6800000</v>
      </c>
      <c r="D542" s="1" t="s">
        <v>91</v>
      </c>
      <c r="E542">
        <v>299.12430000000001</v>
      </c>
      <c r="F542" s="1" t="s">
        <v>25</v>
      </c>
      <c r="G542">
        <v>10</v>
      </c>
      <c r="H542">
        <v>3</v>
      </c>
      <c r="I542" s="1" t="s">
        <v>26</v>
      </c>
      <c r="J542">
        <v>2</v>
      </c>
      <c r="K542" t="str">
        <f>IF(Tb_data[[#This Row],[previous_workers]]&lt;Tb_data[[#This Row],[workers]],"yes","no")</f>
        <v>yes</v>
      </c>
      <c r="L542">
        <f>Tb_data[[#This Row],[workers]]-Tb_data[[#This Row],[previous_workers]]</f>
        <v>7</v>
      </c>
      <c r="M542" s="12">
        <f>Tb_data[[#This Row],[Employees Growth]]/Tb_data[[#This Row],[previous_workers]]</f>
        <v>2.3333333333333335</v>
      </c>
    </row>
    <row r="543" spans="1:13" x14ac:dyDescent="0.25">
      <c r="A543" s="1" t="s">
        <v>6597</v>
      </c>
      <c r="B543" s="1" t="s">
        <v>6598</v>
      </c>
      <c r="C543" s="1">
        <v>65500000</v>
      </c>
      <c r="D543" s="1" t="s">
        <v>16</v>
      </c>
      <c r="E543">
        <v>111.60599999999999</v>
      </c>
      <c r="F543" s="1" t="s">
        <v>135</v>
      </c>
      <c r="G543">
        <v>87</v>
      </c>
      <c r="H543">
        <v>25</v>
      </c>
      <c r="I543" s="1" t="s">
        <v>35</v>
      </c>
      <c r="J543">
        <v>3</v>
      </c>
      <c r="K543" t="str">
        <f>IF(Tb_data[[#This Row],[previous_workers]]&lt;Tb_data[[#This Row],[workers]],"yes","no")</f>
        <v>yes</v>
      </c>
      <c r="L543">
        <f>Tb_data[[#This Row],[workers]]-Tb_data[[#This Row],[previous_workers]]</f>
        <v>62</v>
      </c>
      <c r="M543" s="12">
        <f>Tb_data[[#This Row],[Employees Growth]]/Tb_data[[#This Row],[previous_workers]]</f>
        <v>2.48</v>
      </c>
    </row>
    <row r="544" spans="1:13" x14ac:dyDescent="0.25">
      <c r="A544" s="1" t="s">
        <v>2088</v>
      </c>
      <c r="B544" s="1" t="s">
        <v>2089</v>
      </c>
      <c r="C544" s="1">
        <v>125900000</v>
      </c>
      <c r="D544" s="1" t="s">
        <v>29</v>
      </c>
      <c r="E544">
        <v>427.24790000000002</v>
      </c>
      <c r="F544" s="1" t="s">
        <v>17</v>
      </c>
      <c r="G544">
        <v>188</v>
      </c>
      <c r="H544">
        <v>58</v>
      </c>
      <c r="I544" s="1" t="s">
        <v>995</v>
      </c>
      <c r="J544">
        <v>1</v>
      </c>
      <c r="K544" t="str">
        <f>IF(Tb_data[[#This Row],[previous_workers]]&lt;Tb_data[[#This Row],[workers]],"yes","no")</f>
        <v>yes</v>
      </c>
      <c r="L544">
        <f>Tb_data[[#This Row],[workers]]-Tb_data[[#This Row],[previous_workers]]</f>
        <v>130</v>
      </c>
      <c r="M544" s="12">
        <f>Tb_data[[#This Row],[Employees Growth]]/Tb_data[[#This Row],[previous_workers]]</f>
        <v>2.2413793103448274</v>
      </c>
    </row>
    <row r="545" spans="1:13" x14ac:dyDescent="0.25">
      <c r="A545" s="1" t="s">
        <v>1978</v>
      </c>
      <c r="B545" s="1" t="s">
        <v>1979</v>
      </c>
      <c r="C545" s="1">
        <v>5100000</v>
      </c>
      <c r="D545" s="1" t="s">
        <v>49</v>
      </c>
      <c r="E545">
        <v>456.30290000000002</v>
      </c>
      <c r="F545" s="1" t="s">
        <v>100</v>
      </c>
      <c r="G545">
        <v>31</v>
      </c>
      <c r="H545">
        <v>8</v>
      </c>
      <c r="I545" s="1" t="s">
        <v>46</v>
      </c>
      <c r="J545">
        <v>3</v>
      </c>
      <c r="K545" t="str">
        <f>IF(Tb_data[[#This Row],[previous_workers]]&lt;Tb_data[[#This Row],[workers]],"yes","no")</f>
        <v>yes</v>
      </c>
      <c r="L545">
        <f>Tb_data[[#This Row],[workers]]-Tb_data[[#This Row],[previous_workers]]</f>
        <v>23</v>
      </c>
      <c r="M545" s="12">
        <f>Tb_data[[#This Row],[Employees Growth]]/Tb_data[[#This Row],[previous_workers]]</f>
        <v>2.875</v>
      </c>
    </row>
    <row r="546" spans="1:13" x14ac:dyDescent="0.25">
      <c r="A546" s="1" t="s">
        <v>148</v>
      </c>
      <c r="B546" s="1" t="s">
        <v>149</v>
      </c>
      <c r="C546" s="1">
        <v>16900000</v>
      </c>
      <c r="D546" s="1" t="s">
        <v>61</v>
      </c>
      <c r="E546">
        <v>5768.1832999999997</v>
      </c>
      <c r="F546" s="1" t="s">
        <v>86</v>
      </c>
      <c r="G546">
        <v>56</v>
      </c>
      <c r="H546">
        <v>7</v>
      </c>
      <c r="I546" s="1" t="s">
        <v>26</v>
      </c>
      <c r="J546">
        <v>1</v>
      </c>
      <c r="K546" t="str">
        <f>IF(Tb_data[[#This Row],[previous_workers]]&lt;Tb_data[[#This Row],[workers]],"yes","no")</f>
        <v>yes</v>
      </c>
      <c r="L546">
        <f>Tb_data[[#This Row],[workers]]-Tb_data[[#This Row],[previous_workers]]</f>
        <v>49</v>
      </c>
      <c r="M546" s="12">
        <f>Tb_data[[#This Row],[Employees Growth]]/Tb_data[[#This Row],[previous_workers]]</f>
        <v>7</v>
      </c>
    </row>
    <row r="547" spans="1:13" x14ac:dyDescent="0.25">
      <c r="A547" s="1" t="s">
        <v>2446</v>
      </c>
      <c r="B547" s="1" t="s">
        <v>2447</v>
      </c>
      <c r="C547" s="1">
        <v>35300000</v>
      </c>
      <c r="D547" s="1" t="s">
        <v>49</v>
      </c>
      <c r="E547">
        <v>355.77260000000001</v>
      </c>
      <c r="F547" s="1" t="s">
        <v>34</v>
      </c>
      <c r="G547">
        <v>2000</v>
      </c>
      <c r="H547">
        <v>1200</v>
      </c>
      <c r="I547" s="1" t="s">
        <v>35</v>
      </c>
      <c r="J547">
        <v>6</v>
      </c>
      <c r="K547" t="str">
        <f>IF(Tb_data[[#This Row],[previous_workers]]&lt;Tb_data[[#This Row],[workers]],"yes","no")</f>
        <v>yes</v>
      </c>
      <c r="L547">
        <f>Tb_data[[#This Row],[workers]]-Tb_data[[#This Row],[previous_workers]]</f>
        <v>800</v>
      </c>
      <c r="M547" s="12">
        <f>Tb_data[[#This Row],[Employees Growth]]/Tb_data[[#This Row],[previous_workers]]</f>
        <v>0.66666666666666663</v>
      </c>
    </row>
    <row r="548" spans="1:13" x14ac:dyDescent="0.25">
      <c r="A548" s="1" t="s">
        <v>5120</v>
      </c>
      <c r="B548" s="1" t="s">
        <v>5121</v>
      </c>
      <c r="C548" s="1">
        <v>20400000</v>
      </c>
      <c r="D548" s="1" t="s">
        <v>69</v>
      </c>
      <c r="E548">
        <v>156.81729999999999</v>
      </c>
      <c r="F548" s="1" t="s">
        <v>176</v>
      </c>
      <c r="G548">
        <v>62</v>
      </c>
      <c r="H548">
        <v>57</v>
      </c>
      <c r="I548" s="1" t="s">
        <v>117</v>
      </c>
      <c r="J548">
        <v>3</v>
      </c>
      <c r="K548" t="str">
        <f>IF(Tb_data[[#This Row],[previous_workers]]&lt;Tb_data[[#This Row],[workers]],"yes","no")</f>
        <v>yes</v>
      </c>
      <c r="L548">
        <f>Tb_data[[#This Row],[workers]]-Tb_data[[#This Row],[previous_workers]]</f>
        <v>5</v>
      </c>
      <c r="M548" s="12">
        <f>Tb_data[[#This Row],[Employees Growth]]/Tb_data[[#This Row],[previous_workers]]</f>
        <v>8.771929824561403E-2</v>
      </c>
    </row>
    <row r="549" spans="1:13" x14ac:dyDescent="0.25">
      <c r="A549" s="1" t="s">
        <v>5158</v>
      </c>
      <c r="B549" s="1" t="s">
        <v>5159</v>
      </c>
      <c r="C549" s="1">
        <v>9100000</v>
      </c>
      <c r="D549" s="1" t="s">
        <v>175</v>
      </c>
      <c r="E549">
        <v>155.0395</v>
      </c>
      <c r="F549" s="1" t="s">
        <v>12</v>
      </c>
      <c r="G549">
        <v>58</v>
      </c>
      <c r="H549">
        <v>26</v>
      </c>
      <c r="I549" s="1" t="s">
        <v>46</v>
      </c>
      <c r="J549">
        <v>5</v>
      </c>
      <c r="K549" t="str">
        <f>IF(Tb_data[[#This Row],[previous_workers]]&lt;Tb_data[[#This Row],[workers]],"yes","no")</f>
        <v>yes</v>
      </c>
      <c r="L549">
        <f>Tb_data[[#This Row],[workers]]-Tb_data[[#This Row],[previous_workers]]</f>
        <v>32</v>
      </c>
      <c r="M549" s="12">
        <f>Tb_data[[#This Row],[Employees Growth]]/Tb_data[[#This Row],[previous_workers]]</f>
        <v>1.2307692307692308</v>
      </c>
    </row>
    <row r="550" spans="1:13" x14ac:dyDescent="0.25">
      <c r="A550" s="1" t="s">
        <v>5774</v>
      </c>
      <c r="B550" s="1" t="s">
        <v>5775</v>
      </c>
      <c r="C550" s="1">
        <v>10700000</v>
      </c>
      <c r="D550" s="1" t="s">
        <v>49</v>
      </c>
      <c r="E550">
        <v>131.82759999999999</v>
      </c>
      <c r="F550" s="1" t="s">
        <v>100</v>
      </c>
      <c r="G550">
        <v>37</v>
      </c>
      <c r="H550">
        <v>19</v>
      </c>
      <c r="I550" s="1" t="s">
        <v>55</v>
      </c>
      <c r="J550">
        <v>1</v>
      </c>
      <c r="K550" t="str">
        <f>IF(Tb_data[[#This Row],[previous_workers]]&lt;Tb_data[[#This Row],[workers]],"yes","no")</f>
        <v>yes</v>
      </c>
      <c r="L550">
        <f>Tb_data[[#This Row],[workers]]-Tb_data[[#This Row],[previous_workers]]</f>
        <v>18</v>
      </c>
      <c r="M550" s="12">
        <f>Tb_data[[#This Row],[Employees Growth]]/Tb_data[[#This Row],[previous_workers]]</f>
        <v>0.94736842105263153</v>
      </c>
    </row>
    <row r="551" spans="1:13" x14ac:dyDescent="0.25">
      <c r="A551" s="1" t="s">
        <v>4545</v>
      </c>
      <c r="B551" s="1" t="s">
        <v>4546</v>
      </c>
      <c r="C551" s="1">
        <v>2100000</v>
      </c>
      <c r="D551" s="1" t="s">
        <v>29</v>
      </c>
      <c r="E551">
        <v>180.62950000000001</v>
      </c>
      <c r="F551" s="1" t="s">
        <v>12</v>
      </c>
      <c r="G551">
        <v>14</v>
      </c>
      <c r="H551">
        <v>6</v>
      </c>
      <c r="I551" s="1" t="s">
        <v>117</v>
      </c>
      <c r="J551">
        <v>1</v>
      </c>
      <c r="K551" t="str">
        <f>IF(Tb_data[[#This Row],[previous_workers]]&lt;Tb_data[[#This Row],[workers]],"yes","no")</f>
        <v>yes</v>
      </c>
      <c r="L551">
        <f>Tb_data[[#This Row],[workers]]-Tb_data[[#This Row],[previous_workers]]</f>
        <v>8</v>
      </c>
      <c r="M551" s="12">
        <f>Tb_data[[#This Row],[Employees Growth]]/Tb_data[[#This Row],[previous_workers]]</f>
        <v>1.3333333333333333</v>
      </c>
    </row>
    <row r="552" spans="1:13" x14ac:dyDescent="0.25">
      <c r="A552" s="1" t="s">
        <v>4043</v>
      </c>
      <c r="B552" s="1" t="s">
        <v>4044</v>
      </c>
      <c r="C552" s="1">
        <v>18400000</v>
      </c>
      <c r="D552" s="1" t="s">
        <v>69</v>
      </c>
      <c r="E552">
        <v>205.19640000000001</v>
      </c>
      <c r="F552" s="1" t="s">
        <v>12</v>
      </c>
      <c r="G552">
        <v>42</v>
      </c>
      <c r="H552">
        <v>22</v>
      </c>
      <c r="I552" s="1" t="s">
        <v>130</v>
      </c>
      <c r="J552">
        <v>3</v>
      </c>
      <c r="K552" t="str">
        <f>IF(Tb_data[[#This Row],[previous_workers]]&lt;Tb_data[[#This Row],[workers]],"yes","no")</f>
        <v>yes</v>
      </c>
      <c r="L552">
        <f>Tb_data[[#This Row],[workers]]-Tb_data[[#This Row],[previous_workers]]</f>
        <v>20</v>
      </c>
      <c r="M552" s="12">
        <f>Tb_data[[#This Row],[Employees Growth]]/Tb_data[[#This Row],[previous_workers]]</f>
        <v>0.90909090909090906</v>
      </c>
    </row>
    <row r="553" spans="1:13" x14ac:dyDescent="0.25">
      <c r="A553" s="1" t="s">
        <v>9568</v>
      </c>
      <c r="B553" s="1" t="s">
        <v>9569</v>
      </c>
      <c r="C553" s="1">
        <v>113300000</v>
      </c>
      <c r="D553" s="1" t="s">
        <v>58</v>
      </c>
      <c r="E553">
        <v>59.4968</v>
      </c>
      <c r="F553" s="1" t="s">
        <v>100</v>
      </c>
      <c r="G553">
        <v>30</v>
      </c>
      <c r="H553">
        <v>20</v>
      </c>
      <c r="I553" s="1" t="s">
        <v>35</v>
      </c>
      <c r="J553">
        <v>4</v>
      </c>
      <c r="K553" t="str">
        <f>IF(Tb_data[[#This Row],[previous_workers]]&lt;Tb_data[[#This Row],[workers]],"yes","no")</f>
        <v>yes</v>
      </c>
      <c r="L553">
        <f>Tb_data[[#This Row],[workers]]-Tb_data[[#This Row],[previous_workers]]</f>
        <v>10</v>
      </c>
      <c r="M553" s="12">
        <f>Tb_data[[#This Row],[Employees Growth]]/Tb_data[[#This Row],[previous_workers]]</f>
        <v>0.5</v>
      </c>
    </row>
    <row r="554" spans="1:13" x14ac:dyDescent="0.25">
      <c r="A554" s="1" t="s">
        <v>2552</v>
      </c>
      <c r="B554" s="1" t="s">
        <v>2553</v>
      </c>
      <c r="C554" s="1">
        <v>19900000</v>
      </c>
      <c r="D554" s="1" t="s">
        <v>58</v>
      </c>
      <c r="E554">
        <v>337.03289999999998</v>
      </c>
      <c r="F554" s="1" t="s">
        <v>86</v>
      </c>
      <c r="G554">
        <v>40</v>
      </c>
      <c r="H554">
        <v>14</v>
      </c>
      <c r="I554" s="1" t="s">
        <v>46</v>
      </c>
      <c r="J554">
        <v>3</v>
      </c>
      <c r="K554" t="str">
        <f>IF(Tb_data[[#This Row],[previous_workers]]&lt;Tb_data[[#This Row],[workers]],"yes","no")</f>
        <v>yes</v>
      </c>
      <c r="L554">
        <f>Tb_data[[#This Row],[workers]]-Tb_data[[#This Row],[previous_workers]]</f>
        <v>26</v>
      </c>
      <c r="M554" s="12">
        <f>Tb_data[[#This Row],[Employees Growth]]/Tb_data[[#This Row],[previous_workers]]</f>
        <v>1.8571428571428572</v>
      </c>
    </row>
    <row r="555" spans="1:13" x14ac:dyDescent="0.25">
      <c r="A555" s="1" t="s">
        <v>9449</v>
      </c>
      <c r="B555" s="1" t="s">
        <v>9450</v>
      </c>
      <c r="C555" s="1">
        <v>64900000</v>
      </c>
      <c r="D555" s="1" t="s">
        <v>16</v>
      </c>
      <c r="E555">
        <v>60.814300000000003</v>
      </c>
      <c r="F555" s="1" t="s">
        <v>100</v>
      </c>
      <c r="G555">
        <v>1012</v>
      </c>
      <c r="H555">
        <v>485</v>
      </c>
      <c r="I555" s="1" t="s">
        <v>74</v>
      </c>
      <c r="J555">
        <v>5</v>
      </c>
      <c r="K555" t="str">
        <f>IF(Tb_data[[#This Row],[previous_workers]]&lt;Tb_data[[#This Row],[workers]],"yes","no")</f>
        <v>yes</v>
      </c>
      <c r="L555">
        <f>Tb_data[[#This Row],[workers]]-Tb_data[[#This Row],[previous_workers]]</f>
        <v>527</v>
      </c>
      <c r="M555" s="12">
        <f>Tb_data[[#This Row],[Employees Growth]]/Tb_data[[#This Row],[previous_workers]]</f>
        <v>1.0865979381443298</v>
      </c>
    </row>
    <row r="556" spans="1:13" x14ac:dyDescent="0.25">
      <c r="A556" s="1" t="s">
        <v>6477</v>
      </c>
      <c r="B556" s="1" t="s">
        <v>6478</v>
      </c>
      <c r="C556" s="1">
        <v>66900000</v>
      </c>
      <c r="D556" s="1" t="s">
        <v>129</v>
      </c>
      <c r="E556">
        <v>114.64449999999999</v>
      </c>
      <c r="F556" s="1" t="s">
        <v>12</v>
      </c>
      <c r="G556">
        <v>82</v>
      </c>
      <c r="H556">
        <v>61</v>
      </c>
      <c r="I556" s="1" t="s">
        <v>2225</v>
      </c>
      <c r="J556">
        <v>5</v>
      </c>
      <c r="K556" t="str">
        <f>IF(Tb_data[[#This Row],[previous_workers]]&lt;Tb_data[[#This Row],[workers]],"yes","no")</f>
        <v>yes</v>
      </c>
      <c r="L556">
        <f>Tb_data[[#This Row],[workers]]-Tb_data[[#This Row],[previous_workers]]</f>
        <v>21</v>
      </c>
      <c r="M556" s="12">
        <f>Tb_data[[#This Row],[Employees Growth]]/Tb_data[[#This Row],[previous_workers]]</f>
        <v>0.34426229508196721</v>
      </c>
    </row>
    <row r="557" spans="1:13" x14ac:dyDescent="0.25">
      <c r="A557" s="1" t="s">
        <v>104</v>
      </c>
      <c r="B557" s="1" t="s">
        <v>105</v>
      </c>
      <c r="C557" s="1">
        <v>156000000</v>
      </c>
      <c r="D557" s="1" t="s">
        <v>33</v>
      </c>
      <c r="E557">
        <v>6900.2519000000002</v>
      </c>
      <c r="F557" s="1" t="s">
        <v>34</v>
      </c>
      <c r="G557">
        <v>37</v>
      </c>
      <c r="H557">
        <v>6</v>
      </c>
      <c r="I557" s="1" t="s">
        <v>13</v>
      </c>
      <c r="J557">
        <v>1</v>
      </c>
      <c r="K557" t="str">
        <f>IF(Tb_data[[#This Row],[previous_workers]]&lt;Tb_data[[#This Row],[workers]],"yes","no")</f>
        <v>yes</v>
      </c>
      <c r="L557">
        <f>Tb_data[[#This Row],[workers]]-Tb_data[[#This Row],[previous_workers]]</f>
        <v>31</v>
      </c>
      <c r="M557" s="12">
        <f>Tb_data[[#This Row],[Employees Growth]]/Tb_data[[#This Row],[previous_workers]]</f>
        <v>5.166666666666667</v>
      </c>
    </row>
    <row r="558" spans="1:13" x14ac:dyDescent="0.25">
      <c r="A558" s="1" t="s">
        <v>3872</v>
      </c>
      <c r="B558" s="1" t="s">
        <v>3873</v>
      </c>
      <c r="C558" s="1">
        <v>16900000</v>
      </c>
      <c r="D558" s="1" t="s">
        <v>33</v>
      </c>
      <c r="E558">
        <v>216.41839999999999</v>
      </c>
      <c r="F558" s="1" t="s">
        <v>21</v>
      </c>
      <c r="G558">
        <v>40</v>
      </c>
      <c r="H558">
        <v>15</v>
      </c>
      <c r="I558" s="1" t="s">
        <v>35</v>
      </c>
      <c r="J558">
        <v>1</v>
      </c>
      <c r="K558" t="str">
        <f>IF(Tb_data[[#This Row],[previous_workers]]&lt;Tb_data[[#This Row],[workers]],"yes","no")</f>
        <v>yes</v>
      </c>
      <c r="L558">
        <f>Tb_data[[#This Row],[workers]]-Tb_data[[#This Row],[previous_workers]]</f>
        <v>25</v>
      </c>
      <c r="M558" s="12">
        <f>Tb_data[[#This Row],[Employees Growth]]/Tb_data[[#This Row],[previous_workers]]</f>
        <v>1.6666666666666667</v>
      </c>
    </row>
    <row r="559" spans="1:13" x14ac:dyDescent="0.25">
      <c r="A559" s="1" t="s">
        <v>699</v>
      </c>
      <c r="B559" s="1" t="s">
        <v>700</v>
      </c>
      <c r="C559" s="1">
        <v>4400000</v>
      </c>
      <c r="D559" s="1" t="s">
        <v>61</v>
      </c>
      <c r="E559">
        <v>1480.2849000000001</v>
      </c>
      <c r="F559" s="1" t="s">
        <v>86</v>
      </c>
      <c r="G559">
        <v>80</v>
      </c>
      <c r="H559">
        <v>9</v>
      </c>
      <c r="I559" s="1" t="s">
        <v>55</v>
      </c>
      <c r="J559">
        <v>1</v>
      </c>
      <c r="K559" t="str">
        <f>IF(Tb_data[[#This Row],[previous_workers]]&lt;Tb_data[[#This Row],[workers]],"yes","no")</f>
        <v>yes</v>
      </c>
      <c r="L559">
        <f>Tb_data[[#This Row],[workers]]-Tb_data[[#This Row],[previous_workers]]</f>
        <v>71</v>
      </c>
      <c r="M559" s="12">
        <f>Tb_data[[#This Row],[Employees Growth]]/Tb_data[[#This Row],[previous_workers]]</f>
        <v>7.8888888888888893</v>
      </c>
    </row>
    <row r="560" spans="1:13" x14ac:dyDescent="0.25">
      <c r="A560" s="1" t="s">
        <v>4188</v>
      </c>
      <c r="B560" s="1" t="s">
        <v>4189</v>
      </c>
      <c r="C560" s="1">
        <v>26800000</v>
      </c>
      <c r="D560" s="1" t="s">
        <v>115</v>
      </c>
      <c r="E560">
        <v>196.03110000000001</v>
      </c>
      <c r="F560" s="1" t="s">
        <v>124</v>
      </c>
      <c r="G560">
        <v>36</v>
      </c>
      <c r="H560">
        <v>37</v>
      </c>
      <c r="I560" s="1" t="s">
        <v>2676</v>
      </c>
      <c r="J560">
        <v>2</v>
      </c>
      <c r="K560" t="str">
        <f>IF(Tb_data[[#This Row],[previous_workers]]&lt;Tb_data[[#This Row],[workers]],"yes","no")</f>
        <v>no</v>
      </c>
      <c r="L560">
        <f>Tb_data[[#This Row],[workers]]-Tb_data[[#This Row],[previous_workers]]</f>
        <v>-1</v>
      </c>
      <c r="M560" s="12">
        <f>Tb_data[[#This Row],[Employees Growth]]/Tb_data[[#This Row],[previous_workers]]</f>
        <v>-2.7027027027027029E-2</v>
      </c>
    </row>
    <row r="561" spans="1:13" x14ac:dyDescent="0.25">
      <c r="A561" s="1" t="s">
        <v>3981</v>
      </c>
      <c r="B561" s="1" t="s">
        <v>4019</v>
      </c>
      <c r="C561" s="1">
        <v>352300000</v>
      </c>
      <c r="D561" s="1" t="s">
        <v>33</v>
      </c>
      <c r="E561">
        <v>206.00460000000001</v>
      </c>
      <c r="F561" s="1" t="s">
        <v>34</v>
      </c>
      <c r="G561">
        <v>1200</v>
      </c>
      <c r="H561">
        <v>200</v>
      </c>
      <c r="I561" s="1" t="s">
        <v>35</v>
      </c>
      <c r="J561">
        <v>5</v>
      </c>
      <c r="K561" t="str">
        <f>IF(Tb_data[[#This Row],[previous_workers]]&lt;Tb_data[[#This Row],[workers]],"yes","no")</f>
        <v>yes</v>
      </c>
      <c r="L561">
        <f>Tb_data[[#This Row],[workers]]-Tb_data[[#This Row],[previous_workers]]</f>
        <v>1000</v>
      </c>
      <c r="M561" s="12">
        <f>Tb_data[[#This Row],[Employees Growth]]/Tb_data[[#This Row],[previous_workers]]</f>
        <v>5</v>
      </c>
    </row>
    <row r="562" spans="1:13" x14ac:dyDescent="0.25">
      <c r="A562" s="1" t="s">
        <v>8480</v>
      </c>
      <c r="B562" s="1" t="s">
        <v>8481</v>
      </c>
      <c r="C562" s="1">
        <v>20000000</v>
      </c>
      <c r="D562" s="1" t="s">
        <v>49</v>
      </c>
      <c r="E562">
        <v>74.385400000000004</v>
      </c>
      <c r="F562" s="1" t="s">
        <v>112</v>
      </c>
      <c r="G562">
        <v>30</v>
      </c>
      <c r="H562">
        <v>20</v>
      </c>
      <c r="I562" s="1" t="s">
        <v>130</v>
      </c>
      <c r="J562">
        <v>3</v>
      </c>
      <c r="K562" t="str">
        <f>IF(Tb_data[[#This Row],[previous_workers]]&lt;Tb_data[[#This Row],[workers]],"yes","no")</f>
        <v>yes</v>
      </c>
      <c r="L562">
        <f>Tb_data[[#This Row],[workers]]-Tb_data[[#This Row],[previous_workers]]</f>
        <v>10</v>
      </c>
      <c r="M562" s="12">
        <f>Tb_data[[#This Row],[Employees Growth]]/Tb_data[[#This Row],[previous_workers]]</f>
        <v>0.5</v>
      </c>
    </row>
    <row r="563" spans="1:13" x14ac:dyDescent="0.25">
      <c r="A563" s="1" t="s">
        <v>4469</v>
      </c>
      <c r="B563" s="1" t="s">
        <v>4470</v>
      </c>
      <c r="C563" s="1">
        <v>10300000</v>
      </c>
      <c r="D563" s="1" t="s">
        <v>33</v>
      </c>
      <c r="E563">
        <v>183.89689999999999</v>
      </c>
      <c r="F563" s="1" t="s">
        <v>17</v>
      </c>
      <c r="G563">
        <v>6</v>
      </c>
      <c r="H563">
        <v>4</v>
      </c>
      <c r="I563" s="1" t="s">
        <v>164</v>
      </c>
      <c r="J563">
        <v>1</v>
      </c>
      <c r="K563" t="str">
        <f>IF(Tb_data[[#This Row],[previous_workers]]&lt;Tb_data[[#This Row],[workers]],"yes","no")</f>
        <v>yes</v>
      </c>
      <c r="L563">
        <f>Tb_data[[#This Row],[workers]]-Tb_data[[#This Row],[previous_workers]]</f>
        <v>2</v>
      </c>
      <c r="M563" s="12">
        <f>Tb_data[[#This Row],[Employees Growth]]/Tb_data[[#This Row],[previous_workers]]</f>
        <v>0.5</v>
      </c>
    </row>
    <row r="564" spans="1:13" x14ac:dyDescent="0.25">
      <c r="A564" s="1" t="s">
        <v>9101</v>
      </c>
      <c r="B564" s="1" t="s">
        <v>9102</v>
      </c>
      <c r="C564" s="1">
        <v>7100000</v>
      </c>
      <c r="D564" s="1" t="s">
        <v>16</v>
      </c>
      <c r="E564">
        <v>65.405900000000003</v>
      </c>
      <c r="F564" s="1" t="s">
        <v>161</v>
      </c>
      <c r="G564">
        <v>75</v>
      </c>
      <c r="H564">
        <v>68</v>
      </c>
      <c r="I564" s="1" t="s">
        <v>74</v>
      </c>
      <c r="J564">
        <v>3</v>
      </c>
      <c r="K564" t="str">
        <f>IF(Tb_data[[#This Row],[previous_workers]]&lt;Tb_data[[#This Row],[workers]],"yes","no")</f>
        <v>yes</v>
      </c>
      <c r="L564">
        <f>Tb_data[[#This Row],[workers]]-Tb_data[[#This Row],[previous_workers]]</f>
        <v>7</v>
      </c>
      <c r="M564" s="12">
        <f>Tb_data[[#This Row],[Employees Growth]]/Tb_data[[#This Row],[previous_workers]]</f>
        <v>0.10294117647058823</v>
      </c>
    </row>
    <row r="565" spans="1:13" x14ac:dyDescent="0.25">
      <c r="A565" s="1" t="s">
        <v>5492</v>
      </c>
      <c r="B565" s="1" t="s">
        <v>5493</v>
      </c>
      <c r="C565" s="1">
        <v>7500000</v>
      </c>
      <c r="D565" s="1" t="s">
        <v>500</v>
      </c>
      <c r="E565">
        <v>143.08080000000001</v>
      </c>
      <c r="F565" s="1" t="s">
        <v>25</v>
      </c>
      <c r="G565">
        <v>60</v>
      </c>
      <c r="H565">
        <v>35</v>
      </c>
      <c r="I565" s="1" t="s">
        <v>4054</v>
      </c>
      <c r="J565">
        <v>3</v>
      </c>
      <c r="K565" t="str">
        <f>IF(Tb_data[[#This Row],[previous_workers]]&lt;Tb_data[[#This Row],[workers]],"yes","no")</f>
        <v>yes</v>
      </c>
      <c r="L565">
        <f>Tb_data[[#This Row],[workers]]-Tb_data[[#This Row],[previous_workers]]</f>
        <v>25</v>
      </c>
      <c r="M565" s="12">
        <f>Tb_data[[#This Row],[Employees Growth]]/Tb_data[[#This Row],[previous_workers]]</f>
        <v>0.7142857142857143</v>
      </c>
    </row>
    <row r="566" spans="1:13" x14ac:dyDescent="0.25">
      <c r="A566" s="1" t="s">
        <v>3273</v>
      </c>
      <c r="B566" s="1" t="s">
        <v>3274</v>
      </c>
      <c r="C566" s="1">
        <v>6100000</v>
      </c>
      <c r="D566" s="1" t="s">
        <v>115</v>
      </c>
      <c r="E566">
        <v>262.41390000000001</v>
      </c>
      <c r="F566" s="1" t="s">
        <v>12</v>
      </c>
      <c r="G566">
        <v>14</v>
      </c>
      <c r="H566">
        <v>7</v>
      </c>
      <c r="I566" s="1" t="s">
        <v>26</v>
      </c>
      <c r="J566">
        <v>1</v>
      </c>
      <c r="K566" t="str">
        <f>IF(Tb_data[[#This Row],[previous_workers]]&lt;Tb_data[[#This Row],[workers]],"yes","no")</f>
        <v>yes</v>
      </c>
      <c r="L566">
        <f>Tb_data[[#This Row],[workers]]-Tb_data[[#This Row],[previous_workers]]</f>
        <v>7</v>
      </c>
      <c r="M566" s="12">
        <f>Tb_data[[#This Row],[Employees Growth]]/Tb_data[[#This Row],[previous_workers]]</f>
        <v>1</v>
      </c>
    </row>
    <row r="567" spans="1:13" x14ac:dyDescent="0.25">
      <c r="A567" s="1" t="s">
        <v>5720</v>
      </c>
      <c r="B567" s="1" t="s">
        <v>5721</v>
      </c>
      <c r="C567" s="1">
        <v>2900000</v>
      </c>
      <c r="D567" s="1" t="s">
        <v>61</v>
      </c>
      <c r="E567">
        <v>133.9408</v>
      </c>
      <c r="F567" s="1" t="s">
        <v>17</v>
      </c>
      <c r="G567">
        <v>9</v>
      </c>
      <c r="H567">
        <v>5</v>
      </c>
      <c r="I567" s="1" t="s">
        <v>2407</v>
      </c>
      <c r="J567">
        <v>2</v>
      </c>
      <c r="K567" t="str">
        <f>IF(Tb_data[[#This Row],[previous_workers]]&lt;Tb_data[[#This Row],[workers]],"yes","no")</f>
        <v>yes</v>
      </c>
      <c r="L567">
        <f>Tb_data[[#This Row],[workers]]-Tb_data[[#This Row],[previous_workers]]</f>
        <v>4</v>
      </c>
      <c r="M567" s="12">
        <f>Tb_data[[#This Row],[Employees Growth]]/Tb_data[[#This Row],[previous_workers]]</f>
        <v>0.8</v>
      </c>
    </row>
    <row r="568" spans="1:13" x14ac:dyDescent="0.25">
      <c r="A568" s="1" t="s">
        <v>7811</v>
      </c>
      <c r="B568" s="1" t="s">
        <v>7812</v>
      </c>
      <c r="C568" s="1">
        <v>3600000</v>
      </c>
      <c r="D568" s="1" t="s">
        <v>5972</v>
      </c>
      <c r="E568">
        <v>86.106999999999999</v>
      </c>
      <c r="F568" s="1" t="s">
        <v>94</v>
      </c>
      <c r="G568">
        <v>24</v>
      </c>
      <c r="H568">
        <v>4</v>
      </c>
      <c r="I568" s="1" t="s">
        <v>117</v>
      </c>
      <c r="J568">
        <v>3</v>
      </c>
      <c r="K568" t="str">
        <f>IF(Tb_data[[#This Row],[previous_workers]]&lt;Tb_data[[#This Row],[workers]],"yes","no")</f>
        <v>yes</v>
      </c>
      <c r="L568">
        <f>Tb_data[[#This Row],[workers]]-Tb_data[[#This Row],[previous_workers]]</f>
        <v>20</v>
      </c>
      <c r="M568" s="12">
        <f>Tb_data[[#This Row],[Employees Growth]]/Tb_data[[#This Row],[previous_workers]]</f>
        <v>5</v>
      </c>
    </row>
    <row r="569" spans="1:13" x14ac:dyDescent="0.25">
      <c r="A569" s="1" t="s">
        <v>2241</v>
      </c>
      <c r="B569" s="1" t="s">
        <v>2242</v>
      </c>
      <c r="C569" s="1">
        <v>15700000</v>
      </c>
      <c r="D569" s="1" t="s">
        <v>20</v>
      </c>
      <c r="E569">
        <v>393.71019999999999</v>
      </c>
      <c r="F569" s="1" t="s">
        <v>156</v>
      </c>
      <c r="G569">
        <v>200</v>
      </c>
      <c r="H569">
        <v>70</v>
      </c>
      <c r="I569" s="1" t="s">
        <v>295</v>
      </c>
      <c r="J569">
        <v>2</v>
      </c>
      <c r="K569" t="str">
        <f>IF(Tb_data[[#This Row],[previous_workers]]&lt;Tb_data[[#This Row],[workers]],"yes","no")</f>
        <v>yes</v>
      </c>
      <c r="L569">
        <f>Tb_data[[#This Row],[workers]]-Tb_data[[#This Row],[previous_workers]]</f>
        <v>130</v>
      </c>
      <c r="M569" s="12">
        <f>Tb_data[[#This Row],[Employees Growth]]/Tb_data[[#This Row],[previous_workers]]</f>
        <v>1.8571428571428572</v>
      </c>
    </row>
    <row r="570" spans="1:13" x14ac:dyDescent="0.25">
      <c r="A570" s="1" t="s">
        <v>725</v>
      </c>
      <c r="B570" s="1" t="s">
        <v>726</v>
      </c>
      <c r="C570" s="1">
        <v>5800000</v>
      </c>
      <c r="D570" s="1" t="s">
        <v>20</v>
      </c>
      <c r="E570">
        <v>1444.5616</v>
      </c>
      <c r="F570" s="1" t="s">
        <v>25</v>
      </c>
      <c r="G570">
        <v>10</v>
      </c>
      <c r="H570">
        <v>2</v>
      </c>
      <c r="I570" s="1" t="s">
        <v>13</v>
      </c>
      <c r="J570">
        <v>1</v>
      </c>
      <c r="K570" t="str">
        <f>IF(Tb_data[[#This Row],[previous_workers]]&lt;Tb_data[[#This Row],[workers]],"yes","no")</f>
        <v>yes</v>
      </c>
      <c r="L570">
        <f>Tb_data[[#This Row],[workers]]-Tb_data[[#This Row],[previous_workers]]</f>
        <v>8</v>
      </c>
      <c r="M570" s="12">
        <f>Tb_data[[#This Row],[Employees Growth]]/Tb_data[[#This Row],[previous_workers]]</f>
        <v>4</v>
      </c>
    </row>
    <row r="571" spans="1:13" x14ac:dyDescent="0.25">
      <c r="A571" s="1" t="s">
        <v>2038</v>
      </c>
      <c r="B571" s="1" t="s">
        <v>2039</v>
      </c>
      <c r="C571" s="1">
        <v>20700000</v>
      </c>
      <c r="D571" s="1" t="s">
        <v>61</v>
      </c>
      <c r="E571">
        <v>440.86399999999998</v>
      </c>
      <c r="F571" s="1" t="s">
        <v>62</v>
      </c>
      <c r="G571">
        <v>591</v>
      </c>
      <c r="H571">
        <v>55</v>
      </c>
      <c r="I571" s="1" t="s">
        <v>13</v>
      </c>
      <c r="J571">
        <v>1</v>
      </c>
      <c r="K571" t="str">
        <f>IF(Tb_data[[#This Row],[previous_workers]]&lt;Tb_data[[#This Row],[workers]],"yes","no")</f>
        <v>yes</v>
      </c>
      <c r="L571">
        <f>Tb_data[[#This Row],[workers]]-Tb_data[[#This Row],[previous_workers]]</f>
        <v>536</v>
      </c>
      <c r="M571" s="12">
        <f>Tb_data[[#This Row],[Employees Growth]]/Tb_data[[#This Row],[previous_workers]]</f>
        <v>9.745454545454546</v>
      </c>
    </row>
    <row r="572" spans="1:13" x14ac:dyDescent="0.25">
      <c r="A572" s="1" t="s">
        <v>5370</v>
      </c>
      <c r="B572" s="1" t="s">
        <v>5371</v>
      </c>
      <c r="C572" s="1">
        <v>14500000</v>
      </c>
      <c r="D572" s="1" t="s">
        <v>120</v>
      </c>
      <c r="E572">
        <v>147.52869999999999</v>
      </c>
      <c r="F572" s="1" t="s">
        <v>176</v>
      </c>
      <c r="G572">
        <v>108</v>
      </c>
      <c r="H572">
        <v>25</v>
      </c>
      <c r="I572" s="1" t="s">
        <v>26</v>
      </c>
      <c r="J572">
        <v>1</v>
      </c>
      <c r="K572" t="str">
        <f>IF(Tb_data[[#This Row],[previous_workers]]&lt;Tb_data[[#This Row],[workers]],"yes","no")</f>
        <v>yes</v>
      </c>
      <c r="L572">
        <f>Tb_data[[#This Row],[workers]]-Tb_data[[#This Row],[previous_workers]]</f>
        <v>83</v>
      </c>
      <c r="M572" s="12">
        <f>Tb_data[[#This Row],[Employees Growth]]/Tb_data[[#This Row],[previous_workers]]</f>
        <v>3.32</v>
      </c>
    </row>
    <row r="573" spans="1:13" x14ac:dyDescent="0.25">
      <c r="A573" s="1" t="s">
        <v>5800</v>
      </c>
      <c r="B573" s="1" t="s">
        <v>5801</v>
      </c>
      <c r="C573" s="1">
        <v>15900000</v>
      </c>
      <c r="D573" s="1" t="s">
        <v>49</v>
      </c>
      <c r="E573">
        <v>131.36340000000001</v>
      </c>
      <c r="F573" s="1" t="s">
        <v>34</v>
      </c>
      <c r="G573">
        <v>78</v>
      </c>
      <c r="H573">
        <v>35</v>
      </c>
      <c r="I573" s="1" t="s">
        <v>295</v>
      </c>
      <c r="J573">
        <v>1</v>
      </c>
      <c r="K573" t="str">
        <f>IF(Tb_data[[#This Row],[previous_workers]]&lt;Tb_data[[#This Row],[workers]],"yes","no")</f>
        <v>yes</v>
      </c>
      <c r="L573">
        <f>Tb_data[[#This Row],[workers]]-Tb_data[[#This Row],[previous_workers]]</f>
        <v>43</v>
      </c>
      <c r="M573" s="12">
        <f>Tb_data[[#This Row],[Employees Growth]]/Tb_data[[#This Row],[previous_workers]]</f>
        <v>1.2285714285714286</v>
      </c>
    </row>
    <row r="574" spans="1:13" x14ac:dyDescent="0.25">
      <c r="A574" s="1" t="s">
        <v>2142</v>
      </c>
      <c r="B574" s="1" t="s">
        <v>2143</v>
      </c>
      <c r="C574" s="1">
        <v>50400000</v>
      </c>
      <c r="D574" s="1" t="s">
        <v>49</v>
      </c>
      <c r="E574">
        <v>415.46019999999999</v>
      </c>
      <c r="F574" s="1" t="s">
        <v>25</v>
      </c>
      <c r="G574">
        <v>23</v>
      </c>
      <c r="H574">
        <v>9</v>
      </c>
      <c r="I574" s="1" t="s">
        <v>1949</v>
      </c>
      <c r="J574">
        <v>2</v>
      </c>
      <c r="K574" t="str">
        <f>IF(Tb_data[[#This Row],[previous_workers]]&lt;Tb_data[[#This Row],[workers]],"yes","no")</f>
        <v>yes</v>
      </c>
      <c r="L574">
        <f>Tb_data[[#This Row],[workers]]-Tb_data[[#This Row],[previous_workers]]</f>
        <v>14</v>
      </c>
      <c r="M574" s="12">
        <f>Tb_data[[#This Row],[Employees Growth]]/Tb_data[[#This Row],[previous_workers]]</f>
        <v>1.5555555555555556</v>
      </c>
    </row>
    <row r="575" spans="1:13" x14ac:dyDescent="0.25">
      <c r="A575" s="1" t="s">
        <v>8185</v>
      </c>
      <c r="B575" s="1" t="s">
        <v>8186</v>
      </c>
      <c r="C575" s="1">
        <v>52600000</v>
      </c>
      <c r="D575" s="1" t="s">
        <v>175</v>
      </c>
      <c r="E575">
        <v>79.978300000000004</v>
      </c>
      <c r="F575" s="1" t="s">
        <v>97</v>
      </c>
      <c r="G575">
        <v>316</v>
      </c>
      <c r="H575">
        <v>196</v>
      </c>
      <c r="I575" s="1" t="s">
        <v>1949</v>
      </c>
      <c r="J575">
        <v>8</v>
      </c>
      <c r="K575" t="str">
        <f>IF(Tb_data[[#This Row],[previous_workers]]&lt;Tb_data[[#This Row],[workers]],"yes","no")</f>
        <v>yes</v>
      </c>
      <c r="L575">
        <f>Tb_data[[#This Row],[workers]]-Tb_data[[#This Row],[previous_workers]]</f>
        <v>120</v>
      </c>
      <c r="M575" s="12">
        <f>Tb_data[[#This Row],[Employees Growth]]/Tb_data[[#This Row],[previous_workers]]</f>
        <v>0.61224489795918369</v>
      </c>
    </row>
    <row r="576" spans="1:13" x14ac:dyDescent="0.25">
      <c r="A576" s="1" t="s">
        <v>3615</v>
      </c>
      <c r="B576" s="1" t="s">
        <v>3616</v>
      </c>
      <c r="C576" s="1">
        <v>6500000</v>
      </c>
      <c r="D576" s="1" t="s">
        <v>49</v>
      </c>
      <c r="E576">
        <v>232.71809999999999</v>
      </c>
      <c r="F576" s="1" t="s">
        <v>12</v>
      </c>
      <c r="G576">
        <v>382</v>
      </c>
      <c r="H576">
        <v>85</v>
      </c>
      <c r="I576" s="1" t="s">
        <v>46</v>
      </c>
      <c r="J576">
        <v>4</v>
      </c>
      <c r="K576" t="str">
        <f>IF(Tb_data[[#This Row],[previous_workers]]&lt;Tb_data[[#This Row],[workers]],"yes","no")</f>
        <v>yes</v>
      </c>
      <c r="L576">
        <f>Tb_data[[#This Row],[workers]]-Tb_data[[#This Row],[previous_workers]]</f>
        <v>297</v>
      </c>
      <c r="M576" s="12">
        <f>Tb_data[[#This Row],[Employees Growth]]/Tb_data[[#This Row],[previous_workers]]</f>
        <v>3.4941176470588236</v>
      </c>
    </row>
    <row r="577" spans="1:13" x14ac:dyDescent="0.25">
      <c r="A577" s="1" t="s">
        <v>7549</v>
      </c>
      <c r="B577" s="1" t="s">
        <v>7550</v>
      </c>
      <c r="C577" s="1">
        <v>6000000</v>
      </c>
      <c r="D577" s="1" t="s">
        <v>11</v>
      </c>
      <c r="E577">
        <v>91.683199999999999</v>
      </c>
      <c r="F577" s="1" t="s">
        <v>156</v>
      </c>
      <c r="G577">
        <v>30</v>
      </c>
      <c r="H577">
        <v>25</v>
      </c>
      <c r="I577" s="1" t="s">
        <v>74</v>
      </c>
      <c r="J577">
        <v>5</v>
      </c>
      <c r="K577" t="str">
        <f>IF(Tb_data[[#This Row],[previous_workers]]&lt;Tb_data[[#This Row],[workers]],"yes","no")</f>
        <v>yes</v>
      </c>
      <c r="L577">
        <f>Tb_data[[#This Row],[workers]]-Tb_data[[#This Row],[previous_workers]]</f>
        <v>5</v>
      </c>
      <c r="M577" s="12">
        <f>Tb_data[[#This Row],[Employees Growth]]/Tb_data[[#This Row],[previous_workers]]</f>
        <v>0.2</v>
      </c>
    </row>
    <row r="578" spans="1:13" x14ac:dyDescent="0.25">
      <c r="A578" s="1" t="s">
        <v>7515</v>
      </c>
      <c r="B578" s="1" t="s">
        <v>7516</v>
      </c>
      <c r="C578" s="1">
        <v>28700000</v>
      </c>
      <c r="D578" s="1" t="s">
        <v>20</v>
      </c>
      <c r="E578">
        <v>92.668599999999998</v>
      </c>
      <c r="F578" s="1" t="s">
        <v>100</v>
      </c>
      <c r="G578">
        <v>45</v>
      </c>
      <c r="H578">
        <v>39</v>
      </c>
      <c r="I578" s="1" t="s">
        <v>2611</v>
      </c>
      <c r="J578">
        <v>4</v>
      </c>
      <c r="K578" t="str">
        <f>IF(Tb_data[[#This Row],[previous_workers]]&lt;Tb_data[[#This Row],[workers]],"yes","no")</f>
        <v>yes</v>
      </c>
      <c r="L578">
        <f>Tb_data[[#This Row],[workers]]-Tb_data[[#This Row],[previous_workers]]</f>
        <v>6</v>
      </c>
      <c r="M578" s="12">
        <f>Tb_data[[#This Row],[Employees Growth]]/Tb_data[[#This Row],[previous_workers]]</f>
        <v>0.15384615384615385</v>
      </c>
    </row>
    <row r="579" spans="1:13" x14ac:dyDescent="0.25">
      <c r="A579" s="1" t="s">
        <v>771</v>
      </c>
      <c r="B579" s="1" t="s">
        <v>772</v>
      </c>
      <c r="C579" s="1">
        <v>2200000</v>
      </c>
      <c r="D579" s="1" t="s">
        <v>773</v>
      </c>
      <c r="E579">
        <v>1354.3140000000001</v>
      </c>
      <c r="F579" s="1" t="s">
        <v>12</v>
      </c>
      <c r="G579">
        <v>7</v>
      </c>
      <c r="H579">
        <v>4</v>
      </c>
      <c r="I579" s="1" t="s">
        <v>13</v>
      </c>
      <c r="J579">
        <v>1</v>
      </c>
      <c r="K579" t="str">
        <f>IF(Tb_data[[#This Row],[previous_workers]]&lt;Tb_data[[#This Row],[workers]],"yes","no")</f>
        <v>yes</v>
      </c>
      <c r="L579">
        <f>Tb_data[[#This Row],[workers]]-Tb_data[[#This Row],[previous_workers]]</f>
        <v>3</v>
      </c>
      <c r="M579" s="12">
        <f>Tb_data[[#This Row],[Employees Growth]]/Tb_data[[#This Row],[previous_workers]]</f>
        <v>0.75</v>
      </c>
    </row>
    <row r="580" spans="1:13" x14ac:dyDescent="0.25">
      <c r="A580" s="1" t="s">
        <v>3880</v>
      </c>
      <c r="B580" s="1" t="s">
        <v>3881</v>
      </c>
      <c r="C580" s="1">
        <v>60600000</v>
      </c>
      <c r="D580" s="1" t="s">
        <v>49</v>
      </c>
      <c r="E580">
        <v>215.7587</v>
      </c>
      <c r="F580" s="1" t="s">
        <v>100</v>
      </c>
      <c r="G580">
        <v>17</v>
      </c>
      <c r="H580">
        <v>5</v>
      </c>
      <c r="I580" s="1" t="s">
        <v>130</v>
      </c>
      <c r="J580">
        <v>4</v>
      </c>
      <c r="K580" t="str">
        <f>IF(Tb_data[[#This Row],[previous_workers]]&lt;Tb_data[[#This Row],[workers]],"yes","no")</f>
        <v>yes</v>
      </c>
      <c r="L580">
        <f>Tb_data[[#This Row],[workers]]-Tb_data[[#This Row],[previous_workers]]</f>
        <v>12</v>
      </c>
      <c r="M580" s="12">
        <f>Tb_data[[#This Row],[Employees Growth]]/Tb_data[[#This Row],[previous_workers]]</f>
        <v>2.4</v>
      </c>
    </row>
    <row r="581" spans="1:13" x14ac:dyDescent="0.25">
      <c r="A581" s="1" t="s">
        <v>8947</v>
      </c>
      <c r="B581" s="1" t="s">
        <v>8948</v>
      </c>
      <c r="C581" s="1">
        <v>2200000</v>
      </c>
      <c r="D581" s="1" t="s">
        <v>49</v>
      </c>
      <c r="E581">
        <v>67.350300000000004</v>
      </c>
      <c r="F581" s="1" t="s">
        <v>82</v>
      </c>
      <c r="G581">
        <v>9</v>
      </c>
      <c r="H581">
        <v>4</v>
      </c>
      <c r="I581" s="1" t="s">
        <v>130</v>
      </c>
      <c r="J581">
        <v>2</v>
      </c>
      <c r="K581" t="str">
        <f>IF(Tb_data[[#This Row],[previous_workers]]&lt;Tb_data[[#This Row],[workers]],"yes","no")</f>
        <v>yes</v>
      </c>
      <c r="L581">
        <f>Tb_data[[#This Row],[workers]]-Tb_data[[#This Row],[previous_workers]]</f>
        <v>5</v>
      </c>
      <c r="M581" s="12">
        <f>Tb_data[[#This Row],[Employees Growth]]/Tb_data[[#This Row],[previous_workers]]</f>
        <v>1.25</v>
      </c>
    </row>
    <row r="582" spans="1:13" x14ac:dyDescent="0.25">
      <c r="A582" s="1" t="s">
        <v>164</v>
      </c>
      <c r="B582" s="1" t="s">
        <v>4113</v>
      </c>
      <c r="C582" s="1">
        <v>31900000</v>
      </c>
      <c r="D582" s="1" t="s">
        <v>1021</v>
      </c>
      <c r="E582">
        <v>199.6259</v>
      </c>
      <c r="F582" s="1" t="s">
        <v>112</v>
      </c>
      <c r="G582">
        <v>115</v>
      </c>
      <c r="H582">
        <v>50</v>
      </c>
      <c r="I582" s="1" t="s">
        <v>55</v>
      </c>
      <c r="J582">
        <v>2</v>
      </c>
      <c r="K582" t="str">
        <f>IF(Tb_data[[#This Row],[previous_workers]]&lt;Tb_data[[#This Row],[workers]],"yes","no")</f>
        <v>yes</v>
      </c>
      <c r="L582">
        <f>Tb_data[[#This Row],[workers]]-Tb_data[[#This Row],[previous_workers]]</f>
        <v>65</v>
      </c>
      <c r="M582" s="12">
        <f>Tb_data[[#This Row],[Employees Growth]]/Tb_data[[#This Row],[previous_workers]]</f>
        <v>1.3</v>
      </c>
    </row>
    <row r="583" spans="1:13" x14ac:dyDescent="0.25">
      <c r="A583" s="1" t="s">
        <v>3400</v>
      </c>
      <c r="B583" s="1" t="s">
        <v>3401</v>
      </c>
      <c r="C583" s="1">
        <v>2100000</v>
      </c>
      <c r="D583" s="1" t="s">
        <v>49</v>
      </c>
      <c r="E583">
        <v>251.92230000000001</v>
      </c>
      <c r="F583" s="1" t="s">
        <v>21</v>
      </c>
      <c r="G583">
        <v>1</v>
      </c>
      <c r="H583">
        <v>1</v>
      </c>
      <c r="I583" s="1" t="s">
        <v>35</v>
      </c>
      <c r="J583">
        <v>2</v>
      </c>
      <c r="K583" t="str">
        <f>IF(Tb_data[[#This Row],[previous_workers]]&lt;Tb_data[[#This Row],[workers]],"yes","no")</f>
        <v>no</v>
      </c>
      <c r="L583">
        <f>Tb_data[[#This Row],[workers]]-Tb_data[[#This Row],[previous_workers]]</f>
        <v>0</v>
      </c>
      <c r="M583" s="12">
        <f>Tb_data[[#This Row],[Employees Growth]]/Tb_data[[#This Row],[previous_workers]]</f>
        <v>0</v>
      </c>
    </row>
    <row r="584" spans="1:13" x14ac:dyDescent="0.25">
      <c r="A584" s="1" t="s">
        <v>2412</v>
      </c>
      <c r="B584" s="1" t="s">
        <v>2413</v>
      </c>
      <c r="C584" s="1">
        <v>4700000</v>
      </c>
      <c r="D584" s="1" t="s">
        <v>61</v>
      </c>
      <c r="E584">
        <v>361.47359999999998</v>
      </c>
      <c r="F584" s="1" t="s">
        <v>156</v>
      </c>
      <c r="G584">
        <v>20</v>
      </c>
      <c r="H584">
        <v>4</v>
      </c>
      <c r="I584" s="1" t="s">
        <v>13</v>
      </c>
      <c r="J584">
        <v>1</v>
      </c>
      <c r="K584" t="str">
        <f>IF(Tb_data[[#This Row],[previous_workers]]&lt;Tb_data[[#This Row],[workers]],"yes","no")</f>
        <v>yes</v>
      </c>
      <c r="L584">
        <f>Tb_data[[#This Row],[workers]]-Tb_data[[#This Row],[previous_workers]]</f>
        <v>16</v>
      </c>
      <c r="M584" s="12">
        <f>Tb_data[[#This Row],[Employees Growth]]/Tb_data[[#This Row],[previous_workers]]</f>
        <v>4</v>
      </c>
    </row>
    <row r="585" spans="1:13" x14ac:dyDescent="0.25">
      <c r="A585" s="1" t="s">
        <v>2806</v>
      </c>
      <c r="B585" s="1" t="s">
        <v>2807</v>
      </c>
      <c r="C585" s="1">
        <v>8200000</v>
      </c>
      <c r="D585" s="1" t="s">
        <v>91</v>
      </c>
      <c r="E585">
        <v>307.55410000000001</v>
      </c>
      <c r="F585" s="1" t="s">
        <v>12</v>
      </c>
      <c r="G585">
        <v>63</v>
      </c>
      <c r="H585">
        <v>30</v>
      </c>
      <c r="I585" s="1" t="s">
        <v>46</v>
      </c>
      <c r="J585">
        <v>4</v>
      </c>
      <c r="K585" t="str">
        <f>IF(Tb_data[[#This Row],[previous_workers]]&lt;Tb_data[[#This Row],[workers]],"yes","no")</f>
        <v>yes</v>
      </c>
      <c r="L585">
        <f>Tb_data[[#This Row],[workers]]-Tb_data[[#This Row],[previous_workers]]</f>
        <v>33</v>
      </c>
      <c r="M585" s="12">
        <f>Tb_data[[#This Row],[Employees Growth]]/Tb_data[[#This Row],[previous_workers]]</f>
        <v>1.1000000000000001</v>
      </c>
    </row>
    <row r="586" spans="1:13" x14ac:dyDescent="0.25">
      <c r="A586" s="1" t="s">
        <v>8321</v>
      </c>
      <c r="B586" s="1" t="s">
        <v>8322</v>
      </c>
      <c r="C586" s="1">
        <v>40400000</v>
      </c>
      <c r="D586" s="1" t="s">
        <v>20</v>
      </c>
      <c r="E586">
        <v>77.494299999999996</v>
      </c>
      <c r="F586" s="1" t="s">
        <v>12</v>
      </c>
      <c r="G586">
        <v>21</v>
      </c>
      <c r="H586">
        <v>5</v>
      </c>
      <c r="I586" s="1" t="s">
        <v>55</v>
      </c>
      <c r="J586">
        <v>1</v>
      </c>
      <c r="K586" t="str">
        <f>IF(Tb_data[[#This Row],[previous_workers]]&lt;Tb_data[[#This Row],[workers]],"yes","no")</f>
        <v>yes</v>
      </c>
      <c r="L586">
        <f>Tb_data[[#This Row],[workers]]-Tb_data[[#This Row],[previous_workers]]</f>
        <v>16</v>
      </c>
      <c r="M586" s="12">
        <f>Tb_data[[#This Row],[Employees Growth]]/Tb_data[[#This Row],[previous_workers]]</f>
        <v>3.2</v>
      </c>
    </row>
    <row r="587" spans="1:13" x14ac:dyDescent="0.25">
      <c r="A587" s="1" t="s">
        <v>3291</v>
      </c>
      <c r="B587" s="1" t="s">
        <v>3292</v>
      </c>
      <c r="C587" s="1">
        <v>3400000</v>
      </c>
      <c r="D587" s="1" t="s">
        <v>49</v>
      </c>
      <c r="E587">
        <v>261.13799999999998</v>
      </c>
      <c r="F587" s="1" t="s">
        <v>86</v>
      </c>
      <c r="G587">
        <v>60</v>
      </c>
      <c r="H587">
        <v>20</v>
      </c>
      <c r="I587" s="1" t="s">
        <v>164</v>
      </c>
      <c r="J587">
        <v>3</v>
      </c>
      <c r="K587" t="str">
        <f>IF(Tb_data[[#This Row],[previous_workers]]&lt;Tb_data[[#This Row],[workers]],"yes","no")</f>
        <v>yes</v>
      </c>
      <c r="L587">
        <f>Tb_data[[#This Row],[workers]]-Tb_data[[#This Row],[previous_workers]]</f>
        <v>40</v>
      </c>
      <c r="M587" s="12">
        <f>Tb_data[[#This Row],[Employees Growth]]/Tb_data[[#This Row],[previous_workers]]</f>
        <v>2</v>
      </c>
    </row>
    <row r="588" spans="1:13" x14ac:dyDescent="0.25">
      <c r="A588" s="1" t="s">
        <v>7647</v>
      </c>
      <c r="B588" s="1" t="s">
        <v>7648</v>
      </c>
      <c r="C588" s="1">
        <v>94200000</v>
      </c>
      <c r="D588" s="1" t="s">
        <v>20</v>
      </c>
      <c r="E588">
        <v>89.023399999999995</v>
      </c>
      <c r="F588" s="1" t="s">
        <v>86</v>
      </c>
      <c r="G588">
        <v>606</v>
      </c>
      <c r="H588">
        <v>375</v>
      </c>
      <c r="I588" s="1" t="s">
        <v>35</v>
      </c>
      <c r="J588">
        <v>6</v>
      </c>
      <c r="K588" t="str">
        <f>IF(Tb_data[[#This Row],[previous_workers]]&lt;Tb_data[[#This Row],[workers]],"yes","no")</f>
        <v>yes</v>
      </c>
      <c r="L588">
        <f>Tb_data[[#This Row],[workers]]-Tb_data[[#This Row],[previous_workers]]</f>
        <v>231</v>
      </c>
      <c r="M588" s="12">
        <f>Tb_data[[#This Row],[Employees Growth]]/Tb_data[[#This Row],[previous_workers]]</f>
        <v>0.61599999999999999</v>
      </c>
    </row>
    <row r="589" spans="1:13" x14ac:dyDescent="0.25">
      <c r="A589" s="1" t="s">
        <v>9682</v>
      </c>
      <c r="B589" s="1" t="s">
        <v>9683</v>
      </c>
      <c r="C589" s="1">
        <v>1500000000</v>
      </c>
      <c r="D589" s="1" t="s">
        <v>91</v>
      </c>
      <c r="E589">
        <v>58.221299999999999</v>
      </c>
      <c r="F589" s="1" t="s">
        <v>124</v>
      </c>
      <c r="G589">
        <v>1423</v>
      </c>
      <c r="H589">
        <v>1082</v>
      </c>
      <c r="I589" s="1" t="s">
        <v>4058</v>
      </c>
      <c r="J589">
        <v>1</v>
      </c>
      <c r="K589" t="str">
        <f>IF(Tb_data[[#This Row],[previous_workers]]&lt;Tb_data[[#This Row],[workers]],"yes","no")</f>
        <v>yes</v>
      </c>
      <c r="L589">
        <f>Tb_data[[#This Row],[workers]]-Tb_data[[#This Row],[previous_workers]]</f>
        <v>341</v>
      </c>
      <c r="M589" s="12">
        <f>Tb_data[[#This Row],[Employees Growth]]/Tb_data[[#This Row],[previous_workers]]</f>
        <v>0.31515711645101663</v>
      </c>
    </row>
    <row r="590" spans="1:13" x14ac:dyDescent="0.25">
      <c r="A590" s="1" t="s">
        <v>4174</v>
      </c>
      <c r="B590" s="1" t="s">
        <v>4175</v>
      </c>
      <c r="C590" s="1">
        <v>11300000</v>
      </c>
      <c r="D590" s="1" t="s">
        <v>52</v>
      </c>
      <c r="E590">
        <v>196.56020000000001</v>
      </c>
      <c r="F590" s="1" t="s">
        <v>310</v>
      </c>
      <c r="G590">
        <v>28</v>
      </c>
      <c r="H590">
        <v>11</v>
      </c>
      <c r="I590" s="1" t="s">
        <v>147</v>
      </c>
      <c r="J590">
        <v>2</v>
      </c>
      <c r="K590" t="str">
        <f>IF(Tb_data[[#This Row],[previous_workers]]&lt;Tb_data[[#This Row],[workers]],"yes","no")</f>
        <v>yes</v>
      </c>
      <c r="L590">
        <f>Tb_data[[#This Row],[workers]]-Tb_data[[#This Row],[previous_workers]]</f>
        <v>17</v>
      </c>
      <c r="M590" s="12">
        <f>Tb_data[[#This Row],[Employees Growth]]/Tb_data[[#This Row],[previous_workers]]</f>
        <v>1.5454545454545454</v>
      </c>
    </row>
    <row r="591" spans="1:13" x14ac:dyDescent="0.25">
      <c r="A591" s="1" t="s">
        <v>2656</v>
      </c>
      <c r="B591" s="1" t="s">
        <v>2657</v>
      </c>
      <c r="C591" s="1">
        <v>3100000</v>
      </c>
      <c r="D591" s="1" t="s">
        <v>509</v>
      </c>
      <c r="E591">
        <v>324.93040000000002</v>
      </c>
      <c r="F591" s="1" t="s">
        <v>25</v>
      </c>
      <c r="G591">
        <v>46</v>
      </c>
      <c r="H591">
        <v>7</v>
      </c>
      <c r="I591" s="1" t="s">
        <v>13</v>
      </c>
      <c r="J591">
        <v>1</v>
      </c>
      <c r="K591" t="str">
        <f>IF(Tb_data[[#This Row],[previous_workers]]&lt;Tb_data[[#This Row],[workers]],"yes","no")</f>
        <v>yes</v>
      </c>
      <c r="L591">
        <f>Tb_data[[#This Row],[workers]]-Tb_data[[#This Row],[previous_workers]]</f>
        <v>39</v>
      </c>
      <c r="M591" s="12">
        <f>Tb_data[[#This Row],[Employees Growth]]/Tb_data[[#This Row],[previous_workers]]</f>
        <v>5.5714285714285712</v>
      </c>
    </row>
    <row r="592" spans="1:13" x14ac:dyDescent="0.25">
      <c r="A592" s="1" t="s">
        <v>4681</v>
      </c>
      <c r="B592" s="1" t="s">
        <v>4682</v>
      </c>
      <c r="C592" s="1">
        <v>29700000</v>
      </c>
      <c r="D592" s="1" t="s">
        <v>49</v>
      </c>
      <c r="E592">
        <v>175.13460000000001</v>
      </c>
      <c r="F592" s="1" t="s">
        <v>176</v>
      </c>
      <c r="G592">
        <v>31</v>
      </c>
      <c r="H592">
        <v>13</v>
      </c>
      <c r="I592" s="1" t="s">
        <v>468</v>
      </c>
      <c r="J592">
        <v>5</v>
      </c>
      <c r="K592" t="str">
        <f>IF(Tb_data[[#This Row],[previous_workers]]&lt;Tb_data[[#This Row],[workers]],"yes","no")</f>
        <v>yes</v>
      </c>
      <c r="L592">
        <f>Tb_data[[#This Row],[workers]]-Tb_data[[#This Row],[previous_workers]]</f>
        <v>18</v>
      </c>
      <c r="M592" s="12">
        <f>Tb_data[[#This Row],[Employees Growth]]/Tb_data[[#This Row],[previous_workers]]</f>
        <v>1.3846153846153846</v>
      </c>
    </row>
    <row r="593" spans="1:13" x14ac:dyDescent="0.25">
      <c r="A593" s="1" t="s">
        <v>7012</v>
      </c>
      <c r="B593" s="1" t="s">
        <v>7013</v>
      </c>
      <c r="C593" s="1">
        <v>4600000</v>
      </c>
      <c r="D593" s="1" t="s">
        <v>254</v>
      </c>
      <c r="E593">
        <v>101.7504</v>
      </c>
      <c r="F593" s="1" t="s">
        <v>86</v>
      </c>
      <c r="G593">
        <v>45</v>
      </c>
      <c r="H593">
        <v>15</v>
      </c>
      <c r="I593" s="1" t="s">
        <v>1051</v>
      </c>
      <c r="J593">
        <v>1</v>
      </c>
      <c r="K593" t="str">
        <f>IF(Tb_data[[#This Row],[previous_workers]]&lt;Tb_data[[#This Row],[workers]],"yes","no")</f>
        <v>yes</v>
      </c>
      <c r="L593">
        <f>Tb_data[[#This Row],[workers]]-Tb_data[[#This Row],[previous_workers]]</f>
        <v>30</v>
      </c>
      <c r="M593" s="12">
        <f>Tb_data[[#This Row],[Employees Growth]]/Tb_data[[#This Row],[previous_workers]]</f>
        <v>2</v>
      </c>
    </row>
    <row r="594" spans="1:13" x14ac:dyDescent="0.25">
      <c r="A594" s="1" t="s">
        <v>1837</v>
      </c>
      <c r="B594" s="1" t="s">
        <v>1838</v>
      </c>
      <c r="C594" s="1">
        <v>7500000</v>
      </c>
      <c r="D594" s="1" t="s">
        <v>49</v>
      </c>
      <c r="E594">
        <v>491.13799999999998</v>
      </c>
      <c r="F594" s="1" t="s">
        <v>12</v>
      </c>
      <c r="G594">
        <v>24</v>
      </c>
      <c r="H594">
        <v>9</v>
      </c>
      <c r="I594" s="1" t="s">
        <v>13</v>
      </c>
      <c r="J594">
        <v>1</v>
      </c>
      <c r="K594" t="str">
        <f>IF(Tb_data[[#This Row],[previous_workers]]&lt;Tb_data[[#This Row],[workers]],"yes","no")</f>
        <v>yes</v>
      </c>
      <c r="L594">
        <f>Tb_data[[#This Row],[workers]]-Tb_data[[#This Row],[previous_workers]]</f>
        <v>15</v>
      </c>
      <c r="M594" s="12">
        <f>Tb_data[[#This Row],[Employees Growth]]/Tb_data[[#This Row],[previous_workers]]</f>
        <v>1.6666666666666667</v>
      </c>
    </row>
    <row r="595" spans="1:13" x14ac:dyDescent="0.25">
      <c r="A595" s="1" t="s">
        <v>7006</v>
      </c>
      <c r="B595" s="1" t="s">
        <v>7007</v>
      </c>
      <c r="C595" s="1">
        <v>7500000</v>
      </c>
      <c r="D595" s="1" t="s">
        <v>20</v>
      </c>
      <c r="E595">
        <v>101.7814</v>
      </c>
      <c r="F595" s="1" t="s">
        <v>124</v>
      </c>
      <c r="G595">
        <v>52</v>
      </c>
      <c r="H595">
        <v>33</v>
      </c>
      <c r="I595" s="1" t="s">
        <v>74</v>
      </c>
      <c r="J595">
        <v>2</v>
      </c>
      <c r="K595" t="str">
        <f>IF(Tb_data[[#This Row],[previous_workers]]&lt;Tb_data[[#This Row],[workers]],"yes","no")</f>
        <v>yes</v>
      </c>
      <c r="L595">
        <f>Tb_data[[#This Row],[workers]]-Tb_data[[#This Row],[previous_workers]]</f>
        <v>19</v>
      </c>
      <c r="M595" s="12">
        <f>Tb_data[[#This Row],[Employees Growth]]/Tb_data[[#This Row],[previous_workers]]</f>
        <v>0.5757575757575758</v>
      </c>
    </row>
    <row r="596" spans="1:13" x14ac:dyDescent="0.25">
      <c r="A596" s="1" t="s">
        <v>2845</v>
      </c>
      <c r="B596" s="1" t="s">
        <v>2846</v>
      </c>
      <c r="C596" s="1">
        <v>8100000</v>
      </c>
      <c r="D596" s="1" t="s">
        <v>45</v>
      </c>
      <c r="E596">
        <v>303.8537</v>
      </c>
      <c r="F596" s="1" t="s">
        <v>152</v>
      </c>
      <c r="G596">
        <v>64</v>
      </c>
      <c r="H596">
        <v>21</v>
      </c>
      <c r="I596" s="1" t="s">
        <v>26</v>
      </c>
      <c r="J596">
        <v>1</v>
      </c>
      <c r="K596" t="str">
        <f>IF(Tb_data[[#This Row],[previous_workers]]&lt;Tb_data[[#This Row],[workers]],"yes","no")</f>
        <v>yes</v>
      </c>
      <c r="L596">
        <f>Tb_data[[#This Row],[workers]]-Tb_data[[#This Row],[previous_workers]]</f>
        <v>43</v>
      </c>
      <c r="M596" s="12">
        <f>Tb_data[[#This Row],[Employees Growth]]/Tb_data[[#This Row],[previous_workers]]</f>
        <v>2.0476190476190474</v>
      </c>
    </row>
    <row r="597" spans="1:13" x14ac:dyDescent="0.25">
      <c r="A597" s="1" t="s">
        <v>6593</v>
      </c>
      <c r="B597" s="1" t="s">
        <v>6594</v>
      </c>
      <c r="C597" s="1">
        <v>12600000</v>
      </c>
      <c r="D597" s="1" t="s">
        <v>49</v>
      </c>
      <c r="E597">
        <v>111.7286</v>
      </c>
      <c r="F597" s="1" t="s">
        <v>161</v>
      </c>
      <c r="G597">
        <v>93</v>
      </c>
      <c r="H597">
        <v>34</v>
      </c>
      <c r="I597" s="1" t="s">
        <v>229</v>
      </c>
      <c r="J597">
        <v>1</v>
      </c>
      <c r="K597" t="str">
        <f>IF(Tb_data[[#This Row],[previous_workers]]&lt;Tb_data[[#This Row],[workers]],"yes","no")</f>
        <v>yes</v>
      </c>
      <c r="L597">
        <f>Tb_data[[#This Row],[workers]]-Tb_data[[#This Row],[previous_workers]]</f>
        <v>59</v>
      </c>
      <c r="M597" s="12">
        <f>Tb_data[[#This Row],[Employees Growth]]/Tb_data[[#This Row],[previous_workers]]</f>
        <v>1.7352941176470589</v>
      </c>
    </row>
    <row r="598" spans="1:13" x14ac:dyDescent="0.25">
      <c r="A598" s="1" t="s">
        <v>4060</v>
      </c>
      <c r="B598" s="1" t="s">
        <v>4061</v>
      </c>
      <c r="C598" s="1">
        <v>57000000</v>
      </c>
      <c r="D598" s="1" t="s">
        <v>500</v>
      </c>
      <c r="E598">
        <v>204.18119999999999</v>
      </c>
      <c r="F598" s="1" t="s">
        <v>34</v>
      </c>
      <c r="G598">
        <v>270</v>
      </c>
      <c r="H598">
        <v>98</v>
      </c>
      <c r="I598" s="1" t="s">
        <v>46</v>
      </c>
      <c r="J598">
        <v>6</v>
      </c>
      <c r="K598" t="str">
        <f>IF(Tb_data[[#This Row],[previous_workers]]&lt;Tb_data[[#This Row],[workers]],"yes","no")</f>
        <v>yes</v>
      </c>
      <c r="L598">
        <f>Tb_data[[#This Row],[workers]]-Tb_data[[#This Row],[previous_workers]]</f>
        <v>172</v>
      </c>
      <c r="M598" s="12">
        <f>Tb_data[[#This Row],[Employees Growth]]/Tb_data[[#This Row],[previous_workers]]</f>
        <v>1.7551020408163265</v>
      </c>
    </row>
    <row r="599" spans="1:13" x14ac:dyDescent="0.25">
      <c r="A599" s="1" t="s">
        <v>3736</v>
      </c>
      <c r="B599" s="1" t="s">
        <v>3737</v>
      </c>
      <c r="C599" s="1">
        <v>3700000</v>
      </c>
      <c r="D599" s="1" t="s">
        <v>49</v>
      </c>
      <c r="E599">
        <v>225.94229999999999</v>
      </c>
      <c r="F599" s="1" t="s">
        <v>25</v>
      </c>
      <c r="G599">
        <v>5</v>
      </c>
      <c r="H599">
        <v>3</v>
      </c>
      <c r="I599" s="1" t="s">
        <v>55</v>
      </c>
      <c r="J599">
        <v>2</v>
      </c>
      <c r="K599" t="str">
        <f>IF(Tb_data[[#This Row],[previous_workers]]&lt;Tb_data[[#This Row],[workers]],"yes","no")</f>
        <v>yes</v>
      </c>
      <c r="L599">
        <f>Tb_data[[#This Row],[workers]]-Tb_data[[#This Row],[previous_workers]]</f>
        <v>2</v>
      </c>
      <c r="M599" s="12">
        <f>Tb_data[[#This Row],[Employees Growth]]/Tb_data[[#This Row],[previous_workers]]</f>
        <v>0.66666666666666663</v>
      </c>
    </row>
    <row r="600" spans="1:13" x14ac:dyDescent="0.25">
      <c r="A600" s="1" t="s">
        <v>5532</v>
      </c>
      <c r="B600" s="1" t="s">
        <v>5533</v>
      </c>
      <c r="C600" s="1">
        <v>6500000</v>
      </c>
      <c r="D600" s="1" t="s">
        <v>49</v>
      </c>
      <c r="E600">
        <v>141.38480000000001</v>
      </c>
      <c r="F600" s="1" t="s">
        <v>25</v>
      </c>
      <c r="G600">
        <v>14</v>
      </c>
      <c r="H600">
        <v>10</v>
      </c>
      <c r="I600" s="1" t="s">
        <v>35</v>
      </c>
      <c r="J600">
        <v>5</v>
      </c>
      <c r="K600" t="str">
        <f>IF(Tb_data[[#This Row],[previous_workers]]&lt;Tb_data[[#This Row],[workers]],"yes","no")</f>
        <v>yes</v>
      </c>
      <c r="L600">
        <f>Tb_data[[#This Row],[workers]]-Tb_data[[#This Row],[previous_workers]]</f>
        <v>4</v>
      </c>
      <c r="M600" s="12">
        <f>Tb_data[[#This Row],[Employees Growth]]/Tb_data[[#This Row],[previous_workers]]</f>
        <v>0.4</v>
      </c>
    </row>
    <row r="601" spans="1:13" x14ac:dyDescent="0.25">
      <c r="A601" s="1" t="s">
        <v>6719</v>
      </c>
      <c r="B601" s="1" t="s">
        <v>6720</v>
      </c>
      <c r="C601" s="1">
        <v>23000000</v>
      </c>
      <c r="D601" s="1" t="s">
        <v>179</v>
      </c>
      <c r="E601">
        <v>108.63079999999999</v>
      </c>
      <c r="F601" s="1" t="s">
        <v>34</v>
      </c>
      <c r="G601">
        <v>115</v>
      </c>
      <c r="H601">
        <v>55</v>
      </c>
      <c r="I601" s="1" t="s">
        <v>164</v>
      </c>
      <c r="J601">
        <v>5</v>
      </c>
      <c r="K601" t="str">
        <f>IF(Tb_data[[#This Row],[previous_workers]]&lt;Tb_data[[#This Row],[workers]],"yes","no")</f>
        <v>yes</v>
      </c>
      <c r="L601">
        <f>Tb_data[[#This Row],[workers]]-Tb_data[[#This Row],[previous_workers]]</f>
        <v>60</v>
      </c>
      <c r="M601" s="12">
        <f>Tb_data[[#This Row],[Employees Growth]]/Tb_data[[#This Row],[previous_workers]]</f>
        <v>1.0909090909090908</v>
      </c>
    </row>
    <row r="602" spans="1:13" x14ac:dyDescent="0.25">
      <c r="A602" s="1" t="s">
        <v>9301</v>
      </c>
      <c r="B602" s="1" t="s">
        <v>9302</v>
      </c>
      <c r="C602" s="1">
        <v>18400000</v>
      </c>
      <c r="D602" s="1" t="s">
        <v>422</v>
      </c>
      <c r="E602">
        <v>62.768999999999998</v>
      </c>
      <c r="F602" s="1" t="s">
        <v>34</v>
      </c>
      <c r="G602">
        <v>160</v>
      </c>
      <c r="H602">
        <v>90</v>
      </c>
      <c r="I602" s="1" t="s">
        <v>836</v>
      </c>
      <c r="J602">
        <v>2</v>
      </c>
      <c r="K602" t="str">
        <f>IF(Tb_data[[#This Row],[previous_workers]]&lt;Tb_data[[#This Row],[workers]],"yes","no")</f>
        <v>yes</v>
      </c>
      <c r="L602">
        <f>Tb_data[[#This Row],[workers]]-Tb_data[[#This Row],[previous_workers]]</f>
        <v>70</v>
      </c>
      <c r="M602" s="12">
        <f>Tb_data[[#This Row],[Employees Growth]]/Tb_data[[#This Row],[previous_workers]]</f>
        <v>0.77777777777777779</v>
      </c>
    </row>
    <row r="603" spans="1:13" x14ac:dyDescent="0.25">
      <c r="A603" s="1" t="s">
        <v>3061</v>
      </c>
      <c r="B603" s="1" t="s">
        <v>3062</v>
      </c>
      <c r="C603" s="1">
        <v>13500000</v>
      </c>
      <c r="D603" s="1" t="s">
        <v>179</v>
      </c>
      <c r="E603">
        <v>281.8999</v>
      </c>
      <c r="F603" s="1" t="s">
        <v>17</v>
      </c>
      <c r="G603">
        <v>130</v>
      </c>
      <c r="H603">
        <v>40</v>
      </c>
      <c r="I603" s="1" t="s">
        <v>117</v>
      </c>
      <c r="J603">
        <v>4</v>
      </c>
      <c r="K603" t="str">
        <f>IF(Tb_data[[#This Row],[previous_workers]]&lt;Tb_data[[#This Row],[workers]],"yes","no")</f>
        <v>yes</v>
      </c>
      <c r="L603">
        <f>Tb_data[[#This Row],[workers]]-Tb_data[[#This Row],[previous_workers]]</f>
        <v>90</v>
      </c>
      <c r="M603" s="12">
        <f>Tb_data[[#This Row],[Employees Growth]]/Tb_data[[#This Row],[previous_workers]]</f>
        <v>2.25</v>
      </c>
    </row>
    <row r="604" spans="1:13" x14ac:dyDescent="0.25">
      <c r="A604" s="1" t="s">
        <v>5864</v>
      </c>
      <c r="B604" s="1" t="s">
        <v>5865</v>
      </c>
      <c r="C604" s="1">
        <v>9700000</v>
      </c>
      <c r="D604" s="1" t="s">
        <v>1002</v>
      </c>
      <c r="E604">
        <v>129.91630000000001</v>
      </c>
      <c r="F604" s="1" t="s">
        <v>86</v>
      </c>
      <c r="G604">
        <v>70</v>
      </c>
      <c r="H604">
        <v>52</v>
      </c>
      <c r="I604" s="1" t="s">
        <v>2628</v>
      </c>
      <c r="J604">
        <v>5</v>
      </c>
      <c r="K604" t="str">
        <f>IF(Tb_data[[#This Row],[previous_workers]]&lt;Tb_data[[#This Row],[workers]],"yes","no")</f>
        <v>yes</v>
      </c>
      <c r="L604">
        <f>Tb_data[[#This Row],[workers]]-Tb_data[[#This Row],[previous_workers]]</f>
        <v>18</v>
      </c>
      <c r="M604" s="12">
        <f>Tb_data[[#This Row],[Employees Growth]]/Tb_data[[#This Row],[previous_workers]]</f>
        <v>0.34615384615384615</v>
      </c>
    </row>
    <row r="605" spans="1:13" x14ac:dyDescent="0.25">
      <c r="A605" s="1" t="s">
        <v>8530</v>
      </c>
      <c r="B605" s="1" t="s">
        <v>8531</v>
      </c>
      <c r="C605" s="1">
        <v>9000000</v>
      </c>
      <c r="D605" s="1" t="s">
        <v>20</v>
      </c>
      <c r="E605">
        <v>73.399500000000003</v>
      </c>
      <c r="F605" s="1" t="s">
        <v>25</v>
      </c>
      <c r="G605">
        <v>210</v>
      </c>
      <c r="H605">
        <v>140</v>
      </c>
      <c r="I605" s="1" t="s">
        <v>74</v>
      </c>
      <c r="J605">
        <v>9</v>
      </c>
      <c r="K605" t="str">
        <f>IF(Tb_data[[#This Row],[previous_workers]]&lt;Tb_data[[#This Row],[workers]],"yes","no")</f>
        <v>yes</v>
      </c>
      <c r="L605">
        <f>Tb_data[[#This Row],[workers]]-Tb_data[[#This Row],[previous_workers]]</f>
        <v>70</v>
      </c>
      <c r="M605" s="12">
        <f>Tb_data[[#This Row],[Employees Growth]]/Tb_data[[#This Row],[previous_workers]]</f>
        <v>0.5</v>
      </c>
    </row>
    <row r="606" spans="1:13" x14ac:dyDescent="0.25">
      <c r="A606" s="1" t="s">
        <v>5146</v>
      </c>
      <c r="B606" s="1" t="s">
        <v>5147</v>
      </c>
      <c r="C606" s="1">
        <v>43800000</v>
      </c>
      <c r="D606" s="1" t="s">
        <v>254</v>
      </c>
      <c r="E606">
        <v>155.63499999999999</v>
      </c>
      <c r="F606" s="1" t="s">
        <v>30</v>
      </c>
      <c r="G606">
        <v>20</v>
      </c>
      <c r="H606">
        <v>10</v>
      </c>
      <c r="I606" s="1" t="s">
        <v>164</v>
      </c>
      <c r="J606">
        <v>3</v>
      </c>
      <c r="K606" t="str">
        <f>IF(Tb_data[[#This Row],[previous_workers]]&lt;Tb_data[[#This Row],[workers]],"yes","no")</f>
        <v>yes</v>
      </c>
      <c r="L606">
        <f>Tb_data[[#This Row],[workers]]-Tb_data[[#This Row],[previous_workers]]</f>
        <v>10</v>
      </c>
      <c r="M606" s="12">
        <f>Tb_data[[#This Row],[Employees Growth]]/Tb_data[[#This Row],[previous_workers]]</f>
        <v>1</v>
      </c>
    </row>
    <row r="607" spans="1:13" x14ac:dyDescent="0.25">
      <c r="A607" s="1" t="s">
        <v>6968</v>
      </c>
      <c r="B607" s="1" t="s">
        <v>6969</v>
      </c>
      <c r="C607" s="1">
        <v>10600000</v>
      </c>
      <c r="D607" s="1" t="s">
        <v>11</v>
      </c>
      <c r="E607">
        <v>102.53870000000001</v>
      </c>
      <c r="F607" s="1" t="s">
        <v>12</v>
      </c>
      <c r="G607">
        <v>94</v>
      </c>
      <c r="H607">
        <v>66</v>
      </c>
      <c r="I607" s="1" t="s">
        <v>130</v>
      </c>
      <c r="J607">
        <v>4</v>
      </c>
      <c r="K607" t="str">
        <f>IF(Tb_data[[#This Row],[previous_workers]]&lt;Tb_data[[#This Row],[workers]],"yes","no")</f>
        <v>yes</v>
      </c>
      <c r="L607">
        <f>Tb_data[[#This Row],[workers]]-Tb_data[[#This Row],[previous_workers]]</f>
        <v>28</v>
      </c>
      <c r="M607" s="12">
        <f>Tb_data[[#This Row],[Employees Growth]]/Tb_data[[#This Row],[previous_workers]]</f>
        <v>0.42424242424242425</v>
      </c>
    </row>
    <row r="608" spans="1:13" x14ac:dyDescent="0.25">
      <c r="A608" s="1" t="s">
        <v>9778</v>
      </c>
      <c r="B608" s="1" t="s">
        <v>9779</v>
      </c>
      <c r="C608" s="1">
        <v>4400000</v>
      </c>
      <c r="D608" s="1" t="s">
        <v>123</v>
      </c>
      <c r="E608">
        <v>56.999099999999999</v>
      </c>
      <c r="F608" s="1" t="s">
        <v>86</v>
      </c>
      <c r="G608">
        <v>31</v>
      </c>
      <c r="H608">
        <v>23</v>
      </c>
      <c r="I608" s="1" t="s">
        <v>1051</v>
      </c>
      <c r="J608">
        <v>1</v>
      </c>
      <c r="K608" t="str">
        <f>IF(Tb_data[[#This Row],[previous_workers]]&lt;Tb_data[[#This Row],[workers]],"yes","no")</f>
        <v>yes</v>
      </c>
      <c r="L608">
        <f>Tb_data[[#This Row],[workers]]-Tb_data[[#This Row],[previous_workers]]</f>
        <v>8</v>
      </c>
      <c r="M608" s="12">
        <f>Tb_data[[#This Row],[Employees Growth]]/Tb_data[[#This Row],[previous_workers]]</f>
        <v>0.34782608695652173</v>
      </c>
    </row>
    <row r="609" spans="1:13" x14ac:dyDescent="0.25">
      <c r="A609" s="1" t="s">
        <v>9137</v>
      </c>
      <c r="B609" s="1" t="s">
        <v>9138</v>
      </c>
      <c r="C609" s="1">
        <v>3100000</v>
      </c>
      <c r="D609" s="1" t="s">
        <v>509</v>
      </c>
      <c r="E609">
        <v>64.944599999999994</v>
      </c>
      <c r="F609" s="1" t="s">
        <v>97</v>
      </c>
      <c r="G609">
        <v>38</v>
      </c>
      <c r="H609">
        <v>8</v>
      </c>
      <c r="I609" s="1" t="s">
        <v>164</v>
      </c>
      <c r="J609">
        <v>1</v>
      </c>
      <c r="K609" t="str">
        <f>IF(Tb_data[[#This Row],[previous_workers]]&lt;Tb_data[[#This Row],[workers]],"yes","no")</f>
        <v>yes</v>
      </c>
      <c r="L609">
        <f>Tb_data[[#This Row],[workers]]-Tb_data[[#This Row],[previous_workers]]</f>
        <v>30</v>
      </c>
      <c r="M609" s="12">
        <f>Tb_data[[#This Row],[Employees Growth]]/Tb_data[[#This Row],[previous_workers]]</f>
        <v>3.75</v>
      </c>
    </row>
    <row r="610" spans="1:13" x14ac:dyDescent="0.25">
      <c r="A610" s="1" t="s">
        <v>2522</v>
      </c>
      <c r="B610" s="1" t="s">
        <v>2523</v>
      </c>
      <c r="C610" s="1">
        <v>13700000</v>
      </c>
      <c r="D610" s="1" t="s">
        <v>49</v>
      </c>
      <c r="E610">
        <v>342.49090000000001</v>
      </c>
      <c r="F610" s="1" t="s">
        <v>100</v>
      </c>
      <c r="G610">
        <v>66</v>
      </c>
      <c r="H610">
        <v>16</v>
      </c>
      <c r="I610" s="1" t="s">
        <v>55</v>
      </c>
      <c r="J610">
        <v>1</v>
      </c>
      <c r="K610" t="str">
        <f>IF(Tb_data[[#This Row],[previous_workers]]&lt;Tb_data[[#This Row],[workers]],"yes","no")</f>
        <v>yes</v>
      </c>
      <c r="L610">
        <f>Tb_data[[#This Row],[workers]]-Tb_data[[#This Row],[previous_workers]]</f>
        <v>50</v>
      </c>
      <c r="M610" s="12">
        <f>Tb_data[[#This Row],[Employees Growth]]/Tb_data[[#This Row],[previous_workers]]</f>
        <v>3.125</v>
      </c>
    </row>
    <row r="611" spans="1:13" x14ac:dyDescent="0.25">
      <c r="A611" s="1" t="s">
        <v>3888</v>
      </c>
      <c r="B611" s="1" t="s">
        <v>3889</v>
      </c>
      <c r="C611" s="1">
        <v>2900000</v>
      </c>
      <c r="D611" s="1" t="s">
        <v>61</v>
      </c>
      <c r="E611">
        <v>215.142</v>
      </c>
      <c r="F611" s="1" t="s">
        <v>21</v>
      </c>
      <c r="G611">
        <v>78</v>
      </c>
      <c r="H611">
        <v>15</v>
      </c>
      <c r="I611" s="1" t="s">
        <v>130</v>
      </c>
      <c r="J611">
        <v>2</v>
      </c>
      <c r="K611" t="str">
        <f>IF(Tb_data[[#This Row],[previous_workers]]&lt;Tb_data[[#This Row],[workers]],"yes","no")</f>
        <v>yes</v>
      </c>
      <c r="L611">
        <f>Tb_data[[#This Row],[workers]]-Tb_data[[#This Row],[previous_workers]]</f>
        <v>63</v>
      </c>
      <c r="M611" s="12">
        <f>Tb_data[[#This Row],[Employees Growth]]/Tb_data[[#This Row],[previous_workers]]</f>
        <v>4.2</v>
      </c>
    </row>
    <row r="612" spans="1:13" x14ac:dyDescent="0.25">
      <c r="A612" s="1" t="s">
        <v>9560</v>
      </c>
      <c r="B612" s="1" t="s">
        <v>9561</v>
      </c>
      <c r="C612" s="1">
        <v>12800000</v>
      </c>
      <c r="D612" s="1" t="s">
        <v>91</v>
      </c>
      <c r="E612">
        <v>59.549900000000001</v>
      </c>
      <c r="F612" s="1" t="s">
        <v>25</v>
      </c>
      <c r="G612">
        <v>26</v>
      </c>
      <c r="H612">
        <v>20</v>
      </c>
      <c r="I612" s="1" t="s">
        <v>46</v>
      </c>
      <c r="J612">
        <v>5</v>
      </c>
      <c r="K612" t="str">
        <f>IF(Tb_data[[#This Row],[previous_workers]]&lt;Tb_data[[#This Row],[workers]],"yes","no")</f>
        <v>yes</v>
      </c>
      <c r="L612">
        <f>Tb_data[[#This Row],[workers]]-Tb_data[[#This Row],[previous_workers]]</f>
        <v>6</v>
      </c>
      <c r="M612" s="12">
        <f>Tb_data[[#This Row],[Employees Growth]]/Tb_data[[#This Row],[previous_workers]]</f>
        <v>0.3</v>
      </c>
    </row>
    <row r="613" spans="1:13" x14ac:dyDescent="0.25">
      <c r="A613" s="1" t="s">
        <v>8490</v>
      </c>
      <c r="B613" s="1" t="s">
        <v>8491</v>
      </c>
      <c r="C613" s="1">
        <v>47200000</v>
      </c>
      <c r="D613" s="1" t="s">
        <v>49</v>
      </c>
      <c r="E613">
        <v>74.200699999999998</v>
      </c>
      <c r="F613" s="1" t="s">
        <v>86</v>
      </c>
      <c r="G613">
        <v>230</v>
      </c>
      <c r="H613">
        <v>84</v>
      </c>
      <c r="I613" s="1" t="s">
        <v>194</v>
      </c>
      <c r="J613">
        <v>9</v>
      </c>
      <c r="K613" t="str">
        <f>IF(Tb_data[[#This Row],[previous_workers]]&lt;Tb_data[[#This Row],[workers]],"yes","no")</f>
        <v>yes</v>
      </c>
      <c r="L613">
        <f>Tb_data[[#This Row],[workers]]-Tb_data[[#This Row],[previous_workers]]</f>
        <v>146</v>
      </c>
      <c r="M613" s="12">
        <f>Tb_data[[#This Row],[Employees Growth]]/Tb_data[[#This Row],[previous_workers]]</f>
        <v>1.7380952380952381</v>
      </c>
    </row>
    <row r="614" spans="1:13" x14ac:dyDescent="0.25">
      <c r="A614" s="1" t="s">
        <v>1302</v>
      </c>
      <c r="B614" s="1" t="s">
        <v>1303</v>
      </c>
      <c r="C614" s="1">
        <v>3400000</v>
      </c>
      <c r="D614" s="1" t="s">
        <v>254</v>
      </c>
      <c r="E614">
        <v>738.51020000000005</v>
      </c>
      <c r="F614" s="1" t="s">
        <v>310</v>
      </c>
      <c r="G614">
        <v>12</v>
      </c>
      <c r="H614">
        <v>3</v>
      </c>
      <c r="I614" s="1" t="s">
        <v>130</v>
      </c>
      <c r="J614">
        <v>1</v>
      </c>
      <c r="K614" t="str">
        <f>IF(Tb_data[[#This Row],[previous_workers]]&lt;Tb_data[[#This Row],[workers]],"yes","no")</f>
        <v>yes</v>
      </c>
      <c r="L614">
        <f>Tb_data[[#This Row],[workers]]-Tb_data[[#This Row],[previous_workers]]</f>
        <v>9</v>
      </c>
      <c r="M614" s="12">
        <f>Tb_data[[#This Row],[Employees Growth]]/Tb_data[[#This Row],[previous_workers]]</f>
        <v>3</v>
      </c>
    </row>
    <row r="615" spans="1:13" x14ac:dyDescent="0.25">
      <c r="A615" s="1" t="s">
        <v>3151</v>
      </c>
      <c r="B615" s="1" t="s">
        <v>3152</v>
      </c>
      <c r="C615" s="1">
        <v>10900000</v>
      </c>
      <c r="D615" s="1" t="s">
        <v>16</v>
      </c>
      <c r="E615">
        <v>272.99549999999999</v>
      </c>
      <c r="F615" s="1" t="s">
        <v>17</v>
      </c>
      <c r="G615">
        <v>286</v>
      </c>
      <c r="H615">
        <v>58</v>
      </c>
      <c r="I615" s="1" t="s">
        <v>55</v>
      </c>
      <c r="J615">
        <v>3</v>
      </c>
      <c r="K615" t="str">
        <f>IF(Tb_data[[#This Row],[previous_workers]]&lt;Tb_data[[#This Row],[workers]],"yes","no")</f>
        <v>yes</v>
      </c>
      <c r="L615">
        <f>Tb_data[[#This Row],[workers]]-Tb_data[[#This Row],[previous_workers]]</f>
        <v>228</v>
      </c>
      <c r="M615" s="12">
        <f>Tb_data[[#This Row],[Employees Growth]]/Tb_data[[#This Row],[previous_workers]]</f>
        <v>3.9310344827586206</v>
      </c>
    </row>
    <row r="616" spans="1:13" x14ac:dyDescent="0.25">
      <c r="A616" s="1" t="s">
        <v>7907</v>
      </c>
      <c r="B616" s="1" t="s">
        <v>7908</v>
      </c>
      <c r="C616" s="1">
        <v>7100000</v>
      </c>
      <c r="D616" s="1" t="s">
        <v>120</v>
      </c>
      <c r="E616">
        <v>84.647800000000004</v>
      </c>
      <c r="F616" s="1" t="s">
        <v>124</v>
      </c>
      <c r="G616">
        <v>50</v>
      </c>
      <c r="H616">
        <v>35</v>
      </c>
      <c r="I616" s="1" t="s">
        <v>4036</v>
      </c>
      <c r="J616">
        <v>3</v>
      </c>
      <c r="K616" t="str">
        <f>IF(Tb_data[[#This Row],[previous_workers]]&lt;Tb_data[[#This Row],[workers]],"yes","no")</f>
        <v>yes</v>
      </c>
      <c r="L616">
        <f>Tb_data[[#This Row],[workers]]-Tb_data[[#This Row],[previous_workers]]</f>
        <v>15</v>
      </c>
      <c r="M616" s="12">
        <f>Tb_data[[#This Row],[Employees Growth]]/Tb_data[[#This Row],[previous_workers]]</f>
        <v>0.42857142857142855</v>
      </c>
    </row>
    <row r="617" spans="1:13" x14ac:dyDescent="0.25">
      <c r="A617" s="1" t="s">
        <v>1750</v>
      </c>
      <c r="B617" s="1" t="s">
        <v>1751</v>
      </c>
      <c r="C617" s="1">
        <v>8200000</v>
      </c>
      <c r="D617" s="1" t="s">
        <v>115</v>
      </c>
      <c r="E617">
        <v>519.39710000000002</v>
      </c>
      <c r="F617" s="1" t="s">
        <v>124</v>
      </c>
      <c r="G617">
        <v>43</v>
      </c>
      <c r="H617">
        <v>6</v>
      </c>
      <c r="I617" s="1" t="s">
        <v>26</v>
      </c>
      <c r="J617">
        <v>1</v>
      </c>
      <c r="K617" t="str">
        <f>IF(Tb_data[[#This Row],[previous_workers]]&lt;Tb_data[[#This Row],[workers]],"yes","no")</f>
        <v>yes</v>
      </c>
      <c r="L617">
        <f>Tb_data[[#This Row],[workers]]-Tb_data[[#This Row],[previous_workers]]</f>
        <v>37</v>
      </c>
      <c r="M617" s="12">
        <f>Tb_data[[#This Row],[Employees Growth]]/Tb_data[[#This Row],[previous_workers]]</f>
        <v>6.166666666666667</v>
      </c>
    </row>
    <row r="618" spans="1:13" x14ac:dyDescent="0.25">
      <c r="A618" s="1" t="s">
        <v>2985</v>
      </c>
      <c r="B618" s="1" t="s">
        <v>2986</v>
      </c>
      <c r="C618" s="1">
        <v>6700000</v>
      </c>
      <c r="D618" s="1" t="s">
        <v>33</v>
      </c>
      <c r="E618">
        <v>288.54700000000003</v>
      </c>
      <c r="F618" s="1" t="s">
        <v>34</v>
      </c>
      <c r="G618">
        <v>82</v>
      </c>
      <c r="H618">
        <v>32</v>
      </c>
      <c r="I618" s="1" t="s">
        <v>117</v>
      </c>
      <c r="J618">
        <v>3</v>
      </c>
      <c r="K618" t="str">
        <f>IF(Tb_data[[#This Row],[previous_workers]]&lt;Tb_data[[#This Row],[workers]],"yes","no")</f>
        <v>yes</v>
      </c>
      <c r="L618">
        <f>Tb_data[[#This Row],[workers]]-Tb_data[[#This Row],[previous_workers]]</f>
        <v>50</v>
      </c>
      <c r="M618" s="12">
        <f>Tb_data[[#This Row],[Employees Growth]]/Tb_data[[#This Row],[previous_workers]]</f>
        <v>1.5625</v>
      </c>
    </row>
    <row r="619" spans="1:13" x14ac:dyDescent="0.25">
      <c r="A619" s="1" t="s">
        <v>5396</v>
      </c>
      <c r="B619" s="1" t="s">
        <v>5397</v>
      </c>
      <c r="C619" s="1">
        <v>17400000</v>
      </c>
      <c r="D619" s="1" t="s">
        <v>29</v>
      </c>
      <c r="E619">
        <v>146.51580000000001</v>
      </c>
      <c r="F619" s="1" t="s">
        <v>34</v>
      </c>
      <c r="G619">
        <v>158</v>
      </c>
      <c r="H619">
        <v>82</v>
      </c>
      <c r="I619" s="1" t="s">
        <v>164</v>
      </c>
      <c r="J619">
        <v>4</v>
      </c>
      <c r="K619" t="str">
        <f>IF(Tb_data[[#This Row],[previous_workers]]&lt;Tb_data[[#This Row],[workers]],"yes","no")</f>
        <v>yes</v>
      </c>
      <c r="L619">
        <f>Tb_data[[#This Row],[workers]]-Tb_data[[#This Row],[previous_workers]]</f>
        <v>76</v>
      </c>
      <c r="M619" s="12">
        <f>Tb_data[[#This Row],[Employees Growth]]/Tb_data[[#This Row],[previous_workers]]</f>
        <v>0.92682926829268297</v>
      </c>
    </row>
    <row r="620" spans="1:13" x14ac:dyDescent="0.25">
      <c r="A620" s="1" t="s">
        <v>8739</v>
      </c>
      <c r="B620" s="1" t="s">
        <v>8740</v>
      </c>
      <c r="C620" s="1">
        <v>18700000</v>
      </c>
      <c r="D620" s="1" t="s">
        <v>79</v>
      </c>
      <c r="E620">
        <v>70.421300000000002</v>
      </c>
      <c r="F620" s="1" t="s">
        <v>82</v>
      </c>
      <c r="G620">
        <v>100</v>
      </c>
      <c r="H620">
        <v>40</v>
      </c>
      <c r="I620" s="1" t="s">
        <v>295</v>
      </c>
      <c r="J620">
        <v>1</v>
      </c>
      <c r="K620" t="str">
        <f>IF(Tb_data[[#This Row],[previous_workers]]&lt;Tb_data[[#This Row],[workers]],"yes","no")</f>
        <v>yes</v>
      </c>
      <c r="L620">
        <f>Tb_data[[#This Row],[workers]]-Tb_data[[#This Row],[previous_workers]]</f>
        <v>60</v>
      </c>
      <c r="M620" s="12">
        <f>Tb_data[[#This Row],[Employees Growth]]/Tb_data[[#This Row],[previous_workers]]</f>
        <v>1.5</v>
      </c>
    </row>
    <row r="621" spans="1:13" x14ac:dyDescent="0.25">
      <c r="A621" s="1" t="s">
        <v>1692</v>
      </c>
      <c r="B621" s="1" t="s">
        <v>1693</v>
      </c>
      <c r="C621" s="1">
        <v>2300000</v>
      </c>
      <c r="D621" s="1" t="s">
        <v>41</v>
      </c>
      <c r="E621">
        <v>542.22460000000001</v>
      </c>
      <c r="F621" s="1" t="s">
        <v>97</v>
      </c>
      <c r="G621">
        <v>17</v>
      </c>
      <c r="H621">
        <v>2</v>
      </c>
      <c r="I621" s="1" t="s">
        <v>55</v>
      </c>
      <c r="J621">
        <v>1</v>
      </c>
      <c r="K621" t="str">
        <f>IF(Tb_data[[#This Row],[previous_workers]]&lt;Tb_data[[#This Row],[workers]],"yes","no")</f>
        <v>yes</v>
      </c>
      <c r="L621">
        <f>Tb_data[[#This Row],[workers]]-Tb_data[[#This Row],[previous_workers]]</f>
        <v>15</v>
      </c>
      <c r="M621" s="12">
        <f>Tb_data[[#This Row],[Employees Growth]]/Tb_data[[#This Row],[previous_workers]]</f>
        <v>7.5</v>
      </c>
    </row>
    <row r="622" spans="1:13" x14ac:dyDescent="0.25">
      <c r="A622" s="1" t="s">
        <v>8019</v>
      </c>
      <c r="B622" s="1" t="s">
        <v>8020</v>
      </c>
      <c r="C622" s="1">
        <v>12400000</v>
      </c>
      <c r="D622" s="1" t="s">
        <v>49</v>
      </c>
      <c r="E622">
        <v>82.417500000000004</v>
      </c>
      <c r="F622" s="1" t="s">
        <v>12</v>
      </c>
      <c r="G622">
        <v>51</v>
      </c>
      <c r="H622">
        <v>32</v>
      </c>
      <c r="I622" s="1" t="s">
        <v>372</v>
      </c>
      <c r="J622">
        <v>1</v>
      </c>
      <c r="K622" t="str">
        <f>IF(Tb_data[[#This Row],[previous_workers]]&lt;Tb_data[[#This Row],[workers]],"yes","no")</f>
        <v>yes</v>
      </c>
      <c r="L622">
        <f>Tb_data[[#This Row],[workers]]-Tb_data[[#This Row],[previous_workers]]</f>
        <v>19</v>
      </c>
      <c r="M622" s="12">
        <f>Tb_data[[#This Row],[Employees Growth]]/Tb_data[[#This Row],[previous_workers]]</f>
        <v>0.59375</v>
      </c>
    </row>
    <row r="623" spans="1:13" x14ac:dyDescent="0.25">
      <c r="A623" s="1" t="s">
        <v>1118</v>
      </c>
      <c r="B623" s="1" t="s">
        <v>1119</v>
      </c>
      <c r="C623" s="1">
        <v>10300000</v>
      </c>
      <c r="D623" s="1" t="s">
        <v>664</v>
      </c>
      <c r="E623">
        <v>856.82780000000002</v>
      </c>
      <c r="F623" s="1" t="s">
        <v>112</v>
      </c>
      <c r="G623">
        <v>75</v>
      </c>
      <c r="H623">
        <v>6</v>
      </c>
      <c r="I623" s="1" t="s">
        <v>13</v>
      </c>
      <c r="J623">
        <v>1</v>
      </c>
      <c r="K623" t="str">
        <f>IF(Tb_data[[#This Row],[previous_workers]]&lt;Tb_data[[#This Row],[workers]],"yes","no")</f>
        <v>yes</v>
      </c>
      <c r="L623">
        <f>Tb_data[[#This Row],[workers]]-Tb_data[[#This Row],[previous_workers]]</f>
        <v>69</v>
      </c>
      <c r="M623" s="12">
        <f>Tb_data[[#This Row],[Employees Growth]]/Tb_data[[#This Row],[previous_workers]]</f>
        <v>11.5</v>
      </c>
    </row>
    <row r="624" spans="1:13" x14ac:dyDescent="0.25">
      <c r="A624" s="1" t="s">
        <v>749</v>
      </c>
      <c r="B624" s="1" t="s">
        <v>750</v>
      </c>
      <c r="C624" s="1">
        <v>2900000</v>
      </c>
      <c r="D624" s="1" t="s">
        <v>115</v>
      </c>
      <c r="E624">
        <v>1407.5845999999999</v>
      </c>
      <c r="F624" s="1" t="s">
        <v>86</v>
      </c>
      <c r="G624">
        <v>25</v>
      </c>
      <c r="H624">
        <v>1</v>
      </c>
      <c r="I624" s="1" t="s">
        <v>13</v>
      </c>
      <c r="J624">
        <v>1</v>
      </c>
      <c r="K624" t="str">
        <f>IF(Tb_data[[#This Row],[previous_workers]]&lt;Tb_data[[#This Row],[workers]],"yes","no")</f>
        <v>yes</v>
      </c>
      <c r="L624">
        <f>Tb_data[[#This Row],[workers]]-Tb_data[[#This Row],[previous_workers]]</f>
        <v>24</v>
      </c>
      <c r="M624" s="12">
        <f>Tb_data[[#This Row],[Employees Growth]]/Tb_data[[#This Row],[previous_workers]]</f>
        <v>24</v>
      </c>
    </row>
    <row r="625" spans="1:13" x14ac:dyDescent="0.25">
      <c r="A625" s="1" t="s">
        <v>3149</v>
      </c>
      <c r="B625" s="1" t="s">
        <v>3150</v>
      </c>
      <c r="C625" s="1">
        <v>3300000</v>
      </c>
      <c r="D625" s="1" t="s">
        <v>52</v>
      </c>
      <c r="E625">
        <v>273.07049999999998</v>
      </c>
      <c r="F625" s="1" t="s">
        <v>124</v>
      </c>
      <c r="G625">
        <v>15</v>
      </c>
      <c r="H625">
        <v>6</v>
      </c>
      <c r="I625" s="1" t="s">
        <v>2611</v>
      </c>
      <c r="J625">
        <v>1</v>
      </c>
      <c r="K625" t="str">
        <f>IF(Tb_data[[#This Row],[previous_workers]]&lt;Tb_data[[#This Row],[workers]],"yes","no")</f>
        <v>yes</v>
      </c>
      <c r="L625">
        <f>Tb_data[[#This Row],[workers]]-Tb_data[[#This Row],[previous_workers]]</f>
        <v>9</v>
      </c>
      <c r="M625" s="12">
        <f>Tb_data[[#This Row],[Employees Growth]]/Tb_data[[#This Row],[previous_workers]]</f>
        <v>1.5</v>
      </c>
    </row>
    <row r="626" spans="1:13" x14ac:dyDescent="0.25">
      <c r="A626" s="1" t="s">
        <v>8919</v>
      </c>
      <c r="B626" s="1" t="s">
        <v>8920</v>
      </c>
      <c r="C626" s="1">
        <v>19200000</v>
      </c>
      <c r="D626" s="1" t="s">
        <v>129</v>
      </c>
      <c r="E626">
        <v>67.701400000000007</v>
      </c>
      <c r="F626" s="1" t="s">
        <v>12</v>
      </c>
      <c r="G626">
        <v>180</v>
      </c>
      <c r="H626">
        <v>130</v>
      </c>
      <c r="I626" s="1" t="s">
        <v>229</v>
      </c>
      <c r="J626">
        <v>1</v>
      </c>
      <c r="K626" t="str">
        <f>IF(Tb_data[[#This Row],[previous_workers]]&lt;Tb_data[[#This Row],[workers]],"yes","no")</f>
        <v>yes</v>
      </c>
      <c r="L626">
        <f>Tb_data[[#This Row],[workers]]-Tb_data[[#This Row],[previous_workers]]</f>
        <v>50</v>
      </c>
      <c r="M626" s="12">
        <f>Tb_data[[#This Row],[Employees Growth]]/Tb_data[[#This Row],[previous_workers]]</f>
        <v>0.38461538461538464</v>
      </c>
    </row>
    <row r="627" spans="1:13" x14ac:dyDescent="0.25">
      <c r="A627" s="1" t="s">
        <v>5560</v>
      </c>
      <c r="B627" s="1" t="s">
        <v>5561</v>
      </c>
      <c r="C627" s="1">
        <v>132100000</v>
      </c>
      <c r="D627" s="1" t="s">
        <v>61</v>
      </c>
      <c r="E627">
        <v>140.14869999999999</v>
      </c>
      <c r="F627" s="1" t="s">
        <v>25</v>
      </c>
      <c r="G627">
        <v>1832</v>
      </c>
      <c r="H627">
        <v>947</v>
      </c>
      <c r="I627" s="1" t="s">
        <v>164</v>
      </c>
      <c r="J627">
        <v>3</v>
      </c>
      <c r="K627" t="str">
        <f>IF(Tb_data[[#This Row],[previous_workers]]&lt;Tb_data[[#This Row],[workers]],"yes","no")</f>
        <v>yes</v>
      </c>
      <c r="L627">
        <f>Tb_data[[#This Row],[workers]]-Tb_data[[#This Row],[previous_workers]]</f>
        <v>885</v>
      </c>
      <c r="M627" s="12">
        <f>Tb_data[[#This Row],[Employees Growth]]/Tb_data[[#This Row],[previous_workers]]</f>
        <v>0.93453009503695883</v>
      </c>
    </row>
    <row r="628" spans="1:13" x14ac:dyDescent="0.25">
      <c r="A628" s="1" t="s">
        <v>7150</v>
      </c>
      <c r="B628" s="1" t="s">
        <v>7151</v>
      </c>
      <c r="C628" s="1">
        <v>19700000</v>
      </c>
      <c r="D628" s="1" t="s">
        <v>58</v>
      </c>
      <c r="E628">
        <v>99.3613</v>
      </c>
      <c r="F628" s="1" t="s">
        <v>176</v>
      </c>
      <c r="G628">
        <v>108</v>
      </c>
      <c r="H628">
        <v>65</v>
      </c>
      <c r="I628" s="1" t="s">
        <v>226</v>
      </c>
      <c r="J628">
        <v>6</v>
      </c>
      <c r="K628" t="str">
        <f>IF(Tb_data[[#This Row],[previous_workers]]&lt;Tb_data[[#This Row],[workers]],"yes","no")</f>
        <v>yes</v>
      </c>
      <c r="L628">
        <f>Tb_data[[#This Row],[workers]]-Tb_data[[#This Row],[previous_workers]]</f>
        <v>43</v>
      </c>
      <c r="M628" s="12">
        <f>Tb_data[[#This Row],[Employees Growth]]/Tb_data[[#This Row],[previous_workers]]</f>
        <v>0.66153846153846152</v>
      </c>
    </row>
    <row r="629" spans="1:13" x14ac:dyDescent="0.25">
      <c r="A629" s="1" t="s">
        <v>2395</v>
      </c>
      <c r="B629" s="1" t="s">
        <v>2396</v>
      </c>
      <c r="C629" s="1">
        <v>61300000</v>
      </c>
      <c r="D629" s="1" t="s">
        <v>49</v>
      </c>
      <c r="E629">
        <v>366.05070000000001</v>
      </c>
      <c r="F629" s="1" t="s">
        <v>86</v>
      </c>
      <c r="G629">
        <v>48</v>
      </c>
      <c r="H629">
        <v>30</v>
      </c>
      <c r="I629" s="1" t="s">
        <v>117</v>
      </c>
      <c r="J629">
        <v>1</v>
      </c>
      <c r="K629" t="str">
        <f>IF(Tb_data[[#This Row],[previous_workers]]&lt;Tb_data[[#This Row],[workers]],"yes","no")</f>
        <v>yes</v>
      </c>
      <c r="L629">
        <f>Tb_data[[#This Row],[workers]]-Tb_data[[#This Row],[previous_workers]]</f>
        <v>18</v>
      </c>
      <c r="M629" s="12">
        <f>Tb_data[[#This Row],[Employees Growth]]/Tb_data[[#This Row],[previous_workers]]</f>
        <v>0.6</v>
      </c>
    </row>
    <row r="630" spans="1:13" x14ac:dyDescent="0.25">
      <c r="A630" s="1" t="s">
        <v>4371</v>
      </c>
      <c r="B630" s="1" t="s">
        <v>4372</v>
      </c>
      <c r="C630" s="1">
        <v>16900000</v>
      </c>
      <c r="D630" s="1" t="s">
        <v>49</v>
      </c>
      <c r="E630">
        <v>187.69900000000001</v>
      </c>
      <c r="F630" s="1" t="s">
        <v>34</v>
      </c>
      <c r="G630">
        <v>175</v>
      </c>
      <c r="H630">
        <v>100</v>
      </c>
      <c r="I630" s="1" t="s">
        <v>164</v>
      </c>
      <c r="J630">
        <v>1</v>
      </c>
      <c r="K630" t="str">
        <f>IF(Tb_data[[#This Row],[previous_workers]]&lt;Tb_data[[#This Row],[workers]],"yes","no")</f>
        <v>yes</v>
      </c>
      <c r="L630">
        <f>Tb_data[[#This Row],[workers]]-Tb_data[[#This Row],[previous_workers]]</f>
        <v>75</v>
      </c>
      <c r="M630" s="12">
        <f>Tb_data[[#This Row],[Employees Growth]]/Tb_data[[#This Row],[previous_workers]]</f>
        <v>0.75</v>
      </c>
    </row>
    <row r="631" spans="1:13" x14ac:dyDescent="0.25">
      <c r="A631" s="1" t="s">
        <v>9952</v>
      </c>
      <c r="B631" s="1" t="s">
        <v>9953</v>
      </c>
      <c r="C631" s="1">
        <v>360800000</v>
      </c>
      <c r="D631" s="1" t="s">
        <v>179</v>
      </c>
      <c r="E631">
        <v>54.369399999999999</v>
      </c>
      <c r="F631" s="1" t="s">
        <v>21</v>
      </c>
      <c r="G631">
        <v>790</v>
      </c>
      <c r="H631">
        <v>550</v>
      </c>
      <c r="I631" s="1" t="s">
        <v>3981</v>
      </c>
      <c r="J631">
        <v>7</v>
      </c>
      <c r="K631" t="str">
        <f>IF(Tb_data[[#This Row],[previous_workers]]&lt;Tb_data[[#This Row],[workers]],"yes","no")</f>
        <v>yes</v>
      </c>
      <c r="L631">
        <f>Tb_data[[#This Row],[workers]]-Tb_data[[#This Row],[previous_workers]]</f>
        <v>240</v>
      </c>
      <c r="M631" s="12">
        <f>Tb_data[[#This Row],[Employees Growth]]/Tb_data[[#This Row],[previous_workers]]</f>
        <v>0.43636363636363634</v>
      </c>
    </row>
    <row r="632" spans="1:13" x14ac:dyDescent="0.25">
      <c r="A632" s="1" t="s">
        <v>1590</v>
      </c>
      <c r="B632" s="1" t="s">
        <v>1591</v>
      </c>
      <c r="C632" s="1">
        <v>11100000</v>
      </c>
      <c r="D632" s="1" t="s">
        <v>375</v>
      </c>
      <c r="E632">
        <v>587.36379999999997</v>
      </c>
      <c r="F632" s="1" t="s">
        <v>97</v>
      </c>
      <c r="G632">
        <v>74</v>
      </c>
      <c r="H632">
        <v>28</v>
      </c>
      <c r="I632" s="1" t="s">
        <v>164</v>
      </c>
      <c r="J632">
        <v>3</v>
      </c>
      <c r="K632" t="str">
        <f>IF(Tb_data[[#This Row],[previous_workers]]&lt;Tb_data[[#This Row],[workers]],"yes","no")</f>
        <v>yes</v>
      </c>
      <c r="L632">
        <f>Tb_data[[#This Row],[workers]]-Tb_data[[#This Row],[previous_workers]]</f>
        <v>46</v>
      </c>
      <c r="M632" s="12">
        <f>Tb_data[[#This Row],[Employees Growth]]/Tb_data[[#This Row],[previous_workers]]</f>
        <v>1.6428571428571428</v>
      </c>
    </row>
    <row r="633" spans="1:13" x14ac:dyDescent="0.25">
      <c r="A633" s="1" t="s">
        <v>1896</v>
      </c>
      <c r="B633" s="1" t="s">
        <v>1897</v>
      </c>
      <c r="C633" s="1">
        <v>31100000</v>
      </c>
      <c r="D633" s="1" t="s">
        <v>52</v>
      </c>
      <c r="E633">
        <v>473.9452</v>
      </c>
      <c r="F633" s="1" t="s">
        <v>514</v>
      </c>
      <c r="G633">
        <v>121</v>
      </c>
      <c r="H633">
        <v>17</v>
      </c>
      <c r="I633" s="1" t="s">
        <v>46</v>
      </c>
      <c r="J633">
        <v>3</v>
      </c>
      <c r="K633" t="str">
        <f>IF(Tb_data[[#This Row],[previous_workers]]&lt;Tb_data[[#This Row],[workers]],"yes","no")</f>
        <v>yes</v>
      </c>
      <c r="L633">
        <f>Tb_data[[#This Row],[workers]]-Tb_data[[#This Row],[previous_workers]]</f>
        <v>104</v>
      </c>
      <c r="M633" s="12">
        <f>Tb_data[[#This Row],[Employees Growth]]/Tb_data[[#This Row],[previous_workers]]</f>
        <v>6.117647058823529</v>
      </c>
    </row>
    <row r="634" spans="1:13" x14ac:dyDescent="0.25">
      <c r="A634" s="1" t="s">
        <v>6349</v>
      </c>
      <c r="B634" s="1" t="s">
        <v>6350</v>
      </c>
      <c r="C634" s="1">
        <v>23700000</v>
      </c>
      <c r="D634" s="1" t="s">
        <v>123</v>
      </c>
      <c r="E634">
        <v>117.536</v>
      </c>
      <c r="F634" s="1" t="s">
        <v>161</v>
      </c>
      <c r="G634">
        <v>216</v>
      </c>
      <c r="H634">
        <v>90</v>
      </c>
      <c r="I634" s="1" t="s">
        <v>836</v>
      </c>
      <c r="J634">
        <v>3</v>
      </c>
      <c r="K634" t="str">
        <f>IF(Tb_data[[#This Row],[previous_workers]]&lt;Tb_data[[#This Row],[workers]],"yes","no")</f>
        <v>yes</v>
      </c>
      <c r="L634">
        <f>Tb_data[[#This Row],[workers]]-Tb_data[[#This Row],[previous_workers]]</f>
        <v>126</v>
      </c>
      <c r="M634" s="12">
        <f>Tb_data[[#This Row],[Employees Growth]]/Tb_data[[#This Row],[previous_workers]]</f>
        <v>1.4</v>
      </c>
    </row>
    <row r="635" spans="1:13" x14ac:dyDescent="0.25">
      <c r="A635" s="1" t="s">
        <v>7503</v>
      </c>
      <c r="B635" s="1" t="s">
        <v>7504</v>
      </c>
      <c r="C635" s="1">
        <v>5500000</v>
      </c>
      <c r="D635" s="1" t="s">
        <v>33</v>
      </c>
      <c r="E635">
        <v>92.916899999999998</v>
      </c>
      <c r="F635" s="1" t="s">
        <v>176</v>
      </c>
      <c r="G635">
        <v>692</v>
      </c>
      <c r="H635">
        <v>441</v>
      </c>
      <c r="I635" s="1" t="s">
        <v>74</v>
      </c>
      <c r="J635">
        <v>3</v>
      </c>
      <c r="K635" t="str">
        <f>IF(Tb_data[[#This Row],[previous_workers]]&lt;Tb_data[[#This Row],[workers]],"yes","no")</f>
        <v>yes</v>
      </c>
      <c r="L635">
        <f>Tb_data[[#This Row],[workers]]-Tb_data[[#This Row],[previous_workers]]</f>
        <v>251</v>
      </c>
      <c r="M635" s="12">
        <f>Tb_data[[#This Row],[Employees Growth]]/Tb_data[[#This Row],[previous_workers]]</f>
        <v>0.56916099773242634</v>
      </c>
    </row>
    <row r="636" spans="1:13" x14ac:dyDescent="0.25">
      <c r="A636" s="1" t="s">
        <v>8315</v>
      </c>
      <c r="B636" s="1" t="s">
        <v>8316</v>
      </c>
      <c r="C636" s="1">
        <v>9300000</v>
      </c>
      <c r="D636" s="1" t="s">
        <v>129</v>
      </c>
      <c r="E636">
        <v>77.528199999999998</v>
      </c>
      <c r="F636" s="1" t="s">
        <v>12</v>
      </c>
      <c r="G636">
        <v>65</v>
      </c>
      <c r="H636">
        <v>33</v>
      </c>
      <c r="I636" s="1" t="s">
        <v>46</v>
      </c>
      <c r="J636">
        <v>8</v>
      </c>
      <c r="K636" t="str">
        <f>IF(Tb_data[[#This Row],[previous_workers]]&lt;Tb_data[[#This Row],[workers]],"yes","no")</f>
        <v>yes</v>
      </c>
      <c r="L636">
        <f>Tb_data[[#This Row],[workers]]-Tb_data[[#This Row],[previous_workers]]</f>
        <v>32</v>
      </c>
      <c r="M636" s="12">
        <f>Tb_data[[#This Row],[Employees Growth]]/Tb_data[[#This Row],[previous_workers]]</f>
        <v>0.96969696969696972</v>
      </c>
    </row>
    <row r="637" spans="1:13" x14ac:dyDescent="0.25">
      <c r="A637" s="1" t="s">
        <v>6615</v>
      </c>
      <c r="B637" s="1" t="s">
        <v>6616</v>
      </c>
      <c r="C637" s="1">
        <v>3400000</v>
      </c>
      <c r="D637" s="1" t="s">
        <v>120</v>
      </c>
      <c r="E637">
        <v>111.0335</v>
      </c>
      <c r="F637" s="1" t="s">
        <v>12</v>
      </c>
      <c r="G637">
        <v>34</v>
      </c>
      <c r="H637">
        <v>17</v>
      </c>
      <c r="I637" s="1" t="s">
        <v>229</v>
      </c>
      <c r="J637">
        <v>2</v>
      </c>
      <c r="K637" t="str">
        <f>IF(Tb_data[[#This Row],[previous_workers]]&lt;Tb_data[[#This Row],[workers]],"yes","no")</f>
        <v>yes</v>
      </c>
      <c r="L637">
        <f>Tb_data[[#This Row],[workers]]-Tb_data[[#This Row],[previous_workers]]</f>
        <v>17</v>
      </c>
      <c r="M637" s="12">
        <f>Tb_data[[#This Row],[Employees Growth]]/Tb_data[[#This Row],[previous_workers]]</f>
        <v>1</v>
      </c>
    </row>
    <row r="638" spans="1:13" x14ac:dyDescent="0.25">
      <c r="A638" s="1" t="s">
        <v>240</v>
      </c>
      <c r="B638" s="1" t="s">
        <v>241</v>
      </c>
      <c r="C638" s="1">
        <v>9000000</v>
      </c>
      <c r="D638" s="1" t="s">
        <v>91</v>
      </c>
      <c r="E638">
        <v>3727.5346</v>
      </c>
      <c r="F638" s="1" t="s">
        <v>12</v>
      </c>
      <c r="G638">
        <v>13</v>
      </c>
      <c r="H638">
        <v>10</v>
      </c>
      <c r="I638" s="1" t="s">
        <v>26</v>
      </c>
      <c r="J638">
        <v>2</v>
      </c>
      <c r="K638" t="str">
        <f>IF(Tb_data[[#This Row],[previous_workers]]&lt;Tb_data[[#This Row],[workers]],"yes","no")</f>
        <v>yes</v>
      </c>
      <c r="L638">
        <f>Tb_data[[#This Row],[workers]]-Tb_data[[#This Row],[previous_workers]]</f>
        <v>3</v>
      </c>
      <c r="M638" s="12">
        <f>Tb_data[[#This Row],[Employees Growth]]/Tb_data[[#This Row],[previous_workers]]</f>
        <v>0.3</v>
      </c>
    </row>
    <row r="639" spans="1:13" x14ac:dyDescent="0.25">
      <c r="A639" s="1" t="s">
        <v>2672</v>
      </c>
      <c r="B639" s="1" t="s">
        <v>2673</v>
      </c>
      <c r="C639" s="1">
        <v>4800000</v>
      </c>
      <c r="D639" s="1" t="s">
        <v>58</v>
      </c>
      <c r="E639">
        <v>323.09210000000002</v>
      </c>
      <c r="F639" s="1" t="s">
        <v>86</v>
      </c>
      <c r="G639">
        <v>15</v>
      </c>
      <c r="H639">
        <v>3</v>
      </c>
      <c r="I639" s="1" t="s">
        <v>164</v>
      </c>
      <c r="J639">
        <v>3</v>
      </c>
      <c r="K639" t="str">
        <f>IF(Tb_data[[#This Row],[previous_workers]]&lt;Tb_data[[#This Row],[workers]],"yes","no")</f>
        <v>yes</v>
      </c>
      <c r="L639">
        <f>Tb_data[[#This Row],[workers]]-Tb_data[[#This Row],[previous_workers]]</f>
        <v>12</v>
      </c>
      <c r="M639" s="12">
        <f>Tb_data[[#This Row],[Employees Growth]]/Tb_data[[#This Row],[previous_workers]]</f>
        <v>4</v>
      </c>
    </row>
    <row r="640" spans="1:13" x14ac:dyDescent="0.25">
      <c r="A640" s="1" t="s">
        <v>1270</v>
      </c>
      <c r="B640" s="1" t="s">
        <v>1271</v>
      </c>
      <c r="C640" s="1">
        <v>3600000</v>
      </c>
      <c r="D640" s="1" t="s">
        <v>254</v>
      </c>
      <c r="E640">
        <v>758.1191</v>
      </c>
      <c r="F640" s="1" t="s">
        <v>161</v>
      </c>
      <c r="G640">
        <v>41</v>
      </c>
      <c r="H640">
        <v>20</v>
      </c>
      <c r="I640" s="1" t="s">
        <v>55</v>
      </c>
      <c r="J640">
        <v>1</v>
      </c>
      <c r="K640" t="str">
        <f>IF(Tb_data[[#This Row],[previous_workers]]&lt;Tb_data[[#This Row],[workers]],"yes","no")</f>
        <v>yes</v>
      </c>
      <c r="L640">
        <f>Tb_data[[#This Row],[workers]]-Tb_data[[#This Row],[previous_workers]]</f>
        <v>21</v>
      </c>
      <c r="M640" s="12">
        <f>Tb_data[[#This Row],[Employees Growth]]/Tb_data[[#This Row],[previous_workers]]</f>
        <v>1.05</v>
      </c>
    </row>
    <row r="641" spans="1:13" x14ac:dyDescent="0.25">
      <c r="A641" s="1" t="s">
        <v>8897</v>
      </c>
      <c r="B641" s="1" t="s">
        <v>8898</v>
      </c>
      <c r="C641" s="1">
        <v>63000000</v>
      </c>
      <c r="D641" s="1" t="s">
        <v>49</v>
      </c>
      <c r="E641">
        <v>68.034599999999998</v>
      </c>
      <c r="F641" s="1" t="s">
        <v>25</v>
      </c>
      <c r="G641">
        <v>68</v>
      </c>
      <c r="H641">
        <v>60</v>
      </c>
      <c r="I641" s="1" t="s">
        <v>468</v>
      </c>
      <c r="J641">
        <v>10</v>
      </c>
      <c r="K641" t="str">
        <f>IF(Tb_data[[#This Row],[previous_workers]]&lt;Tb_data[[#This Row],[workers]],"yes","no")</f>
        <v>yes</v>
      </c>
      <c r="L641">
        <f>Tb_data[[#This Row],[workers]]-Tb_data[[#This Row],[previous_workers]]</f>
        <v>8</v>
      </c>
      <c r="M641" s="12">
        <f>Tb_data[[#This Row],[Employees Growth]]/Tb_data[[#This Row],[previous_workers]]</f>
        <v>0.13333333333333333</v>
      </c>
    </row>
    <row r="642" spans="1:13" x14ac:dyDescent="0.25">
      <c r="A642" s="1" t="s">
        <v>603</v>
      </c>
      <c r="B642" s="1" t="s">
        <v>604</v>
      </c>
      <c r="C642" s="1">
        <v>58800000</v>
      </c>
      <c r="D642" s="1" t="s">
        <v>91</v>
      </c>
      <c r="E642">
        <v>1672.8297</v>
      </c>
      <c r="F642" s="1" t="s">
        <v>94</v>
      </c>
      <c r="G642">
        <v>250</v>
      </c>
      <c r="H642">
        <v>30</v>
      </c>
      <c r="I642" s="1" t="s">
        <v>26</v>
      </c>
      <c r="J642">
        <v>1</v>
      </c>
      <c r="K642" t="str">
        <f>IF(Tb_data[[#This Row],[previous_workers]]&lt;Tb_data[[#This Row],[workers]],"yes","no")</f>
        <v>yes</v>
      </c>
      <c r="L642">
        <f>Tb_data[[#This Row],[workers]]-Tb_data[[#This Row],[previous_workers]]</f>
        <v>220</v>
      </c>
      <c r="M642" s="12">
        <f>Tb_data[[#This Row],[Employees Growth]]/Tb_data[[#This Row],[previous_workers]]</f>
        <v>7.333333333333333</v>
      </c>
    </row>
    <row r="643" spans="1:13" x14ac:dyDescent="0.25">
      <c r="A643" s="1" t="s">
        <v>4084</v>
      </c>
      <c r="B643" s="1" t="s">
        <v>4085</v>
      </c>
      <c r="C643" s="1">
        <v>6600000</v>
      </c>
      <c r="D643" s="1" t="s">
        <v>20</v>
      </c>
      <c r="E643">
        <v>202.26499999999999</v>
      </c>
      <c r="F643" s="1" t="s">
        <v>156</v>
      </c>
      <c r="G643">
        <v>10</v>
      </c>
      <c r="H643">
        <v>6</v>
      </c>
      <c r="I643" s="1" t="s">
        <v>117</v>
      </c>
      <c r="J643">
        <v>1</v>
      </c>
      <c r="K643" t="str">
        <f>IF(Tb_data[[#This Row],[previous_workers]]&lt;Tb_data[[#This Row],[workers]],"yes","no")</f>
        <v>yes</v>
      </c>
      <c r="L643">
        <f>Tb_data[[#This Row],[workers]]-Tb_data[[#This Row],[previous_workers]]</f>
        <v>4</v>
      </c>
      <c r="M643" s="12">
        <f>Tb_data[[#This Row],[Employees Growth]]/Tb_data[[#This Row],[previous_workers]]</f>
        <v>0.66666666666666663</v>
      </c>
    </row>
    <row r="644" spans="1:13" x14ac:dyDescent="0.25">
      <c r="A644" s="1" t="s">
        <v>5106</v>
      </c>
      <c r="B644" s="1" t="s">
        <v>5107</v>
      </c>
      <c r="C644" s="1">
        <v>3100000</v>
      </c>
      <c r="D644" s="1" t="s">
        <v>123</v>
      </c>
      <c r="E644">
        <v>157.22239999999999</v>
      </c>
      <c r="F644" s="1" t="s">
        <v>12</v>
      </c>
      <c r="G644">
        <v>31</v>
      </c>
      <c r="H644">
        <v>9</v>
      </c>
      <c r="I644" s="1" t="s">
        <v>164</v>
      </c>
      <c r="J644">
        <v>1</v>
      </c>
      <c r="K644" t="str">
        <f>IF(Tb_data[[#This Row],[previous_workers]]&lt;Tb_data[[#This Row],[workers]],"yes","no")</f>
        <v>yes</v>
      </c>
      <c r="L644">
        <f>Tb_data[[#This Row],[workers]]-Tb_data[[#This Row],[previous_workers]]</f>
        <v>22</v>
      </c>
      <c r="M644" s="12">
        <f>Tb_data[[#This Row],[Employees Growth]]/Tb_data[[#This Row],[previous_workers]]</f>
        <v>2.4444444444444446</v>
      </c>
    </row>
    <row r="645" spans="1:13" x14ac:dyDescent="0.25">
      <c r="A645" s="1" t="s">
        <v>8375</v>
      </c>
      <c r="B645" s="1" t="s">
        <v>8376</v>
      </c>
      <c r="C645" s="1">
        <v>8900000</v>
      </c>
      <c r="D645" s="1" t="s">
        <v>61</v>
      </c>
      <c r="E645">
        <v>76.671000000000006</v>
      </c>
      <c r="F645" s="1" t="s">
        <v>124</v>
      </c>
      <c r="G645">
        <v>8</v>
      </c>
      <c r="H645">
        <v>16</v>
      </c>
      <c r="I645" s="1" t="s">
        <v>164</v>
      </c>
      <c r="J645">
        <v>4</v>
      </c>
      <c r="K645" t="str">
        <f>IF(Tb_data[[#This Row],[previous_workers]]&lt;Tb_data[[#This Row],[workers]],"yes","no")</f>
        <v>no</v>
      </c>
      <c r="L645">
        <f>Tb_data[[#This Row],[workers]]-Tb_data[[#This Row],[previous_workers]]</f>
        <v>-8</v>
      </c>
      <c r="M645" s="12">
        <f>Tb_data[[#This Row],[Employees Growth]]/Tb_data[[#This Row],[previous_workers]]</f>
        <v>-0.5</v>
      </c>
    </row>
    <row r="646" spans="1:13" x14ac:dyDescent="0.25">
      <c r="A646" s="1" t="s">
        <v>2391</v>
      </c>
      <c r="B646" s="1" t="s">
        <v>2392</v>
      </c>
      <c r="C646" s="1">
        <v>3700000</v>
      </c>
      <c r="D646" s="1" t="s">
        <v>115</v>
      </c>
      <c r="E646">
        <v>366.81259999999997</v>
      </c>
      <c r="F646" s="1" t="s">
        <v>25</v>
      </c>
      <c r="G646">
        <v>5</v>
      </c>
      <c r="H646">
        <v>1</v>
      </c>
      <c r="I646" s="1" t="s">
        <v>13</v>
      </c>
      <c r="J646">
        <v>1</v>
      </c>
      <c r="K646" t="str">
        <f>IF(Tb_data[[#This Row],[previous_workers]]&lt;Tb_data[[#This Row],[workers]],"yes","no")</f>
        <v>yes</v>
      </c>
      <c r="L646">
        <f>Tb_data[[#This Row],[workers]]-Tb_data[[#This Row],[previous_workers]]</f>
        <v>4</v>
      </c>
      <c r="M646" s="12">
        <f>Tb_data[[#This Row],[Employees Growth]]/Tb_data[[#This Row],[previous_workers]]</f>
        <v>4</v>
      </c>
    </row>
    <row r="647" spans="1:13" x14ac:dyDescent="0.25">
      <c r="A647" s="1" t="s">
        <v>1764</v>
      </c>
      <c r="B647" s="1" t="s">
        <v>1765</v>
      </c>
      <c r="C647" s="1">
        <v>24300000</v>
      </c>
      <c r="D647" s="1" t="s">
        <v>61</v>
      </c>
      <c r="E647">
        <v>512.6748</v>
      </c>
      <c r="F647" s="1" t="s">
        <v>12</v>
      </c>
      <c r="G647">
        <v>179</v>
      </c>
      <c r="H647">
        <v>64</v>
      </c>
      <c r="I647" s="1" t="s">
        <v>55</v>
      </c>
      <c r="J647">
        <v>2</v>
      </c>
      <c r="K647" t="str">
        <f>IF(Tb_data[[#This Row],[previous_workers]]&lt;Tb_data[[#This Row],[workers]],"yes","no")</f>
        <v>yes</v>
      </c>
      <c r="L647">
        <f>Tb_data[[#This Row],[workers]]-Tb_data[[#This Row],[previous_workers]]</f>
        <v>115</v>
      </c>
      <c r="M647" s="12">
        <f>Tb_data[[#This Row],[Employees Growth]]/Tb_data[[#This Row],[previous_workers]]</f>
        <v>1.796875</v>
      </c>
    </row>
    <row r="648" spans="1:13" x14ac:dyDescent="0.25">
      <c r="A648" s="1" t="s">
        <v>3047</v>
      </c>
      <c r="B648" s="1" t="s">
        <v>3048</v>
      </c>
      <c r="C648" s="1">
        <v>4000000</v>
      </c>
      <c r="D648" s="1" t="s">
        <v>33</v>
      </c>
      <c r="E648">
        <v>283.31180000000001</v>
      </c>
      <c r="F648" s="1" t="s">
        <v>176</v>
      </c>
      <c r="G648">
        <v>42</v>
      </c>
      <c r="H648">
        <v>19</v>
      </c>
      <c r="I648" s="1" t="s">
        <v>117</v>
      </c>
      <c r="J648">
        <v>3</v>
      </c>
      <c r="K648" t="str">
        <f>IF(Tb_data[[#This Row],[previous_workers]]&lt;Tb_data[[#This Row],[workers]],"yes","no")</f>
        <v>yes</v>
      </c>
      <c r="L648">
        <f>Tb_data[[#This Row],[workers]]-Tb_data[[#This Row],[previous_workers]]</f>
        <v>23</v>
      </c>
      <c r="M648" s="12">
        <f>Tb_data[[#This Row],[Employees Growth]]/Tb_data[[#This Row],[previous_workers]]</f>
        <v>1.2105263157894737</v>
      </c>
    </row>
    <row r="649" spans="1:13" x14ac:dyDescent="0.25">
      <c r="A649" s="1" t="s">
        <v>3868</v>
      </c>
      <c r="B649" s="1" t="s">
        <v>3869</v>
      </c>
      <c r="C649" s="1">
        <v>3900000</v>
      </c>
      <c r="D649" s="1" t="s">
        <v>375</v>
      </c>
      <c r="E649">
        <v>216.47730000000001</v>
      </c>
      <c r="F649" s="1" t="s">
        <v>156</v>
      </c>
      <c r="G649">
        <v>5</v>
      </c>
      <c r="H649">
        <v>4</v>
      </c>
      <c r="I649" s="1" t="s">
        <v>46</v>
      </c>
      <c r="J649">
        <v>1</v>
      </c>
      <c r="K649" t="str">
        <f>IF(Tb_data[[#This Row],[previous_workers]]&lt;Tb_data[[#This Row],[workers]],"yes","no")</f>
        <v>yes</v>
      </c>
      <c r="L649">
        <f>Tb_data[[#This Row],[workers]]-Tb_data[[#This Row],[previous_workers]]</f>
        <v>1</v>
      </c>
      <c r="M649" s="12">
        <f>Tb_data[[#This Row],[Employees Growth]]/Tb_data[[#This Row],[previous_workers]]</f>
        <v>0.25</v>
      </c>
    </row>
    <row r="650" spans="1:13" x14ac:dyDescent="0.25">
      <c r="A650" s="1" t="s">
        <v>2256</v>
      </c>
      <c r="B650" s="1" t="s">
        <v>2257</v>
      </c>
      <c r="C650" s="1">
        <v>12200000</v>
      </c>
      <c r="D650" s="1" t="s">
        <v>483</v>
      </c>
      <c r="E650">
        <v>391.50400000000002</v>
      </c>
      <c r="F650" s="1" t="s">
        <v>97</v>
      </c>
      <c r="G650">
        <v>70</v>
      </c>
      <c r="H650">
        <v>8</v>
      </c>
      <c r="I650" s="1" t="s">
        <v>164</v>
      </c>
      <c r="J650">
        <v>1</v>
      </c>
      <c r="K650" t="str">
        <f>IF(Tb_data[[#This Row],[previous_workers]]&lt;Tb_data[[#This Row],[workers]],"yes","no")</f>
        <v>yes</v>
      </c>
      <c r="L650">
        <f>Tb_data[[#This Row],[workers]]-Tb_data[[#This Row],[previous_workers]]</f>
        <v>62</v>
      </c>
      <c r="M650" s="12">
        <f>Tb_data[[#This Row],[Employees Growth]]/Tb_data[[#This Row],[previous_workers]]</f>
        <v>7.75</v>
      </c>
    </row>
    <row r="651" spans="1:13" x14ac:dyDescent="0.25">
      <c r="A651" s="1" t="s">
        <v>338</v>
      </c>
      <c r="B651" s="1" t="s">
        <v>339</v>
      </c>
      <c r="C651" s="1">
        <v>6700000</v>
      </c>
      <c r="D651" s="1" t="s">
        <v>69</v>
      </c>
      <c r="E651">
        <v>2696.6318999999999</v>
      </c>
      <c r="F651" s="1" t="s">
        <v>176</v>
      </c>
      <c r="G651">
        <v>98</v>
      </c>
      <c r="H651">
        <v>12</v>
      </c>
      <c r="I651" s="1" t="s">
        <v>55</v>
      </c>
      <c r="J651">
        <v>1</v>
      </c>
      <c r="K651" t="str">
        <f>IF(Tb_data[[#This Row],[previous_workers]]&lt;Tb_data[[#This Row],[workers]],"yes","no")</f>
        <v>yes</v>
      </c>
      <c r="L651">
        <f>Tb_data[[#This Row],[workers]]-Tb_data[[#This Row],[previous_workers]]</f>
        <v>86</v>
      </c>
      <c r="M651" s="12">
        <f>Tb_data[[#This Row],[Employees Growth]]/Tb_data[[#This Row],[previous_workers]]</f>
        <v>7.166666666666667</v>
      </c>
    </row>
    <row r="652" spans="1:13" x14ac:dyDescent="0.25">
      <c r="A652" s="1" t="s">
        <v>3819</v>
      </c>
      <c r="B652" s="1" t="s">
        <v>3820</v>
      </c>
      <c r="C652" s="1">
        <v>50800000</v>
      </c>
      <c r="D652" s="1" t="s">
        <v>179</v>
      </c>
      <c r="E652">
        <v>220.1763</v>
      </c>
      <c r="F652" s="1" t="s">
        <v>176</v>
      </c>
      <c r="G652">
        <v>150</v>
      </c>
      <c r="H652">
        <v>116</v>
      </c>
      <c r="I652" s="1" t="s">
        <v>1051</v>
      </c>
      <c r="J652">
        <v>2</v>
      </c>
      <c r="K652" t="str">
        <f>IF(Tb_data[[#This Row],[previous_workers]]&lt;Tb_data[[#This Row],[workers]],"yes","no")</f>
        <v>yes</v>
      </c>
      <c r="L652">
        <f>Tb_data[[#This Row],[workers]]-Tb_data[[#This Row],[previous_workers]]</f>
        <v>34</v>
      </c>
      <c r="M652" s="12">
        <f>Tb_data[[#This Row],[Employees Growth]]/Tb_data[[#This Row],[previous_workers]]</f>
        <v>0.29310344827586204</v>
      </c>
    </row>
    <row r="653" spans="1:13" x14ac:dyDescent="0.25">
      <c r="A653" s="1" t="s">
        <v>9037</v>
      </c>
      <c r="B653" s="1" t="s">
        <v>9038</v>
      </c>
      <c r="C653" s="1">
        <v>13600000</v>
      </c>
      <c r="D653" s="1" t="s">
        <v>254</v>
      </c>
      <c r="E653">
        <v>66.158600000000007</v>
      </c>
      <c r="F653" s="1" t="s">
        <v>156</v>
      </c>
      <c r="G653">
        <v>84</v>
      </c>
      <c r="H653">
        <v>53</v>
      </c>
      <c r="I653" s="1" t="s">
        <v>229</v>
      </c>
      <c r="J653">
        <v>4</v>
      </c>
      <c r="K653" t="str">
        <f>IF(Tb_data[[#This Row],[previous_workers]]&lt;Tb_data[[#This Row],[workers]],"yes","no")</f>
        <v>yes</v>
      </c>
      <c r="L653">
        <f>Tb_data[[#This Row],[workers]]-Tb_data[[#This Row],[previous_workers]]</f>
        <v>31</v>
      </c>
      <c r="M653" s="12">
        <f>Tb_data[[#This Row],[Employees Growth]]/Tb_data[[#This Row],[previous_workers]]</f>
        <v>0.58490566037735847</v>
      </c>
    </row>
    <row r="654" spans="1:13" x14ac:dyDescent="0.25">
      <c r="A654" s="1" t="s">
        <v>8729</v>
      </c>
      <c r="B654" s="1" t="s">
        <v>8730</v>
      </c>
      <c r="C654" s="1">
        <v>51200000</v>
      </c>
      <c r="D654" s="1" t="s">
        <v>120</v>
      </c>
      <c r="E654">
        <v>70.720399999999998</v>
      </c>
      <c r="F654" s="1" t="s">
        <v>34</v>
      </c>
      <c r="G654">
        <v>250</v>
      </c>
      <c r="H654">
        <v>40</v>
      </c>
      <c r="I654" s="1" t="s">
        <v>130</v>
      </c>
      <c r="J654">
        <v>3</v>
      </c>
      <c r="K654" t="str">
        <f>IF(Tb_data[[#This Row],[previous_workers]]&lt;Tb_data[[#This Row],[workers]],"yes","no")</f>
        <v>yes</v>
      </c>
      <c r="L654">
        <f>Tb_data[[#This Row],[workers]]-Tb_data[[#This Row],[previous_workers]]</f>
        <v>210</v>
      </c>
      <c r="M654" s="12">
        <f>Tb_data[[#This Row],[Employees Growth]]/Tb_data[[#This Row],[previous_workers]]</f>
        <v>5.25</v>
      </c>
    </row>
    <row r="655" spans="1:13" x14ac:dyDescent="0.25">
      <c r="A655" s="1" t="s">
        <v>1998</v>
      </c>
      <c r="B655" s="1" t="s">
        <v>1999</v>
      </c>
      <c r="C655" s="1">
        <v>66500000</v>
      </c>
      <c r="D655" s="1" t="s">
        <v>33</v>
      </c>
      <c r="E655">
        <v>449.31760000000003</v>
      </c>
      <c r="F655" s="1" t="s">
        <v>12</v>
      </c>
      <c r="G655">
        <v>65</v>
      </c>
      <c r="H655">
        <v>33</v>
      </c>
      <c r="I655" s="1" t="s">
        <v>295</v>
      </c>
      <c r="J655">
        <v>3</v>
      </c>
      <c r="K655" t="str">
        <f>IF(Tb_data[[#This Row],[previous_workers]]&lt;Tb_data[[#This Row],[workers]],"yes","no")</f>
        <v>yes</v>
      </c>
      <c r="L655">
        <f>Tb_data[[#This Row],[workers]]-Tb_data[[#This Row],[previous_workers]]</f>
        <v>32</v>
      </c>
      <c r="M655" s="12">
        <f>Tb_data[[#This Row],[Employees Growth]]/Tb_data[[#This Row],[previous_workers]]</f>
        <v>0.96969696969696972</v>
      </c>
    </row>
    <row r="656" spans="1:13" x14ac:dyDescent="0.25">
      <c r="A656" s="1" t="s">
        <v>1074</v>
      </c>
      <c r="B656" s="1" t="s">
        <v>1075</v>
      </c>
      <c r="C656" s="1">
        <v>78600000</v>
      </c>
      <c r="D656" s="1" t="s">
        <v>179</v>
      </c>
      <c r="E656">
        <v>902.20129999999995</v>
      </c>
      <c r="F656" s="1" t="s">
        <v>94</v>
      </c>
      <c r="G656">
        <v>90</v>
      </c>
      <c r="H656">
        <v>34</v>
      </c>
      <c r="I656" s="1" t="s">
        <v>117</v>
      </c>
      <c r="J656">
        <v>3</v>
      </c>
      <c r="K656" t="str">
        <f>IF(Tb_data[[#This Row],[previous_workers]]&lt;Tb_data[[#This Row],[workers]],"yes","no")</f>
        <v>yes</v>
      </c>
      <c r="L656">
        <f>Tb_data[[#This Row],[workers]]-Tb_data[[#This Row],[previous_workers]]</f>
        <v>56</v>
      </c>
      <c r="M656" s="12">
        <f>Tb_data[[#This Row],[Employees Growth]]/Tb_data[[#This Row],[previous_workers]]</f>
        <v>1.6470588235294117</v>
      </c>
    </row>
    <row r="657" spans="1:13" x14ac:dyDescent="0.25">
      <c r="A657" s="1" t="s">
        <v>9143</v>
      </c>
      <c r="B657" s="1" t="s">
        <v>9144</v>
      </c>
      <c r="C657" s="1">
        <v>36600000</v>
      </c>
      <c r="D657" s="1" t="s">
        <v>79</v>
      </c>
      <c r="E657">
        <v>64.856899999999996</v>
      </c>
      <c r="F657" s="1" t="s">
        <v>17</v>
      </c>
      <c r="G657">
        <v>32</v>
      </c>
      <c r="H657">
        <v>32</v>
      </c>
      <c r="I657" s="1" t="s">
        <v>46</v>
      </c>
      <c r="J657">
        <v>1</v>
      </c>
      <c r="K657" t="str">
        <f>IF(Tb_data[[#This Row],[previous_workers]]&lt;Tb_data[[#This Row],[workers]],"yes","no")</f>
        <v>no</v>
      </c>
      <c r="L657">
        <f>Tb_data[[#This Row],[workers]]-Tb_data[[#This Row],[previous_workers]]</f>
        <v>0</v>
      </c>
      <c r="M657" s="12">
        <f>Tb_data[[#This Row],[Employees Growth]]/Tb_data[[#This Row],[previous_workers]]</f>
        <v>0</v>
      </c>
    </row>
    <row r="658" spans="1:13" x14ac:dyDescent="0.25">
      <c r="A658" s="1" t="s">
        <v>1389</v>
      </c>
      <c r="B658" s="1" t="s">
        <v>1390</v>
      </c>
      <c r="C658" s="1">
        <v>8000000</v>
      </c>
      <c r="D658" s="1" t="s">
        <v>49</v>
      </c>
      <c r="E658">
        <v>688.36099999999999</v>
      </c>
      <c r="F658" s="1" t="s">
        <v>176</v>
      </c>
      <c r="G658">
        <v>34</v>
      </c>
      <c r="H658">
        <v>4</v>
      </c>
      <c r="I658" s="1" t="s">
        <v>164</v>
      </c>
      <c r="J658">
        <v>2</v>
      </c>
      <c r="K658" t="str">
        <f>IF(Tb_data[[#This Row],[previous_workers]]&lt;Tb_data[[#This Row],[workers]],"yes","no")</f>
        <v>yes</v>
      </c>
      <c r="L658">
        <f>Tb_data[[#This Row],[workers]]-Tb_data[[#This Row],[previous_workers]]</f>
        <v>30</v>
      </c>
      <c r="M658" s="12">
        <f>Tb_data[[#This Row],[Employees Growth]]/Tb_data[[#This Row],[previous_workers]]</f>
        <v>7.5</v>
      </c>
    </row>
    <row r="659" spans="1:13" x14ac:dyDescent="0.25">
      <c r="A659" s="1" t="s">
        <v>5588</v>
      </c>
      <c r="B659" s="1" t="s">
        <v>5589</v>
      </c>
      <c r="C659" s="1">
        <v>9000000</v>
      </c>
      <c r="D659" s="1" t="s">
        <v>380</v>
      </c>
      <c r="E659">
        <v>138.756</v>
      </c>
      <c r="F659" s="1" t="s">
        <v>176</v>
      </c>
      <c r="G659">
        <v>70</v>
      </c>
      <c r="H659">
        <v>31</v>
      </c>
      <c r="I659" s="1" t="s">
        <v>194</v>
      </c>
      <c r="J659">
        <v>1</v>
      </c>
      <c r="K659" t="str">
        <f>IF(Tb_data[[#This Row],[previous_workers]]&lt;Tb_data[[#This Row],[workers]],"yes","no")</f>
        <v>yes</v>
      </c>
      <c r="L659">
        <f>Tb_data[[#This Row],[workers]]-Tb_data[[#This Row],[previous_workers]]</f>
        <v>39</v>
      </c>
      <c r="M659" s="12">
        <f>Tb_data[[#This Row],[Employees Growth]]/Tb_data[[#This Row],[previous_workers]]</f>
        <v>1.2580645161290323</v>
      </c>
    </row>
    <row r="660" spans="1:13" x14ac:dyDescent="0.25">
      <c r="A660" s="1" t="s">
        <v>4758</v>
      </c>
      <c r="B660" s="1" t="s">
        <v>4759</v>
      </c>
      <c r="C660" s="1">
        <v>20500000</v>
      </c>
      <c r="D660" s="1" t="s">
        <v>49</v>
      </c>
      <c r="E660">
        <v>172.31530000000001</v>
      </c>
      <c r="F660" s="1" t="s">
        <v>17</v>
      </c>
      <c r="G660">
        <v>25</v>
      </c>
      <c r="H660">
        <v>10</v>
      </c>
      <c r="I660" s="1" t="s">
        <v>164</v>
      </c>
      <c r="J660">
        <v>5</v>
      </c>
      <c r="K660" t="str">
        <f>IF(Tb_data[[#This Row],[previous_workers]]&lt;Tb_data[[#This Row],[workers]],"yes","no")</f>
        <v>yes</v>
      </c>
      <c r="L660">
        <f>Tb_data[[#This Row],[workers]]-Tb_data[[#This Row],[previous_workers]]</f>
        <v>15</v>
      </c>
      <c r="M660" s="12">
        <f>Tb_data[[#This Row],[Employees Growth]]/Tb_data[[#This Row],[previous_workers]]</f>
        <v>1.5</v>
      </c>
    </row>
    <row r="661" spans="1:13" x14ac:dyDescent="0.25">
      <c r="A661" s="1" t="s">
        <v>8588</v>
      </c>
      <c r="B661" s="1" t="s">
        <v>8589</v>
      </c>
      <c r="C661" s="1">
        <v>3200000</v>
      </c>
      <c r="D661" s="1" t="s">
        <v>422</v>
      </c>
      <c r="E661">
        <v>72.557900000000004</v>
      </c>
      <c r="F661" s="1" t="s">
        <v>86</v>
      </c>
      <c r="G661">
        <v>12</v>
      </c>
      <c r="H661">
        <v>5</v>
      </c>
      <c r="I661" s="1" t="s">
        <v>164</v>
      </c>
      <c r="J661">
        <v>3</v>
      </c>
      <c r="K661" t="str">
        <f>IF(Tb_data[[#This Row],[previous_workers]]&lt;Tb_data[[#This Row],[workers]],"yes","no")</f>
        <v>yes</v>
      </c>
      <c r="L661">
        <f>Tb_data[[#This Row],[workers]]-Tb_data[[#This Row],[previous_workers]]</f>
        <v>7</v>
      </c>
      <c r="M661" s="12">
        <f>Tb_data[[#This Row],[Employees Growth]]/Tb_data[[#This Row],[previous_workers]]</f>
        <v>1.4</v>
      </c>
    </row>
    <row r="662" spans="1:13" x14ac:dyDescent="0.25">
      <c r="A662" s="1" t="s">
        <v>4483</v>
      </c>
      <c r="B662" s="1" t="s">
        <v>4484</v>
      </c>
      <c r="C662" s="1">
        <v>20600000</v>
      </c>
      <c r="D662" s="1" t="s">
        <v>20</v>
      </c>
      <c r="E662">
        <v>183.3125</v>
      </c>
      <c r="F662" s="1" t="s">
        <v>25</v>
      </c>
      <c r="G662">
        <v>260</v>
      </c>
      <c r="H662">
        <v>171</v>
      </c>
      <c r="I662" s="1" t="s">
        <v>147</v>
      </c>
      <c r="J662">
        <v>6</v>
      </c>
      <c r="K662" t="str">
        <f>IF(Tb_data[[#This Row],[previous_workers]]&lt;Tb_data[[#This Row],[workers]],"yes","no")</f>
        <v>yes</v>
      </c>
      <c r="L662">
        <f>Tb_data[[#This Row],[workers]]-Tb_data[[#This Row],[previous_workers]]</f>
        <v>89</v>
      </c>
      <c r="M662" s="12">
        <f>Tb_data[[#This Row],[Employees Growth]]/Tb_data[[#This Row],[previous_workers]]</f>
        <v>0.52046783625730997</v>
      </c>
    </row>
    <row r="663" spans="1:13" x14ac:dyDescent="0.25">
      <c r="A663" s="1" t="s">
        <v>8520</v>
      </c>
      <c r="B663" s="1" t="s">
        <v>8521</v>
      </c>
      <c r="C663" s="1">
        <v>5200000</v>
      </c>
      <c r="D663" s="1" t="s">
        <v>33</v>
      </c>
      <c r="E663">
        <v>73.591399999999993</v>
      </c>
      <c r="F663" s="1" t="s">
        <v>310</v>
      </c>
      <c r="G663">
        <v>41</v>
      </c>
      <c r="H663">
        <v>25</v>
      </c>
      <c r="I663" s="1" t="s">
        <v>2225</v>
      </c>
      <c r="J663">
        <v>5</v>
      </c>
      <c r="K663" t="str">
        <f>IF(Tb_data[[#This Row],[previous_workers]]&lt;Tb_data[[#This Row],[workers]],"yes","no")</f>
        <v>yes</v>
      </c>
      <c r="L663">
        <f>Tb_data[[#This Row],[workers]]-Tb_data[[#This Row],[previous_workers]]</f>
        <v>16</v>
      </c>
      <c r="M663" s="12">
        <f>Tb_data[[#This Row],[Employees Growth]]/Tb_data[[#This Row],[previous_workers]]</f>
        <v>0.64</v>
      </c>
    </row>
    <row r="664" spans="1:13" x14ac:dyDescent="0.25">
      <c r="A664" s="1" t="s">
        <v>1760</v>
      </c>
      <c r="B664" s="1" t="s">
        <v>1761</v>
      </c>
      <c r="C664" s="1">
        <v>3400000</v>
      </c>
      <c r="D664" s="1" t="s">
        <v>49</v>
      </c>
      <c r="E664">
        <v>515.57249999999999</v>
      </c>
      <c r="F664" s="1" t="s">
        <v>30</v>
      </c>
      <c r="G664">
        <v>10</v>
      </c>
      <c r="H664">
        <v>5</v>
      </c>
      <c r="I664" s="1" t="s">
        <v>117</v>
      </c>
      <c r="J664">
        <v>2</v>
      </c>
      <c r="K664" t="str">
        <f>IF(Tb_data[[#This Row],[previous_workers]]&lt;Tb_data[[#This Row],[workers]],"yes","no")</f>
        <v>yes</v>
      </c>
      <c r="L664">
        <f>Tb_data[[#This Row],[workers]]-Tb_data[[#This Row],[previous_workers]]</f>
        <v>5</v>
      </c>
      <c r="M664" s="12">
        <f>Tb_data[[#This Row],[Employees Growth]]/Tb_data[[#This Row],[previous_workers]]</f>
        <v>1</v>
      </c>
    </row>
    <row r="665" spans="1:13" x14ac:dyDescent="0.25">
      <c r="A665" s="1" t="s">
        <v>9870</v>
      </c>
      <c r="B665" s="1" t="s">
        <v>9871</v>
      </c>
      <c r="C665" s="1">
        <v>7800000</v>
      </c>
      <c r="D665" s="1" t="s">
        <v>33</v>
      </c>
      <c r="E665">
        <v>55.698099999999997</v>
      </c>
      <c r="F665" s="1" t="s">
        <v>30</v>
      </c>
      <c r="G665">
        <v>63</v>
      </c>
      <c r="H665">
        <v>40</v>
      </c>
      <c r="I665" s="1" t="s">
        <v>74</v>
      </c>
      <c r="J665">
        <v>3</v>
      </c>
      <c r="K665" t="str">
        <f>IF(Tb_data[[#This Row],[previous_workers]]&lt;Tb_data[[#This Row],[workers]],"yes","no")</f>
        <v>yes</v>
      </c>
      <c r="L665">
        <f>Tb_data[[#This Row],[workers]]-Tb_data[[#This Row],[previous_workers]]</f>
        <v>23</v>
      </c>
      <c r="M665" s="12">
        <f>Tb_data[[#This Row],[Employees Growth]]/Tb_data[[#This Row],[previous_workers]]</f>
        <v>0.57499999999999996</v>
      </c>
    </row>
    <row r="666" spans="1:13" x14ac:dyDescent="0.25">
      <c r="A666" s="1" t="s">
        <v>6631</v>
      </c>
      <c r="B666" s="1" t="s">
        <v>6632</v>
      </c>
      <c r="C666" s="1">
        <v>6400000</v>
      </c>
      <c r="D666" s="1" t="s">
        <v>11</v>
      </c>
      <c r="E666">
        <v>110.7257</v>
      </c>
      <c r="F666" s="1" t="s">
        <v>34</v>
      </c>
      <c r="G666">
        <v>113</v>
      </c>
      <c r="H666">
        <v>50</v>
      </c>
      <c r="I666" s="1" t="s">
        <v>1051</v>
      </c>
      <c r="J666">
        <v>3</v>
      </c>
      <c r="K666" t="str">
        <f>IF(Tb_data[[#This Row],[previous_workers]]&lt;Tb_data[[#This Row],[workers]],"yes","no")</f>
        <v>yes</v>
      </c>
      <c r="L666">
        <f>Tb_data[[#This Row],[workers]]-Tb_data[[#This Row],[previous_workers]]</f>
        <v>63</v>
      </c>
      <c r="M666" s="12">
        <f>Tb_data[[#This Row],[Employees Growth]]/Tb_data[[#This Row],[previous_workers]]</f>
        <v>1.26</v>
      </c>
    </row>
    <row r="667" spans="1:13" x14ac:dyDescent="0.25">
      <c r="A667" s="1" t="s">
        <v>4746</v>
      </c>
      <c r="B667" s="1" t="s">
        <v>4747</v>
      </c>
      <c r="C667" s="1">
        <v>4900000</v>
      </c>
      <c r="D667" s="1" t="s">
        <v>33</v>
      </c>
      <c r="E667">
        <v>172.7723</v>
      </c>
      <c r="F667" s="1" t="s">
        <v>34</v>
      </c>
      <c r="G667">
        <v>8</v>
      </c>
      <c r="H667">
        <v>4</v>
      </c>
      <c r="I667" s="1" t="s">
        <v>226</v>
      </c>
      <c r="J667">
        <v>1</v>
      </c>
      <c r="K667" t="str">
        <f>IF(Tb_data[[#This Row],[previous_workers]]&lt;Tb_data[[#This Row],[workers]],"yes","no")</f>
        <v>yes</v>
      </c>
      <c r="L667">
        <f>Tb_data[[#This Row],[workers]]-Tb_data[[#This Row],[previous_workers]]</f>
        <v>4</v>
      </c>
      <c r="M667" s="12">
        <f>Tb_data[[#This Row],[Employees Growth]]/Tb_data[[#This Row],[previous_workers]]</f>
        <v>1</v>
      </c>
    </row>
    <row r="668" spans="1:13" x14ac:dyDescent="0.25">
      <c r="A668" s="1" t="s">
        <v>5962</v>
      </c>
      <c r="B668" s="1" t="s">
        <v>5963</v>
      </c>
      <c r="C668" s="1">
        <v>8700000</v>
      </c>
      <c r="D668" s="1" t="s">
        <v>115</v>
      </c>
      <c r="E668">
        <v>127.4987</v>
      </c>
      <c r="F668" s="1" t="s">
        <v>124</v>
      </c>
      <c r="G668">
        <v>17</v>
      </c>
      <c r="H668">
        <v>10</v>
      </c>
      <c r="I668" s="1" t="s">
        <v>2628</v>
      </c>
      <c r="J668">
        <v>3</v>
      </c>
      <c r="K668" t="str">
        <f>IF(Tb_data[[#This Row],[previous_workers]]&lt;Tb_data[[#This Row],[workers]],"yes","no")</f>
        <v>yes</v>
      </c>
      <c r="L668">
        <f>Tb_data[[#This Row],[workers]]-Tb_data[[#This Row],[previous_workers]]</f>
        <v>7</v>
      </c>
      <c r="M668" s="12">
        <f>Tb_data[[#This Row],[Employees Growth]]/Tb_data[[#This Row],[previous_workers]]</f>
        <v>0.7</v>
      </c>
    </row>
    <row r="669" spans="1:13" x14ac:dyDescent="0.25">
      <c r="A669" s="1" t="s">
        <v>1801</v>
      </c>
      <c r="B669" s="1" t="s">
        <v>1802</v>
      </c>
      <c r="C669" s="1">
        <v>72800000</v>
      </c>
      <c r="D669" s="1" t="s">
        <v>38</v>
      </c>
      <c r="E669">
        <v>500.94200000000001</v>
      </c>
      <c r="F669" s="1" t="s">
        <v>25</v>
      </c>
      <c r="G669">
        <v>45</v>
      </c>
      <c r="H669">
        <v>6</v>
      </c>
      <c r="I669" s="1" t="s">
        <v>26</v>
      </c>
      <c r="J669">
        <v>1</v>
      </c>
      <c r="K669" t="str">
        <f>IF(Tb_data[[#This Row],[previous_workers]]&lt;Tb_data[[#This Row],[workers]],"yes","no")</f>
        <v>yes</v>
      </c>
      <c r="L669">
        <f>Tb_data[[#This Row],[workers]]-Tb_data[[#This Row],[previous_workers]]</f>
        <v>39</v>
      </c>
      <c r="M669" s="12">
        <f>Tb_data[[#This Row],[Employees Growth]]/Tb_data[[#This Row],[previous_workers]]</f>
        <v>6.5</v>
      </c>
    </row>
    <row r="670" spans="1:13" x14ac:dyDescent="0.25">
      <c r="A670" s="1" t="s">
        <v>5458</v>
      </c>
      <c r="B670" s="1" t="s">
        <v>5459</v>
      </c>
      <c r="C670" s="1">
        <v>7800000</v>
      </c>
      <c r="D670" s="1" t="s">
        <v>29</v>
      </c>
      <c r="E670">
        <v>144.21559999999999</v>
      </c>
      <c r="F670" s="1" t="s">
        <v>86</v>
      </c>
      <c r="G670">
        <v>42</v>
      </c>
      <c r="H670">
        <v>22</v>
      </c>
      <c r="I670" s="1" t="s">
        <v>35</v>
      </c>
      <c r="J670">
        <v>4</v>
      </c>
      <c r="K670" t="str">
        <f>IF(Tb_data[[#This Row],[previous_workers]]&lt;Tb_data[[#This Row],[workers]],"yes","no")</f>
        <v>yes</v>
      </c>
      <c r="L670">
        <f>Tb_data[[#This Row],[workers]]-Tb_data[[#This Row],[previous_workers]]</f>
        <v>20</v>
      </c>
      <c r="M670" s="12">
        <f>Tb_data[[#This Row],[Employees Growth]]/Tb_data[[#This Row],[previous_workers]]</f>
        <v>0.90909090909090906</v>
      </c>
    </row>
    <row r="671" spans="1:13" x14ac:dyDescent="0.25">
      <c r="A671" s="1" t="s">
        <v>3700</v>
      </c>
      <c r="B671" s="1" t="s">
        <v>3701</v>
      </c>
      <c r="C671" s="1">
        <v>5000000</v>
      </c>
      <c r="D671" s="1" t="s">
        <v>49</v>
      </c>
      <c r="E671">
        <v>228.5659</v>
      </c>
      <c r="F671" s="1" t="s">
        <v>176</v>
      </c>
      <c r="G671">
        <v>235</v>
      </c>
      <c r="H671">
        <v>108</v>
      </c>
      <c r="I671" s="1" t="s">
        <v>55</v>
      </c>
      <c r="J671">
        <v>2</v>
      </c>
      <c r="K671" t="str">
        <f>IF(Tb_data[[#This Row],[previous_workers]]&lt;Tb_data[[#This Row],[workers]],"yes","no")</f>
        <v>yes</v>
      </c>
      <c r="L671">
        <f>Tb_data[[#This Row],[workers]]-Tb_data[[#This Row],[previous_workers]]</f>
        <v>127</v>
      </c>
      <c r="M671" s="12">
        <f>Tb_data[[#This Row],[Employees Growth]]/Tb_data[[#This Row],[previous_workers]]</f>
        <v>1.1759259259259258</v>
      </c>
    </row>
    <row r="672" spans="1:13" x14ac:dyDescent="0.25">
      <c r="A672" s="1" t="s">
        <v>410</v>
      </c>
      <c r="B672" s="1" t="s">
        <v>411</v>
      </c>
      <c r="C672" s="1">
        <v>100800000</v>
      </c>
      <c r="D672" s="1" t="s">
        <v>61</v>
      </c>
      <c r="E672">
        <v>2345.0086000000001</v>
      </c>
      <c r="F672" s="1" t="s">
        <v>25</v>
      </c>
      <c r="G672">
        <v>63</v>
      </c>
      <c r="H672">
        <v>11</v>
      </c>
      <c r="I672" s="1" t="s">
        <v>55</v>
      </c>
      <c r="J672">
        <v>2</v>
      </c>
      <c r="K672" t="str">
        <f>IF(Tb_data[[#This Row],[previous_workers]]&lt;Tb_data[[#This Row],[workers]],"yes","no")</f>
        <v>yes</v>
      </c>
      <c r="L672">
        <f>Tb_data[[#This Row],[workers]]-Tb_data[[#This Row],[previous_workers]]</f>
        <v>52</v>
      </c>
      <c r="M672" s="12">
        <f>Tb_data[[#This Row],[Employees Growth]]/Tb_data[[#This Row],[previous_workers]]</f>
        <v>4.7272727272727275</v>
      </c>
    </row>
    <row r="673" spans="1:13" x14ac:dyDescent="0.25">
      <c r="A673" s="1" t="s">
        <v>2104</v>
      </c>
      <c r="B673" s="1" t="s">
        <v>2105</v>
      </c>
      <c r="C673" s="1">
        <v>26400000</v>
      </c>
      <c r="D673" s="1" t="s">
        <v>61</v>
      </c>
      <c r="E673">
        <v>424.71690000000001</v>
      </c>
      <c r="F673" s="1" t="s">
        <v>12</v>
      </c>
      <c r="G673">
        <v>95</v>
      </c>
      <c r="H673">
        <v>19</v>
      </c>
      <c r="I673" s="1" t="s">
        <v>26</v>
      </c>
      <c r="J673">
        <v>1</v>
      </c>
      <c r="K673" t="str">
        <f>IF(Tb_data[[#This Row],[previous_workers]]&lt;Tb_data[[#This Row],[workers]],"yes","no")</f>
        <v>yes</v>
      </c>
      <c r="L673">
        <f>Tb_data[[#This Row],[workers]]-Tb_data[[#This Row],[previous_workers]]</f>
        <v>76</v>
      </c>
      <c r="M673" s="12">
        <f>Tb_data[[#This Row],[Employees Growth]]/Tb_data[[#This Row],[previous_workers]]</f>
        <v>4</v>
      </c>
    </row>
    <row r="674" spans="1:13" x14ac:dyDescent="0.25">
      <c r="A674" s="1" t="s">
        <v>1799</v>
      </c>
      <c r="B674" s="1" t="s">
        <v>1800</v>
      </c>
      <c r="C674" s="1">
        <v>11600000</v>
      </c>
      <c r="D674" s="1" t="s">
        <v>61</v>
      </c>
      <c r="E674">
        <v>501.04360000000003</v>
      </c>
      <c r="F674" s="1" t="s">
        <v>100</v>
      </c>
      <c r="G674">
        <v>32</v>
      </c>
      <c r="H674">
        <v>5</v>
      </c>
      <c r="I674" s="1" t="s">
        <v>55</v>
      </c>
      <c r="J674">
        <v>2</v>
      </c>
      <c r="K674" t="str">
        <f>IF(Tb_data[[#This Row],[previous_workers]]&lt;Tb_data[[#This Row],[workers]],"yes","no")</f>
        <v>yes</v>
      </c>
      <c r="L674">
        <f>Tb_data[[#This Row],[workers]]-Tb_data[[#This Row],[previous_workers]]</f>
        <v>27</v>
      </c>
      <c r="M674" s="12">
        <f>Tb_data[[#This Row],[Employees Growth]]/Tb_data[[#This Row],[previous_workers]]</f>
        <v>5.4</v>
      </c>
    </row>
    <row r="675" spans="1:13" x14ac:dyDescent="0.25">
      <c r="A675" s="1" t="s">
        <v>1064</v>
      </c>
      <c r="B675" s="1" t="s">
        <v>1065</v>
      </c>
      <c r="C675" s="1">
        <v>2500000</v>
      </c>
      <c r="D675" s="1" t="s">
        <v>52</v>
      </c>
      <c r="E675">
        <v>912.01350000000002</v>
      </c>
      <c r="F675" s="1" t="s">
        <v>86</v>
      </c>
      <c r="G675">
        <v>21</v>
      </c>
      <c r="H675">
        <v>10</v>
      </c>
      <c r="I675" s="1" t="s">
        <v>55</v>
      </c>
      <c r="J675">
        <v>1</v>
      </c>
      <c r="K675" t="str">
        <f>IF(Tb_data[[#This Row],[previous_workers]]&lt;Tb_data[[#This Row],[workers]],"yes","no")</f>
        <v>yes</v>
      </c>
      <c r="L675">
        <f>Tb_data[[#This Row],[workers]]-Tb_data[[#This Row],[previous_workers]]</f>
        <v>11</v>
      </c>
      <c r="M675" s="12">
        <f>Tb_data[[#This Row],[Employees Growth]]/Tb_data[[#This Row],[previous_workers]]</f>
        <v>1.1000000000000001</v>
      </c>
    </row>
    <row r="676" spans="1:13" x14ac:dyDescent="0.25">
      <c r="A676" s="1" t="s">
        <v>4505</v>
      </c>
      <c r="B676" s="1" t="s">
        <v>4506</v>
      </c>
      <c r="C676" s="1">
        <v>8300000</v>
      </c>
      <c r="D676" s="1" t="s">
        <v>61</v>
      </c>
      <c r="E676">
        <v>182.14070000000001</v>
      </c>
      <c r="F676" s="1" t="s">
        <v>86</v>
      </c>
      <c r="G676">
        <v>100</v>
      </c>
      <c r="H676">
        <v>25</v>
      </c>
      <c r="I676" s="1" t="s">
        <v>295</v>
      </c>
      <c r="J676">
        <v>1</v>
      </c>
      <c r="K676" t="str">
        <f>IF(Tb_data[[#This Row],[previous_workers]]&lt;Tb_data[[#This Row],[workers]],"yes","no")</f>
        <v>yes</v>
      </c>
      <c r="L676">
        <f>Tb_data[[#This Row],[workers]]-Tb_data[[#This Row],[previous_workers]]</f>
        <v>75</v>
      </c>
      <c r="M676" s="12">
        <f>Tb_data[[#This Row],[Employees Growth]]/Tb_data[[#This Row],[previous_workers]]</f>
        <v>3</v>
      </c>
    </row>
    <row r="677" spans="1:13" x14ac:dyDescent="0.25">
      <c r="A677" s="1" t="s">
        <v>507</v>
      </c>
      <c r="B677" s="1" t="s">
        <v>508</v>
      </c>
      <c r="C677" s="1">
        <v>4400000</v>
      </c>
      <c r="D677" s="1" t="s">
        <v>509</v>
      </c>
      <c r="E677">
        <v>1939.8376000000001</v>
      </c>
      <c r="F677" s="1" t="s">
        <v>310</v>
      </c>
      <c r="G677">
        <v>8</v>
      </c>
      <c r="H677">
        <v>1</v>
      </c>
      <c r="I677" s="1" t="s">
        <v>13</v>
      </c>
      <c r="J677">
        <v>1</v>
      </c>
      <c r="K677" t="str">
        <f>IF(Tb_data[[#This Row],[previous_workers]]&lt;Tb_data[[#This Row],[workers]],"yes","no")</f>
        <v>yes</v>
      </c>
      <c r="L677">
        <f>Tb_data[[#This Row],[workers]]-Tb_data[[#This Row],[previous_workers]]</f>
        <v>7</v>
      </c>
      <c r="M677" s="12">
        <f>Tb_data[[#This Row],[Employees Growth]]/Tb_data[[#This Row],[previous_workers]]</f>
        <v>7</v>
      </c>
    </row>
    <row r="678" spans="1:13" x14ac:dyDescent="0.25">
      <c r="A678" s="1" t="s">
        <v>2869</v>
      </c>
      <c r="B678" s="1" t="s">
        <v>2870</v>
      </c>
      <c r="C678" s="1">
        <v>3000000</v>
      </c>
      <c r="D678" s="1" t="s">
        <v>61</v>
      </c>
      <c r="E678">
        <v>300.8732</v>
      </c>
      <c r="F678" s="1" t="s">
        <v>62</v>
      </c>
      <c r="G678">
        <v>35</v>
      </c>
      <c r="H678">
        <v>15</v>
      </c>
      <c r="I678" s="1" t="s">
        <v>130</v>
      </c>
      <c r="J678">
        <v>2</v>
      </c>
      <c r="K678" t="str">
        <f>IF(Tb_data[[#This Row],[previous_workers]]&lt;Tb_data[[#This Row],[workers]],"yes","no")</f>
        <v>yes</v>
      </c>
      <c r="L678">
        <f>Tb_data[[#This Row],[workers]]-Tb_data[[#This Row],[previous_workers]]</f>
        <v>20</v>
      </c>
      <c r="M678" s="12">
        <f>Tb_data[[#This Row],[Employees Growth]]/Tb_data[[#This Row],[previous_workers]]</f>
        <v>1.3333333333333333</v>
      </c>
    </row>
    <row r="679" spans="1:13" x14ac:dyDescent="0.25">
      <c r="A679" s="1" t="s">
        <v>3918</v>
      </c>
      <c r="B679" s="1" t="s">
        <v>3919</v>
      </c>
      <c r="C679" s="1">
        <v>2400000</v>
      </c>
      <c r="D679" s="1" t="s">
        <v>52</v>
      </c>
      <c r="E679">
        <v>212.26939999999999</v>
      </c>
      <c r="F679" s="1" t="s">
        <v>12</v>
      </c>
      <c r="G679">
        <v>10</v>
      </c>
      <c r="H679">
        <v>4</v>
      </c>
      <c r="I679" s="1" t="s">
        <v>117</v>
      </c>
      <c r="J679">
        <v>1</v>
      </c>
      <c r="K679" t="str">
        <f>IF(Tb_data[[#This Row],[previous_workers]]&lt;Tb_data[[#This Row],[workers]],"yes","no")</f>
        <v>yes</v>
      </c>
      <c r="L679">
        <f>Tb_data[[#This Row],[workers]]-Tb_data[[#This Row],[previous_workers]]</f>
        <v>6</v>
      </c>
      <c r="M679" s="12">
        <f>Tb_data[[#This Row],[Employees Growth]]/Tb_data[[#This Row],[previous_workers]]</f>
        <v>1.5</v>
      </c>
    </row>
    <row r="680" spans="1:13" x14ac:dyDescent="0.25">
      <c r="A680" s="1" t="s">
        <v>938</v>
      </c>
      <c r="B680" s="1" t="s">
        <v>939</v>
      </c>
      <c r="C680" s="1">
        <v>6900000</v>
      </c>
      <c r="D680" s="1" t="s">
        <v>33</v>
      </c>
      <c r="E680">
        <v>1086.4820999999999</v>
      </c>
      <c r="F680" s="1" t="s">
        <v>17</v>
      </c>
      <c r="G680">
        <v>8</v>
      </c>
      <c r="H680">
        <v>3</v>
      </c>
      <c r="I680" s="1" t="s">
        <v>26</v>
      </c>
      <c r="J680">
        <v>1</v>
      </c>
      <c r="K680" t="str">
        <f>IF(Tb_data[[#This Row],[previous_workers]]&lt;Tb_data[[#This Row],[workers]],"yes","no")</f>
        <v>yes</v>
      </c>
      <c r="L680">
        <f>Tb_data[[#This Row],[workers]]-Tb_data[[#This Row],[previous_workers]]</f>
        <v>5</v>
      </c>
      <c r="M680" s="12">
        <f>Tb_data[[#This Row],[Employees Growth]]/Tb_data[[#This Row],[previous_workers]]</f>
        <v>1.6666666666666667</v>
      </c>
    </row>
    <row r="681" spans="1:13" x14ac:dyDescent="0.25">
      <c r="A681" s="1" t="s">
        <v>3079</v>
      </c>
      <c r="B681" s="1" t="s">
        <v>3080</v>
      </c>
      <c r="C681" s="1">
        <v>4000000</v>
      </c>
      <c r="D681" s="1" t="s">
        <v>61</v>
      </c>
      <c r="E681">
        <v>279.34359999999998</v>
      </c>
      <c r="F681" s="1" t="s">
        <v>86</v>
      </c>
      <c r="G681">
        <v>32</v>
      </c>
      <c r="H681">
        <v>12</v>
      </c>
      <c r="I681" s="1" t="s">
        <v>164</v>
      </c>
      <c r="J681">
        <v>1</v>
      </c>
      <c r="K681" t="str">
        <f>IF(Tb_data[[#This Row],[previous_workers]]&lt;Tb_data[[#This Row],[workers]],"yes","no")</f>
        <v>yes</v>
      </c>
      <c r="L681">
        <f>Tb_data[[#This Row],[workers]]-Tb_data[[#This Row],[previous_workers]]</f>
        <v>20</v>
      </c>
      <c r="M681" s="12">
        <f>Tb_data[[#This Row],[Employees Growth]]/Tb_data[[#This Row],[previous_workers]]</f>
        <v>1.6666666666666667</v>
      </c>
    </row>
    <row r="682" spans="1:13" x14ac:dyDescent="0.25">
      <c r="A682" s="1" t="s">
        <v>5862</v>
      </c>
      <c r="B682" s="1" t="s">
        <v>5863</v>
      </c>
      <c r="C682" s="1">
        <v>12000000</v>
      </c>
      <c r="D682" s="1" t="s">
        <v>91</v>
      </c>
      <c r="E682">
        <v>129.9365</v>
      </c>
      <c r="F682" s="1" t="s">
        <v>176</v>
      </c>
      <c r="G682">
        <v>645</v>
      </c>
      <c r="H682">
        <v>108</v>
      </c>
      <c r="I682" s="1" t="s">
        <v>194</v>
      </c>
      <c r="J682">
        <v>4</v>
      </c>
      <c r="K682" t="str">
        <f>IF(Tb_data[[#This Row],[previous_workers]]&lt;Tb_data[[#This Row],[workers]],"yes","no")</f>
        <v>yes</v>
      </c>
      <c r="L682">
        <f>Tb_data[[#This Row],[workers]]-Tb_data[[#This Row],[previous_workers]]</f>
        <v>537</v>
      </c>
      <c r="M682" s="12">
        <f>Tb_data[[#This Row],[Employees Growth]]/Tb_data[[#This Row],[previous_workers]]</f>
        <v>4.9722222222222223</v>
      </c>
    </row>
    <row r="683" spans="1:13" x14ac:dyDescent="0.25">
      <c r="A683" s="1" t="s">
        <v>8081</v>
      </c>
      <c r="B683" s="1" t="s">
        <v>8082</v>
      </c>
      <c r="C683" s="1">
        <v>4300000</v>
      </c>
      <c r="D683" s="1" t="s">
        <v>61</v>
      </c>
      <c r="E683">
        <v>81.303200000000004</v>
      </c>
      <c r="F683" s="1" t="s">
        <v>62</v>
      </c>
      <c r="G683">
        <v>32</v>
      </c>
      <c r="H683">
        <v>12</v>
      </c>
      <c r="I683" s="1" t="s">
        <v>35</v>
      </c>
      <c r="J683">
        <v>1</v>
      </c>
      <c r="K683" t="str">
        <f>IF(Tb_data[[#This Row],[previous_workers]]&lt;Tb_data[[#This Row],[workers]],"yes","no")</f>
        <v>yes</v>
      </c>
      <c r="L683">
        <f>Tb_data[[#This Row],[workers]]-Tb_data[[#This Row],[previous_workers]]</f>
        <v>20</v>
      </c>
      <c r="M683" s="12">
        <f>Tb_data[[#This Row],[Employees Growth]]/Tb_data[[#This Row],[previous_workers]]</f>
        <v>1.6666666666666667</v>
      </c>
    </row>
    <row r="684" spans="1:13" x14ac:dyDescent="0.25">
      <c r="A684" s="1" t="s">
        <v>896</v>
      </c>
      <c r="B684" s="1" t="s">
        <v>897</v>
      </c>
      <c r="C684" s="1">
        <v>9500000</v>
      </c>
      <c r="D684" s="1" t="s">
        <v>33</v>
      </c>
      <c r="E684">
        <v>1137.2337</v>
      </c>
      <c r="F684" s="1" t="s">
        <v>97</v>
      </c>
      <c r="G684">
        <v>52</v>
      </c>
      <c r="H684">
        <v>8</v>
      </c>
      <c r="I684" s="1" t="s">
        <v>164</v>
      </c>
      <c r="J684">
        <v>2</v>
      </c>
      <c r="K684" t="str">
        <f>IF(Tb_data[[#This Row],[previous_workers]]&lt;Tb_data[[#This Row],[workers]],"yes","no")</f>
        <v>yes</v>
      </c>
      <c r="L684">
        <f>Tb_data[[#This Row],[workers]]-Tb_data[[#This Row],[previous_workers]]</f>
        <v>44</v>
      </c>
      <c r="M684" s="12">
        <f>Tb_data[[#This Row],[Employees Growth]]/Tb_data[[#This Row],[previous_workers]]</f>
        <v>5.5</v>
      </c>
    </row>
    <row r="685" spans="1:13" x14ac:dyDescent="0.25">
      <c r="A685" s="1" t="s">
        <v>1354</v>
      </c>
      <c r="B685" s="1" t="s">
        <v>1355</v>
      </c>
      <c r="C685" s="1">
        <v>7300000</v>
      </c>
      <c r="D685" s="1" t="s">
        <v>69</v>
      </c>
      <c r="E685">
        <v>702.18859999999995</v>
      </c>
      <c r="F685" s="1" t="s">
        <v>152</v>
      </c>
      <c r="G685">
        <v>100</v>
      </c>
      <c r="H685">
        <v>25</v>
      </c>
      <c r="I685" s="1" t="s">
        <v>1356</v>
      </c>
      <c r="J685">
        <v>5</v>
      </c>
      <c r="K685" t="str">
        <f>IF(Tb_data[[#This Row],[previous_workers]]&lt;Tb_data[[#This Row],[workers]],"yes","no")</f>
        <v>yes</v>
      </c>
      <c r="L685">
        <f>Tb_data[[#This Row],[workers]]-Tb_data[[#This Row],[previous_workers]]</f>
        <v>75</v>
      </c>
      <c r="M685" s="12">
        <f>Tb_data[[#This Row],[Employees Growth]]/Tb_data[[#This Row],[previous_workers]]</f>
        <v>3</v>
      </c>
    </row>
    <row r="686" spans="1:13" x14ac:dyDescent="0.25">
      <c r="A686" s="1" t="s">
        <v>5390</v>
      </c>
      <c r="B686" s="1" t="s">
        <v>5391</v>
      </c>
      <c r="C686" s="1">
        <v>2100000</v>
      </c>
      <c r="D686" s="1" t="s">
        <v>69</v>
      </c>
      <c r="E686">
        <v>146.75</v>
      </c>
      <c r="F686" s="1" t="s">
        <v>161</v>
      </c>
      <c r="G686">
        <v>100</v>
      </c>
      <c r="H686">
        <v>15</v>
      </c>
      <c r="I686" s="1" t="s">
        <v>13</v>
      </c>
      <c r="J686">
        <v>6</v>
      </c>
      <c r="K686" t="str">
        <f>IF(Tb_data[[#This Row],[previous_workers]]&lt;Tb_data[[#This Row],[workers]],"yes","no")</f>
        <v>yes</v>
      </c>
      <c r="L686">
        <f>Tb_data[[#This Row],[workers]]-Tb_data[[#This Row],[previous_workers]]</f>
        <v>85</v>
      </c>
      <c r="M686" s="12">
        <f>Tb_data[[#This Row],[Employees Growth]]/Tb_data[[#This Row],[previous_workers]]</f>
        <v>5.666666666666667</v>
      </c>
    </row>
    <row r="687" spans="1:13" x14ac:dyDescent="0.25">
      <c r="A687" s="1" t="s">
        <v>7184</v>
      </c>
      <c r="B687" s="1" t="s">
        <v>7185</v>
      </c>
      <c r="C687" s="1">
        <v>7300000</v>
      </c>
      <c r="D687" s="1" t="s">
        <v>79</v>
      </c>
      <c r="E687">
        <v>98.820599999999999</v>
      </c>
      <c r="F687" s="1" t="s">
        <v>17</v>
      </c>
      <c r="G687">
        <v>14</v>
      </c>
      <c r="H687">
        <v>2</v>
      </c>
      <c r="I687" s="1" t="s">
        <v>55</v>
      </c>
      <c r="J687">
        <v>2</v>
      </c>
      <c r="K687" t="str">
        <f>IF(Tb_data[[#This Row],[previous_workers]]&lt;Tb_data[[#This Row],[workers]],"yes","no")</f>
        <v>yes</v>
      </c>
      <c r="L687">
        <f>Tb_data[[#This Row],[workers]]-Tb_data[[#This Row],[previous_workers]]</f>
        <v>12</v>
      </c>
      <c r="M687" s="12">
        <f>Tb_data[[#This Row],[Employees Growth]]/Tb_data[[#This Row],[previous_workers]]</f>
        <v>6</v>
      </c>
    </row>
    <row r="688" spans="1:13" x14ac:dyDescent="0.25">
      <c r="A688" s="1" t="s">
        <v>9616</v>
      </c>
      <c r="B688" s="1" t="s">
        <v>9617</v>
      </c>
      <c r="C688" s="1">
        <v>15200000</v>
      </c>
      <c r="D688" s="1" t="s">
        <v>16</v>
      </c>
      <c r="E688">
        <v>59.0137</v>
      </c>
      <c r="F688" s="1" t="s">
        <v>97</v>
      </c>
      <c r="G688">
        <v>68</v>
      </c>
      <c r="H688">
        <v>24</v>
      </c>
      <c r="I688" s="1" t="s">
        <v>194</v>
      </c>
      <c r="J688">
        <v>1</v>
      </c>
      <c r="K688" t="str">
        <f>IF(Tb_data[[#This Row],[previous_workers]]&lt;Tb_data[[#This Row],[workers]],"yes","no")</f>
        <v>yes</v>
      </c>
      <c r="L688">
        <f>Tb_data[[#This Row],[workers]]-Tb_data[[#This Row],[previous_workers]]</f>
        <v>44</v>
      </c>
      <c r="M688" s="12">
        <f>Tb_data[[#This Row],[Employees Growth]]/Tb_data[[#This Row],[previous_workers]]</f>
        <v>1.8333333333333333</v>
      </c>
    </row>
    <row r="689" spans="1:13" x14ac:dyDescent="0.25">
      <c r="A689" s="1" t="s">
        <v>1385</v>
      </c>
      <c r="B689" s="1" t="s">
        <v>1386</v>
      </c>
      <c r="C689" s="1">
        <v>13600000</v>
      </c>
      <c r="D689" s="1" t="s">
        <v>49</v>
      </c>
      <c r="E689">
        <v>690.18709999999999</v>
      </c>
      <c r="F689" s="1" t="s">
        <v>30</v>
      </c>
      <c r="G689">
        <v>8</v>
      </c>
      <c r="H689">
        <v>2</v>
      </c>
      <c r="I689" s="1" t="s">
        <v>55</v>
      </c>
      <c r="J689">
        <v>1</v>
      </c>
      <c r="K689" t="str">
        <f>IF(Tb_data[[#This Row],[previous_workers]]&lt;Tb_data[[#This Row],[workers]],"yes","no")</f>
        <v>yes</v>
      </c>
      <c r="L689">
        <f>Tb_data[[#This Row],[workers]]-Tb_data[[#This Row],[previous_workers]]</f>
        <v>6</v>
      </c>
      <c r="M689" s="12">
        <f>Tb_data[[#This Row],[Employees Growth]]/Tb_data[[#This Row],[previous_workers]]</f>
        <v>3</v>
      </c>
    </row>
    <row r="690" spans="1:13" x14ac:dyDescent="0.25">
      <c r="A690" s="1" t="s">
        <v>9045</v>
      </c>
      <c r="B690" s="1" t="s">
        <v>9046</v>
      </c>
      <c r="C690" s="1">
        <v>2000000</v>
      </c>
      <c r="D690" s="1" t="s">
        <v>254</v>
      </c>
      <c r="E690">
        <v>65.984399999999994</v>
      </c>
      <c r="F690" s="1" t="s">
        <v>116</v>
      </c>
      <c r="G690">
        <v>8</v>
      </c>
      <c r="H690">
        <v>2</v>
      </c>
      <c r="I690" s="1" t="s">
        <v>164</v>
      </c>
      <c r="J690">
        <v>1</v>
      </c>
      <c r="K690" t="str">
        <f>IF(Tb_data[[#This Row],[previous_workers]]&lt;Tb_data[[#This Row],[workers]],"yes","no")</f>
        <v>yes</v>
      </c>
      <c r="L690">
        <f>Tb_data[[#This Row],[workers]]-Tb_data[[#This Row],[previous_workers]]</f>
        <v>6</v>
      </c>
      <c r="M690" s="12">
        <f>Tb_data[[#This Row],[Employees Growth]]/Tb_data[[#This Row],[previous_workers]]</f>
        <v>3</v>
      </c>
    </row>
    <row r="691" spans="1:13" x14ac:dyDescent="0.25">
      <c r="A691" s="1" t="s">
        <v>5676</v>
      </c>
      <c r="B691" s="1" t="s">
        <v>5677</v>
      </c>
      <c r="C691" s="1">
        <v>45800000</v>
      </c>
      <c r="D691" s="1" t="s">
        <v>254</v>
      </c>
      <c r="E691">
        <v>135.11920000000001</v>
      </c>
      <c r="F691" s="1" t="s">
        <v>135</v>
      </c>
      <c r="G691">
        <v>342</v>
      </c>
      <c r="H691">
        <v>119</v>
      </c>
      <c r="I691" s="1" t="s">
        <v>948</v>
      </c>
      <c r="J691">
        <v>6</v>
      </c>
      <c r="K691" t="str">
        <f>IF(Tb_data[[#This Row],[previous_workers]]&lt;Tb_data[[#This Row],[workers]],"yes","no")</f>
        <v>yes</v>
      </c>
      <c r="L691">
        <f>Tb_data[[#This Row],[workers]]-Tb_data[[#This Row],[previous_workers]]</f>
        <v>223</v>
      </c>
      <c r="M691" s="12">
        <f>Tb_data[[#This Row],[Employees Growth]]/Tb_data[[#This Row],[previous_workers]]</f>
        <v>1.8739495798319328</v>
      </c>
    </row>
    <row r="692" spans="1:13" x14ac:dyDescent="0.25">
      <c r="A692" s="1" t="s">
        <v>3244</v>
      </c>
      <c r="B692" s="1" t="s">
        <v>3245</v>
      </c>
      <c r="C692" s="1">
        <v>3300000</v>
      </c>
      <c r="D692" s="1" t="s">
        <v>49</v>
      </c>
      <c r="E692">
        <v>266.18329999999997</v>
      </c>
      <c r="F692" s="1" t="s">
        <v>161</v>
      </c>
      <c r="G692">
        <v>50</v>
      </c>
      <c r="H692">
        <v>10</v>
      </c>
      <c r="I692" s="1" t="s">
        <v>26</v>
      </c>
      <c r="J692">
        <v>1</v>
      </c>
      <c r="K692" t="str">
        <f>IF(Tb_data[[#This Row],[previous_workers]]&lt;Tb_data[[#This Row],[workers]],"yes","no")</f>
        <v>yes</v>
      </c>
      <c r="L692">
        <f>Tb_data[[#This Row],[workers]]-Tb_data[[#This Row],[previous_workers]]</f>
        <v>40</v>
      </c>
      <c r="M692" s="12">
        <f>Tb_data[[#This Row],[Employees Growth]]/Tb_data[[#This Row],[previous_workers]]</f>
        <v>4</v>
      </c>
    </row>
    <row r="693" spans="1:13" x14ac:dyDescent="0.25">
      <c r="A693" s="1" t="s">
        <v>5696</v>
      </c>
      <c r="B693" s="1" t="s">
        <v>5697</v>
      </c>
      <c r="C693" s="1">
        <v>3000000</v>
      </c>
      <c r="D693" s="1" t="s">
        <v>11</v>
      </c>
      <c r="E693">
        <v>134.5162</v>
      </c>
      <c r="F693" s="1" t="s">
        <v>124</v>
      </c>
      <c r="G693">
        <v>3</v>
      </c>
      <c r="H693">
        <v>1</v>
      </c>
      <c r="I693" s="1" t="s">
        <v>46</v>
      </c>
      <c r="J693">
        <v>1</v>
      </c>
      <c r="K693" t="str">
        <f>IF(Tb_data[[#This Row],[previous_workers]]&lt;Tb_data[[#This Row],[workers]],"yes","no")</f>
        <v>yes</v>
      </c>
      <c r="L693">
        <f>Tb_data[[#This Row],[workers]]-Tb_data[[#This Row],[previous_workers]]</f>
        <v>2</v>
      </c>
      <c r="M693" s="12">
        <f>Tb_data[[#This Row],[Employees Growth]]/Tb_data[[#This Row],[previous_workers]]</f>
        <v>2</v>
      </c>
    </row>
    <row r="694" spans="1:13" x14ac:dyDescent="0.25">
      <c r="A694" s="1" t="s">
        <v>843</v>
      </c>
      <c r="B694" s="1" t="s">
        <v>844</v>
      </c>
      <c r="C694" s="1">
        <v>137200000</v>
      </c>
      <c r="D694" s="1" t="s">
        <v>33</v>
      </c>
      <c r="E694">
        <v>1225.5509</v>
      </c>
      <c r="F694" s="1" t="s">
        <v>25</v>
      </c>
      <c r="G694">
        <v>90</v>
      </c>
      <c r="H694">
        <v>8</v>
      </c>
      <c r="I694" s="1" t="s">
        <v>55</v>
      </c>
      <c r="J694">
        <v>2</v>
      </c>
      <c r="K694" t="str">
        <f>IF(Tb_data[[#This Row],[previous_workers]]&lt;Tb_data[[#This Row],[workers]],"yes","no")</f>
        <v>yes</v>
      </c>
      <c r="L694">
        <f>Tb_data[[#This Row],[workers]]-Tb_data[[#This Row],[previous_workers]]</f>
        <v>82</v>
      </c>
      <c r="M694" s="12">
        <f>Tb_data[[#This Row],[Employees Growth]]/Tb_data[[#This Row],[previous_workers]]</f>
        <v>10.25</v>
      </c>
    </row>
    <row r="695" spans="1:13" x14ac:dyDescent="0.25">
      <c r="A695" s="1" t="s">
        <v>4782</v>
      </c>
      <c r="B695" s="1" t="s">
        <v>4783</v>
      </c>
      <c r="C695" s="1">
        <v>17500000</v>
      </c>
      <c r="D695" s="1" t="s">
        <v>33</v>
      </c>
      <c r="E695">
        <v>170.73220000000001</v>
      </c>
      <c r="F695" s="1" t="s">
        <v>12</v>
      </c>
      <c r="G695">
        <v>120</v>
      </c>
      <c r="H695">
        <v>15</v>
      </c>
      <c r="I695" s="1" t="s">
        <v>26</v>
      </c>
      <c r="J695">
        <v>1</v>
      </c>
      <c r="K695" t="str">
        <f>IF(Tb_data[[#This Row],[previous_workers]]&lt;Tb_data[[#This Row],[workers]],"yes","no")</f>
        <v>yes</v>
      </c>
      <c r="L695">
        <f>Tb_data[[#This Row],[workers]]-Tb_data[[#This Row],[previous_workers]]</f>
        <v>105</v>
      </c>
      <c r="M695" s="12">
        <f>Tb_data[[#This Row],[Employees Growth]]/Tb_data[[#This Row],[previous_workers]]</f>
        <v>7</v>
      </c>
    </row>
    <row r="696" spans="1:13" x14ac:dyDescent="0.25">
      <c r="A696" s="1" t="s">
        <v>1280</v>
      </c>
      <c r="B696" s="1" t="s">
        <v>1281</v>
      </c>
      <c r="C696" s="1">
        <v>3400000</v>
      </c>
      <c r="D696" s="1" t="s">
        <v>20</v>
      </c>
      <c r="E696">
        <v>754.02660000000003</v>
      </c>
      <c r="F696" s="1" t="s">
        <v>514</v>
      </c>
      <c r="G696">
        <v>34</v>
      </c>
      <c r="H696">
        <v>7</v>
      </c>
      <c r="I696" s="1" t="s">
        <v>46</v>
      </c>
      <c r="J696">
        <v>1</v>
      </c>
      <c r="K696" t="str">
        <f>IF(Tb_data[[#This Row],[previous_workers]]&lt;Tb_data[[#This Row],[workers]],"yes","no")</f>
        <v>yes</v>
      </c>
      <c r="L696">
        <f>Tb_data[[#This Row],[workers]]-Tb_data[[#This Row],[previous_workers]]</f>
        <v>27</v>
      </c>
      <c r="M696" s="12">
        <f>Tb_data[[#This Row],[Employees Growth]]/Tb_data[[#This Row],[previous_workers]]</f>
        <v>3.8571428571428572</v>
      </c>
    </row>
    <row r="697" spans="1:13" x14ac:dyDescent="0.25">
      <c r="A697" s="1" t="s">
        <v>3569</v>
      </c>
      <c r="B697" s="1" t="s">
        <v>3570</v>
      </c>
      <c r="C697" s="1">
        <v>9700000</v>
      </c>
      <c r="D697" s="1" t="s">
        <v>61</v>
      </c>
      <c r="E697">
        <v>236.5454</v>
      </c>
      <c r="F697" s="1" t="s">
        <v>12</v>
      </c>
      <c r="G697">
        <v>37</v>
      </c>
      <c r="H697">
        <v>14</v>
      </c>
      <c r="I697" s="1" t="s">
        <v>13</v>
      </c>
      <c r="J697">
        <v>1</v>
      </c>
      <c r="K697" t="str">
        <f>IF(Tb_data[[#This Row],[previous_workers]]&lt;Tb_data[[#This Row],[workers]],"yes","no")</f>
        <v>yes</v>
      </c>
      <c r="L697">
        <f>Tb_data[[#This Row],[workers]]-Tb_data[[#This Row],[previous_workers]]</f>
        <v>23</v>
      </c>
      <c r="M697" s="12">
        <f>Tb_data[[#This Row],[Employees Growth]]/Tb_data[[#This Row],[previous_workers]]</f>
        <v>1.6428571428571428</v>
      </c>
    </row>
    <row r="698" spans="1:13" x14ac:dyDescent="0.25">
      <c r="A698" s="1" t="s">
        <v>6928</v>
      </c>
      <c r="B698" s="1" t="s">
        <v>6929</v>
      </c>
      <c r="C698" s="1">
        <v>70800000</v>
      </c>
      <c r="D698" s="1" t="s">
        <v>49</v>
      </c>
      <c r="E698">
        <v>103.5633</v>
      </c>
      <c r="F698" s="1" t="s">
        <v>12</v>
      </c>
      <c r="G698">
        <v>153</v>
      </c>
      <c r="H698">
        <v>120</v>
      </c>
      <c r="I698" s="1" t="s">
        <v>55</v>
      </c>
      <c r="J698">
        <v>3</v>
      </c>
      <c r="K698" t="str">
        <f>IF(Tb_data[[#This Row],[previous_workers]]&lt;Tb_data[[#This Row],[workers]],"yes","no")</f>
        <v>yes</v>
      </c>
      <c r="L698">
        <f>Tb_data[[#This Row],[workers]]-Tb_data[[#This Row],[previous_workers]]</f>
        <v>33</v>
      </c>
      <c r="M698" s="12">
        <f>Tb_data[[#This Row],[Employees Growth]]/Tb_data[[#This Row],[previous_workers]]</f>
        <v>0.27500000000000002</v>
      </c>
    </row>
    <row r="699" spans="1:13" x14ac:dyDescent="0.25">
      <c r="A699" s="1" t="s">
        <v>1676</v>
      </c>
      <c r="B699" s="1" t="s">
        <v>1677</v>
      </c>
      <c r="C699" s="1">
        <v>22500000</v>
      </c>
      <c r="D699" s="1" t="s">
        <v>49</v>
      </c>
      <c r="E699">
        <v>549.92520000000002</v>
      </c>
      <c r="F699" s="1" t="s">
        <v>124</v>
      </c>
      <c r="G699">
        <v>76</v>
      </c>
      <c r="H699">
        <v>15</v>
      </c>
      <c r="I699" s="1" t="s">
        <v>26</v>
      </c>
      <c r="J699">
        <v>2</v>
      </c>
      <c r="K699" t="str">
        <f>IF(Tb_data[[#This Row],[previous_workers]]&lt;Tb_data[[#This Row],[workers]],"yes","no")</f>
        <v>yes</v>
      </c>
      <c r="L699">
        <f>Tb_data[[#This Row],[workers]]-Tb_data[[#This Row],[previous_workers]]</f>
        <v>61</v>
      </c>
      <c r="M699" s="12">
        <f>Tb_data[[#This Row],[Employees Growth]]/Tb_data[[#This Row],[previous_workers]]</f>
        <v>4.0666666666666664</v>
      </c>
    </row>
    <row r="700" spans="1:13" x14ac:dyDescent="0.25">
      <c r="A700" s="1" t="s">
        <v>4517</v>
      </c>
      <c r="B700" s="1" t="s">
        <v>4518</v>
      </c>
      <c r="C700" s="1">
        <v>25300000</v>
      </c>
      <c r="D700" s="1" t="s">
        <v>49</v>
      </c>
      <c r="E700">
        <v>181.6534</v>
      </c>
      <c r="F700" s="1" t="s">
        <v>176</v>
      </c>
      <c r="G700">
        <v>130</v>
      </c>
      <c r="H700">
        <v>40</v>
      </c>
      <c r="I700" s="1" t="s">
        <v>117</v>
      </c>
      <c r="J700">
        <v>1</v>
      </c>
      <c r="K700" t="str">
        <f>IF(Tb_data[[#This Row],[previous_workers]]&lt;Tb_data[[#This Row],[workers]],"yes","no")</f>
        <v>yes</v>
      </c>
      <c r="L700">
        <f>Tb_data[[#This Row],[workers]]-Tb_data[[#This Row],[previous_workers]]</f>
        <v>90</v>
      </c>
      <c r="M700" s="12">
        <f>Tb_data[[#This Row],[Employees Growth]]/Tb_data[[#This Row],[previous_workers]]</f>
        <v>2.25</v>
      </c>
    </row>
    <row r="701" spans="1:13" x14ac:dyDescent="0.25">
      <c r="A701" s="1" t="s">
        <v>6781</v>
      </c>
      <c r="B701" s="1" t="s">
        <v>6782</v>
      </c>
      <c r="C701" s="1">
        <v>6600000</v>
      </c>
      <c r="D701" s="1" t="s">
        <v>41</v>
      </c>
      <c r="E701">
        <v>107.0859</v>
      </c>
      <c r="F701" s="1" t="s">
        <v>12</v>
      </c>
      <c r="G701">
        <v>17</v>
      </c>
      <c r="H701">
        <v>7</v>
      </c>
      <c r="I701" s="1" t="s">
        <v>35</v>
      </c>
      <c r="J701">
        <v>4</v>
      </c>
      <c r="K701" t="str">
        <f>IF(Tb_data[[#This Row],[previous_workers]]&lt;Tb_data[[#This Row],[workers]],"yes","no")</f>
        <v>yes</v>
      </c>
      <c r="L701">
        <f>Tb_data[[#This Row],[workers]]-Tb_data[[#This Row],[previous_workers]]</f>
        <v>10</v>
      </c>
      <c r="M701" s="12">
        <f>Tb_data[[#This Row],[Employees Growth]]/Tb_data[[#This Row],[previous_workers]]</f>
        <v>1.4285714285714286</v>
      </c>
    </row>
    <row r="702" spans="1:13" x14ac:dyDescent="0.25">
      <c r="A702" s="1" t="s">
        <v>3969</v>
      </c>
      <c r="B702" s="1" t="s">
        <v>3970</v>
      </c>
      <c r="C702" s="1">
        <v>4200000</v>
      </c>
      <c r="D702" s="1" t="s">
        <v>895</v>
      </c>
      <c r="E702">
        <v>208.5264</v>
      </c>
      <c r="F702" s="1" t="s">
        <v>86</v>
      </c>
      <c r="G702">
        <v>29</v>
      </c>
      <c r="H702">
        <v>15</v>
      </c>
      <c r="I702" s="1" t="s">
        <v>130</v>
      </c>
      <c r="J702">
        <v>3</v>
      </c>
      <c r="K702" t="str">
        <f>IF(Tb_data[[#This Row],[previous_workers]]&lt;Tb_data[[#This Row],[workers]],"yes","no")</f>
        <v>yes</v>
      </c>
      <c r="L702">
        <f>Tb_data[[#This Row],[workers]]-Tb_data[[#This Row],[previous_workers]]</f>
        <v>14</v>
      </c>
      <c r="M702" s="12">
        <f>Tb_data[[#This Row],[Employees Growth]]/Tb_data[[#This Row],[previous_workers]]</f>
        <v>0.93333333333333335</v>
      </c>
    </row>
    <row r="703" spans="1:13" x14ac:dyDescent="0.25">
      <c r="A703" s="1" t="s">
        <v>4744</v>
      </c>
      <c r="B703" s="1" t="s">
        <v>4745</v>
      </c>
      <c r="C703" s="1">
        <v>5300000</v>
      </c>
      <c r="D703" s="1" t="s">
        <v>20</v>
      </c>
      <c r="E703">
        <v>172.8228</v>
      </c>
      <c r="F703" s="1" t="s">
        <v>176</v>
      </c>
      <c r="G703">
        <v>20</v>
      </c>
      <c r="H703">
        <v>10</v>
      </c>
      <c r="I703" s="1" t="s">
        <v>164</v>
      </c>
      <c r="J703">
        <v>4</v>
      </c>
      <c r="K703" t="str">
        <f>IF(Tb_data[[#This Row],[previous_workers]]&lt;Tb_data[[#This Row],[workers]],"yes","no")</f>
        <v>yes</v>
      </c>
      <c r="L703">
        <f>Tb_data[[#This Row],[workers]]-Tb_data[[#This Row],[previous_workers]]</f>
        <v>10</v>
      </c>
      <c r="M703" s="12">
        <f>Tb_data[[#This Row],[Employees Growth]]/Tb_data[[#This Row],[previous_workers]]</f>
        <v>1</v>
      </c>
    </row>
    <row r="704" spans="1:13" x14ac:dyDescent="0.25">
      <c r="A704" s="1" t="s">
        <v>8333</v>
      </c>
      <c r="B704" s="1" t="s">
        <v>8334</v>
      </c>
      <c r="C704" s="1">
        <v>7400000</v>
      </c>
      <c r="D704" s="1" t="s">
        <v>61</v>
      </c>
      <c r="E704">
        <v>77.392099999999999</v>
      </c>
      <c r="F704" s="1" t="s">
        <v>86</v>
      </c>
      <c r="G704">
        <v>113</v>
      </c>
      <c r="H704">
        <v>77</v>
      </c>
      <c r="I704" s="1" t="s">
        <v>35</v>
      </c>
      <c r="J704">
        <v>2</v>
      </c>
      <c r="K704" t="str">
        <f>IF(Tb_data[[#This Row],[previous_workers]]&lt;Tb_data[[#This Row],[workers]],"yes","no")</f>
        <v>yes</v>
      </c>
      <c r="L704">
        <f>Tb_data[[#This Row],[workers]]-Tb_data[[#This Row],[previous_workers]]</f>
        <v>36</v>
      </c>
      <c r="M704" s="12">
        <f>Tb_data[[#This Row],[Employees Growth]]/Tb_data[[#This Row],[previous_workers]]</f>
        <v>0.46753246753246752</v>
      </c>
    </row>
    <row r="705" spans="1:13" x14ac:dyDescent="0.25">
      <c r="A705" s="1" t="s">
        <v>2921</v>
      </c>
      <c r="B705" s="1" t="s">
        <v>2922</v>
      </c>
      <c r="C705" s="1">
        <v>129600000</v>
      </c>
      <c r="D705" s="1" t="s">
        <v>49</v>
      </c>
      <c r="E705">
        <v>295.6601</v>
      </c>
      <c r="F705" s="1" t="s">
        <v>100</v>
      </c>
      <c r="G705">
        <v>33</v>
      </c>
      <c r="H705">
        <v>22</v>
      </c>
      <c r="I705" s="1" t="s">
        <v>836</v>
      </c>
      <c r="J705">
        <v>1</v>
      </c>
      <c r="K705" t="str">
        <f>IF(Tb_data[[#This Row],[previous_workers]]&lt;Tb_data[[#This Row],[workers]],"yes","no")</f>
        <v>yes</v>
      </c>
      <c r="L705">
        <f>Tb_data[[#This Row],[workers]]-Tb_data[[#This Row],[previous_workers]]</f>
        <v>11</v>
      </c>
      <c r="M705" s="12">
        <f>Tb_data[[#This Row],[Employees Growth]]/Tb_data[[#This Row],[previous_workers]]</f>
        <v>0.5</v>
      </c>
    </row>
    <row r="706" spans="1:13" x14ac:dyDescent="0.25">
      <c r="A706" s="1" t="s">
        <v>2114</v>
      </c>
      <c r="B706" s="1" t="s">
        <v>2115</v>
      </c>
      <c r="C706" s="1">
        <v>67300000</v>
      </c>
      <c r="D706" s="1" t="s">
        <v>254</v>
      </c>
      <c r="E706">
        <v>423.5419</v>
      </c>
      <c r="F706" s="1" t="s">
        <v>62</v>
      </c>
      <c r="G706">
        <v>56</v>
      </c>
      <c r="H706">
        <v>22</v>
      </c>
      <c r="I706" s="1" t="s">
        <v>26</v>
      </c>
      <c r="J706">
        <v>1</v>
      </c>
      <c r="K706" t="str">
        <f>IF(Tb_data[[#This Row],[previous_workers]]&lt;Tb_data[[#This Row],[workers]],"yes","no")</f>
        <v>yes</v>
      </c>
      <c r="L706">
        <f>Tb_data[[#This Row],[workers]]-Tb_data[[#This Row],[previous_workers]]</f>
        <v>34</v>
      </c>
      <c r="M706" s="12">
        <f>Tb_data[[#This Row],[Employees Growth]]/Tb_data[[#This Row],[previous_workers]]</f>
        <v>1.5454545454545454</v>
      </c>
    </row>
    <row r="707" spans="1:13" x14ac:dyDescent="0.25">
      <c r="A707" s="1" t="s">
        <v>9451</v>
      </c>
      <c r="B707" s="1" t="s">
        <v>9452</v>
      </c>
      <c r="C707" s="1">
        <v>22800000</v>
      </c>
      <c r="D707" s="1" t="s">
        <v>20</v>
      </c>
      <c r="E707">
        <v>60.811999999999998</v>
      </c>
      <c r="F707" s="1" t="s">
        <v>161</v>
      </c>
      <c r="G707">
        <v>188</v>
      </c>
      <c r="H707">
        <v>149</v>
      </c>
      <c r="I707" s="1" t="s">
        <v>1411</v>
      </c>
      <c r="J707">
        <v>3</v>
      </c>
      <c r="K707" t="str">
        <f>IF(Tb_data[[#This Row],[previous_workers]]&lt;Tb_data[[#This Row],[workers]],"yes","no")</f>
        <v>yes</v>
      </c>
      <c r="L707">
        <f>Tb_data[[#This Row],[workers]]-Tb_data[[#This Row],[previous_workers]]</f>
        <v>39</v>
      </c>
      <c r="M707" s="12">
        <f>Tb_data[[#This Row],[Employees Growth]]/Tb_data[[#This Row],[previous_workers]]</f>
        <v>0.26174496644295303</v>
      </c>
    </row>
    <row r="708" spans="1:13" x14ac:dyDescent="0.25">
      <c r="A708" s="1" t="s">
        <v>1258</v>
      </c>
      <c r="B708" s="1" t="s">
        <v>1259</v>
      </c>
      <c r="C708" s="1">
        <v>7000000</v>
      </c>
      <c r="D708" s="1" t="s">
        <v>509</v>
      </c>
      <c r="E708">
        <v>764.94230000000005</v>
      </c>
      <c r="F708" s="1" t="s">
        <v>12</v>
      </c>
      <c r="G708">
        <v>8</v>
      </c>
      <c r="H708">
        <v>2</v>
      </c>
      <c r="I708" s="1" t="s">
        <v>26</v>
      </c>
      <c r="J708">
        <v>1</v>
      </c>
      <c r="K708" t="str">
        <f>IF(Tb_data[[#This Row],[previous_workers]]&lt;Tb_data[[#This Row],[workers]],"yes","no")</f>
        <v>yes</v>
      </c>
      <c r="L708">
        <f>Tb_data[[#This Row],[workers]]-Tb_data[[#This Row],[previous_workers]]</f>
        <v>6</v>
      </c>
      <c r="M708" s="12">
        <f>Tb_data[[#This Row],[Employees Growth]]/Tb_data[[#This Row],[previous_workers]]</f>
        <v>3</v>
      </c>
    </row>
    <row r="709" spans="1:13" x14ac:dyDescent="0.25">
      <c r="A709" s="1" t="s">
        <v>2232</v>
      </c>
      <c r="B709" s="1" t="s">
        <v>2233</v>
      </c>
      <c r="C709" s="1">
        <v>13600000</v>
      </c>
      <c r="D709" s="1" t="s">
        <v>49</v>
      </c>
      <c r="E709">
        <v>395.08370000000002</v>
      </c>
      <c r="F709" s="1" t="s">
        <v>156</v>
      </c>
      <c r="G709">
        <v>18</v>
      </c>
      <c r="H709">
        <v>8</v>
      </c>
      <c r="I709" s="1" t="s">
        <v>117</v>
      </c>
      <c r="J709">
        <v>3</v>
      </c>
      <c r="K709" t="str">
        <f>IF(Tb_data[[#This Row],[previous_workers]]&lt;Tb_data[[#This Row],[workers]],"yes","no")</f>
        <v>yes</v>
      </c>
      <c r="L709">
        <f>Tb_data[[#This Row],[workers]]-Tb_data[[#This Row],[previous_workers]]</f>
        <v>10</v>
      </c>
      <c r="M709" s="12">
        <f>Tb_data[[#This Row],[Employees Growth]]/Tb_data[[#This Row],[previous_workers]]</f>
        <v>1.25</v>
      </c>
    </row>
    <row r="710" spans="1:13" x14ac:dyDescent="0.25">
      <c r="A710" s="1" t="s">
        <v>9271</v>
      </c>
      <c r="B710" s="1" t="s">
        <v>9272</v>
      </c>
      <c r="C710" s="1">
        <v>4200000</v>
      </c>
      <c r="D710" s="1" t="s">
        <v>11</v>
      </c>
      <c r="E710">
        <v>63.183799999999998</v>
      </c>
      <c r="F710" s="1" t="s">
        <v>100</v>
      </c>
      <c r="G710">
        <v>21</v>
      </c>
      <c r="H710">
        <v>16</v>
      </c>
      <c r="I710" s="1" t="s">
        <v>130</v>
      </c>
      <c r="J710">
        <v>2</v>
      </c>
      <c r="K710" t="str">
        <f>IF(Tb_data[[#This Row],[previous_workers]]&lt;Tb_data[[#This Row],[workers]],"yes","no")</f>
        <v>yes</v>
      </c>
      <c r="L710">
        <f>Tb_data[[#This Row],[workers]]-Tb_data[[#This Row],[previous_workers]]</f>
        <v>5</v>
      </c>
      <c r="M710" s="12">
        <f>Tb_data[[#This Row],[Employees Growth]]/Tb_data[[#This Row],[previous_workers]]</f>
        <v>0.3125</v>
      </c>
    </row>
    <row r="711" spans="1:13" x14ac:dyDescent="0.25">
      <c r="A711" s="1" t="s">
        <v>9329</v>
      </c>
      <c r="B711" s="1" t="s">
        <v>9330</v>
      </c>
      <c r="C711" s="1">
        <v>50700000</v>
      </c>
      <c r="D711" s="1" t="s">
        <v>11</v>
      </c>
      <c r="E711">
        <v>62.455100000000002</v>
      </c>
      <c r="F711" s="1" t="s">
        <v>124</v>
      </c>
      <c r="G711">
        <v>286</v>
      </c>
      <c r="H711">
        <v>185</v>
      </c>
      <c r="I711" s="1" t="s">
        <v>3426</v>
      </c>
      <c r="J711">
        <v>1</v>
      </c>
      <c r="K711" t="str">
        <f>IF(Tb_data[[#This Row],[previous_workers]]&lt;Tb_data[[#This Row],[workers]],"yes","no")</f>
        <v>yes</v>
      </c>
      <c r="L711">
        <f>Tb_data[[#This Row],[workers]]-Tb_data[[#This Row],[previous_workers]]</f>
        <v>101</v>
      </c>
      <c r="M711" s="12">
        <f>Tb_data[[#This Row],[Employees Growth]]/Tb_data[[#This Row],[previous_workers]]</f>
        <v>0.54594594594594592</v>
      </c>
    </row>
    <row r="712" spans="1:13" x14ac:dyDescent="0.25">
      <c r="A712" s="1" t="s">
        <v>219</v>
      </c>
      <c r="B712" s="1" t="s">
        <v>220</v>
      </c>
      <c r="C712" s="1">
        <v>10000000</v>
      </c>
      <c r="D712" s="1" t="s">
        <v>221</v>
      </c>
      <c r="E712">
        <v>4207.8615</v>
      </c>
      <c r="F712" s="1" t="s">
        <v>34</v>
      </c>
      <c r="G712">
        <v>35</v>
      </c>
      <c r="H712">
        <v>2</v>
      </c>
      <c r="I712" s="1" t="s">
        <v>26</v>
      </c>
      <c r="J712">
        <v>1</v>
      </c>
      <c r="K712" t="str">
        <f>IF(Tb_data[[#This Row],[previous_workers]]&lt;Tb_data[[#This Row],[workers]],"yes","no")</f>
        <v>yes</v>
      </c>
      <c r="L712">
        <f>Tb_data[[#This Row],[workers]]-Tb_data[[#This Row],[previous_workers]]</f>
        <v>33</v>
      </c>
      <c r="M712" s="12">
        <f>Tb_data[[#This Row],[Employees Growth]]/Tb_data[[#This Row],[previous_workers]]</f>
        <v>16.5</v>
      </c>
    </row>
    <row r="713" spans="1:13" x14ac:dyDescent="0.25">
      <c r="A713" s="1" t="s">
        <v>464</v>
      </c>
      <c r="B713" s="1" t="s">
        <v>465</v>
      </c>
      <c r="C713" s="1">
        <v>4100000</v>
      </c>
      <c r="D713" s="1" t="s">
        <v>69</v>
      </c>
      <c r="E713">
        <v>2081.8944999999999</v>
      </c>
      <c r="F713" s="1" t="s">
        <v>112</v>
      </c>
      <c r="G713">
        <v>14</v>
      </c>
      <c r="H713">
        <v>1</v>
      </c>
      <c r="I713" s="1" t="s">
        <v>13</v>
      </c>
      <c r="J713">
        <v>1</v>
      </c>
      <c r="K713" t="str">
        <f>IF(Tb_data[[#This Row],[previous_workers]]&lt;Tb_data[[#This Row],[workers]],"yes","no")</f>
        <v>yes</v>
      </c>
      <c r="L713">
        <f>Tb_data[[#This Row],[workers]]-Tb_data[[#This Row],[previous_workers]]</f>
        <v>13</v>
      </c>
      <c r="M713" s="12">
        <f>Tb_data[[#This Row],[Employees Growth]]/Tb_data[[#This Row],[previous_workers]]</f>
        <v>13</v>
      </c>
    </row>
    <row r="714" spans="1:13" x14ac:dyDescent="0.25">
      <c r="A714" s="1" t="s">
        <v>4377</v>
      </c>
      <c r="B714" s="1" t="s">
        <v>4378</v>
      </c>
      <c r="C714" s="1">
        <v>36800000</v>
      </c>
      <c r="D714" s="1" t="s">
        <v>38</v>
      </c>
      <c r="E714">
        <v>187.4435</v>
      </c>
      <c r="F714" s="1" t="s">
        <v>12</v>
      </c>
      <c r="G714">
        <v>110</v>
      </c>
      <c r="H714">
        <v>25</v>
      </c>
      <c r="I714" s="1" t="s">
        <v>117</v>
      </c>
      <c r="J714">
        <v>3</v>
      </c>
      <c r="K714" t="str">
        <f>IF(Tb_data[[#This Row],[previous_workers]]&lt;Tb_data[[#This Row],[workers]],"yes","no")</f>
        <v>yes</v>
      </c>
      <c r="L714">
        <f>Tb_data[[#This Row],[workers]]-Tb_data[[#This Row],[previous_workers]]</f>
        <v>85</v>
      </c>
      <c r="M714" s="12">
        <f>Tb_data[[#This Row],[Employees Growth]]/Tb_data[[#This Row],[previous_workers]]</f>
        <v>3.4</v>
      </c>
    </row>
    <row r="715" spans="1:13" x14ac:dyDescent="0.25">
      <c r="A715" s="1" t="s">
        <v>9485</v>
      </c>
      <c r="B715" s="1" t="s">
        <v>9486</v>
      </c>
      <c r="C715" s="1">
        <v>50100000</v>
      </c>
      <c r="D715" s="1" t="s">
        <v>58</v>
      </c>
      <c r="E715">
        <v>60.445599999999999</v>
      </c>
      <c r="F715" s="1" t="s">
        <v>176</v>
      </c>
      <c r="G715">
        <v>238</v>
      </c>
      <c r="H715">
        <v>162</v>
      </c>
      <c r="I715" s="1" t="s">
        <v>194</v>
      </c>
      <c r="J715">
        <v>8</v>
      </c>
      <c r="K715" t="str">
        <f>IF(Tb_data[[#This Row],[previous_workers]]&lt;Tb_data[[#This Row],[workers]],"yes","no")</f>
        <v>yes</v>
      </c>
      <c r="L715">
        <f>Tb_data[[#This Row],[workers]]-Tb_data[[#This Row],[previous_workers]]</f>
        <v>76</v>
      </c>
      <c r="M715" s="12">
        <f>Tb_data[[#This Row],[Employees Growth]]/Tb_data[[#This Row],[previous_workers]]</f>
        <v>0.46913580246913578</v>
      </c>
    </row>
    <row r="716" spans="1:13" x14ac:dyDescent="0.25">
      <c r="A716" s="1" t="s">
        <v>6585</v>
      </c>
      <c r="B716" s="1" t="s">
        <v>6586</v>
      </c>
      <c r="C716" s="1">
        <v>14400000</v>
      </c>
      <c r="D716" s="1" t="s">
        <v>115</v>
      </c>
      <c r="E716">
        <v>111.9134</v>
      </c>
      <c r="F716" s="1" t="s">
        <v>124</v>
      </c>
      <c r="G716">
        <v>120</v>
      </c>
      <c r="H716">
        <v>55</v>
      </c>
      <c r="I716" s="1" t="s">
        <v>194</v>
      </c>
      <c r="J716">
        <v>3</v>
      </c>
      <c r="K716" t="str">
        <f>IF(Tb_data[[#This Row],[previous_workers]]&lt;Tb_data[[#This Row],[workers]],"yes","no")</f>
        <v>yes</v>
      </c>
      <c r="L716">
        <f>Tb_data[[#This Row],[workers]]-Tb_data[[#This Row],[previous_workers]]</f>
        <v>65</v>
      </c>
      <c r="M716" s="12">
        <f>Tb_data[[#This Row],[Employees Growth]]/Tb_data[[#This Row],[previous_workers]]</f>
        <v>1.1818181818181819</v>
      </c>
    </row>
    <row r="717" spans="1:13" x14ac:dyDescent="0.25">
      <c r="A717" s="1" t="s">
        <v>936</v>
      </c>
      <c r="B717" s="1" t="s">
        <v>937</v>
      </c>
      <c r="C717" s="1">
        <v>2000000</v>
      </c>
      <c r="D717" s="1" t="s">
        <v>895</v>
      </c>
      <c r="E717">
        <v>1091.1066000000001</v>
      </c>
      <c r="F717" s="1" t="s">
        <v>156</v>
      </c>
      <c r="G717">
        <v>25</v>
      </c>
      <c r="H717">
        <v>2</v>
      </c>
      <c r="I717" s="1" t="s">
        <v>26</v>
      </c>
      <c r="J717">
        <v>1</v>
      </c>
      <c r="K717" t="str">
        <f>IF(Tb_data[[#This Row],[previous_workers]]&lt;Tb_data[[#This Row],[workers]],"yes","no")</f>
        <v>yes</v>
      </c>
      <c r="L717">
        <f>Tb_data[[#This Row],[workers]]-Tb_data[[#This Row],[previous_workers]]</f>
        <v>23</v>
      </c>
      <c r="M717" s="12">
        <f>Tb_data[[#This Row],[Employees Growth]]/Tb_data[[#This Row],[previous_workers]]</f>
        <v>11.5</v>
      </c>
    </row>
    <row r="718" spans="1:13" x14ac:dyDescent="0.25">
      <c r="A718" s="1" t="s">
        <v>589</v>
      </c>
      <c r="B718" s="1" t="s">
        <v>590</v>
      </c>
      <c r="C718" s="1">
        <v>46200000</v>
      </c>
      <c r="D718" s="1" t="s">
        <v>52</v>
      </c>
      <c r="E718">
        <v>1700.1602</v>
      </c>
      <c r="F718" s="1" t="s">
        <v>124</v>
      </c>
      <c r="G718">
        <v>18</v>
      </c>
      <c r="H718">
        <v>4</v>
      </c>
      <c r="I718" s="1" t="s">
        <v>13</v>
      </c>
      <c r="J718">
        <v>2</v>
      </c>
      <c r="K718" t="str">
        <f>IF(Tb_data[[#This Row],[previous_workers]]&lt;Tb_data[[#This Row],[workers]],"yes","no")</f>
        <v>yes</v>
      </c>
      <c r="L718">
        <f>Tb_data[[#This Row],[workers]]-Tb_data[[#This Row],[previous_workers]]</f>
        <v>14</v>
      </c>
      <c r="M718" s="12">
        <f>Tb_data[[#This Row],[Employees Growth]]/Tb_data[[#This Row],[previous_workers]]</f>
        <v>3.5</v>
      </c>
    </row>
    <row r="719" spans="1:13" x14ac:dyDescent="0.25">
      <c r="A719" s="1" t="s">
        <v>4363</v>
      </c>
      <c r="B719" s="1" t="s">
        <v>4364</v>
      </c>
      <c r="C719" s="1">
        <v>27600000</v>
      </c>
      <c r="D719" s="1" t="s">
        <v>61</v>
      </c>
      <c r="E719">
        <v>187.99870000000001</v>
      </c>
      <c r="F719" s="1" t="s">
        <v>94</v>
      </c>
      <c r="G719">
        <v>124</v>
      </c>
      <c r="H719">
        <v>62</v>
      </c>
      <c r="I719" s="1" t="s">
        <v>147</v>
      </c>
      <c r="J719">
        <v>4</v>
      </c>
      <c r="K719" t="str">
        <f>IF(Tb_data[[#This Row],[previous_workers]]&lt;Tb_data[[#This Row],[workers]],"yes","no")</f>
        <v>yes</v>
      </c>
      <c r="L719">
        <f>Tb_data[[#This Row],[workers]]-Tb_data[[#This Row],[previous_workers]]</f>
        <v>62</v>
      </c>
      <c r="M719" s="12">
        <f>Tb_data[[#This Row],[Employees Growth]]/Tb_data[[#This Row],[previous_workers]]</f>
        <v>1</v>
      </c>
    </row>
    <row r="720" spans="1:13" x14ac:dyDescent="0.25">
      <c r="A720" s="1" t="s">
        <v>8823</v>
      </c>
      <c r="B720" s="1" t="s">
        <v>8824</v>
      </c>
      <c r="C720" s="1">
        <v>2900000</v>
      </c>
      <c r="D720" s="1" t="s">
        <v>38</v>
      </c>
      <c r="E720">
        <v>69.018699999999995</v>
      </c>
      <c r="F720" s="1" t="s">
        <v>86</v>
      </c>
      <c r="G720">
        <v>24</v>
      </c>
      <c r="H720">
        <v>4</v>
      </c>
      <c r="I720" s="1" t="s">
        <v>194</v>
      </c>
      <c r="J720">
        <v>2</v>
      </c>
      <c r="K720" t="str">
        <f>IF(Tb_data[[#This Row],[previous_workers]]&lt;Tb_data[[#This Row],[workers]],"yes","no")</f>
        <v>yes</v>
      </c>
      <c r="L720">
        <f>Tb_data[[#This Row],[workers]]-Tb_data[[#This Row],[previous_workers]]</f>
        <v>20</v>
      </c>
      <c r="M720" s="12">
        <f>Tb_data[[#This Row],[Employees Growth]]/Tb_data[[#This Row],[previous_workers]]</f>
        <v>5</v>
      </c>
    </row>
    <row r="721" spans="1:13" x14ac:dyDescent="0.25">
      <c r="A721" s="1" t="s">
        <v>8139</v>
      </c>
      <c r="B721" s="1" t="s">
        <v>8140</v>
      </c>
      <c r="C721" s="1">
        <v>2600000</v>
      </c>
      <c r="D721" s="1" t="s">
        <v>61</v>
      </c>
      <c r="E721">
        <v>80.610299999999995</v>
      </c>
      <c r="F721" s="1" t="s">
        <v>176</v>
      </c>
      <c r="G721">
        <v>10</v>
      </c>
      <c r="H721">
        <v>6</v>
      </c>
      <c r="I721" s="1" t="s">
        <v>46</v>
      </c>
      <c r="J721">
        <v>1</v>
      </c>
      <c r="K721" t="str">
        <f>IF(Tb_data[[#This Row],[previous_workers]]&lt;Tb_data[[#This Row],[workers]],"yes","no")</f>
        <v>yes</v>
      </c>
      <c r="L721">
        <f>Tb_data[[#This Row],[workers]]-Tb_data[[#This Row],[previous_workers]]</f>
        <v>4</v>
      </c>
      <c r="M721" s="12">
        <f>Tb_data[[#This Row],[Employees Growth]]/Tb_data[[#This Row],[previous_workers]]</f>
        <v>0.66666666666666663</v>
      </c>
    </row>
    <row r="722" spans="1:13" x14ac:dyDescent="0.25">
      <c r="A722" s="1" t="s">
        <v>4351</v>
      </c>
      <c r="B722" s="1" t="s">
        <v>4352</v>
      </c>
      <c r="C722" s="1">
        <v>31800000</v>
      </c>
      <c r="D722" s="1" t="s">
        <v>41</v>
      </c>
      <c r="E722">
        <v>188.80500000000001</v>
      </c>
      <c r="F722" s="1" t="s">
        <v>97</v>
      </c>
      <c r="G722">
        <v>603</v>
      </c>
      <c r="H722">
        <v>65</v>
      </c>
      <c r="I722" s="1" t="s">
        <v>74</v>
      </c>
      <c r="J722">
        <v>4</v>
      </c>
      <c r="K722" t="str">
        <f>IF(Tb_data[[#This Row],[previous_workers]]&lt;Tb_data[[#This Row],[workers]],"yes","no")</f>
        <v>yes</v>
      </c>
      <c r="L722">
        <f>Tb_data[[#This Row],[workers]]-Tb_data[[#This Row],[previous_workers]]</f>
        <v>538</v>
      </c>
      <c r="M722" s="12">
        <f>Tb_data[[#This Row],[Employees Growth]]/Tb_data[[#This Row],[previous_workers]]</f>
        <v>8.2769230769230777</v>
      </c>
    </row>
    <row r="723" spans="1:13" x14ac:dyDescent="0.25">
      <c r="A723" s="1" t="s">
        <v>390</v>
      </c>
      <c r="B723" s="1" t="s">
        <v>391</v>
      </c>
      <c r="C723" s="1">
        <v>4000000</v>
      </c>
      <c r="D723" s="1" t="s">
        <v>49</v>
      </c>
      <c r="E723">
        <v>2465.5724</v>
      </c>
      <c r="F723" s="1" t="s">
        <v>12</v>
      </c>
      <c r="G723">
        <v>5</v>
      </c>
      <c r="H723">
        <v>1</v>
      </c>
      <c r="I723" s="1" t="s">
        <v>55</v>
      </c>
      <c r="J723">
        <v>1</v>
      </c>
      <c r="K723" t="str">
        <f>IF(Tb_data[[#This Row],[previous_workers]]&lt;Tb_data[[#This Row],[workers]],"yes","no")</f>
        <v>yes</v>
      </c>
      <c r="L723">
        <f>Tb_data[[#This Row],[workers]]-Tb_data[[#This Row],[previous_workers]]</f>
        <v>4</v>
      </c>
      <c r="M723" s="12">
        <f>Tb_data[[#This Row],[Employees Growth]]/Tb_data[[#This Row],[previous_workers]]</f>
        <v>4</v>
      </c>
    </row>
    <row r="724" spans="1:13" x14ac:dyDescent="0.25">
      <c r="A724" s="1" t="s">
        <v>6199</v>
      </c>
      <c r="B724" s="1" t="s">
        <v>6200</v>
      </c>
      <c r="C724" s="1">
        <v>2900000</v>
      </c>
      <c r="D724" s="1" t="s">
        <v>11</v>
      </c>
      <c r="E724">
        <v>121.3847</v>
      </c>
      <c r="F724" s="1" t="s">
        <v>12</v>
      </c>
      <c r="G724">
        <v>22</v>
      </c>
      <c r="H724">
        <v>12</v>
      </c>
      <c r="I724" s="1" t="s">
        <v>1051</v>
      </c>
      <c r="J724">
        <v>2</v>
      </c>
      <c r="K724" t="str">
        <f>IF(Tb_data[[#This Row],[previous_workers]]&lt;Tb_data[[#This Row],[workers]],"yes","no")</f>
        <v>yes</v>
      </c>
      <c r="L724">
        <f>Tb_data[[#This Row],[workers]]-Tb_data[[#This Row],[previous_workers]]</f>
        <v>10</v>
      </c>
      <c r="M724" s="12">
        <f>Tb_data[[#This Row],[Employees Growth]]/Tb_data[[#This Row],[previous_workers]]</f>
        <v>0.83333333333333337</v>
      </c>
    </row>
    <row r="725" spans="1:13" x14ac:dyDescent="0.25">
      <c r="A725" s="1" t="s">
        <v>8651</v>
      </c>
      <c r="B725" s="1" t="s">
        <v>8652</v>
      </c>
      <c r="C725" s="1">
        <v>5600000</v>
      </c>
      <c r="D725" s="1" t="s">
        <v>61</v>
      </c>
      <c r="E725">
        <v>71.659099999999995</v>
      </c>
      <c r="F725" s="1" t="s">
        <v>172</v>
      </c>
      <c r="G725">
        <v>18</v>
      </c>
      <c r="H725">
        <v>7</v>
      </c>
      <c r="I725" s="1" t="s">
        <v>147</v>
      </c>
      <c r="J725">
        <v>1</v>
      </c>
      <c r="K725" t="str">
        <f>IF(Tb_data[[#This Row],[previous_workers]]&lt;Tb_data[[#This Row],[workers]],"yes","no")</f>
        <v>yes</v>
      </c>
      <c r="L725">
        <f>Tb_data[[#This Row],[workers]]-Tb_data[[#This Row],[previous_workers]]</f>
        <v>11</v>
      </c>
      <c r="M725" s="12">
        <f>Tb_data[[#This Row],[Employees Growth]]/Tb_data[[#This Row],[previous_workers]]</f>
        <v>1.5714285714285714</v>
      </c>
    </row>
    <row r="726" spans="1:13" x14ac:dyDescent="0.25">
      <c r="A726" s="1" t="s">
        <v>4850</v>
      </c>
      <c r="B726" s="1" t="s">
        <v>4851</v>
      </c>
      <c r="C726" s="1">
        <v>5200000</v>
      </c>
      <c r="D726" s="1" t="s">
        <v>33</v>
      </c>
      <c r="E726">
        <v>167.83090000000001</v>
      </c>
      <c r="F726" s="1" t="s">
        <v>310</v>
      </c>
      <c r="G726">
        <v>8</v>
      </c>
      <c r="H726">
        <v>4</v>
      </c>
      <c r="I726" s="1" t="s">
        <v>3943</v>
      </c>
      <c r="J726">
        <v>3</v>
      </c>
      <c r="K726" t="str">
        <f>IF(Tb_data[[#This Row],[previous_workers]]&lt;Tb_data[[#This Row],[workers]],"yes","no")</f>
        <v>yes</v>
      </c>
      <c r="L726">
        <f>Tb_data[[#This Row],[workers]]-Tb_data[[#This Row],[previous_workers]]</f>
        <v>4</v>
      </c>
      <c r="M726" s="12">
        <f>Tb_data[[#This Row],[Employees Growth]]/Tb_data[[#This Row],[previous_workers]]</f>
        <v>1</v>
      </c>
    </row>
    <row r="727" spans="1:13" x14ac:dyDescent="0.25">
      <c r="A727" s="1" t="s">
        <v>1968</v>
      </c>
      <c r="B727" s="1" t="s">
        <v>1969</v>
      </c>
      <c r="C727" s="1">
        <v>10300000</v>
      </c>
      <c r="D727" s="1" t="s">
        <v>58</v>
      </c>
      <c r="E727">
        <v>457.86660000000001</v>
      </c>
      <c r="F727" s="1" t="s">
        <v>86</v>
      </c>
      <c r="G727">
        <v>90</v>
      </c>
      <c r="H727">
        <v>40</v>
      </c>
      <c r="I727" s="1" t="s">
        <v>130</v>
      </c>
      <c r="J727">
        <v>4</v>
      </c>
      <c r="K727" t="str">
        <f>IF(Tb_data[[#This Row],[previous_workers]]&lt;Tb_data[[#This Row],[workers]],"yes","no")</f>
        <v>yes</v>
      </c>
      <c r="L727">
        <f>Tb_data[[#This Row],[workers]]-Tb_data[[#This Row],[previous_workers]]</f>
        <v>50</v>
      </c>
      <c r="M727" s="12">
        <f>Tb_data[[#This Row],[Employees Growth]]/Tb_data[[#This Row],[previous_workers]]</f>
        <v>1.25</v>
      </c>
    </row>
    <row r="728" spans="1:13" x14ac:dyDescent="0.25">
      <c r="A728" s="1" t="s">
        <v>3561</v>
      </c>
      <c r="B728" s="1" t="s">
        <v>3562</v>
      </c>
      <c r="C728" s="1">
        <v>6600000</v>
      </c>
      <c r="D728" s="1" t="s">
        <v>895</v>
      </c>
      <c r="E728">
        <v>236.94470000000001</v>
      </c>
      <c r="F728" s="1" t="s">
        <v>42</v>
      </c>
      <c r="G728">
        <v>18</v>
      </c>
      <c r="H728">
        <v>7</v>
      </c>
      <c r="I728" s="1" t="s">
        <v>948</v>
      </c>
      <c r="J728">
        <v>3</v>
      </c>
      <c r="K728" t="str">
        <f>IF(Tb_data[[#This Row],[previous_workers]]&lt;Tb_data[[#This Row],[workers]],"yes","no")</f>
        <v>yes</v>
      </c>
      <c r="L728">
        <f>Tb_data[[#This Row],[workers]]-Tb_data[[#This Row],[previous_workers]]</f>
        <v>11</v>
      </c>
      <c r="M728" s="12">
        <f>Tb_data[[#This Row],[Employees Growth]]/Tb_data[[#This Row],[previous_workers]]</f>
        <v>1.5714285714285714</v>
      </c>
    </row>
    <row r="729" spans="1:13" x14ac:dyDescent="0.25">
      <c r="A729" s="1" t="s">
        <v>2721</v>
      </c>
      <c r="B729" s="1" t="s">
        <v>2722</v>
      </c>
      <c r="C729" s="1">
        <v>8500000</v>
      </c>
      <c r="D729" s="1" t="s">
        <v>20</v>
      </c>
      <c r="E729">
        <v>316.67430000000002</v>
      </c>
      <c r="F729" s="1" t="s">
        <v>34</v>
      </c>
      <c r="G729">
        <v>36</v>
      </c>
      <c r="H729">
        <v>25</v>
      </c>
      <c r="I729" s="1" t="s">
        <v>130</v>
      </c>
      <c r="J729">
        <v>1</v>
      </c>
      <c r="K729" t="str">
        <f>IF(Tb_data[[#This Row],[previous_workers]]&lt;Tb_data[[#This Row],[workers]],"yes","no")</f>
        <v>yes</v>
      </c>
      <c r="L729">
        <f>Tb_data[[#This Row],[workers]]-Tb_data[[#This Row],[previous_workers]]</f>
        <v>11</v>
      </c>
      <c r="M729" s="12">
        <f>Tb_data[[#This Row],[Employees Growth]]/Tb_data[[#This Row],[previous_workers]]</f>
        <v>0.44</v>
      </c>
    </row>
    <row r="730" spans="1:13" x14ac:dyDescent="0.25">
      <c r="A730" s="1" t="s">
        <v>1570</v>
      </c>
      <c r="B730" s="1" t="s">
        <v>1571</v>
      </c>
      <c r="C730" s="1">
        <v>14400000</v>
      </c>
      <c r="D730" s="1" t="s">
        <v>41</v>
      </c>
      <c r="E730">
        <v>597.68370000000004</v>
      </c>
      <c r="F730" s="1" t="s">
        <v>97</v>
      </c>
      <c r="G730">
        <v>156</v>
      </c>
      <c r="H730">
        <v>21</v>
      </c>
      <c r="I730" s="1" t="s">
        <v>35</v>
      </c>
      <c r="J730">
        <v>2</v>
      </c>
      <c r="K730" t="str">
        <f>IF(Tb_data[[#This Row],[previous_workers]]&lt;Tb_data[[#This Row],[workers]],"yes","no")</f>
        <v>yes</v>
      </c>
      <c r="L730">
        <f>Tb_data[[#This Row],[workers]]-Tb_data[[#This Row],[previous_workers]]</f>
        <v>135</v>
      </c>
      <c r="M730" s="12">
        <f>Tb_data[[#This Row],[Employees Growth]]/Tb_data[[#This Row],[previous_workers]]</f>
        <v>6.4285714285714288</v>
      </c>
    </row>
    <row r="731" spans="1:13" x14ac:dyDescent="0.25">
      <c r="A731" s="1" t="s">
        <v>6705</v>
      </c>
      <c r="B731" s="1" t="s">
        <v>6706</v>
      </c>
      <c r="C731" s="1">
        <v>7500000</v>
      </c>
      <c r="D731" s="1" t="s">
        <v>20</v>
      </c>
      <c r="E731">
        <v>109.1781</v>
      </c>
      <c r="F731" s="1" t="s">
        <v>86</v>
      </c>
      <c r="G731">
        <v>30</v>
      </c>
      <c r="H731">
        <v>19</v>
      </c>
      <c r="I731" s="1" t="s">
        <v>164</v>
      </c>
      <c r="J731">
        <v>3</v>
      </c>
      <c r="K731" t="str">
        <f>IF(Tb_data[[#This Row],[previous_workers]]&lt;Tb_data[[#This Row],[workers]],"yes","no")</f>
        <v>yes</v>
      </c>
      <c r="L731">
        <f>Tb_data[[#This Row],[workers]]-Tb_data[[#This Row],[previous_workers]]</f>
        <v>11</v>
      </c>
      <c r="M731" s="12">
        <f>Tb_data[[#This Row],[Employees Growth]]/Tb_data[[#This Row],[previous_workers]]</f>
        <v>0.57894736842105265</v>
      </c>
    </row>
    <row r="732" spans="1:13" x14ac:dyDescent="0.25">
      <c r="A732" s="1" t="s">
        <v>5628</v>
      </c>
      <c r="B732" s="1" t="s">
        <v>5629</v>
      </c>
      <c r="C732" s="1">
        <v>2600000</v>
      </c>
      <c r="D732" s="1" t="s">
        <v>33</v>
      </c>
      <c r="E732">
        <v>136.84039999999999</v>
      </c>
      <c r="F732" s="1" t="s">
        <v>176</v>
      </c>
      <c r="G732">
        <v>10</v>
      </c>
      <c r="H732">
        <v>4</v>
      </c>
      <c r="I732" s="1" t="s">
        <v>46</v>
      </c>
      <c r="J732">
        <v>1</v>
      </c>
      <c r="K732" t="str">
        <f>IF(Tb_data[[#This Row],[previous_workers]]&lt;Tb_data[[#This Row],[workers]],"yes","no")</f>
        <v>yes</v>
      </c>
      <c r="L732">
        <f>Tb_data[[#This Row],[workers]]-Tb_data[[#This Row],[previous_workers]]</f>
        <v>6</v>
      </c>
      <c r="M732" s="12">
        <f>Tb_data[[#This Row],[Employees Growth]]/Tb_data[[#This Row],[previous_workers]]</f>
        <v>1.5</v>
      </c>
    </row>
    <row r="733" spans="1:13" x14ac:dyDescent="0.25">
      <c r="A733" s="1" t="s">
        <v>5028</v>
      </c>
      <c r="B733" s="1" t="s">
        <v>5029</v>
      </c>
      <c r="C733" s="1">
        <v>9200000</v>
      </c>
      <c r="D733" s="1" t="s">
        <v>61</v>
      </c>
      <c r="E733">
        <v>160.6925</v>
      </c>
      <c r="F733" s="1" t="s">
        <v>34</v>
      </c>
      <c r="G733">
        <v>22</v>
      </c>
      <c r="H733">
        <v>11</v>
      </c>
      <c r="I733" s="1" t="s">
        <v>147</v>
      </c>
      <c r="J733">
        <v>1</v>
      </c>
      <c r="K733" t="str">
        <f>IF(Tb_data[[#This Row],[previous_workers]]&lt;Tb_data[[#This Row],[workers]],"yes","no")</f>
        <v>yes</v>
      </c>
      <c r="L733">
        <f>Tb_data[[#This Row],[workers]]-Tb_data[[#This Row],[previous_workers]]</f>
        <v>11</v>
      </c>
      <c r="M733" s="12">
        <f>Tb_data[[#This Row],[Employees Growth]]/Tb_data[[#This Row],[previous_workers]]</f>
        <v>1</v>
      </c>
    </row>
    <row r="734" spans="1:13" x14ac:dyDescent="0.25">
      <c r="A734" s="1" t="s">
        <v>537</v>
      </c>
      <c r="B734" s="1" t="s">
        <v>538</v>
      </c>
      <c r="C734" s="1">
        <v>8200000</v>
      </c>
      <c r="D734" s="1" t="s">
        <v>61</v>
      </c>
      <c r="E734">
        <v>1838.3239000000001</v>
      </c>
      <c r="F734" s="1" t="s">
        <v>94</v>
      </c>
      <c r="G734">
        <v>25</v>
      </c>
      <c r="H734">
        <v>7</v>
      </c>
      <c r="I734" s="1" t="s">
        <v>55</v>
      </c>
      <c r="J734">
        <v>1</v>
      </c>
      <c r="K734" t="str">
        <f>IF(Tb_data[[#This Row],[previous_workers]]&lt;Tb_data[[#This Row],[workers]],"yes","no")</f>
        <v>yes</v>
      </c>
      <c r="L734">
        <f>Tb_data[[#This Row],[workers]]-Tb_data[[#This Row],[previous_workers]]</f>
        <v>18</v>
      </c>
      <c r="M734" s="12">
        <f>Tb_data[[#This Row],[Employees Growth]]/Tb_data[[#This Row],[previous_workers]]</f>
        <v>2.5714285714285716</v>
      </c>
    </row>
    <row r="735" spans="1:13" x14ac:dyDescent="0.25">
      <c r="A735" s="1" t="s">
        <v>5366</v>
      </c>
      <c r="B735" s="1" t="s">
        <v>5367</v>
      </c>
      <c r="C735" s="1">
        <v>6000000</v>
      </c>
      <c r="D735" s="1" t="s">
        <v>175</v>
      </c>
      <c r="E735">
        <v>147.6352</v>
      </c>
      <c r="F735" s="1" t="s">
        <v>124</v>
      </c>
      <c r="G735">
        <v>32</v>
      </c>
      <c r="H735">
        <v>12</v>
      </c>
      <c r="I735" s="1" t="s">
        <v>164</v>
      </c>
      <c r="J735">
        <v>1</v>
      </c>
      <c r="K735" t="str">
        <f>IF(Tb_data[[#This Row],[previous_workers]]&lt;Tb_data[[#This Row],[workers]],"yes","no")</f>
        <v>yes</v>
      </c>
      <c r="L735">
        <f>Tb_data[[#This Row],[workers]]-Tb_data[[#This Row],[previous_workers]]</f>
        <v>20</v>
      </c>
      <c r="M735" s="12">
        <f>Tb_data[[#This Row],[Employees Growth]]/Tb_data[[#This Row],[previous_workers]]</f>
        <v>1.6666666666666667</v>
      </c>
    </row>
    <row r="736" spans="1:13" x14ac:dyDescent="0.25">
      <c r="A736" s="1" t="s">
        <v>8163</v>
      </c>
      <c r="B736" s="1" t="s">
        <v>8164</v>
      </c>
      <c r="C736" s="1">
        <v>38800000</v>
      </c>
      <c r="D736" s="1" t="s">
        <v>49</v>
      </c>
      <c r="E736">
        <v>80.228899999999996</v>
      </c>
      <c r="F736" s="1" t="s">
        <v>21</v>
      </c>
      <c r="G736">
        <v>180</v>
      </c>
      <c r="H736">
        <v>135</v>
      </c>
      <c r="I736" s="1" t="s">
        <v>4071</v>
      </c>
      <c r="J736">
        <v>1</v>
      </c>
      <c r="K736" t="str">
        <f>IF(Tb_data[[#This Row],[previous_workers]]&lt;Tb_data[[#This Row],[workers]],"yes","no")</f>
        <v>yes</v>
      </c>
      <c r="L736">
        <f>Tb_data[[#This Row],[workers]]-Tb_data[[#This Row],[previous_workers]]</f>
        <v>45</v>
      </c>
      <c r="M736" s="12">
        <f>Tb_data[[#This Row],[Employees Growth]]/Tb_data[[#This Row],[previous_workers]]</f>
        <v>0.33333333333333331</v>
      </c>
    </row>
    <row r="737" spans="1:13" x14ac:dyDescent="0.25">
      <c r="A737" s="1" t="s">
        <v>3998</v>
      </c>
      <c r="B737" s="1" t="s">
        <v>3999</v>
      </c>
      <c r="C737" s="1">
        <v>55700000</v>
      </c>
      <c r="D737" s="1" t="s">
        <v>41</v>
      </c>
      <c r="E737">
        <v>206.32140000000001</v>
      </c>
      <c r="F737" s="1" t="s">
        <v>124</v>
      </c>
      <c r="G737">
        <v>116</v>
      </c>
      <c r="H737">
        <v>45</v>
      </c>
      <c r="I737" s="1" t="s">
        <v>372</v>
      </c>
      <c r="J737">
        <v>2</v>
      </c>
      <c r="K737" t="str">
        <f>IF(Tb_data[[#This Row],[previous_workers]]&lt;Tb_data[[#This Row],[workers]],"yes","no")</f>
        <v>yes</v>
      </c>
      <c r="L737">
        <f>Tb_data[[#This Row],[workers]]-Tb_data[[#This Row],[previous_workers]]</f>
        <v>71</v>
      </c>
      <c r="M737" s="12">
        <f>Tb_data[[#This Row],[Employees Growth]]/Tb_data[[#This Row],[previous_workers]]</f>
        <v>1.5777777777777777</v>
      </c>
    </row>
    <row r="738" spans="1:13" x14ac:dyDescent="0.25">
      <c r="A738" s="1" t="s">
        <v>3252</v>
      </c>
      <c r="B738" s="1" t="s">
        <v>3253</v>
      </c>
      <c r="C738" s="1">
        <v>2800000</v>
      </c>
      <c r="D738" s="1" t="s">
        <v>20</v>
      </c>
      <c r="E738">
        <v>264.75439999999998</v>
      </c>
      <c r="F738" s="1" t="s">
        <v>176</v>
      </c>
      <c r="G738">
        <v>14</v>
      </c>
      <c r="H738">
        <v>9</v>
      </c>
      <c r="I738" s="1" t="s">
        <v>117</v>
      </c>
      <c r="J738">
        <v>1</v>
      </c>
      <c r="K738" t="str">
        <f>IF(Tb_data[[#This Row],[previous_workers]]&lt;Tb_data[[#This Row],[workers]],"yes","no")</f>
        <v>yes</v>
      </c>
      <c r="L738">
        <f>Tb_data[[#This Row],[workers]]-Tb_data[[#This Row],[previous_workers]]</f>
        <v>5</v>
      </c>
      <c r="M738" s="12">
        <f>Tb_data[[#This Row],[Employees Growth]]/Tb_data[[#This Row],[previous_workers]]</f>
        <v>0.55555555555555558</v>
      </c>
    </row>
    <row r="739" spans="1:13" x14ac:dyDescent="0.25">
      <c r="A739" s="1" t="s">
        <v>5838</v>
      </c>
      <c r="B739" s="1" t="s">
        <v>5839</v>
      </c>
      <c r="C739" s="1">
        <v>35000000</v>
      </c>
      <c r="D739" s="1" t="s">
        <v>33</v>
      </c>
      <c r="E739">
        <v>130.27250000000001</v>
      </c>
      <c r="F739" s="1" t="s">
        <v>12</v>
      </c>
      <c r="G739">
        <v>46</v>
      </c>
      <c r="H739">
        <v>25</v>
      </c>
      <c r="I739" s="1" t="s">
        <v>229</v>
      </c>
      <c r="J739">
        <v>1</v>
      </c>
      <c r="K739" t="str">
        <f>IF(Tb_data[[#This Row],[previous_workers]]&lt;Tb_data[[#This Row],[workers]],"yes","no")</f>
        <v>yes</v>
      </c>
      <c r="L739">
        <f>Tb_data[[#This Row],[workers]]-Tb_data[[#This Row],[previous_workers]]</f>
        <v>21</v>
      </c>
      <c r="M739" s="12">
        <f>Tb_data[[#This Row],[Employees Growth]]/Tb_data[[#This Row],[previous_workers]]</f>
        <v>0.84</v>
      </c>
    </row>
    <row r="740" spans="1:13" x14ac:dyDescent="0.25">
      <c r="A740" s="1" t="s">
        <v>4036</v>
      </c>
      <c r="B740" s="1" t="s">
        <v>4039</v>
      </c>
      <c r="C740" s="1">
        <v>23600000</v>
      </c>
      <c r="D740" s="1" t="s">
        <v>11</v>
      </c>
      <c r="E740">
        <v>205.44649999999999</v>
      </c>
      <c r="F740" s="1" t="s">
        <v>21</v>
      </c>
      <c r="G740">
        <v>58</v>
      </c>
      <c r="H740">
        <v>24</v>
      </c>
      <c r="I740" s="1" t="s">
        <v>980</v>
      </c>
      <c r="J740">
        <v>2</v>
      </c>
      <c r="K740" t="str">
        <f>IF(Tb_data[[#This Row],[previous_workers]]&lt;Tb_data[[#This Row],[workers]],"yes","no")</f>
        <v>yes</v>
      </c>
      <c r="L740">
        <f>Tb_data[[#This Row],[workers]]-Tb_data[[#This Row],[previous_workers]]</f>
        <v>34</v>
      </c>
      <c r="M740" s="12">
        <f>Tb_data[[#This Row],[Employees Growth]]/Tb_data[[#This Row],[previous_workers]]</f>
        <v>1.4166666666666667</v>
      </c>
    </row>
    <row r="741" spans="1:13" x14ac:dyDescent="0.25">
      <c r="A741" s="1" t="s">
        <v>9620</v>
      </c>
      <c r="B741" s="1" t="s">
        <v>9621</v>
      </c>
      <c r="C741" s="1">
        <v>6800000</v>
      </c>
      <c r="D741" s="1" t="s">
        <v>123</v>
      </c>
      <c r="E741">
        <v>58.987200000000001</v>
      </c>
      <c r="F741" s="1" t="s">
        <v>25</v>
      </c>
      <c r="G741">
        <v>21</v>
      </c>
      <c r="H741">
        <v>17</v>
      </c>
      <c r="I741" s="1" t="s">
        <v>4062</v>
      </c>
      <c r="J741">
        <v>3</v>
      </c>
      <c r="K741" t="str">
        <f>IF(Tb_data[[#This Row],[previous_workers]]&lt;Tb_data[[#This Row],[workers]],"yes","no")</f>
        <v>yes</v>
      </c>
      <c r="L741">
        <f>Tb_data[[#This Row],[workers]]-Tb_data[[#This Row],[previous_workers]]</f>
        <v>4</v>
      </c>
      <c r="M741" s="12">
        <f>Tb_data[[#This Row],[Employees Growth]]/Tb_data[[#This Row],[previous_workers]]</f>
        <v>0.23529411764705882</v>
      </c>
    </row>
    <row r="742" spans="1:13" x14ac:dyDescent="0.25">
      <c r="A742" s="1" t="s">
        <v>5770</v>
      </c>
      <c r="B742" s="1" t="s">
        <v>5771</v>
      </c>
      <c r="C742" s="1">
        <v>68300000</v>
      </c>
      <c r="D742" s="1" t="s">
        <v>45</v>
      </c>
      <c r="E742">
        <v>132.07679999999999</v>
      </c>
      <c r="F742" s="1" t="s">
        <v>169</v>
      </c>
      <c r="G742">
        <v>160</v>
      </c>
      <c r="H742">
        <v>58</v>
      </c>
      <c r="I742" s="1" t="s">
        <v>35</v>
      </c>
      <c r="J742">
        <v>5</v>
      </c>
      <c r="K742" t="str">
        <f>IF(Tb_data[[#This Row],[previous_workers]]&lt;Tb_data[[#This Row],[workers]],"yes","no")</f>
        <v>yes</v>
      </c>
      <c r="L742">
        <f>Tb_data[[#This Row],[workers]]-Tb_data[[#This Row],[previous_workers]]</f>
        <v>102</v>
      </c>
      <c r="M742" s="12">
        <f>Tb_data[[#This Row],[Employees Growth]]/Tb_data[[#This Row],[previous_workers]]</f>
        <v>1.7586206896551724</v>
      </c>
    </row>
    <row r="743" spans="1:13" x14ac:dyDescent="0.25">
      <c r="A743" s="1" t="s">
        <v>4361</v>
      </c>
      <c r="B743" s="1" t="s">
        <v>4362</v>
      </c>
      <c r="C743" s="1">
        <v>15900000</v>
      </c>
      <c r="D743" s="1" t="s">
        <v>61</v>
      </c>
      <c r="E743">
        <v>188.11070000000001</v>
      </c>
      <c r="F743" s="1" t="s">
        <v>86</v>
      </c>
      <c r="G743">
        <v>41</v>
      </c>
      <c r="H743">
        <v>52</v>
      </c>
      <c r="I743" s="1" t="s">
        <v>2611</v>
      </c>
      <c r="J743">
        <v>1</v>
      </c>
      <c r="K743" t="str">
        <f>IF(Tb_data[[#This Row],[previous_workers]]&lt;Tb_data[[#This Row],[workers]],"yes","no")</f>
        <v>no</v>
      </c>
      <c r="L743">
        <f>Tb_data[[#This Row],[workers]]-Tb_data[[#This Row],[previous_workers]]</f>
        <v>-11</v>
      </c>
      <c r="M743" s="12">
        <f>Tb_data[[#This Row],[Employees Growth]]/Tb_data[[#This Row],[previous_workers]]</f>
        <v>-0.21153846153846154</v>
      </c>
    </row>
    <row r="744" spans="1:13" x14ac:dyDescent="0.25">
      <c r="A744" s="1" t="s">
        <v>985</v>
      </c>
      <c r="B744" s="1" t="s">
        <v>986</v>
      </c>
      <c r="C744" s="1">
        <v>4100000</v>
      </c>
      <c r="D744" s="1" t="s">
        <v>49</v>
      </c>
      <c r="E744">
        <v>1022.9622000000001</v>
      </c>
      <c r="F744" s="1" t="s">
        <v>124</v>
      </c>
      <c r="G744">
        <v>8</v>
      </c>
      <c r="H744">
        <v>1</v>
      </c>
      <c r="I744" s="1" t="s">
        <v>13</v>
      </c>
      <c r="J744">
        <v>1</v>
      </c>
      <c r="K744" t="str">
        <f>IF(Tb_data[[#This Row],[previous_workers]]&lt;Tb_data[[#This Row],[workers]],"yes","no")</f>
        <v>yes</v>
      </c>
      <c r="L744">
        <f>Tb_data[[#This Row],[workers]]-Tb_data[[#This Row],[previous_workers]]</f>
        <v>7</v>
      </c>
      <c r="M744" s="12">
        <f>Tb_data[[#This Row],[Employees Growth]]/Tb_data[[#This Row],[previous_workers]]</f>
        <v>7</v>
      </c>
    </row>
    <row r="745" spans="1:13" x14ac:dyDescent="0.25">
      <c r="A745" s="1" t="s">
        <v>6543</v>
      </c>
      <c r="B745" s="1" t="s">
        <v>6544</v>
      </c>
      <c r="C745" s="1">
        <v>29500000</v>
      </c>
      <c r="D745" s="1" t="s">
        <v>20</v>
      </c>
      <c r="E745">
        <v>112.849</v>
      </c>
      <c r="F745" s="1" t="s">
        <v>124</v>
      </c>
      <c r="G745">
        <v>51</v>
      </c>
      <c r="H745">
        <v>29</v>
      </c>
      <c r="I745" s="1" t="s">
        <v>372</v>
      </c>
      <c r="J745">
        <v>3</v>
      </c>
      <c r="K745" t="str">
        <f>IF(Tb_data[[#This Row],[previous_workers]]&lt;Tb_data[[#This Row],[workers]],"yes","no")</f>
        <v>yes</v>
      </c>
      <c r="L745">
        <f>Tb_data[[#This Row],[workers]]-Tb_data[[#This Row],[previous_workers]]</f>
        <v>22</v>
      </c>
      <c r="M745" s="12">
        <f>Tb_data[[#This Row],[Employees Growth]]/Tb_data[[#This Row],[previous_workers]]</f>
        <v>0.75862068965517238</v>
      </c>
    </row>
    <row r="746" spans="1:13" x14ac:dyDescent="0.25">
      <c r="A746" s="1" t="s">
        <v>6673</v>
      </c>
      <c r="B746" s="1" t="s">
        <v>6674</v>
      </c>
      <c r="C746" s="1">
        <v>18300000</v>
      </c>
      <c r="D746" s="1" t="s">
        <v>179</v>
      </c>
      <c r="E746">
        <v>109.8082</v>
      </c>
      <c r="F746" s="1" t="s">
        <v>86</v>
      </c>
      <c r="G746">
        <v>82</v>
      </c>
      <c r="H746">
        <v>57</v>
      </c>
      <c r="I746" s="1" t="s">
        <v>226</v>
      </c>
      <c r="J746">
        <v>1</v>
      </c>
      <c r="K746" t="str">
        <f>IF(Tb_data[[#This Row],[previous_workers]]&lt;Tb_data[[#This Row],[workers]],"yes","no")</f>
        <v>yes</v>
      </c>
      <c r="L746">
        <f>Tb_data[[#This Row],[workers]]-Tb_data[[#This Row],[previous_workers]]</f>
        <v>25</v>
      </c>
      <c r="M746" s="12">
        <f>Tb_data[[#This Row],[Employees Growth]]/Tb_data[[#This Row],[previous_workers]]</f>
        <v>0.43859649122807015</v>
      </c>
    </row>
    <row r="747" spans="1:13" x14ac:dyDescent="0.25">
      <c r="A747" s="1" t="s">
        <v>7707</v>
      </c>
      <c r="B747" s="1" t="s">
        <v>7708</v>
      </c>
      <c r="C747" s="1">
        <v>2400000</v>
      </c>
      <c r="D747" s="1" t="s">
        <v>115</v>
      </c>
      <c r="E747">
        <v>88.006100000000004</v>
      </c>
      <c r="F747" s="1" t="s">
        <v>176</v>
      </c>
      <c r="G747">
        <v>7</v>
      </c>
      <c r="H747">
        <v>4</v>
      </c>
      <c r="I747" s="1" t="s">
        <v>164</v>
      </c>
      <c r="J747">
        <v>1</v>
      </c>
      <c r="K747" t="str">
        <f>IF(Tb_data[[#This Row],[previous_workers]]&lt;Tb_data[[#This Row],[workers]],"yes","no")</f>
        <v>yes</v>
      </c>
      <c r="L747">
        <f>Tb_data[[#This Row],[workers]]-Tb_data[[#This Row],[previous_workers]]</f>
        <v>3</v>
      </c>
      <c r="M747" s="12">
        <f>Tb_data[[#This Row],[Employees Growth]]/Tb_data[[#This Row],[previous_workers]]</f>
        <v>0.75</v>
      </c>
    </row>
    <row r="748" spans="1:13" x14ac:dyDescent="0.25">
      <c r="A748" s="1" t="s">
        <v>6547</v>
      </c>
      <c r="B748" s="1" t="s">
        <v>6548</v>
      </c>
      <c r="C748" s="1">
        <v>41400000</v>
      </c>
      <c r="D748" s="1" t="s">
        <v>179</v>
      </c>
      <c r="E748">
        <v>112.6896</v>
      </c>
      <c r="F748" s="1" t="s">
        <v>86</v>
      </c>
      <c r="G748">
        <v>223</v>
      </c>
      <c r="H748">
        <v>136</v>
      </c>
      <c r="I748" s="1" t="s">
        <v>147</v>
      </c>
      <c r="J748">
        <v>8</v>
      </c>
      <c r="K748" t="str">
        <f>IF(Tb_data[[#This Row],[previous_workers]]&lt;Tb_data[[#This Row],[workers]],"yes","no")</f>
        <v>yes</v>
      </c>
      <c r="L748">
        <f>Tb_data[[#This Row],[workers]]-Tb_data[[#This Row],[previous_workers]]</f>
        <v>87</v>
      </c>
      <c r="M748" s="12">
        <f>Tb_data[[#This Row],[Employees Growth]]/Tb_data[[#This Row],[previous_workers]]</f>
        <v>0.63970588235294112</v>
      </c>
    </row>
    <row r="749" spans="1:13" x14ac:dyDescent="0.25">
      <c r="A749" s="1" t="s">
        <v>2362</v>
      </c>
      <c r="B749" s="1" t="s">
        <v>2363</v>
      </c>
      <c r="C749" s="1">
        <v>7600000</v>
      </c>
      <c r="D749" s="1" t="s">
        <v>254</v>
      </c>
      <c r="E749">
        <v>370.60669999999999</v>
      </c>
      <c r="F749" s="1" t="s">
        <v>86</v>
      </c>
      <c r="G749">
        <v>74</v>
      </c>
      <c r="H749">
        <v>16</v>
      </c>
      <c r="I749" s="1" t="s">
        <v>117</v>
      </c>
      <c r="J749">
        <v>3</v>
      </c>
      <c r="K749" t="str">
        <f>IF(Tb_data[[#This Row],[previous_workers]]&lt;Tb_data[[#This Row],[workers]],"yes","no")</f>
        <v>yes</v>
      </c>
      <c r="L749">
        <f>Tb_data[[#This Row],[workers]]-Tb_data[[#This Row],[previous_workers]]</f>
        <v>58</v>
      </c>
      <c r="M749" s="12">
        <f>Tb_data[[#This Row],[Employees Growth]]/Tb_data[[#This Row],[previous_workers]]</f>
        <v>3.625</v>
      </c>
    </row>
    <row r="750" spans="1:13" x14ac:dyDescent="0.25">
      <c r="A750" s="1" t="s">
        <v>5108</v>
      </c>
      <c r="B750" s="1" t="s">
        <v>5109</v>
      </c>
      <c r="C750" s="1">
        <v>3900000</v>
      </c>
      <c r="D750" s="1" t="s">
        <v>33</v>
      </c>
      <c r="E750">
        <v>157.1549</v>
      </c>
      <c r="F750" s="1" t="s">
        <v>12</v>
      </c>
      <c r="G750">
        <v>13</v>
      </c>
      <c r="H750">
        <v>11</v>
      </c>
      <c r="I750" s="1" t="s">
        <v>35</v>
      </c>
      <c r="J750">
        <v>1</v>
      </c>
      <c r="K750" t="str">
        <f>IF(Tb_data[[#This Row],[previous_workers]]&lt;Tb_data[[#This Row],[workers]],"yes","no")</f>
        <v>yes</v>
      </c>
      <c r="L750">
        <f>Tb_data[[#This Row],[workers]]-Tb_data[[#This Row],[previous_workers]]</f>
        <v>2</v>
      </c>
      <c r="M750" s="12">
        <f>Tb_data[[#This Row],[Employees Growth]]/Tb_data[[#This Row],[previous_workers]]</f>
        <v>0.18181818181818182</v>
      </c>
    </row>
    <row r="751" spans="1:13" x14ac:dyDescent="0.25">
      <c r="A751" s="1" t="s">
        <v>6341</v>
      </c>
      <c r="B751" s="1" t="s">
        <v>6342</v>
      </c>
      <c r="C751" s="1">
        <v>7100000</v>
      </c>
      <c r="D751" s="1" t="s">
        <v>500</v>
      </c>
      <c r="E751">
        <v>117.69929999999999</v>
      </c>
      <c r="F751" s="1" t="s">
        <v>25</v>
      </c>
      <c r="G751">
        <v>189</v>
      </c>
      <c r="H751">
        <v>14</v>
      </c>
      <c r="I751" s="1" t="s">
        <v>130</v>
      </c>
      <c r="J751">
        <v>3</v>
      </c>
      <c r="K751" t="str">
        <f>IF(Tb_data[[#This Row],[previous_workers]]&lt;Tb_data[[#This Row],[workers]],"yes","no")</f>
        <v>yes</v>
      </c>
      <c r="L751">
        <f>Tb_data[[#This Row],[workers]]-Tb_data[[#This Row],[previous_workers]]</f>
        <v>175</v>
      </c>
      <c r="M751" s="12">
        <f>Tb_data[[#This Row],[Employees Growth]]/Tb_data[[#This Row],[previous_workers]]</f>
        <v>12.5</v>
      </c>
    </row>
    <row r="752" spans="1:13" x14ac:dyDescent="0.25">
      <c r="A752" s="1" t="s">
        <v>6579</v>
      </c>
      <c r="B752" s="1" t="s">
        <v>6580</v>
      </c>
      <c r="C752" s="1">
        <v>9400000</v>
      </c>
      <c r="D752" s="1" t="s">
        <v>1446</v>
      </c>
      <c r="E752">
        <v>112.011</v>
      </c>
      <c r="F752" s="1" t="s">
        <v>12</v>
      </c>
      <c r="G752">
        <v>86</v>
      </c>
      <c r="H752">
        <v>30</v>
      </c>
      <c r="I752" s="1" t="s">
        <v>836</v>
      </c>
      <c r="J752">
        <v>4</v>
      </c>
      <c r="K752" t="str">
        <f>IF(Tb_data[[#This Row],[previous_workers]]&lt;Tb_data[[#This Row],[workers]],"yes","no")</f>
        <v>yes</v>
      </c>
      <c r="L752">
        <f>Tb_data[[#This Row],[workers]]-Tb_data[[#This Row],[previous_workers]]</f>
        <v>56</v>
      </c>
      <c r="M752" s="12">
        <f>Tb_data[[#This Row],[Employees Growth]]/Tb_data[[#This Row],[previous_workers]]</f>
        <v>1.8666666666666667</v>
      </c>
    </row>
    <row r="753" spans="1:13" x14ac:dyDescent="0.25">
      <c r="A753" s="1" t="s">
        <v>1954</v>
      </c>
      <c r="B753" s="1" t="s">
        <v>1955</v>
      </c>
      <c r="C753" s="1">
        <v>14200000</v>
      </c>
      <c r="D753" s="1" t="s">
        <v>33</v>
      </c>
      <c r="E753">
        <v>459.29169999999999</v>
      </c>
      <c r="F753" s="1" t="s">
        <v>124</v>
      </c>
      <c r="G753">
        <v>55</v>
      </c>
      <c r="H753">
        <v>15</v>
      </c>
      <c r="I753" s="1" t="s">
        <v>26</v>
      </c>
      <c r="J753">
        <v>1</v>
      </c>
      <c r="K753" t="str">
        <f>IF(Tb_data[[#This Row],[previous_workers]]&lt;Tb_data[[#This Row],[workers]],"yes","no")</f>
        <v>yes</v>
      </c>
      <c r="L753">
        <f>Tb_data[[#This Row],[workers]]-Tb_data[[#This Row],[previous_workers]]</f>
        <v>40</v>
      </c>
      <c r="M753" s="12">
        <f>Tb_data[[#This Row],[Employees Growth]]/Tb_data[[#This Row],[previous_workers]]</f>
        <v>2.6666666666666665</v>
      </c>
    </row>
    <row r="754" spans="1:13" x14ac:dyDescent="0.25">
      <c r="A754" s="1" t="s">
        <v>7993</v>
      </c>
      <c r="B754" s="1" t="s">
        <v>7994</v>
      </c>
      <c r="C754" s="1">
        <v>21900000</v>
      </c>
      <c r="D754" s="1" t="s">
        <v>24</v>
      </c>
      <c r="E754">
        <v>82.838499999999996</v>
      </c>
      <c r="F754" s="1" t="s">
        <v>97</v>
      </c>
      <c r="G754">
        <v>130</v>
      </c>
      <c r="H754">
        <v>75</v>
      </c>
      <c r="I754" s="1" t="s">
        <v>74</v>
      </c>
      <c r="J754">
        <v>6</v>
      </c>
      <c r="K754" t="str">
        <f>IF(Tb_data[[#This Row],[previous_workers]]&lt;Tb_data[[#This Row],[workers]],"yes","no")</f>
        <v>yes</v>
      </c>
      <c r="L754">
        <f>Tb_data[[#This Row],[workers]]-Tb_data[[#This Row],[previous_workers]]</f>
        <v>55</v>
      </c>
      <c r="M754" s="12">
        <f>Tb_data[[#This Row],[Employees Growth]]/Tb_data[[#This Row],[previous_workers]]</f>
        <v>0.73333333333333328</v>
      </c>
    </row>
    <row r="755" spans="1:13" x14ac:dyDescent="0.25">
      <c r="A755" s="1" t="s">
        <v>8775</v>
      </c>
      <c r="B755" s="1" t="s">
        <v>8776</v>
      </c>
      <c r="C755" s="1">
        <v>36000000</v>
      </c>
      <c r="D755" s="1" t="s">
        <v>49</v>
      </c>
      <c r="E755">
        <v>69.896799999999999</v>
      </c>
      <c r="F755" s="1" t="s">
        <v>172</v>
      </c>
      <c r="G755">
        <v>89</v>
      </c>
      <c r="H755">
        <v>67</v>
      </c>
      <c r="I755" s="1" t="s">
        <v>468</v>
      </c>
      <c r="J755">
        <v>7</v>
      </c>
      <c r="K755" t="str">
        <f>IF(Tb_data[[#This Row],[previous_workers]]&lt;Tb_data[[#This Row],[workers]],"yes","no")</f>
        <v>yes</v>
      </c>
      <c r="L755">
        <f>Tb_data[[#This Row],[workers]]-Tb_data[[#This Row],[previous_workers]]</f>
        <v>22</v>
      </c>
      <c r="M755" s="12">
        <f>Tb_data[[#This Row],[Employees Growth]]/Tb_data[[#This Row],[previous_workers]]</f>
        <v>0.32835820895522388</v>
      </c>
    </row>
    <row r="756" spans="1:13" x14ac:dyDescent="0.25">
      <c r="A756" s="1" t="s">
        <v>6113</v>
      </c>
      <c r="B756" s="1" t="s">
        <v>6114</v>
      </c>
      <c r="C756" s="1">
        <v>8900000</v>
      </c>
      <c r="D756" s="1" t="s">
        <v>20</v>
      </c>
      <c r="E756">
        <v>123.3419</v>
      </c>
      <c r="F756" s="1" t="s">
        <v>176</v>
      </c>
      <c r="G756">
        <v>250</v>
      </c>
      <c r="H756">
        <v>100</v>
      </c>
      <c r="I756" s="1" t="s">
        <v>130</v>
      </c>
      <c r="J756">
        <v>3</v>
      </c>
      <c r="K756" t="str">
        <f>IF(Tb_data[[#This Row],[previous_workers]]&lt;Tb_data[[#This Row],[workers]],"yes","no")</f>
        <v>yes</v>
      </c>
      <c r="L756">
        <f>Tb_data[[#This Row],[workers]]-Tb_data[[#This Row],[previous_workers]]</f>
        <v>150</v>
      </c>
      <c r="M756" s="12">
        <f>Tb_data[[#This Row],[Employees Growth]]/Tb_data[[#This Row],[previous_workers]]</f>
        <v>1.5</v>
      </c>
    </row>
    <row r="757" spans="1:13" x14ac:dyDescent="0.25">
      <c r="A757" s="1" t="s">
        <v>6223</v>
      </c>
      <c r="B757" s="1" t="s">
        <v>6224</v>
      </c>
      <c r="C757" s="1">
        <v>128900000</v>
      </c>
      <c r="D757" s="1" t="s">
        <v>254</v>
      </c>
      <c r="E757">
        <v>120.80929999999999</v>
      </c>
      <c r="F757" s="1" t="s">
        <v>82</v>
      </c>
      <c r="G757">
        <v>50</v>
      </c>
      <c r="H757">
        <v>38</v>
      </c>
      <c r="I757" s="1" t="s">
        <v>46</v>
      </c>
      <c r="J757">
        <v>3</v>
      </c>
      <c r="K757" t="str">
        <f>IF(Tb_data[[#This Row],[previous_workers]]&lt;Tb_data[[#This Row],[workers]],"yes","no")</f>
        <v>yes</v>
      </c>
      <c r="L757">
        <f>Tb_data[[#This Row],[workers]]-Tb_data[[#This Row],[previous_workers]]</f>
        <v>12</v>
      </c>
      <c r="M757" s="12">
        <f>Tb_data[[#This Row],[Employees Growth]]/Tb_data[[#This Row],[previous_workers]]</f>
        <v>0.31578947368421051</v>
      </c>
    </row>
    <row r="758" spans="1:13" x14ac:dyDescent="0.25">
      <c r="A758" s="1" t="s">
        <v>6775</v>
      </c>
      <c r="B758" s="1" t="s">
        <v>6776</v>
      </c>
      <c r="C758" s="1">
        <v>12900000</v>
      </c>
      <c r="D758" s="1" t="s">
        <v>91</v>
      </c>
      <c r="E758">
        <v>107.2599</v>
      </c>
      <c r="F758" s="1" t="s">
        <v>12</v>
      </c>
      <c r="G758">
        <v>152</v>
      </c>
      <c r="H758">
        <v>87</v>
      </c>
      <c r="I758" s="1" t="s">
        <v>46</v>
      </c>
      <c r="J758">
        <v>5</v>
      </c>
      <c r="K758" t="str">
        <f>IF(Tb_data[[#This Row],[previous_workers]]&lt;Tb_data[[#This Row],[workers]],"yes","no")</f>
        <v>yes</v>
      </c>
      <c r="L758">
        <f>Tb_data[[#This Row],[workers]]-Tb_data[[#This Row],[previous_workers]]</f>
        <v>65</v>
      </c>
      <c r="M758" s="12">
        <f>Tb_data[[#This Row],[Employees Growth]]/Tb_data[[#This Row],[previous_workers]]</f>
        <v>0.74712643678160917</v>
      </c>
    </row>
    <row r="759" spans="1:13" x14ac:dyDescent="0.25">
      <c r="A759" s="1" t="s">
        <v>1357</v>
      </c>
      <c r="B759" s="1" t="s">
        <v>1358</v>
      </c>
      <c r="C759" s="1">
        <v>75300000</v>
      </c>
      <c r="D759" s="1" t="s">
        <v>61</v>
      </c>
      <c r="E759">
        <v>700.39530000000002</v>
      </c>
      <c r="F759" s="1" t="s">
        <v>116</v>
      </c>
      <c r="G759">
        <v>296</v>
      </c>
      <c r="H759">
        <v>112</v>
      </c>
      <c r="I759" s="1" t="s">
        <v>55</v>
      </c>
      <c r="J759">
        <v>2</v>
      </c>
      <c r="K759" t="str">
        <f>IF(Tb_data[[#This Row],[previous_workers]]&lt;Tb_data[[#This Row],[workers]],"yes","no")</f>
        <v>yes</v>
      </c>
      <c r="L759">
        <f>Tb_data[[#This Row],[workers]]-Tb_data[[#This Row],[previous_workers]]</f>
        <v>184</v>
      </c>
      <c r="M759" s="12">
        <f>Tb_data[[#This Row],[Employees Growth]]/Tb_data[[#This Row],[previous_workers]]</f>
        <v>1.6428571428571428</v>
      </c>
    </row>
    <row r="760" spans="1:13" x14ac:dyDescent="0.25">
      <c r="A760" s="1" t="s">
        <v>9453</v>
      </c>
      <c r="B760" s="1" t="s">
        <v>9454</v>
      </c>
      <c r="C760" s="1">
        <v>82600000</v>
      </c>
      <c r="D760" s="1" t="s">
        <v>33</v>
      </c>
      <c r="E760">
        <v>60.811799999999998</v>
      </c>
      <c r="F760" s="1" t="s">
        <v>100</v>
      </c>
      <c r="G760">
        <v>50</v>
      </c>
      <c r="H760">
        <v>40</v>
      </c>
      <c r="I760" s="1" t="s">
        <v>3843</v>
      </c>
      <c r="J760">
        <v>1</v>
      </c>
      <c r="K760" t="str">
        <f>IF(Tb_data[[#This Row],[previous_workers]]&lt;Tb_data[[#This Row],[workers]],"yes","no")</f>
        <v>yes</v>
      </c>
      <c r="L760">
        <f>Tb_data[[#This Row],[workers]]-Tb_data[[#This Row],[previous_workers]]</f>
        <v>10</v>
      </c>
      <c r="M760" s="12">
        <f>Tb_data[[#This Row],[Employees Growth]]/Tb_data[[#This Row],[previous_workers]]</f>
        <v>0.25</v>
      </c>
    </row>
    <row r="761" spans="1:13" x14ac:dyDescent="0.25">
      <c r="A761" s="1" t="s">
        <v>5268</v>
      </c>
      <c r="B761" s="1" t="s">
        <v>5269</v>
      </c>
      <c r="C761" s="1">
        <v>3100000</v>
      </c>
      <c r="D761" s="1" t="s">
        <v>11</v>
      </c>
      <c r="E761">
        <v>151.1653</v>
      </c>
      <c r="F761" s="1" t="s">
        <v>25</v>
      </c>
      <c r="G761">
        <v>10</v>
      </c>
      <c r="H761">
        <v>6</v>
      </c>
      <c r="I761" s="1" t="s">
        <v>55</v>
      </c>
      <c r="J761">
        <v>2</v>
      </c>
      <c r="K761" t="str">
        <f>IF(Tb_data[[#This Row],[previous_workers]]&lt;Tb_data[[#This Row],[workers]],"yes","no")</f>
        <v>yes</v>
      </c>
      <c r="L761">
        <f>Tb_data[[#This Row],[workers]]-Tb_data[[#This Row],[previous_workers]]</f>
        <v>4</v>
      </c>
      <c r="M761" s="12">
        <f>Tb_data[[#This Row],[Employees Growth]]/Tb_data[[#This Row],[previous_workers]]</f>
        <v>0.66666666666666663</v>
      </c>
    </row>
    <row r="762" spans="1:13" x14ac:dyDescent="0.25">
      <c r="A762" s="1" t="s">
        <v>7979</v>
      </c>
      <c r="B762" s="1" t="s">
        <v>7980</v>
      </c>
      <c r="C762" s="1">
        <v>9800000</v>
      </c>
      <c r="D762" s="1" t="s">
        <v>61</v>
      </c>
      <c r="E762">
        <v>83.169700000000006</v>
      </c>
      <c r="F762" s="1" t="s">
        <v>25</v>
      </c>
      <c r="G762">
        <v>24</v>
      </c>
      <c r="H762">
        <v>8</v>
      </c>
      <c r="I762" s="1" t="s">
        <v>35</v>
      </c>
      <c r="J762">
        <v>1</v>
      </c>
      <c r="K762" t="str">
        <f>IF(Tb_data[[#This Row],[previous_workers]]&lt;Tb_data[[#This Row],[workers]],"yes","no")</f>
        <v>yes</v>
      </c>
      <c r="L762">
        <f>Tb_data[[#This Row],[workers]]-Tb_data[[#This Row],[previous_workers]]</f>
        <v>16</v>
      </c>
      <c r="M762" s="12">
        <f>Tb_data[[#This Row],[Employees Growth]]/Tb_data[[#This Row],[previous_workers]]</f>
        <v>2</v>
      </c>
    </row>
    <row r="763" spans="1:13" x14ac:dyDescent="0.25">
      <c r="A763" s="1" t="s">
        <v>5987</v>
      </c>
      <c r="B763" s="1" t="s">
        <v>5988</v>
      </c>
      <c r="C763" s="1">
        <v>18700000</v>
      </c>
      <c r="D763" s="1" t="s">
        <v>41</v>
      </c>
      <c r="E763">
        <v>126.92010000000001</v>
      </c>
      <c r="F763" s="1" t="s">
        <v>25</v>
      </c>
      <c r="G763">
        <v>26</v>
      </c>
      <c r="H763">
        <v>54</v>
      </c>
      <c r="I763" s="1" t="s">
        <v>130</v>
      </c>
      <c r="J763">
        <v>3</v>
      </c>
      <c r="K763" t="str">
        <f>IF(Tb_data[[#This Row],[previous_workers]]&lt;Tb_data[[#This Row],[workers]],"yes","no")</f>
        <v>no</v>
      </c>
      <c r="L763">
        <f>Tb_data[[#This Row],[workers]]-Tb_data[[#This Row],[previous_workers]]</f>
        <v>-28</v>
      </c>
      <c r="M763" s="12">
        <f>Tb_data[[#This Row],[Employees Growth]]/Tb_data[[#This Row],[previous_workers]]</f>
        <v>-0.51851851851851849</v>
      </c>
    </row>
    <row r="764" spans="1:13" x14ac:dyDescent="0.25">
      <c r="A764" s="1" t="s">
        <v>285</v>
      </c>
      <c r="B764" s="1" t="s">
        <v>286</v>
      </c>
      <c r="C764" s="1">
        <v>3500000</v>
      </c>
      <c r="D764" s="1" t="s">
        <v>49</v>
      </c>
      <c r="E764">
        <v>3201.1487999999999</v>
      </c>
      <c r="F764" s="1" t="s">
        <v>176</v>
      </c>
      <c r="G764">
        <v>18</v>
      </c>
      <c r="H764">
        <v>3</v>
      </c>
      <c r="I764" s="1" t="s">
        <v>13</v>
      </c>
      <c r="J764">
        <v>1</v>
      </c>
      <c r="K764" t="str">
        <f>IF(Tb_data[[#This Row],[previous_workers]]&lt;Tb_data[[#This Row],[workers]],"yes","no")</f>
        <v>yes</v>
      </c>
      <c r="L764">
        <f>Tb_data[[#This Row],[workers]]-Tb_data[[#This Row],[previous_workers]]</f>
        <v>15</v>
      </c>
      <c r="M764" s="12">
        <f>Tb_data[[#This Row],[Employees Growth]]/Tb_data[[#This Row],[previous_workers]]</f>
        <v>5</v>
      </c>
    </row>
    <row r="765" spans="1:13" x14ac:dyDescent="0.25">
      <c r="A765" s="1" t="s">
        <v>8379</v>
      </c>
      <c r="B765" s="1" t="s">
        <v>8380</v>
      </c>
      <c r="C765" s="1">
        <v>4100000</v>
      </c>
      <c r="D765" s="1" t="s">
        <v>155</v>
      </c>
      <c r="E765">
        <v>76.479299999999995</v>
      </c>
      <c r="F765" s="1" t="s">
        <v>124</v>
      </c>
      <c r="G765">
        <v>23</v>
      </c>
      <c r="H765">
        <v>15</v>
      </c>
      <c r="I765" s="1" t="s">
        <v>35</v>
      </c>
      <c r="J765">
        <v>1</v>
      </c>
      <c r="K765" t="str">
        <f>IF(Tb_data[[#This Row],[previous_workers]]&lt;Tb_data[[#This Row],[workers]],"yes","no")</f>
        <v>yes</v>
      </c>
      <c r="L765">
        <f>Tb_data[[#This Row],[workers]]-Tb_data[[#This Row],[previous_workers]]</f>
        <v>8</v>
      </c>
      <c r="M765" s="12">
        <f>Tb_data[[#This Row],[Employees Growth]]/Tb_data[[#This Row],[previous_workers]]</f>
        <v>0.53333333333333333</v>
      </c>
    </row>
    <row r="766" spans="1:13" x14ac:dyDescent="0.25">
      <c r="A766" s="1" t="s">
        <v>1453</v>
      </c>
      <c r="B766" s="1" t="s">
        <v>1454</v>
      </c>
      <c r="C766" s="1">
        <v>2100000</v>
      </c>
      <c r="D766" s="1" t="s">
        <v>41</v>
      </c>
      <c r="E766">
        <v>646.94629999999995</v>
      </c>
      <c r="F766" s="1" t="s">
        <v>161</v>
      </c>
      <c r="G766">
        <v>17</v>
      </c>
      <c r="H766">
        <v>1</v>
      </c>
      <c r="I766" s="1" t="s">
        <v>13</v>
      </c>
      <c r="J766">
        <v>1</v>
      </c>
      <c r="K766" t="str">
        <f>IF(Tb_data[[#This Row],[previous_workers]]&lt;Tb_data[[#This Row],[workers]],"yes","no")</f>
        <v>yes</v>
      </c>
      <c r="L766">
        <f>Tb_data[[#This Row],[workers]]-Tb_data[[#This Row],[previous_workers]]</f>
        <v>16</v>
      </c>
      <c r="M766" s="12">
        <f>Tb_data[[#This Row],[Employees Growth]]/Tb_data[[#This Row],[previous_workers]]</f>
        <v>16</v>
      </c>
    </row>
    <row r="767" spans="1:13" x14ac:dyDescent="0.25">
      <c r="A767" s="1" t="s">
        <v>2595</v>
      </c>
      <c r="B767" s="1" t="s">
        <v>2596</v>
      </c>
      <c r="C767" s="1">
        <v>2300000</v>
      </c>
      <c r="D767" s="1" t="s">
        <v>49</v>
      </c>
      <c r="E767">
        <v>332.6995</v>
      </c>
      <c r="F767" s="1" t="s">
        <v>12</v>
      </c>
      <c r="G767">
        <v>29</v>
      </c>
      <c r="H767">
        <v>7</v>
      </c>
      <c r="I767" s="1" t="s">
        <v>130</v>
      </c>
      <c r="J767">
        <v>1</v>
      </c>
      <c r="K767" t="str">
        <f>IF(Tb_data[[#This Row],[previous_workers]]&lt;Tb_data[[#This Row],[workers]],"yes","no")</f>
        <v>yes</v>
      </c>
      <c r="L767">
        <f>Tb_data[[#This Row],[workers]]-Tb_data[[#This Row],[previous_workers]]</f>
        <v>22</v>
      </c>
      <c r="M767" s="12">
        <f>Tb_data[[#This Row],[Employees Growth]]/Tb_data[[#This Row],[previous_workers]]</f>
        <v>3.1428571428571428</v>
      </c>
    </row>
    <row r="768" spans="1:13" x14ac:dyDescent="0.25">
      <c r="A768" s="1" t="s">
        <v>9297</v>
      </c>
      <c r="B768" s="1" t="s">
        <v>9298</v>
      </c>
      <c r="C768" s="1">
        <v>4000000</v>
      </c>
      <c r="D768" s="1" t="s">
        <v>33</v>
      </c>
      <c r="E768">
        <v>62.822000000000003</v>
      </c>
      <c r="F768" s="1" t="s">
        <v>112</v>
      </c>
      <c r="G768">
        <v>15</v>
      </c>
      <c r="H768">
        <v>9</v>
      </c>
      <c r="I768" s="1" t="s">
        <v>372</v>
      </c>
      <c r="J768">
        <v>2</v>
      </c>
      <c r="K768" t="str">
        <f>IF(Tb_data[[#This Row],[previous_workers]]&lt;Tb_data[[#This Row],[workers]],"yes","no")</f>
        <v>yes</v>
      </c>
      <c r="L768">
        <f>Tb_data[[#This Row],[workers]]-Tb_data[[#This Row],[previous_workers]]</f>
        <v>6</v>
      </c>
      <c r="M768" s="12">
        <f>Tb_data[[#This Row],[Employees Growth]]/Tb_data[[#This Row],[previous_workers]]</f>
        <v>0.66666666666666663</v>
      </c>
    </row>
    <row r="769" spans="1:13" x14ac:dyDescent="0.25">
      <c r="A769" s="1" t="s">
        <v>7981</v>
      </c>
      <c r="B769" s="1" t="s">
        <v>7982</v>
      </c>
      <c r="C769" s="1">
        <v>2600000</v>
      </c>
      <c r="D769" s="1" t="s">
        <v>49</v>
      </c>
      <c r="E769">
        <v>83.099900000000005</v>
      </c>
      <c r="F769" s="1" t="s">
        <v>12</v>
      </c>
      <c r="G769">
        <v>17</v>
      </c>
      <c r="H769">
        <v>11</v>
      </c>
      <c r="I769" s="1" t="s">
        <v>35</v>
      </c>
      <c r="J769">
        <v>2</v>
      </c>
      <c r="K769" t="str">
        <f>IF(Tb_data[[#This Row],[previous_workers]]&lt;Tb_data[[#This Row],[workers]],"yes","no")</f>
        <v>yes</v>
      </c>
      <c r="L769">
        <f>Tb_data[[#This Row],[workers]]-Tb_data[[#This Row],[previous_workers]]</f>
        <v>6</v>
      </c>
      <c r="M769" s="12">
        <f>Tb_data[[#This Row],[Employees Growth]]/Tb_data[[#This Row],[previous_workers]]</f>
        <v>0.54545454545454541</v>
      </c>
    </row>
    <row r="770" spans="1:13" x14ac:dyDescent="0.25">
      <c r="A770" s="1" t="s">
        <v>4924</v>
      </c>
      <c r="B770" s="1" t="s">
        <v>4925</v>
      </c>
      <c r="C770" s="1">
        <v>7600000</v>
      </c>
      <c r="D770" s="1" t="s">
        <v>41</v>
      </c>
      <c r="E770">
        <v>164.8509</v>
      </c>
      <c r="F770" s="1" t="s">
        <v>42</v>
      </c>
      <c r="G770">
        <v>15</v>
      </c>
      <c r="H770">
        <v>9</v>
      </c>
      <c r="I770" s="1" t="s">
        <v>55</v>
      </c>
      <c r="J770">
        <v>1</v>
      </c>
      <c r="K770" t="str">
        <f>IF(Tb_data[[#This Row],[previous_workers]]&lt;Tb_data[[#This Row],[workers]],"yes","no")</f>
        <v>yes</v>
      </c>
      <c r="L770">
        <f>Tb_data[[#This Row],[workers]]-Tb_data[[#This Row],[previous_workers]]</f>
        <v>6</v>
      </c>
      <c r="M770" s="12">
        <f>Tb_data[[#This Row],[Employees Growth]]/Tb_data[[#This Row],[previous_workers]]</f>
        <v>0.66666666666666663</v>
      </c>
    </row>
    <row r="771" spans="1:13" x14ac:dyDescent="0.25">
      <c r="A771" s="1" t="s">
        <v>8574</v>
      </c>
      <c r="B771" s="1" t="s">
        <v>8575</v>
      </c>
      <c r="C771" s="1">
        <v>3500000</v>
      </c>
      <c r="D771" s="1" t="s">
        <v>45</v>
      </c>
      <c r="E771">
        <v>72.706400000000002</v>
      </c>
      <c r="F771" s="1" t="s">
        <v>176</v>
      </c>
      <c r="G771">
        <v>18</v>
      </c>
      <c r="H771">
        <v>9</v>
      </c>
      <c r="I771" s="1" t="s">
        <v>46</v>
      </c>
      <c r="J771">
        <v>4</v>
      </c>
      <c r="K771" t="str">
        <f>IF(Tb_data[[#This Row],[previous_workers]]&lt;Tb_data[[#This Row],[workers]],"yes","no")</f>
        <v>yes</v>
      </c>
      <c r="L771">
        <f>Tb_data[[#This Row],[workers]]-Tb_data[[#This Row],[previous_workers]]</f>
        <v>9</v>
      </c>
      <c r="M771" s="12">
        <f>Tb_data[[#This Row],[Employees Growth]]/Tb_data[[#This Row],[previous_workers]]</f>
        <v>1</v>
      </c>
    </row>
    <row r="772" spans="1:13" x14ac:dyDescent="0.25">
      <c r="A772" s="1" t="s">
        <v>7160</v>
      </c>
      <c r="B772" s="1" t="s">
        <v>7161</v>
      </c>
      <c r="C772" s="1">
        <v>9600000</v>
      </c>
      <c r="D772" s="1" t="s">
        <v>91</v>
      </c>
      <c r="E772">
        <v>99.1999</v>
      </c>
      <c r="F772" s="1" t="s">
        <v>62</v>
      </c>
      <c r="G772">
        <v>8</v>
      </c>
      <c r="H772">
        <v>7</v>
      </c>
      <c r="I772" s="1" t="s">
        <v>46</v>
      </c>
      <c r="J772">
        <v>3</v>
      </c>
      <c r="K772" t="str">
        <f>IF(Tb_data[[#This Row],[previous_workers]]&lt;Tb_data[[#This Row],[workers]],"yes","no")</f>
        <v>yes</v>
      </c>
      <c r="L772">
        <f>Tb_data[[#This Row],[workers]]-Tb_data[[#This Row],[previous_workers]]</f>
        <v>1</v>
      </c>
      <c r="M772" s="12">
        <f>Tb_data[[#This Row],[Employees Growth]]/Tb_data[[#This Row],[previous_workers]]</f>
        <v>0.14285714285714285</v>
      </c>
    </row>
    <row r="773" spans="1:13" x14ac:dyDescent="0.25">
      <c r="A773" s="1" t="s">
        <v>6413</v>
      </c>
      <c r="B773" s="1" t="s">
        <v>6414</v>
      </c>
      <c r="C773" s="1">
        <v>7200000</v>
      </c>
      <c r="D773" s="1" t="s">
        <v>49</v>
      </c>
      <c r="E773">
        <v>115.9477</v>
      </c>
      <c r="F773" s="1" t="s">
        <v>34</v>
      </c>
      <c r="G773">
        <v>13</v>
      </c>
      <c r="H773">
        <v>11</v>
      </c>
      <c r="I773" s="1" t="s">
        <v>46</v>
      </c>
      <c r="J773">
        <v>1</v>
      </c>
      <c r="K773" t="str">
        <f>IF(Tb_data[[#This Row],[previous_workers]]&lt;Tb_data[[#This Row],[workers]],"yes","no")</f>
        <v>yes</v>
      </c>
      <c r="L773">
        <f>Tb_data[[#This Row],[workers]]-Tb_data[[#This Row],[previous_workers]]</f>
        <v>2</v>
      </c>
      <c r="M773" s="12">
        <f>Tb_data[[#This Row],[Employees Growth]]/Tb_data[[#This Row],[previous_workers]]</f>
        <v>0.18181818181818182</v>
      </c>
    </row>
    <row r="774" spans="1:13" x14ac:dyDescent="0.25">
      <c r="A774" s="1" t="s">
        <v>8159</v>
      </c>
      <c r="B774" s="1" t="s">
        <v>8160</v>
      </c>
      <c r="C774" s="1">
        <v>3300000</v>
      </c>
      <c r="D774" s="1" t="s">
        <v>321</v>
      </c>
      <c r="E774">
        <v>80.282899999999998</v>
      </c>
      <c r="F774" s="1" t="s">
        <v>94</v>
      </c>
      <c r="G774">
        <v>26</v>
      </c>
      <c r="H774">
        <v>10</v>
      </c>
      <c r="I774" s="1" t="s">
        <v>130</v>
      </c>
      <c r="J774">
        <v>1</v>
      </c>
      <c r="K774" t="str">
        <f>IF(Tb_data[[#This Row],[previous_workers]]&lt;Tb_data[[#This Row],[workers]],"yes","no")</f>
        <v>yes</v>
      </c>
      <c r="L774">
        <f>Tb_data[[#This Row],[workers]]-Tb_data[[#This Row],[previous_workers]]</f>
        <v>16</v>
      </c>
      <c r="M774" s="12">
        <f>Tb_data[[#This Row],[Employees Growth]]/Tb_data[[#This Row],[previous_workers]]</f>
        <v>1.6</v>
      </c>
    </row>
    <row r="775" spans="1:13" x14ac:dyDescent="0.25">
      <c r="A775" s="1" t="s">
        <v>6976</v>
      </c>
      <c r="B775" s="1" t="s">
        <v>6977</v>
      </c>
      <c r="C775" s="1">
        <v>7700000</v>
      </c>
      <c r="D775" s="1" t="s">
        <v>129</v>
      </c>
      <c r="E775">
        <v>102.4166</v>
      </c>
      <c r="F775" s="1" t="s">
        <v>86</v>
      </c>
      <c r="G775">
        <v>65</v>
      </c>
      <c r="H775">
        <v>30</v>
      </c>
      <c r="I775" s="1" t="s">
        <v>226</v>
      </c>
      <c r="J775">
        <v>4</v>
      </c>
      <c r="K775" t="str">
        <f>IF(Tb_data[[#This Row],[previous_workers]]&lt;Tb_data[[#This Row],[workers]],"yes","no")</f>
        <v>yes</v>
      </c>
      <c r="L775">
        <f>Tb_data[[#This Row],[workers]]-Tb_data[[#This Row],[previous_workers]]</f>
        <v>35</v>
      </c>
      <c r="M775" s="12">
        <f>Tb_data[[#This Row],[Employees Growth]]/Tb_data[[#This Row],[previous_workers]]</f>
        <v>1.1666666666666667</v>
      </c>
    </row>
    <row r="776" spans="1:13" x14ac:dyDescent="0.25">
      <c r="A776" s="1" t="s">
        <v>4864</v>
      </c>
      <c r="B776" s="1" t="s">
        <v>4865</v>
      </c>
      <c r="C776" s="1">
        <v>19200000</v>
      </c>
      <c r="D776" s="1" t="s">
        <v>49</v>
      </c>
      <c r="E776">
        <v>167.48419999999999</v>
      </c>
      <c r="F776" s="1" t="s">
        <v>34</v>
      </c>
      <c r="G776">
        <v>72</v>
      </c>
      <c r="H776">
        <v>24</v>
      </c>
      <c r="I776" s="1" t="s">
        <v>229</v>
      </c>
      <c r="J776">
        <v>2</v>
      </c>
      <c r="K776" t="str">
        <f>IF(Tb_data[[#This Row],[previous_workers]]&lt;Tb_data[[#This Row],[workers]],"yes","no")</f>
        <v>yes</v>
      </c>
      <c r="L776">
        <f>Tb_data[[#This Row],[workers]]-Tb_data[[#This Row],[previous_workers]]</f>
        <v>48</v>
      </c>
      <c r="M776" s="12">
        <f>Tb_data[[#This Row],[Employees Growth]]/Tb_data[[#This Row],[previous_workers]]</f>
        <v>2</v>
      </c>
    </row>
    <row r="777" spans="1:13" x14ac:dyDescent="0.25">
      <c r="A777" s="1" t="s">
        <v>4481</v>
      </c>
      <c r="B777" s="1" t="s">
        <v>4482</v>
      </c>
      <c r="C777" s="1">
        <v>131800000</v>
      </c>
      <c r="D777" s="1" t="s">
        <v>49</v>
      </c>
      <c r="E777">
        <v>183.4288</v>
      </c>
      <c r="F777" s="1" t="s">
        <v>112</v>
      </c>
      <c r="G777">
        <v>133</v>
      </c>
      <c r="H777">
        <v>66</v>
      </c>
      <c r="I777" s="1" t="s">
        <v>147</v>
      </c>
      <c r="J777">
        <v>11</v>
      </c>
      <c r="K777" t="str">
        <f>IF(Tb_data[[#This Row],[previous_workers]]&lt;Tb_data[[#This Row],[workers]],"yes","no")</f>
        <v>yes</v>
      </c>
      <c r="L777">
        <f>Tb_data[[#This Row],[workers]]-Tb_data[[#This Row],[previous_workers]]</f>
        <v>67</v>
      </c>
      <c r="M777" s="12">
        <f>Tb_data[[#This Row],[Employees Growth]]/Tb_data[[#This Row],[previous_workers]]</f>
        <v>1.0151515151515151</v>
      </c>
    </row>
    <row r="778" spans="1:13" x14ac:dyDescent="0.25">
      <c r="A778" s="1" t="s">
        <v>3914</v>
      </c>
      <c r="B778" s="1" t="s">
        <v>3915</v>
      </c>
      <c r="C778" s="1">
        <v>2700000</v>
      </c>
      <c r="D778" s="1" t="s">
        <v>61</v>
      </c>
      <c r="E778">
        <v>212.57650000000001</v>
      </c>
      <c r="F778" s="1" t="s">
        <v>12</v>
      </c>
      <c r="G778">
        <v>16</v>
      </c>
      <c r="H778">
        <v>3</v>
      </c>
      <c r="I778" s="1" t="s">
        <v>117</v>
      </c>
      <c r="J778">
        <v>1</v>
      </c>
      <c r="K778" t="str">
        <f>IF(Tb_data[[#This Row],[previous_workers]]&lt;Tb_data[[#This Row],[workers]],"yes","no")</f>
        <v>yes</v>
      </c>
      <c r="L778">
        <f>Tb_data[[#This Row],[workers]]-Tb_data[[#This Row],[previous_workers]]</f>
        <v>13</v>
      </c>
      <c r="M778" s="12">
        <f>Tb_data[[#This Row],[Employees Growth]]/Tb_data[[#This Row],[previous_workers]]</f>
        <v>4.333333333333333</v>
      </c>
    </row>
    <row r="779" spans="1:13" x14ac:dyDescent="0.25">
      <c r="A779" s="1" t="s">
        <v>5288</v>
      </c>
      <c r="B779" s="1" t="s">
        <v>5289</v>
      </c>
      <c r="C779" s="1">
        <v>86700000</v>
      </c>
      <c r="D779" s="1" t="s">
        <v>11</v>
      </c>
      <c r="E779">
        <v>150.44749999999999</v>
      </c>
      <c r="F779" s="1" t="s">
        <v>100</v>
      </c>
      <c r="G779">
        <v>73</v>
      </c>
      <c r="H779">
        <v>31</v>
      </c>
      <c r="I779" s="1" t="s">
        <v>46</v>
      </c>
      <c r="J779">
        <v>6</v>
      </c>
      <c r="K779" t="str">
        <f>IF(Tb_data[[#This Row],[previous_workers]]&lt;Tb_data[[#This Row],[workers]],"yes","no")</f>
        <v>yes</v>
      </c>
      <c r="L779">
        <f>Tb_data[[#This Row],[workers]]-Tb_data[[#This Row],[previous_workers]]</f>
        <v>42</v>
      </c>
      <c r="M779" s="12">
        <f>Tb_data[[#This Row],[Employees Growth]]/Tb_data[[#This Row],[previous_workers]]</f>
        <v>1.3548387096774193</v>
      </c>
    </row>
    <row r="780" spans="1:13" x14ac:dyDescent="0.25">
      <c r="A780" s="1" t="s">
        <v>5766</v>
      </c>
      <c r="B780" s="1" t="s">
        <v>5767</v>
      </c>
      <c r="C780" s="1">
        <v>2000000</v>
      </c>
      <c r="D780" s="1" t="s">
        <v>49</v>
      </c>
      <c r="E780">
        <v>132.3432</v>
      </c>
      <c r="F780" s="1" t="s">
        <v>514</v>
      </c>
      <c r="G780">
        <v>12</v>
      </c>
      <c r="H780">
        <v>6</v>
      </c>
      <c r="I780" s="1" t="s">
        <v>35</v>
      </c>
      <c r="J780">
        <v>1</v>
      </c>
      <c r="K780" t="str">
        <f>IF(Tb_data[[#This Row],[previous_workers]]&lt;Tb_data[[#This Row],[workers]],"yes","no")</f>
        <v>yes</v>
      </c>
      <c r="L780">
        <f>Tb_data[[#This Row],[workers]]-Tb_data[[#This Row],[previous_workers]]</f>
        <v>6</v>
      </c>
      <c r="M780" s="12">
        <f>Tb_data[[#This Row],[Employees Growth]]/Tb_data[[#This Row],[previous_workers]]</f>
        <v>1</v>
      </c>
    </row>
    <row r="781" spans="1:13" x14ac:dyDescent="0.25">
      <c r="A781" s="1" t="s">
        <v>5878</v>
      </c>
      <c r="B781" s="1" t="s">
        <v>5879</v>
      </c>
      <c r="C781" s="1">
        <v>7000000</v>
      </c>
      <c r="D781" s="1" t="s">
        <v>49</v>
      </c>
      <c r="E781">
        <v>129.3954</v>
      </c>
      <c r="F781" s="1" t="s">
        <v>34</v>
      </c>
      <c r="G781">
        <v>190</v>
      </c>
      <c r="H781">
        <v>100</v>
      </c>
      <c r="I781" s="1" t="s">
        <v>130</v>
      </c>
      <c r="J781">
        <v>2</v>
      </c>
      <c r="K781" t="str">
        <f>IF(Tb_data[[#This Row],[previous_workers]]&lt;Tb_data[[#This Row],[workers]],"yes","no")</f>
        <v>yes</v>
      </c>
      <c r="L781">
        <f>Tb_data[[#This Row],[workers]]-Tb_data[[#This Row],[previous_workers]]</f>
        <v>90</v>
      </c>
      <c r="M781" s="12">
        <f>Tb_data[[#This Row],[Employees Growth]]/Tb_data[[#This Row],[previous_workers]]</f>
        <v>0.9</v>
      </c>
    </row>
    <row r="782" spans="1:13" x14ac:dyDescent="0.25">
      <c r="A782" s="1" t="s">
        <v>8305</v>
      </c>
      <c r="B782" s="1" t="s">
        <v>8306</v>
      </c>
      <c r="C782" s="1">
        <v>4100000</v>
      </c>
      <c r="D782" s="1" t="s">
        <v>45</v>
      </c>
      <c r="E782">
        <v>77.632099999999994</v>
      </c>
      <c r="F782" s="1" t="s">
        <v>42</v>
      </c>
      <c r="G782">
        <v>103</v>
      </c>
      <c r="H782">
        <v>34</v>
      </c>
      <c r="I782" s="1" t="s">
        <v>4043</v>
      </c>
      <c r="J782">
        <v>1</v>
      </c>
      <c r="K782" t="str">
        <f>IF(Tb_data[[#This Row],[previous_workers]]&lt;Tb_data[[#This Row],[workers]],"yes","no")</f>
        <v>yes</v>
      </c>
      <c r="L782">
        <f>Tb_data[[#This Row],[workers]]-Tb_data[[#This Row],[previous_workers]]</f>
        <v>69</v>
      </c>
      <c r="M782" s="12">
        <f>Tb_data[[#This Row],[Employees Growth]]/Tb_data[[#This Row],[previous_workers]]</f>
        <v>2.0294117647058822</v>
      </c>
    </row>
    <row r="783" spans="1:13" x14ac:dyDescent="0.25">
      <c r="A783" s="1" t="s">
        <v>2801</v>
      </c>
      <c r="B783" s="1" t="s">
        <v>2802</v>
      </c>
      <c r="C783" s="1">
        <v>4100000</v>
      </c>
      <c r="D783" s="1" t="s">
        <v>91</v>
      </c>
      <c r="E783">
        <v>308.33870000000002</v>
      </c>
      <c r="F783" s="1" t="s">
        <v>86</v>
      </c>
      <c r="G783">
        <v>50</v>
      </c>
      <c r="H783">
        <v>7</v>
      </c>
      <c r="I783" s="1" t="s">
        <v>295</v>
      </c>
      <c r="J783">
        <v>1</v>
      </c>
      <c r="K783" t="str">
        <f>IF(Tb_data[[#This Row],[previous_workers]]&lt;Tb_data[[#This Row],[workers]],"yes","no")</f>
        <v>yes</v>
      </c>
      <c r="L783">
        <f>Tb_data[[#This Row],[workers]]-Tb_data[[#This Row],[previous_workers]]</f>
        <v>43</v>
      </c>
      <c r="M783" s="12">
        <f>Tb_data[[#This Row],[Employees Growth]]/Tb_data[[#This Row],[previous_workers]]</f>
        <v>6.1428571428571432</v>
      </c>
    </row>
    <row r="784" spans="1:13" x14ac:dyDescent="0.25">
      <c r="A784" s="1" t="s">
        <v>3396</v>
      </c>
      <c r="B784" s="1" t="s">
        <v>3397</v>
      </c>
      <c r="C784" s="1">
        <v>6900000</v>
      </c>
      <c r="D784" s="1" t="s">
        <v>45</v>
      </c>
      <c r="E784">
        <v>252.0455</v>
      </c>
      <c r="F784" s="1" t="s">
        <v>86</v>
      </c>
      <c r="G784">
        <v>44</v>
      </c>
      <c r="H784">
        <v>9</v>
      </c>
      <c r="I784" s="1" t="s">
        <v>194</v>
      </c>
      <c r="J784">
        <v>3</v>
      </c>
      <c r="K784" t="str">
        <f>IF(Tb_data[[#This Row],[previous_workers]]&lt;Tb_data[[#This Row],[workers]],"yes","no")</f>
        <v>yes</v>
      </c>
      <c r="L784">
        <f>Tb_data[[#This Row],[workers]]-Tb_data[[#This Row],[previous_workers]]</f>
        <v>35</v>
      </c>
      <c r="M784" s="12">
        <f>Tb_data[[#This Row],[Employees Growth]]/Tb_data[[#This Row],[previous_workers]]</f>
        <v>3.8888888888888888</v>
      </c>
    </row>
    <row r="785" spans="1:13" x14ac:dyDescent="0.25">
      <c r="A785" s="1" t="s">
        <v>2272</v>
      </c>
      <c r="B785" s="1" t="s">
        <v>2273</v>
      </c>
      <c r="C785" s="1">
        <v>30400000</v>
      </c>
      <c r="D785" s="1" t="s">
        <v>69</v>
      </c>
      <c r="E785">
        <v>387.4513</v>
      </c>
      <c r="F785" s="1" t="s">
        <v>86</v>
      </c>
      <c r="G785">
        <v>167</v>
      </c>
      <c r="H785">
        <v>33</v>
      </c>
      <c r="I785" s="1" t="s">
        <v>164</v>
      </c>
      <c r="J785">
        <v>4</v>
      </c>
      <c r="K785" t="str">
        <f>IF(Tb_data[[#This Row],[previous_workers]]&lt;Tb_data[[#This Row],[workers]],"yes","no")</f>
        <v>yes</v>
      </c>
      <c r="L785">
        <f>Tb_data[[#This Row],[workers]]-Tb_data[[#This Row],[previous_workers]]</f>
        <v>134</v>
      </c>
      <c r="M785" s="12">
        <f>Tb_data[[#This Row],[Employees Growth]]/Tb_data[[#This Row],[previous_workers]]</f>
        <v>4.0606060606060606</v>
      </c>
    </row>
    <row r="786" spans="1:13" x14ac:dyDescent="0.25">
      <c r="A786" s="1" t="s">
        <v>2767</v>
      </c>
      <c r="B786" s="1" t="s">
        <v>2768</v>
      </c>
      <c r="C786" s="1">
        <v>3300000</v>
      </c>
      <c r="D786" s="1" t="s">
        <v>45</v>
      </c>
      <c r="E786">
        <v>311.09379999999999</v>
      </c>
      <c r="F786" s="1" t="s">
        <v>156</v>
      </c>
      <c r="G786">
        <v>22</v>
      </c>
      <c r="H786">
        <v>6</v>
      </c>
      <c r="I786" s="1" t="s">
        <v>147</v>
      </c>
      <c r="J786">
        <v>1</v>
      </c>
      <c r="K786" t="str">
        <f>IF(Tb_data[[#This Row],[previous_workers]]&lt;Tb_data[[#This Row],[workers]],"yes","no")</f>
        <v>yes</v>
      </c>
      <c r="L786">
        <f>Tb_data[[#This Row],[workers]]-Tb_data[[#This Row],[previous_workers]]</f>
        <v>16</v>
      </c>
      <c r="M786" s="12">
        <f>Tb_data[[#This Row],[Employees Growth]]/Tb_data[[#This Row],[previous_workers]]</f>
        <v>2.6666666666666665</v>
      </c>
    </row>
    <row r="787" spans="1:13" x14ac:dyDescent="0.25">
      <c r="A787" s="1" t="s">
        <v>3523</v>
      </c>
      <c r="B787" s="1" t="s">
        <v>3524</v>
      </c>
      <c r="C787" s="1">
        <v>14300000</v>
      </c>
      <c r="D787" s="1" t="s">
        <v>20</v>
      </c>
      <c r="E787">
        <v>240.2561</v>
      </c>
      <c r="F787" s="1" t="s">
        <v>86</v>
      </c>
      <c r="G787">
        <v>113</v>
      </c>
      <c r="H787">
        <v>76</v>
      </c>
      <c r="I787" s="1" t="s">
        <v>130</v>
      </c>
      <c r="J787">
        <v>4</v>
      </c>
      <c r="K787" t="str">
        <f>IF(Tb_data[[#This Row],[previous_workers]]&lt;Tb_data[[#This Row],[workers]],"yes","no")</f>
        <v>yes</v>
      </c>
      <c r="L787">
        <f>Tb_data[[#This Row],[workers]]-Tb_data[[#This Row],[previous_workers]]</f>
        <v>37</v>
      </c>
      <c r="M787" s="12">
        <f>Tb_data[[#This Row],[Employees Growth]]/Tb_data[[#This Row],[previous_workers]]</f>
        <v>0.48684210526315791</v>
      </c>
    </row>
    <row r="788" spans="1:13" x14ac:dyDescent="0.25">
      <c r="A788" s="1" t="s">
        <v>6315</v>
      </c>
      <c r="B788" s="1" t="s">
        <v>6316</v>
      </c>
      <c r="C788" s="1">
        <v>5400000</v>
      </c>
      <c r="D788" s="1" t="s">
        <v>49</v>
      </c>
      <c r="E788">
        <v>118.4053</v>
      </c>
      <c r="F788" s="1" t="s">
        <v>62</v>
      </c>
      <c r="G788">
        <v>7</v>
      </c>
      <c r="H788">
        <v>5</v>
      </c>
      <c r="I788" s="1" t="s">
        <v>74</v>
      </c>
      <c r="J788">
        <v>1</v>
      </c>
      <c r="K788" t="str">
        <f>IF(Tb_data[[#This Row],[previous_workers]]&lt;Tb_data[[#This Row],[workers]],"yes","no")</f>
        <v>yes</v>
      </c>
      <c r="L788">
        <f>Tb_data[[#This Row],[workers]]-Tb_data[[#This Row],[previous_workers]]</f>
        <v>2</v>
      </c>
      <c r="M788" s="12">
        <f>Tb_data[[#This Row],[Employees Growth]]/Tb_data[[#This Row],[previous_workers]]</f>
        <v>0.4</v>
      </c>
    </row>
    <row r="789" spans="1:13" x14ac:dyDescent="0.25">
      <c r="A789" s="1" t="s">
        <v>5534</v>
      </c>
      <c r="B789" s="1" t="s">
        <v>5535</v>
      </c>
      <c r="C789" s="1">
        <v>35900000</v>
      </c>
      <c r="D789" s="1" t="s">
        <v>49</v>
      </c>
      <c r="E789">
        <v>141.3254</v>
      </c>
      <c r="F789" s="1" t="s">
        <v>97</v>
      </c>
      <c r="G789">
        <v>103</v>
      </c>
      <c r="H789">
        <v>57</v>
      </c>
      <c r="I789" s="1" t="s">
        <v>948</v>
      </c>
      <c r="J789">
        <v>8</v>
      </c>
      <c r="K789" t="str">
        <f>IF(Tb_data[[#This Row],[previous_workers]]&lt;Tb_data[[#This Row],[workers]],"yes","no")</f>
        <v>yes</v>
      </c>
      <c r="L789">
        <f>Tb_data[[#This Row],[workers]]-Tb_data[[#This Row],[previous_workers]]</f>
        <v>46</v>
      </c>
      <c r="M789" s="12">
        <f>Tb_data[[#This Row],[Employees Growth]]/Tb_data[[#This Row],[previous_workers]]</f>
        <v>0.80701754385964908</v>
      </c>
    </row>
    <row r="790" spans="1:13" x14ac:dyDescent="0.25">
      <c r="A790" s="1" t="s">
        <v>3382</v>
      </c>
      <c r="B790" s="1" t="s">
        <v>3383</v>
      </c>
      <c r="C790" s="1">
        <v>53300000</v>
      </c>
      <c r="D790" s="1" t="s">
        <v>20</v>
      </c>
      <c r="E790">
        <v>253.49510000000001</v>
      </c>
      <c r="F790" s="1" t="s">
        <v>25</v>
      </c>
      <c r="G790">
        <v>82</v>
      </c>
      <c r="H790">
        <v>38</v>
      </c>
      <c r="I790" s="1" t="s">
        <v>46</v>
      </c>
      <c r="J790">
        <v>7</v>
      </c>
      <c r="K790" t="str">
        <f>IF(Tb_data[[#This Row],[previous_workers]]&lt;Tb_data[[#This Row],[workers]],"yes","no")</f>
        <v>yes</v>
      </c>
      <c r="L790">
        <f>Tb_data[[#This Row],[workers]]-Tb_data[[#This Row],[previous_workers]]</f>
        <v>44</v>
      </c>
      <c r="M790" s="12">
        <f>Tb_data[[#This Row],[Employees Growth]]/Tb_data[[#This Row],[previous_workers]]</f>
        <v>1.1578947368421053</v>
      </c>
    </row>
    <row r="791" spans="1:13" x14ac:dyDescent="0.25">
      <c r="A791" s="1" t="s">
        <v>7180</v>
      </c>
      <c r="B791" s="1" t="s">
        <v>7181</v>
      </c>
      <c r="C791" s="1">
        <v>10500000</v>
      </c>
      <c r="D791" s="1" t="s">
        <v>49</v>
      </c>
      <c r="E791">
        <v>98.962699999999998</v>
      </c>
      <c r="F791" s="1" t="s">
        <v>25</v>
      </c>
      <c r="G791">
        <v>300</v>
      </c>
      <c r="H791">
        <v>180</v>
      </c>
      <c r="I791" s="1" t="s">
        <v>117</v>
      </c>
      <c r="J791">
        <v>3</v>
      </c>
      <c r="K791" t="str">
        <f>IF(Tb_data[[#This Row],[previous_workers]]&lt;Tb_data[[#This Row],[workers]],"yes","no")</f>
        <v>yes</v>
      </c>
      <c r="L791">
        <f>Tb_data[[#This Row],[workers]]-Tb_data[[#This Row],[previous_workers]]</f>
        <v>120</v>
      </c>
      <c r="M791" s="12">
        <f>Tb_data[[#This Row],[Employees Growth]]/Tb_data[[#This Row],[previous_workers]]</f>
        <v>0.66666666666666663</v>
      </c>
    </row>
    <row r="792" spans="1:13" x14ac:dyDescent="0.25">
      <c r="A792" s="1" t="s">
        <v>432</v>
      </c>
      <c r="B792" s="1" t="s">
        <v>433</v>
      </c>
      <c r="C792" s="1">
        <v>14200000</v>
      </c>
      <c r="D792" s="1" t="s">
        <v>11</v>
      </c>
      <c r="E792">
        <v>2233.8330999999998</v>
      </c>
      <c r="F792" s="1" t="s">
        <v>86</v>
      </c>
      <c r="G792">
        <v>105</v>
      </c>
      <c r="H792">
        <v>25</v>
      </c>
      <c r="I792" s="1" t="s">
        <v>164</v>
      </c>
      <c r="J792">
        <v>3</v>
      </c>
      <c r="K792" t="str">
        <f>IF(Tb_data[[#This Row],[previous_workers]]&lt;Tb_data[[#This Row],[workers]],"yes","no")</f>
        <v>yes</v>
      </c>
      <c r="L792">
        <f>Tb_data[[#This Row],[workers]]-Tb_data[[#This Row],[previous_workers]]</f>
        <v>80</v>
      </c>
      <c r="M792" s="12">
        <f>Tb_data[[#This Row],[Employees Growth]]/Tb_data[[#This Row],[previous_workers]]</f>
        <v>3.2</v>
      </c>
    </row>
    <row r="793" spans="1:13" x14ac:dyDescent="0.25">
      <c r="A793" s="1" t="s">
        <v>2252</v>
      </c>
      <c r="B793" s="1" t="s">
        <v>2253</v>
      </c>
      <c r="C793" s="1">
        <v>2500000</v>
      </c>
      <c r="D793" s="1" t="s">
        <v>1021</v>
      </c>
      <c r="E793">
        <v>392.46449999999999</v>
      </c>
      <c r="F793" s="1" t="s">
        <v>94</v>
      </c>
      <c r="G793">
        <v>9</v>
      </c>
      <c r="H793">
        <v>3</v>
      </c>
      <c r="I793" s="1" t="s">
        <v>26</v>
      </c>
      <c r="J793">
        <v>1</v>
      </c>
      <c r="K793" t="str">
        <f>IF(Tb_data[[#This Row],[previous_workers]]&lt;Tb_data[[#This Row],[workers]],"yes","no")</f>
        <v>yes</v>
      </c>
      <c r="L793">
        <f>Tb_data[[#This Row],[workers]]-Tb_data[[#This Row],[previous_workers]]</f>
        <v>6</v>
      </c>
      <c r="M793" s="12">
        <f>Tb_data[[#This Row],[Employees Growth]]/Tb_data[[#This Row],[previous_workers]]</f>
        <v>2</v>
      </c>
    </row>
    <row r="794" spans="1:13" x14ac:dyDescent="0.25">
      <c r="A794" s="1" t="s">
        <v>7847</v>
      </c>
      <c r="B794" s="1" t="s">
        <v>7848</v>
      </c>
      <c r="C794" s="1">
        <v>2900000</v>
      </c>
      <c r="D794" s="1" t="s">
        <v>41</v>
      </c>
      <c r="E794">
        <v>85.522499999999994</v>
      </c>
      <c r="F794" s="1" t="s">
        <v>62</v>
      </c>
      <c r="G794">
        <v>7</v>
      </c>
      <c r="H794">
        <v>6</v>
      </c>
      <c r="I794" s="1" t="s">
        <v>164</v>
      </c>
      <c r="J794">
        <v>2</v>
      </c>
      <c r="K794" t="str">
        <f>IF(Tb_data[[#This Row],[previous_workers]]&lt;Tb_data[[#This Row],[workers]],"yes","no")</f>
        <v>yes</v>
      </c>
      <c r="L794">
        <f>Tb_data[[#This Row],[workers]]-Tb_data[[#This Row],[previous_workers]]</f>
        <v>1</v>
      </c>
      <c r="M794" s="12">
        <f>Tb_data[[#This Row],[Employees Growth]]/Tb_data[[#This Row],[previous_workers]]</f>
        <v>0.16666666666666666</v>
      </c>
    </row>
    <row r="795" spans="1:13" x14ac:dyDescent="0.25">
      <c r="A795" s="1" t="s">
        <v>8861</v>
      </c>
      <c r="B795" s="1" t="s">
        <v>8862</v>
      </c>
      <c r="C795" s="1">
        <v>7600000</v>
      </c>
      <c r="D795" s="1" t="s">
        <v>49</v>
      </c>
      <c r="E795">
        <v>68.559799999999996</v>
      </c>
      <c r="F795" s="1" t="s">
        <v>116</v>
      </c>
      <c r="G795">
        <v>24</v>
      </c>
      <c r="H795">
        <v>19</v>
      </c>
      <c r="I795" s="1" t="s">
        <v>117</v>
      </c>
      <c r="J795">
        <v>2</v>
      </c>
      <c r="K795" t="str">
        <f>IF(Tb_data[[#This Row],[previous_workers]]&lt;Tb_data[[#This Row],[workers]],"yes","no")</f>
        <v>yes</v>
      </c>
      <c r="L795">
        <f>Tb_data[[#This Row],[workers]]-Tb_data[[#This Row],[previous_workers]]</f>
        <v>5</v>
      </c>
      <c r="M795" s="12">
        <f>Tb_data[[#This Row],[Employees Growth]]/Tb_data[[#This Row],[previous_workers]]</f>
        <v>0.26315789473684209</v>
      </c>
    </row>
    <row r="796" spans="1:13" x14ac:dyDescent="0.25">
      <c r="A796" s="1" t="s">
        <v>8223</v>
      </c>
      <c r="B796" s="1" t="s">
        <v>8224</v>
      </c>
      <c r="C796" s="1">
        <v>21300000</v>
      </c>
      <c r="D796" s="1" t="s">
        <v>69</v>
      </c>
      <c r="E796">
        <v>79.103099999999998</v>
      </c>
      <c r="F796" s="1" t="s">
        <v>156</v>
      </c>
      <c r="G796">
        <v>72</v>
      </c>
      <c r="H796">
        <v>28</v>
      </c>
      <c r="I796" s="1" t="s">
        <v>130</v>
      </c>
      <c r="J796">
        <v>5</v>
      </c>
      <c r="K796" t="str">
        <f>IF(Tb_data[[#This Row],[previous_workers]]&lt;Tb_data[[#This Row],[workers]],"yes","no")</f>
        <v>yes</v>
      </c>
      <c r="L796">
        <f>Tb_data[[#This Row],[workers]]-Tb_data[[#This Row],[previous_workers]]</f>
        <v>44</v>
      </c>
      <c r="M796" s="12">
        <f>Tb_data[[#This Row],[Employees Growth]]/Tb_data[[#This Row],[previous_workers]]</f>
        <v>1.5714285714285714</v>
      </c>
    </row>
    <row r="797" spans="1:13" x14ac:dyDescent="0.25">
      <c r="A797" s="1" t="s">
        <v>31</v>
      </c>
      <c r="B797" s="1" t="s">
        <v>32</v>
      </c>
      <c r="C797" s="1">
        <v>271800000</v>
      </c>
      <c r="D797" s="1" t="s">
        <v>33</v>
      </c>
      <c r="E797">
        <v>14183.4118</v>
      </c>
      <c r="F797" s="1" t="s">
        <v>34</v>
      </c>
      <c r="G797">
        <v>742</v>
      </c>
      <c r="H797">
        <v>18</v>
      </c>
      <c r="I797" s="1" t="s">
        <v>35</v>
      </c>
      <c r="J797">
        <v>1</v>
      </c>
      <c r="K797" t="str">
        <f>IF(Tb_data[[#This Row],[previous_workers]]&lt;Tb_data[[#This Row],[workers]],"yes","no")</f>
        <v>yes</v>
      </c>
      <c r="L797">
        <f>Tb_data[[#This Row],[workers]]-Tb_data[[#This Row],[previous_workers]]</f>
        <v>724</v>
      </c>
      <c r="M797" s="12">
        <f>Tb_data[[#This Row],[Employees Growth]]/Tb_data[[#This Row],[previous_workers]]</f>
        <v>40.222222222222221</v>
      </c>
    </row>
    <row r="798" spans="1:13" x14ac:dyDescent="0.25">
      <c r="A798" s="1" t="s">
        <v>1505</v>
      </c>
      <c r="B798" s="1" t="s">
        <v>1506</v>
      </c>
      <c r="C798" s="1">
        <v>18500000</v>
      </c>
      <c r="D798" s="1" t="s">
        <v>52</v>
      </c>
      <c r="E798">
        <v>622.01390000000004</v>
      </c>
      <c r="F798" s="1" t="s">
        <v>21</v>
      </c>
      <c r="G798">
        <v>58</v>
      </c>
      <c r="H798">
        <v>18</v>
      </c>
      <c r="I798" s="1" t="s">
        <v>130</v>
      </c>
      <c r="J798">
        <v>3</v>
      </c>
      <c r="K798" t="str">
        <f>IF(Tb_data[[#This Row],[previous_workers]]&lt;Tb_data[[#This Row],[workers]],"yes","no")</f>
        <v>yes</v>
      </c>
      <c r="L798">
        <f>Tb_data[[#This Row],[workers]]-Tb_data[[#This Row],[previous_workers]]</f>
        <v>40</v>
      </c>
      <c r="M798" s="12">
        <f>Tb_data[[#This Row],[Employees Growth]]/Tb_data[[#This Row],[previous_workers]]</f>
        <v>2.2222222222222223</v>
      </c>
    </row>
    <row r="799" spans="1:13" x14ac:dyDescent="0.25">
      <c r="A799" s="1" t="s">
        <v>5778</v>
      </c>
      <c r="B799" s="1" t="s">
        <v>5779</v>
      </c>
      <c r="C799" s="1">
        <v>7900000</v>
      </c>
      <c r="D799" s="1" t="s">
        <v>627</v>
      </c>
      <c r="E799">
        <v>131.80369999999999</v>
      </c>
      <c r="F799" s="1" t="s">
        <v>156</v>
      </c>
      <c r="G799">
        <v>55</v>
      </c>
      <c r="H799">
        <v>25</v>
      </c>
      <c r="I799" s="1" t="s">
        <v>194</v>
      </c>
      <c r="J799">
        <v>7</v>
      </c>
      <c r="K799" t="str">
        <f>IF(Tb_data[[#This Row],[previous_workers]]&lt;Tb_data[[#This Row],[workers]],"yes","no")</f>
        <v>yes</v>
      </c>
      <c r="L799">
        <f>Tb_data[[#This Row],[workers]]-Tb_data[[#This Row],[previous_workers]]</f>
        <v>30</v>
      </c>
      <c r="M799" s="12">
        <f>Tb_data[[#This Row],[Employees Growth]]/Tb_data[[#This Row],[previous_workers]]</f>
        <v>1.2</v>
      </c>
    </row>
    <row r="800" spans="1:13" x14ac:dyDescent="0.25">
      <c r="A800" s="1" t="s">
        <v>3986</v>
      </c>
      <c r="B800" s="1" t="s">
        <v>3987</v>
      </c>
      <c r="C800" s="1">
        <v>8500000</v>
      </c>
      <c r="D800" s="1" t="s">
        <v>16</v>
      </c>
      <c r="E800">
        <v>207.59370000000001</v>
      </c>
      <c r="F800" s="1" t="s">
        <v>25</v>
      </c>
      <c r="G800">
        <v>18</v>
      </c>
      <c r="H800">
        <v>10</v>
      </c>
      <c r="I800" s="1" t="s">
        <v>3426</v>
      </c>
      <c r="J800">
        <v>1</v>
      </c>
      <c r="K800" t="str">
        <f>IF(Tb_data[[#This Row],[previous_workers]]&lt;Tb_data[[#This Row],[workers]],"yes","no")</f>
        <v>yes</v>
      </c>
      <c r="L800">
        <f>Tb_data[[#This Row],[workers]]-Tb_data[[#This Row],[previous_workers]]</f>
        <v>8</v>
      </c>
      <c r="M800" s="12">
        <f>Tb_data[[#This Row],[Employees Growth]]/Tb_data[[#This Row],[previous_workers]]</f>
        <v>0.8</v>
      </c>
    </row>
    <row r="801" spans="1:13" x14ac:dyDescent="0.25">
      <c r="A801" s="1" t="s">
        <v>5110</v>
      </c>
      <c r="B801" s="1" t="s">
        <v>5111</v>
      </c>
      <c r="C801" s="1">
        <v>3700000</v>
      </c>
      <c r="D801" s="1" t="s">
        <v>61</v>
      </c>
      <c r="E801">
        <v>157.1516</v>
      </c>
      <c r="F801" s="1" t="s">
        <v>86</v>
      </c>
      <c r="G801">
        <v>28</v>
      </c>
      <c r="H801">
        <v>15</v>
      </c>
      <c r="I801" s="1" t="s">
        <v>26</v>
      </c>
      <c r="J801">
        <v>1</v>
      </c>
      <c r="K801" t="str">
        <f>IF(Tb_data[[#This Row],[previous_workers]]&lt;Tb_data[[#This Row],[workers]],"yes","no")</f>
        <v>yes</v>
      </c>
      <c r="L801">
        <f>Tb_data[[#This Row],[workers]]-Tb_data[[#This Row],[previous_workers]]</f>
        <v>13</v>
      </c>
      <c r="M801" s="12">
        <f>Tb_data[[#This Row],[Employees Growth]]/Tb_data[[#This Row],[previous_workers]]</f>
        <v>0.8666666666666667</v>
      </c>
    </row>
    <row r="802" spans="1:13" x14ac:dyDescent="0.25">
      <c r="A802" s="1" t="s">
        <v>9700</v>
      </c>
      <c r="B802" s="1" t="s">
        <v>9701</v>
      </c>
      <c r="C802" s="1">
        <v>4600000</v>
      </c>
      <c r="D802" s="1" t="s">
        <v>45</v>
      </c>
      <c r="E802">
        <v>57.991999999999997</v>
      </c>
      <c r="F802" s="1" t="s">
        <v>112</v>
      </c>
      <c r="G802">
        <v>13</v>
      </c>
      <c r="H802">
        <v>11</v>
      </c>
      <c r="I802" s="1" t="s">
        <v>948</v>
      </c>
      <c r="J802">
        <v>1</v>
      </c>
      <c r="K802" t="str">
        <f>IF(Tb_data[[#This Row],[previous_workers]]&lt;Tb_data[[#This Row],[workers]],"yes","no")</f>
        <v>yes</v>
      </c>
      <c r="L802">
        <f>Tb_data[[#This Row],[workers]]-Tb_data[[#This Row],[previous_workers]]</f>
        <v>2</v>
      </c>
      <c r="M802" s="12">
        <f>Tb_data[[#This Row],[Employees Growth]]/Tb_data[[#This Row],[previous_workers]]</f>
        <v>0.18181818181818182</v>
      </c>
    </row>
    <row r="803" spans="1:13" x14ac:dyDescent="0.25">
      <c r="A803" s="1" t="s">
        <v>2814</v>
      </c>
      <c r="B803" s="1" t="s">
        <v>2815</v>
      </c>
      <c r="C803" s="1">
        <v>3800000</v>
      </c>
      <c r="D803" s="1" t="s">
        <v>79</v>
      </c>
      <c r="E803">
        <v>306.90989999999999</v>
      </c>
      <c r="F803" s="1" t="s">
        <v>100</v>
      </c>
      <c r="G803">
        <v>7</v>
      </c>
      <c r="H803">
        <v>1</v>
      </c>
      <c r="I803" s="1" t="s">
        <v>55</v>
      </c>
      <c r="J803">
        <v>1</v>
      </c>
      <c r="K803" t="str">
        <f>IF(Tb_data[[#This Row],[previous_workers]]&lt;Tb_data[[#This Row],[workers]],"yes","no")</f>
        <v>yes</v>
      </c>
      <c r="L803">
        <f>Tb_data[[#This Row],[workers]]-Tb_data[[#This Row],[previous_workers]]</f>
        <v>6</v>
      </c>
      <c r="M803" s="12">
        <f>Tb_data[[#This Row],[Employees Growth]]/Tb_data[[#This Row],[previous_workers]]</f>
        <v>6</v>
      </c>
    </row>
    <row r="804" spans="1:13" x14ac:dyDescent="0.25">
      <c r="A804" s="1" t="s">
        <v>4641</v>
      </c>
      <c r="B804" s="1" t="s">
        <v>4642</v>
      </c>
      <c r="C804" s="1">
        <v>76900000</v>
      </c>
      <c r="D804" s="1" t="s">
        <v>38</v>
      </c>
      <c r="E804">
        <v>176.22919999999999</v>
      </c>
      <c r="F804" s="1" t="s">
        <v>17</v>
      </c>
      <c r="G804">
        <v>740</v>
      </c>
      <c r="H804">
        <v>392</v>
      </c>
      <c r="I804" s="1" t="s">
        <v>372</v>
      </c>
      <c r="J804">
        <v>6</v>
      </c>
      <c r="K804" t="str">
        <f>IF(Tb_data[[#This Row],[previous_workers]]&lt;Tb_data[[#This Row],[workers]],"yes","no")</f>
        <v>yes</v>
      </c>
      <c r="L804">
        <f>Tb_data[[#This Row],[workers]]-Tb_data[[#This Row],[previous_workers]]</f>
        <v>348</v>
      </c>
      <c r="M804" s="12">
        <f>Tb_data[[#This Row],[Employees Growth]]/Tb_data[[#This Row],[previous_workers]]</f>
        <v>0.88775510204081631</v>
      </c>
    </row>
    <row r="805" spans="1:13" x14ac:dyDescent="0.25">
      <c r="A805" s="1" t="s">
        <v>4158</v>
      </c>
      <c r="B805" s="1" t="s">
        <v>4159</v>
      </c>
      <c r="C805" s="1">
        <v>8700000</v>
      </c>
      <c r="D805" s="1" t="s">
        <v>254</v>
      </c>
      <c r="E805">
        <v>197.72210000000001</v>
      </c>
      <c r="F805" s="1" t="s">
        <v>100</v>
      </c>
      <c r="G805">
        <v>10</v>
      </c>
      <c r="H805">
        <v>8</v>
      </c>
      <c r="I805" s="1" t="s">
        <v>295</v>
      </c>
      <c r="J805">
        <v>2</v>
      </c>
      <c r="K805" t="str">
        <f>IF(Tb_data[[#This Row],[previous_workers]]&lt;Tb_data[[#This Row],[workers]],"yes","no")</f>
        <v>yes</v>
      </c>
      <c r="L805">
        <f>Tb_data[[#This Row],[workers]]-Tb_data[[#This Row],[previous_workers]]</f>
        <v>2</v>
      </c>
      <c r="M805" s="12">
        <f>Tb_data[[#This Row],[Employees Growth]]/Tb_data[[#This Row],[previous_workers]]</f>
        <v>0.25</v>
      </c>
    </row>
    <row r="806" spans="1:13" x14ac:dyDescent="0.25">
      <c r="A806" s="1" t="s">
        <v>366</v>
      </c>
      <c r="B806" s="1" t="s">
        <v>367</v>
      </c>
      <c r="C806" s="1">
        <v>3500000</v>
      </c>
      <c r="D806" s="1" t="s">
        <v>129</v>
      </c>
      <c r="E806">
        <v>2564.3741</v>
      </c>
      <c r="F806" s="1" t="s">
        <v>124</v>
      </c>
      <c r="G806">
        <v>16</v>
      </c>
      <c r="H806">
        <v>2</v>
      </c>
      <c r="I806" s="1" t="s">
        <v>55</v>
      </c>
      <c r="J806">
        <v>1</v>
      </c>
      <c r="K806" t="str">
        <f>IF(Tb_data[[#This Row],[previous_workers]]&lt;Tb_data[[#This Row],[workers]],"yes","no")</f>
        <v>yes</v>
      </c>
      <c r="L806">
        <f>Tb_data[[#This Row],[workers]]-Tb_data[[#This Row],[previous_workers]]</f>
        <v>14</v>
      </c>
      <c r="M806" s="12">
        <f>Tb_data[[#This Row],[Employees Growth]]/Tb_data[[#This Row],[previous_workers]]</f>
        <v>7</v>
      </c>
    </row>
    <row r="807" spans="1:13" x14ac:dyDescent="0.25">
      <c r="A807" s="1" t="s">
        <v>7793</v>
      </c>
      <c r="B807" s="1" t="s">
        <v>7794</v>
      </c>
      <c r="C807" s="1">
        <v>12400000</v>
      </c>
      <c r="D807" s="1" t="s">
        <v>41</v>
      </c>
      <c r="E807">
        <v>86.382800000000003</v>
      </c>
      <c r="F807" s="1" t="s">
        <v>97</v>
      </c>
      <c r="G807">
        <v>33</v>
      </c>
      <c r="H807">
        <v>19</v>
      </c>
      <c r="I807" s="1" t="s">
        <v>117</v>
      </c>
      <c r="J807">
        <v>4</v>
      </c>
      <c r="K807" t="str">
        <f>IF(Tb_data[[#This Row],[previous_workers]]&lt;Tb_data[[#This Row],[workers]],"yes","no")</f>
        <v>yes</v>
      </c>
      <c r="L807">
        <f>Tb_data[[#This Row],[workers]]-Tb_data[[#This Row],[previous_workers]]</f>
        <v>14</v>
      </c>
      <c r="M807" s="12">
        <f>Tb_data[[#This Row],[Employees Growth]]/Tb_data[[#This Row],[previous_workers]]</f>
        <v>0.73684210526315785</v>
      </c>
    </row>
    <row r="808" spans="1:13" x14ac:dyDescent="0.25">
      <c r="A808" s="1" t="s">
        <v>5234</v>
      </c>
      <c r="B808" s="1" t="s">
        <v>5235</v>
      </c>
      <c r="C808" s="1">
        <v>68300000</v>
      </c>
      <c r="D808" s="1" t="s">
        <v>41</v>
      </c>
      <c r="E808">
        <v>152.50559999999999</v>
      </c>
      <c r="F808" s="1" t="s">
        <v>100</v>
      </c>
      <c r="G808">
        <v>28</v>
      </c>
      <c r="H808">
        <v>14</v>
      </c>
      <c r="I808" s="1" t="s">
        <v>130</v>
      </c>
      <c r="J808">
        <v>3</v>
      </c>
      <c r="K808" t="str">
        <f>IF(Tb_data[[#This Row],[previous_workers]]&lt;Tb_data[[#This Row],[workers]],"yes","no")</f>
        <v>yes</v>
      </c>
      <c r="L808">
        <f>Tb_data[[#This Row],[workers]]-Tb_data[[#This Row],[previous_workers]]</f>
        <v>14</v>
      </c>
      <c r="M808" s="12">
        <f>Tb_data[[#This Row],[Employees Growth]]/Tb_data[[#This Row],[previous_workers]]</f>
        <v>1</v>
      </c>
    </row>
    <row r="809" spans="1:13" x14ac:dyDescent="0.25">
      <c r="A809" s="1" t="s">
        <v>8467</v>
      </c>
      <c r="B809" s="1" t="s">
        <v>8469</v>
      </c>
      <c r="C809" s="1">
        <v>105800000</v>
      </c>
      <c r="D809" s="1" t="s">
        <v>20</v>
      </c>
      <c r="E809">
        <v>74.712599999999995</v>
      </c>
      <c r="F809" s="1" t="s">
        <v>100</v>
      </c>
      <c r="G809">
        <v>604</v>
      </c>
      <c r="H809">
        <v>460</v>
      </c>
      <c r="I809" s="1" t="s">
        <v>2407</v>
      </c>
      <c r="J809">
        <v>7</v>
      </c>
      <c r="K809" t="str">
        <f>IF(Tb_data[[#This Row],[previous_workers]]&lt;Tb_data[[#This Row],[workers]],"yes","no")</f>
        <v>yes</v>
      </c>
      <c r="L809">
        <f>Tb_data[[#This Row],[workers]]-Tb_data[[#This Row],[previous_workers]]</f>
        <v>144</v>
      </c>
      <c r="M809" s="12">
        <f>Tb_data[[#This Row],[Employees Growth]]/Tb_data[[#This Row],[previous_workers]]</f>
        <v>0.31304347826086959</v>
      </c>
    </row>
    <row r="810" spans="1:13" x14ac:dyDescent="0.25">
      <c r="A810" s="1" t="s">
        <v>2895</v>
      </c>
      <c r="B810" s="1" t="s">
        <v>2896</v>
      </c>
      <c r="C810" s="1">
        <v>7800000</v>
      </c>
      <c r="D810" s="1" t="s">
        <v>33</v>
      </c>
      <c r="E810">
        <v>298.87920000000003</v>
      </c>
      <c r="F810" s="1" t="s">
        <v>62</v>
      </c>
      <c r="G810">
        <v>45</v>
      </c>
      <c r="H810">
        <v>19</v>
      </c>
      <c r="I810" s="1" t="s">
        <v>147</v>
      </c>
      <c r="J810">
        <v>3</v>
      </c>
      <c r="K810" t="str">
        <f>IF(Tb_data[[#This Row],[previous_workers]]&lt;Tb_data[[#This Row],[workers]],"yes","no")</f>
        <v>yes</v>
      </c>
      <c r="L810">
        <f>Tb_data[[#This Row],[workers]]-Tb_data[[#This Row],[previous_workers]]</f>
        <v>26</v>
      </c>
      <c r="M810" s="12">
        <f>Tb_data[[#This Row],[Employees Growth]]/Tb_data[[#This Row],[previous_workers]]</f>
        <v>1.368421052631579</v>
      </c>
    </row>
    <row r="811" spans="1:13" x14ac:dyDescent="0.25">
      <c r="A811" s="1" t="s">
        <v>255</v>
      </c>
      <c r="B811" s="1" t="s">
        <v>256</v>
      </c>
      <c r="C811" s="1">
        <v>6400000</v>
      </c>
      <c r="D811" s="1" t="s">
        <v>41</v>
      </c>
      <c r="E811">
        <v>3469.3888999999999</v>
      </c>
      <c r="F811" s="1" t="s">
        <v>97</v>
      </c>
      <c r="G811">
        <v>35</v>
      </c>
      <c r="H811">
        <v>5</v>
      </c>
      <c r="I811" s="1" t="s">
        <v>130</v>
      </c>
      <c r="J811">
        <v>2</v>
      </c>
      <c r="K811" t="str">
        <f>IF(Tb_data[[#This Row],[previous_workers]]&lt;Tb_data[[#This Row],[workers]],"yes","no")</f>
        <v>yes</v>
      </c>
      <c r="L811">
        <f>Tb_data[[#This Row],[workers]]-Tb_data[[#This Row],[previous_workers]]</f>
        <v>30</v>
      </c>
      <c r="M811" s="12">
        <f>Tb_data[[#This Row],[Employees Growth]]/Tb_data[[#This Row],[previous_workers]]</f>
        <v>6</v>
      </c>
    </row>
    <row r="812" spans="1:13" x14ac:dyDescent="0.25">
      <c r="A812" s="1" t="s">
        <v>5306</v>
      </c>
      <c r="B812" s="1" t="s">
        <v>5307</v>
      </c>
      <c r="C812" s="1">
        <v>22200000</v>
      </c>
      <c r="D812" s="1" t="s">
        <v>20</v>
      </c>
      <c r="E812">
        <v>149.57910000000001</v>
      </c>
      <c r="F812" s="1" t="s">
        <v>34</v>
      </c>
      <c r="G812">
        <v>236</v>
      </c>
      <c r="H812">
        <v>76</v>
      </c>
      <c r="I812" s="1" t="s">
        <v>1622</v>
      </c>
      <c r="J812">
        <v>4</v>
      </c>
      <c r="K812" t="str">
        <f>IF(Tb_data[[#This Row],[previous_workers]]&lt;Tb_data[[#This Row],[workers]],"yes","no")</f>
        <v>yes</v>
      </c>
      <c r="L812">
        <f>Tb_data[[#This Row],[workers]]-Tb_data[[#This Row],[previous_workers]]</f>
        <v>160</v>
      </c>
      <c r="M812" s="12">
        <f>Tb_data[[#This Row],[Employees Growth]]/Tb_data[[#This Row],[previous_workers]]</f>
        <v>2.1052631578947367</v>
      </c>
    </row>
    <row r="813" spans="1:13" x14ac:dyDescent="0.25">
      <c r="A813" s="1" t="s">
        <v>8787</v>
      </c>
      <c r="B813" s="1" t="s">
        <v>8788</v>
      </c>
      <c r="C813" s="1">
        <v>15000000</v>
      </c>
      <c r="D813" s="1" t="s">
        <v>500</v>
      </c>
      <c r="E813">
        <v>69.615099999999998</v>
      </c>
      <c r="F813" s="1" t="s">
        <v>156</v>
      </c>
      <c r="G813">
        <v>200</v>
      </c>
      <c r="H813">
        <v>120</v>
      </c>
      <c r="I813" s="1" t="s">
        <v>1622</v>
      </c>
      <c r="J813">
        <v>3</v>
      </c>
      <c r="K813" t="str">
        <f>IF(Tb_data[[#This Row],[previous_workers]]&lt;Tb_data[[#This Row],[workers]],"yes","no")</f>
        <v>yes</v>
      </c>
      <c r="L813">
        <f>Tb_data[[#This Row],[workers]]-Tb_data[[#This Row],[previous_workers]]</f>
        <v>80</v>
      </c>
      <c r="M813" s="12">
        <f>Tb_data[[#This Row],[Employees Growth]]/Tb_data[[#This Row],[previous_workers]]</f>
        <v>0.66666666666666663</v>
      </c>
    </row>
    <row r="814" spans="1:13" x14ac:dyDescent="0.25">
      <c r="A814" s="1" t="s">
        <v>4139</v>
      </c>
      <c r="B814" s="1" t="s">
        <v>4140</v>
      </c>
      <c r="C814" s="1">
        <v>23000000</v>
      </c>
      <c r="D814" s="1" t="s">
        <v>49</v>
      </c>
      <c r="E814">
        <v>198.31950000000001</v>
      </c>
      <c r="F814" s="1" t="s">
        <v>176</v>
      </c>
      <c r="G814">
        <v>250</v>
      </c>
      <c r="H814">
        <v>100</v>
      </c>
      <c r="I814" s="1" t="s">
        <v>194</v>
      </c>
      <c r="J814">
        <v>2</v>
      </c>
      <c r="K814" t="str">
        <f>IF(Tb_data[[#This Row],[previous_workers]]&lt;Tb_data[[#This Row],[workers]],"yes","no")</f>
        <v>yes</v>
      </c>
      <c r="L814">
        <f>Tb_data[[#This Row],[workers]]-Tb_data[[#This Row],[previous_workers]]</f>
        <v>150</v>
      </c>
      <c r="M814" s="12">
        <f>Tb_data[[#This Row],[Employees Growth]]/Tb_data[[#This Row],[previous_workers]]</f>
        <v>1.5</v>
      </c>
    </row>
    <row r="815" spans="1:13" x14ac:dyDescent="0.25">
      <c r="A815" s="1" t="s">
        <v>8443</v>
      </c>
      <c r="B815" s="1" t="s">
        <v>8444</v>
      </c>
      <c r="C815" s="1">
        <v>6300000</v>
      </c>
      <c r="D815" s="1" t="s">
        <v>61</v>
      </c>
      <c r="E815">
        <v>75.036199999999994</v>
      </c>
      <c r="F815" s="1" t="s">
        <v>156</v>
      </c>
      <c r="G815">
        <v>40</v>
      </c>
      <c r="H815">
        <v>27</v>
      </c>
      <c r="I815" s="1" t="s">
        <v>948</v>
      </c>
      <c r="J815">
        <v>4</v>
      </c>
      <c r="K815" t="str">
        <f>IF(Tb_data[[#This Row],[previous_workers]]&lt;Tb_data[[#This Row],[workers]],"yes","no")</f>
        <v>yes</v>
      </c>
      <c r="L815">
        <f>Tb_data[[#This Row],[workers]]-Tb_data[[#This Row],[previous_workers]]</f>
        <v>13</v>
      </c>
      <c r="M815" s="12">
        <f>Tb_data[[#This Row],[Employees Growth]]/Tb_data[[#This Row],[previous_workers]]</f>
        <v>0.48148148148148145</v>
      </c>
    </row>
    <row r="816" spans="1:13" x14ac:dyDescent="0.25">
      <c r="A816" s="1" t="s">
        <v>1481</v>
      </c>
      <c r="B816" s="1" t="s">
        <v>1482</v>
      </c>
      <c r="C816" s="1">
        <v>12400000</v>
      </c>
      <c r="D816" s="1" t="s">
        <v>500</v>
      </c>
      <c r="E816">
        <v>633.13930000000005</v>
      </c>
      <c r="F816" s="1" t="s">
        <v>176</v>
      </c>
      <c r="G816">
        <v>29</v>
      </c>
      <c r="H816">
        <v>18</v>
      </c>
      <c r="I816" s="1" t="s">
        <v>372</v>
      </c>
      <c r="J816">
        <v>2</v>
      </c>
      <c r="K816" t="str">
        <f>IF(Tb_data[[#This Row],[previous_workers]]&lt;Tb_data[[#This Row],[workers]],"yes","no")</f>
        <v>yes</v>
      </c>
      <c r="L816">
        <f>Tb_data[[#This Row],[workers]]-Tb_data[[#This Row],[previous_workers]]</f>
        <v>11</v>
      </c>
      <c r="M816" s="12">
        <f>Tb_data[[#This Row],[Employees Growth]]/Tb_data[[#This Row],[previous_workers]]</f>
        <v>0.61111111111111116</v>
      </c>
    </row>
    <row r="817" spans="1:13" x14ac:dyDescent="0.25">
      <c r="A817" s="1" t="s">
        <v>4445</v>
      </c>
      <c r="B817" s="1" t="s">
        <v>4446</v>
      </c>
      <c r="C817" s="1">
        <v>3000000</v>
      </c>
      <c r="D817" s="1" t="s">
        <v>20</v>
      </c>
      <c r="E817">
        <v>185.11949999999999</v>
      </c>
      <c r="F817" s="1" t="s">
        <v>100</v>
      </c>
      <c r="G817">
        <v>20</v>
      </c>
      <c r="H817">
        <v>13</v>
      </c>
      <c r="I817" s="1" t="s">
        <v>55</v>
      </c>
      <c r="J817">
        <v>2</v>
      </c>
      <c r="K817" t="str">
        <f>IF(Tb_data[[#This Row],[previous_workers]]&lt;Tb_data[[#This Row],[workers]],"yes","no")</f>
        <v>yes</v>
      </c>
      <c r="L817">
        <f>Tb_data[[#This Row],[workers]]-Tb_data[[#This Row],[previous_workers]]</f>
        <v>7</v>
      </c>
      <c r="M817" s="12">
        <f>Tb_data[[#This Row],[Employees Growth]]/Tb_data[[#This Row],[previous_workers]]</f>
        <v>0.53846153846153844</v>
      </c>
    </row>
    <row r="818" spans="1:13" x14ac:dyDescent="0.25">
      <c r="A818" s="1" t="s">
        <v>7809</v>
      </c>
      <c r="B818" s="1" t="s">
        <v>7810</v>
      </c>
      <c r="C818" s="1">
        <v>192400000</v>
      </c>
      <c r="D818" s="1" t="s">
        <v>41</v>
      </c>
      <c r="E818">
        <v>86.135999999999996</v>
      </c>
      <c r="F818" s="1" t="s">
        <v>156</v>
      </c>
      <c r="G818">
        <v>1011</v>
      </c>
      <c r="H818">
        <v>549</v>
      </c>
      <c r="I818" s="1" t="s">
        <v>2628</v>
      </c>
      <c r="J818">
        <v>13</v>
      </c>
      <c r="K818" t="str">
        <f>IF(Tb_data[[#This Row],[previous_workers]]&lt;Tb_data[[#This Row],[workers]],"yes","no")</f>
        <v>yes</v>
      </c>
      <c r="L818">
        <f>Tb_data[[#This Row],[workers]]-Tb_data[[#This Row],[previous_workers]]</f>
        <v>462</v>
      </c>
      <c r="M818" s="12">
        <f>Tb_data[[#This Row],[Employees Growth]]/Tb_data[[#This Row],[previous_workers]]</f>
        <v>0.84153005464480879</v>
      </c>
    </row>
    <row r="819" spans="1:13" x14ac:dyDescent="0.25">
      <c r="A819" s="1" t="s">
        <v>4736</v>
      </c>
      <c r="B819" s="1" t="s">
        <v>4737</v>
      </c>
      <c r="C819" s="1">
        <v>6700000</v>
      </c>
      <c r="D819" s="1" t="s">
        <v>69</v>
      </c>
      <c r="E819">
        <v>173.35069999999999</v>
      </c>
      <c r="F819" s="1" t="s">
        <v>172</v>
      </c>
      <c r="G819">
        <v>15</v>
      </c>
      <c r="H819">
        <v>8</v>
      </c>
      <c r="I819" s="1" t="s">
        <v>226</v>
      </c>
      <c r="J819">
        <v>3</v>
      </c>
      <c r="K819" t="str">
        <f>IF(Tb_data[[#This Row],[previous_workers]]&lt;Tb_data[[#This Row],[workers]],"yes","no")</f>
        <v>yes</v>
      </c>
      <c r="L819">
        <f>Tb_data[[#This Row],[workers]]-Tb_data[[#This Row],[previous_workers]]</f>
        <v>7</v>
      </c>
      <c r="M819" s="12">
        <f>Tb_data[[#This Row],[Employees Growth]]/Tb_data[[#This Row],[previous_workers]]</f>
        <v>0.875</v>
      </c>
    </row>
    <row r="820" spans="1:13" x14ac:dyDescent="0.25">
      <c r="A820" s="1" t="s">
        <v>7501</v>
      </c>
      <c r="B820" s="1" t="s">
        <v>7502</v>
      </c>
      <c r="C820" s="1">
        <v>9200000</v>
      </c>
      <c r="D820" s="1" t="s">
        <v>79</v>
      </c>
      <c r="E820">
        <v>93.057000000000002</v>
      </c>
      <c r="F820" s="1" t="s">
        <v>310</v>
      </c>
      <c r="G820">
        <v>78</v>
      </c>
      <c r="H820">
        <v>62</v>
      </c>
      <c r="I820" s="1" t="s">
        <v>164</v>
      </c>
      <c r="J820">
        <v>5</v>
      </c>
      <c r="K820" t="str">
        <f>IF(Tb_data[[#This Row],[previous_workers]]&lt;Tb_data[[#This Row],[workers]],"yes","no")</f>
        <v>yes</v>
      </c>
      <c r="L820">
        <f>Tb_data[[#This Row],[workers]]-Tb_data[[#This Row],[previous_workers]]</f>
        <v>16</v>
      </c>
      <c r="M820" s="12">
        <f>Tb_data[[#This Row],[Employees Growth]]/Tb_data[[#This Row],[previous_workers]]</f>
        <v>0.25806451612903225</v>
      </c>
    </row>
    <row r="821" spans="1:13" x14ac:dyDescent="0.25">
      <c r="A821" s="1" t="s">
        <v>7787</v>
      </c>
      <c r="B821" s="1" t="s">
        <v>7788</v>
      </c>
      <c r="C821" s="1">
        <v>5400000000</v>
      </c>
      <c r="D821" s="1" t="s">
        <v>41</v>
      </c>
      <c r="E821">
        <v>86.517399999999995</v>
      </c>
      <c r="F821" s="1" t="s">
        <v>97</v>
      </c>
      <c r="G821">
        <v>1000</v>
      </c>
      <c r="H821">
        <v>538</v>
      </c>
      <c r="I821" s="1" t="s">
        <v>147</v>
      </c>
      <c r="J821">
        <v>12</v>
      </c>
      <c r="K821" t="str">
        <f>IF(Tb_data[[#This Row],[previous_workers]]&lt;Tb_data[[#This Row],[workers]],"yes","no")</f>
        <v>yes</v>
      </c>
      <c r="L821">
        <f>Tb_data[[#This Row],[workers]]-Tb_data[[#This Row],[previous_workers]]</f>
        <v>462</v>
      </c>
      <c r="M821" s="12">
        <f>Tb_data[[#This Row],[Employees Growth]]/Tb_data[[#This Row],[previous_workers]]</f>
        <v>0.85873605947955389</v>
      </c>
    </row>
    <row r="822" spans="1:13" x14ac:dyDescent="0.25">
      <c r="A822" s="1" t="s">
        <v>7309</v>
      </c>
      <c r="B822" s="1" t="s">
        <v>7310</v>
      </c>
      <c r="C822" s="1">
        <v>4200000</v>
      </c>
      <c r="D822" s="1" t="s">
        <v>33</v>
      </c>
      <c r="E822">
        <v>96.909499999999994</v>
      </c>
      <c r="F822" s="1" t="s">
        <v>12</v>
      </c>
      <c r="G822">
        <v>80</v>
      </c>
      <c r="H822">
        <v>30</v>
      </c>
      <c r="I822" s="1" t="s">
        <v>13</v>
      </c>
      <c r="J822">
        <v>1</v>
      </c>
      <c r="K822" t="str">
        <f>IF(Tb_data[[#This Row],[previous_workers]]&lt;Tb_data[[#This Row],[workers]],"yes","no")</f>
        <v>yes</v>
      </c>
      <c r="L822">
        <f>Tb_data[[#This Row],[workers]]-Tb_data[[#This Row],[previous_workers]]</f>
        <v>50</v>
      </c>
      <c r="M822" s="12">
        <f>Tb_data[[#This Row],[Employees Growth]]/Tb_data[[#This Row],[previous_workers]]</f>
        <v>1.6666666666666667</v>
      </c>
    </row>
    <row r="823" spans="1:13" x14ac:dyDescent="0.25">
      <c r="A823" s="1" t="s">
        <v>1925</v>
      </c>
      <c r="B823" s="1" t="s">
        <v>1926</v>
      </c>
      <c r="C823" s="1">
        <v>7100000</v>
      </c>
      <c r="D823" s="1" t="s">
        <v>61</v>
      </c>
      <c r="E823">
        <v>468.60640000000001</v>
      </c>
      <c r="F823" s="1" t="s">
        <v>62</v>
      </c>
      <c r="G823">
        <v>45</v>
      </c>
      <c r="H823">
        <v>14</v>
      </c>
      <c r="I823" s="1" t="s">
        <v>55</v>
      </c>
      <c r="J823">
        <v>2</v>
      </c>
      <c r="K823" t="str">
        <f>IF(Tb_data[[#This Row],[previous_workers]]&lt;Tb_data[[#This Row],[workers]],"yes","no")</f>
        <v>yes</v>
      </c>
      <c r="L823">
        <f>Tb_data[[#This Row],[workers]]-Tb_data[[#This Row],[previous_workers]]</f>
        <v>31</v>
      </c>
      <c r="M823" s="12">
        <f>Tb_data[[#This Row],[Employees Growth]]/Tb_data[[#This Row],[previous_workers]]</f>
        <v>2.2142857142857144</v>
      </c>
    </row>
    <row r="824" spans="1:13" x14ac:dyDescent="0.25">
      <c r="A824" s="1" t="s">
        <v>9479</v>
      </c>
      <c r="B824" s="1" t="s">
        <v>9480</v>
      </c>
      <c r="C824" s="1">
        <v>48900000</v>
      </c>
      <c r="D824" s="1" t="s">
        <v>45</v>
      </c>
      <c r="E824">
        <v>60.511499999999998</v>
      </c>
      <c r="F824" s="1" t="s">
        <v>161</v>
      </c>
      <c r="G824">
        <v>1200</v>
      </c>
      <c r="H824">
        <v>800</v>
      </c>
      <c r="I824" s="1" t="s">
        <v>836</v>
      </c>
      <c r="J824">
        <v>1</v>
      </c>
      <c r="K824" t="str">
        <f>IF(Tb_data[[#This Row],[previous_workers]]&lt;Tb_data[[#This Row],[workers]],"yes","no")</f>
        <v>yes</v>
      </c>
      <c r="L824">
        <f>Tb_data[[#This Row],[workers]]-Tb_data[[#This Row],[previous_workers]]</f>
        <v>400</v>
      </c>
      <c r="M824" s="12">
        <f>Tb_data[[#This Row],[Employees Growth]]/Tb_data[[#This Row],[previous_workers]]</f>
        <v>0.5</v>
      </c>
    </row>
    <row r="825" spans="1:13" x14ac:dyDescent="0.25">
      <c r="A825" s="1" t="s">
        <v>6029</v>
      </c>
      <c r="B825" s="1" t="s">
        <v>6030</v>
      </c>
      <c r="C825" s="1">
        <v>21900000</v>
      </c>
      <c r="D825" s="1" t="s">
        <v>45</v>
      </c>
      <c r="E825">
        <v>125.92910000000001</v>
      </c>
      <c r="F825" s="1" t="s">
        <v>34</v>
      </c>
      <c r="G825">
        <v>124</v>
      </c>
      <c r="H825">
        <v>32</v>
      </c>
      <c r="I825" s="1" t="s">
        <v>164</v>
      </c>
      <c r="J825">
        <v>3</v>
      </c>
      <c r="K825" t="str">
        <f>IF(Tb_data[[#This Row],[previous_workers]]&lt;Tb_data[[#This Row],[workers]],"yes","no")</f>
        <v>yes</v>
      </c>
      <c r="L825">
        <f>Tb_data[[#This Row],[workers]]-Tb_data[[#This Row],[previous_workers]]</f>
        <v>92</v>
      </c>
      <c r="M825" s="12">
        <f>Tb_data[[#This Row],[Employees Growth]]/Tb_data[[#This Row],[previous_workers]]</f>
        <v>2.875</v>
      </c>
    </row>
    <row r="826" spans="1:13" x14ac:dyDescent="0.25">
      <c r="A826" s="1" t="s">
        <v>3688</v>
      </c>
      <c r="B826" s="1" t="s">
        <v>3689</v>
      </c>
      <c r="C826" s="1">
        <v>21400000</v>
      </c>
      <c r="D826" s="1" t="s">
        <v>49</v>
      </c>
      <c r="E826">
        <v>228.9692</v>
      </c>
      <c r="F826" s="1" t="s">
        <v>34</v>
      </c>
      <c r="G826">
        <v>84</v>
      </c>
      <c r="H826">
        <v>44</v>
      </c>
      <c r="I826" s="1" t="s">
        <v>229</v>
      </c>
      <c r="J826">
        <v>2</v>
      </c>
      <c r="K826" t="str">
        <f>IF(Tb_data[[#This Row],[previous_workers]]&lt;Tb_data[[#This Row],[workers]],"yes","no")</f>
        <v>yes</v>
      </c>
      <c r="L826">
        <f>Tb_data[[#This Row],[workers]]-Tb_data[[#This Row],[previous_workers]]</f>
        <v>40</v>
      </c>
      <c r="M826" s="12">
        <f>Tb_data[[#This Row],[Employees Growth]]/Tb_data[[#This Row],[previous_workers]]</f>
        <v>0.90909090909090906</v>
      </c>
    </row>
    <row r="827" spans="1:13" x14ac:dyDescent="0.25">
      <c r="A827" s="1" t="s">
        <v>5190</v>
      </c>
      <c r="B827" s="1" t="s">
        <v>5191</v>
      </c>
      <c r="C827" s="1">
        <v>26000000</v>
      </c>
      <c r="D827" s="1" t="s">
        <v>61</v>
      </c>
      <c r="E827">
        <v>153.85820000000001</v>
      </c>
      <c r="F827" s="1" t="s">
        <v>161</v>
      </c>
      <c r="G827">
        <v>32</v>
      </c>
      <c r="H827">
        <v>10</v>
      </c>
      <c r="I827" s="1" t="s">
        <v>194</v>
      </c>
      <c r="J827">
        <v>3</v>
      </c>
      <c r="K827" t="str">
        <f>IF(Tb_data[[#This Row],[previous_workers]]&lt;Tb_data[[#This Row],[workers]],"yes","no")</f>
        <v>yes</v>
      </c>
      <c r="L827">
        <f>Tb_data[[#This Row],[workers]]-Tb_data[[#This Row],[previous_workers]]</f>
        <v>22</v>
      </c>
      <c r="M827" s="12">
        <f>Tb_data[[#This Row],[Employees Growth]]/Tb_data[[#This Row],[previous_workers]]</f>
        <v>2.2000000000000002</v>
      </c>
    </row>
    <row r="828" spans="1:13" x14ac:dyDescent="0.25">
      <c r="A828" s="1" t="s">
        <v>9640</v>
      </c>
      <c r="B828" s="1" t="s">
        <v>9641</v>
      </c>
      <c r="C828" s="1">
        <v>4000000</v>
      </c>
      <c r="D828" s="1" t="s">
        <v>41</v>
      </c>
      <c r="E828">
        <v>58.826900000000002</v>
      </c>
      <c r="F828" s="1" t="s">
        <v>34</v>
      </c>
      <c r="G828">
        <v>72</v>
      </c>
      <c r="H828">
        <v>35</v>
      </c>
      <c r="I828" s="1" t="s">
        <v>1356</v>
      </c>
      <c r="J828">
        <v>1</v>
      </c>
      <c r="K828" t="str">
        <f>IF(Tb_data[[#This Row],[previous_workers]]&lt;Tb_data[[#This Row],[workers]],"yes","no")</f>
        <v>yes</v>
      </c>
      <c r="L828">
        <f>Tb_data[[#This Row],[workers]]-Tb_data[[#This Row],[previous_workers]]</f>
        <v>37</v>
      </c>
      <c r="M828" s="12">
        <f>Tb_data[[#This Row],[Employees Growth]]/Tb_data[[#This Row],[previous_workers]]</f>
        <v>1.0571428571428572</v>
      </c>
    </row>
    <row r="829" spans="1:13" x14ac:dyDescent="0.25">
      <c r="A829" s="1" t="s">
        <v>5002</v>
      </c>
      <c r="B829" s="1" t="s">
        <v>5003</v>
      </c>
      <c r="C829" s="1">
        <v>2400000</v>
      </c>
      <c r="D829" s="1" t="s">
        <v>1557</v>
      </c>
      <c r="E829">
        <v>161.6764</v>
      </c>
      <c r="F829" s="1" t="s">
        <v>176</v>
      </c>
      <c r="G829">
        <v>14</v>
      </c>
      <c r="H829">
        <v>7</v>
      </c>
      <c r="I829" s="1" t="s">
        <v>46</v>
      </c>
      <c r="J829">
        <v>2</v>
      </c>
      <c r="K829" t="str">
        <f>IF(Tb_data[[#This Row],[previous_workers]]&lt;Tb_data[[#This Row],[workers]],"yes","no")</f>
        <v>yes</v>
      </c>
      <c r="L829">
        <f>Tb_data[[#This Row],[workers]]-Tb_data[[#This Row],[previous_workers]]</f>
        <v>7</v>
      </c>
      <c r="M829" s="12">
        <f>Tb_data[[#This Row],[Employees Growth]]/Tb_data[[#This Row],[previous_workers]]</f>
        <v>1</v>
      </c>
    </row>
    <row r="830" spans="1:13" x14ac:dyDescent="0.25">
      <c r="A830" s="1" t="s">
        <v>8783</v>
      </c>
      <c r="B830" s="1" t="s">
        <v>8784</v>
      </c>
      <c r="C830" s="1">
        <v>2800000</v>
      </c>
      <c r="D830" s="1" t="s">
        <v>20</v>
      </c>
      <c r="E830">
        <v>69.689700000000002</v>
      </c>
      <c r="F830" s="1" t="s">
        <v>176</v>
      </c>
      <c r="G830">
        <v>95</v>
      </c>
      <c r="H830">
        <v>60</v>
      </c>
      <c r="I830" s="1" t="s">
        <v>194</v>
      </c>
      <c r="J830">
        <v>1</v>
      </c>
      <c r="K830" t="str">
        <f>IF(Tb_data[[#This Row],[previous_workers]]&lt;Tb_data[[#This Row],[workers]],"yes","no")</f>
        <v>yes</v>
      </c>
      <c r="L830">
        <f>Tb_data[[#This Row],[workers]]-Tb_data[[#This Row],[previous_workers]]</f>
        <v>35</v>
      </c>
      <c r="M830" s="12">
        <f>Tb_data[[#This Row],[Employees Growth]]/Tb_data[[#This Row],[previous_workers]]</f>
        <v>0.58333333333333337</v>
      </c>
    </row>
    <row r="831" spans="1:13" x14ac:dyDescent="0.25">
      <c r="A831" s="1" t="s">
        <v>964</v>
      </c>
      <c r="B831" s="1" t="s">
        <v>965</v>
      </c>
      <c r="C831" s="1">
        <v>38500000</v>
      </c>
      <c r="D831" s="1" t="s">
        <v>41</v>
      </c>
      <c r="E831">
        <v>1043.8893</v>
      </c>
      <c r="F831" s="1" t="s">
        <v>30</v>
      </c>
      <c r="G831">
        <v>125</v>
      </c>
      <c r="H831">
        <v>50</v>
      </c>
      <c r="I831" s="1" t="s">
        <v>164</v>
      </c>
      <c r="J831">
        <v>2</v>
      </c>
      <c r="K831" t="str">
        <f>IF(Tb_data[[#This Row],[previous_workers]]&lt;Tb_data[[#This Row],[workers]],"yes","no")</f>
        <v>yes</v>
      </c>
      <c r="L831">
        <f>Tb_data[[#This Row],[workers]]-Tb_data[[#This Row],[previous_workers]]</f>
        <v>75</v>
      </c>
      <c r="M831" s="12">
        <f>Tb_data[[#This Row],[Employees Growth]]/Tb_data[[#This Row],[previous_workers]]</f>
        <v>1.5</v>
      </c>
    </row>
    <row r="832" spans="1:13" x14ac:dyDescent="0.25">
      <c r="A832" s="1" t="s">
        <v>4056</v>
      </c>
      <c r="B832" s="1" t="s">
        <v>4057</v>
      </c>
      <c r="C832" s="1">
        <v>19500000</v>
      </c>
      <c r="D832" s="1" t="s">
        <v>120</v>
      </c>
      <c r="E832">
        <v>204.37209999999999</v>
      </c>
      <c r="F832" s="1" t="s">
        <v>30</v>
      </c>
      <c r="G832">
        <v>94</v>
      </c>
      <c r="H832">
        <v>35</v>
      </c>
      <c r="I832" s="1" t="s">
        <v>130</v>
      </c>
      <c r="J832">
        <v>1</v>
      </c>
      <c r="K832" t="str">
        <f>IF(Tb_data[[#This Row],[previous_workers]]&lt;Tb_data[[#This Row],[workers]],"yes","no")</f>
        <v>yes</v>
      </c>
      <c r="L832">
        <f>Tb_data[[#This Row],[workers]]-Tb_data[[#This Row],[previous_workers]]</f>
        <v>59</v>
      </c>
      <c r="M832" s="12">
        <f>Tb_data[[#This Row],[Employees Growth]]/Tb_data[[#This Row],[previous_workers]]</f>
        <v>1.6857142857142857</v>
      </c>
    </row>
    <row r="833" spans="1:13" x14ac:dyDescent="0.25">
      <c r="A833" s="1" t="s">
        <v>287</v>
      </c>
      <c r="B833" s="1" t="s">
        <v>288</v>
      </c>
      <c r="C833" s="1">
        <v>3900000</v>
      </c>
      <c r="D833" s="1" t="s">
        <v>61</v>
      </c>
      <c r="E833">
        <v>3178.6799000000001</v>
      </c>
      <c r="F833" s="1" t="s">
        <v>176</v>
      </c>
      <c r="G833">
        <v>1</v>
      </c>
      <c r="H833">
        <v>1</v>
      </c>
      <c r="I833" s="1" t="s">
        <v>13</v>
      </c>
      <c r="J833">
        <v>1</v>
      </c>
      <c r="K833" t="str">
        <f>IF(Tb_data[[#This Row],[previous_workers]]&lt;Tb_data[[#This Row],[workers]],"yes","no")</f>
        <v>no</v>
      </c>
      <c r="L833">
        <f>Tb_data[[#This Row],[workers]]-Tb_data[[#This Row],[previous_workers]]</f>
        <v>0</v>
      </c>
      <c r="M833" s="12">
        <f>Tb_data[[#This Row],[Employees Growth]]/Tb_data[[#This Row],[previous_workers]]</f>
        <v>0</v>
      </c>
    </row>
    <row r="834" spans="1:13" x14ac:dyDescent="0.25">
      <c r="A834" s="1" t="s">
        <v>9441</v>
      </c>
      <c r="B834" s="1" t="s">
        <v>9442</v>
      </c>
      <c r="C834" s="1">
        <v>15100000</v>
      </c>
      <c r="D834" s="1" t="s">
        <v>115</v>
      </c>
      <c r="E834">
        <v>60.930900000000001</v>
      </c>
      <c r="F834" s="1" t="s">
        <v>3264</v>
      </c>
      <c r="G834">
        <v>68</v>
      </c>
      <c r="H834">
        <v>57</v>
      </c>
      <c r="I834" s="1" t="s">
        <v>1411</v>
      </c>
      <c r="J834">
        <v>1</v>
      </c>
      <c r="K834" t="str">
        <f>IF(Tb_data[[#This Row],[previous_workers]]&lt;Tb_data[[#This Row],[workers]],"yes","no")</f>
        <v>yes</v>
      </c>
      <c r="L834">
        <f>Tb_data[[#This Row],[workers]]-Tb_data[[#This Row],[previous_workers]]</f>
        <v>11</v>
      </c>
      <c r="M834" s="12">
        <f>Tb_data[[#This Row],[Employees Growth]]/Tb_data[[#This Row],[previous_workers]]</f>
        <v>0.19298245614035087</v>
      </c>
    </row>
    <row r="835" spans="1:13" x14ac:dyDescent="0.25">
      <c r="A835" s="1" t="s">
        <v>9435</v>
      </c>
      <c r="B835" s="1" t="s">
        <v>9436</v>
      </c>
      <c r="C835" s="1">
        <v>7000000</v>
      </c>
      <c r="D835" s="1" t="s">
        <v>33</v>
      </c>
      <c r="E835">
        <v>60.959699999999998</v>
      </c>
      <c r="F835" s="1" t="s">
        <v>25</v>
      </c>
      <c r="G835">
        <v>14</v>
      </c>
      <c r="H835">
        <v>8</v>
      </c>
      <c r="I835" s="1" t="s">
        <v>948</v>
      </c>
      <c r="J835">
        <v>1</v>
      </c>
      <c r="K835" t="str">
        <f>IF(Tb_data[[#This Row],[previous_workers]]&lt;Tb_data[[#This Row],[workers]],"yes","no")</f>
        <v>yes</v>
      </c>
      <c r="L835">
        <f>Tb_data[[#This Row],[workers]]-Tb_data[[#This Row],[previous_workers]]</f>
        <v>6</v>
      </c>
      <c r="M835" s="12">
        <f>Tb_data[[#This Row],[Employees Growth]]/Tb_data[[#This Row],[previous_workers]]</f>
        <v>0.75</v>
      </c>
    </row>
    <row r="836" spans="1:13" x14ac:dyDescent="0.25">
      <c r="A836" s="1" t="s">
        <v>1805</v>
      </c>
      <c r="B836" s="1" t="s">
        <v>1806</v>
      </c>
      <c r="C836" s="1">
        <v>69700000</v>
      </c>
      <c r="D836" s="1" t="s">
        <v>69</v>
      </c>
      <c r="E836">
        <v>499.68700000000001</v>
      </c>
      <c r="F836" s="1" t="s">
        <v>100</v>
      </c>
      <c r="G836">
        <v>850</v>
      </c>
      <c r="H836">
        <v>350</v>
      </c>
      <c r="I836" s="1" t="s">
        <v>147</v>
      </c>
      <c r="J836">
        <v>1</v>
      </c>
      <c r="K836" t="str">
        <f>IF(Tb_data[[#This Row],[previous_workers]]&lt;Tb_data[[#This Row],[workers]],"yes","no")</f>
        <v>yes</v>
      </c>
      <c r="L836">
        <f>Tb_data[[#This Row],[workers]]-Tb_data[[#This Row],[previous_workers]]</f>
        <v>500</v>
      </c>
      <c r="M836" s="12">
        <f>Tb_data[[#This Row],[Employees Growth]]/Tb_data[[#This Row],[previous_workers]]</f>
        <v>1.4285714285714286</v>
      </c>
    </row>
    <row r="837" spans="1:13" x14ac:dyDescent="0.25">
      <c r="A837" s="1" t="s">
        <v>2587</v>
      </c>
      <c r="B837" s="1" t="s">
        <v>2588</v>
      </c>
      <c r="C837" s="1">
        <v>5300000</v>
      </c>
      <c r="D837" s="1" t="s">
        <v>895</v>
      </c>
      <c r="E837">
        <v>333.31270000000001</v>
      </c>
      <c r="F837" s="1" t="s">
        <v>86</v>
      </c>
      <c r="G837">
        <v>19</v>
      </c>
      <c r="H837">
        <v>5</v>
      </c>
      <c r="I837" s="1" t="s">
        <v>55</v>
      </c>
      <c r="J837">
        <v>2</v>
      </c>
      <c r="K837" t="str">
        <f>IF(Tb_data[[#This Row],[previous_workers]]&lt;Tb_data[[#This Row],[workers]],"yes","no")</f>
        <v>yes</v>
      </c>
      <c r="L837">
        <f>Tb_data[[#This Row],[workers]]-Tb_data[[#This Row],[previous_workers]]</f>
        <v>14</v>
      </c>
      <c r="M837" s="12">
        <f>Tb_data[[#This Row],[Employees Growth]]/Tb_data[[#This Row],[previous_workers]]</f>
        <v>2.8</v>
      </c>
    </row>
    <row r="838" spans="1:13" x14ac:dyDescent="0.25">
      <c r="A838" s="1" t="s">
        <v>6994</v>
      </c>
      <c r="B838" s="1" t="s">
        <v>6995</v>
      </c>
      <c r="C838" s="1">
        <v>95400000</v>
      </c>
      <c r="D838" s="1" t="s">
        <v>500</v>
      </c>
      <c r="E838">
        <v>102.0175</v>
      </c>
      <c r="F838" s="1" t="s">
        <v>62</v>
      </c>
      <c r="G838">
        <v>200</v>
      </c>
      <c r="H838">
        <v>150</v>
      </c>
      <c r="I838" s="1" t="s">
        <v>4084</v>
      </c>
      <c r="J838">
        <v>3</v>
      </c>
      <c r="K838" t="str">
        <f>IF(Tb_data[[#This Row],[previous_workers]]&lt;Tb_data[[#This Row],[workers]],"yes","no")</f>
        <v>yes</v>
      </c>
      <c r="L838">
        <f>Tb_data[[#This Row],[workers]]-Tb_data[[#This Row],[previous_workers]]</f>
        <v>50</v>
      </c>
      <c r="M838" s="12">
        <f>Tb_data[[#This Row],[Employees Growth]]/Tb_data[[#This Row],[previous_workers]]</f>
        <v>0.33333333333333331</v>
      </c>
    </row>
    <row r="839" spans="1:13" x14ac:dyDescent="0.25">
      <c r="A839" s="1" t="s">
        <v>7282</v>
      </c>
      <c r="B839" s="1" t="s">
        <v>7283</v>
      </c>
      <c r="C839" s="1">
        <v>21700000</v>
      </c>
      <c r="D839" s="1" t="s">
        <v>49</v>
      </c>
      <c r="E839">
        <v>97.364800000000002</v>
      </c>
      <c r="F839" s="1" t="s">
        <v>30</v>
      </c>
      <c r="G839">
        <v>104</v>
      </c>
      <c r="H839">
        <v>51</v>
      </c>
      <c r="I839" s="1" t="s">
        <v>4043</v>
      </c>
      <c r="J839">
        <v>3</v>
      </c>
      <c r="K839" t="str">
        <f>IF(Tb_data[[#This Row],[previous_workers]]&lt;Tb_data[[#This Row],[workers]],"yes","no")</f>
        <v>yes</v>
      </c>
      <c r="L839">
        <f>Tb_data[[#This Row],[workers]]-Tb_data[[#This Row],[previous_workers]]</f>
        <v>53</v>
      </c>
      <c r="M839" s="12">
        <f>Tb_data[[#This Row],[Employees Growth]]/Tb_data[[#This Row],[previous_workers]]</f>
        <v>1.0392156862745099</v>
      </c>
    </row>
    <row r="840" spans="1:13" x14ac:dyDescent="0.25">
      <c r="A840" s="1" t="s">
        <v>792</v>
      </c>
      <c r="B840" s="1" t="s">
        <v>793</v>
      </c>
      <c r="C840" s="1">
        <v>35300000</v>
      </c>
      <c r="D840" s="1" t="s">
        <v>49</v>
      </c>
      <c r="E840">
        <v>1301.7556999999999</v>
      </c>
      <c r="F840" s="1" t="s">
        <v>62</v>
      </c>
      <c r="G840">
        <v>400</v>
      </c>
      <c r="H840">
        <v>55</v>
      </c>
      <c r="I840" s="1" t="s">
        <v>130</v>
      </c>
      <c r="J840">
        <v>2</v>
      </c>
      <c r="K840" t="str">
        <f>IF(Tb_data[[#This Row],[previous_workers]]&lt;Tb_data[[#This Row],[workers]],"yes","no")</f>
        <v>yes</v>
      </c>
      <c r="L840">
        <f>Tb_data[[#This Row],[workers]]-Tb_data[[#This Row],[previous_workers]]</f>
        <v>345</v>
      </c>
      <c r="M840" s="12">
        <f>Tb_data[[#This Row],[Employees Growth]]/Tb_data[[#This Row],[previous_workers]]</f>
        <v>6.2727272727272725</v>
      </c>
    </row>
    <row r="841" spans="1:13" x14ac:dyDescent="0.25">
      <c r="A841" s="1" t="s">
        <v>4621</v>
      </c>
      <c r="B841" s="1" t="s">
        <v>4622</v>
      </c>
      <c r="C841" s="1">
        <v>6700000</v>
      </c>
      <c r="D841" s="1" t="s">
        <v>1021</v>
      </c>
      <c r="E841">
        <v>177.18440000000001</v>
      </c>
      <c r="F841" s="1" t="s">
        <v>86</v>
      </c>
      <c r="G841">
        <v>28</v>
      </c>
      <c r="H841">
        <v>10</v>
      </c>
      <c r="I841" s="1" t="s">
        <v>130</v>
      </c>
      <c r="J841">
        <v>4</v>
      </c>
      <c r="K841" t="str">
        <f>IF(Tb_data[[#This Row],[previous_workers]]&lt;Tb_data[[#This Row],[workers]],"yes","no")</f>
        <v>yes</v>
      </c>
      <c r="L841">
        <f>Tb_data[[#This Row],[workers]]-Tb_data[[#This Row],[previous_workers]]</f>
        <v>18</v>
      </c>
      <c r="M841" s="12">
        <f>Tb_data[[#This Row],[Employees Growth]]/Tb_data[[#This Row],[previous_workers]]</f>
        <v>1.8</v>
      </c>
    </row>
    <row r="842" spans="1:13" x14ac:dyDescent="0.25">
      <c r="A842" s="1" t="s">
        <v>9742</v>
      </c>
      <c r="B842" s="1" t="s">
        <v>9743</v>
      </c>
      <c r="C842" s="1">
        <v>19700000</v>
      </c>
      <c r="D842" s="1" t="s">
        <v>41</v>
      </c>
      <c r="E842">
        <v>57.506</v>
      </c>
      <c r="F842" s="1" t="s">
        <v>62</v>
      </c>
      <c r="G842">
        <v>49</v>
      </c>
      <c r="H842">
        <v>36</v>
      </c>
      <c r="I842" s="1" t="s">
        <v>1356</v>
      </c>
      <c r="J842">
        <v>8</v>
      </c>
      <c r="K842" t="str">
        <f>IF(Tb_data[[#This Row],[previous_workers]]&lt;Tb_data[[#This Row],[workers]],"yes","no")</f>
        <v>yes</v>
      </c>
      <c r="L842">
        <f>Tb_data[[#This Row],[workers]]-Tb_data[[#This Row],[previous_workers]]</f>
        <v>13</v>
      </c>
      <c r="M842" s="12">
        <f>Tb_data[[#This Row],[Employees Growth]]/Tb_data[[#This Row],[previous_workers]]</f>
        <v>0.3611111111111111</v>
      </c>
    </row>
    <row r="843" spans="1:13" x14ac:dyDescent="0.25">
      <c r="A843" s="1" t="s">
        <v>7719</v>
      </c>
      <c r="B843" s="1" t="s">
        <v>7720</v>
      </c>
      <c r="C843" s="1">
        <v>28500000</v>
      </c>
      <c r="D843" s="1" t="s">
        <v>254</v>
      </c>
      <c r="E843">
        <v>87.7791</v>
      </c>
      <c r="F843" s="1" t="s">
        <v>112</v>
      </c>
      <c r="G843">
        <v>118</v>
      </c>
      <c r="H843">
        <v>61</v>
      </c>
      <c r="I843" s="1" t="s">
        <v>117</v>
      </c>
      <c r="J843">
        <v>3</v>
      </c>
      <c r="K843" t="str">
        <f>IF(Tb_data[[#This Row],[previous_workers]]&lt;Tb_data[[#This Row],[workers]],"yes","no")</f>
        <v>yes</v>
      </c>
      <c r="L843">
        <f>Tb_data[[#This Row],[workers]]-Tb_data[[#This Row],[previous_workers]]</f>
        <v>57</v>
      </c>
      <c r="M843" s="12">
        <f>Tb_data[[#This Row],[Employees Growth]]/Tb_data[[#This Row],[previous_workers]]</f>
        <v>0.93442622950819676</v>
      </c>
    </row>
    <row r="844" spans="1:13" x14ac:dyDescent="0.25">
      <c r="A844" s="1" t="s">
        <v>2436</v>
      </c>
      <c r="B844" s="1" t="s">
        <v>2437</v>
      </c>
      <c r="C844" s="1">
        <v>17300000</v>
      </c>
      <c r="D844" s="1" t="s">
        <v>29</v>
      </c>
      <c r="E844">
        <v>357.7971</v>
      </c>
      <c r="F844" s="1" t="s">
        <v>12</v>
      </c>
      <c r="G844">
        <v>15</v>
      </c>
      <c r="H844">
        <v>20</v>
      </c>
      <c r="I844" s="1" t="s">
        <v>35</v>
      </c>
      <c r="J844">
        <v>1</v>
      </c>
      <c r="K844" t="str">
        <f>IF(Tb_data[[#This Row],[previous_workers]]&lt;Tb_data[[#This Row],[workers]],"yes","no")</f>
        <v>no</v>
      </c>
      <c r="L844">
        <f>Tb_data[[#This Row],[workers]]-Tb_data[[#This Row],[previous_workers]]</f>
        <v>-5</v>
      </c>
      <c r="M844" s="12">
        <f>Tb_data[[#This Row],[Employees Growth]]/Tb_data[[#This Row],[previous_workers]]</f>
        <v>-0.25</v>
      </c>
    </row>
    <row r="845" spans="1:13" x14ac:dyDescent="0.25">
      <c r="A845" s="1" t="s">
        <v>6687</v>
      </c>
      <c r="B845" s="1" t="s">
        <v>6688</v>
      </c>
      <c r="C845" s="1">
        <v>29300000</v>
      </c>
      <c r="D845" s="1" t="s">
        <v>61</v>
      </c>
      <c r="E845">
        <v>109.4765</v>
      </c>
      <c r="F845" s="1" t="s">
        <v>86</v>
      </c>
      <c r="G845">
        <v>180</v>
      </c>
      <c r="H845">
        <v>125</v>
      </c>
      <c r="I845" s="1" t="s">
        <v>46</v>
      </c>
      <c r="J845">
        <v>1</v>
      </c>
      <c r="K845" t="str">
        <f>IF(Tb_data[[#This Row],[previous_workers]]&lt;Tb_data[[#This Row],[workers]],"yes","no")</f>
        <v>yes</v>
      </c>
      <c r="L845">
        <f>Tb_data[[#This Row],[workers]]-Tb_data[[#This Row],[previous_workers]]</f>
        <v>55</v>
      </c>
      <c r="M845" s="12">
        <f>Tb_data[[#This Row],[Employees Growth]]/Tb_data[[#This Row],[previous_workers]]</f>
        <v>0.44</v>
      </c>
    </row>
    <row r="846" spans="1:13" x14ac:dyDescent="0.25">
      <c r="A846" s="1" t="s">
        <v>4292</v>
      </c>
      <c r="B846" s="1" t="s">
        <v>4294</v>
      </c>
      <c r="C846" s="1">
        <v>7900000</v>
      </c>
      <c r="D846" s="1" t="s">
        <v>41</v>
      </c>
      <c r="E846">
        <v>191.2516</v>
      </c>
      <c r="F846" s="1" t="s">
        <v>100</v>
      </c>
      <c r="G846">
        <v>17</v>
      </c>
      <c r="H846">
        <v>5</v>
      </c>
      <c r="I846" s="1" t="s">
        <v>194</v>
      </c>
      <c r="J846">
        <v>1</v>
      </c>
      <c r="K846" t="str">
        <f>IF(Tb_data[[#This Row],[previous_workers]]&lt;Tb_data[[#This Row],[workers]],"yes","no")</f>
        <v>yes</v>
      </c>
      <c r="L846">
        <f>Tb_data[[#This Row],[workers]]-Tb_data[[#This Row],[previous_workers]]</f>
        <v>12</v>
      </c>
      <c r="M846" s="12">
        <f>Tb_data[[#This Row],[Employees Growth]]/Tb_data[[#This Row],[previous_workers]]</f>
        <v>2.4</v>
      </c>
    </row>
    <row r="847" spans="1:13" x14ac:dyDescent="0.25">
      <c r="A847" s="1" t="s">
        <v>4071</v>
      </c>
      <c r="B847" s="1" t="s">
        <v>4072</v>
      </c>
      <c r="C847" s="1">
        <v>7700000</v>
      </c>
      <c r="D847" s="1" t="s">
        <v>20</v>
      </c>
      <c r="E847">
        <v>203.98079999999999</v>
      </c>
      <c r="F847" s="1" t="s">
        <v>124</v>
      </c>
      <c r="G847">
        <v>25</v>
      </c>
      <c r="H847">
        <v>8</v>
      </c>
      <c r="I847" s="1" t="s">
        <v>26</v>
      </c>
      <c r="J847">
        <v>1</v>
      </c>
      <c r="K847" t="str">
        <f>IF(Tb_data[[#This Row],[previous_workers]]&lt;Tb_data[[#This Row],[workers]],"yes","no")</f>
        <v>yes</v>
      </c>
      <c r="L847">
        <f>Tb_data[[#This Row],[workers]]-Tb_data[[#This Row],[previous_workers]]</f>
        <v>17</v>
      </c>
      <c r="M847" s="12">
        <f>Tb_data[[#This Row],[Employees Growth]]/Tb_data[[#This Row],[previous_workers]]</f>
        <v>2.125</v>
      </c>
    </row>
    <row r="848" spans="1:13" x14ac:dyDescent="0.25">
      <c r="A848" s="1" t="s">
        <v>8107</v>
      </c>
      <c r="B848" s="1" t="s">
        <v>8108</v>
      </c>
      <c r="C848" s="1">
        <v>3300000</v>
      </c>
      <c r="D848" s="1" t="s">
        <v>254</v>
      </c>
      <c r="E848">
        <v>81.054500000000004</v>
      </c>
      <c r="F848" s="1" t="s">
        <v>156</v>
      </c>
      <c r="G848">
        <v>19</v>
      </c>
      <c r="H848">
        <v>10</v>
      </c>
      <c r="I848" s="1" t="s">
        <v>55</v>
      </c>
      <c r="J848">
        <v>2</v>
      </c>
      <c r="K848" t="str">
        <f>IF(Tb_data[[#This Row],[previous_workers]]&lt;Tb_data[[#This Row],[workers]],"yes","no")</f>
        <v>yes</v>
      </c>
      <c r="L848">
        <f>Tb_data[[#This Row],[workers]]-Tb_data[[#This Row],[previous_workers]]</f>
        <v>9</v>
      </c>
      <c r="M848" s="12">
        <f>Tb_data[[#This Row],[Employees Growth]]/Tb_data[[#This Row],[previous_workers]]</f>
        <v>0.9</v>
      </c>
    </row>
    <row r="849" spans="1:13" x14ac:dyDescent="0.25">
      <c r="A849" s="1" t="s">
        <v>18</v>
      </c>
      <c r="B849" s="1" t="s">
        <v>19</v>
      </c>
      <c r="C849" s="1">
        <v>24900000</v>
      </c>
      <c r="D849" s="1" t="s">
        <v>20</v>
      </c>
      <c r="E849">
        <v>23880.485199999999</v>
      </c>
      <c r="F849" s="1" t="s">
        <v>21</v>
      </c>
      <c r="G849">
        <v>190</v>
      </c>
      <c r="H849">
        <v>10</v>
      </c>
      <c r="I849" s="1" t="s">
        <v>13</v>
      </c>
      <c r="J849">
        <v>1</v>
      </c>
      <c r="K849" t="str">
        <f>IF(Tb_data[[#This Row],[previous_workers]]&lt;Tb_data[[#This Row],[workers]],"yes","no")</f>
        <v>yes</v>
      </c>
      <c r="L849">
        <f>Tb_data[[#This Row],[workers]]-Tb_data[[#This Row],[previous_workers]]</f>
        <v>180</v>
      </c>
      <c r="M849" s="12">
        <f>Tb_data[[#This Row],[Employees Growth]]/Tb_data[[#This Row],[previous_workers]]</f>
        <v>18</v>
      </c>
    </row>
    <row r="850" spans="1:13" x14ac:dyDescent="0.25">
      <c r="A850" s="1" t="s">
        <v>1114</v>
      </c>
      <c r="B850" s="1" t="s">
        <v>1115</v>
      </c>
      <c r="C850" s="1">
        <v>10700000</v>
      </c>
      <c r="D850" s="1" t="s">
        <v>29</v>
      </c>
      <c r="E850">
        <v>861.24959999999999</v>
      </c>
      <c r="F850" s="1" t="s">
        <v>112</v>
      </c>
      <c r="G850">
        <v>54</v>
      </c>
      <c r="H850">
        <v>1</v>
      </c>
      <c r="I850" s="1" t="s">
        <v>164</v>
      </c>
      <c r="J850">
        <v>3</v>
      </c>
      <c r="K850" t="str">
        <f>IF(Tb_data[[#This Row],[previous_workers]]&lt;Tb_data[[#This Row],[workers]],"yes","no")</f>
        <v>yes</v>
      </c>
      <c r="L850">
        <f>Tb_data[[#This Row],[workers]]-Tb_data[[#This Row],[previous_workers]]</f>
        <v>53</v>
      </c>
      <c r="M850" s="12">
        <f>Tb_data[[#This Row],[Employees Growth]]/Tb_data[[#This Row],[previous_workers]]</f>
        <v>53</v>
      </c>
    </row>
    <row r="851" spans="1:13" x14ac:dyDescent="0.25">
      <c r="A851" s="1" t="s">
        <v>342</v>
      </c>
      <c r="B851" s="1" t="s">
        <v>343</v>
      </c>
      <c r="C851" s="1">
        <v>12400000</v>
      </c>
      <c r="D851" s="1" t="s">
        <v>61</v>
      </c>
      <c r="E851">
        <v>2689.6147999999998</v>
      </c>
      <c r="F851" s="1" t="s">
        <v>25</v>
      </c>
      <c r="G851">
        <v>11</v>
      </c>
      <c r="H851">
        <v>2</v>
      </c>
      <c r="I851" s="1" t="s">
        <v>13</v>
      </c>
      <c r="J851">
        <v>1</v>
      </c>
      <c r="K851" t="str">
        <f>IF(Tb_data[[#This Row],[previous_workers]]&lt;Tb_data[[#This Row],[workers]],"yes","no")</f>
        <v>yes</v>
      </c>
      <c r="L851">
        <f>Tb_data[[#This Row],[workers]]-Tb_data[[#This Row],[previous_workers]]</f>
        <v>9</v>
      </c>
      <c r="M851" s="12">
        <f>Tb_data[[#This Row],[Employees Growth]]/Tb_data[[#This Row],[previous_workers]]</f>
        <v>4.5</v>
      </c>
    </row>
    <row r="852" spans="1:13" x14ac:dyDescent="0.25">
      <c r="A852" s="1" t="s">
        <v>8197</v>
      </c>
      <c r="B852" s="1" t="s">
        <v>8198</v>
      </c>
      <c r="C852" s="1">
        <v>50200000</v>
      </c>
      <c r="D852" s="1" t="s">
        <v>29</v>
      </c>
      <c r="E852">
        <v>79.6661</v>
      </c>
      <c r="F852" s="1" t="s">
        <v>176</v>
      </c>
      <c r="G852">
        <v>203</v>
      </c>
      <c r="H852">
        <v>101</v>
      </c>
      <c r="I852" s="1" t="s">
        <v>226</v>
      </c>
      <c r="J852">
        <v>6</v>
      </c>
      <c r="K852" t="str">
        <f>IF(Tb_data[[#This Row],[previous_workers]]&lt;Tb_data[[#This Row],[workers]],"yes","no")</f>
        <v>yes</v>
      </c>
      <c r="L852">
        <f>Tb_data[[#This Row],[workers]]-Tb_data[[#This Row],[previous_workers]]</f>
        <v>102</v>
      </c>
      <c r="M852" s="12">
        <f>Tb_data[[#This Row],[Employees Growth]]/Tb_data[[#This Row],[previous_workers]]</f>
        <v>1.0099009900990099</v>
      </c>
    </row>
    <row r="853" spans="1:13" x14ac:dyDescent="0.25">
      <c r="A853" s="1" t="s">
        <v>340</v>
      </c>
      <c r="B853" s="1" t="s">
        <v>341</v>
      </c>
      <c r="C853" s="1">
        <v>84800000</v>
      </c>
      <c r="D853" s="1" t="s">
        <v>11</v>
      </c>
      <c r="E853">
        <v>2694.3301999999999</v>
      </c>
      <c r="F853" s="1" t="s">
        <v>34</v>
      </c>
      <c r="G853">
        <v>941</v>
      </c>
      <c r="H853">
        <v>51</v>
      </c>
      <c r="I853" s="1" t="s">
        <v>26</v>
      </c>
      <c r="J853">
        <v>1</v>
      </c>
      <c r="K853" t="str">
        <f>IF(Tb_data[[#This Row],[previous_workers]]&lt;Tb_data[[#This Row],[workers]],"yes","no")</f>
        <v>yes</v>
      </c>
      <c r="L853">
        <f>Tb_data[[#This Row],[workers]]-Tb_data[[#This Row],[previous_workers]]</f>
        <v>890</v>
      </c>
      <c r="M853" s="12">
        <f>Tb_data[[#This Row],[Employees Growth]]/Tb_data[[#This Row],[previous_workers]]</f>
        <v>17.450980392156861</v>
      </c>
    </row>
    <row r="854" spans="1:13" x14ac:dyDescent="0.25">
      <c r="A854" s="1" t="s">
        <v>3005</v>
      </c>
      <c r="B854" s="1" t="s">
        <v>3006</v>
      </c>
      <c r="C854" s="1">
        <v>22000000</v>
      </c>
      <c r="D854" s="1" t="s">
        <v>49</v>
      </c>
      <c r="E854">
        <v>286.69310000000002</v>
      </c>
      <c r="F854" s="1" t="s">
        <v>34</v>
      </c>
      <c r="G854">
        <v>575</v>
      </c>
      <c r="H854">
        <v>139</v>
      </c>
      <c r="I854" s="1" t="s">
        <v>130</v>
      </c>
      <c r="J854">
        <v>3</v>
      </c>
      <c r="K854" t="str">
        <f>IF(Tb_data[[#This Row],[previous_workers]]&lt;Tb_data[[#This Row],[workers]],"yes","no")</f>
        <v>yes</v>
      </c>
      <c r="L854">
        <f>Tb_data[[#This Row],[workers]]-Tb_data[[#This Row],[previous_workers]]</f>
        <v>436</v>
      </c>
      <c r="M854" s="12">
        <f>Tb_data[[#This Row],[Employees Growth]]/Tb_data[[#This Row],[previous_workers]]</f>
        <v>3.1366906474820144</v>
      </c>
    </row>
    <row r="855" spans="1:13" x14ac:dyDescent="0.25">
      <c r="A855" s="1" t="s">
        <v>5714</v>
      </c>
      <c r="B855" s="1" t="s">
        <v>5715</v>
      </c>
      <c r="C855" s="1">
        <v>3000000</v>
      </c>
      <c r="D855" s="1" t="s">
        <v>20</v>
      </c>
      <c r="E855">
        <v>134.04329999999999</v>
      </c>
      <c r="F855" s="1" t="s">
        <v>135</v>
      </c>
      <c r="G855">
        <v>54</v>
      </c>
      <c r="H855">
        <v>25</v>
      </c>
      <c r="I855" s="1" t="s">
        <v>74</v>
      </c>
      <c r="J855">
        <v>1</v>
      </c>
      <c r="K855" t="str">
        <f>IF(Tb_data[[#This Row],[previous_workers]]&lt;Tb_data[[#This Row],[workers]],"yes","no")</f>
        <v>yes</v>
      </c>
      <c r="L855">
        <f>Tb_data[[#This Row],[workers]]-Tb_data[[#This Row],[previous_workers]]</f>
        <v>29</v>
      </c>
      <c r="M855" s="12">
        <f>Tb_data[[#This Row],[Employees Growth]]/Tb_data[[#This Row],[previous_workers]]</f>
        <v>1.1599999999999999</v>
      </c>
    </row>
    <row r="856" spans="1:13" x14ac:dyDescent="0.25">
      <c r="A856" s="1" t="s">
        <v>2583</v>
      </c>
      <c r="B856" s="1" t="s">
        <v>2584</v>
      </c>
      <c r="C856" s="1">
        <v>4300000</v>
      </c>
      <c r="D856" s="1" t="s">
        <v>45</v>
      </c>
      <c r="E856">
        <v>333.93639999999999</v>
      </c>
      <c r="F856" s="1" t="s">
        <v>156</v>
      </c>
      <c r="G856">
        <v>15</v>
      </c>
      <c r="H856">
        <v>10</v>
      </c>
      <c r="I856" s="1" t="s">
        <v>130</v>
      </c>
      <c r="J856">
        <v>1</v>
      </c>
      <c r="K856" t="str">
        <f>IF(Tb_data[[#This Row],[previous_workers]]&lt;Tb_data[[#This Row],[workers]],"yes","no")</f>
        <v>yes</v>
      </c>
      <c r="L856">
        <f>Tb_data[[#This Row],[workers]]-Tb_data[[#This Row],[previous_workers]]</f>
        <v>5</v>
      </c>
      <c r="M856" s="12">
        <f>Tb_data[[#This Row],[Employees Growth]]/Tb_data[[#This Row],[previous_workers]]</f>
        <v>0.5</v>
      </c>
    </row>
    <row r="857" spans="1:13" x14ac:dyDescent="0.25">
      <c r="A857" s="1" t="s">
        <v>3933</v>
      </c>
      <c r="B857" s="1" t="s">
        <v>3934</v>
      </c>
      <c r="C857" s="1">
        <v>3000000</v>
      </c>
      <c r="D857" s="1" t="s">
        <v>20</v>
      </c>
      <c r="E857">
        <v>211.17310000000001</v>
      </c>
      <c r="F857" s="1" t="s">
        <v>30</v>
      </c>
      <c r="G857">
        <v>15</v>
      </c>
      <c r="H857">
        <v>7</v>
      </c>
      <c r="I857" s="1" t="s">
        <v>55</v>
      </c>
      <c r="J857">
        <v>1</v>
      </c>
      <c r="K857" t="str">
        <f>IF(Tb_data[[#This Row],[previous_workers]]&lt;Tb_data[[#This Row],[workers]],"yes","no")</f>
        <v>yes</v>
      </c>
      <c r="L857">
        <f>Tb_data[[#This Row],[workers]]-Tb_data[[#This Row],[previous_workers]]</f>
        <v>8</v>
      </c>
      <c r="M857" s="12">
        <f>Tb_data[[#This Row],[Employees Growth]]/Tb_data[[#This Row],[previous_workers]]</f>
        <v>1.1428571428571428</v>
      </c>
    </row>
    <row r="858" spans="1:13" x14ac:dyDescent="0.25">
      <c r="A858" s="1" t="s">
        <v>4137</v>
      </c>
      <c r="B858" s="1" t="s">
        <v>4138</v>
      </c>
      <c r="C858" s="1">
        <v>4000000</v>
      </c>
      <c r="D858" s="1" t="s">
        <v>52</v>
      </c>
      <c r="E858">
        <v>198.36009999999999</v>
      </c>
      <c r="F858" s="1" t="s">
        <v>21</v>
      </c>
      <c r="G858">
        <v>2</v>
      </c>
      <c r="H858">
        <v>2</v>
      </c>
      <c r="I858" s="1" t="s">
        <v>229</v>
      </c>
      <c r="J858">
        <v>1</v>
      </c>
      <c r="K858" t="str">
        <f>IF(Tb_data[[#This Row],[previous_workers]]&lt;Tb_data[[#This Row],[workers]],"yes","no")</f>
        <v>no</v>
      </c>
      <c r="L858">
        <f>Tb_data[[#This Row],[workers]]-Tb_data[[#This Row],[previous_workers]]</f>
        <v>0</v>
      </c>
      <c r="M858" s="12">
        <f>Tb_data[[#This Row],[Employees Growth]]/Tb_data[[#This Row],[previous_workers]]</f>
        <v>0</v>
      </c>
    </row>
    <row r="859" spans="1:13" x14ac:dyDescent="0.25">
      <c r="A859" s="1" t="s">
        <v>1914</v>
      </c>
      <c r="B859" s="1" t="s">
        <v>1915</v>
      </c>
      <c r="C859" s="1">
        <v>16400000</v>
      </c>
      <c r="D859" s="1" t="s">
        <v>33</v>
      </c>
      <c r="E859">
        <v>470.7448</v>
      </c>
      <c r="F859" s="1" t="s">
        <v>86</v>
      </c>
      <c r="G859">
        <v>142</v>
      </c>
      <c r="H859">
        <v>46</v>
      </c>
      <c r="I859" s="1" t="s">
        <v>130</v>
      </c>
      <c r="J859">
        <v>1</v>
      </c>
      <c r="K859" t="str">
        <f>IF(Tb_data[[#This Row],[previous_workers]]&lt;Tb_data[[#This Row],[workers]],"yes","no")</f>
        <v>yes</v>
      </c>
      <c r="L859">
        <f>Tb_data[[#This Row],[workers]]-Tb_data[[#This Row],[previous_workers]]</f>
        <v>96</v>
      </c>
      <c r="M859" s="12">
        <f>Tb_data[[#This Row],[Employees Growth]]/Tb_data[[#This Row],[previous_workers]]</f>
        <v>2.0869565217391304</v>
      </c>
    </row>
    <row r="860" spans="1:13" x14ac:dyDescent="0.25">
      <c r="A860" s="1" t="s">
        <v>8381</v>
      </c>
      <c r="B860" s="1" t="s">
        <v>8382</v>
      </c>
      <c r="C860" s="1">
        <v>114600000</v>
      </c>
      <c r="D860" s="1" t="s">
        <v>49</v>
      </c>
      <c r="E860">
        <v>76.45</v>
      </c>
      <c r="F860" s="1" t="s">
        <v>86</v>
      </c>
      <c r="G860">
        <v>211</v>
      </c>
      <c r="H860">
        <v>338</v>
      </c>
      <c r="I860" s="1" t="s">
        <v>147</v>
      </c>
      <c r="J860">
        <v>6</v>
      </c>
      <c r="K860" t="str">
        <f>IF(Tb_data[[#This Row],[previous_workers]]&lt;Tb_data[[#This Row],[workers]],"yes","no")</f>
        <v>no</v>
      </c>
      <c r="L860">
        <f>Tb_data[[#This Row],[workers]]-Tb_data[[#This Row],[previous_workers]]</f>
        <v>-127</v>
      </c>
      <c r="M860" s="12">
        <f>Tb_data[[#This Row],[Employees Growth]]/Tb_data[[#This Row],[previous_workers]]</f>
        <v>-0.37573964497041418</v>
      </c>
    </row>
    <row r="861" spans="1:13" x14ac:dyDescent="0.25">
      <c r="A861" s="1" t="s">
        <v>10000</v>
      </c>
      <c r="B861" s="1" t="s">
        <v>10001</v>
      </c>
      <c r="C861" s="1">
        <v>2300000</v>
      </c>
      <c r="D861" s="1" t="s">
        <v>427</v>
      </c>
      <c r="E861">
        <v>53.480400000000003</v>
      </c>
      <c r="F861" s="1" t="s">
        <v>100</v>
      </c>
      <c r="G861">
        <v>22</v>
      </c>
      <c r="H861">
        <v>15</v>
      </c>
      <c r="I861" s="1" t="s">
        <v>55</v>
      </c>
      <c r="J861">
        <v>1</v>
      </c>
      <c r="K861" t="str">
        <f>IF(Tb_data[[#This Row],[previous_workers]]&lt;Tb_data[[#This Row],[workers]],"yes","no")</f>
        <v>yes</v>
      </c>
      <c r="L861">
        <f>Tb_data[[#This Row],[workers]]-Tb_data[[#This Row],[previous_workers]]</f>
        <v>7</v>
      </c>
      <c r="M861" s="12">
        <f>Tb_data[[#This Row],[Employees Growth]]/Tb_data[[#This Row],[previous_workers]]</f>
        <v>0.46666666666666667</v>
      </c>
    </row>
    <row r="862" spans="1:13" x14ac:dyDescent="0.25">
      <c r="A862" s="1" t="s">
        <v>6463</v>
      </c>
      <c r="B862" s="1" t="s">
        <v>6464</v>
      </c>
      <c r="C862" s="1">
        <v>19600000</v>
      </c>
      <c r="D862" s="1" t="s">
        <v>49</v>
      </c>
      <c r="E862">
        <v>115.0287</v>
      </c>
      <c r="F862" s="1" t="s">
        <v>62</v>
      </c>
      <c r="G862">
        <v>88</v>
      </c>
      <c r="H862">
        <v>52</v>
      </c>
      <c r="I862" s="1" t="s">
        <v>147</v>
      </c>
      <c r="J862">
        <v>3</v>
      </c>
      <c r="K862" t="str">
        <f>IF(Tb_data[[#This Row],[previous_workers]]&lt;Tb_data[[#This Row],[workers]],"yes","no")</f>
        <v>yes</v>
      </c>
      <c r="L862">
        <f>Tb_data[[#This Row],[workers]]-Tb_data[[#This Row],[previous_workers]]</f>
        <v>36</v>
      </c>
      <c r="M862" s="12">
        <f>Tb_data[[#This Row],[Employees Growth]]/Tb_data[[#This Row],[previous_workers]]</f>
        <v>0.69230769230769229</v>
      </c>
    </row>
    <row r="863" spans="1:13" x14ac:dyDescent="0.25">
      <c r="A863" s="1" t="s">
        <v>9674</v>
      </c>
      <c r="B863" s="1" t="s">
        <v>9675</v>
      </c>
      <c r="C863" s="1">
        <v>7100000</v>
      </c>
      <c r="D863" s="1" t="s">
        <v>69</v>
      </c>
      <c r="E863">
        <v>58.291499999999999</v>
      </c>
      <c r="F863" s="1" t="s">
        <v>156</v>
      </c>
      <c r="G863">
        <v>44</v>
      </c>
      <c r="H863">
        <v>32</v>
      </c>
      <c r="I863" s="1" t="s">
        <v>1411</v>
      </c>
      <c r="J863">
        <v>2</v>
      </c>
      <c r="K863" t="str">
        <f>IF(Tb_data[[#This Row],[previous_workers]]&lt;Tb_data[[#This Row],[workers]],"yes","no")</f>
        <v>yes</v>
      </c>
      <c r="L863">
        <f>Tb_data[[#This Row],[workers]]-Tb_data[[#This Row],[previous_workers]]</f>
        <v>12</v>
      </c>
      <c r="M863" s="12">
        <f>Tb_data[[#This Row],[Employees Growth]]/Tb_data[[#This Row],[previous_workers]]</f>
        <v>0.375</v>
      </c>
    </row>
    <row r="864" spans="1:13" x14ac:dyDescent="0.25">
      <c r="A864" s="1" t="s">
        <v>2179</v>
      </c>
      <c r="B864" s="1" t="s">
        <v>2180</v>
      </c>
      <c r="C864" s="1">
        <v>49500000</v>
      </c>
      <c r="D864" s="1" t="s">
        <v>29</v>
      </c>
      <c r="E864">
        <v>406.13929999999999</v>
      </c>
      <c r="F864" s="1" t="s">
        <v>62</v>
      </c>
      <c r="G864">
        <v>278</v>
      </c>
      <c r="H864">
        <v>136</v>
      </c>
      <c r="I864" s="1" t="s">
        <v>130</v>
      </c>
      <c r="J864">
        <v>3</v>
      </c>
      <c r="K864" t="str">
        <f>IF(Tb_data[[#This Row],[previous_workers]]&lt;Tb_data[[#This Row],[workers]],"yes","no")</f>
        <v>yes</v>
      </c>
      <c r="L864">
        <f>Tb_data[[#This Row],[workers]]-Tb_data[[#This Row],[previous_workers]]</f>
        <v>142</v>
      </c>
      <c r="M864" s="12">
        <f>Tb_data[[#This Row],[Employees Growth]]/Tb_data[[#This Row],[previous_workers]]</f>
        <v>1.0441176470588236</v>
      </c>
    </row>
    <row r="865" spans="1:13" x14ac:dyDescent="0.25">
      <c r="A865" s="1" t="s">
        <v>4589</v>
      </c>
      <c r="B865" s="1" t="s">
        <v>4590</v>
      </c>
      <c r="C865" s="1">
        <v>9600000</v>
      </c>
      <c r="D865" s="1" t="s">
        <v>49</v>
      </c>
      <c r="E865">
        <v>179.09719999999999</v>
      </c>
      <c r="F865" s="1" t="s">
        <v>176</v>
      </c>
      <c r="G865">
        <v>3</v>
      </c>
      <c r="H865">
        <v>1</v>
      </c>
      <c r="I865" s="1" t="s">
        <v>46</v>
      </c>
      <c r="J865">
        <v>5</v>
      </c>
      <c r="K865" t="str">
        <f>IF(Tb_data[[#This Row],[previous_workers]]&lt;Tb_data[[#This Row],[workers]],"yes","no")</f>
        <v>yes</v>
      </c>
      <c r="L865">
        <f>Tb_data[[#This Row],[workers]]-Tb_data[[#This Row],[previous_workers]]</f>
        <v>2</v>
      </c>
      <c r="M865" s="12">
        <f>Tb_data[[#This Row],[Employees Growth]]/Tb_data[[#This Row],[previous_workers]]</f>
        <v>2</v>
      </c>
    </row>
    <row r="866" spans="1:13" x14ac:dyDescent="0.25">
      <c r="A866" s="1" t="s">
        <v>6857</v>
      </c>
      <c r="B866" s="1" t="s">
        <v>6858</v>
      </c>
      <c r="C866" s="1">
        <v>11300000</v>
      </c>
      <c r="D866" s="1" t="s">
        <v>45</v>
      </c>
      <c r="E866">
        <v>105.41540000000001</v>
      </c>
      <c r="F866" s="1" t="s">
        <v>156</v>
      </c>
      <c r="G866">
        <v>49</v>
      </c>
      <c r="H866">
        <v>23</v>
      </c>
      <c r="I866" s="1" t="s">
        <v>229</v>
      </c>
      <c r="J866">
        <v>1</v>
      </c>
      <c r="K866" t="str">
        <f>IF(Tb_data[[#This Row],[previous_workers]]&lt;Tb_data[[#This Row],[workers]],"yes","no")</f>
        <v>yes</v>
      </c>
      <c r="L866">
        <f>Tb_data[[#This Row],[workers]]-Tb_data[[#This Row],[previous_workers]]</f>
        <v>26</v>
      </c>
      <c r="M866" s="12">
        <f>Tb_data[[#This Row],[Employees Growth]]/Tb_data[[#This Row],[previous_workers]]</f>
        <v>1.1304347826086956</v>
      </c>
    </row>
    <row r="867" spans="1:13" x14ac:dyDescent="0.25">
      <c r="A867" s="1" t="s">
        <v>7565</v>
      </c>
      <c r="B867" s="1" t="s">
        <v>7566</v>
      </c>
      <c r="C867" s="1">
        <v>6800000</v>
      </c>
      <c r="D867" s="1" t="s">
        <v>29</v>
      </c>
      <c r="E867">
        <v>91.313000000000002</v>
      </c>
      <c r="F867" s="1" t="s">
        <v>86</v>
      </c>
      <c r="G867">
        <v>30</v>
      </c>
      <c r="H867">
        <v>36</v>
      </c>
      <c r="I867" s="1" t="s">
        <v>147</v>
      </c>
      <c r="J867">
        <v>2</v>
      </c>
      <c r="K867" t="str">
        <f>IF(Tb_data[[#This Row],[previous_workers]]&lt;Tb_data[[#This Row],[workers]],"yes","no")</f>
        <v>no</v>
      </c>
      <c r="L867">
        <f>Tb_data[[#This Row],[workers]]-Tb_data[[#This Row],[previous_workers]]</f>
        <v>-6</v>
      </c>
      <c r="M867" s="12">
        <f>Tb_data[[#This Row],[Employees Growth]]/Tb_data[[#This Row],[previous_workers]]</f>
        <v>-0.16666666666666666</v>
      </c>
    </row>
    <row r="868" spans="1:13" x14ac:dyDescent="0.25">
      <c r="A868" s="1" t="s">
        <v>2346</v>
      </c>
      <c r="B868" s="1" t="s">
        <v>2347</v>
      </c>
      <c r="C868" s="1">
        <v>14600000</v>
      </c>
      <c r="D868" s="1" t="s">
        <v>61</v>
      </c>
      <c r="E868">
        <v>372.75330000000002</v>
      </c>
      <c r="F868" s="1" t="s">
        <v>86</v>
      </c>
      <c r="G868">
        <v>156</v>
      </c>
      <c r="H868">
        <v>37</v>
      </c>
      <c r="I868" s="1" t="s">
        <v>130</v>
      </c>
      <c r="J868">
        <v>2</v>
      </c>
      <c r="K868" t="str">
        <f>IF(Tb_data[[#This Row],[previous_workers]]&lt;Tb_data[[#This Row],[workers]],"yes","no")</f>
        <v>yes</v>
      </c>
      <c r="L868">
        <f>Tb_data[[#This Row],[workers]]-Tb_data[[#This Row],[previous_workers]]</f>
        <v>119</v>
      </c>
      <c r="M868" s="12">
        <f>Tb_data[[#This Row],[Employees Growth]]/Tb_data[[#This Row],[previous_workers]]</f>
        <v>3.2162162162162162</v>
      </c>
    </row>
    <row r="869" spans="1:13" x14ac:dyDescent="0.25">
      <c r="A869" s="1" t="s">
        <v>7397</v>
      </c>
      <c r="B869" s="1" t="s">
        <v>7398</v>
      </c>
      <c r="C869" s="1">
        <v>49900000</v>
      </c>
      <c r="D869" s="1" t="s">
        <v>49</v>
      </c>
      <c r="E869">
        <v>95.362399999999994</v>
      </c>
      <c r="F869" s="1" t="s">
        <v>86</v>
      </c>
      <c r="G869">
        <v>289</v>
      </c>
      <c r="H869">
        <v>122</v>
      </c>
      <c r="I869" s="1" t="s">
        <v>229</v>
      </c>
      <c r="J869">
        <v>8</v>
      </c>
      <c r="K869" t="str">
        <f>IF(Tb_data[[#This Row],[previous_workers]]&lt;Tb_data[[#This Row],[workers]],"yes","no")</f>
        <v>yes</v>
      </c>
      <c r="L869">
        <f>Tb_data[[#This Row],[workers]]-Tb_data[[#This Row],[previous_workers]]</f>
        <v>167</v>
      </c>
      <c r="M869" s="12">
        <f>Tb_data[[#This Row],[Employees Growth]]/Tb_data[[#This Row],[previous_workers]]</f>
        <v>1.3688524590163935</v>
      </c>
    </row>
    <row r="870" spans="1:13" x14ac:dyDescent="0.25">
      <c r="A870" s="1" t="s">
        <v>9624</v>
      </c>
      <c r="B870" s="1" t="s">
        <v>9625</v>
      </c>
      <c r="C870" s="1">
        <v>41400000</v>
      </c>
      <c r="D870" s="1" t="s">
        <v>895</v>
      </c>
      <c r="E870">
        <v>58.949300000000001</v>
      </c>
      <c r="F870" s="1" t="s">
        <v>176</v>
      </c>
      <c r="G870">
        <v>170</v>
      </c>
      <c r="H870">
        <v>100</v>
      </c>
      <c r="I870" s="1" t="s">
        <v>1411</v>
      </c>
      <c r="J870">
        <v>8</v>
      </c>
      <c r="K870" t="str">
        <f>IF(Tb_data[[#This Row],[previous_workers]]&lt;Tb_data[[#This Row],[workers]],"yes","no")</f>
        <v>yes</v>
      </c>
      <c r="L870">
        <f>Tb_data[[#This Row],[workers]]-Tb_data[[#This Row],[previous_workers]]</f>
        <v>70</v>
      </c>
      <c r="M870" s="12">
        <f>Tb_data[[#This Row],[Employees Growth]]/Tb_data[[#This Row],[previous_workers]]</f>
        <v>0.7</v>
      </c>
    </row>
    <row r="871" spans="1:13" x14ac:dyDescent="0.25">
      <c r="A871" s="1" t="s">
        <v>2711</v>
      </c>
      <c r="B871" s="1" t="s">
        <v>2712</v>
      </c>
      <c r="C871" s="1">
        <v>7000000</v>
      </c>
      <c r="D871" s="1" t="s">
        <v>11</v>
      </c>
      <c r="E871">
        <v>317.58370000000002</v>
      </c>
      <c r="F871" s="1" t="s">
        <v>97</v>
      </c>
      <c r="G871">
        <v>36</v>
      </c>
      <c r="H871">
        <v>7</v>
      </c>
      <c r="I871" s="1" t="s">
        <v>35</v>
      </c>
      <c r="J871">
        <v>2</v>
      </c>
      <c r="K871" t="str">
        <f>IF(Tb_data[[#This Row],[previous_workers]]&lt;Tb_data[[#This Row],[workers]],"yes","no")</f>
        <v>yes</v>
      </c>
      <c r="L871">
        <f>Tb_data[[#This Row],[workers]]-Tb_data[[#This Row],[previous_workers]]</f>
        <v>29</v>
      </c>
      <c r="M871" s="12">
        <f>Tb_data[[#This Row],[Employees Growth]]/Tb_data[[#This Row],[previous_workers]]</f>
        <v>4.1428571428571432</v>
      </c>
    </row>
    <row r="872" spans="1:13" x14ac:dyDescent="0.25">
      <c r="A872" s="1" t="s">
        <v>4309</v>
      </c>
      <c r="B872" s="1" t="s">
        <v>4310</v>
      </c>
      <c r="C872" s="1">
        <v>6100000</v>
      </c>
      <c r="D872" s="1" t="s">
        <v>627</v>
      </c>
      <c r="E872">
        <v>190.94300000000001</v>
      </c>
      <c r="F872" s="1" t="s">
        <v>86</v>
      </c>
      <c r="G872">
        <v>134</v>
      </c>
      <c r="H872">
        <v>22</v>
      </c>
      <c r="I872" s="1" t="s">
        <v>46</v>
      </c>
      <c r="J872">
        <v>4</v>
      </c>
      <c r="K872" t="str">
        <f>IF(Tb_data[[#This Row],[previous_workers]]&lt;Tb_data[[#This Row],[workers]],"yes","no")</f>
        <v>yes</v>
      </c>
      <c r="L872">
        <f>Tb_data[[#This Row],[workers]]-Tb_data[[#This Row],[previous_workers]]</f>
        <v>112</v>
      </c>
      <c r="M872" s="12">
        <f>Tb_data[[#This Row],[Employees Growth]]/Tb_data[[#This Row],[previous_workers]]</f>
        <v>5.0909090909090908</v>
      </c>
    </row>
    <row r="873" spans="1:13" x14ac:dyDescent="0.25">
      <c r="A873" s="1" t="s">
        <v>4962</v>
      </c>
      <c r="B873" s="1" t="s">
        <v>4963</v>
      </c>
      <c r="C873" s="1">
        <v>3200000</v>
      </c>
      <c r="D873" s="1" t="s">
        <v>33</v>
      </c>
      <c r="E873">
        <v>163.62569999999999</v>
      </c>
      <c r="F873" s="1" t="s">
        <v>176</v>
      </c>
      <c r="G873">
        <v>14</v>
      </c>
      <c r="H873">
        <v>8</v>
      </c>
      <c r="I873" s="1" t="s">
        <v>46</v>
      </c>
      <c r="J873">
        <v>3</v>
      </c>
      <c r="K873" t="str">
        <f>IF(Tb_data[[#This Row],[previous_workers]]&lt;Tb_data[[#This Row],[workers]],"yes","no")</f>
        <v>yes</v>
      </c>
      <c r="L873">
        <f>Tb_data[[#This Row],[workers]]-Tb_data[[#This Row],[previous_workers]]</f>
        <v>6</v>
      </c>
      <c r="M873" s="12">
        <f>Tb_data[[#This Row],[Employees Growth]]/Tb_data[[#This Row],[previous_workers]]</f>
        <v>0.75</v>
      </c>
    </row>
    <row r="874" spans="1:13" x14ac:dyDescent="0.25">
      <c r="A874" s="1" t="s">
        <v>1849</v>
      </c>
      <c r="B874" s="1" t="s">
        <v>1850</v>
      </c>
      <c r="C874" s="1">
        <v>3200000</v>
      </c>
      <c r="D874" s="1" t="s">
        <v>69</v>
      </c>
      <c r="E874">
        <v>488.84050000000002</v>
      </c>
      <c r="F874" s="1" t="s">
        <v>97</v>
      </c>
      <c r="G874">
        <v>8</v>
      </c>
      <c r="H874">
        <v>5</v>
      </c>
      <c r="I874" s="1" t="s">
        <v>35</v>
      </c>
      <c r="J874">
        <v>2</v>
      </c>
      <c r="K874" t="str">
        <f>IF(Tb_data[[#This Row],[previous_workers]]&lt;Tb_data[[#This Row],[workers]],"yes","no")</f>
        <v>yes</v>
      </c>
      <c r="L874">
        <f>Tb_data[[#This Row],[workers]]-Tb_data[[#This Row],[previous_workers]]</f>
        <v>3</v>
      </c>
      <c r="M874" s="12">
        <f>Tb_data[[#This Row],[Employees Growth]]/Tb_data[[#This Row],[previous_workers]]</f>
        <v>0.6</v>
      </c>
    </row>
    <row r="875" spans="1:13" x14ac:dyDescent="0.25">
      <c r="A875" s="1" t="s">
        <v>1740</v>
      </c>
      <c r="B875" s="1" t="s">
        <v>1741</v>
      </c>
      <c r="C875" s="1">
        <v>18100000</v>
      </c>
      <c r="D875" s="1" t="s">
        <v>1557</v>
      </c>
      <c r="E875">
        <v>523.53710000000001</v>
      </c>
      <c r="F875" s="1" t="s">
        <v>514</v>
      </c>
      <c r="G875">
        <v>124</v>
      </c>
      <c r="H875">
        <v>15</v>
      </c>
      <c r="I875" s="1" t="s">
        <v>35</v>
      </c>
      <c r="J875">
        <v>1</v>
      </c>
      <c r="K875" t="str">
        <f>IF(Tb_data[[#This Row],[previous_workers]]&lt;Tb_data[[#This Row],[workers]],"yes","no")</f>
        <v>yes</v>
      </c>
      <c r="L875">
        <f>Tb_data[[#This Row],[workers]]-Tb_data[[#This Row],[previous_workers]]</f>
        <v>109</v>
      </c>
      <c r="M875" s="12">
        <f>Tb_data[[#This Row],[Employees Growth]]/Tb_data[[#This Row],[previous_workers]]</f>
        <v>7.2666666666666666</v>
      </c>
    </row>
    <row r="876" spans="1:13" x14ac:dyDescent="0.25">
      <c r="A876" s="1" t="s">
        <v>7359</v>
      </c>
      <c r="B876" s="1" t="s">
        <v>7360</v>
      </c>
      <c r="C876" s="1">
        <v>2100000</v>
      </c>
      <c r="D876" s="1" t="s">
        <v>49</v>
      </c>
      <c r="E876">
        <v>95.905699999999996</v>
      </c>
      <c r="F876" s="1" t="s">
        <v>156</v>
      </c>
      <c r="G876">
        <v>11</v>
      </c>
      <c r="H876">
        <v>5</v>
      </c>
      <c r="I876" s="1" t="s">
        <v>35</v>
      </c>
      <c r="J876">
        <v>2</v>
      </c>
      <c r="K876" t="str">
        <f>IF(Tb_data[[#This Row],[previous_workers]]&lt;Tb_data[[#This Row],[workers]],"yes","no")</f>
        <v>yes</v>
      </c>
      <c r="L876">
        <f>Tb_data[[#This Row],[workers]]-Tb_data[[#This Row],[previous_workers]]</f>
        <v>6</v>
      </c>
      <c r="M876" s="12">
        <f>Tb_data[[#This Row],[Employees Growth]]/Tb_data[[#This Row],[previous_workers]]</f>
        <v>1.2</v>
      </c>
    </row>
    <row r="877" spans="1:13" x14ac:dyDescent="0.25">
      <c r="A877" s="1" t="s">
        <v>1024</v>
      </c>
      <c r="B877" s="1" t="s">
        <v>1025</v>
      </c>
      <c r="C877" s="1">
        <v>18800000</v>
      </c>
      <c r="D877" s="1" t="s">
        <v>33</v>
      </c>
      <c r="E877">
        <v>971.01400000000001</v>
      </c>
      <c r="F877" s="1" t="s">
        <v>12</v>
      </c>
      <c r="G877">
        <v>26</v>
      </c>
      <c r="H877">
        <v>15</v>
      </c>
      <c r="I877" s="1" t="s">
        <v>35</v>
      </c>
      <c r="J877">
        <v>3</v>
      </c>
      <c r="K877" t="str">
        <f>IF(Tb_data[[#This Row],[previous_workers]]&lt;Tb_data[[#This Row],[workers]],"yes","no")</f>
        <v>yes</v>
      </c>
      <c r="L877">
        <f>Tb_data[[#This Row],[workers]]-Tb_data[[#This Row],[previous_workers]]</f>
        <v>11</v>
      </c>
      <c r="M877" s="12">
        <f>Tb_data[[#This Row],[Employees Growth]]/Tb_data[[#This Row],[previous_workers]]</f>
        <v>0.73333333333333328</v>
      </c>
    </row>
    <row r="878" spans="1:13" x14ac:dyDescent="0.25">
      <c r="A878" s="1" t="s">
        <v>1956</v>
      </c>
      <c r="B878" s="1" t="s">
        <v>1957</v>
      </c>
      <c r="C878" s="1">
        <v>5200000</v>
      </c>
      <c r="D878" s="1" t="s">
        <v>20</v>
      </c>
      <c r="E878">
        <v>459.18099999999998</v>
      </c>
      <c r="F878" s="1" t="s">
        <v>25</v>
      </c>
      <c r="G878">
        <v>22</v>
      </c>
      <c r="H878">
        <v>3</v>
      </c>
      <c r="I878" s="1" t="s">
        <v>164</v>
      </c>
      <c r="J878">
        <v>2</v>
      </c>
      <c r="K878" t="str">
        <f>IF(Tb_data[[#This Row],[previous_workers]]&lt;Tb_data[[#This Row],[workers]],"yes","no")</f>
        <v>yes</v>
      </c>
      <c r="L878">
        <f>Tb_data[[#This Row],[workers]]-Tb_data[[#This Row],[previous_workers]]</f>
        <v>19</v>
      </c>
      <c r="M878" s="12">
        <f>Tb_data[[#This Row],[Employees Growth]]/Tb_data[[#This Row],[previous_workers]]</f>
        <v>6.333333333333333</v>
      </c>
    </row>
    <row r="879" spans="1:13" x14ac:dyDescent="0.25">
      <c r="A879" s="1" t="s">
        <v>5290</v>
      </c>
      <c r="B879" s="1" t="s">
        <v>5291</v>
      </c>
      <c r="C879" s="1">
        <v>2400000</v>
      </c>
      <c r="D879" s="1" t="s">
        <v>58</v>
      </c>
      <c r="E879">
        <v>150.44399999999999</v>
      </c>
      <c r="F879" s="1" t="s">
        <v>12</v>
      </c>
      <c r="G879">
        <v>21</v>
      </c>
      <c r="H879">
        <v>9</v>
      </c>
      <c r="I879" s="1" t="s">
        <v>74</v>
      </c>
      <c r="J879">
        <v>2</v>
      </c>
      <c r="K879" t="str">
        <f>IF(Tb_data[[#This Row],[previous_workers]]&lt;Tb_data[[#This Row],[workers]],"yes","no")</f>
        <v>yes</v>
      </c>
      <c r="L879">
        <f>Tb_data[[#This Row],[workers]]-Tb_data[[#This Row],[previous_workers]]</f>
        <v>12</v>
      </c>
      <c r="M879" s="12">
        <f>Tb_data[[#This Row],[Employees Growth]]/Tb_data[[#This Row],[previous_workers]]</f>
        <v>1.3333333333333333</v>
      </c>
    </row>
    <row r="880" spans="1:13" x14ac:dyDescent="0.25">
      <c r="A880" s="1" t="s">
        <v>4202</v>
      </c>
      <c r="B880" s="1" t="s">
        <v>4203</v>
      </c>
      <c r="C880" s="1">
        <v>4600000</v>
      </c>
      <c r="D880" s="1" t="s">
        <v>254</v>
      </c>
      <c r="E880">
        <v>195.61859999999999</v>
      </c>
      <c r="F880" s="1" t="s">
        <v>62</v>
      </c>
      <c r="G880">
        <v>45</v>
      </c>
      <c r="H880">
        <v>15</v>
      </c>
      <c r="I880" s="1" t="s">
        <v>26</v>
      </c>
      <c r="J880">
        <v>2</v>
      </c>
      <c r="K880" t="str">
        <f>IF(Tb_data[[#This Row],[previous_workers]]&lt;Tb_data[[#This Row],[workers]],"yes","no")</f>
        <v>yes</v>
      </c>
      <c r="L880">
        <f>Tb_data[[#This Row],[workers]]-Tb_data[[#This Row],[previous_workers]]</f>
        <v>30</v>
      </c>
      <c r="M880" s="12">
        <f>Tb_data[[#This Row],[Employees Growth]]/Tb_data[[#This Row],[previous_workers]]</f>
        <v>2</v>
      </c>
    </row>
    <row r="881" spans="1:13" x14ac:dyDescent="0.25">
      <c r="A881" s="1" t="s">
        <v>2146</v>
      </c>
      <c r="B881" s="1" t="s">
        <v>2147</v>
      </c>
      <c r="C881" s="1">
        <v>12300000</v>
      </c>
      <c r="D881" s="1" t="s">
        <v>69</v>
      </c>
      <c r="E881">
        <v>414.30560000000003</v>
      </c>
      <c r="F881" s="1" t="s">
        <v>124</v>
      </c>
      <c r="G881">
        <v>25</v>
      </c>
      <c r="H881">
        <v>5</v>
      </c>
      <c r="I881" s="1" t="s">
        <v>74</v>
      </c>
      <c r="J881">
        <v>2</v>
      </c>
      <c r="K881" t="str">
        <f>IF(Tb_data[[#This Row],[previous_workers]]&lt;Tb_data[[#This Row],[workers]],"yes","no")</f>
        <v>yes</v>
      </c>
      <c r="L881">
        <f>Tb_data[[#This Row],[workers]]-Tb_data[[#This Row],[previous_workers]]</f>
        <v>20</v>
      </c>
      <c r="M881" s="12">
        <f>Tb_data[[#This Row],[Employees Growth]]/Tb_data[[#This Row],[previous_workers]]</f>
        <v>4</v>
      </c>
    </row>
    <row r="882" spans="1:13" x14ac:dyDescent="0.25">
      <c r="A882" s="1" t="s">
        <v>7581</v>
      </c>
      <c r="B882" s="1" t="s">
        <v>7582</v>
      </c>
      <c r="C882" s="1">
        <v>10400000</v>
      </c>
      <c r="D882" s="1" t="s">
        <v>120</v>
      </c>
      <c r="E882">
        <v>90.893299999999996</v>
      </c>
      <c r="F882" s="1" t="s">
        <v>97</v>
      </c>
      <c r="G882">
        <v>8</v>
      </c>
      <c r="H882">
        <v>7</v>
      </c>
      <c r="I882" s="1" t="s">
        <v>229</v>
      </c>
      <c r="J882">
        <v>4</v>
      </c>
      <c r="K882" t="str">
        <f>IF(Tb_data[[#This Row],[previous_workers]]&lt;Tb_data[[#This Row],[workers]],"yes","no")</f>
        <v>yes</v>
      </c>
      <c r="L882">
        <f>Tb_data[[#This Row],[workers]]-Tb_data[[#This Row],[previous_workers]]</f>
        <v>1</v>
      </c>
      <c r="M882" s="12">
        <f>Tb_data[[#This Row],[Employees Growth]]/Tb_data[[#This Row],[previous_workers]]</f>
        <v>0.14285714285714285</v>
      </c>
    </row>
    <row r="883" spans="1:13" x14ac:dyDescent="0.25">
      <c r="A883" s="1" t="s">
        <v>747</v>
      </c>
      <c r="B883" s="1" t="s">
        <v>748</v>
      </c>
      <c r="C883" s="1">
        <v>9700000</v>
      </c>
      <c r="D883" s="1" t="s">
        <v>123</v>
      </c>
      <c r="E883">
        <v>1408.0842</v>
      </c>
      <c r="F883" s="1" t="s">
        <v>12</v>
      </c>
      <c r="G883">
        <v>18</v>
      </c>
      <c r="H883">
        <v>5</v>
      </c>
      <c r="I883" s="1" t="s">
        <v>130</v>
      </c>
      <c r="J883">
        <v>1</v>
      </c>
      <c r="K883" t="str">
        <f>IF(Tb_data[[#This Row],[previous_workers]]&lt;Tb_data[[#This Row],[workers]],"yes","no")</f>
        <v>yes</v>
      </c>
      <c r="L883">
        <f>Tb_data[[#This Row],[workers]]-Tb_data[[#This Row],[previous_workers]]</f>
        <v>13</v>
      </c>
      <c r="M883" s="12">
        <f>Tb_data[[#This Row],[Employees Growth]]/Tb_data[[#This Row],[previous_workers]]</f>
        <v>2.6</v>
      </c>
    </row>
    <row r="884" spans="1:13" x14ac:dyDescent="0.25">
      <c r="A884" s="1" t="s">
        <v>1841</v>
      </c>
      <c r="B884" s="1" t="s">
        <v>1842</v>
      </c>
      <c r="C884" s="1">
        <v>14000000</v>
      </c>
      <c r="D884" s="1" t="s">
        <v>41</v>
      </c>
      <c r="E884">
        <v>490.18650000000002</v>
      </c>
      <c r="F884" s="1" t="s">
        <v>97</v>
      </c>
      <c r="G884">
        <v>86</v>
      </c>
      <c r="H884">
        <v>24</v>
      </c>
      <c r="I884" s="1" t="s">
        <v>35</v>
      </c>
      <c r="J884">
        <v>4</v>
      </c>
      <c r="K884" t="str">
        <f>IF(Tb_data[[#This Row],[previous_workers]]&lt;Tb_data[[#This Row],[workers]],"yes","no")</f>
        <v>yes</v>
      </c>
      <c r="L884">
        <f>Tb_data[[#This Row],[workers]]-Tb_data[[#This Row],[previous_workers]]</f>
        <v>62</v>
      </c>
      <c r="M884" s="12">
        <f>Tb_data[[#This Row],[Employees Growth]]/Tb_data[[#This Row],[previous_workers]]</f>
        <v>2.5833333333333335</v>
      </c>
    </row>
    <row r="885" spans="1:13" x14ac:dyDescent="0.25">
      <c r="A885" s="1" t="s">
        <v>2276</v>
      </c>
      <c r="B885" s="1" t="s">
        <v>2277</v>
      </c>
      <c r="C885" s="1">
        <v>63600000</v>
      </c>
      <c r="D885" s="1" t="s">
        <v>49</v>
      </c>
      <c r="E885">
        <v>387.14299999999997</v>
      </c>
      <c r="F885" s="1" t="s">
        <v>12</v>
      </c>
      <c r="G885">
        <v>43</v>
      </c>
      <c r="H885">
        <v>35</v>
      </c>
      <c r="I885" s="1" t="s">
        <v>117</v>
      </c>
      <c r="J885">
        <v>5</v>
      </c>
      <c r="K885" t="str">
        <f>IF(Tb_data[[#This Row],[previous_workers]]&lt;Tb_data[[#This Row],[workers]],"yes","no")</f>
        <v>yes</v>
      </c>
      <c r="L885">
        <f>Tb_data[[#This Row],[workers]]-Tb_data[[#This Row],[previous_workers]]</f>
        <v>8</v>
      </c>
      <c r="M885" s="12">
        <f>Tb_data[[#This Row],[Employees Growth]]/Tb_data[[#This Row],[previous_workers]]</f>
        <v>0.22857142857142856</v>
      </c>
    </row>
    <row r="886" spans="1:13" x14ac:dyDescent="0.25">
      <c r="A886" s="1" t="s">
        <v>2032</v>
      </c>
      <c r="B886" s="1" t="s">
        <v>2033</v>
      </c>
      <c r="C886" s="1">
        <v>23000000</v>
      </c>
      <c r="D886" s="1" t="s">
        <v>155</v>
      </c>
      <c r="E886">
        <v>441.4271</v>
      </c>
      <c r="F886" s="1" t="s">
        <v>62</v>
      </c>
      <c r="G886">
        <v>41</v>
      </c>
      <c r="H886">
        <v>21</v>
      </c>
      <c r="I886" s="1" t="s">
        <v>35</v>
      </c>
      <c r="J886">
        <v>7</v>
      </c>
      <c r="K886" t="str">
        <f>IF(Tb_data[[#This Row],[previous_workers]]&lt;Tb_data[[#This Row],[workers]],"yes","no")</f>
        <v>yes</v>
      </c>
      <c r="L886">
        <f>Tb_data[[#This Row],[workers]]-Tb_data[[#This Row],[previous_workers]]</f>
        <v>20</v>
      </c>
      <c r="M886" s="12">
        <f>Tb_data[[#This Row],[Employees Growth]]/Tb_data[[#This Row],[previous_workers]]</f>
        <v>0.95238095238095233</v>
      </c>
    </row>
    <row r="887" spans="1:13" x14ac:dyDescent="0.25">
      <c r="A887" s="1" t="s">
        <v>5082</v>
      </c>
      <c r="B887" s="1" t="s">
        <v>5083</v>
      </c>
      <c r="C887" s="1">
        <v>10600000</v>
      </c>
      <c r="D887" s="1" t="s">
        <v>41</v>
      </c>
      <c r="E887">
        <v>157.62</v>
      </c>
      <c r="F887" s="1" t="s">
        <v>100</v>
      </c>
      <c r="G887">
        <v>37</v>
      </c>
      <c r="H887">
        <v>10</v>
      </c>
      <c r="I887" s="1" t="s">
        <v>164</v>
      </c>
      <c r="J887">
        <v>6</v>
      </c>
      <c r="K887" t="str">
        <f>IF(Tb_data[[#This Row],[previous_workers]]&lt;Tb_data[[#This Row],[workers]],"yes","no")</f>
        <v>yes</v>
      </c>
      <c r="L887">
        <f>Tb_data[[#This Row],[workers]]-Tb_data[[#This Row],[previous_workers]]</f>
        <v>27</v>
      </c>
      <c r="M887" s="12">
        <f>Tb_data[[#This Row],[Employees Growth]]/Tb_data[[#This Row],[previous_workers]]</f>
        <v>2.7</v>
      </c>
    </row>
    <row r="888" spans="1:13" x14ac:dyDescent="0.25">
      <c r="A888" s="1" t="s">
        <v>7172</v>
      </c>
      <c r="B888" s="1" t="s">
        <v>7173</v>
      </c>
      <c r="C888" s="1">
        <v>5500000</v>
      </c>
      <c r="D888" s="1" t="s">
        <v>321</v>
      </c>
      <c r="E888">
        <v>99.007199999999997</v>
      </c>
      <c r="F888" s="1" t="s">
        <v>156</v>
      </c>
      <c r="G888">
        <v>22</v>
      </c>
      <c r="H888">
        <v>14</v>
      </c>
      <c r="I888" s="1" t="s">
        <v>74</v>
      </c>
      <c r="J888">
        <v>5</v>
      </c>
      <c r="K888" t="str">
        <f>IF(Tb_data[[#This Row],[previous_workers]]&lt;Tb_data[[#This Row],[workers]],"yes","no")</f>
        <v>yes</v>
      </c>
      <c r="L888">
        <f>Tb_data[[#This Row],[workers]]-Tb_data[[#This Row],[previous_workers]]</f>
        <v>8</v>
      </c>
      <c r="M888" s="12">
        <f>Tb_data[[#This Row],[Employees Growth]]/Tb_data[[#This Row],[previous_workers]]</f>
        <v>0.5714285714285714</v>
      </c>
    </row>
    <row r="889" spans="1:13" x14ac:dyDescent="0.25">
      <c r="A889" s="1" t="s">
        <v>8641</v>
      </c>
      <c r="B889" s="1" t="s">
        <v>8642</v>
      </c>
      <c r="C889" s="1">
        <v>10100000</v>
      </c>
      <c r="D889" s="1" t="s">
        <v>179</v>
      </c>
      <c r="E889">
        <v>71.910899999999998</v>
      </c>
      <c r="F889" s="1" t="s">
        <v>100</v>
      </c>
      <c r="G889">
        <v>45</v>
      </c>
      <c r="H889">
        <v>20</v>
      </c>
      <c r="I889" s="1" t="s">
        <v>948</v>
      </c>
      <c r="J889">
        <v>1</v>
      </c>
      <c r="K889" t="str">
        <f>IF(Tb_data[[#This Row],[previous_workers]]&lt;Tb_data[[#This Row],[workers]],"yes","no")</f>
        <v>yes</v>
      </c>
      <c r="L889">
        <f>Tb_data[[#This Row],[workers]]-Tb_data[[#This Row],[previous_workers]]</f>
        <v>25</v>
      </c>
      <c r="M889" s="12">
        <f>Tb_data[[#This Row],[Employees Growth]]/Tb_data[[#This Row],[previous_workers]]</f>
        <v>1.25</v>
      </c>
    </row>
    <row r="890" spans="1:13" x14ac:dyDescent="0.25">
      <c r="A890" s="1" t="s">
        <v>7891</v>
      </c>
      <c r="B890" s="1" t="s">
        <v>7892</v>
      </c>
      <c r="C890" s="1">
        <v>29400000</v>
      </c>
      <c r="D890" s="1" t="s">
        <v>52</v>
      </c>
      <c r="E890">
        <v>84.830699999999993</v>
      </c>
      <c r="F890" s="1" t="s">
        <v>21</v>
      </c>
      <c r="G890">
        <v>750</v>
      </c>
      <c r="H890">
        <v>420</v>
      </c>
      <c r="I890" s="1" t="s">
        <v>1622</v>
      </c>
      <c r="J890">
        <v>2</v>
      </c>
      <c r="K890" t="str">
        <f>IF(Tb_data[[#This Row],[previous_workers]]&lt;Tb_data[[#This Row],[workers]],"yes","no")</f>
        <v>yes</v>
      </c>
      <c r="L890">
        <f>Tb_data[[#This Row],[workers]]-Tb_data[[#This Row],[previous_workers]]</f>
        <v>330</v>
      </c>
      <c r="M890" s="12">
        <f>Tb_data[[#This Row],[Employees Growth]]/Tb_data[[#This Row],[previous_workers]]</f>
        <v>0.7857142857142857</v>
      </c>
    </row>
    <row r="891" spans="1:13" x14ac:dyDescent="0.25">
      <c r="A891" s="1" t="s">
        <v>7224</v>
      </c>
      <c r="B891" s="1" t="s">
        <v>7225</v>
      </c>
      <c r="C891" s="1">
        <v>30100000</v>
      </c>
      <c r="D891" s="1" t="s">
        <v>49</v>
      </c>
      <c r="E891">
        <v>98.095399999999998</v>
      </c>
      <c r="F891" s="1" t="s">
        <v>62</v>
      </c>
      <c r="G891">
        <v>260</v>
      </c>
      <c r="H891">
        <v>120</v>
      </c>
      <c r="I891" s="1" t="s">
        <v>147</v>
      </c>
      <c r="J891">
        <v>1</v>
      </c>
      <c r="K891" t="str">
        <f>IF(Tb_data[[#This Row],[previous_workers]]&lt;Tb_data[[#This Row],[workers]],"yes","no")</f>
        <v>yes</v>
      </c>
      <c r="L891">
        <f>Tb_data[[#This Row],[workers]]-Tb_data[[#This Row],[previous_workers]]</f>
        <v>140</v>
      </c>
      <c r="M891" s="12">
        <f>Tb_data[[#This Row],[Employees Growth]]/Tb_data[[#This Row],[previous_workers]]</f>
        <v>1.1666666666666667</v>
      </c>
    </row>
    <row r="892" spans="1:13" x14ac:dyDescent="0.25">
      <c r="A892" s="1" t="s">
        <v>646</v>
      </c>
      <c r="B892" s="1" t="s">
        <v>647</v>
      </c>
      <c r="C892" s="1">
        <v>5200000</v>
      </c>
      <c r="D892" s="1" t="s">
        <v>61</v>
      </c>
      <c r="E892">
        <v>1567.7859000000001</v>
      </c>
      <c r="F892" s="1" t="s">
        <v>34</v>
      </c>
      <c r="G892">
        <v>45</v>
      </c>
      <c r="H892">
        <v>5</v>
      </c>
      <c r="I892" s="1" t="s">
        <v>130</v>
      </c>
      <c r="J892">
        <v>2</v>
      </c>
      <c r="K892" t="str">
        <f>IF(Tb_data[[#This Row],[previous_workers]]&lt;Tb_data[[#This Row],[workers]],"yes","no")</f>
        <v>yes</v>
      </c>
      <c r="L892">
        <f>Tb_data[[#This Row],[workers]]-Tb_data[[#This Row],[previous_workers]]</f>
        <v>40</v>
      </c>
      <c r="M892" s="12">
        <f>Tb_data[[#This Row],[Employees Growth]]/Tb_data[[#This Row],[previous_workers]]</f>
        <v>8</v>
      </c>
    </row>
    <row r="893" spans="1:13" x14ac:dyDescent="0.25">
      <c r="A893" s="1" t="s">
        <v>3453</v>
      </c>
      <c r="B893" s="1" t="s">
        <v>3454</v>
      </c>
      <c r="C893" s="1">
        <v>59100000</v>
      </c>
      <c r="D893" s="1" t="s">
        <v>38</v>
      </c>
      <c r="E893">
        <v>246.46180000000001</v>
      </c>
      <c r="F893" s="1" t="s">
        <v>25</v>
      </c>
      <c r="G893">
        <v>65</v>
      </c>
      <c r="H893">
        <v>6</v>
      </c>
      <c r="I893" s="1" t="s">
        <v>35</v>
      </c>
      <c r="J893">
        <v>1</v>
      </c>
      <c r="K893" t="str">
        <f>IF(Tb_data[[#This Row],[previous_workers]]&lt;Tb_data[[#This Row],[workers]],"yes","no")</f>
        <v>yes</v>
      </c>
      <c r="L893">
        <f>Tb_data[[#This Row],[workers]]-Tb_data[[#This Row],[previous_workers]]</f>
        <v>59</v>
      </c>
      <c r="M893" s="12">
        <f>Tb_data[[#This Row],[Employees Growth]]/Tb_data[[#This Row],[previous_workers]]</f>
        <v>9.8333333333333339</v>
      </c>
    </row>
    <row r="894" spans="1:13" x14ac:dyDescent="0.25">
      <c r="A894" s="1" t="s">
        <v>7483</v>
      </c>
      <c r="B894" s="1" t="s">
        <v>7484</v>
      </c>
      <c r="C894" s="1">
        <v>69900000</v>
      </c>
      <c r="D894" s="1" t="s">
        <v>61</v>
      </c>
      <c r="E894">
        <v>93.508300000000006</v>
      </c>
      <c r="F894" s="1" t="s">
        <v>176</v>
      </c>
      <c r="G894">
        <v>100</v>
      </c>
      <c r="H894">
        <v>50</v>
      </c>
      <c r="I894" s="1" t="s">
        <v>372</v>
      </c>
      <c r="J894">
        <v>1</v>
      </c>
      <c r="K894" t="str">
        <f>IF(Tb_data[[#This Row],[previous_workers]]&lt;Tb_data[[#This Row],[workers]],"yes","no")</f>
        <v>yes</v>
      </c>
      <c r="L894">
        <f>Tb_data[[#This Row],[workers]]-Tb_data[[#This Row],[previous_workers]]</f>
        <v>50</v>
      </c>
      <c r="M894" s="12">
        <f>Tb_data[[#This Row],[Employees Growth]]/Tb_data[[#This Row],[previous_workers]]</f>
        <v>1</v>
      </c>
    </row>
    <row r="895" spans="1:13" x14ac:dyDescent="0.25">
      <c r="A895" s="1" t="s">
        <v>6803</v>
      </c>
      <c r="B895" s="1" t="s">
        <v>6804</v>
      </c>
      <c r="C895" s="1">
        <v>6900000</v>
      </c>
      <c r="D895" s="1" t="s">
        <v>236</v>
      </c>
      <c r="E895">
        <v>106.7274</v>
      </c>
      <c r="F895" s="1" t="s">
        <v>156</v>
      </c>
      <c r="G895">
        <v>75</v>
      </c>
      <c r="H895">
        <v>40</v>
      </c>
      <c r="I895" s="1" t="s">
        <v>117</v>
      </c>
      <c r="J895">
        <v>5</v>
      </c>
      <c r="K895" t="str">
        <f>IF(Tb_data[[#This Row],[previous_workers]]&lt;Tb_data[[#This Row],[workers]],"yes","no")</f>
        <v>yes</v>
      </c>
      <c r="L895">
        <f>Tb_data[[#This Row],[workers]]-Tb_data[[#This Row],[previous_workers]]</f>
        <v>35</v>
      </c>
      <c r="M895" s="12">
        <f>Tb_data[[#This Row],[Employees Growth]]/Tb_data[[#This Row],[previous_workers]]</f>
        <v>0.875</v>
      </c>
    </row>
    <row r="896" spans="1:13" x14ac:dyDescent="0.25">
      <c r="A896" s="1" t="s">
        <v>6079</v>
      </c>
      <c r="B896" s="1" t="s">
        <v>6080</v>
      </c>
      <c r="C896" s="1">
        <v>10600000</v>
      </c>
      <c r="D896" s="1" t="s">
        <v>45</v>
      </c>
      <c r="E896">
        <v>124.5211</v>
      </c>
      <c r="F896" s="1" t="s">
        <v>21</v>
      </c>
      <c r="G896">
        <v>7</v>
      </c>
      <c r="H896">
        <v>3</v>
      </c>
      <c r="I896" s="1" t="s">
        <v>117</v>
      </c>
      <c r="J896">
        <v>2</v>
      </c>
      <c r="K896" t="str">
        <f>IF(Tb_data[[#This Row],[previous_workers]]&lt;Tb_data[[#This Row],[workers]],"yes","no")</f>
        <v>yes</v>
      </c>
      <c r="L896">
        <f>Tb_data[[#This Row],[workers]]-Tb_data[[#This Row],[previous_workers]]</f>
        <v>4</v>
      </c>
      <c r="M896" s="12">
        <f>Tb_data[[#This Row],[Employees Growth]]/Tb_data[[#This Row],[previous_workers]]</f>
        <v>1.3333333333333333</v>
      </c>
    </row>
    <row r="897" spans="1:13" x14ac:dyDescent="0.25">
      <c r="A897" s="1" t="s">
        <v>1984</v>
      </c>
      <c r="B897" s="1" t="s">
        <v>1985</v>
      </c>
      <c r="C897" s="1">
        <v>4200000</v>
      </c>
      <c r="D897" s="1" t="s">
        <v>1446</v>
      </c>
      <c r="E897">
        <v>454.81889999999999</v>
      </c>
      <c r="F897" s="1" t="s">
        <v>34</v>
      </c>
      <c r="G897">
        <v>92</v>
      </c>
      <c r="H897">
        <v>22</v>
      </c>
      <c r="I897" s="1" t="s">
        <v>117</v>
      </c>
      <c r="J897">
        <v>2</v>
      </c>
      <c r="K897" t="str">
        <f>IF(Tb_data[[#This Row],[previous_workers]]&lt;Tb_data[[#This Row],[workers]],"yes","no")</f>
        <v>yes</v>
      </c>
      <c r="L897">
        <f>Tb_data[[#This Row],[workers]]-Tb_data[[#This Row],[previous_workers]]</f>
        <v>70</v>
      </c>
      <c r="M897" s="12">
        <f>Tb_data[[#This Row],[Employees Growth]]/Tb_data[[#This Row],[previous_workers]]</f>
        <v>3.1818181818181817</v>
      </c>
    </row>
    <row r="898" spans="1:13" x14ac:dyDescent="0.25">
      <c r="A898" s="1" t="s">
        <v>2148</v>
      </c>
      <c r="B898" s="1" t="s">
        <v>2149</v>
      </c>
      <c r="C898" s="1">
        <v>5600000</v>
      </c>
      <c r="D898" s="1" t="s">
        <v>38</v>
      </c>
      <c r="E898">
        <v>413.37209999999999</v>
      </c>
      <c r="F898" s="1" t="s">
        <v>25</v>
      </c>
      <c r="G898">
        <v>50</v>
      </c>
      <c r="H898">
        <v>5</v>
      </c>
      <c r="I898" s="1" t="s">
        <v>55</v>
      </c>
      <c r="J898">
        <v>1</v>
      </c>
      <c r="K898" t="str">
        <f>IF(Tb_data[[#This Row],[previous_workers]]&lt;Tb_data[[#This Row],[workers]],"yes","no")</f>
        <v>yes</v>
      </c>
      <c r="L898">
        <f>Tb_data[[#This Row],[workers]]-Tb_data[[#This Row],[previous_workers]]</f>
        <v>45</v>
      </c>
      <c r="M898" s="12">
        <f>Tb_data[[#This Row],[Employees Growth]]/Tb_data[[#This Row],[previous_workers]]</f>
        <v>9</v>
      </c>
    </row>
    <row r="899" spans="1:13" x14ac:dyDescent="0.25">
      <c r="A899" s="1" t="s">
        <v>6275</v>
      </c>
      <c r="B899" s="1" t="s">
        <v>6276</v>
      </c>
      <c r="C899" s="1">
        <v>29200000</v>
      </c>
      <c r="D899" s="1" t="s">
        <v>1557</v>
      </c>
      <c r="E899">
        <v>119.6349</v>
      </c>
      <c r="F899" s="1" t="s">
        <v>124</v>
      </c>
      <c r="G899">
        <v>133</v>
      </c>
      <c r="H899">
        <v>53</v>
      </c>
      <c r="I899" s="1" t="s">
        <v>948</v>
      </c>
      <c r="J899">
        <v>5</v>
      </c>
      <c r="K899" t="str">
        <f>IF(Tb_data[[#This Row],[previous_workers]]&lt;Tb_data[[#This Row],[workers]],"yes","no")</f>
        <v>yes</v>
      </c>
      <c r="L899">
        <f>Tb_data[[#This Row],[workers]]-Tb_data[[#This Row],[previous_workers]]</f>
        <v>80</v>
      </c>
      <c r="M899" s="12">
        <f>Tb_data[[#This Row],[Employees Growth]]/Tb_data[[#This Row],[previous_workers]]</f>
        <v>1.5094339622641511</v>
      </c>
    </row>
    <row r="900" spans="1:13" x14ac:dyDescent="0.25">
      <c r="A900" s="1" t="s">
        <v>3075</v>
      </c>
      <c r="B900" s="1" t="s">
        <v>3076</v>
      </c>
      <c r="C900" s="1">
        <v>13900000</v>
      </c>
      <c r="D900" s="1" t="s">
        <v>49</v>
      </c>
      <c r="E900">
        <v>279.68459999999999</v>
      </c>
      <c r="F900" s="1" t="s">
        <v>21</v>
      </c>
      <c r="G900">
        <v>250</v>
      </c>
      <c r="H900">
        <v>35</v>
      </c>
      <c r="I900" s="1" t="s">
        <v>164</v>
      </c>
      <c r="J900">
        <v>1</v>
      </c>
      <c r="K900" t="str">
        <f>IF(Tb_data[[#This Row],[previous_workers]]&lt;Tb_data[[#This Row],[workers]],"yes","no")</f>
        <v>yes</v>
      </c>
      <c r="L900">
        <f>Tb_data[[#This Row],[workers]]-Tb_data[[#This Row],[previous_workers]]</f>
        <v>215</v>
      </c>
      <c r="M900" s="12">
        <f>Tb_data[[#This Row],[Employees Growth]]/Tb_data[[#This Row],[previous_workers]]</f>
        <v>6.1428571428571432</v>
      </c>
    </row>
    <row r="901" spans="1:13" x14ac:dyDescent="0.25">
      <c r="A901" s="1" t="s">
        <v>1310</v>
      </c>
      <c r="B901" s="1" t="s">
        <v>1311</v>
      </c>
      <c r="C901" s="1">
        <v>3500000000</v>
      </c>
      <c r="D901" s="1" t="s">
        <v>33</v>
      </c>
      <c r="E901">
        <v>735.54359999999997</v>
      </c>
      <c r="F901" s="1" t="s">
        <v>30</v>
      </c>
      <c r="G901">
        <v>9833</v>
      </c>
      <c r="H901">
        <v>9833</v>
      </c>
      <c r="I901" s="1" t="s">
        <v>164</v>
      </c>
      <c r="J901">
        <v>1</v>
      </c>
      <c r="K901" t="str">
        <f>IF(Tb_data[[#This Row],[previous_workers]]&lt;Tb_data[[#This Row],[workers]],"yes","no")</f>
        <v>no</v>
      </c>
      <c r="L901">
        <f>Tb_data[[#This Row],[workers]]-Tb_data[[#This Row],[previous_workers]]</f>
        <v>0</v>
      </c>
      <c r="M901" s="12">
        <f>Tb_data[[#This Row],[Employees Growth]]/Tb_data[[#This Row],[previous_workers]]</f>
        <v>0</v>
      </c>
    </row>
    <row r="902" spans="1:13" x14ac:dyDescent="0.25">
      <c r="A902" s="1" t="s">
        <v>5318</v>
      </c>
      <c r="B902" s="1" t="s">
        <v>5319</v>
      </c>
      <c r="C902" s="1">
        <v>5700000</v>
      </c>
      <c r="D902" s="1" t="s">
        <v>422</v>
      </c>
      <c r="E902">
        <v>149.41970000000001</v>
      </c>
      <c r="F902" s="1" t="s">
        <v>176</v>
      </c>
      <c r="G902">
        <v>8</v>
      </c>
      <c r="H902">
        <v>3</v>
      </c>
      <c r="I902" s="1" t="s">
        <v>372</v>
      </c>
      <c r="J902">
        <v>2</v>
      </c>
      <c r="K902" t="str">
        <f>IF(Tb_data[[#This Row],[previous_workers]]&lt;Tb_data[[#This Row],[workers]],"yes","no")</f>
        <v>yes</v>
      </c>
      <c r="L902">
        <f>Tb_data[[#This Row],[workers]]-Tb_data[[#This Row],[previous_workers]]</f>
        <v>5</v>
      </c>
      <c r="M902" s="12">
        <f>Tb_data[[#This Row],[Employees Growth]]/Tb_data[[#This Row],[previous_workers]]</f>
        <v>1.6666666666666667</v>
      </c>
    </row>
    <row r="903" spans="1:13" x14ac:dyDescent="0.25">
      <c r="A903" s="1" t="s">
        <v>8297</v>
      </c>
      <c r="B903" s="1" t="s">
        <v>8298</v>
      </c>
      <c r="C903" s="1">
        <v>2700000</v>
      </c>
      <c r="D903" s="1" t="s">
        <v>16</v>
      </c>
      <c r="E903">
        <v>77.716399999999993</v>
      </c>
      <c r="F903" s="1" t="s">
        <v>25</v>
      </c>
      <c r="G903">
        <v>45</v>
      </c>
      <c r="H903">
        <v>25</v>
      </c>
      <c r="I903" s="1" t="s">
        <v>130</v>
      </c>
      <c r="J903">
        <v>1</v>
      </c>
      <c r="K903" t="str">
        <f>IF(Tb_data[[#This Row],[previous_workers]]&lt;Tb_data[[#This Row],[workers]],"yes","no")</f>
        <v>yes</v>
      </c>
      <c r="L903">
        <f>Tb_data[[#This Row],[workers]]-Tb_data[[#This Row],[previous_workers]]</f>
        <v>20</v>
      </c>
      <c r="M903" s="12">
        <f>Tb_data[[#This Row],[Employees Growth]]/Tb_data[[#This Row],[previous_workers]]</f>
        <v>0.8</v>
      </c>
    </row>
    <row r="904" spans="1:13" x14ac:dyDescent="0.25">
      <c r="A904" s="1" t="s">
        <v>8323</v>
      </c>
      <c r="B904" s="1" t="s">
        <v>8324</v>
      </c>
      <c r="C904" s="1">
        <v>2700000</v>
      </c>
      <c r="D904" s="1" t="s">
        <v>38</v>
      </c>
      <c r="E904">
        <v>77.483599999999996</v>
      </c>
      <c r="F904" s="1" t="s">
        <v>17</v>
      </c>
      <c r="G904">
        <v>35</v>
      </c>
      <c r="H904">
        <v>20</v>
      </c>
      <c r="I904" s="1" t="s">
        <v>35</v>
      </c>
      <c r="J904">
        <v>1</v>
      </c>
      <c r="K904" t="str">
        <f>IF(Tb_data[[#This Row],[previous_workers]]&lt;Tb_data[[#This Row],[workers]],"yes","no")</f>
        <v>yes</v>
      </c>
      <c r="L904">
        <f>Tb_data[[#This Row],[workers]]-Tb_data[[#This Row],[previous_workers]]</f>
        <v>15</v>
      </c>
      <c r="M904" s="12">
        <f>Tb_data[[#This Row],[Employees Growth]]/Tb_data[[#This Row],[previous_workers]]</f>
        <v>0.75</v>
      </c>
    </row>
    <row r="905" spans="1:13" x14ac:dyDescent="0.25">
      <c r="A905" s="1" t="s">
        <v>4246</v>
      </c>
      <c r="B905" s="1" t="s">
        <v>4247</v>
      </c>
      <c r="C905" s="1">
        <v>29100000</v>
      </c>
      <c r="D905" s="1" t="s">
        <v>175</v>
      </c>
      <c r="E905">
        <v>194.21889999999999</v>
      </c>
      <c r="F905" s="1" t="s">
        <v>21</v>
      </c>
      <c r="G905">
        <v>1000</v>
      </c>
      <c r="H905">
        <v>196</v>
      </c>
      <c r="I905" s="1" t="s">
        <v>46</v>
      </c>
      <c r="J905">
        <v>3</v>
      </c>
      <c r="K905" t="str">
        <f>IF(Tb_data[[#This Row],[previous_workers]]&lt;Tb_data[[#This Row],[workers]],"yes","no")</f>
        <v>yes</v>
      </c>
      <c r="L905">
        <f>Tb_data[[#This Row],[workers]]-Tb_data[[#This Row],[previous_workers]]</f>
        <v>804</v>
      </c>
      <c r="M905" s="12">
        <f>Tb_data[[#This Row],[Employees Growth]]/Tb_data[[#This Row],[previous_workers]]</f>
        <v>4.1020408163265305</v>
      </c>
    </row>
    <row r="906" spans="1:13" x14ac:dyDescent="0.25">
      <c r="A906" s="1" t="s">
        <v>5746</v>
      </c>
      <c r="B906" s="1" t="s">
        <v>5747</v>
      </c>
      <c r="C906" s="1">
        <v>12800000</v>
      </c>
      <c r="D906" s="1" t="s">
        <v>20</v>
      </c>
      <c r="E906">
        <v>132.88460000000001</v>
      </c>
      <c r="F906" s="1" t="s">
        <v>12</v>
      </c>
      <c r="G906">
        <v>68</v>
      </c>
      <c r="H906">
        <v>43</v>
      </c>
      <c r="I906" s="1" t="s">
        <v>35</v>
      </c>
      <c r="J906">
        <v>6</v>
      </c>
      <c r="K906" t="str">
        <f>IF(Tb_data[[#This Row],[previous_workers]]&lt;Tb_data[[#This Row],[workers]],"yes","no")</f>
        <v>yes</v>
      </c>
      <c r="L906">
        <f>Tb_data[[#This Row],[workers]]-Tb_data[[#This Row],[previous_workers]]</f>
        <v>25</v>
      </c>
      <c r="M906" s="12">
        <f>Tb_data[[#This Row],[Employees Growth]]/Tb_data[[#This Row],[previous_workers]]</f>
        <v>0.58139534883720934</v>
      </c>
    </row>
    <row r="907" spans="1:13" x14ac:dyDescent="0.25">
      <c r="A907" s="1" t="s">
        <v>336</v>
      </c>
      <c r="B907" s="1" t="s">
        <v>337</v>
      </c>
      <c r="C907" s="1">
        <v>3100000</v>
      </c>
      <c r="D907" s="1" t="s">
        <v>254</v>
      </c>
      <c r="E907">
        <v>2704.9665</v>
      </c>
      <c r="F907" s="1" t="s">
        <v>112</v>
      </c>
      <c r="G907">
        <v>5</v>
      </c>
      <c r="H907">
        <v>1</v>
      </c>
      <c r="I907" s="1" t="s">
        <v>13</v>
      </c>
      <c r="J907">
        <v>1</v>
      </c>
      <c r="K907" t="str">
        <f>IF(Tb_data[[#This Row],[previous_workers]]&lt;Tb_data[[#This Row],[workers]],"yes","no")</f>
        <v>yes</v>
      </c>
      <c r="L907">
        <f>Tb_data[[#This Row],[workers]]-Tb_data[[#This Row],[previous_workers]]</f>
        <v>4</v>
      </c>
      <c r="M907" s="12">
        <f>Tb_data[[#This Row],[Employees Growth]]/Tb_data[[#This Row],[previous_workers]]</f>
        <v>4</v>
      </c>
    </row>
    <row r="908" spans="1:13" x14ac:dyDescent="0.25">
      <c r="A908" s="1" t="s">
        <v>1312</v>
      </c>
      <c r="B908" s="1" t="s">
        <v>1313</v>
      </c>
      <c r="C908" s="1">
        <v>6000000</v>
      </c>
      <c r="D908" s="1" t="s">
        <v>1021</v>
      </c>
      <c r="E908">
        <v>733.91499999999996</v>
      </c>
      <c r="F908" s="1" t="s">
        <v>97</v>
      </c>
      <c r="G908">
        <v>100</v>
      </c>
      <c r="H908">
        <v>30</v>
      </c>
      <c r="I908" s="1" t="s">
        <v>35</v>
      </c>
      <c r="J908">
        <v>2</v>
      </c>
      <c r="K908" t="str">
        <f>IF(Tb_data[[#This Row],[previous_workers]]&lt;Tb_data[[#This Row],[workers]],"yes","no")</f>
        <v>yes</v>
      </c>
      <c r="L908">
        <f>Tb_data[[#This Row],[workers]]-Tb_data[[#This Row],[previous_workers]]</f>
        <v>70</v>
      </c>
      <c r="M908" s="12">
        <f>Tb_data[[#This Row],[Employees Growth]]/Tb_data[[#This Row],[previous_workers]]</f>
        <v>2.3333333333333335</v>
      </c>
    </row>
    <row r="909" spans="1:13" x14ac:dyDescent="0.25">
      <c r="A909" s="1" t="s">
        <v>5580</v>
      </c>
      <c r="B909" s="1" t="s">
        <v>5581</v>
      </c>
      <c r="C909" s="1">
        <v>7800000</v>
      </c>
      <c r="D909" s="1" t="s">
        <v>321</v>
      </c>
      <c r="E909">
        <v>139.1491</v>
      </c>
      <c r="F909" s="1" t="s">
        <v>62</v>
      </c>
      <c r="G909">
        <v>18</v>
      </c>
      <c r="H909">
        <v>8</v>
      </c>
      <c r="I909" s="1" t="s">
        <v>46</v>
      </c>
      <c r="J909">
        <v>2</v>
      </c>
      <c r="K909" t="str">
        <f>IF(Tb_data[[#This Row],[previous_workers]]&lt;Tb_data[[#This Row],[workers]],"yes","no")</f>
        <v>yes</v>
      </c>
      <c r="L909">
        <f>Tb_data[[#This Row],[workers]]-Tb_data[[#This Row],[previous_workers]]</f>
        <v>10</v>
      </c>
      <c r="M909" s="12">
        <f>Tb_data[[#This Row],[Employees Growth]]/Tb_data[[#This Row],[previous_workers]]</f>
        <v>1.25</v>
      </c>
    </row>
    <row r="910" spans="1:13" x14ac:dyDescent="0.25">
      <c r="A910" s="1" t="s">
        <v>190</v>
      </c>
      <c r="B910" s="1" t="s">
        <v>191</v>
      </c>
      <c r="C910" s="1">
        <v>21000000</v>
      </c>
      <c r="D910" s="1" t="s">
        <v>33</v>
      </c>
      <c r="E910">
        <v>4469.2112999999999</v>
      </c>
      <c r="F910" s="1" t="s">
        <v>21</v>
      </c>
      <c r="G910">
        <v>8</v>
      </c>
      <c r="H910">
        <v>1</v>
      </c>
      <c r="I910" s="1" t="s">
        <v>130</v>
      </c>
      <c r="J910">
        <v>2</v>
      </c>
      <c r="K910" t="str">
        <f>IF(Tb_data[[#This Row],[previous_workers]]&lt;Tb_data[[#This Row],[workers]],"yes","no")</f>
        <v>yes</v>
      </c>
      <c r="L910">
        <f>Tb_data[[#This Row],[workers]]-Tb_data[[#This Row],[previous_workers]]</f>
        <v>7</v>
      </c>
      <c r="M910" s="12">
        <f>Tb_data[[#This Row],[Employees Growth]]/Tb_data[[#This Row],[previous_workers]]</f>
        <v>7</v>
      </c>
    </row>
    <row r="911" spans="1:13" x14ac:dyDescent="0.25">
      <c r="A911" s="1" t="s">
        <v>2080</v>
      </c>
      <c r="B911" s="1" t="s">
        <v>2081</v>
      </c>
      <c r="C911" s="1">
        <v>17400000</v>
      </c>
      <c r="D911" s="1" t="s">
        <v>52</v>
      </c>
      <c r="E911">
        <v>428.28149999999999</v>
      </c>
      <c r="F911" s="1" t="s">
        <v>12</v>
      </c>
      <c r="G911">
        <v>55</v>
      </c>
      <c r="H911">
        <v>17</v>
      </c>
      <c r="I911" s="1" t="s">
        <v>130</v>
      </c>
      <c r="J911">
        <v>3</v>
      </c>
      <c r="K911" t="str">
        <f>IF(Tb_data[[#This Row],[previous_workers]]&lt;Tb_data[[#This Row],[workers]],"yes","no")</f>
        <v>yes</v>
      </c>
      <c r="L911">
        <f>Tb_data[[#This Row],[workers]]-Tb_data[[#This Row],[previous_workers]]</f>
        <v>38</v>
      </c>
      <c r="M911" s="12">
        <f>Tb_data[[#This Row],[Employees Growth]]/Tb_data[[#This Row],[previous_workers]]</f>
        <v>2.2352941176470589</v>
      </c>
    </row>
    <row r="912" spans="1:13" x14ac:dyDescent="0.25">
      <c r="A912" s="1" t="s">
        <v>9764</v>
      </c>
      <c r="B912" s="1" t="s">
        <v>9765</v>
      </c>
      <c r="C912" s="1">
        <v>21200000</v>
      </c>
      <c r="D912" s="1" t="s">
        <v>49</v>
      </c>
      <c r="E912">
        <v>57.113999999999997</v>
      </c>
      <c r="F912" s="1" t="s">
        <v>176</v>
      </c>
      <c r="G912">
        <v>195</v>
      </c>
      <c r="H912">
        <v>45</v>
      </c>
      <c r="I912" s="1" t="s">
        <v>194</v>
      </c>
      <c r="J912">
        <v>2</v>
      </c>
      <c r="K912" t="str">
        <f>IF(Tb_data[[#This Row],[previous_workers]]&lt;Tb_data[[#This Row],[workers]],"yes","no")</f>
        <v>yes</v>
      </c>
      <c r="L912">
        <f>Tb_data[[#This Row],[workers]]-Tb_data[[#This Row],[previous_workers]]</f>
        <v>150</v>
      </c>
      <c r="M912" s="12">
        <f>Tb_data[[#This Row],[Employees Growth]]/Tb_data[[#This Row],[previous_workers]]</f>
        <v>3.3333333333333335</v>
      </c>
    </row>
    <row r="913" spans="1:13" x14ac:dyDescent="0.25">
      <c r="A913" s="1" t="s">
        <v>6209</v>
      </c>
      <c r="B913" s="1" t="s">
        <v>6210</v>
      </c>
      <c r="C913" s="1">
        <v>48300000</v>
      </c>
      <c r="D913" s="1" t="s">
        <v>49</v>
      </c>
      <c r="E913">
        <v>121.154</v>
      </c>
      <c r="F913" s="1" t="s">
        <v>86</v>
      </c>
      <c r="G913">
        <v>474</v>
      </c>
      <c r="H913">
        <v>175</v>
      </c>
      <c r="I913" s="1" t="s">
        <v>194</v>
      </c>
      <c r="J913">
        <v>8</v>
      </c>
      <c r="K913" t="str">
        <f>IF(Tb_data[[#This Row],[previous_workers]]&lt;Tb_data[[#This Row],[workers]],"yes","no")</f>
        <v>yes</v>
      </c>
      <c r="L913">
        <f>Tb_data[[#This Row],[workers]]-Tb_data[[#This Row],[previous_workers]]</f>
        <v>299</v>
      </c>
      <c r="M913" s="12">
        <f>Tb_data[[#This Row],[Employees Growth]]/Tb_data[[#This Row],[previous_workers]]</f>
        <v>1.7085714285714286</v>
      </c>
    </row>
    <row r="914" spans="1:13" x14ac:dyDescent="0.25">
      <c r="A914" s="1" t="s">
        <v>1489</v>
      </c>
      <c r="B914" s="1" t="s">
        <v>1490</v>
      </c>
      <c r="C914" s="1">
        <v>9200000</v>
      </c>
      <c r="D914" s="1" t="s">
        <v>155</v>
      </c>
      <c r="E914">
        <v>627.05859999999996</v>
      </c>
      <c r="F914" s="1" t="s">
        <v>82</v>
      </c>
      <c r="G914">
        <v>27</v>
      </c>
      <c r="H914">
        <v>4</v>
      </c>
      <c r="I914" s="1" t="s">
        <v>26</v>
      </c>
      <c r="J914">
        <v>2</v>
      </c>
      <c r="K914" t="str">
        <f>IF(Tb_data[[#This Row],[previous_workers]]&lt;Tb_data[[#This Row],[workers]],"yes","no")</f>
        <v>yes</v>
      </c>
      <c r="L914">
        <f>Tb_data[[#This Row],[workers]]-Tb_data[[#This Row],[previous_workers]]</f>
        <v>23</v>
      </c>
      <c r="M914" s="12">
        <f>Tb_data[[#This Row],[Employees Growth]]/Tb_data[[#This Row],[previous_workers]]</f>
        <v>5.75</v>
      </c>
    </row>
    <row r="915" spans="1:13" x14ac:dyDescent="0.25">
      <c r="A915" s="1" t="s">
        <v>593</v>
      </c>
      <c r="B915" s="1" t="s">
        <v>594</v>
      </c>
      <c r="C915" s="1">
        <v>3700000</v>
      </c>
      <c r="D915" s="1" t="s">
        <v>179</v>
      </c>
      <c r="E915">
        <v>1692.6066000000001</v>
      </c>
      <c r="F915" s="1" t="s">
        <v>172</v>
      </c>
      <c r="G915">
        <v>25</v>
      </c>
      <c r="H915">
        <v>12</v>
      </c>
      <c r="I915" s="1" t="s">
        <v>26</v>
      </c>
      <c r="J915">
        <v>1</v>
      </c>
      <c r="K915" t="str">
        <f>IF(Tb_data[[#This Row],[previous_workers]]&lt;Tb_data[[#This Row],[workers]],"yes","no")</f>
        <v>yes</v>
      </c>
      <c r="L915">
        <f>Tb_data[[#This Row],[workers]]-Tb_data[[#This Row],[previous_workers]]</f>
        <v>13</v>
      </c>
      <c r="M915" s="12">
        <f>Tb_data[[#This Row],[Employees Growth]]/Tb_data[[#This Row],[previous_workers]]</f>
        <v>1.0833333333333333</v>
      </c>
    </row>
    <row r="916" spans="1:13" x14ac:dyDescent="0.25">
      <c r="A916" s="1" t="s">
        <v>5812</v>
      </c>
      <c r="B916" s="1" t="s">
        <v>5813</v>
      </c>
      <c r="C916" s="1">
        <v>60500000</v>
      </c>
      <c r="D916" s="1" t="s">
        <v>61</v>
      </c>
      <c r="E916">
        <v>130.875</v>
      </c>
      <c r="F916" s="1" t="s">
        <v>176</v>
      </c>
      <c r="G916">
        <v>1125</v>
      </c>
      <c r="H916">
        <v>768</v>
      </c>
      <c r="I916" s="1" t="s">
        <v>468</v>
      </c>
      <c r="J916">
        <v>3</v>
      </c>
      <c r="K916" t="str">
        <f>IF(Tb_data[[#This Row],[previous_workers]]&lt;Tb_data[[#This Row],[workers]],"yes","no")</f>
        <v>yes</v>
      </c>
      <c r="L916">
        <f>Tb_data[[#This Row],[workers]]-Tb_data[[#This Row],[previous_workers]]</f>
        <v>357</v>
      </c>
      <c r="M916" s="12">
        <f>Tb_data[[#This Row],[Employees Growth]]/Tb_data[[#This Row],[previous_workers]]</f>
        <v>0.46484375</v>
      </c>
    </row>
    <row r="917" spans="1:13" x14ac:dyDescent="0.25">
      <c r="A917" s="1" t="s">
        <v>2092</v>
      </c>
      <c r="B917" s="1" t="s">
        <v>2093</v>
      </c>
      <c r="C917" s="1">
        <v>4600000</v>
      </c>
      <c r="D917" s="1" t="s">
        <v>129</v>
      </c>
      <c r="E917">
        <v>426.93799999999999</v>
      </c>
      <c r="F917" s="1" t="s">
        <v>97</v>
      </c>
      <c r="G917">
        <v>38</v>
      </c>
      <c r="H917">
        <v>7</v>
      </c>
      <c r="I917" s="1" t="s">
        <v>130</v>
      </c>
      <c r="J917">
        <v>2</v>
      </c>
      <c r="K917" t="str">
        <f>IF(Tb_data[[#This Row],[previous_workers]]&lt;Tb_data[[#This Row],[workers]],"yes","no")</f>
        <v>yes</v>
      </c>
      <c r="L917">
        <f>Tb_data[[#This Row],[workers]]-Tb_data[[#This Row],[previous_workers]]</f>
        <v>31</v>
      </c>
      <c r="M917" s="12">
        <f>Tb_data[[#This Row],[Employees Growth]]/Tb_data[[#This Row],[previous_workers]]</f>
        <v>4.4285714285714288</v>
      </c>
    </row>
    <row r="918" spans="1:13" x14ac:dyDescent="0.25">
      <c r="A918" s="1" t="s">
        <v>298</v>
      </c>
      <c r="B918" s="1" t="s">
        <v>299</v>
      </c>
      <c r="C918" s="1">
        <v>3800000</v>
      </c>
      <c r="D918" s="1" t="s">
        <v>49</v>
      </c>
      <c r="E918">
        <v>3050.0025000000001</v>
      </c>
      <c r="F918" s="1" t="s">
        <v>12</v>
      </c>
      <c r="G918">
        <v>310</v>
      </c>
      <c r="H918">
        <v>30</v>
      </c>
      <c r="I918" s="1" t="s">
        <v>13</v>
      </c>
      <c r="J918">
        <v>1</v>
      </c>
      <c r="K918" t="str">
        <f>IF(Tb_data[[#This Row],[previous_workers]]&lt;Tb_data[[#This Row],[workers]],"yes","no")</f>
        <v>yes</v>
      </c>
      <c r="L918">
        <f>Tb_data[[#This Row],[workers]]-Tb_data[[#This Row],[previous_workers]]</f>
        <v>280</v>
      </c>
      <c r="M918" s="12">
        <f>Tb_data[[#This Row],[Employees Growth]]/Tb_data[[#This Row],[previous_workers]]</f>
        <v>9.3333333333333339</v>
      </c>
    </row>
    <row r="919" spans="1:13" x14ac:dyDescent="0.25">
      <c r="A919" s="1" t="s">
        <v>6395</v>
      </c>
      <c r="B919" s="1" t="s">
        <v>6396</v>
      </c>
      <c r="C919" s="1">
        <v>2300000</v>
      </c>
      <c r="D919" s="1" t="s">
        <v>179</v>
      </c>
      <c r="E919">
        <v>116.364</v>
      </c>
      <c r="F919" s="1" t="s">
        <v>156</v>
      </c>
      <c r="G919">
        <v>22</v>
      </c>
      <c r="H919">
        <v>6</v>
      </c>
      <c r="I919" s="1" t="s">
        <v>147</v>
      </c>
      <c r="J919">
        <v>1</v>
      </c>
      <c r="K919" t="str">
        <f>IF(Tb_data[[#This Row],[previous_workers]]&lt;Tb_data[[#This Row],[workers]],"yes","no")</f>
        <v>yes</v>
      </c>
      <c r="L919">
        <f>Tb_data[[#This Row],[workers]]-Tb_data[[#This Row],[previous_workers]]</f>
        <v>16</v>
      </c>
      <c r="M919" s="12">
        <f>Tb_data[[#This Row],[Employees Growth]]/Tb_data[[#This Row],[previous_workers]]</f>
        <v>2.6666666666666665</v>
      </c>
    </row>
    <row r="920" spans="1:13" x14ac:dyDescent="0.25">
      <c r="A920" s="1" t="s">
        <v>5214</v>
      </c>
      <c r="B920" s="1" t="s">
        <v>5215</v>
      </c>
      <c r="C920" s="1">
        <v>45700000</v>
      </c>
      <c r="D920" s="1" t="s">
        <v>20</v>
      </c>
      <c r="E920">
        <v>152.97739999999999</v>
      </c>
      <c r="F920" s="1" t="s">
        <v>25</v>
      </c>
      <c r="G920">
        <v>785</v>
      </c>
      <c r="H920">
        <v>184</v>
      </c>
      <c r="I920" s="1" t="s">
        <v>46</v>
      </c>
      <c r="J920">
        <v>1</v>
      </c>
      <c r="K920" t="str">
        <f>IF(Tb_data[[#This Row],[previous_workers]]&lt;Tb_data[[#This Row],[workers]],"yes","no")</f>
        <v>yes</v>
      </c>
      <c r="L920">
        <f>Tb_data[[#This Row],[workers]]-Tb_data[[#This Row],[previous_workers]]</f>
        <v>601</v>
      </c>
      <c r="M920" s="12">
        <f>Tb_data[[#This Row],[Employees Growth]]/Tb_data[[#This Row],[previous_workers]]</f>
        <v>3.2663043478260869</v>
      </c>
    </row>
    <row r="921" spans="1:13" x14ac:dyDescent="0.25">
      <c r="A921" s="1" t="s">
        <v>1334</v>
      </c>
      <c r="B921" s="1" t="s">
        <v>1335</v>
      </c>
      <c r="C921" s="1">
        <v>2900000</v>
      </c>
      <c r="D921" s="1" t="s">
        <v>175</v>
      </c>
      <c r="E921">
        <v>710.85450000000003</v>
      </c>
      <c r="F921" s="1" t="s">
        <v>97</v>
      </c>
      <c r="G921">
        <v>32</v>
      </c>
      <c r="H921">
        <v>7</v>
      </c>
      <c r="I921" s="1" t="s">
        <v>55</v>
      </c>
      <c r="J921">
        <v>2</v>
      </c>
      <c r="K921" t="str">
        <f>IF(Tb_data[[#This Row],[previous_workers]]&lt;Tb_data[[#This Row],[workers]],"yes","no")</f>
        <v>yes</v>
      </c>
      <c r="L921">
        <f>Tb_data[[#This Row],[workers]]-Tb_data[[#This Row],[previous_workers]]</f>
        <v>25</v>
      </c>
      <c r="M921" s="12">
        <f>Tb_data[[#This Row],[Employees Growth]]/Tb_data[[#This Row],[previous_workers]]</f>
        <v>3.5714285714285716</v>
      </c>
    </row>
    <row r="922" spans="1:13" x14ac:dyDescent="0.25">
      <c r="A922" s="1" t="s">
        <v>5636</v>
      </c>
      <c r="B922" s="1" t="s">
        <v>5637</v>
      </c>
      <c r="C922" s="1">
        <v>8000000</v>
      </c>
      <c r="D922" s="1" t="s">
        <v>61</v>
      </c>
      <c r="E922">
        <v>136.60079999999999</v>
      </c>
      <c r="F922" s="1" t="s">
        <v>97</v>
      </c>
      <c r="G922">
        <v>43</v>
      </c>
      <c r="H922">
        <v>25</v>
      </c>
      <c r="I922" s="1" t="s">
        <v>74</v>
      </c>
      <c r="J922">
        <v>8</v>
      </c>
      <c r="K922" t="str">
        <f>IF(Tb_data[[#This Row],[previous_workers]]&lt;Tb_data[[#This Row],[workers]],"yes","no")</f>
        <v>yes</v>
      </c>
      <c r="L922">
        <f>Tb_data[[#This Row],[workers]]-Tb_data[[#This Row],[previous_workers]]</f>
        <v>18</v>
      </c>
      <c r="M922" s="12">
        <f>Tb_data[[#This Row],[Employees Growth]]/Tb_data[[#This Row],[previous_workers]]</f>
        <v>0.72</v>
      </c>
    </row>
    <row r="923" spans="1:13" x14ac:dyDescent="0.25">
      <c r="A923" s="1" t="s">
        <v>1616</v>
      </c>
      <c r="B923" s="1" t="s">
        <v>1617</v>
      </c>
      <c r="C923" s="1">
        <v>11400000</v>
      </c>
      <c r="D923" s="1" t="s">
        <v>69</v>
      </c>
      <c r="E923">
        <v>576.96540000000005</v>
      </c>
      <c r="F923" s="1" t="s">
        <v>156</v>
      </c>
      <c r="G923">
        <v>92</v>
      </c>
      <c r="H923">
        <v>12</v>
      </c>
      <c r="I923" s="1" t="s">
        <v>295</v>
      </c>
      <c r="J923">
        <v>3</v>
      </c>
      <c r="K923" t="str">
        <f>IF(Tb_data[[#This Row],[previous_workers]]&lt;Tb_data[[#This Row],[workers]],"yes","no")</f>
        <v>yes</v>
      </c>
      <c r="L923">
        <f>Tb_data[[#This Row],[workers]]-Tb_data[[#This Row],[previous_workers]]</f>
        <v>80</v>
      </c>
      <c r="M923" s="12">
        <f>Tb_data[[#This Row],[Employees Growth]]/Tb_data[[#This Row],[previous_workers]]</f>
        <v>6.666666666666667</v>
      </c>
    </row>
    <row r="924" spans="1:13" x14ac:dyDescent="0.25">
      <c r="A924" s="1" t="s">
        <v>4421</v>
      </c>
      <c r="B924" s="1" t="s">
        <v>4422</v>
      </c>
      <c r="C924" s="1">
        <v>5700000</v>
      </c>
      <c r="D924" s="1" t="s">
        <v>49</v>
      </c>
      <c r="E924">
        <v>185.99619999999999</v>
      </c>
      <c r="F924" s="1" t="s">
        <v>310</v>
      </c>
      <c r="G924">
        <v>30</v>
      </c>
      <c r="H924">
        <v>9</v>
      </c>
      <c r="I924" s="1" t="s">
        <v>164</v>
      </c>
      <c r="J924">
        <v>2</v>
      </c>
      <c r="K924" t="str">
        <f>IF(Tb_data[[#This Row],[previous_workers]]&lt;Tb_data[[#This Row],[workers]],"yes","no")</f>
        <v>yes</v>
      </c>
      <c r="L924">
        <f>Tb_data[[#This Row],[workers]]-Tb_data[[#This Row],[previous_workers]]</f>
        <v>21</v>
      </c>
      <c r="M924" s="12">
        <f>Tb_data[[#This Row],[Employees Growth]]/Tb_data[[#This Row],[previous_workers]]</f>
        <v>2.3333333333333335</v>
      </c>
    </row>
    <row r="925" spans="1:13" x14ac:dyDescent="0.25">
      <c r="A925" s="1" t="s">
        <v>6249</v>
      </c>
      <c r="B925" s="1" t="s">
        <v>6250</v>
      </c>
      <c r="C925" s="1">
        <v>24700000</v>
      </c>
      <c r="D925" s="1" t="s">
        <v>1002</v>
      </c>
      <c r="E925">
        <v>120.322</v>
      </c>
      <c r="F925" s="1" t="s">
        <v>156</v>
      </c>
      <c r="G925">
        <v>108</v>
      </c>
      <c r="H925">
        <v>73</v>
      </c>
      <c r="I925" s="1" t="s">
        <v>3843</v>
      </c>
      <c r="J925">
        <v>10</v>
      </c>
      <c r="K925" t="str">
        <f>IF(Tb_data[[#This Row],[previous_workers]]&lt;Tb_data[[#This Row],[workers]],"yes","no")</f>
        <v>yes</v>
      </c>
      <c r="L925">
        <f>Tb_data[[#This Row],[workers]]-Tb_data[[#This Row],[previous_workers]]</f>
        <v>35</v>
      </c>
      <c r="M925" s="12">
        <f>Tb_data[[#This Row],[Employees Growth]]/Tb_data[[#This Row],[previous_workers]]</f>
        <v>0.47945205479452052</v>
      </c>
    </row>
    <row r="926" spans="1:13" x14ac:dyDescent="0.25">
      <c r="A926" s="1" t="s">
        <v>2787</v>
      </c>
      <c r="B926" s="1" t="s">
        <v>2788</v>
      </c>
      <c r="C926" s="1">
        <v>194100000</v>
      </c>
      <c r="D926" s="1" t="s">
        <v>91</v>
      </c>
      <c r="E926">
        <v>309.4015</v>
      </c>
      <c r="F926" s="1" t="s">
        <v>12</v>
      </c>
      <c r="G926">
        <v>14730</v>
      </c>
      <c r="H926">
        <v>991</v>
      </c>
      <c r="I926" s="1" t="s">
        <v>164</v>
      </c>
      <c r="J926">
        <v>3</v>
      </c>
      <c r="K926" t="str">
        <f>IF(Tb_data[[#This Row],[previous_workers]]&lt;Tb_data[[#This Row],[workers]],"yes","no")</f>
        <v>yes</v>
      </c>
      <c r="L926">
        <f>Tb_data[[#This Row],[workers]]-Tb_data[[#This Row],[previous_workers]]</f>
        <v>13739</v>
      </c>
      <c r="M926" s="12">
        <f>Tb_data[[#This Row],[Employees Growth]]/Tb_data[[#This Row],[previous_workers]]</f>
        <v>13.863773965691221</v>
      </c>
    </row>
    <row r="927" spans="1:13" x14ac:dyDescent="0.25">
      <c r="A927" s="1" t="s">
        <v>3262</v>
      </c>
      <c r="B927" s="1" t="s">
        <v>3263</v>
      </c>
      <c r="C927" s="1">
        <v>18400000</v>
      </c>
      <c r="D927" s="1" t="s">
        <v>69</v>
      </c>
      <c r="E927">
        <v>263.44349999999997</v>
      </c>
      <c r="F927" s="1" t="s">
        <v>3264</v>
      </c>
      <c r="G927">
        <v>144</v>
      </c>
      <c r="H927">
        <v>25</v>
      </c>
      <c r="I927" s="1" t="s">
        <v>295</v>
      </c>
      <c r="J927">
        <v>1</v>
      </c>
      <c r="K927" t="str">
        <f>IF(Tb_data[[#This Row],[previous_workers]]&lt;Tb_data[[#This Row],[workers]],"yes","no")</f>
        <v>yes</v>
      </c>
      <c r="L927">
        <f>Tb_data[[#This Row],[workers]]-Tb_data[[#This Row],[previous_workers]]</f>
        <v>119</v>
      </c>
      <c r="M927" s="12">
        <f>Tb_data[[#This Row],[Employees Growth]]/Tb_data[[#This Row],[previous_workers]]</f>
        <v>4.76</v>
      </c>
    </row>
    <row r="928" spans="1:13" x14ac:dyDescent="0.25">
      <c r="A928" s="1" t="s">
        <v>3059</v>
      </c>
      <c r="B928" s="1" t="s">
        <v>3060</v>
      </c>
      <c r="C928" s="1">
        <v>8600000</v>
      </c>
      <c r="D928" s="1" t="s">
        <v>79</v>
      </c>
      <c r="E928">
        <v>281.92059999999998</v>
      </c>
      <c r="F928" s="1" t="s">
        <v>156</v>
      </c>
      <c r="G928">
        <v>29</v>
      </c>
      <c r="H928">
        <v>12</v>
      </c>
      <c r="I928" s="1" t="s">
        <v>1411</v>
      </c>
      <c r="J928">
        <v>2</v>
      </c>
      <c r="K928" t="str">
        <f>IF(Tb_data[[#This Row],[previous_workers]]&lt;Tb_data[[#This Row],[workers]],"yes","no")</f>
        <v>yes</v>
      </c>
      <c r="L928">
        <f>Tb_data[[#This Row],[workers]]-Tb_data[[#This Row],[previous_workers]]</f>
        <v>17</v>
      </c>
      <c r="M928" s="12">
        <f>Tb_data[[#This Row],[Employees Growth]]/Tb_data[[#This Row],[previous_workers]]</f>
        <v>1.4166666666666667</v>
      </c>
    </row>
    <row r="929" spans="1:13" x14ac:dyDescent="0.25">
      <c r="A929" s="1" t="s">
        <v>248</v>
      </c>
      <c r="B929" s="1" t="s">
        <v>249</v>
      </c>
      <c r="C929" s="1">
        <v>3900000</v>
      </c>
      <c r="D929" s="1" t="s">
        <v>49</v>
      </c>
      <c r="E929">
        <v>3623.0563000000002</v>
      </c>
      <c r="F929" s="1" t="s">
        <v>152</v>
      </c>
      <c r="G929">
        <v>25</v>
      </c>
      <c r="H929">
        <v>3</v>
      </c>
      <c r="I929" s="1" t="s">
        <v>13</v>
      </c>
      <c r="J929">
        <v>1</v>
      </c>
      <c r="K929" t="str">
        <f>IF(Tb_data[[#This Row],[previous_workers]]&lt;Tb_data[[#This Row],[workers]],"yes","no")</f>
        <v>yes</v>
      </c>
      <c r="L929">
        <f>Tb_data[[#This Row],[workers]]-Tb_data[[#This Row],[previous_workers]]</f>
        <v>22</v>
      </c>
      <c r="M929" s="12">
        <f>Tb_data[[#This Row],[Employees Growth]]/Tb_data[[#This Row],[previous_workers]]</f>
        <v>7.333333333333333</v>
      </c>
    </row>
    <row r="930" spans="1:13" x14ac:dyDescent="0.25">
      <c r="A930" s="1" t="s">
        <v>6219</v>
      </c>
      <c r="B930" s="1" t="s">
        <v>6220</v>
      </c>
      <c r="C930" s="1">
        <v>2500000</v>
      </c>
      <c r="D930" s="1" t="s">
        <v>179</v>
      </c>
      <c r="E930">
        <v>120.9645</v>
      </c>
      <c r="F930" s="1" t="s">
        <v>142</v>
      </c>
      <c r="G930">
        <v>42</v>
      </c>
      <c r="H930">
        <v>13</v>
      </c>
      <c r="I930" s="1" t="s">
        <v>46</v>
      </c>
      <c r="J930">
        <v>2</v>
      </c>
      <c r="K930" t="str">
        <f>IF(Tb_data[[#This Row],[previous_workers]]&lt;Tb_data[[#This Row],[workers]],"yes","no")</f>
        <v>yes</v>
      </c>
      <c r="L930">
        <f>Tb_data[[#This Row],[workers]]-Tb_data[[#This Row],[previous_workers]]</f>
        <v>29</v>
      </c>
      <c r="M930" s="12">
        <f>Tb_data[[#This Row],[Employees Growth]]/Tb_data[[#This Row],[previous_workers]]</f>
        <v>2.2307692307692308</v>
      </c>
    </row>
    <row r="931" spans="1:13" x14ac:dyDescent="0.25">
      <c r="A931" s="1" t="s">
        <v>498</v>
      </c>
      <c r="B931" s="1" t="s">
        <v>499</v>
      </c>
      <c r="C931" s="1">
        <v>113500000</v>
      </c>
      <c r="D931" s="1" t="s">
        <v>500</v>
      </c>
      <c r="E931">
        <v>1967.9181000000001</v>
      </c>
      <c r="F931" s="1" t="s">
        <v>100</v>
      </c>
      <c r="G931">
        <v>250</v>
      </c>
      <c r="H931">
        <v>50</v>
      </c>
      <c r="I931" s="1" t="s">
        <v>55</v>
      </c>
      <c r="J931">
        <v>2</v>
      </c>
      <c r="K931" t="str">
        <f>IF(Tb_data[[#This Row],[previous_workers]]&lt;Tb_data[[#This Row],[workers]],"yes","no")</f>
        <v>yes</v>
      </c>
      <c r="L931">
        <f>Tb_data[[#This Row],[workers]]-Tb_data[[#This Row],[previous_workers]]</f>
        <v>200</v>
      </c>
      <c r="M931" s="12">
        <f>Tb_data[[#This Row],[Employees Growth]]/Tb_data[[#This Row],[previous_workers]]</f>
        <v>4</v>
      </c>
    </row>
    <row r="932" spans="1:13" x14ac:dyDescent="0.25">
      <c r="A932" s="1" t="s">
        <v>8275</v>
      </c>
      <c r="B932" s="1" t="s">
        <v>8276</v>
      </c>
      <c r="C932" s="1">
        <v>250500000</v>
      </c>
      <c r="D932" s="1" t="s">
        <v>236</v>
      </c>
      <c r="E932">
        <v>78.079400000000007</v>
      </c>
      <c r="F932" s="1" t="s">
        <v>176</v>
      </c>
      <c r="G932">
        <v>900</v>
      </c>
      <c r="H932">
        <v>500</v>
      </c>
      <c r="I932" s="1" t="s">
        <v>1051</v>
      </c>
      <c r="J932">
        <v>2</v>
      </c>
      <c r="K932" t="str">
        <f>IF(Tb_data[[#This Row],[previous_workers]]&lt;Tb_data[[#This Row],[workers]],"yes","no")</f>
        <v>yes</v>
      </c>
      <c r="L932">
        <f>Tb_data[[#This Row],[workers]]-Tb_data[[#This Row],[previous_workers]]</f>
        <v>400</v>
      </c>
      <c r="M932" s="12">
        <f>Tb_data[[#This Row],[Employees Growth]]/Tb_data[[#This Row],[previous_workers]]</f>
        <v>0.8</v>
      </c>
    </row>
    <row r="933" spans="1:13" x14ac:dyDescent="0.25">
      <c r="A933" s="1" t="s">
        <v>8053</v>
      </c>
      <c r="B933" s="1" t="s">
        <v>8054</v>
      </c>
      <c r="C933" s="1">
        <v>66700000</v>
      </c>
      <c r="D933" s="1" t="s">
        <v>61</v>
      </c>
      <c r="E933">
        <v>81.878900000000002</v>
      </c>
      <c r="F933" s="1" t="s">
        <v>21</v>
      </c>
      <c r="G933">
        <v>1400</v>
      </c>
      <c r="H933">
        <v>730</v>
      </c>
      <c r="I933" s="1" t="s">
        <v>194</v>
      </c>
      <c r="J933">
        <v>4</v>
      </c>
      <c r="K933" t="str">
        <f>IF(Tb_data[[#This Row],[previous_workers]]&lt;Tb_data[[#This Row],[workers]],"yes","no")</f>
        <v>yes</v>
      </c>
      <c r="L933">
        <f>Tb_data[[#This Row],[workers]]-Tb_data[[#This Row],[previous_workers]]</f>
        <v>670</v>
      </c>
      <c r="M933" s="12">
        <f>Tb_data[[#This Row],[Employees Growth]]/Tb_data[[#This Row],[previous_workers]]</f>
        <v>0.9178082191780822</v>
      </c>
    </row>
    <row r="934" spans="1:13" x14ac:dyDescent="0.25">
      <c r="A934" s="1" t="s">
        <v>199</v>
      </c>
      <c r="B934" s="1" t="s">
        <v>200</v>
      </c>
      <c r="C934" s="1">
        <v>10700000</v>
      </c>
      <c r="D934" s="1" t="s">
        <v>49</v>
      </c>
      <c r="E934">
        <v>4401.8690999999999</v>
      </c>
      <c r="F934" s="1" t="s">
        <v>124</v>
      </c>
      <c r="G934">
        <v>40</v>
      </c>
      <c r="H934">
        <v>5</v>
      </c>
      <c r="I934" s="1" t="s">
        <v>13</v>
      </c>
      <c r="J934">
        <v>1</v>
      </c>
      <c r="K934" t="str">
        <f>IF(Tb_data[[#This Row],[previous_workers]]&lt;Tb_data[[#This Row],[workers]],"yes","no")</f>
        <v>yes</v>
      </c>
      <c r="L934">
        <f>Tb_data[[#This Row],[workers]]-Tb_data[[#This Row],[previous_workers]]</f>
        <v>35</v>
      </c>
      <c r="M934" s="12">
        <f>Tb_data[[#This Row],[Employees Growth]]/Tb_data[[#This Row],[previous_workers]]</f>
        <v>7</v>
      </c>
    </row>
    <row r="935" spans="1:13" x14ac:dyDescent="0.25">
      <c r="A935" s="1" t="s">
        <v>9910</v>
      </c>
      <c r="B935" s="1" t="s">
        <v>9911</v>
      </c>
      <c r="C935" s="1">
        <v>3100000</v>
      </c>
      <c r="D935" s="1" t="s">
        <v>49</v>
      </c>
      <c r="E935">
        <v>55.041600000000003</v>
      </c>
      <c r="F935" s="1" t="s">
        <v>161</v>
      </c>
      <c r="G935">
        <v>38</v>
      </c>
      <c r="H935">
        <v>11</v>
      </c>
      <c r="I935" s="1" t="s">
        <v>74</v>
      </c>
      <c r="J935">
        <v>1</v>
      </c>
      <c r="K935" t="str">
        <f>IF(Tb_data[[#This Row],[previous_workers]]&lt;Tb_data[[#This Row],[workers]],"yes","no")</f>
        <v>yes</v>
      </c>
      <c r="L935">
        <f>Tb_data[[#This Row],[workers]]-Tb_data[[#This Row],[previous_workers]]</f>
        <v>27</v>
      </c>
      <c r="M935" s="12">
        <f>Tb_data[[#This Row],[Employees Growth]]/Tb_data[[#This Row],[previous_workers]]</f>
        <v>2.4545454545454546</v>
      </c>
    </row>
    <row r="936" spans="1:13" x14ac:dyDescent="0.25">
      <c r="A936" s="1" t="s">
        <v>8470</v>
      </c>
      <c r="B936" s="1" t="s">
        <v>8471</v>
      </c>
      <c r="C936" s="1">
        <v>36300000</v>
      </c>
      <c r="D936" s="1" t="s">
        <v>236</v>
      </c>
      <c r="E936">
        <v>74.641400000000004</v>
      </c>
      <c r="F936" s="1" t="s">
        <v>97</v>
      </c>
      <c r="G936">
        <v>324</v>
      </c>
      <c r="H936">
        <v>191</v>
      </c>
      <c r="I936" s="1" t="s">
        <v>1051</v>
      </c>
      <c r="J936">
        <v>9</v>
      </c>
      <c r="K936" t="str">
        <f>IF(Tb_data[[#This Row],[previous_workers]]&lt;Tb_data[[#This Row],[workers]],"yes","no")</f>
        <v>yes</v>
      </c>
      <c r="L936">
        <f>Tb_data[[#This Row],[workers]]-Tb_data[[#This Row],[previous_workers]]</f>
        <v>133</v>
      </c>
      <c r="M936" s="12">
        <f>Tb_data[[#This Row],[Employees Growth]]/Tb_data[[#This Row],[previous_workers]]</f>
        <v>0.69633507853403143</v>
      </c>
    </row>
    <row r="937" spans="1:13" x14ac:dyDescent="0.25">
      <c r="A937" s="1" t="s">
        <v>9908</v>
      </c>
      <c r="B937" s="1" t="s">
        <v>9909</v>
      </c>
      <c r="C937" s="1">
        <v>2200000</v>
      </c>
      <c r="D937" s="1" t="s">
        <v>52</v>
      </c>
      <c r="E937">
        <v>55.0625</v>
      </c>
      <c r="F937" s="1" t="s">
        <v>86</v>
      </c>
      <c r="G937">
        <v>14</v>
      </c>
      <c r="H937">
        <v>10</v>
      </c>
      <c r="I937" s="1" t="s">
        <v>948</v>
      </c>
      <c r="J937">
        <v>1</v>
      </c>
      <c r="K937" t="str">
        <f>IF(Tb_data[[#This Row],[previous_workers]]&lt;Tb_data[[#This Row],[workers]],"yes","no")</f>
        <v>yes</v>
      </c>
      <c r="L937">
        <f>Tb_data[[#This Row],[workers]]-Tb_data[[#This Row],[previous_workers]]</f>
        <v>4</v>
      </c>
      <c r="M937" s="12">
        <f>Tb_data[[#This Row],[Employees Growth]]/Tb_data[[#This Row],[previous_workers]]</f>
        <v>0.4</v>
      </c>
    </row>
    <row r="938" spans="1:13" x14ac:dyDescent="0.25">
      <c r="A938" s="1" t="s">
        <v>6147</v>
      </c>
      <c r="B938" s="1" t="s">
        <v>6148</v>
      </c>
      <c r="C938" s="1">
        <v>2500000</v>
      </c>
      <c r="D938" s="1" t="s">
        <v>179</v>
      </c>
      <c r="E938">
        <v>122.41249999999999</v>
      </c>
      <c r="F938" s="1" t="s">
        <v>172</v>
      </c>
      <c r="G938">
        <v>10</v>
      </c>
      <c r="H938">
        <v>3</v>
      </c>
      <c r="I938" s="1" t="s">
        <v>55</v>
      </c>
      <c r="J938">
        <v>1</v>
      </c>
      <c r="K938" t="str">
        <f>IF(Tb_data[[#This Row],[previous_workers]]&lt;Tb_data[[#This Row],[workers]],"yes","no")</f>
        <v>yes</v>
      </c>
      <c r="L938">
        <f>Tb_data[[#This Row],[workers]]-Tb_data[[#This Row],[previous_workers]]</f>
        <v>7</v>
      </c>
      <c r="M938" s="12">
        <f>Tb_data[[#This Row],[Employees Growth]]/Tb_data[[#This Row],[previous_workers]]</f>
        <v>2.3333333333333335</v>
      </c>
    </row>
    <row r="939" spans="1:13" x14ac:dyDescent="0.25">
      <c r="A939" s="1" t="s">
        <v>8759</v>
      </c>
      <c r="B939" s="1" t="s">
        <v>8760</v>
      </c>
      <c r="C939" s="1">
        <v>3700000</v>
      </c>
      <c r="D939" s="1" t="s">
        <v>41</v>
      </c>
      <c r="E939">
        <v>70.216700000000003</v>
      </c>
      <c r="F939" s="1" t="s">
        <v>62</v>
      </c>
      <c r="G939">
        <v>17</v>
      </c>
      <c r="H939">
        <v>8</v>
      </c>
      <c r="I939" s="1" t="s">
        <v>55</v>
      </c>
      <c r="J939">
        <v>1</v>
      </c>
      <c r="K939" t="str">
        <f>IF(Tb_data[[#This Row],[previous_workers]]&lt;Tb_data[[#This Row],[workers]],"yes","no")</f>
        <v>yes</v>
      </c>
      <c r="L939">
        <f>Tb_data[[#This Row],[workers]]-Tb_data[[#This Row],[previous_workers]]</f>
        <v>9</v>
      </c>
      <c r="M939" s="12">
        <f>Tb_data[[#This Row],[Employees Growth]]/Tb_data[[#This Row],[previous_workers]]</f>
        <v>1.125</v>
      </c>
    </row>
    <row r="940" spans="1:13" x14ac:dyDescent="0.25">
      <c r="A940" s="1" t="s">
        <v>9680</v>
      </c>
      <c r="B940" s="1" t="s">
        <v>9681</v>
      </c>
      <c r="C940" s="1">
        <v>11400000</v>
      </c>
      <c r="D940" s="1" t="s">
        <v>16</v>
      </c>
      <c r="E940">
        <v>58.224899999999998</v>
      </c>
      <c r="F940" s="1" t="s">
        <v>152</v>
      </c>
      <c r="G940">
        <v>465</v>
      </c>
      <c r="H940">
        <v>310</v>
      </c>
      <c r="I940" s="1" t="s">
        <v>35</v>
      </c>
      <c r="J940">
        <v>5</v>
      </c>
      <c r="K940" t="str">
        <f>IF(Tb_data[[#This Row],[previous_workers]]&lt;Tb_data[[#This Row],[workers]],"yes","no")</f>
        <v>yes</v>
      </c>
      <c r="L940">
        <f>Tb_data[[#This Row],[workers]]-Tb_data[[#This Row],[previous_workers]]</f>
        <v>155</v>
      </c>
      <c r="M940" s="12">
        <f>Tb_data[[#This Row],[Employees Growth]]/Tb_data[[#This Row],[previous_workers]]</f>
        <v>0.5</v>
      </c>
    </row>
    <row r="941" spans="1:13" x14ac:dyDescent="0.25">
      <c r="A941" s="1" t="s">
        <v>8143</v>
      </c>
      <c r="B941" s="1" t="s">
        <v>8144</v>
      </c>
      <c r="C941" s="1">
        <v>27700000</v>
      </c>
      <c r="D941" s="1" t="s">
        <v>254</v>
      </c>
      <c r="E941">
        <v>80.562399999999997</v>
      </c>
      <c r="F941" s="1" t="s">
        <v>135</v>
      </c>
      <c r="G941">
        <v>150</v>
      </c>
      <c r="H941">
        <v>105</v>
      </c>
      <c r="I941" s="1" t="s">
        <v>147</v>
      </c>
      <c r="J941">
        <v>7</v>
      </c>
      <c r="K941" t="str">
        <f>IF(Tb_data[[#This Row],[previous_workers]]&lt;Tb_data[[#This Row],[workers]],"yes","no")</f>
        <v>yes</v>
      </c>
      <c r="L941">
        <f>Tb_data[[#This Row],[workers]]-Tb_data[[#This Row],[previous_workers]]</f>
        <v>45</v>
      </c>
      <c r="M941" s="12">
        <f>Tb_data[[#This Row],[Employees Growth]]/Tb_data[[#This Row],[previous_workers]]</f>
        <v>0.42857142857142855</v>
      </c>
    </row>
    <row r="942" spans="1:13" x14ac:dyDescent="0.25">
      <c r="A942" s="1" t="s">
        <v>9634</v>
      </c>
      <c r="B942" s="1" t="s">
        <v>9635</v>
      </c>
      <c r="C942" s="1">
        <v>101100000</v>
      </c>
      <c r="D942" s="1" t="s">
        <v>321</v>
      </c>
      <c r="E942">
        <v>58.888100000000001</v>
      </c>
      <c r="F942" s="1" t="s">
        <v>86</v>
      </c>
      <c r="G942">
        <v>136</v>
      </c>
      <c r="H942">
        <v>108</v>
      </c>
      <c r="I942" s="1" t="s">
        <v>194</v>
      </c>
      <c r="J942">
        <v>7</v>
      </c>
      <c r="K942" t="str">
        <f>IF(Tb_data[[#This Row],[previous_workers]]&lt;Tb_data[[#This Row],[workers]],"yes","no")</f>
        <v>yes</v>
      </c>
      <c r="L942">
        <f>Tb_data[[#This Row],[workers]]-Tb_data[[#This Row],[previous_workers]]</f>
        <v>28</v>
      </c>
      <c r="M942" s="12">
        <f>Tb_data[[#This Row],[Employees Growth]]/Tb_data[[#This Row],[previous_workers]]</f>
        <v>0.25925925925925924</v>
      </c>
    </row>
    <row r="943" spans="1:13" x14ac:dyDescent="0.25">
      <c r="A943" s="1" t="s">
        <v>5554</v>
      </c>
      <c r="B943" s="1" t="s">
        <v>5555</v>
      </c>
      <c r="C943" s="1">
        <v>43300000</v>
      </c>
      <c r="D943" s="1" t="s">
        <v>49</v>
      </c>
      <c r="E943">
        <v>140.42789999999999</v>
      </c>
      <c r="F943" s="1" t="s">
        <v>124</v>
      </c>
      <c r="G943">
        <v>85</v>
      </c>
      <c r="H943">
        <v>50</v>
      </c>
      <c r="I943" s="1" t="s">
        <v>2643</v>
      </c>
      <c r="J943">
        <v>4</v>
      </c>
      <c r="K943" t="str">
        <f>IF(Tb_data[[#This Row],[previous_workers]]&lt;Tb_data[[#This Row],[workers]],"yes","no")</f>
        <v>yes</v>
      </c>
      <c r="L943">
        <f>Tb_data[[#This Row],[workers]]-Tb_data[[#This Row],[previous_workers]]</f>
        <v>35</v>
      </c>
      <c r="M943" s="12">
        <f>Tb_data[[#This Row],[Employees Growth]]/Tb_data[[#This Row],[previous_workers]]</f>
        <v>0.7</v>
      </c>
    </row>
    <row r="944" spans="1:13" x14ac:dyDescent="0.25">
      <c r="A944" s="1" t="s">
        <v>6387</v>
      </c>
      <c r="B944" s="1" t="s">
        <v>6388</v>
      </c>
      <c r="C944" s="1">
        <v>5500000</v>
      </c>
      <c r="D944" s="1" t="s">
        <v>61</v>
      </c>
      <c r="E944">
        <v>116.547</v>
      </c>
      <c r="F944" s="1" t="s">
        <v>97</v>
      </c>
      <c r="G944">
        <v>52</v>
      </c>
      <c r="H944">
        <v>32</v>
      </c>
      <c r="I944" s="1" t="s">
        <v>164</v>
      </c>
      <c r="J944">
        <v>3</v>
      </c>
      <c r="K944" t="str">
        <f>IF(Tb_data[[#This Row],[previous_workers]]&lt;Tb_data[[#This Row],[workers]],"yes","no")</f>
        <v>yes</v>
      </c>
      <c r="L944">
        <f>Tb_data[[#This Row],[workers]]-Tb_data[[#This Row],[previous_workers]]</f>
        <v>20</v>
      </c>
      <c r="M944" s="12">
        <f>Tb_data[[#This Row],[Employees Growth]]/Tb_data[[#This Row],[previous_workers]]</f>
        <v>0.625</v>
      </c>
    </row>
    <row r="945" spans="1:13" x14ac:dyDescent="0.25">
      <c r="A945" s="1" t="s">
        <v>8983</v>
      </c>
      <c r="B945" s="1" t="s">
        <v>8984</v>
      </c>
      <c r="C945" s="1">
        <v>16300000</v>
      </c>
      <c r="D945" s="1" t="s">
        <v>29</v>
      </c>
      <c r="E945">
        <v>66.834299999999999</v>
      </c>
      <c r="F945" s="1" t="s">
        <v>112</v>
      </c>
      <c r="G945">
        <v>97</v>
      </c>
      <c r="H945">
        <v>64</v>
      </c>
      <c r="I945" s="1" t="s">
        <v>74</v>
      </c>
      <c r="J945">
        <v>1</v>
      </c>
      <c r="K945" t="str">
        <f>IF(Tb_data[[#This Row],[previous_workers]]&lt;Tb_data[[#This Row],[workers]],"yes","no")</f>
        <v>yes</v>
      </c>
      <c r="L945">
        <f>Tb_data[[#This Row],[workers]]-Tb_data[[#This Row],[previous_workers]]</f>
        <v>33</v>
      </c>
      <c r="M945" s="12">
        <f>Tb_data[[#This Row],[Employees Growth]]/Tb_data[[#This Row],[previous_workers]]</f>
        <v>0.515625</v>
      </c>
    </row>
    <row r="946" spans="1:13" x14ac:dyDescent="0.25">
      <c r="A946" s="1" t="s">
        <v>6389</v>
      </c>
      <c r="B946" s="1" t="s">
        <v>6390</v>
      </c>
      <c r="C946" s="1">
        <v>3200000</v>
      </c>
      <c r="D946" s="1" t="s">
        <v>20</v>
      </c>
      <c r="E946">
        <v>116.515</v>
      </c>
      <c r="F946" s="1" t="s">
        <v>112</v>
      </c>
      <c r="G946">
        <v>15</v>
      </c>
      <c r="H946">
        <v>11</v>
      </c>
      <c r="I946" s="1" t="s">
        <v>2407</v>
      </c>
      <c r="J946">
        <v>1</v>
      </c>
      <c r="K946" t="str">
        <f>IF(Tb_data[[#This Row],[previous_workers]]&lt;Tb_data[[#This Row],[workers]],"yes","no")</f>
        <v>yes</v>
      </c>
      <c r="L946">
        <f>Tb_data[[#This Row],[workers]]-Tb_data[[#This Row],[previous_workers]]</f>
        <v>4</v>
      </c>
      <c r="M946" s="12">
        <f>Tb_data[[#This Row],[Employees Growth]]/Tb_data[[#This Row],[previous_workers]]</f>
        <v>0.36363636363636365</v>
      </c>
    </row>
    <row r="947" spans="1:13" x14ac:dyDescent="0.25">
      <c r="A947" s="1" t="s">
        <v>9944</v>
      </c>
      <c r="B947" s="1" t="s">
        <v>9945</v>
      </c>
      <c r="C947" s="1">
        <v>13600000</v>
      </c>
      <c r="D947" s="1" t="s">
        <v>69</v>
      </c>
      <c r="E947">
        <v>54.518300000000004</v>
      </c>
      <c r="F947" s="1" t="s">
        <v>112</v>
      </c>
      <c r="G947">
        <v>45</v>
      </c>
      <c r="H947">
        <v>42</v>
      </c>
      <c r="I947" s="1" t="s">
        <v>4054</v>
      </c>
      <c r="J947">
        <v>1</v>
      </c>
      <c r="K947" t="str">
        <f>IF(Tb_data[[#This Row],[previous_workers]]&lt;Tb_data[[#This Row],[workers]],"yes","no")</f>
        <v>yes</v>
      </c>
      <c r="L947">
        <f>Tb_data[[#This Row],[workers]]-Tb_data[[#This Row],[previous_workers]]</f>
        <v>3</v>
      </c>
      <c r="M947" s="12">
        <f>Tb_data[[#This Row],[Employees Growth]]/Tb_data[[#This Row],[previous_workers]]</f>
        <v>7.1428571428571425E-2</v>
      </c>
    </row>
    <row r="948" spans="1:13" x14ac:dyDescent="0.25">
      <c r="A948" s="1" t="s">
        <v>6679</v>
      </c>
      <c r="B948" s="1" t="s">
        <v>6680</v>
      </c>
      <c r="C948" s="1">
        <v>4300000</v>
      </c>
      <c r="D948" s="1" t="s">
        <v>49</v>
      </c>
      <c r="E948">
        <v>109.65900000000001</v>
      </c>
      <c r="F948" s="1" t="s">
        <v>94</v>
      </c>
      <c r="G948">
        <v>19</v>
      </c>
      <c r="H948">
        <v>10</v>
      </c>
      <c r="I948" s="1" t="s">
        <v>55</v>
      </c>
      <c r="J948">
        <v>2</v>
      </c>
      <c r="K948" t="str">
        <f>IF(Tb_data[[#This Row],[previous_workers]]&lt;Tb_data[[#This Row],[workers]],"yes","no")</f>
        <v>yes</v>
      </c>
      <c r="L948">
        <f>Tb_data[[#This Row],[workers]]-Tb_data[[#This Row],[previous_workers]]</f>
        <v>9</v>
      </c>
      <c r="M948" s="12">
        <f>Tb_data[[#This Row],[Employees Growth]]/Tb_data[[#This Row],[previous_workers]]</f>
        <v>0.9</v>
      </c>
    </row>
    <row r="949" spans="1:13" x14ac:dyDescent="0.25">
      <c r="A949" s="1" t="s">
        <v>7104</v>
      </c>
      <c r="B949" s="1" t="s">
        <v>7105</v>
      </c>
      <c r="C949" s="1">
        <v>11600000</v>
      </c>
      <c r="D949" s="1" t="s">
        <v>427</v>
      </c>
      <c r="E949">
        <v>100.0959</v>
      </c>
      <c r="F949" s="1" t="s">
        <v>169</v>
      </c>
      <c r="G949">
        <v>98</v>
      </c>
      <c r="H949">
        <v>59</v>
      </c>
      <c r="I949" s="1" t="s">
        <v>1051</v>
      </c>
      <c r="J949">
        <v>2</v>
      </c>
      <c r="K949" t="str">
        <f>IF(Tb_data[[#This Row],[previous_workers]]&lt;Tb_data[[#This Row],[workers]],"yes","no")</f>
        <v>yes</v>
      </c>
      <c r="L949">
        <f>Tb_data[[#This Row],[workers]]-Tb_data[[#This Row],[previous_workers]]</f>
        <v>39</v>
      </c>
      <c r="M949" s="12">
        <f>Tb_data[[#This Row],[Employees Growth]]/Tb_data[[#This Row],[previous_workers]]</f>
        <v>0.66101694915254239</v>
      </c>
    </row>
    <row r="950" spans="1:13" x14ac:dyDescent="0.25">
      <c r="A950" s="1" t="s">
        <v>955</v>
      </c>
      <c r="B950" s="1" t="s">
        <v>956</v>
      </c>
      <c r="C950" s="1">
        <v>4900000</v>
      </c>
      <c r="D950" s="1" t="s">
        <v>115</v>
      </c>
      <c r="E950">
        <v>1046.9938999999999</v>
      </c>
      <c r="F950" s="1" t="s">
        <v>30</v>
      </c>
      <c r="G950">
        <v>210</v>
      </c>
      <c r="H950">
        <v>20</v>
      </c>
      <c r="I950" s="1" t="s">
        <v>13</v>
      </c>
      <c r="J950">
        <v>1</v>
      </c>
      <c r="K950" t="str">
        <f>IF(Tb_data[[#This Row],[previous_workers]]&lt;Tb_data[[#This Row],[workers]],"yes","no")</f>
        <v>yes</v>
      </c>
      <c r="L950">
        <f>Tb_data[[#This Row],[workers]]-Tb_data[[#This Row],[previous_workers]]</f>
        <v>190</v>
      </c>
      <c r="M950" s="12">
        <f>Tb_data[[#This Row],[Employees Growth]]/Tb_data[[#This Row],[previous_workers]]</f>
        <v>9.5</v>
      </c>
    </row>
    <row r="951" spans="1:13" x14ac:dyDescent="0.25">
      <c r="A951" s="1" t="s">
        <v>8863</v>
      </c>
      <c r="B951" s="1" t="s">
        <v>8864</v>
      </c>
      <c r="C951" s="1">
        <v>94800000</v>
      </c>
      <c r="D951" s="1" t="s">
        <v>483</v>
      </c>
      <c r="E951">
        <v>68.550700000000006</v>
      </c>
      <c r="F951" s="1" t="s">
        <v>94</v>
      </c>
      <c r="G951">
        <v>71</v>
      </c>
      <c r="H951">
        <v>30</v>
      </c>
      <c r="I951" s="1" t="s">
        <v>130</v>
      </c>
      <c r="J951">
        <v>3</v>
      </c>
      <c r="K951" t="str">
        <f>IF(Tb_data[[#This Row],[previous_workers]]&lt;Tb_data[[#This Row],[workers]],"yes","no")</f>
        <v>yes</v>
      </c>
      <c r="L951">
        <f>Tb_data[[#This Row],[workers]]-Tb_data[[#This Row],[previous_workers]]</f>
        <v>41</v>
      </c>
      <c r="M951" s="12">
        <f>Tb_data[[#This Row],[Employees Growth]]/Tb_data[[#This Row],[previous_workers]]</f>
        <v>1.3666666666666667</v>
      </c>
    </row>
    <row r="952" spans="1:13" x14ac:dyDescent="0.25">
      <c r="A952" s="1" t="s">
        <v>5752</v>
      </c>
      <c r="B952" s="1" t="s">
        <v>5753</v>
      </c>
      <c r="C952" s="1">
        <v>6600000</v>
      </c>
      <c r="D952" s="1" t="s">
        <v>45</v>
      </c>
      <c r="E952">
        <v>132.58779999999999</v>
      </c>
      <c r="F952" s="1" t="s">
        <v>112</v>
      </c>
      <c r="G952">
        <v>15</v>
      </c>
      <c r="H952">
        <v>5</v>
      </c>
      <c r="I952" s="1" t="s">
        <v>164</v>
      </c>
      <c r="J952">
        <v>3</v>
      </c>
      <c r="K952" t="str">
        <f>IF(Tb_data[[#This Row],[previous_workers]]&lt;Tb_data[[#This Row],[workers]],"yes","no")</f>
        <v>yes</v>
      </c>
      <c r="L952">
        <f>Tb_data[[#This Row],[workers]]-Tb_data[[#This Row],[previous_workers]]</f>
        <v>10</v>
      </c>
      <c r="M952" s="12">
        <f>Tb_data[[#This Row],[Employees Growth]]/Tb_data[[#This Row],[previous_workers]]</f>
        <v>2</v>
      </c>
    </row>
    <row r="953" spans="1:13" x14ac:dyDescent="0.25">
      <c r="A953" s="1" t="s">
        <v>7631</v>
      </c>
      <c r="B953" s="1" t="s">
        <v>7632</v>
      </c>
      <c r="C953" s="1">
        <v>5800000</v>
      </c>
      <c r="D953" s="1" t="s">
        <v>129</v>
      </c>
      <c r="E953">
        <v>89.358699999999999</v>
      </c>
      <c r="F953" s="1" t="s">
        <v>97</v>
      </c>
      <c r="G953">
        <v>60</v>
      </c>
      <c r="H953">
        <v>30</v>
      </c>
      <c r="I953" s="1" t="s">
        <v>46</v>
      </c>
      <c r="J953">
        <v>2</v>
      </c>
      <c r="K953" t="str">
        <f>IF(Tb_data[[#This Row],[previous_workers]]&lt;Tb_data[[#This Row],[workers]],"yes","no")</f>
        <v>yes</v>
      </c>
      <c r="L953">
        <f>Tb_data[[#This Row],[workers]]-Tb_data[[#This Row],[previous_workers]]</f>
        <v>30</v>
      </c>
      <c r="M953" s="12">
        <f>Tb_data[[#This Row],[Employees Growth]]/Tb_data[[#This Row],[previous_workers]]</f>
        <v>1</v>
      </c>
    </row>
    <row r="954" spans="1:13" x14ac:dyDescent="0.25">
      <c r="A954" s="1" t="s">
        <v>1819</v>
      </c>
      <c r="B954" s="1" t="s">
        <v>1820</v>
      </c>
      <c r="C954" s="1">
        <v>44800000</v>
      </c>
      <c r="D954" s="1" t="s">
        <v>627</v>
      </c>
      <c r="E954">
        <v>495.94470000000001</v>
      </c>
      <c r="F954" s="1" t="s">
        <v>176</v>
      </c>
      <c r="G954">
        <v>34</v>
      </c>
      <c r="H954">
        <v>5</v>
      </c>
      <c r="I954" s="1" t="s">
        <v>130</v>
      </c>
      <c r="J954">
        <v>2</v>
      </c>
      <c r="K954" t="str">
        <f>IF(Tb_data[[#This Row],[previous_workers]]&lt;Tb_data[[#This Row],[workers]],"yes","no")</f>
        <v>yes</v>
      </c>
      <c r="L954">
        <f>Tb_data[[#This Row],[workers]]-Tb_data[[#This Row],[previous_workers]]</f>
        <v>29</v>
      </c>
      <c r="M954" s="12">
        <f>Tb_data[[#This Row],[Employees Growth]]/Tb_data[[#This Row],[previous_workers]]</f>
        <v>5.8</v>
      </c>
    </row>
    <row r="955" spans="1:13" x14ac:dyDescent="0.25">
      <c r="A955" s="1" t="s">
        <v>3233</v>
      </c>
      <c r="B955" s="1" t="s">
        <v>3926</v>
      </c>
      <c r="C955" s="1">
        <v>15100000</v>
      </c>
      <c r="D955" s="1" t="s">
        <v>179</v>
      </c>
      <c r="E955">
        <v>211.74770000000001</v>
      </c>
      <c r="F955" s="1" t="s">
        <v>86</v>
      </c>
      <c r="G955">
        <v>149</v>
      </c>
      <c r="H955">
        <v>52</v>
      </c>
      <c r="I955" s="1" t="s">
        <v>147</v>
      </c>
      <c r="J955">
        <v>4</v>
      </c>
      <c r="K955" t="str">
        <f>IF(Tb_data[[#This Row],[previous_workers]]&lt;Tb_data[[#This Row],[workers]],"yes","no")</f>
        <v>yes</v>
      </c>
      <c r="L955">
        <f>Tb_data[[#This Row],[workers]]-Tb_data[[#This Row],[previous_workers]]</f>
        <v>97</v>
      </c>
      <c r="M955" s="12">
        <f>Tb_data[[#This Row],[Employees Growth]]/Tb_data[[#This Row],[previous_workers]]</f>
        <v>1.8653846153846154</v>
      </c>
    </row>
    <row r="956" spans="1:13" x14ac:dyDescent="0.25">
      <c r="A956" s="1" t="s">
        <v>5174</v>
      </c>
      <c r="B956" s="1" t="s">
        <v>5175</v>
      </c>
      <c r="C956" s="1">
        <v>408000000</v>
      </c>
      <c r="D956" s="1" t="s">
        <v>422</v>
      </c>
      <c r="E956">
        <v>154.3741</v>
      </c>
      <c r="F956" s="1" t="s">
        <v>62</v>
      </c>
      <c r="G956">
        <v>570</v>
      </c>
      <c r="H956">
        <v>172</v>
      </c>
      <c r="I956" s="1" t="s">
        <v>295</v>
      </c>
      <c r="J956">
        <v>8</v>
      </c>
      <c r="K956" t="str">
        <f>IF(Tb_data[[#This Row],[previous_workers]]&lt;Tb_data[[#This Row],[workers]],"yes","no")</f>
        <v>yes</v>
      </c>
      <c r="L956">
        <f>Tb_data[[#This Row],[workers]]-Tb_data[[#This Row],[previous_workers]]</f>
        <v>398</v>
      </c>
      <c r="M956" s="12">
        <f>Tb_data[[#This Row],[Employees Growth]]/Tb_data[[#This Row],[previous_workers]]</f>
        <v>2.3139534883720931</v>
      </c>
    </row>
    <row r="957" spans="1:13" x14ac:dyDescent="0.25">
      <c r="A957" s="1" t="s">
        <v>7465</v>
      </c>
      <c r="B957" s="1" t="s">
        <v>7466</v>
      </c>
      <c r="C957" s="1">
        <v>33000000</v>
      </c>
      <c r="D957" s="1" t="s">
        <v>49</v>
      </c>
      <c r="E957">
        <v>94.032300000000006</v>
      </c>
      <c r="F957" s="1" t="s">
        <v>62</v>
      </c>
      <c r="G957">
        <v>42</v>
      </c>
      <c r="H957">
        <v>30</v>
      </c>
      <c r="I957" s="1" t="s">
        <v>1411</v>
      </c>
      <c r="J957">
        <v>1</v>
      </c>
      <c r="K957" t="str">
        <f>IF(Tb_data[[#This Row],[previous_workers]]&lt;Tb_data[[#This Row],[workers]],"yes","no")</f>
        <v>yes</v>
      </c>
      <c r="L957">
        <f>Tb_data[[#This Row],[workers]]-Tb_data[[#This Row],[previous_workers]]</f>
        <v>12</v>
      </c>
      <c r="M957" s="12">
        <f>Tb_data[[#This Row],[Employees Growth]]/Tb_data[[#This Row],[previous_workers]]</f>
        <v>0.4</v>
      </c>
    </row>
    <row r="958" spans="1:13" x14ac:dyDescent="0.25">
      <c r="A958" s="1" t="s">
        <v>10034</v>
      </c>
      <c r="B958" s="1" t="s">
        <v>10035</v>
      </c>
      <c r="C958" s="1">
        <v>4100000</v>
      </c>
      <c r="D958" s="1" t="s">
        <v>895</v>
      </c>
      <c r="E958">
        <v>52.9602</v>
      </c>
      <c r="F958" s="1" t="s">
        <v>86</v>
      </c>
      <c r="G958">
        <v>33</v>
      </c>
      <c r="H958">
        <v>15</v>
      </c>
      <c r="I958" s="1" t="s">
        <v>948</v>
      </c>
      <c r="J958">
        <v>1</v>
      </c>
      <c r="K958" t="str">
        <f>IF(Tb_data[[#This Row],[previous_workers]]&lt;Tb_data[[#This Row],[workers]],"yes","no")</f>
        <v>yes</v>
      </c>
      <c r="L958">
        <f>Tb_data[[#This Row],[workers]]-Tb_data[[#This Row],[previous_workers]]</f>
        <v>18</v>
      </c>
      <c r="M958" s="12">
        <f>Tb_data[[#This Row],[Employees Growth]]/Tb_data[[#This Row],[previous_workers]]</f>
        <v>1.2</v>
      </c>
    </row>
    <row r="959" spans="1:13" x14ac:dyDescent="0.25">
      <c r="A959" s="1" t="s">
        <v>4623</v>
      </c>
      <c r="B959" s="1" t="s">
        <v>4624</v>
      </c>
      <c r="C959" s="1">
        <v>22200000</v>
      </c>
      <c r="D959" s="1" t="s">
        <v>179</v>
      </c>
      <c r="E959">
        <v>177.14070000000001</v>
      </c>
      <c r="F959" s="1" t="s">
        <v>176</v>
      </c>
      <c r="G959">
        <v>104</v>
      </c>
      <c r="H959">
        <v>28</v>
      </c>
      <c r="I959" s="1" t="s">
        <v>55</v>
      </c>
      <c r="J959">
        <v>1</v>
      </c>
      <c r="K959" t="str">
        <f>IF(Tb_data[[#This Row],[previous_workers]]&lt;Tb_data[[#This Row],[workers]],"yes","no")</f>
        <v>yes</v>
      </c>
      <c r="L959">
        <f>Tb_data[[#This Row],[workers]]-Tb_data[[#This Row],[previous_workers]]</f>
        <v>76</v>
      </c>
      <c r="M959" s="12">
        <f>Tb_data[[#This Row],[Employees Growth]]/Tb_data[[#This Row],[previous_workers]]</f>
        <v>2.7142857142857144</v>
      </c>
    </row>
    <row r="960" spans="1:13" x14ac:dyDescent="0.25">
      <c r="A960" s="1" t="s">
        <v>2416</v>
      </c>
      <c r="B960" s="1" t="s">
        <v>2417</v>
      </c>
      <c r="C960" s="1">
        <v>4500000</v>
      </c>
      <c r="D960" s="1" t="s">
        <v>91</v>
      </c>
      <c r="E960">
        <v>360.32979999999998</v>
      </c>
      <c r="F960" s="1" t="s">
        <v>86</v>
      </c>
      <c r="G960">
        <v>50</v>
      </c>
      <c r="H960">
        <v>20</v>
      </c>
      <c r="I960" s="1" t="s">
        <v>130</v>
      </c>
      <c r="J960">
        <v>2</v>
      </c>
      <c r="K960" t="str">
        <f>IF(Tb_data[[#This Row],[previous_workers]]&lt;Tb_data[[#This Row],[workers]],"yes","no")</f>
        <v>yes</v>
      </c>
      <c r="L960">
        <f>Tb_data[[#This Row],[workers]]-Tb_data[[#This Row],[previous_workers]]</f>
        <v>30</v>
      </c>
      <c r="M960" s="12">
        <f>Tb_data[[#This Row],[Employees Growth]]/Tb_data[[#This Row],[previous_workers]]</f>
        <v>1.5</v>
      </c>
    </row>
    <row r="961" spans="1:13" x14ac:dyDescent="0.25">
      <c r="A961" s="1" t="s">
        <v>8231</v>
      </c>
      <c r="B961" s="1" t="s">
        <v>8232</v>
      </c>
      <c r="C961" s="1">
        <v>9900000</v>
      </c>
      <c r="D961" s="1" t="s">
        <v>254</v>
      </c>
      <c r="E961">
        <v>78.794499999999999</v>
      </c>
      <c r="F961" s="1" t="s">
        <v>156</v>
      </c>
      <c r="G961">
        <v>55</v>
      </c>
      <c r="H961">
        <v>33</v>
      </c>
      <c r="I961" s="1" t="s">
        <v>948</v>
      </c>
      <c r="J961">
        <v>5</v>
      </c>
      <c r="K961" t="str">
        <f>IF(Tb_data[[#This Row],[previous_workers]]&lt;Tb_data[[#This Row],[workers]],"yes","no")</f>
        <v>yes</v>
      </c>
      <c r="L961">
        <f>Tb_data[[#This Row],[workers]]-Tb_data[[#This Row],[previous_workers]]</f>
        <v>22</v>
      </c>
      <c r="M961" s="12">
        <f>Tb_data[[#This Row],[Employees Growth]]/Tb_data[[#This Row],[previous_workers]]</f>
        <v>0.66666666666666663</v>
      </c>
    </row>
    <row r="962" spans="1:13" x14ac:dyDescent="0.25">
      <c r="A962" s="1" t="s">
        <v>5684</v>
      </c>
      <c r="B962" s="1" t="s">
        <v>5685</v>
      </c>
      <c r="C962" s="1">
        <v>37000000</v>
      </c>
      <c r="D962" s="1" t="s">
        <v>69</v>
      </c>
      <c r="E962">
        <v>134.923</v>
      </c>
      <c r="F962" s="1" t="s">
        <v>86</v>
      </c>
      <c r="G962">
        <v>174</v>
      </c>
      <c r="H962">
        <v>120</v>
      </c>
      <c r="I962" s="1" t="s">
        <v>117</v>
      </c>
      <c r="J962">
        <v>5</v>
      </c>
      <c r="K962" t="str">
        <f>IF(Tb_data[[#This Row],[previous_workers]]&lt;Tb_data[[#This Row],[workers]],"yes","no")</f>
        <v>yes</v>
      </c>
      <c r="L962">
        <f>Tb_data[[#This Row],[workers]]-Tb_data[[#This Row],[previous_workers]]</f>
        <v>54</v>
      </c>
      <c r="M962" s="12">
        <f>Tb_data[[#This Row],[Employees Growth]]/Tb_data[[#This Row],[previous_workers]]</f>
        <v>0.45</v>
      </c>
    </row>
    <row r="963" spans="1:13" x14ac:dyDescent="0.25">
      <c r="A963" s="1" t="s">
        <v>974</v>
      </c>
      <c r="B963" s="1" t="s">
        <v>975</v>
      </c>
      <c r="C963" s="1">
        <v>94600000</v>
      </c>
      <c r="D963" s="1" t="s">
        <v>85</v>
      </c>
      <c r="E963">
        <v>1034.8425</v>
      </c>
      <c r="F963" s="1" t="s">
        <v>86</v>
      </c>
      <c r="G963">
        <v>96</v>
      </c>
      <c r="H963">
        <v>13</v>
      </c>
      <c r="I963" s="1" t="s">
        <v>26</v>
      </c>
      <c r="J963">
        <v>2</v>
      </c>
      <c r="K963" t="str">
        <f>IF(Tb_data[[#This Row],[previous_workers]]&lt;Tb_data[[#This Row],[workers]],"yes","no")</f>
        <v>yes</v>
      </c>
      <c r="L963">
        <f>Tb_data[[#This Row],[workers]]-Tb_data[[#This Row],[previous_workers]]</f>
        <v>83</v>
      </c>
      <c r="M963" s="12">
        <f>Tb_data[[#This Row],[Employees Growth]]/Tb_data[[#This Row],[previous_workers]]</f>
        <v>6.384615384615385</v>
      </c>
    </row>
    <row r="964" spans="1:13" x14ac:dyDescent="0.25">
      <c r="A964" s="1" t="s">
        <v>9417</v>
      </c>
      <c r="B964" s="1" t="s">
        <v>9418</v>
      </c>
      <c r="C964" s="1">
        <v>45800000</v>
      </c>
      <c r="D964" s="1" t="s">
        <v>1002</v>
      </c>
      <c r="E964">
        <v>61.298099999999998</v>
      </c>
      <c r="F964" s="1" t="s">
        <v>25</v>
      </c>
      <c r="G964">
        <v>173</v>
      </c>
      <c r="H964">
        <v>145</v>
      </c>
      <c r="I964" s="1" t="s">
        <v>295</v>
      </c>
      <c r="J964">
        <v>10</v>
      </c>
      <c r="K964" t="str">
        <f>IF(Tb_data[[#This Row],[previous_workers]]&lt;Tb_data[[#This Row],[workers]],"yes","no")</f>
        <v>yes</v>
      </c>
      <c r="L964">
        <f>Tb_data[[#This Row],[workers]]-Tb_data[[#This Row],[previous_workers]]</f>
        <v>28</v>
      </c>
      <c r="M964" s="12">
        <f>Tb_data[[#This Row],[Employees Growth]]/Tb_data[[#This Row],[previous_workers]]</f>
        <v>0.19310344827586207</v>
      </c>
    </row>
    <row r="965" spans="1:13" x14ac:dyDescent="0.25">
      <c r="A965" s="1" t="s">
        <v>4689</v>
      </c>
      <c r="B965" s="1" t="s">
        <v>4690</v>
      </c>
      <c r="C965" s="1">
        <v>21700000</v>
      </c>
      <c r="D965" s="1" t="s">
        <v>69</v>
      </c>
      <c r="E965">
        <v>174.85560000000001</v>
      </c>
      <c r="F965" s="1" t="s">
        <v>12</v>
      </c>
      <c r="G965">
        <v>83</v>
      </c>
      <c r="H965">
        <v>25</v>
      </c>
      <c r="I965" s="1" t="s">
        <v>372</v>
      </c>
      <c r="J965">
        <v>8</v>
      </c>
      <c r="K965" t="str">
        <f>IF(Tb_data[[#This Row],[previous_workers]]&lt;Tb_data[[#This Row],[workers]],"yes","no")</f>
        <v>yes</v>
      </c>
      <c r="L965">
        <f>Tb_data[[#This Row],[workers]]-Tb_data[[#This Row],[previous_workers]]</f>
        <v>58</v>
      </c>
      <c r="M965" s="12">
        <f>Tb_data[[#This Row],[Employees Growth]]/Tb_data[[#This Row],[previous_workers]]</f>
        <v>2.3199999999999998</v>
      </c>
    </row>
    <row r="966" spans="1:13" x14ac:dyDescent="0.25">
      <c r="A966" s="1" t="s">
        <v>7391</v>
      </c>
      <c r="B966" s="1" t="s">
        <v>7392</v>
      </c>
      <c r="C966" s="1">
        <v>2000000</v>
      </c>
      <c r="D966" s="1" t="s">
        <v>115</v>
      </c>
      <c r="E966">
        <v>95.425799999999995</v>
      </c>
      <c r="F966" s="1" t="s">
        <v>176</v>
      </c>
      <c r="G966">
        <v>11</v>
      </c>
      <c r="H966">
        <v>8</v>
      </c>
      <c r="I966" s="1" t="s">
        <v>147</v>
      </c>
      <c r="J966">
        <v>1</v>
      </c>
      <c r="K966" t="str">
        <f>IF(Tb_data[[#This Row],[previous_workers]]&lt;Tb_data[[#This Row],[workers]],"yes","no")</f>
        <v>yes</v>
      </c>
      <c r="L966">
        <f>Tb_data[[#This Row],[workers]]-Tb_data[[#This Row],[previous_workers]]</f>
        <v>3</v>
      </c>
      <c r="M966" s="12">
        <f>Tb_data[[#This Row],[Employees Growth]]/Tb_data[[#This Row],[previous_workers]]</f>
        <v>0.375</v>
      </c>
    </row>
    <row r="967" spans="1:13" x14ac:dyDescent="0.25">
      <c r="A967" s="1" t="s">
        <v>1927</v>
      </c>
      <c r="B967" s="1" t="s">
        <v>1928</v>
      </c>
      <c r="C967" s="1">
        <v>3000000</v>
      </c>
      <c r="D967" s="1" t="s">
        <v>38</v>
      </c>
      <c r="E967">
        <v>466.74369999999999</v>
      </c>
      <c r="F967" s="1" t="s">
        <v>135</v>
      </c>
      <c r="G967">
        <v>36</v>
      </c>
      <c r="H967">
        <v>15</v>
      </c>
      <c r="I967" s="1" t="s">
        <v>130</v>
      </c>
      <c r="J967">
        <v>2</v>
      </c>
      <c r="K967" t="str">
        <f>IF(Tb_data[[#This Row],[previous_workers]]&lt;Tb_data[[#This Row],[workers]],"yes","no")</f>
        <v>yes</v>
      </c>
      <c r="L967">
        <f>Tb_data[[#This Row],[workers]]-Tb_data[[#This Row],[previous_workers]]</f>
        <v>21</v>
      </c>
      <c r="M967" s="12">
        <f>Tb_data[[#This Row],[Employees Growth]]/Tb_data[[#This Row],[previous_workers]]</f>
        <v>1.4</v>
      </c>
    </row>
    <row r="968" spans="1:13" x14ac:dyDescent="0.25">
      <c r="A968" s="1" t="s">
        <v>8003</v>
      </c>
      <c r="B968" s="1" t="s">
        <v>8004</v>
      </c>
      <c r="C968" s="1">
        <v>23500000</v>
      </c>
      <c r="D968" s="1" t="s">
        <v>61</v>
      </c>
      <c r="E968">
        <v>82.684799999999996</v>
      </c>
      <c r="F968" s="1" t="s">
        <v>34</v>
      </c>
      <c r="G968">
        <v>51</v>
      </c>
      <c r="H968">
        <v>20</v>
      </c>
      <c r="I968" s="1" t="s">
        <v>130</v>
      </c>
      <c r="J968">
        <v>2</v>
      </c>
      <c r="K968" t="str">
        <f>IF(Tb_data[[#This Row],[previous_workers]]&lt;Tb_data[[#This Row],[workers]],"yes","no")</f>
        <v>yes</v>
      </c>
      <c r="L968">
        <f>Tb_data[[#This Row],[workers]]-Tb_data[[#This Row],[previous_workers]]</f>
        <v>31</v>
      </c>
      <c r="M968" s="12">
        <f>Tb_data[[#This Row],[Employees Growth]]/Tb_data[[#This Row],[previous_workers]]</f>
        <v>1.55</v>
      </c>
    </row>
    <row r="969" spans="1:13" x14ac:dyDescent="0.25">
      <c r="A969" s="1" t="s">
        <v>6938</v>
      </c>
      <c r="B969" s="1" t="s">
        <v>6939</v>
      </c>
      <c r="C969" s="1">
        <v>14900000</v>
      </c>
      <c r="D969" s="1" t="s">
        <v>179</v>
      </c>
      <c r="E969">
        <v>103.0705</v>
      </c>
      <c r="F969" s="1" t="s">
        <v>161</v>
      </c>
      <c r="G969">
        <v>170</v>
      </c>
      <c r="H969">
        <v>100</v>
      </c>
      <c r="I969" s="1" t="s">
        <v>229</v>
      </c>
      <c r="J969">
        <v>2</v>
      </c>
      <c r="K969" t="str">
        <f>IF(Tb_data[[#This Row],[previous_workers]]&lt;Tb_data[[#This Row],[workers]],"yes","no")</f>
        <v>yes</v>
      </c>
      <c r="L969">
        <f>Tb_data[[#This Row],[workers]]-Tb_data[[#This Row],[previous_workers]]</f>
        <v>70</v>
      </c>
      <c r="M969" s="12">
        <f>Tb_data[[#This Row],[Employees Growth]]/Tb_data[[#This Row],[previous_workers]]</f>
        <v>0.7</v>
      </c>
    </row>
    <row r="970" spans="1:13" x14ac:dyDescent="0.25">
      <c r="A970" s="1" t="s">
        <v>563</v>
      </c>
      <c r="B970" s="1" t="s">
        <v>564</v>
      </c>
      <c r="C970" s="1">
        <v>3600000</v>
      </c>
      <c r="D970" s="1" t="s">
        <v>49</v>
      </c>
      <c r="E970">
        <v>1775.3905</v>
      </c>
      <c r="F970" s="1" t="s">
        <v>86</v>
      </c>
      <c r="G970">
        <v>25</v>
      </c>
      <c r="H970">
        <v>3</v>
      </c>
      <c r="I970" s="1" t="s">
        <v>26</v>
      </c>
      <c r="J970">
        <v>1</v>
      </c>
      <c r="K970" t="str">
        <f>IF(Tb_data[[#This Row],[previous_workers]]&lt;Tb_data[[#This Row],[workers]],"yes","no")</f>
        <v>yes</v>
      </c>
      <c r="L970">
        <f>Tb_data[[#This Row],[workers]]-Tb_data[[#This Row],[previous_workers]]</f>
        <v>22</v>
      </c>
      <c r="M970" s="12">
        <f>Tb_data[[#This Row],[Employees Growth]]/Tb_data[[#This Row],[previous_workers]]</f>
        <v>7.333333333333333</v>
      </c>
    </row>
    <row r="971" spans="1:13" x14ac:dyDescent="0.25">
      <c r="A971" s="1" t="s">
        <v>2901</v>
      </c>
      <c r="B971" s="1" t="s">
        <v>2902</v>
      </c>
      <c r="C971" s="1">
        <v>2300000</v>
      </c>
      <c r="D971" s="1" t="s">
        <v>61</v>
      </c>
      <c r="E971">
        <v>298.0068</v>
      </c>
      <c r="F971" s="1" t="s">
        <v>176</v>
      </c>
      <c r="G971">
        <v>28</v>
      </c>
      <c r="H971">
        <v>8</v>
      </c>
      <c r="I971" s="1" t="s">
        <v>26</v>
      </c>
      <c r="J971">
        <v>1</v>
      </c>
      <c r="K971" t="str">
        <f>IF(Tb_data[[#This Row],[previous_workers]]&lt;Tb_data[[#This Row],[workers]],"yes","no")</f>
        <v>yes</v>
      </c>
      <c r="L971">
        <f>Tb_data[[#This Row],[workers]]-Tb_data[[#This Row],[previous_workers]]</f>
        <v>20</v>
      </c>
      <c r="M971" s="12">
        <f>Tb_data[[#This Row],[Employees Growth]]/Tb_data[[#This Row],[previous_workers]]</f>
        <v>2.5</v>
      </c>
    </row>
    <row r="972" spans="1:13" x14ac:dyDescent="0.25">
      <c r="A972" s="1" t="s">
        <v>6529</v>
      </c>
      <c r="B972" s="1" t="s">
        <v>6530</v>
      </c>
      <c r="C972" s="1">
        <v>15000000</v>
      </c>
      <c r="D972" s="1" t="s">
        <v>129</v>
      </c>
      <c r="E972">
        <v>113.07559999999999</v>
      </c>
      <c r="F972" s="1" t="s">
        <v>124</v>
      </c>
      <c r="G972">
        <v>110</v>
      </c>
      <c r="H972">
        <v>60</v>
      </c>
      <c r="I972" s="1" t="s">
        <v>35</v>
      </c>
      <c r="J972">
        <v>3</v>
      </c>
      <c r="K972" t="str">
        <f>IF(Tb_data[[#This Row],[previous_workers]]&lt;Tb_data[[#This Row],[workers]],"yes","no")</f>
        <v>yes</v>
      </c>
      <c r="L972">
        <f>Tb_data[[#This Row],[workers]]-Tb_data[[#This Row],[previous_workers]]</f>
        <v>50</v>
      </c>
      <c r="M972" s="12">
        <f>Tb_data[[#This Row],[Employees Growth]]/Tb_data[[#This Row],[previous_workers]]</f>
        <v>0.83333333333333337</v>
      </c>
    </row>
    <row r="973" spans="1:13" x14ac:dyDescent="0.25">
      <c r="A973" s="1" t="s">
        <v>8287</v>
      </c>
      <c r="B973" s="1" t="s">
        <v>8288</v>
      </c>
      <c r="C973" s="1">
        <v>7800000</v>
      </c>
      <c r="D973" s="1" t="s">
        <v>115</v>
      </c>
      <c r="E973">
        <v>77.854799999999997</v>
      </c>
      <c r="F973" s="1" t="s">
        <v>156</v>
      </c>
      <c r="G973">
        <v>68</v>
      </c>
      <c r="H973">
        <v>33</v>
      </c>
      <c r="I973" s="1" t="s">
        <v>117</v>
      </c>
      <c r="J973">
        <v>6</v>
      </c>
      <c r="K973" t="str">
        <f>IF(Tb_data[[#This Row],[previous_workers]]&lt;Tb_data[[#This Row],[workers]],"yes","no")</f>
        <v>yes</v>
      </c>
      <c r="L973">
        <f>Tb_data[[#This Row],[workers]]-Tb_data[[#This Row],[previous_workers]]</f>
        <v>35</v>
      </c>
      <c r="M973" s="12">
        <f>Tb_data[[#This Row],[Employees Growth]]/Tb_data[[#This Row],[previous_workers]]</f>
        <v>1.0606060606060606</v>
      </c>
    </row>
    <row r="974" spans="1:13" x14ac:dyDescent="0.25">
      <c r="A974" s="1" t="s">
        <v>2464</v>
      </c>
      <c r="B974" s="1" t="s">
        <v>2465</v>
      </c>
      <c r="C974" s="1">
        <v>13100000</v>
      </c>
      <c r="D974" s="1" t="s">
        <v>254</v>
      </c>
      <c r="E974">
        <v>352.89109999999999</v>
      </c>
      <c r="F974" s="1" t="s">
        <v>135</v>
      </c>
      <c r="G974">
        <v>48</v>
      </c>
      <c r="H974">
        <v>16</v>
      </c>
      <c r="I974" s="1" t="s">
        <v>117</v>
      </c>
      <c r="J974">
        <v>5</v>
      </c>
      <c r="K974" t="str">
        <f>IF(Tb_data[[#This Row],[previous_workers]]&lt;Tb_data[[#This Row],[workers]],"yes","no")</f>
        <v>yes</v>
      </c>
      <c r="L974">
        <f>Tb_data[[#This Row],[workers]]-Tb_data[[#This Row],[previous_workers]]</f>
        <v>32</v>
      </c>
      <c r="M974" s="12">
        <f>Tb_data[[#This Row],[Employees Growth]]/Tb_data[[#This Row],[previous_workers]]</f>
        <v>2</v>
      </c>
    </row>
    <row r="975" spans="1:13" x14ac:dyDescent="0.25">
      <c r="A975" s="1" t="s">
        <v>735</v>
      </c>
      <c r="B975" s="1" t="s">
        <v>736</v>
      </c>
      <c r="C975" s="1">
        <v>8200000</v>
      </c>
      <c r="D975" s="1" t="s">
        <v>49</v>
      </c>
      <c r="E975">
        <v>1426.4898000000001</v>
      </c>
      <c r="F975" s="1" t="s">
        <v>86</v>
      </c>
      <c r="G975">
        <v>203</v>
      </c>
      <c r="H975">
        <v>52</v>
      </c>
      <c r="I975" s="1" t="s">
        <v>130</v>
      </c>
      <c r="J975">
        <v>2</v>
      </c>
      <c r="K975" t="str">
        <f>IF(Tb_data[[#This Row],[previous_workers]]&lt;Tb_data[[#This Row],[workers]],"yes","no")</f>
        <v>yes</v>
      </c>
      <c r="L975">
        <f>Tb_data[[#This Row],[workers]]-Tb_data[[#This Row],[previous_workers]]</f>
        <v>151</v>
      </c>
      <c r="M975" s="12">
        <f>Tb_data[[#This Row],[Employees Growth]]/Tb_data[[#This Row],[previous_workers]]</f>
        <v>2.9038461538461537</v>
      </c>
    </row>
    <row r="976" spans="1:13" x14ac:dyDescent="0.25">
      <c r="A976" s="1" t="s">
        <v>2112</v>
      </c>
      <c r="B976" s="1" t="s">
        <v>2113</v>
      </c>
      <c r="C976" s="1">
        <v>4100000</v>
      </c>
      <c r="D976" s="1" t="s">
        <v>33</v>
      </c>
      <c r="E976">
        <v>423.58150000000001</v>
      </c>
      <c r="F976" s="1" t="s">
        <v>156</v>
      </c>
      <c r="G976">
        <v>42</v>
      </c>
      <c r="H976">
        <v>6</v>
      </c>
      <c r="I976" s="1" t="s">
        <v>26</v>
      </c>
      <c r="J976">
        <v>1</v>
      </c>
      <c r="K976" t="str">
        <f>IF(Tb_data[[#This Row],[previous_workers]]&lt;Tb_data[[#This Row],[workers]],"yes","no")</f>
        <v>yes</v>
      </c>
      <c r="L976">
        <f>Tb_data[[#This Row],[workers]]-Tb_data[[#This Row],[previous_workers]]</f>
        <v>36</v>
      </c>
      <c r="M976" s="12">
        <f>Tb_data[[#This Row],[Employees Growth]]/Tb_data[[#This Row],[previous_workers]]</f>
        <v>6</v>
      </c>
    </row>
    <row r="977" spans="1:13" x14ac:dyDescent="0.25">
      <c r="A977" s="1" t="s">
        <v>1290</v>
      </c>
      <c r="B977" s="1" t="s">
        <v>1291</v>
      </c>
      <c r="C977" s="1">
        <v>5300000</v>
      </c>
      <c r="D977" s="1" t="s">
        <v>11</v>
      </c>
      <c r="E977">
        <v>746.88660000000004</v>
      </c>
      <c r="F977" s="1" t="s">
        <v>156</v>
      </c>
      <c r="G977">
        <v>45</v>
      </c>
      <c r="H977">
        <v>5</v>
      </c>
      <c r="I977" s="1" t="s">
        <v>13</v>
      </c>
      <c r="J977">
        <v>1</v>
      </c>
      <c r="K977" t="str">
        <f>IF(Tb_data[[#This Row],[previous_workers]]&lt;Tb_data[[#This Row],[workers]],"yes","no")</f>
        <v>yes</v>
      </c>
      <c r="L977">
        <f>Tb_data[[#This Row],[workers]]-Tb_data[[#This Row],[previous_workers]]</f>
        <v>40</v>
      </c>
      <c r="M977" s="12">
        <f>Tb_data[[#This Row],[Employees Growth]]/Tb_data[[#This Row],[previous_workers]]</f>
        <v>8</v>
      </c>
    </row>
    <row r="978" spans="1:13" x14ac:dyDescent="0.25">
      <c r="A978" s="1" t="s">
        <v>6743</v>
      </c>
      <c r="B978" s="1" t="s">
        <v>6744</v>
      </c>
      <c r="C978" s="1">
        <v>2700000</v>
      </c>
      <c r="D978" s="1" t="s">
        <v>49</v>
      </c>
      <c r="E978">
        <v>107.89790000000001</v>
      </c>
      <c r="F978" s="1" t="s">
        <v>86</v>
      </c>
      <c r="G978">
        <v>12</v>
      </c>
      <c r="H978">
        <v>10</v>
      </c>
      <c r="I978" s="1" t="s">
        <v>130</v>
      </c>
      <c r="J978">
        <v>2</v>
      </c>
      <c r="K978" t="str">
        <f>IF(Tb_data[[#This Row],[previous_workers]]&lt;Tb_data[[#This Row],[workers]],"yes","no")</f>
        <v>yes</v>
      </c>
      <c r="L978">
        <f>Tb_data[[#This Row],[workers]]-Tb_data[[#This Row],[previous_workers]]</f>
        <v>2</v>
      </c>
      <c r="M978" s="12">
        <f>Tb_data[[#This Row],[Employees Growth]]/Tb_data[[#This Row],[previous_workers]]</f>
        <v>0.2</v>
      </c>
    </row>
    <row r="979" spans="1:13" x14ac:dyDescent="0.25">
      <c r="A979" s="1" t="s">
        <v>4439</v>
      </c>
      <c r="B979" s="1" t="s">
        <v>4440</v>
      </c>
      <c r="C979" s="1">
        <v>34500000</v>
      </c>
      <c r="D979" s="1" t="s">
        <v>29</v>
      </c>
      <c r="E979">
        <v>185.31530000000001</v>
      </c>
      <c r="F979" s="1" t="s">
        <v>156</v>
      </c>
      <c r="G979">
        <v>44</v>
      </c>
      <c r="H979">
        <v>24</v>
      </c>
      <c r="I979" s="1" t="s">
        <v>55</v>
      </c>
      <c r="J979">
        <v>3</v>
      </c>
      <c r="K979" t="str">
        <f>IF(Tb_data[[#This Row],[previous_workers]]&lt;Tb_data[[#This Row],[workers]],"yes","no")</f>
        <v>yes</v>
      </c>
      <c r="L979">
        <f>Tb_data[[#This Row],[workers]]-Tb_data[[#This Row],[previous_workers]]</f>
        <v>20</v>
      </c>
      <c r="M979" s="12">
        <f>Tb_data[[#This Row],[Employees Growth]]/Tb_data[[#This Row],[previous_workers]]</f>
        <v>0.83333333333333337</v>
      </c>
    </row>
    <row r="980" spans="1:13" x14ac:dyDescent="0.25">
      <c r="A980" s="1" t="s">
        <v>4633</v>
      </c>
      <c r="B980" s="1" t="s">
        <v>4634</v>
      </c>
      <c r="C980" s="1">
        <v>2100000</v>
      </c>
      <c r="D980" s="1" t="s">
        <v>52</v>
      </c>
      <c r="E980">
        <v>176.3836</v>
      </c>
      <c r="F980" s="1" t="s">
        <v>176</v>
      </c>
      <c r="G980">
        <v>3</v>
      </c>
      <c r="H980">
        <v>1</v>
      </c>
      <c r="I980" s="1" t="s">
        <v>130</v>
      </c>
      <c r="J980">
        <v>1</v>
      </c>
      <c r="K980" t="str">
        <f>IF(Tb_data[[#This Row],[previous_workers]]&lt;Tb_data[[#This Row],[workers]],"yes","no")</f>
        <v>yes</v>
      </c>
      <c r="L980">
        <f>Tb_data[[#This Row],[workers]]-Tb_data[[#This Row],[previous_workers]]</f>
        <v>2</v>
      </c>
      <c r="M980" s="12">
        <f>Tb_data[[#This Row],[Employees Growth]]/Tb_data[[#This Row],[previous_workers]]</f>
        <v>2</v>
      </c>
    </row>
    <row r="981" spans="1:13" x14ac:dyDescent="0.25">
      <c r="A981" s="1" t="s">
        <v>1694</v>
      </c>
      <c r="B981" s="1" t="s">
        <v>1695</v>
      </c>
      <c r="C981" s="1">
        <v>11000000</v>
      </c>
      <c r="D981" s="1" t="s">
        <v>69</v>
      </c>
      <c r="E981">
        <v>540.57860000000005</v>
      </c>
      <c r="F981" s="1" t="s">
        <v>135</v>
      </c>
      <c r="G981">
        <v>110</v>
      </c>
      <c r="H981">
        <v>40</v>
      </c>
      <c r="I981" s="1" t="s">
        <v>55</v>
      </c>
      <c r="J981">
        <v>2</v>
      </c>
      <c r="K981" t="str">
        <f>IF(Tb_data[[#This Row],[previous_workers]]&lt;Tb_data[[#This Row],[workers]],"yes","no")</f>
        <v>yes</v>
      </c>
      <c r="L981">
        <f>Tb_data[[#This Row],[workers]]-Tb_data[[#This Row],[previous_workers]]</f>
        <v>70</v>
      </c>
      <c r="M981" s="12">
        <f>Tb_data[[#This Row],[Employees Growth]]/Tb_data[[#This Row],[previous_workers]]</f>
        <v>1.75</v>
      </c>
    </row>
    <row r="982" spans="1:13" x14ac:dyDescent="0.25">
      <c r="A982" s="1" t="s">
        <v>4131</v>
      </c>
      <c r="B982" s="1" t="s">
        <v>4132</v>
      </c>
      <c r="C982" s="1">
        <v>13000000</v>
      </c>
      <c r="D982" s="1" t="s">
        <v>61</v>
      </c>
      <c r="E982">
        <v>198.57830000000001</v>
      </c>
      <c r="F982" s="1" t="s">
        <v>156</v>
      </c>
      <c r="G982">
        <v>7</v>
      </c>
      <c r="H982">
        <v>8</v>
      </c>
      <c r="I982" s="1" t="s">
        <v>130</v>
      </c>
      <c r="J982">
        <v>4</v>
      </c>
      <c r="K982" t="str">
        <f>IF(Tb_data[[#This Row],[previous_workers]]&lt;Tb_data[[#This Row],[workers]],"yes","no")</f>
        <v>no</v>
      </c>
      <c r="L982">
        <f>Tb_data[[#This Row],[workers]]-Tb_data[[#This Row],[previous_workers]]</f>
        <v>-1</v>
      </c>
      <c r="M982" s="12">
        <f>Tb_data[[#This Row],[Employees Growth]]/Tb_data[[#This Row],[previous_workers]]</f>
        <v>-0.125</v>
      </c>
    </row>
    <row r="983" spans="1:13" x14ac:dyDescent="0.25">
      <c r="A983" s="1" t="s">
        <v>3303</v>
      </c>
      <c r="B983" s="1" t="s">
        <v>3304</v>
      </c>
      <c r="C983" s="1">
        <v>7400000</v>
      </c>
      <c r="D983" s="1" t="s">
        <v>58</v>
      </c>
      <c r="E983">
        <v>258.37619999999998</v>
      </c>
      <c r="F983" s="1" t="s">
        <v>156</v>
      </c>
      <c r="G983">
        <v>11</v>
      </c>
      <c r="H983">
        <v>4</v>
      </c>
      <c r="I983" s="1" t="s">
        <v>164</v>
      </c>
      <c r="J983">
        <v>1</v>
      </c>
      <c r="K983" t="str">
        <f>IF(Tb_data[[#This Row],[previous_workers]]&lt;Tb_data[[#This Row],[workers]],"yes","no")</f>
        <v>yes</v>
      </c>
      <c r="L983">
        <f>Tb_data[[#This Row],[workers]]-Tb_data[[#This Row],[previous_workers]]</f>
        <v>7</v>
      </c>
      <c r="M983" s="12">
        <f>Tb_data[[#This Row],[Employees Growth]]/Tb_data[[#This Row],[previous_workers]]</f>
        <v>1.75</v>
      </c>
    </row>
    <row r="984" spans="1:13" x14ac:dyDescent="0.25">
      <c r="A984" s="1" t="s">
        <v>9750</v>
      </c>
      <c r="B984" s="1" t="s">
        <v>9751</v>
      </c>
      <c r="C984" s="1">
        <v>2100000</v>
      </c>
      <c r="D984" s="1" t="s">
        <v>69</v>
      </c>
      <c r="E984">
        <v>57.360300000000002</v>
      </c>
      <c r="F984" s="1" t="s">
        <v>3264</v>
      </c>
      <c r="G984">
        <v>10</v>
      </c>
      <c r="H984">
        <v>6</v>
      </c>
      <c r="I984" s="1" t="s">
        <v>46</v>
      </c>
      <c r="J984">
        <v>1</v>
      </c>
      <c r="K984" t="str">
        <f>IF(Tb_data[[#This Row],[previous_workers]]&lt;Tb_data[[#This Row],[workers]],"yes","no")</f>
        <v>yes</v>
      </c>
      <c r="L984">
        <f>Tb_data[[#This Row],[workers]]-Tb_data[[#This Row],[previous_workers]]</f>
        <v>4</v>
      </c>
      <c r="M984" s="12">
        <f>Tb_data[[#This Row],[Employees Growth]]/Tb_data[[#This Row],[previous_workers]]</f>
        <v>0.66666666666666663</v>
      </c>
    </row>
    <row r="985" spans="1:13" x14ac:dyDescent="0.25">
      <c r="A985" s="1" t="s">
        <v>1651</v>
      </c>
      <c r="B985" s="1" t="s">
        <v>1652</v>
      </c>
      <c r="C985" s="1">
        <v>8100000</v>
      </c>
      <c r="D985" s="1" t="s">
        <v>483</v>
      </c>
      <c r="E985">
        <v>559.31219999999996</v>
      </c>
      <c r="F985" s="1" t="s">
        <v>12</v>
      </c>
      <c r="G985">
        <v>49</v>
      </c>
      <c r="H985">
        <v>5</v>
      </c>
      <c r="I985" s="1" t="s">
        <v>55</v>
      </c>
      <c r="J985">
        <v>2</v>
      </c>
      <c r="K985" t="str">
        <f>IF(Tb_data[[#This Row],[previous_workers]]&lt;Tb_data[[#This Row],[workers]],"yes","no")</f>
        <v>yes</v>
      </c>
      <c r="L985">
        <f>Tb_data[[#This Row],[workers]]-Tb_data[[#This Row],[previous_workers]]</f>
        <v>44</v>
      </c>
      <c r="M985" s="12">
        <f>Tb_data[[#This Row],[Employees Growth]]/Tb_data[[#This Row],[previous_workers]]</f>
        <v>8.8000000000000007</v>
      </c>
    </row>
    <row r="986" spans="1:13" x14ac:dyDescent="0.25">
      <c r="A986" s="1" t="s">
        <v>5154</v>
      </c>
      <c r="B986" s="1" t="s">
        <v>5155</v>
      </c>
      <c r="C986" s="1">
        <v>14200000</v>
      </c>
      <c r="D986" s="1" t="s">
        <v>29</v>
      </c>
      <c r="E986">
        <v>155.3289</v>
      </c>
      <c r="F986" s="1" t="s">
        <v>86</v>
      </c>
      <c r="G986">
        <v>50</v>
      </c>
      <c r="H986">
        <v>48</v>
      </c>
      <c r="I986" s="1" t="s">
        <v>130</v>
      </c>
      <c r="J986">
        <v>3</v>
      </c>
      <c r="K986" t="str">
        <f>IF(Tb_data[[#This Row],[previous_workers]]&lt;Tb_data[[#This Row],[workers]],"yes","no")</f>
        <v>yes</v>
      </c>
      <c r="L986">
        <f>Tb_data[[#This Row],[workers]]-Tb_data[[#This Row],[previous_workers]]</f>
        <v>2</v>
      </c>
      <c r="M986" s="12">
        <f>Tb_data[[#This Row],[Employees Growth]]/Tb_data[[#This Row],[previous_workers]]</f>
        <v>4.1666666666666664E-2</v>
      </c>
    </row>
    <row r="987" spans="1:13" x14ac:dyDescent="0.25">
      <c r="A987" s="1" t="s">
        <v>7405</v>
      </c>
      <c r="B987" s="1" t="s">
        <v>7406</v>
      </c>
      <c r="C987" s="1">
        <v>14700000</v>
      </c>
      <c r="D987" s="1" t="s">
        <v>1002</v>
      </c>
      <c r="E987">
        <v>95.207999999999998</v>
      </c>
      <c r="F987" s="1" t="s">
        <v>514</v>
      </c>
      <c r="G987">
        <v>53</v>
      </c>
      <c r="H987">
        <v>54</v>
      </c>
      <c r="I987" s="1" t="s">
        <v>4050</v>
      </c>
      <c r="J987">
        <v>1</v>
      </c>
      <c r="K987" t="str">
        <f>IF(Tb_data[[#This Row],[previous_workers]]&lt;Tb_data[[#This Row],[workers]],"yes","no")</f>
        <v>no</v>
      </c>
      <c r="L987">
        <f>Tb_data[[#This Row],[workers]]-Tb_data[[#This Row],[previous_workers]]</f>
        <v>-1</v>
      </c>
      <c r="M987" s="12">
        <f>Tb_data[[#This Row],[Employees Growth]]/Tb_data[[#This Row],[previous_workers]]</f>
        <v>-1.8518518518518517E-2</v>
      </c>
    </row>
    <row r="988" spans="1:13" x14ac:dyDescent="0.25">
      <c r="A988" s="1" t="s">
        <v>1614</v>
      </c>
      <c r="B988" s="1" t="s">
        <v>1615</v>
      </c>
      <c r="C988" s="1">
        <v>2300000</v>
      </c>
      <c r="D988" s="1" t="s">
        <v>427</v>
      </c>
      <c r="E988">
        <v>578.4348</v>
      </c>
      <c r="F988" s="1" t="s">
        <v>62</v>
      </c>
      <c r="G988">
        <v>35</v>
      </c>
      <c r="H988">
        <v>4</v>
      </c>
      <c r="I988" s="1" t="s">
        <v>26</v>
      </c>
      <c r="J988">
        <v>1</v>
      </c>
      <c r="K988" t="str">
        <f>IF(Tb_data[[#This Row],[previous_workers]]&lt;Tb_data[[#This Row],[workers]],"yes","no")</f>
        <v>yes</v>
      </c>
      <c r="L988">
        <f>Tb_data[[#This Row],[workers]]-Tb_data[[#This Row],[previous_workers]]</f>
        <v>31</v>
      </c>
      <c r="M988" s="12">
        <f>Tb_data[[#This Row],[Employees Growth]]/Tb_data[[#This Row],[previous_workers]]</f>
        <v>7.75</v>
      </c>
    </row>
    <row r="989" spans="1:13" x14ac:dyDescent="0.25">
      <c r="A989" s="1" t="s">
        <v>545</v>
      </c>
      <c r="B989" s="1" t="s">
        <v>546</v>
      </c>
      <c r="C989" s="1">
        <v>2600000</v>
      </c>
      <c r="D989" s="1" t="s">
        <v>422</v>
      </c>
      <c r="E989">
        <v>1802.2541000000001</v>
      </c>
      <c r="F989" s="1" t="s">
        <v>124</v>
      </c>
      <c r="G989">
        <v>5</v>
      </c>
      <c r="H989">
        <v>1</v>
      </c>
      <c r="I989" s="1" t="s">
        <v>130</v>
      </c>
      <c r="J989">
        <v>1</v>
      </c>
      <c r="K989" t="str">
        <f>IF(Tb_data[[#This Row],[previous_workers]]&lt;Tb_data[[#This Row],[workers]],"yes","no")</f>
        <v>yes</v>
      </c>
      <c r="L989">
        <f>Tb_data[[#This Row],[workers]]-Tb_data[[#This Row],[previous_workers]]</f>
        <v>4</v>
      </c>
      <c r="M989" s="12">
        <f>Tb_data[[#This Row],[Employees Growth]]/Tb_data[[#This Row],[previous_workers]]</f>
        <v>4</v>
      </c>
    </row>
    <row r="990" spans="1:13" x14ac:dyDescent="0.25">
      <c r="A990" s="1" t="s">
        <v>7859</v>
      </c>
      <c r="B990" s="1" t="s">
        <v>7860</v>
      </c>
      <c r="C990" s="1">
        <v>5800000</v>
      </c>
      <c r="D990" s="1" t="s">
        <v>254</v>
      </c>
      <c r="E990">
        <v>85.312600000000003</v>
      </c>
      <c r="F990" s="1" t="s">
        <v>86</v>
      </c>
      <c r="G990">
        <v>41</v>
      </c>
      <c r="H990">
        <v>26</v>
      </c>
      <c r="I990" s="1" t="s">
        <v>226</v>
      </c>
      <c r="J990">
        <v>1</v>
      </c>
      <c r="K990" t="str">
        <f>IF(Tb_data[[#This Row],[previous_workers]]&lt;Tb_data[[#This Row],[workers]],"yes","no")</f>
        <v>yes</v>
      </c>
      <c r="L990">
        <f>Tb_data[[#This Row],[workers]]-Tb_data[[#This Row],[previous_workers]]</f>
        <v>15</v>
      </c>
      <c r="M990" s="12">
        <f>Tb_data[[#This Row],[Employees Growth]]/Tb_data[[#This Row],[previous_workers]]</f>
        <v>0.57692307692307687</v>
      </c>
    </row>
    <row r="991" spans="1:13" x14ac:dyDescent="0.25">
      <c r="A991" s="1" t="s">
        <v>1375</v>
      </c>
      <c r="B991" s="1" t="s">
        <v>1376</v>
      </c>
      <c r="C991" s="1">
        <v>78500000</v>
      </c>
      <c r="D991" s="1" t="s">
        <v>20</v>
      </c>
      <c r="E991">
        <v>693.59479999999996</v>
      </c>
      <c r="F991" s="1" t="s">
        <v>124</v>
      </c>
      <c r="G991">
        <v>450</v>
      </c>
      <c r="H991">
        <v>75</v>
      </c>
      <c r="I991" s="1" t="s">
        <v>229</v>
      </c>
      <c r="J991">
        <v>4</v>
      </c>
      <c r="K991" t="str">
        <f>IF(Tb_data[[#This Row],[previous_workers]]&lt;Tb_data[[#This Row],[workers]],"yes","no")</f>
        <v>yes</v>
      </c>
      <c r="L991">
        <f>Tb_data[[#This Row],[workers]]-Tb_data[[#This Row],[previous_workers]]</f>
        <v>375</v>
      </c>
      <c r="M991" s="12">
        <f>Tb_data[[#This Row],[Employees Growth]]/Tb_data[[#This Row],[previous_workers]]</f>
        <v>5</v>
      </c>
    </row>
    <row r="992" spans="1:13" x14ac:dyDescent="0.25">
      <c r="A992" s="1" t="s">
        <v>6825</v>
      </c>
      <c r="B992" s="1" t="s">
        <v>6826</v>
      </c>
      <c r="C992" s="1">
        <v>10100000</v>
      </c>
      <c r="D992" s="1" t="s">
        <v>129</v>
      </c>
      <c r="E992">
        <v>106.0201</v>
      </c>
      <c r="F992" s="1" t="s">
        <v>97</v>
      </c>
      <c r="G992">
        <v>130</v>
      </c>
      <c r="H992">
        <v>63</v>
      </c>
      <c r="I992" s="1" t="s">
        <v>229</v>
      </c>
      <c r="J992">
        <v>3</v>
      </c>
      <c r="K992" t="str">
        <f>IF(Tb_data[[#This Row],[previous_workers]]&lt;Tb_data[[#This Row],[workers]],"yes","no")</f>
        <v>yes</v>
      </c>
      <c r="L992">
        <f>Tb_data[[#This Row],[workers]]-Tb_data[[#This Row],[previous_workers]]</f>
        <v>67</v>
      </c>
      <c r="M992" s="12">
        <f>Tb_data[[#This Row],[Employees Growth]]/Tb_data[[#This Row],[previous_workers]]</f>
        <v>1.0634920634920635</v>
      </c>
    </row>
    <row r="993" spans="1:13" x14ac:dyDescent="0.25">
      <c r="A993" s="1" t="s">
        <v>4389</v>
      </c>
      <c r="B993" s="1" t="s">
        <v>4390</v>
      </c>
      <c r="C993" s="1">
        <v>8400000</v>
      </c>
      <c r="D993" s="1" t="s">
        <v>33</v>
      </c>
      <c r="E993">
        <v>186.9657</v>
      </c>
      <c r="F993" s="1" t="s">
        <v>30</v>
      </c>
      <c r="G993">
        <v>14</v>
      </c>
      <c r="H993">
        <v>7</v>
      </c>
      <c r="I993" s="1" t="s">
        <v>26</v>
      </c>
      <c r="J993">
        <v>1</v>
      </c>
      <c r="K993" t="str">
        <f>IF(Tb_data[[#This Row],[previous_workers]]&lt;Tb_data[[#This Row],[workers]],"yes","no")</f>
        <v>yes</v>
      </c>
      <c r="L993">
        <f>Tb_data[[#This Row],[workers]]-Tb_data[[#This Row],[previous_workers]]</f>
        <v>7</v>
      </c>
      <c r="M993" s="12">
        <f>Tb_data[[#This Row],[Employees Growth]]/Tb_data[[#This Row],[previous_workers]]</f>
        <v>1</v>
      </c>
    </row>
    <row r="994" spans="1:13" x14ac:dyDescent="0.25">
      <c r="A994" s="1" t="s">
        <v>6912</v>
      </c>
      <c r="B994" s="1" t="s">
        <v>6913</v>
      </c>
      <c r="C994" s="1">
        <v>9500000</v>
      </c>
      <c r="D994" s="1" t="s">
        <v>20</v>
      </c>
      <c r="E994">
        <v>103.89919999999999</v>
      </c>
      <c r="F994" s="1" t="s">
        <v>135</v>
      </c>
      <c r="G994">
        <v>84</v>
      </c>
      <c r="H994">
        <v>42</v>
      </c>
      <c r="I994" s="1" t="s">
        <v>295</v>
      </c>
      <c r="J994">
        <v>1</v>
      </c>
      <c r="K994" t="str">
        <f>IF(Tb_data[[#This Row],[previous_workers]]&lt;Tb_data[[#This Row],[workers]],"yes","no")</f>
        <v>yes</v>
      </c>
      <c r="L994">
        <f>Tb_data[[#This Row],[workers]]-Tb_data[[#This Row],[previous_workers]]</f>
        <v>42</v>
      </c>
      <c r="M994" s="12">
        <f>Tb_data[[#This Row],[Employees Growth]]/Tb_data[[#This Row],[previous_workers]]</f>
        <v>1</v>
      </c>
    </row>
    <row r="995" spans="1:13" x14ac:dyDescent="0.25">
      <c r="A995" s="1" t="s">
        <v>7637</v>
      </c>
      <c r="B995" s="1" t="s">
        <v>7638</v>
      </c>
      <c r="C995" s="1">
        <v>4600000000</v>
      </c>
      <c r="D995" s="1" t="s">
        <v>33</v>
      </c>
      <c r="E995">
        <v>89.172799999999995</v>
      </c>
      <c r="F995" s="1" t="s">
        <v>161</v>
      </c>
      <c r="G995">
        <v>410</v>
      </c>
      <c r="H995">
        <v>332</v>
      </c>
      <c r="I995" s="1" t="s">
        <v>2628</v>
      </c>
      <c r="J995">
        <v>4</v>
      </c>
      <c r="K995" t="str">
        <f>IF(Tb_data[[#This Row],[previous_workers]]&lt;Tb_data[[#This Row],[workers]],"yes","no")</f>
        <v>yes</v>
      </c>
      <c r="L995">
        <f>Tb_data[[#This Row],[workers]]-Tb_data[[#This Row],[previous_workers]]</f>
        <v>78</v>
      </c>
      <c r="M995" s="12">
        <f>Tb_data[[#This Row],[Employees Growth]]/Tb_data[[#This Row],[previous_workers]]</f>
        <v>0.23493975903614459</v>
      </c>
    </row>
    <row r="996" spans="1:13" x14ac:dyDescent="0.25">
      <c r="A996" s="1" t="s">
        <v>4030</v>
      </c>
      <c r="B996" s="1" t="s">
        <v>4031</v>
      </c>
      <c r="C996" s="1">
        <v>9200000</v>
      </c>
      <c r="D996" s="1" t="s">
        <v>49</v>
      </c>
      <c r="E996">
        <v>205.58699999999999</v>
      </c>
      <c r="F996" s="1" t="s">
        <v>34</v>
      </c>
      <c r="G996">
        <v>14</v>
      </c>
      <c r="H996">
        <v>5</v>
      </c>
      <c r="I996" s="1" t="s">
        <v>2374</v>
      </c>
      <c r="J996">
        <v>3</v>
      </c>
      <c r="K996" t="str">
        <f>IF(Tb_data[[#This Row],[previous_workers]]&lt;Tb_data[[#This Row],[workers]],"yes","no")</f>
        <v>yes</v>
      </c>
      <c r="L996">
        <f>Tb_data[[#This Row],[workers]]-Tb_data[[#This Row],[previous_workers]]</f>
        <v>9</v>
      </c>
      <c r="M996" s="12">
        <f>Tb_data[[#This Row],[Employees Growth]]/Tb_data[[#This Row],[previous_workers]]</f>
        <v>1.8</v>
      </c>
    </row>
    <row r="997" spans="1:13" x14ac:dyDescent="0.25">
      <c r="A997" s="1" t="s">
        <v>8885</v>
      </c>
      <c r="B997" s="1" t="s">
        <v>8886</v>
      </c>
      <c r="C997" s="1">
        <v>83500000</v>
      </c>
      <c r="D997" s="1" t="s">
        <v>61</v>
      </c>
      <c r="E997">
        <v>68.252300000000005</v>
      </c>
      <c r="F997" s="1" t="s">
        <v>62</v>
      </c>
      <c r="G997">
        <v>639</v>
      </c>
      <c r="H997">
        <v>237</v>
      </c>
      <c r="I997" s="1" t="s">
        <v>2840</v>
      </c>
      <c r="J997">
        <v>6</v>
      </c>
      <c r="K997" t="str">
        <f>IF(Tb_data[[#This Row],[previous_workers]]&lt;Tb_data[[#This Row],[workers]],"yes","no")</f>
        <v>yes</v>
      </c>
      <c r="L997">
        <f>Tb_data[[#This Row],[workers]]-Tb_data[[#This Row],[previous_workers]]</f>
        <v>402</v>
      </c>
      <c r="M997" s="12">
        <f>Tb_data[[#This Row],[Employees Growth]]/Tb_data[[#This Row],[previous_workers]]</f>
        <v>1.6962025316455696</v>
      </c>
    </row>
    <row r="998" spans="1:13" x14ac:dyDescent="0.25">
      <c r="A998" s="1" t="s">
        <v>7499</v>
      </c>
      <c r="B998" s="1" t="s">
        <v>7500</v>
      </c>
      <c r="C998" s="1">
        <v>31800000</v>
      </c>
      <c r="D998" s="1" t="s">
        <v>33</v>
      </c>
      <c r="E998">
        <v>93.063599999999994</v>
      </c>
      <c r="F998" s="1" t="s">
        <v>124</v>
      </c>
      <c r="G998">
        <v>27</v>
      </c>
      <c r="H998">
        <v>15</v>
      </c>
      <c r="I998" s="1" t="s">
        <v>226</v>
      </c>
      <c r="J998">
        <v>5</v>
      </c>
      <c r="K998" t="str">
        <f>IF(Tb_data[[#This Row],[previous_workers]]&lt;Tb_data[[#This Row],[workers]],"yes","no")</f>
        <v>yes</v>
      </c>
      <c r="L998">
        <f>Tb_data[[#This Row],[workers]]-Tb_data[[#This Row],[previous_workers]]</f>
        <v>12</v>
      </c>
      <c r="M998" s="12">
        <f>Tb_data[[#This Row],[Employees Growth]]/Tb_data[[#This Row],[previous_workers]]</f>
        <v>0.8</v>
      </c>
    </row>
    <row r="999" spans="1:13" x14ac:dyDescent="0.25">
      <c r="A999" s="1" t="s">
        <v>6367</v>
      </c>
      <c r="B999" s="1" t="s">
        <v>6368</v>
      </c>
      <c r="C999" s="1">
        <v>8300000</v>
      </c>
      <c r="D999" s="1" t="s">
        <v>49</v>
      </c>
      <c r="E999">
        <v>117.00830000000001</v>
      </c>
      <c r="F999" s="1" t="s">
        <v>161</v>
      </c>
      <c r="G999">
        <v>51</v>
      </c>
      <c r="H999">
        <v>26</v>
      </c>
      <c r="I999" s="1" t="s">
        <v>194</v>
      </c>
      <c r="J999">
        <v>5</v>
      </c>
      <c r="K999" t="str">
        <f>IF(Tb_data[[#This Row],[previous_workers]]&lt;Tb_data[[#This Row],[workers]],"yes","no")</f>
        <v>yes</v>
      </c>
      <c r="L999">
        <f>Tb_data[[#This Row],[workers]]-Tb_data[[#This Row],[previous_workers]]</f>
        <v>25</v>
      </c>
      <c r="M999" s="12">
        <f>Tb_data[[#This Row],[Employees Growth]]/Tb_data[[#This Row],[previous_workers]]</f>
        <v>0.96153846153846156</v>
      </c>
    </row>
    <row r="1000" spans="1:13" x14ac:dyDescent="0.25">
      <c r="A1000" s="1" t="s">
        <v>4487</v>
      </c>
      <c r="B1000" s="1" t="s">
        <v>4488</v>
      </c>
      <c r="C1000" s="1">
        <v>11100000</v>
      </c>
      <c r="D1000" s="1" t="s">
        <v>41</v>
      </c>
      <c r="E1000">
        <v>183.00919999999999</v>
      </c>
      <c r="F1000" s="1" t="s">
        <v>86</v>
      </c>
      <c r="G1000">
        <v>97</v>
      </c>
      <c r="H1000">
        <v>25</v>
      </c>
      <c r="I1000" s="1" t="s">
        <v>295</v>
      </c>
      <c r="J1000">
        <v>6</v>
      </c>
      <c r="K1000" t="str">
        <f>IF(Tb_data[[#This Row],[previous_workers]]&lt;Tb_data[[#This Row],[workers]],"yes","no")</f>
        <v>yes</v>
      </c>
      <c r="L1000">
        <f>Tb_data[[#This Row],[workers]]-Tb_data[[#This Row],[previous_workers]]</f>
        <v>72</v>
      </c>
      <c r="M1000" s="12">
        <f>Tb_data[[#This Row],[Employees Growth]]/Tb_data[[#This Row],[previous_workers]]</f>
        <v>2.88</v>
      </c>
    </row>
    <row r="1001" spans="1:13" x14ac:dyDescent="0.25">
      <c r="A1001" s="1" t="s">
        <v>7909</v>
      </c>
      <c r="B1001" s="1" t="s">
        <v>7910</v>
      </c>
      <c r="C1001" s="1">
        <v>109700000</v>
      </c>
      <c r="D1001" s="1" t="s">
        <v>155</v>
      </c>
      <c r="E1001">
        <v>84.579300000000003</v>
      </c>
      <c r="F1001" s="1" t="s">
        <v>86</v>
      </c>
      <c r="G1001">
        <v>541</v>
      </c>
      <c r="H1001">
        <v>369</v>
      </c>
      <c r="I1001" s="1" t="s">
        <v>1051</v>
      </c>
      <c r="J1001">
        <v>9</v>
      </c>
      <c r="K1001" t="str">
        <f>IF(Tb_data[[#This Row],[previous_workers]]&lt;Tb_data[[#This Row],[workers]],"yes","no")</f>
        <v>yes</v>
      </c>
      <c r="L1001">
        <f>Tb_data[[#This Row],[workers]]-Tb_data[[#This Row],[previous_workers]]</f>
        <v>172</v>
      </c>
      <c r="M1001" s="12">
        <f>Tb_data[[#This Row],[Employees Growth]]/Tb_data[[#This Row],[previous_workers]]</f>
        <v>0.46612466124661245</v>
      </c>
    </row>
    <row r="1002" spans="1:13" x14ac:dyDescent="0.25">
      <c r="A1002" s="1" t="s">
        <v>8657</v>
      </c>
      <c r="B1002" s="1" t="s">
        <v>8658</v>
      </c>
      <c r="C1002" s="1">
        <v>5000000</v>
      </c>
      <c r="D1002" s="1" t="s">
        <v>91</v>
      </c>
      <c r="E1002">
        <v>71.581800000000001</v>
      </c>
      <c r="F1002" s="1" t="s">
        <v>161</v>
      </c>
      <c r="G1002">
        <v>159</v>
      </c>
      <c r="H1002">
        <v>145</v>
      </c>
      <c r="I1002" s="1" t="s">
        <v>117</v>
      </c>
      <c r="J1002">
        <v>2</v>
      </c>
      <c r="K1002" t="str">
        <f>IF(Tb_data[[#This Row],[previous_workers]]&lt;Tb_data[[#This Row],[workers]],"yes","no")</f>
        <v>yes</v>
      </c>
      <c r="L1002">
        <f>Tb_data[[#This Row],[workers]]-Tb_data[[#This Row],[previous_workers]]</f>
        <v>14</v>
      </c>
      <c r="M1002" s="12">
        <f>Tb_data[[#This Row],[Employees Growth]]/Tb_data[[#This Row],[previous_workers]]</f>
        <v>9.6551724137931033E-2</v>
      </c>
    </row>
    <row r="1003" spans="1:13" x14ac:dyDescent="0.25">
      <c r="A1003" s="1" t="s">
        <v>2983</v>
      </c>
      <c r="B1003" s="1" t="s">
        <v>2984</v>
      </c>
      <c r="C1003" s="1">
        <v>72200000</v>
      </c>
      <c r="D1003" s="1" t="s">
        <v>45</v>
      </c>
      <c r="E1003">
        <v>288.74110000000002</v>
      </c>
      <c r="F1003" s="1" t="s">
        <v>17</v>
      </c>
      <c r="G1003">
        <v>9</v>
      </c>
      <c r="H1003">
        <v>5</v>
      </c>
      <c r="I1003" s="1" t="s">
        <v>130</v>
      </c>
      <c r="J1003">
        <v>1</v>
      </c>
      <c r="K1003" t="str">
        <f>IF(Tb_data[[#This Row],[previous_workers]]&lt;Tb_data[[#This Row],[workers]],"yes","no")</f>
        <v>yes</v>
      </c>
      <c r="L1003">
        <f>Tb_data[[#This Row],[workers]]-Tb_data[[#This Row],[previous_workers]]</f>
        <v>4</v>
      </c>
      <c r="M1003" s="12">
        <f>Tb_data[[#This Row],[Employees Growth]]/Tb_data[[#This Row],[previous_workers]]</f>
        <v>0.8</v>
      </c>
    </row>
    <row r="1004" spans="1:13" x14ac:dyDescent="0.25">
      <c r="A1004" s="1" t="s">
        <v>2014</v>
      </c>
      <c r="B1004" s="1" t="s">
        <v>2015</v>
      </c>
      <c r="C1004" s="1">
        <v>15800000</v>
      </c>
      <c r="D1004" s="1" t="s">
        <v>49</v>
      </c>
      <c r="E1004">
        <v>445.5394</v>
      </c>
      <c r="F1004" s="1" t="s">
        <v>25</v>
      </c>
      <c r="G1004">
        <v>51</v>
      </c>
      <c r="H1004">
        <v>28</v>
      </c>
      <c r="I1004" s="1" t="s">
        <v>130</v>
      </c>
      <c r="J1004">
        <v>2</v>
      </c>
      <c r="K1004" t="str">
        <f>IF(Tb_data[[#This Row],[previous_workers]]&lt;Tb_data[[#This Row],[workers]],"yes","no")</f>
        <v>yes</v>
      </c>
      <c r="L1004">
        <f>Tb_data[[#This Row],[workers]]-Tb_data[[#This Row],[previous_workers]]</f>
        <v>23</v>
      </c>
      <c r="M1004" s="12">
        <f>Tb_data[[#This Row],[Employees Growth]]/Tb_data[[#This Row],[previous_workers]]</f>
        <v>0.8214285714285714</v>
      </c>
    </row>
    <row r="1005" spans="1:13" x14ac:dyDescent="0.25">
      <c r="A1005" s="1" t="s">
        <v>4998</v>
      </c>
      <c r="B1005" s="1" t="s">
        <v>4999</v>
      </c>
      <c r="C1005" s="1">
        <v>6400000</v>
      </c>
      <c r="D1005" s="1" t="s">
        <v>49</v>
      </c>
      <c r="E1005">
        <v>161.8931</v>
      </c>
      <c r="F1005" s="1" t="s">
        <v>21</v>
      </c>
      <c r="G1005">
        <v>110</v>
      </c>
      <c r="H1005">
        <v>45</v>
      </c>
      <c r="I1005" s="1" t="s">
        <v>117</v>
      </c>
      <c r="J1005">
        <v>1</v>
      </c>
      <c r="K1005" t="str">
        <f>IF(Tb_data[[#This Row],[previous_workers]]&lt;Tb_data[[#This Row],[workers]],"yes","no")</f>
        <v>yes</v>
      </c>
      <c r="L1005">
        <f>Tb_data[[#This Row],[workers]]-Tb_data[[#This Row],[previous_workers]]</f>
        <v>65</v>
      </c>
      <c r="M1005" s="12">
        <f>Tb_data[[#This Row],[Employees Growth]]/Tb_data[[#This Row],[previous_workers]]</f>
        <v>1.4444444444444444</v>
      </c>
    </row>
    <row r="1006" spans="1:13" x14ac:dyDescent="0.25">
      <c r="A1006" s="1" t="s">
        <v>5702</v>
      </c>
      <c r="B1006" s="1" t="s">
        <v>5703</v>
      </c>
      <c r="C1006" s="1">
        <v>12200000</v>
      </c>
      <c r="D1006" s="1" t="s">
        <v>115</v>
      </c>
      <c r="E1006">
        <v>134.2561</v>
      </c>
      <c r="F1006" s="1" t="s">
        <v>176</v>
      </c>
      <c r="G1006">
        <v>110</v>
      </c>
      <c r="H1006">
        <v>50</v>
      </c>
      <c r="I1006" s="1" t="s">
        <v>26</v>
      </c>
      <c r="J1006">
        <v>3</v>
      </c>
      <c r="K1006" t="str">
        <f>IF(Tb_data[[#This Row],[previous_workers]]&lt;Tb_data[[#This Row],[workers]],"yes","no")</f>
        <v>yes</v>
      </c>
      <c r="L1006">
        <f>Tb_data[[#This Row],[workers]]-Tb_data[[#This Row],[previous_workers]]</f>
        <v>60</v>
      </c>
      <c r="M1006" s="12">
        <f>Tb_data[[#This Row],[Employees Growth]]/Tb_data[[#This Row],[previous_workers]]</f>
        <v>1.2</v>
      </c>
    </row>
    <row r="1007" spans="1:13" x14ac:dyDescent="0.25">
      <c r="A1007" s="1" t="s">
        <v>10004</v>
      </c>
      <c r="B1007" s="1" t="s">
        <v>10005</v>
      </c>
      <c r="C1007" s="1">
        <v>4200000</v>
      </c>
      <c r="D1007" s="1" t="s">
        <v>41</v>
      </c>
      <c r="E1007">
        <v>53.388800000000003</v>
      </c>
      <c r="F1007" s="1" t="s">
        <v>97</v>
      </c>
      <c r="G1007">
        <v>43</v>
      </c>
      <c r="H1007">
        <v>21</v>
      </c>
      <c r="I1007" s="1" t="s">
        <v>226</v>
      </c>
      <c r="J1007">
        <v>2</v>
      </c>
      <c r="K1007" t="str">
        <f>IF(Tb_data[[#This Row],[previous_workers]]&lt;Tb_data[[#This Row],[workers]],"yes","no")</f>
        <v>yes</v>
      </c>
      <c r="L1007">
        <f>Tb_data[[#This Row],[workers]]-Tb_data[[#This Row],[previous_workers]]</f>
        <v>22</v>
      </c>
      <c r="M1007" s="12">
        <f>Tb_data[[#This Row],[Employees Growth]]/Tb_data[[#This Row],[previous_workers]]</f>
        <v>1.0476190476190477</v>
      </c>
    </row>
    <row r="1008" spans="1:13" x14ac:dyDescent="0.25">
      <c r="A1008" s="1" t="s">
        <v>289</v>
      </c>
      <c r="B1008" s="1" t="s">
        <v>290</v>
      </c>
      <c r="C1008" s="1">
        <v>7600000</v>
      </c>
      <c r="D1008" s="1" t="s">
        <v>69</v>
      </c>
      <c r="E1008">
        <v>3135.6529</v>
      </c>
      <c r="F1008" s="1" t="s">
        <v>86</v>
      </c>
      <c r="G1008">
        <v>50</v>
      </c>
      <c r="H1008">
        <v>8</v>
      </c>
      <c r="I1008" s="1" t="s">
        <v>13</v>
      </c>
      <c r="J1008">
        <v>1</v>
      </c>
      <c r="K1008" t="str">
        <f>IF(Tb_data[[#This Row],[previous_workers]]&lt;Tb_data[[#This Row],[workers]],"yes","no")</f>
        <v>yes</v>
      </c>
      <c r="L1008">
        <f>Tb_data[[#This Row],[workers]]-Tb_data[[#This Row],[previous_workers]]</f>
        <v>42</v>
      </c>
      <c r="M1008" s="12">
        <f>Tb_data[[#This Row],[Employees Growth]]/Tb_data[[#This Row],[previous_workers]]</f>
        <v>5.25</v>
      </c>
    </row>
    <row r="1009" spans="1:13" x14ac:dyDescent="0.25">
      <c r="A1009" s="1" t="s">
        <v>4192</v>
      </c>
      <c r="B1009" s="1" t="s">
        <v>4193</v>
      </c>
      <c r="C1009" s="1">
        <v>9500000</v>
      </c>
      <c r="D1009" s="1" t="s">
        <v>20</v>
      </c>
      <c r="E1009">
        <v>195.92359999999999</v>
      </c>
      <c r="F1009" s="1" t="s">
        <v>135</v>
      </c>
      <c r="G1009">
        <v>186</v>
      </c>
      <c r="H1009">
        <v>22</v>
      </c>
      <c r="I1009" s="1" t="s">
        <v>229</v>
      </c>
      <c r="J1009">
        <v>1</v>
      </c>
      <c r="K1009" t="str">
        <f>IF(Tb_data[[#This Row],[previous_workers]]&lt;Tb_data[[#This Row],[workers]],"yes","no")</f>
        <v>yes</v>
      </c>
      <c r="L1009">
        <f>Tb_data[[#This Row],[workers]]-Tb_data[[#This Row],[previous_workers]]</f>
        <v>164</v>
      </c>
      <c r="M1009" s="12">
        <f>Tb_data[[#This Row],[Employees Growth]]/Tb_data[[#This Row],[previous_workers]]</f>
        <v>7.4545454545454541</v>
      </c>
    </row>
    <row r="1010" spans="1:13" x14ac:dyDescent="0.25">
      <c r="A1010" s="1" t="s">
        <v>6305</v>
      </c>
      <c r="B1010" s="1" t="s">
        <v>6306</v>
      </c>
      <c r="C1010" s="1">
        <v>88300000</v>
      </c>
      <c r="D1010" s="1" t="s">
        <v>45</v>
      </c>
      <c r="E1010">
        <v>118.7946</v>
      </c>
      <c r="F1010" s="1" t="s">
        <v>62</v>
      </c>
      <c r="G1010">
        <v>591</v>
      </c>
      <c r="H1010">
        <v>298</v>
      </c>
      <c r="I1010" s="1" t="s">
        <v>3673</v>
      </c>
      <c r="J1010">
        <v>7</v>
      </c>
      <c r="K1010" t="str">
        <f>IF(Tb_data[[#This Row],[previous_workers]]&lt;Tb_data[[#This Row],[workers]],"yes","no")</f>
        <v>yes</v>
      </c>
      <c r="L1010">
        <f>Tb_data[[#This Row],[workers]]-Tb_data[[#This Row],[previous_workers]]</f>
        <v>293</v>
      </c>
      <c r="M1010" s="12">
        <f>Tb_data[[#This Row],[Employees Growth]]/Tb_data[[#This Row],[previous_workers]]</f>
        <v>0.98322147651006708</v>
      </c>
    </row>
    <row r="1011" spans="1:13" x14ac:dyDescent="0.25">
      <c r="A1011" s="1" t="s">
        <v>7731</v>
      </c>
      <c r="B1011" s="1" t="s">
        <v>7732</v>
      </c>
      <c r="C1011" s="1">
        <v>46400000</v>
      </c>
      <c r="D1011" s="1" t="s">
        <v>155</v>
      </c>
      <c r="E1011">
        <v>87.5822</v>
      </c>
      <c r="F1011" s="1" t="s">
        <v>86</v>
      </c>
      <c r="G1011">
        <v>920</v>
      </c>
      <c r="H1011">
        <v>560</v>
      </c>
      <c r="I1011" s="1" t="s">
        <v>468</v>
      </c>
      <c r="J1011">
        <v>8</v>
      </c>
      <c r="K1011" t="str">
        <f>IF(Tb_data[[#This Row],[previous_workers]]&lt;Tb_data[[#This Row],[workers]],"yes","no")</f>
        <v>yes</v>
      </c>
      <c r="L1011">
        <f>Tb_data[[#This Row],[workers]]-Tb_data[[#This Row],[previous_workers]]</f>
        <v>360</v>
      </c>
      <c r="M1011" s="12">
        <f>Tb_data[[#This Row],[Employees Growth]]/Tb_data[[#This Row],[previous_workers]]</f>
        <v>0.6428571428571429</v>
      </c>
    </row>
    <row r="1012" spans="1:13" x14ac:dyDescent="0.25">
      <c r="A1012" s="1" t="s">
        <v>1422</v>
      </c>
      <c r="B1012" s="1" t="s">
        <v>1423</v>
      </c>
      <c r="C1012" s="1">
        <v>2500000</v>
      </c>
      <c r="D1012" s="1" t="s">
        <v>33</v>
      </c>
      <c r="E1012">
        <v>664.33950000000004</v>
      </c>
      <c r="F1012" s="1" t="s">
        <v>161</v>
      </c>
      <c r="G1012">
        <v>85</v>
      </c>
      <c r="H1012">
        <v>45</v>
      </c>
      <c r="I1012" s="1" t="s">
        <v>26</v>
      </c>
      <c r="J1012">
        <v>1</v>
      </c>
      <c r="K1012" t="str">
        <f>IF(Tb_data[[#This Row],[previous_workers]]&lt;Tb_data[[#This Row],[workers]],"yes","no")</f>
        <v>yes</v>
      </c>
      <c r="L1012">
        <f>Tb_data[[#This Row],[workers]]-Tb_data[[#This Row],[previous_workers]]</f>
        <v>40</v>
      </c>
      <c r="M1012" s="12">
        <f>Tb_data[[#This Row],[Employees Growth]]/Tb_data[[#This Row],[previous_workers]]</f>
        <v>0.88888888888888884</v>
      </c>
    </row>
    <row r="1013" spans="1:13" x14ac:dyDescent="0.25">
      <c r="A1013" s="1" t="s">
        <v>6747</v>
      </c>
      <c r="B1013" s="1" t="s">
        <v>6748</v>
      </c>
      <c r="C1013" s="1">
        <v>49300000</v>
      </c>
      <c r="D1013" s="1" t="s">
        <v>52</v>
      </c>
      <c r="E1013">
        <v>107.6841</v>
      </c>
      <c r="F1013" s="1" t="s">
        <v>124</v>
      </c>
      <c r="G1013">
        <v>69</v>
      </c>
      <c r="H1013">
        <v>32</v>
      </c>
      <c r="I1013" s="1" t="s">
        <v>948</v>
      </c>
      <c r="J1013">
        <v>2</v>
      </c>
      <c r="K1013" t="str">
        <f>IF(Tb_data[[#This Row],[previous_workers]]&lt;Tb_data[[#This Row],[workers]],"yes","no")</f>
        <v>yes</v>
      </c>
      <c r="L1013">
        <f>Tb_data[[#This Row],[workers]]-Tb_data[[#This Row],[previous_workers]]</f>
        <v>37</v>
      </c>
      <c r="M1013" s="12">
        <f>Tb_data[[#This Row],[Employees Growth]]/Tb_data[[#This Row],[previous_workers]]</f>
        <v>1.15625</v>
      </c>
    </row>
    <row r="1014" spans="1:13" x14ac:dyDescent="0.25">
      <c r="A1014" s="1" t="s">
        <v>9782</v>
      </c>
      <c r="B1014" s="1" t="s">
        <v>9783</v>
      </c>
      <c r="C1014" s="1">
        <v>81200000</v>
      </c>
      <c r="D1014" s="1" t="s">
        <v>45</v>
      </c>
      <c r="E1014">
        <v>56.973700000000001</v>
      </c>
      <c r="F1014" s="1" t="s">
        <v>112</v>
      </c>
      <c r="G1014">
        <v>254</v>
      </c>
      <c r="H1014">
        <v>178</v>
      </c>
      <c r="I1014" s="1" t="s">
        <v>3843</v>
      </c>
      <c r="J1014">
        <v>8</v>
      </c>
      <c r="K1014" t="str">
        <f>IF(Tb_data[[#This Row],[previous_workers]]&lt;Tb_data[[#This Row],[workers]],"yes","no")</f>
        <v>yes</v>
      </c>
      <c r="L1014">
        <f>Tb_data[[#This Row],[workers]]-Tb_data[[#This Row],[previous_workers]]</f>
        <v>76</v>
      </c>
      <c r="M1014" s="12">
        <f>Tb_data[[#This Row],[Employees Growth]]/Tb_data[[#This Row],[previous_workers]]</f>
        <v>0.42696629213483145</v>
      </c>
    </row>
    <row r="1015" spans="1:13" x14ac:dyDescent="0.25">
      <c r="A1015" s="1" t="s">
        <v>4772</v>
      </c>
      <c r="B1015" s="1" t="s">
        <v>4773</v>
      </c>
      <c r="C1015" s="1">
        <v>20300000</v>
      </c>
      <c r="D1015" s="1" t="s">
        <v>52</v>
      </c>
      <c r="E1015">
        <v>171.4727</v>
      </c>
      <c r="F1015" s="1" t="s">
        <v>100</v>
      </c>
      <c r="G1015">
        <v>289</v>
      </c>
      <c r="H1015">
        <v>15</v>
      </c>
      <c r="I1015" s="1" t="s">
        <v>74</v>
      </c>
      <c r="J1015">
        <v>1</v>
      </c>
      <c r="K1015" t="str">
        <f>IF(Tb_data[[#This Row],[previous_workers]]&lt;Tb_data[[#This Row],[workers]],"yes","no")</f>
        <v>yes</v>
      </c>
      <c r="L1015">
        <f>Tb_data[[#This Row],[workers]]-Tb_data[[#This Row],[previous_workers]]</f>
        <v>274</v>
      </c>
      <c r="M1015" s="12">
        <f>Tb_data[[#This Row],[Employees Growth]]/Tb_data[[#This Row],[previous_workers]]</f>
        <v>18.266666666666666</v>
      </c>
    </row>
    <row r="1016" spans="1:13" x14ac:dyDescent="0.25">
      <c r="A1016" s="1" t="s">
        <v>6795</v>
      </c>
      <c r="B1016" s="1" t="s">
        <v>6796</v>
      </c>
      <c r="C1016" s="1">
        <v>51100000</v>
      </c>
      <c r="D1016" s="1" t="s">
        <v>49</v>
      </c>
      <c r="E1016">
        <v>106.8083</v>
      </c>
      <c r="F1016" s="1" t="s">
        <v>94</v>
      </c>
      <c r="G1016">
        <v>62</v>
      </c>
      <c r="H1016">
        <v>30</v>
      </c>
      <c r="I1016" s="1" t="s">
        <v>3843</v>
      </c>
      <c r="J1016">
        <v>1</v>
      </c>
      <c r="K1016" t="str">
        <f>IF(Tb_data[[#This Row],[previous_workers]]&lt;Tb_data[[#This Row],[workers]],"yes","no")</f>
        <v>yes</v>
      </c>
      <c r="L1016">
        <f>Tb_data[[#This Row],[workers]]-Tb_data[[#This Row],[previous_workers]]</f>
        <v>32</v>
      </c>
      <c r="M1016" s="12">
        <f>Tb_data[[#This Row],[Employees Growth]]/Tb_data[[#This Row],[previous_workers]]</f>
        <v>1.0666666666666667</v>
      </c>
    </row>
    <row r="1017" spans="1:13" x14ac:dyDescent="0.25">
      <c r="A1017" s="1" t="s">
        <v>6047</v>
      </c>
      <c r="B1017" s="1" t="s">
        <v>6048</v>
      </c>
      <c r="C1017" s="1">
        <v>45300000</v>
      </c>
      <c r="D1017" s="1" t="s">
        <v>41</v>
      </c>
      <c r="E1017">
        <v>125.56229999999999</v>
      </c>
      <c r="F1017" s="1" t="s">
        <v>97</v>
      </c>
      <c r="G1017">
        <v>267</v>
      </c>
      <c r="H1017">
        <v>124</v>
      </c>
      <c r="I1017" s="1" t="s">
        <v>35</v>
      </c>
      <c r="J1017">
        <v>8</v>
      </c>
      <c r="K1017" t="str">
        <f>IF(Tb_data[[#This Row],[previous_workers]]&lt;Tb_data[[#This Row],[workers]],"yes","no")</f>
        <v>yes</v>
      </c>
      <c r="L1017">
        <f>Tb_data[[#This Row],[workers]]-Tb_data[[#This Row],[previous_workers]]</f>
        <v>143</v>
      </c>
      <c r="M1017" s="12">
        <f>Tb_data[[#This Row],[Employees Growth]]/Tb_data[[#This Row],[previous_workers]]</f>
        <v>1.153225806451613</v>
      </c>
    </row>
    <row r="1018" spans="1:13" x14ac:dyDescent="0.25">
      <c r="A1018" s="1" t="s">
        <v>4774</v>
      </c>
      <c r="B1018" s="1" t="s">
        <v>4775</v>
      </c>
      <c r="C1018" s="1">
        <v>16100000</v>
      </c>
      <c r="D1018" s="1" t="s">
        <v>33</v>
      </c>
      <c r="E1018">
        <v>171.41220000000001</v>
      </c>
      <c r="F1018" s="1" t="s">
        <v>62</v>
      </c>
      <c r="G1018">
        <v>30</v>
      </c>
      <c r="H1018">
        <v>16</v>
      </c>
      <c r="I1018" s="1" t="s">
        <v>117</v>
      </c>
      <c r="J1018">
        <v>5</v>
      </c>
      <c r="K1018" t="str">
        <f>IF(Tb_data[[#This Row],[previous_workers]]&lt;Tb_data[[#This Row],[workers]],"yes","no")</f>
        <v>yes</v>
      </c>
      <c r="L1018">
        <f>Tb_data[[#This Row],[workers]]-Tb_data[[#This Row],[previous_workers]]</f>
        <v>14</v>
      </c>
      <c r="M1018" s="12">
        <f>Tb_data[[#This Row],[Employees Growth]]/Tb_data[[#This Row],[previous_workers]]</f>
        <v>0.875</v>
      </c>
    </row>
    <row r="1019" spans="1:13" x14ac:dyDescent="0.25">
      <c r="A1019" s="1" t="s">
        <v>8889</v>
      </c>
      <c r="B1019" s="1" t="s">
        <v>8890</v>
      </c>
      <c r="C1019" s="1">
        <v>5000000</v>
      </c>
      <c r="D1019" s="1" t="s">
        <v>61</v>
      </c>
      <c r="E1019">
        <v>68.162599999999998</v>
      </c>
      <c r="F1019" s="1" t="s">
        <v>17</v>
      </c>
      <c r="G1019">
        <v>110</v>
      </c>
      <c r="H1019">
        <v>55</v>
      </c>
      <c r="I1019" s="1" t="s">
        <v>164</v>
      </c>
      <c r="J1019">
        <v>2</v>
      </c>
      <c r="K1019" t="str">
        <f>IF(Tb_data[[#This Row],[previous_workers]]&lt;Tb_data[[#This Row],[workers]],"yes","no")</f>
        <v>yes</v>
      </c>
      <c r="L1019">
        <f>Tb_data[[#This Row],[workers]]-Tb_data[[#This Row],[previous_workers]]</f>
        <v>55</v>
      </c>
      <c r="M1019" s="12">
        <f>Tb_data[[#This Row],[Employees Growth]]/Tb_data[[#This Row],[previous_workers]]</f>
        <v>1</v>
      </c>
    </row>
    <row r="1020" spans="1:13" x14ac:dyDescent="0.25">
      <c r="A1020" s="1" t="s">
        <v>5462</v>
      </c>
      <c r="B1020" s="1" t="s">
        <v>5463</v>
      </c>
      <c r="C1020" s="1">
        <v>13400000</v>
      </c>
      <c r="D1020" s="1" t="s">
        <v>33</v>
      </c>
      <c r="E1020">
        <v>143.99119999999999</v>
      </c>
      <c r="F1020" s="1" t="s">
        <v>25</v>
      </c>
      <c r="G1020">
        <v>237</v>
      </c>
      <c r="H1020">
        <v>63</v>
      </c>
      <c r="I1020" s="1" t="s">
        <v>295</v>
      </c>
      <c r="J1020">
        <v>2</v>
      </c>
      <c r="K1020" t="str">
        <f>IF(Tb_data[[#This Row],[previous_workers]]&lt;Tb_data[[#This Row],[workers]],"yes","no")</f>
        <v>yes</v>
      </c>
      <c r="L1020">
        <f>Tb_data[[#This Row],[workers]]-Tb_data[[#This Row],[previous_workers]]</f>
        <v>174</v>
      </c>
      <c r="M1020" s="12">
        <f>Tb_data[[#This Row],[Employees Growth]]/Tb_data[[#This Row],[previous_workers]]</f>
        <v>2.7619047619047619</v>
      </c>
    </row>
    <row r="1021" spans="1:13" x14ac:dyDescent="0.25">
      <c r="A1021" s="1" t="s">
        <v>2377</v>
      </c>
      <c r="B1021" s="1" t="s">
        <v>2378</v>
      </c>
      <c r="C1021" s="1">
        <v>2700000</v>
      </c>
      <c r="D1021" s="1" t="s">
        <v>29</v>
      </c>
      <c r="E1021">
        <v>369.22730000000001</v>
      </c>
      <c r="F1021" s="1" t="s">
        <v>25</v>
      </c>
      <c r="G1021">
        <v>50</v>
      </c>
      <c r="H1021">
        <v>15</v>
      </c>
      <c r="I1021" s="1" t="s">
        <v>164</v>
      </c>
      <c r="J1021">
        <v>2</v>
      </c>
      <c r="K1021" t="str">
        <f>IF(Tb_data[[#This Row],[previous_workers]]&lt;Tb_data[[#This Row],[workers]],"yes","no")</f>
        <v>yes</v>
      </c>
      <c r="L1021">
        <f>Tb_data[[#This Row],[workers]]-Tb_data[[#This Row],[previous_workers]]</f>
        <v>35</v>
      </c>
      <c r="M1021" s="12">
        <f>Tb_data[[#This Row],[Employees Growth]]/Tb_data[[#This Row],[previous_workers]]</f>
        <v>2.3333333333333335</v>
      </c>
    </row>
    <row r="1022" spans="1:13" x14ac:dyDescent="0.25">
      <c r="A1022" s="1" t="s">
        <v>5338</v>
      </c>
      <c r="B1022" s="1" t="s">
        <v>5339</v>
      </c>
      <c r="C1022" s="1">
        <v>39600000</v>
      </c>
      <c r="D1022" s="1" t="s">
        <v>1021</v>
      </c>
      <c r="E1022">
        <v>148.22030000000001</v>
      </c>
      <c r="F1022" s="1" t="s">
        <v>25</v>
      </c>
      <c r="G1022">
        <v>300</v>
      </c>
      <c r="H1022">
        <v>65</v>
      </c>
      <c r="I1022" s="1" t="s">
        <v>1411</v>
      </c>
      <c r="J1022">
        <v>2</v>
      </c>
      <c r="K1022" t="str">
        <f>IF(Tb_data[[#This Row],[previous_workers]]&lt;Tb_data[[#This Row],[workers]],"yes","no")</f>
        <v>yes</v>
      </c>
      <c r="L1022">
        <f>Tb_data[[#This Row],[workers]]-Tb_data[[#This Row],[previous_workers]]</f>
        <v>235</v>
      </c>
      <c r="M1022" s="12">
        <f>Tb_data[[#This Row],[Employees Growth]]/Tb_data[[#This Row],[previous_workers]]</f>
        <v>3.6153846153846154</v>
      </c>
    </row>
    <row r="1023" spans="1:13" x14ac:dyDescent="0.25">
      <c r="A1023" s="1" t="s">
        <v>2458</v>
      </c>
      <c r="B1023" s="1" t="s">
        <v>2459</v>
      </c>
      <c r="C1023" s="1">
        <v>2900000</v>
      </c>
      <c r="D1023" s="1" t="s">
        <v>52</v>
      </c>
      <c r="E1023">
        <v>353.21929999999998</v>
      </c>
      <c r="F1023" s="1" t="s">
        <v>34</v>
      </c>
      <c r="G1023">
        <v>37</v>
      </c>
      <c r="H1023">
        <v>16</v>
      </c>
      <c r="I1023" s="1" t="s">
        <v>26</v>
      </c>
      <c r="J1023">
        <v>1</v>
      </c>
      <c r="K1023" t="str">
        <f>IF(Tb_data[[#This Row],[previous_workers]]&lt;Tb_data[[#This Row],[workers]],"yes","no")</f>
        <v>yes</v>
      </c>
      <c r="L1023">
        <f>Tb_data[[#This Row],[workers]]-Tb_data[[#This Row],[previous_workers]]</f>
        <v>21</v>
      </c>
      <c r="M1023" s="12">
        <f>Tb_data[[#This Row],[Employees Growth]]/Tb_data[[#This Row],[previous_workers]]</f>
        <v>1.3125</v>
      </c>
    </row>
    <row r="1024" spans="1:13" x14ac:dyDescent="0.25">
      <c r="A1024" s="1" t="s">
        <v>721</v>
      </c>
      <c r="B1024" s="1" t="s">
        <v>722</v>
      </c>
      <c r="C1024" s="1">
        <v>9900000</v>
      </c>
      <c r="D1024" s="1" t="s">
        <v>52</v>
      </c>
      <c r="E1024">
        <v>1449.1161</v>
      </c>
      <c r="F1024" s="1" t="s">
        <v>17</v>
      </c>
      <c r="G1024">
        <v>11</v>
      </c>
      <c r="H1024">
        <v>1</v>
      </c>
      <c r="I1024" s="1" t="s">
        <v>13</v>
      </c>
      <c r="J1024">
        <v>1</v>
      </c>
      <c r="K1024" t="str">
        <f>IF(Tb_data[[#This Row],[previous_workers]]&lt;Tb_data[[#This Row],[workers]],"yes","no")</f>
        <v>yes</v>
      </c>
      <c r="L1024">
        <f>Tb_data[[#This Row],[workers]]-Tb_data[[#This Row],[previous_workers]]</f>
        <v>10</v>
      </c>
      <c r="M1024" s="12">
        <f>Tb_data[[#This Row],[Employees Growth]]/Tb_data[[#This Row],[previous_workers]]</f>
        <v>10</v>
      </c>
    </row>
    <row r="1025" spans="1:13" x14ac:dyDescent="0.25">
      <c r="A1025" s="1" t="s">
        <v>6934</v>
      </c>
      <c r="B1025" s="1" t="s">
        <v>6935</v>
      </c>
      <c r="C1025" s="1">
        <v>4300000</v>
      </c>
      <c r="D1025" s="1" t="s">
        <v>49</v>
      </c>
      <c r="E1025">
        <v>103.3605</v>
      </c>
      <c r="F1025" s="1" t="s">
        <v>124</v>
      </c>
      <c r="G1025">
        <v>23</v>
      </c>
      <c r="H1025">
        <v>12</v>
      </c>
      <c r="I1025" s="1" t="s">
        <v>164</v>
      </c>
      <c r="J1025">
        <v>3</v>
      </c>
      <c r="K1025" t="str">
        <f>IF(Tb_data[[#This Row],[previous_workers]]&lt;Tb_data[[#This Row],[workers]],"yes","no")</f>
        <v>yes</v>
      </c>
      <c r="L1025">
        <f>Tb_data[[#This Row],[workers]]-Tb_data[[#This Row],[previous_workers]]</f>
        <v>11</v>
      </c>
      <c r="M1025" s="12">
        <f>Tb_data[[#This Row],[Employees Growth]]/Tb_data[[#This Row],[previous_workers]]</f>
        <v>0.91666666666666663</v>
      </c>
    </row>
    <row r="1026" spans="1:13" x14ac:dyDescent="0.25">
      <c r="A1026" s="1" t="s">
        <v>9255</v>
      </c>
      <c r="B1026" s="1" t="s">
        <v>9256</v>
      </c>
      <c r="C1026" s="1">
        <v>25400000</v>
      </c>
      <c r="D1026" s="1" t="s">
        <v>29</v>
      </c>
      <c r="E1026">
        <v>63.323999999999998</v>
      </c>
      <c r="F1026" s="1" t="s">
        <v>25</v>
      </c>
      <c r="G1026">
        <v>34</v>
      </c>
      <c r="H1026">
        <v>22</v>
      </c>
      <c r="I1026" s="1" t="s">
        <v>980</v>
      </c>
      <c r="J1026">
        <v>1</v>
      </c>
      <c r="K1026" t="str">
        <f>IF(Tb_data[[#This Row],[previous_workers]]&lt;Tb_data[[#This Row],[workers]],"yes","no")</f>
        <v>yes</v>
      </c>
      <c r="L1026">
        <f>Tb_data[[#This Row],[workers]]-Tb_data[[#This Row],[previous_workers]]</f>
        <v>12</v>
      </c>
      <c r="M1026" s="12">
        <f>Tb_data[[#This Row],[Employees Growth]]/Tb_data[[#This Row],[previous_workers]]</f>
        <v>0.54545454545454541</v>
      </c>
    </row>
    <row r="1027" spans="1:13" x14ac:dyDescent="0.25">
      <c r="A1027" s="1" t="s">
        <v>9794</v>
      </c>
      <c r="B1027" s="1" t="s">
        <v>9795</v>
      </c>
      <c r="C1027" s="1">
        <v>11100000</v>
      </c>
      <c r="D1027" s="1" t="s">
        <v>179</v>
      </c>
      <c r="E1027">
        <v>56.832799999999999</v>
      </c>
      <c r="F1027" s="1" t="s">
        <v>12</v>
      </c>
      <c r="G1027">
        <v>42</v>
      </c>
      <c r="H1027">
        <v>25</v>
      </c>
      <c r="I1027" s="1" t="s">
        <v>2225</v>
      </c>
      <c r="J1027">
        <v>5</v>
      </c>
      <c r="K1027" t="str">
        <f>IF(Tb_data[[#This Row],[previous_workers]]&lt;Tb_data[[#This Row],[workers]],"yes","no")</f>
        <v>yes</v>
      </c>
      <c r="L1027">
        <f>Tb_data[[#This Row],[workers]]-Tb_data[[#This Row],[previous_workers]]</f>
        <v>17</v>
      </c>
      <c r="M1027" s="12">
        <f>Tb_data[[#This Row],[Employees Growth]]/Tb_data[[#This Row],[previous_workers]]</f>
        <v>0.68</v>
      </c>
    </row>
    <row r="1028" spans="1:13" x14ac:dyDescent="0.25">
      <c r="A1028" s="1" t="s">
        <v>8409</v>
      </c>
      <c r="B1028" s="1" t="s">
        <v>8410</v>
      </c>
      <c r="C1028" s="1">
        <v>10700000</v>
      </c>
      <c r="D1028" s="1" t="s">
        <v>49</v>
      </c>
      <c r="E1028">
        <v>75.788700000000006</v>
      </c>
      <c r="F1028" s="1" t="s">
        <v>86</v>
      </c>
      <c r="G1028">
        <v>76</v>
      </c>
      <c r="H1028">
        <v>98</v>
      </c>
      <c r="I1028" s="1" t="s">
        <v>130</v>
      </c>
      <c r="J1028">
        <v>1</v>
      </c>
      <c r="K1028" t="str">
        <f>IF(Tb_data[[#This Row],[previous_workers]]&lt;Tb_data[[#This Row],[workers]],"yes","no")</f>
        <v>no</v>
      </c>
      <c r="L1028">
        <f>Tb_data[[#This Row],[workers]]-Tb_data[[#This Row],[previous_workers]]</f>
        <v>-22</v>
      </c>
      <c r="M1028" s="12">
        <f>Tb_data[[#This Row],[Employees Growth]]/Tb_data[[#This Row],[previous_workers]]</f>
        <v>-0.22448979591836735</v>
      </c>
    </row>
    <row r="1029" spans="1:13" x14ac:dyDescent="0.25">
      <c r="A1029" s="1" t="s">
        <v>2674</v>
      </c>
      <c r="B1029" s="1" t="s">
        <v>2675</v>
      </c>
      <c r="C1029" s="1">
        <v>16000000</v>
      </c>
      <c r="D1029" s="1" t="s">
        <v>115</v>
      </c>
      <c r="E1029">
        <v>322.8211</v>
      </c>
      <c r="F1029" s="1" t="s">
        <v>124</v>
      </c>
      <c r="G1029">
        <v>123</v>
      </c>
      <c r="H1029">
        <v>33</v>
      </c>
      <c r="I1029" s="1" t="s">
        <v>2676</v>
      </c>
      <c r="J1029">
        <v>1</v>
      </c>
      <c r="K1029" t="str">
        <f>IF(Tb_data[[#This Row],[previous_workers]]&lt;Tb_data[[#This Row],[workers]],"yes","no")</f>
        <v>yes</v>
      </c>
      <c r="L1029">
        <f>Tb_data[[#This Row],[workers]]-Tb_data[[#This Row],[previous_workers]]</f>
        <v>90</v>
      </c>
      <c r="M1029" s="12">
        <f>Tb_data[[#This Row],[Employees Growth]]/Tb_data[[#This Row],[previous_workers]]</f>
        <v>2.7272727272727271</v>
      </c>
    </row>
    <row r="1030" spans="1:13" x14ac:dyDescent="0.25">
      <c r="A1030" s="1" t="s">
        <v>9433</v>
      </c>
      <c r="B1030" s="1" t="s">
        <v>9434</v>
      </c>
      <c r="C1030" s="1">
        <v>3400000</v>
      </c>
      <c r="D1030" s="1" t="s">
        <v>123</v>
      </c>
      <c r="E1030">
        <v>60.966299999999997</v>
      </c>
      <c r="F1030" s="1" t="s">
        <v>3264</v>
      </c>
      <c r="G1030">
        <v>20</v>
      </c>
      <c r="H1030">
        <v>13</v>
      </c>
      <c r="I1030" s="1" t="s">
        <v>130</v>
      </c>
      <c r="J1030">
        <v>1</v>
      </c>
      <c r="K1030" t="str">
        <f>IF(Tb_data[[#This Row],[previous_workers]]&lt;Tb_data[[#This Row],[workers]],"yes","no")</f>
        <v>yes</v>
      </c>
      <c r="L1030">
        <f>Tb_data[[#This Row],[workers]]-Tb_data[[#This Row],[previous_workers]]</f>
        <v>7</v>
      </c>
      <c r="M1030" s="12">
        <f>Tb_data[[#This Row],[Employees Growth]]/Tb_data[[#This Row],[previous_workers]]</f>
        <v>0.53846153846153844</v>
      </c>
    </row>
    <row r="1031" spans="1:13" x14ac:dyDescent="0.25">
      <c r="A1031" s="1" t="s">
        <v>733</v>
      </c>
      <c r="B1031" s="1" t="s">
        <v>734</v>
      </c>
      <c r="C1031" s="1">
        <v>5000000</v>
      </c>
      <c r="D1031" s="1" t="s">
        <v>49</v>
      </c>
      <c r="E1031">
        <v>1433.9761000000001</v>
      </c>
      <c r="F1031" s="1" t="s">
        <v>12</v>
      </c>
      <c r="G1031">
        <v>47</v>
      </c>
      <c r="H1031">
        <v>8</v>
      </c>
      <c r="I1031" s="1" t="s">
        <v>26</v>
      </c>
      <c r="J1031">
        <v>2</v>
      </c>
      <c r="K1031" t="str">
        <f>IF(Tb_data[[#This Row],[previous_workers]]&lt;Tb_data[[#This Row],[workers]],"yes","no")</f>
        <v>yes</v>
      </c>
      <c r="L1031">
        <f>Tb_data[[#This Row],[workers]]-Tb_data[[#This Row],[previous_workers]]</f>
        <v>39</v>
      </c>
      <c r="M1031" s="12">
        <f>Tb_data[[#This Row],[Employees Growth]]/Tb_data[[#This Row],[previous_workers]]</f>
        <v>4.875</v>
      </c>
    </row>
    <row r="1032" spans="1:13" x14ac:dyDescent="0.25">
      <c r="A1032" s="1" t="s">
        <v>4939</v>
      </c>
      <c r="B1032" s="1" t="s">
        <v>4940</v>
      </c>
      <c r="C1032" s="1">
        <v>3500000</v>
      </c>
      <c r="D1032" s="1" t="s">
        <v>103</v>
      </c>
      <c r="E1032">
        <v>164.58760000000001</v>
      </c>
      <c r="F1032" s="1" t="s">
        <v>135</v>
      </c>
      <c r="G1032">
        <v>15</v>
      </c>
      <c r="H1032">
        <v>5</v>
      </c>
      <c r="I1032" s="1" t="s">
        <v>55</v>
      </c>
      <c r="J1032">
        <v>2</v>
      </c>
      <c r="K1032" t="str">
        <f>IF(Tb_data[[#This Row],[previous_workers]]&lt;Tb_data[[#This Row],[workers]],"yes","no")</f>
        <v>yes</v>
      </c>
      <c r="L1032">
        <f>Tb_data[[#This Row],[workers]]-Tb_data[[#This Row],[previous_workers]]</f>
        <v>10</v>
      </c>
      <c r="M1032" s="12">
        <f>Tb_data[[#This Row],[Employees Growth]]/Tb_data[[#This Row],[previous_workers]]</f>
        <v>2</v>
      </c>
    </row>
    <row r="1033" spans="1:13" x14ac:dyDescent="0.25">
      <c r="A1033" s="1" t="s">
        <v>8455</v>
      </c>
      <c r="B1033" s="1" t="s">
        <v>8456</v>
      </c>
      <c r="C1033" s="1">
        <v>6600000</v>
      </c>
      <c r="D1033" s="1" t="s">
        <v>29</v>
      </c>
      <c r="E1033">
        <v>74.907300000000006</v>
      </c>
      <c r="F1033" s="1" t="s">
        <v>100</v>
      </c>
      <c r="G1033">
        <v>125</v>
      </c>
      <c r="H1033">
        <v>59</v>
      </c>
      <c r="I1033" s="1" t="s">
        <v>4074</v>
      </c>
      <c r="J1033">
        <v>1</v>
      </c>
      <c r="K1033" t="str">
        <f>IF(Tb_data[[#This Row],[previous_workers]]&lt;Tb_data[[#This Row],[workers]],"yes","no")</f>
        <v>yes</v>
      </c>
      <c r="L1033">
        <f>Tb_data[[#This Row],[workers]]-Tb_data[[#This Row],[previous_workers]]</f>
        <v>66</v>
      </c>
      <c r="M1033" s="12">
        <f>Tb_data[[#This Row],[Employees Growth]]/Tb_data[[#This Row],[previous_workers]]</f>
        <v>1.1186440677966101</v>
      </c>
    </row>
    <row r="1034" spans="1:13" x14ac:dyDescent="0.25">
      <c r="A1034" s="1" t="s">
        <v>9147</v>
      </c>
      <c r="B1034" s="1" t="s">
        <v>9148</v>
      </c>
      <c r="C1034" s="1">
        <v>62500000</v>
      </c>
      <c r="D1034" s="1" t="s">
        <v>45</v>
      </c>
      <c r="E1034">
        <v>64.839200000000005</v>
      </c>
      <c r="F1034" s="1" t="s">
        <v>17</v>
      </c>
      <c r="G1034">
        <v>200</v>
      </c>
      <c r="H1034">
        <v>157</v>
      </c>
      <c r="I1034" s="1" t="s">
        <v>194</v>
      </c>
      <c r="J1034">
        <v>4</v>
      </c>
      <c r="K1034" t="str">
        <f>IF(Tb_data[[#This Row],[previous_workers]]&lt;Tb_data[[#This Row],[workers]],"yes","no")</f>
        <v>yes</v>
      </c>
      <c r="L1034">
        <f>Tb_data[[#This Row],[workers]]-Tb_data[[#This Row],[previous_workers]]</f>
        <v>43</v>
      </c>
      <c r="M1034" s="12">
        <f>Tb_data[[#This Row],[Employees Growth]]/Tb_data[[#This Row],[previous_workers]]</f>
        <v>0.27388535031847133</v>
      </c>
    </row>
    <row r="1035" spans="1:13" x14ac:dyDescent="0.25">
      <c r="A1035" s="1" t="s">
        <v>5216</v>
      </c>
      <c r="B1035" s="1" t="s">
        <v>5217</v>
      </c>
      <c r="C1035" s="1">
        <v>6600000</v>
      </c>
      <c r="D1035" s="1" t="s">
        <v>33</v>
      </c>
      <c r="E1035">
        <v>152.95769999999999</v>
      </c>
      <c r="F1035" s="1" t="s">
        <v>156</v>
      </c>
      <c r="G1035">
        <v>58</v>
      </c>
      <c r="H1035">
        <v>7</v>
      </c>
      <c r="I1035" s="1" t="s">
        <v>147</v>
      </c>
      <c r="J1035">
        <v>1</v>
      </c>
      <c r="K1035" t="str">
        <f>IF(Tb_data[[#This Row],[previous_workers]]&lt;Tb_data[[#This Row],[workers]],"yes","no")</f>
        <v>yes</v>
      </c>
      <c r="L1035">
        <f>Tb_data[[#This Row],[workers]]-Tb_data[[#This Row],[previous_workers]]</f>
        <v>51</v>
      </c>
      <c r="M1035" s="12">
        <f>Tb_data[[#This Row],[Employees Growth]]/Tb_data[[#This Row],[previous_workers]]</f>
        <v>7.2857142857142856</v>
      </c>
    </row>
    <row r="1036" spans="1:13" x14ac:dyDescent="0.25">
      <c r="A1036" s="1" t="s">
        <v>6237</v>
      </c>
      <c r="B1036" s="1" t="s">
        <v>6238</v>
      </c>
      <c r="C1036" s="1">
        <v>4800000</v>
      </c>
      <c r="D1036" s="1" t="s">
        <v>49</v>
      </c>
      <c r="E1036">
        <v>120.66549999999999</v>
      </c>
      <c r="F1036" s="1" t="s">
        <v>34</v>
      </c>
      <c r="G1036">
        <v>5</v>
      </c>
      <c r="H1036">
        <v>3</v>
      </c>
      <c r="I1036" s="1" t="s">
        <v>1411</v>
      </c>
      <c r="J1036">
        <v>2</v>
      </c>
      <c r="K1036" t="str">
        <f>IF(Tb_data[[#This Row],[previous_workers]]&lt;Tb_data[[#This Row],[workers]],"yes","no")</f>
        <v>yes</v>
      </c>
      <c r="L1036">
        <f>Tb_data[[#This Row],[workers]]-Tb_data[[#This Row],[previous_workers]]</f>
        <v>2</v>
      </c>
      <c r="M1036" s="12">
        <f>Tb_data[[#This Row],[Employees Growth]]/Tb_data[[#This Row],[previous_workers]]</f>
        <v>0.66666666666666663</v>
      </c>
    </row>
    <row r="1037" spans="1:13" x14ac:dyDescent="0.25">
      <c r="A1037" s="1" t="s">
        <v>981</v>
      </c>
      <c r="B1037" s="1" t="s">
        <v>982</v>
      </c>
      <c r="C1037" s="1">
        <v>12700000</v>
      </c>
      <c r="D1037" s="1" t="s">
        <v>254</v>
      </c>
      <c r="E1037">
        <v>1031.0775000000001</v>
      </c>
      <c r="F1037" s="1" t="s">
        <v>156</v>
      </c>
      <c r="G1037">
        <v>94</v>
      </c>
      <c r="H1037">
        <v>2</v>
      </c>
      <c r="I1037" s="1" t="s">
        <v>164</v>
      </c>
      <c r="J1037">
        <v>1</v>
      </c>
      <c r="K1037" t="str">
        <f>IF(Tb_data[[#This Row],[previous_workers]]&lt;Tb_data[[#This Row],[workers]],"yes","no")</f>
        <v>yes</v>
      </c>
      <c r="L1037">
        <f>Tb_data[[#This Row],[workers]]-Tb_data[[#This Row],[previous_workers]]</f>
        <v>92</v>
      </c>
      <c r="M1037" s="12">
        <f>Tb_data[[#This Row],[Employees Growth]]/Tb_data[[#This Row],[previous_workers]]</f>
        <v>46</v>
      </c>
    </row>
    <row r="1038" spans="1:13" x14ac:dyDescent="0.25">
      <c r="A1038" s="1" t="s">
        <v>6431</v>
      </c>
      <c r="B1038" s="1" t="s">
        <v>6432</v>
      </c>
      <c r="C1038" s="1">
        <v>5800000</v>
      </c>
      <c r="D1038" s="1" t="s">
        <v>61</v>
      </c>
      <c r="E1038">
        <v>115.5491</v>
      </c>
      <c r="F1038" s="1" t="s">
        <v>156</v>
      </c>
      <c r="G1038">
        <v>31</v>
      </c>
      <c r="H1038">
        <v>11</v>
      </c>
      <c r="I1038" s="1" t="s">
        <v>164</v>
      </c>
      <c r="J1038">
        <v>4</v>
      </c>
      <c r="K1038" t="str">
        <f>IF(Tb_data[[#This Row],[previous_workers]]&lt;Tb_data[[#This Row],[workers]],"yes","no")</f>
        <v>yes</v>
      </c>
      <c r="L1038">
        <f>Tb_data[[#This Row],[workers]]-Tb_data[[#This Row],[previous_workers]]</f>
        <v>20</v>
      </c>
      <c r="M1038" s="12">
        <f>Tb_data[[#This Row],[Employees Growth]]/Tb_data[[#This Row],[previous_workers]]</f>
        <v>1.8181818181818181</v>
      </c>
    </row>
    <row r="1039" spans="1:13" x14ac:dyDescent="0.25">
      <c r="A1039" s="1" t="s">
        <v>2857</v>
      </c>
      <c r="B1039" s="1" t="s">
        <v>2858</v>
      </c>
      <c r="C1039" s="1">
        <v>7500000</v>
      </c>
      <c r="D1039" s="1" t="s">
        <v>91</v>
      </c>
      <c r="E1039">
        <v>301.79689999999999</v>
      </c>
      <c r="F1039" s="1" t="s">
        <v>25</v>
      </c>
      <c r="G1039">
        <v>103</v>
      </c>
      <c r="H1039">
        <v>38</v>
      </c>
      <c r="I1039" s="1" t="s">
        <v>948</v>
      </c>
      <c r="J1039">
        <v>3</v>
      </c>
      <c r="K1039" t="str">
        <f>IF(Tb_data[[#This Row],[previous_workers]]&lt;Tb_data[[#This Row],[workers]],"yes","no")</f>
        <v>yes</v>
      </c>
      <c r="L1039">
        <f>Tb_data[[#This Row],[workers]]-Tb_data[[#This Row],[previous_workers]]</f>
        <v>65</v>
      </c>
      <c r="M1039" s="12">
        <f>Tb_data[[#This Row],[Employees Growth]]/Tb_data[[#This Row],[previous_workers]]</f>
        <v>1.7105263157894737</v>
      </c>
    </row>
    <row r="1040" spans="1:13" x14ac:dyDescent="0.25">
      <c r="A1040" s="1" t="s">
        <v>406</v>
      </c>
      <c r="B1040" s="1" t="s">
        <v>407</v>
      </c>
      <c r="C1040" s="1">
        <v>2500000</v>
      </c>
      <c r="D1040" s="1" t="s">
        <v>33</v>
      </c>
      <c r="E1040">
        <v>2356.7775999999999</v>
      </c>
      <c r="F1040" s="1" t="s">
        <v>86</v>
      </c>
      <c r="G1040">
        <v>60</v>
      </c>
      <c r="H1040">
        <v>25</v>
      </c>
      <c r="I1040" s="1" t="s">
        <v>55</v>
      </c>
      <c r="J1040">
        <v>1</v>
      </c>
      <c r="K1040" t="str">
        <f>IF(Tb_data[[#This Row],[previous_workers]]&lt;Tb_data[[#This Row],[workers]],"yes","no")</f>
        <v>yes</v>
      </c>
      <c r="L1040">
        <f>Tb_data[[#This Row],[workers]]-Tb_data[[#This Row],[previous_workers]]</f>
        <v>35</v>
      </c>
      <c r="M1040" s="12">
        <f>Tb_data[[#This Row],[Employees Growth]]/Tb_data[[#This Row],[previous_workers]]</f>
        <v>1.4</v>
      </c>
    </row>
    <row r="1041" spans="1:13" x14ac:dyDescent="0.25">
      <c r="A1041" s="1" t="s">
        <v>8285</v>
      </c>
      <c r="B1041" s="1" t="s">
        <v>8286</v>
      </c>
      <c r="C1041" s="1">
        <v>3800000</v>
      </c>
      <c r="D1041" s="1" t="s">
        <v>49</v>
      </c>
      <c r="E1041">
        <v>77.880799999999994</v>
      </c>
      <c r="F1041" s="1" t="s">
        <v>112</v>
      </c>
      <c r="G1041">
        <v>38</v>
      </c>
      <c r="H1041">
        <v>30</v>
      </c>
      <c r="I1041" s="1" t="s">
        <v>147</v>
      </c>
      <c r="J1041">
        <v>3</v>
      </c>
      <c r="K1041" t="str">
        <f>IF(Tb_data[[#This Row],[previous_workers]]&lt;Tb_data[[#This Row],[workers]],"yes","no")</f>
        <v>yes</v>
      </c>
      <c r="L1041">
        <f>Tb_data[[#This Row],[workers]]-Tb_data[[#This Row],[previous_workers]]</f>
        <v>8</v>
      </c>
      <c r="M1041" s="12">
        <f>Tb_data[[#This Row],[Employees Growth]]/Tb_data[[#This Row],[previous_workers]]</f>
        <v>0.26666666666666666</v>
      </c>
    </row>
    <row r="1042" spans="1:13" x14ac:dyDescent="0.25">
      <c r="A1042" s="1" t="s">
        <v>8901</v>
      </c>
      <c r="B1042" s="1" t="s">
        <v>8902</v>
      </c>
      <c r="C1042" s="1">
        <v>4000000</v>
      </c>
      <c r="D1042" s="1" t="s">
        <v>20</v>
      </c>
      <c r="E1042">
        <v>67.992599999999996</v>
      </c>
      <c r="F1042" s="1" t="s">
        <v>62</v>
      </c>
      <c r="G1042">
        <v>21</v>
      </c>
      <c r="H1042">
        <v>11</v>
      </c>
      <c r="I1042" s="1" t="s">
        <v>164</v>
      </c>
      <c r="J1042">
        <v>1</v>
      </c>
      <c r="K1042" t="str">
        <f>IF(Tb_data[[#This Row],[previous_workers]]&lt;Tb_data[[#This Row],[workers]],"yes","no")</f>
        <v>yes</v>
      </c>
      <c r="L1042">
        <f>Tb_data[[#This Row],[workers]]-Tb_data[[#This Row],[previous_workers]]</f>
        <v>10</v>
      </c>
      <c r="M1042" s="12">
        <f>Tb_data[[#This Row],[Employees Growth]]/Tb_data[[#This Row],[previous_workers]]</f>
        <v>0.90909090909090906</v>
      </c>
    </row>
    <row r="1043" spans="1:13" x14ac:dyDescent="0.25">
      <c r="A1043" s="1" t="s">
        <v>8255</v>
      </c>
      <c r="B1043" s="1" t="s">
        <v>8256</v>
      </c>
      <c r="C1043" s="1">
        <v>15800000</v>
      </c>
      <c r="D1043" s="1" t="s">
        <v>179</v>
      </c>
      <c r="E1043">
        <v>78.393699999999995</v>
      </c>
      <c r="F1043" s="1" t="s">
        <v>176</v>
      </c>
      <c r="G1043">
        <v>12</v>
      </c>
      <c r="H1043">
        <v>5</v>
      </c>
      <c r="I1043" s="1" t="s">
        <v>226</v>
      </c>
      <c r="J1043">
        <v>4</v>
      </c>
      <c r="K1043" t="str">
        <f>IF(Tb_data[[#This Row],[previous_workers]]&lt;Tb_data[[#This Row],[workers]],"yes","no")</f>
        <v>yes</v>
      </c>
      <c r="L1043">
        <f>Tb_data[[#This Row],[workers]]-Tb_data[[#This Row],[previous_workers]]</f>
        <v>7</v>
      </c>
      <c r="M1043" s="12">
        <f>Tb_data[[#This Row],[Employees Growth]]/Tb_data[[#This Row],[previous_workers]]</f>
        <v>1.4</v>
      </c>
    </row>
    <row r="1044" spans="1:13" x14ac:dyDescent="0.25">
      <c r="A1044" s="1" t="s">
        <v>8785</v>
      </c>
      <c r="B1044" s="1" t="s">
        <v>8786</v>
      </c>
      <c r="C1044" s="1">
        <v>191100000</v>
      </c>
      <c r="D1044" s="1" t="s">
        <v>38</v>
      </c>
      <c r="E1044">
        <v>69.635099999999994</v>
      </c>
      <c r="F1044" s="1" t="s">
        <v>161</v>
      </c>
      <c r="G1044">
        <v>2278</v>
      </c>
      <c r="H1044">
        <v>1150</v>
      </c>
      <c r="I1044" s="1" t="s">
        <v>836</v>
      </c>
      <c r="J1044">
        <v>9</v>
      </c>
      <c r="K1044" t="str">
        <f>IF(Tb_data[[#This Row],[previous_workers]]&lt;Tb_data[[#This Row],[workers]],"yes","no")</f>
        <v>yes</v>
      </c>
      <c r="L1044">
        <f>Tb_data[[#This Row],[workers]]-Tb_data[[#This Row],[previous_workers]]</f>
        <v>1128</v>
      </c>
      <c r="M1044" s="12">
        <f>Tb_data[[#This Row],[Employees Growth]]/Tb_data[[#This Row],[previous_workers]]</f>
        <v>0.98086956521739133</v>
      </c>
    </row>
    <row r="1045" spans="1:13" x14ac:dyDescent="0.25">
      <c r="A1045" s="1" t="s">
        <v>7693</v>
      </c>
      <c r="B1045" s="1" t="s">
        <v>7694</v>
      </c>
      <c r="C1045" s="1">
        <v>5800000</v>
      </c>
      <c r="D1045" s="1" t="s">
        <v>33</v>
      </c>
      <c r="E1045">
        <v>88.225800000000007</v>
      </c>
      <c r="F1045" s="1" t="s">
        <v>156</v>
      </c>
      <c r="G1045">
        <v>30</v>
      </c>
      <c r="H1045">
        <v>20</v>
      </c>
      <c r="I1045" s="1" t="s">
        <v>229</v>
      </c>
      <c r="J1045">
        <v>1</v>
      </c>
      <c r="K1045" t="str">
        <f>IF(Tb_data[[#This Row],[previous_workers]]&lt;Tb_data[[#This Row],[workers]],"yes","no")</f>
        <v>yes</v>
      </c>
      <c r="L1045">
        <f>Tb_data[[#This Row],[workers]]-Tb_data[[#This Row],[previous_workers]]</f>
        <v>10</v>
      </c>
      <c r="M1045" s="12">
        <f>Tb_data[[#This Row],[Employees Growth]]/Tb_data[[#This Row],[previous_workers]]</f>
        <v>0.5</v>
      </c>
    </row>
    <row r="1046" spans="1:13" x14ac:dyDescent="0.25">
      <c r="A1046" s="1" t="s">
        <v>6501</v>
      </c>
      <c r="B1046" s="1" t="s">
        <v>6502</v>
      </c>
      <c r="C1046" s="1">
        <v>92400000</v>
      </c>
      <c r="D1046" s="1" t="s">
        <v>29</v>
      </c>
      <c r="E1046">
        <v>113.8643</v>
      </c>
      <c r="F1046" s="1" t="s">
        <v>135</v>
      </c>
      <c r="G1046">
        <v>574</v>
      </c>
      <c r="H1046">
        <v>363</v>
      </c>
      <c r="I1046" s="1" t="s">
        <v>1949</v>
      </c>
      <c r="J1046">
        <v>5</v>
      </c>
      <c r="K1046" t="str">
        <f>IF(Tb_data[[#This Row],[previous_workers]]&lt;Tb_data[[#This Row],[workers]],"yes","no")</f>
        <v>yes</v>
      </c>
      <c r="L1046">
        <f>Tb_data[[#This Row],[workers]]-Tb_data[[#This Row],[previous_workers]]</f>
        <v>211</v>
      </c>
      <c r="M1046" s="12">
        <f>Tb_data[[#This Row],[Employees Growth]]/Tb_data[[#This Row],[previous_workers]]</f>
        <v>0.58126721763085398</v>
      </c>
    </row>
    <row r="1047" spans="1:13" x14ac:dyDescent="0.25">
      <c r="A1047" s="1" t="s">
        <v>5652</v>
      </c>
      <c r="B1047" s="1" t="s">
        <v>5653</v>
      </c>
      <c r="C1047" s="1">
        <v>4800000</v>
      </c>
      <c r="D1047" s="1" t="s">
        <v>61</v>
      </c>
      <c r="E1047">
        <v>135.97839999999999</v>
      </c>
      <c r="F1047" s="1" t="s">
        <v>25</v>
      </c>
      <c r="G1047">
        <v>10</v>
      </c>
      <c r="H1047">
        <v>8</v>
      </c>
      <c r="I1047" s="1" t="s">
        <v>295</v>
      </c>
      <c r="J1047">
        <v>3</v>
      </c>
      <c r="K1047" t="str">
        <f>IF(Tb_data[[#This Row],[previous_workers]]&lt;Tb_data[[#This Row],[workers]],"yes","no")</f>
        <v>yes</v>
      </c>
      <c r="L1047">
        <f>Tb_data[[#This Row],[workers]]-Tb_data[[#This Row],[previous_workers]]</f>
        <v>2</v>
      </c>
      <c r="M1047" s="12">
        <f>Tb_data[[#This Row],[Employees Growth]]/Tb_data[[#This Row],[previous_workers]]</f>
        <v>0.25</v>
      </c>
    </row>
    <row r="1048" spans="1:13" x14ac:dyDescent="0.25">
      <c r="A1048" s="1" t="s">
        <v>9814</v>
      </c>
      <c r="B1048" s="1" t="s">
        <v>9815</v>
      </c>
      <c r="C1048" s="1">
        <v>3100000</v>
      </c>
      <c r="D1048" s="1" t="s">
        <v>61</v>
      </c>
      <c r="E1048">
        <v>56.705199999999998</v>
      </c>
      <c r="F1048" s="1" t="s">
        <v>156</v>
      </c>
      <c r="G1048">
        <v>45</v>
      </c>
      <c r="H1048">
        <v>38</v>
      </c>
      <c r="I1048" s="1" t="s">
        <v>74</v>
      </c>
      <c r="J1048">
        <v>3</v>
      </c>
      <c r="K1048" t="str">
        <f>IF(Tb_data[[#This Row],[previous_workers]]&lt;Tb_data[[#This Row],[workers]],"yes","no")</f>
        <v>yes</v>
      </c>
      <c r="L1048">
        <f>Tb_data[[#This Row],[workers]]-Tb_data[[#This Row],[previous_workers]]</f>
        <v>7</v>
      </c>
      <c r="M1048" s="12">
        <f>Tb_data[[#This Row],[Employees Growth]]/Tb_data[[#This Row],[previous_workers]]</f>
        <v>0.18421052631578946</v>
      </c>
    </row>
    <row r="1049" spans="1:13" x14ac:dyDescent="0.25">
      <c r="A1049" s="1" t="s">
        <v>8949</v>
      </c>
      <c r="B1049" s="1" t="s">
        <v>8950</v>
      </c>
      <c r="C1049" s="1">
        <v>4200000</v>
      </c>
      <c r="D1049" s="1" t="s">
        <v>38</v>
      </c>
      <c r="E1049">
        <v>67.344399999999993</v>
      </c>
      <c r="F1049" s="1" t="s">
        <v>42</v>
      </c>
      <c r="G1049">
        <v>28</v>
      </c>
      <c r="H1049">
        <v>25</v>
      </c>
      <c r="I1049" s="1" t="s">
        <v>961</v>
      </c>
      <c r="J1049">
        <v>1</v>
      </c>
      <c r="K1049" t="str">
        <f>IF(Tb_data[[#This Row],[previous_workers]]&lt;Tb_data[[#This Row],[workers]],"yes","no")</f>
        <v>yes</v>
      </c>
      <c r="L1049">
        <f>Tb_data[[#This Row],[workers]]-Tb_data[[#This Row],[previous_workers]]</f>
        <v>3</v>
      </c>
      <c r="M1049" s="12">
        <f>Tb_data[[#This Row],[Employees Growth]]/Tb_data[[#This Row],[previous_workers]]</f>
        <v>0.12</v>
      </c>
    </row>
    <row r="1050" spans="1:13" x14ac:dyDescent="0.25">
      <c r="A1050" s="1" t="s">
        <v>1479</v>
      </c>
      <c r="B1050" s="1" t="s">
        <v>1480</v>
      </c>
      <c r="C1050" s="1">
        <v>13700000</v>
      </c>
      <c r="D1050" s="1" t="s">
        <v>52</v>
      </c>
      <c r="E1050">
        <v>633.9547</v>
      </c>
      <c r="F1050" s="1" t="s">
        <v>42</v>
      </c>
      <c r="G1050">
        <v>96</v>
      </c>
      <c r="H1050">
        <v>22</v>
      </c>
      <c r="I1050" s="1" t="s">
        <v>194</v>
      </c>
      <c r="J1050">
        <v>1</v>
      </c>
      <c r="K1050" t="str">
        <f>IF(Tb_data[[#This Row],[previous_workers]]&lt;Tb_data[[#This Row],[workers]],"yes","no")</f>
        <v>yes</v>
      </c>
      <c r="L1050">
        <f>Tb_data[[#This Row],[workers]]-Tb_data[[#This Row],[previous_workers]]</f>
        <v>74</v>
      </c>
      <c r="M1050" s="12">
        <f>Tb_data[[#This Row],[Employees Growth]]/Tb_data[[#This Row],[previous_workers]]</f>
        <v>3.3636363636363638</v>
      </c>
    </row>
    <row r="1051" spans="1:13" x14ac:dyDescent="0.25">
      <c r="A1051" s="1" t="s">
        <v>7335</v>
      </c>
      <c r="B1051" s="1" t="s">
        <v>7336</v>
      </c>
      <c r="C1051" s="1">
        <v>40000000</v>
      </c>
      <c r="D1051" s="1" t="s">
        <v>20</v>
      </c>
      <c r="E1051">
        <v>96.408199999999994</v>
      </c>
      <c r="F1051" s="1" t="s">
        <v>100</v>
      </c>
      <c r="G1051">
        <v>120</v>
      </c>
      <c r="H1051">
        <v>40</v>
      </c>
      <c r="I1051" s="1" t="s">
        <v>46</v>
      </c>
      <c r="J1051">
        <v>6</v>
      </c>
      <c r="K1051" t="str">
        <f>IF(Tb_data[[#This Row],[previous_workers]]&lt;Tb_data[[#This Row],[workers]],"yes","no")</f>
        <v>yes</v>
      </c>
      <c r="L1051">
        <f>Tb_data[[#This Row],[workers]]-Tb_data[[#This Row],[previous_workers]]</f>
        <v>80</v>
      </c>
      <c r="M1051" s="12">
        <f>Tb_data[[#This Row],[Employees Growth]]/Tb_data[[#This Row],[previous_workers]]</f>
        <v>2</v>
      </c>
    </row>
    <row r="1052" spans="1:13" x14ac:dyDescent="0.25">
      <c r="A1052" s="1" t="s">
        <v>6809</v>
      </c>
      <c r="B1052" s="1" t="s">
        <v>6810</v>
      </c>
      <c r="C1052" s="1">
        <v>2800000</v>
      </c>
      <c r="D1052" s="1" t="s">
        <v>49</v>
      </c>
      <c r="E1052">
        <v>106.55540000000001</v>
      </c>
      <c r="F1052" s="1" t="s">
        <v>176</v>
      </c>
      <c r="G1052">
        <v>70</v>
      </c>
      <c r="H1052">
        <v>35</v>
      </c>
      <c r="I1052" s="1" t="s">
        <v>55</v>
      </c>
      <c r="J1052">
        <v>2</v>
      </c>
      <c r="K1052" t="str">
        <f>IF(Tb_data[[#This Row],[previous_workers]]&lt;Tb_data[[#This Row],[workers]],"yes","no")</f>
        <v>yes</v>
      </c>
      <c r="L1052">
        <f>Tb_data[[#This Row],[workers]]-Tb_data[[#This Row],[previous_workers]]</f>
        <v>35</v>
      </c>
      <c r="M1052" s="12">
        <f>Tb_data[[#This Row],[Employees Growth]]/Tb_data[[#This Row],[previous_workers]]</f>
        <v>1</v>
      </c>
    </row>
    <row r="1053" spans="1:13" x14ac:dyDescent="0.25">
      <c r="A1053" s="1" t="s">
        <v>1196</v>
      </c>
      <c r="B1053" s="1" t="s">
        <v>1197</v>
      </c>
      <c r="C1053" s="1">
        <v>10700000</v>
      </c>
      <c r="D1053" s="1" t="s">
        <v>483</v>
      </c>
      <c r="E1053">
        <v>809.24149999999997</v>
      </c>
      <c r="F1053" s="1" t="s">
        <v>97</v>
      </c>
      <c r="G1053">
        <v>43</v>
      </c>
      <c r="H1053">
        <v>8</v>
      </c>
      <c r="I1053" s="1" t="s">
        <v>35</v>
      </c>
      <c r="J1053">
        <v>2</v>
      </c>
      <c r="K1053" t="str">
        <f>IF(Tb_data[[#This Row],[previous_workers]]&lt;Tb_data[[#This Row],[workers]],"yes","no")</f>
        <v>yes</v>
      </c>
      <c r="L1053">
        <f>Tb_data[[#This Row],[workers]]-Tb_data[[#This Row],[previous_workers]]</f>
        <v>35</v>
      </c>
      <c r="M1053" s="12">
        <f>Tb_data[[#This Row],[Employees Growth]]/Tb_data[[#This Row],[previous_workers]]</f>
        <v>4.375</v>
      </c>
    </row>
    <row r="1054" spans="1:13" x14ac:dyDescent="0.25">
      <c r="A1054" s="1" t="s">
        <v>8247</v>
      </c>
      <c r="B1054" s="1" t="s">
        <v>8248</v>
      </c>
      <c r="C1054" s="1">
        <v>5300000</v>
      </c>
      <c r="D1054" s="1" t="s">
        <v>69</v>
      </c>
      <c r="E1054">
        <v>78.438699999999997</v>
      </c>
      <c r="F1054" s="1" t="s">
        <v>62</v>
      </c>
      <c r="G1054">
        <v>32</v>
      </c>
      <c r="H1054">
        <v>27</v>
      </c>
      <c r="I1054" s="1" t="s">
        <v>13</v>
      </c>
      <c r="J1054">
        <v>1</v>
      </c>
      <c r="K1054" t="str">
        <f>IF(Tb_data[[#This Row],[previous_workers]]&lt;Tb_data[[#This Row],[workers]],"yes","no")</f>
        <v>yes</v>
      </c>
      <c r="L1054">
        <f>Tb_data[[#This Row],[workers]]-Tb_data[[#This Row],[previous_workers]]</f>
        <v>5</v>
      </c>
      <c r="M1054" s="12">
        <f>Tb_data[[#This Row],[Employees Growth]]/Tb_data[[#This Row],[previous_workers]]</f>
        <v>0.18518518518518517</v>
      </c>
    </row>
    <row r="1055" spans="1:13" x14ac:dyDescent="0.25">
      <c r="A1055" s="1" t="s">
        <v>232</v>
      </c>
      <c r="B1055" s="1" t="s">
        <v>233</v>
      </c>
      <c r="C1055" s="1">
        <v>16300000</v>
      </c>
      <c r="D1055" s="1" t="s">
        <v>129</v>
      </c>
      <c r="E1055">
        <v>4035.1824999999999</v>
      </c>
      <c r="F1055" s="1" t="s">
        <v>34</v>
      </c>
      <c r="G1055">
        <v>38</v>
      </c>
      <c r="H1055">
        <v>8</v>
      </c>
      <c r="I1055" s="1" t="s">
        <v>26</v>
      </c>
      <c r="J1055">
        <v>1</v>
      </c>
      <c r="K1055" t="str">
        <f>IF(Tb_data[[#This Row],[previous_workers]]&lt;Tb_data[[#This Row],[workers]],"yes","no")</f>
        <v>yes</v>
      </c>
      <c r="L1055">
        <f>Tb_data[[#This Row],[workers]]-Tb_data[[#This Row],[previous_workers]]</f>
        <v>30</v>
      </c>
      <c r="M1055" s="12">
        <f>Tb_data[[#This Row],[Employees Growth]]/Tb_data[[#This Row],[previous_workers]]</f>
        <v>3.75</v>
      </c>
    </row>
    <row r="1056" spans="1:13" x14ac:dyDescent="0.25">
      <c r="A1056" s="1" t="s">
        <v>7477</v>
      </c>
      <c r="B1056" s="1" t="s">
        <v>7478</v>
      </c>
      <c r="C1056" s="1">
        <v>36900000</v>
      </c>
      <c r="D1056" s="1" t="s">
        <v>16</v>
      </c>
      <c r="E1056">
        <v>93.745800000000003</v>
      </c>
      <c r="F1056" s="1" t="s">
        <v>62</v>
      </c>
      <c r="G1056">
        <v>205</v>
      </c>
      <c r="H1056">
        <v>74</v>
      </c>
      <c r="I1056" s="1" t="s">
        <v>226</v>
      </c>
      <c r="J1056">
        <v>10</v>
      </c>
      <c r="K1056" t="str">
        <f>IF(Tb_data[[#This Row],[previous_workers]]&lt;Tb_data[[#This Row],[workers]],"yes","no")</f>
        <v>yes</v>
      </c>
      <c r="L1056">
        <f>Tb_data[[#This Row],[workers]]-Tb_data[[#This Row],[previous_workers]]</f>
        <v>131</v>
      </c>
      <c r="M1056" s="12">
        <f>Tb_data[[#This Row],[Employees Growth]]/Tb_data[[#This Row],[previous_workers]]</f>
        <v>1.7702702702702702</v>
      </c>
    </row>
    <row r="1057" spans="1:13" x14ac:dyDescent="0.25">
      <c r="A1057" s="1" t="s">
        <v>1116</v>
      </c>
      <c r="B1057" s="1" t="s">
        <v>1117</v>
      </c>
      <c r="C1057" s="1">
        <v>84300000</v>
      </c>
      <c r="D1057" s="1" t="s">
        <v>52</v>
      </c>
      <c r="E1057">
        <v>857.53120000000001</v>
      </c>
      <c r="F1057" s="1" t="s">
        <v>135</v>
      </c>
      <c r="G1057">
        <v>440</v>
      </c>
      <c r="H1057">
        <v>190</v>
      </c>
      <c r="I1057" s="1" t="s">
        <v>74</v>
      </c>
      <c r="J1057">
        <v>2</v>
      </c>
      <c r="K1057" t="str">
        <f>IF(Tb_data[[#This Row],[previous_workers]]&lt;Tb_data[[#This Row],[workers]],"yes","no")</f>
        <v>yes</v>
      </c>
      <c r="L1057">
        <f>Tb_data[[#This Row],[workers]]-Tb_data[[#This Row],[previous_workers]]</f>
        <v>250</v>
      </c>
      <c r="M1057" s="12">
        <f>Tb_data[[#This Row],[Employees Growth]]/Tb_data[[#This Row],[previous_workers]]</f>
        <v>1.3157894736842106</v>
      </c>
    </row>
    <row r="1058" spans="1:13" x14ac:dyDescent="0.25">
      <c r="A1058" s="1" t="s">
        <v>8031</v>
      </c>
      <c r="B1058" s="1" t="s">
        <v>8032</v>
      </c>
      <c r="C1058" s="1">
        <v>210400000</v>
      </c>
      <c r="D1058" s="1" t="s">
        <v>115</v>
      </c>
      <c r="E1058">
        <v>82.295699999999997</v>
      </c>
      <c r="F1058" s="1" t="s">
        <v>161</v>
      </c>
      <c r="G1058">
        <v>6195</v>
      </c>
      <c r="H1058">
        <v>3228</v>
      </c>
      <c r="I1058" s="1" t="s">
        <v>164</v>
      </c>
      <c r="J1058">
        <v>1</v>
      </c>
      <c r="K1058" t="str">
        <f>IF(Tb_data[[#This Row],[previous_workers]]&lt;Tb_data[[#This Row],[workers]],"yes","no")</f>
        <v>yes</v>
      </c>
      <c r="L1058">
        <f>Tb_data[[#This Row],[workers]]-Tb_data[[#This Row],[previous_workers]]</f>
        <v>2967</v>
      </c>
      <c r="M1058" s="12">
        <f>Tb_data[[#This Row],[Employees Growth]]/Tb_data[[#This Row],[previous_workers]]</f>
        <v>0.91914498141263945</v>
      </c>
    </row>
    <row r="1059" spans="1:13" x14ac:dyDescent="0.25">
      <c r="A1059" s="1" t="s">
        <v>2370</v>
      </c>
      <c r="B1059" s="1" t="s">
        <v>2371</v>
      </c>
      <c r="C1059" s="1">
        <v>2300000</v>
      </c>
      <c r="D1059" s="1" t="s">
        <v>49</v>
      </c>
      <c r="E1059">
        <v>369.72519999999997</v>
      </c>
      <c r="F1059" s="1" t="s">
        <v>116</v>
      </c>
      <c r="G1059">
        <v>19</v>
      </c>
      <c r="H1059">
        <v>4</v>
      </c>
      <c r="I1059" s="1" t="s">
        <v>26</v>
      </c>
      <c r="J1059">
        <v>1</v>
      </c>
      <c r="K1059" t="str">
        <f>IF(Tb_data[[#This Row],[previous_workers]]&lt;Tb_data[[#This Row],[workers]],"yes","no")</f>
        <v>yes</v>
      </c>
      <c r="L1059">
        <f>Tb_data[[#This Row],[workers]]-Tb_data[[#This Row],[previous_workers]]</f>
        <v>15</v>
      </c>
      <c r="M1059" s="12">
        <f>Tb_data[[#This Row],[Employees Growth]]/Tb_data[[#This Row],[previous_workers]]</f>
        <v>3.75</v>
      </c>
    </row>
    <row r="1060" spans="1:13" x14ac:dyDescent="0.25">
      <c r="A1060" s="1" t="s">
        <v>39</v>
      </c>
      <c r="B1060" s="1" t="s">
        <v>40</v>
      </c>
      <c r="C1060" s="1">
        <v>23300000</v>
      </c>
      <c r="D1060" s="1" t="s">
        <v>41</v>
      </c>
      <c r="E1060">
        <v>12700.658799999999</v>
      </c>
      <c r="F1060" s="1" t="s">
        <v>42</v>
      </c>
      <c r="G1060">
        <v>72</v>
      </c>
      <c r="H1060">
        <v>1</v>
      </c>
      <c r="I1060" s="1" t="s">
        <v>13</v>
      </c>
      <c r="J1060">
        <v>1</v>
      </c>
      <c r="K1060" t="str">
        <f>IF(Tb_data[[#This Row],[previous_workers]]&lt;Tb_data[[#This Row],[workers]],"yes","no")</f>
        <v>yes</v>
      </c>
      <c r="L1060">
        <f>Tb_data[[#This Row],[workers]]-Tb_data[[#This Row],[previous_workers]]</f>
        <v>71</v>
      </c>
      <c r="M1060" s="12">
        <f>Tb_data[[#This Row],[Employees Growth]]/Tb_data[[#This Row],[previous_workers]]</f>
        <v>71</v>
      </c>
    </row>
    <row r="1061" spans="1:13" x14ac:dyDescent="0.25">
      <c r="A1061" s="1" t="s">
        <v>8063</v>
      </c>
      <c r="B1061" s="1" t="s">
        <v>8064</v>
      </c>
      <c r="C1061" s="1">
        <v>5200000</v>
      </c>
      <c r="D1061" s="1" t="s">
        <v>321</v>
      </c>
      <c r="E1061">
        <v>81.690600000000003</v>
      </c>
      <c r="F1061" s="1" t="s">
        <v>124</v>
      </c>
      <c r="G1061">
        <v>42</v>
      </c>
      <c r="H1061">
        <v>11</v>
      </c>
      <c r="I1061" s="1" t="s">
        <v>35</v>
      </c>
      <c r="J1061">
        <v>1</v>
      </c>
      <c r="K1061" t="str">
        <f>IF(Tb_data[[#This Row],[previous_workers]]&lt;Tb_data[[#This Row],[workers]],"yes","no")</f>
        <v>yes</v>
      </c>
      <c r="L1061">
        <f>Tb_data[[#This Row],[workers]]-Tb_data[[#This Row],[previous_workers]]</f>
        <v>31</v>
      </c>
      <c r="M1061" s="12">
        <f>Tb_data[[#This Row],[Employees Growth]]/Tb_data[[#This Row],[previous_workers]]</f>
        <v>2.8181818181818183</v>
      </c>
    </row>
    <row r="1062" spans="1:13" x14ac:dyDescent="0.25">
      <c r="A1062" s="1" t="s">
        <v>9021</v>
      </c>
      <c r="B1062" s="1" t="s">
        <v>9022</v>
      </c>
      <c r="C1062" s="1">
        <v>11100000</v>
      </c>
      <c r="D1062" s="1" t="s">
        <v>20</v>
      </c>
      <c r="E1062">
        <v>66.3626</v>
      </c>
      <c r="F1062" s="1" t="s">
        <v>161</v>
      </c>
      <c r="G1062">
        <v>50</v>
      </c>
      <c r="H1062">
        <v>40</v>
      </c>
      <c r="I1062" s="1" t="s">
        <v>164</v>
      </c>
      <c r="J1062">
        <v>4</v>
      </c>
      <c r="K1062" t="str">
        <f>IF(Tb_data[[#This Row],[previous_workers]]&lt;Tb_data[[#This Row],[workers]],"yes","no")</f>
        <v>yes</v>
      </c>
      <c r="L1062">
        <f>Tb_data[[#This Row],[workers]]-Tb_data[[#This Row],[previous_workers]]</f>
        <v>10</v>
      </c>
      <c r="M1062" s="12">
        <f>Tb_data[[#This Row],[Employees Growth]]/Tb_data[[#This Row],[previous_workers]]</f>
        <v>0.25</v>
      </c>
    </row>
    <row r="1063" spans="1:13" x14ac:dyDescent="0.25">
      <c r="A1063" s="1" t="s">
        <v>5924</v>
      </c>
      <c r="B1063" s="1" t="s">
        <v>5925</v>
      </c>
      <c r="C1063" s="1">
        <v>5100000</v>
      </c>
      <c r="D1063" s="1" t="s">
        <v>179</v>
      </c>
      <c r="E1063">
        <v>128.37100000000001</v>
      </c>
      <c r="F1063" s="1" t="s">
        <v>176</v>
      </c>
      <c r="G1063">
        <v>57</v>
      </c>
      <c r="H1063">
        <v>17</v>
      </c>
      <c r="I1063" s="1" t="s">
        <v>46</v>
      </c>
      <c r="J1063">
        <v>1</v>
      </c>
      <c r="K1063" t="str">
        <f>IF(Tb_data[[#This Row],[previous_workers]]&lt;Tb_data[[#This Row],[workers]],"yes","no")</f>
        <v>yes</v>
      </c>
      <c r="L1063">
        <f>Tb_data[[#This Row],[workers]]-Tb_data[[#This Row],[previous_workers]]</f>
        <v>40</v>
      </c>
      <c r="M1063" s="12">
        <f>Tb_data[[#This Row],[Employees Growth]]/Tb_data[[#This Row],[previous_workers]]</f>
        <v>2.3529411764705883</v>
      </c>
    </row>
    <row r="1064" spans="1:13" x14ac:dyDescent="0.25">
      <c r="A1064" s="1" t="s">
        <v>9013</v>
      </c>
      <c r="B1064" s="1" t="s">
        <v>9014</v>
      </c>
      <c r="C1064" s="1">
        <v>53100000</v>
      </c>
      <c r="D1064" s="1" t="s">
        <v>129</v>
      </c>
      <c r="E1064">
        <v>66.529700000000005</v>
      </c>
      <c r="F1064" s="1" t="s">
        <v>34</v>
      </c>
      <c r="G1064">
        <v>429</v>
      </c>
      <c r="H1064">
        <v>189</v>
      </c>
      <c r="I1064" s="1" t="s">
        <v>229</v>
      </c>
      <c r="J1064">
        <v>5</v>
      </c>
      <c r="K1064" t="str">
        <f>IF(Tb_data[[#This Row],[previous_workers]]&lt;Tb_data[[#This Row],[workers]],"yes","no")</f>
        <v>yes</v>
      </c>
      <c r="L1064">
        <f>Tb_data[[#This Row],[workers]]-Tb_data[[#This Row],[previous_workers]]</f>
        <v>240</v>
      </c>
      <c r="M1064" s="12">
        <f>Tb_data[[#This Row],[Employees Growth]]/Tb_data[[#This Row],[previous_workers]]</f>
        <v>1.2698412698412698</v>
      </c>
    </row>
    <row r="1065" spans="1:13" x14ac:dyDescent="0.25">
      <c r="A1065" s="1" t="s">
        <v>4886</v>
      </c>
      <c r="B1065" s="1" t="s">
        <v>4887</v>
      </c>
      <c r="C1065" s="1">
        <v>9300000</v>
      </c>
      <c r="D1065" s="1" t="s">
        <v>20</v>
      </c>
      <c r="E1065">
        <v>166.62289999999999</v>
      </c>
      <c r="F1065" s="1" t="s">
        <v>94</v>
      </c>
      <c r="G1065">
        <v>50</v>
      </c>
      <c r="H1065">
        <v>16</v>
      </c>
      <c r="I1065" s="1" t="s">
        <v>46</v>
      </c>
      <c r="J1065">
        <v>2</v>
      </c>
      <c r="K1065" t="str">
        <f>IF(Tb_data[[#This Row],[previous_workers]]&lt;Tb_data[[#This Row],[workers]],"yes","no")</f>
        <v>yes</v>
      </c>
      <c r="L1065">
        <f>Tb_data[[#This Row],[workers]]-Tb_data[[#This Row],[previous_workers]]</f>
        <v>34</v>
      </c>
      <c r="M1065" s="12">
        <f>Tb_data[[#This Row],[Employees Growth]]/Tb_data[[#This Row],[previous_workers]]</f>
        <v>2.125</v>
      </c>
    </row>
    <row r="1066" spans="1:13" x14ac:dyDescent="0.25">
      <c r="A1066" s="1" t="s">
        <v>2830</v>
      </c>
      <c r="B1066" s="1" t="s">
        <v>2831</v>
      </c>
      <c r="C1066" s="1">
        <v>21300000</v>
      </c>
      <c r="D1066" s="1" t="s">
        <v>120</v>
      </c>
      <c r="E1066">
        <v>305.4273</v>
      </c>
      <c r="F1066" s="1" t="s">
        <v>21</v>
      </c>
      <c r="G1066">
        <v>25</v>
      </c>
      <c r="H1066">
        <v>10</v>
      </c>
      <c r="I1066" s="1" t="s">
        <v>194</v>
      </c>
      <c r="J1066">
        <v>1</v>
      </c>
      <c r="K1066" t="str">
        <f>IF(Tb_data[[#This Row],[previous_workers]]&lt;Tb_data[[#This Row],[workers]],"yes","no")</f>
        <v>yes</v>
      </c>
      <c r="L1066">
        <f>Tb_data[[#This Row],[workers]]-Tb_data[[#This Row],[previous_workers]]</f>
        <v>15</v>
      </c>
      <c r="M1066" s="12">
        <f>Tb_data[[#This Row],[Employees Growth]]/Tb_data[[#This Row],[previous_workers]]</f>
        <v>1.5</v>
      </c>
    </row>
    <row r="1067" spans="1:13" x14ac:dyDescent="0.25">
      <c r="A1067" s="1" t="s">
        <v>3982</v>
      </c>
      <c r="B1067" s="1" t="s">
        <v>3983</v>
      </c>
      <c r="C1067" s="1">
        <v>2100000</v>
      </c>
      <c r="D1067" s="1" t="s">
        <v>45</v>
      </c>
      <c r="E1067">
        <v>207.78440000000001</v>
      </c>
      <c r="F1067" s="1" t="s">
        <v>86</v>
      </c>
      <c r="G1067">
        <v>45</v>
      </c>
      <c r="H1067">
        <v>28</v>
      </c>
      <c r="I1067" s="1" t="s">
        <v>117</v>
      </c>
      <c r="J1067">
        <v>1</v>
      </c>
      <c r="K1067" t="str">
        <f>IF(Tb_data[[#This Row],[previous_workers]]&lt;Tb_data[[#This Row],[workers]],"yes","no")</f>
        <v>yes</v>
      </c>
      <c r="L1067">
        <f>Tb_data[[#This Row],[workers]]-Tb_data[[#This Row],[previous_workers]]</f>
        <v>17</v>
      </c>
      <c r="M1067" s="12">
        <f>Tb_data[[#This Row],[Employees Growth]]/Tb_data[[#This Row],[previous_workers]]</f>
        <v>0.6071428571428571</v>
      </c>
    </row>
    <row r="1068" spans="1:13" x14ac:dyDescent="0.25">
      <c r="A1068" s="1" t="s">
        <v>4286</v>
      </c>
      <c r="B1068" s="1" t="s">
        <v>4287</v>
      </c>
      <c r="C1068" s="1">
        <v>36500000</v>
      </c>
      <c r="D1068" s="1" t="s">
        <v>41</v>
      </c>
      <c r="E1068">
        <v>191.47049999999999</v>
      </c>
      <c r="F1068" s="1" t="s">
        <v>124</v>
      </c>
      <c r="G1068">
        <v>20</v>
      </c>
      <c r="H1068">
        <v>2</v>
      </c>
      <c r="I1068" s="1" t="s">
        <v>117</v>
      </c>
      <c r="J1068">
        <v>1</v>
      </c>
      <c r="K1068" t="str">
        <f>IF(Tb_data[[#This Row],[previous_workers]]&lt;Tb_data[[#This Row],[workers]],"yes","no")</f>
        <v>yes</v>
      </c>
      <c r="L1068">
        <f>Tb_data[[#This Row],[workers]]-Tb_data[[#This Row],[previous_workers]]</f>
        <v>18</v>
      </c>
      <c r="M1068" s="12">
        <f>Tb_data[[#This Row],[Employees Growth]]/Tb_data[[#This Row],[previous_workers]]</f>
        <v>9</v>
      </c>
    </row>
    <row r="1069" spans="1:13" x14ac:dyDescent="0.25">
      <c r="A1069" s="1" t="s">
        <v>7995</v>
      </c>
      <c r="B1069" s="1" t="s">
        <v>7996</v>
      </c>
      <c r="C1069" s="1">
        <v>197200000</v>
      </c>
      <c r="D1069" s="1" t="s">
        <v>91</v>
      </c>
      <c r="E1069">
        <v>82.832700000000003</v>
      </c>
      <c r="F1069" s="1" t="s">
        <v>100</v>
      </c>
      <c r="G1069">
        <v>1777</v>
      </c>
      <c r="H1069">
        <v>1196</v>
      </c>
      <c r="I1069" s="1" t="s">
        <v>226</v>
      </c>
      <c r="J1069">
        <v>12</v>
      </c>
      <c r="K1069" t="str">
        <f>IF(Tb_data[[#This Row],[previous_workers]]&lt;Tb_data[[#This Row],[workers]],"yes","no")</f>
        <v>yes</v>
      </c>
      <c r="L1069">
        <f>Tb_data[[#This Row],[workers]]-Tb_data[[#This Row],[previous_workers]]</f>
        <v>581</v>
      </c>
      <c r="M1069" s="12">
        <f>Tb_data[[#This Row],[Employees Growth]]/Tb_data[[#This Row],[previous_workers]]</f>
        <v>0.48578595317725753</v>
      </c>
    </row>
    <row r="1070" spans="1:13" x14ac:dyDescent="0.25">
      <c r="A1070" s="1" t="s">
        <v>9069</v>
      </c>
      <c r="B1070" s="1" t="s">
        <v>9070</v>
      </c>
      <c r="C1070" s="1">
        <v>23000000</v>
      </c>
      <c r="D1070" s="1" t="s">
        <v>49</v>
      </c>
      <c r="E1070">
        <v>65.828400000000002</v>
      </c>
      <c r="F1070" s="1" t="s">
        <v>62</v>
      </c>
      <c r="G1070">
        <v>95</v>
      </c>
      <c r="H1070">
        <v>50</v>
      </c>
      <c r="I1070" s="1" t="s">
        <v>1411</v>
      </c>
      <c r="J1070">
        <v>1</v>
      </c>
      <c r="K1070" t="str">
        <f>IF(Tb_data[[#This Row],[previous_workers]]&lt;Tb_data[[#This Row],[workers]],"yes","no")</f>
        <v>yes</v>
      </c>
      <c r="L1070">
        <f>Tb_data[[#This Row],[workers]]-Tb_data[[#This Row],[previous_workers]]</f>
        <v>45</v>
      </c>
      <c r="M1070" s="12">
        <f>Tb_data[[#This Row],[Employees Growth]]/Tb_data[[#This Row],[previous_workers]]</f>
        <v>0.9</v>
      </c>
    </row>
    <row r="1071" spans="1:13" x14ac:dyDescent="0.25">
      <c r="A1071" s="1" t="s">
        <v>9443</v>
      </c>
      <c r="B1071" s="1" t="s">
        <v>9444</v>
      </c>
      <c r="C1071" s="1">
        <v>53000000</v>
      </c>
      <c r="D1071" s="1" t="s">
        <v>115</v>
      </c>
      <c r="E1071">
        <v>60.930599999999998</v>
      </c>
      <c r="F1071" s="1" t="s">
        <v>86</v>
      </c>
      <c r="G1071">
        <v>90</v>
      </c>
      <c r="H1071">
        <v>65</v>
      </c>
      <c r="I1071" s="1" t="s">
        <v>295</v>
      </c>
      <c r="J1071">
        <v>8</v>
      </c>
      <c r="K1071" t="str">
        <f>IF(Tb_data[[#This Row],[previous_workers]]&lt;Tb_data[[#This Row],[workers]],"yes","no")</f>
        <v>yes</v>
      </c>
      <c r="L1071">
        <f>Tb_data[[#This Row],[workers]]-Tb_data[[#This Row],[previous_workers]]</f>
        <v>25</v>
      </c>
      <c r="M1071" s="12">
        <f>Tb_data[[#This Row],[Employees Growth]]/Tb_data[[#This Row],[previous_workers]]</f>
        <v>0.38461538461538464</v>
      </c>
    </row>
    <row r="1072" spans="1:13" x14ac:dyDescent="0.25">
      <c r="A1072" s="1" t="s">
        <v>8635</v>
      </c>
      <c r="B1072" s="1" t="s">
        <v>8636</v>
      </c>
      <c r="C1072" s="1">
        <v>5100000</v>
      </c>
      <c r="D1072" s="1" t="s">
        <v>45</v>
      </c>
      <c r="E1072">
        <v>72.004800000000003</v>
      </c>
      <c r="F1072" s="1" t="s">
        <v>12</v>
      </c>
      <c r="G1072">
        <v>12</v>
      </c>
      <c r="H1072">
        <v>13</v>
      </c>
      <c r="I1072" s="1" t="s">
        <v>74</v>
      </c>
      <c r="J1072">
        <v>3</v>
      </c>
      <c r="K1072" t="str">
        <f>IF(Tb_data[[#This Row],[previous_workers]]&lt;Tb_data[[#This Row],[workers]],"yes","no")</f>
        <v>no</v>
      </c>
      <c r="L1072">
        <f>Tb_data[[#This Row],[workers]]-Tb_data[[#This Row],[previous_workers]]</f>
        <v>-1</v>
      </c>
      <c r="M1072" s="12">
        <f>Tb_data[[#This Row],[Employees Growth]]/Tb_data[[#This Row],[previous_workers]]</f>
        <v>-7.6923076923076927E-2</v>
      </c>
    </row>
    <row r="1073" spans="1:13" x14ac:dyDescent="0.25">
      <c r="A1073" s="1" t="s">
        <v>9720</v>
      </c>
      <c r="B1073" s="1" t="s">
        <v>9721</v>
      </c>
      <c r="C1073" s="1">
        <v>14500000</v>
      </c>
      <c r="D1073" s="1" t="s">
        <v>129</v>
      </c>
      <c r="E1073">
        <v>57.845199999999998</v>
      </c>
      <c r="F1073" s="1" t="s">
        <v>97</v>
      </c>
      <c r="G1073">
        <v>85</v>
      </c>
      <c r="H1073">
        <v>69</v>
      </c>
      <c r="I1073" s="1" t="s">
        <v>229</v>
      </c>
      <c r="J1073">
        <v>5</v>
      </c>
      <c r="K1073" t="str">
        <f>IF(Tb_data[[#This Row],[previous_workers]]&lt;Tb_data[[#This Row],[workers]],"yes","no")</f>
        <v>yes</v>
      </c>
      <c r="L1073">
        <f>Tb_data[[#This Row],[workers]]-Tb_data[[#This Row],[previous_workers]]</f>
        <v>16</v>
      </c>
      <c r="M1073" s="12">
        <f>Tb_data[[#This Row],[Employees Growth]]/Tb_data[[#This Row],[previous_workers]]</f>
        <v>0.2318840579710145</v>
      </c>
    </row>
    <row r="1074" spans="1:13" x14ac:dyDescent="0.25">
      <c r="A1074" s="1" t="s">
        <v>2372</v>
      </c>
      <c r="B1074" s="1" t="s">
        <v>2373</v>
      </c>
      <c r="C1074" s="1">
        <v>2100000</v>
      </c>
      <c r="D1074" s="1" t="s">
        <v>20</v>
      </c>
      <c r="E1074">
        <v>369.54610000000002</v>
      </c>
      <c r="F1074" s="1" t="s">
        <v>514</v>
      </c>
      <c r="G1074">
        <v>15</v>
      </c>
      <c r="H1074">
        <v>6</v>
      </c>
      <c r="I1074" s="1" t="s">
        <v>2374</v>
      </c>
      <c r="J1074">
        <v>1</v>
      </c>
      <c r="K1074" t="str">
        <f>IF(Tb_data[[#This Row],[previous_workers]]&lt;Tb_data[[#This Row],[workers]],"yes","no")</f>
        <v>yes</v>
      </c>
      <c r="L1074">
        <f>Tb_data[[#This Row],[workers]]-Tb_data[[#This Row],[previous_workers]]</f>
        <v>9</v>
      </c>
      <c r="M1074" s="12">
        <f>Tb_data[[#This Row],[Employees Growth]]/Tb_data[[#This Row],[previous_workers]]</f>
        <v>1.5</v>
      </c>
    </row>
    <row r="1075" spans="1:13" x14ac:dyDescent="0.25">
      <c r="A1075" s="1" t="s">
        <v>3398</v>
      </c>
      <c r="B1075" s="1" t="s">
        <v>3399</v>
      </c>
      <c r="C1075" s="1">
        <v>3600000</v>
      </c>
      <c r="D1075" s="1" t="s">
        <v>16</v>
      </c>
      <c r="E1075">
        <v>251.95419999999999</v>
      </c>
      <c r="F1075" s="1" t="s">
        <v>124</v>
      </c>
      <c r="G1075">
        <v>8</v>
      </c>
      <c r="H1075">
        <v>3</v>
      </c>
      <c r="I1075" s="1" t="s">
        <v>961</v>
      </c>
      <c r="J1075">
        <v>1</v>
      </c>
      <c r="K1075" t="str">
        <f>IF(Tb_data[[#This Row],[previous_workers]]&lt;Tb_data[[#This Row],[workers]],"yes","no")</f>
        <v>yes</v>
      </c>
      <c r="L1075">
        <f>Tb_data[[#This Row],[workers]]-Tb_data[[#This Row],[previous_workers]]</f>
        <v>5</v>
      </c>
      <c r="M1075" s="12">
        <f>Tb_data[[#This Row],[Employees Growth]]/Tb_data[[#This Row],[previous_workers]]</f>
        <v>1.6666666666666667</v>
      </c>
    </row>
    <row r="1076" spans="1:13" x14ac:dyDescent="0.25">
      <c r="A1076" s="1" t="s">
        <v>4836</v>
      </c>
      <c r="B1076" s="1" t="s">
        <v>4837</v>
      </c>
      <c r="C1076" s="1">
        <v>6200000</v>
      </c>
      <c r="D1076" s="1" t="s">
        <v>49</v>
      </c>
      <c r="E1076">
        <v>168.68780000000001</v>
      </c>
      <c r="F1076" s="1" t="s">
        <v>12</v>
      </c>
      <c r="G1076">
        <v>24</v>
      </c>
      <c r="H1076">
        <v>6</v>
      </c>
      <c r="I1076" s="1" t="s">
        <v>55</v>
      </c>
      <c r="J1076">
        <v>2</v>
      </c>
      <c r="K1076" t="str">
        <f>IF(Tb_data[[#This Row],[previous_workers]]&lt;Tb_data[[#This Row],[workers]],"yes","no")</f>
        <v>yes</v>
      </c>
      <c r="L1076">
        <f>Tb_data[[#This Row],[workers]]-Tb_data[[#This Row],[previous_workers]]</f>
        <v>18</v>
      </c>
      <c r="M1076" s="12">
        <f>Tb_data[[#This Row],[Employees Growth]]/Tb_data[[#This Row],[previous_workers]]</f>
        <v>3</v>
      </c>
    </row>
    <row r="1077" spans="1:13" x14ac:dyDescent="0.25">
      <c r="A1077" s="1" t="s">
        <v>8827</v>
      </c>
      <c r="B1077" s="1" t="s">
        <v>8828</v>
      </c>
      <c r="C1077" s="1">
        <v>1000000000</v>
      </c>
      <c r="D1077" s="1" t="s">
        <v>895</v>
      </c>
      <c r="E1077">
        <v>68.988900000000001</v>
      </c>
      <c r="F1077" s="1" t="s">
        <v>42</v>
      </c>
      <c r="G1077">
        <v>1866</v>
      </c>
      <c r="H1077">
        <v>1276</v>
      </c>
      <c r="I1077" s="1" t="s">
        <v>468</v>
      </c>
      <c r="J1077">
        <v>11</v>
      </c>
      <c r="K1077" t="str">
        <f>IF(Tb_data[[#This Row],[previous_workers]]&lt;Tb_data[[#This Row],[workers]],"yes","no")</f>
        <v>yes</v>
      </c>
      <c r="L1077">
        <f>Tb_data[[#This Row],[workers]]-Tb_data[[#This Row],[previous_workers]]</f>
        <v>590</v>
      </c>
      <c r="M1077" s="12">
        <f>Tb_data[[#This Row],[Employees Growth]]/Tb_data[[#This Row],[previous_workers]]</f>
        <v>0.46238244514106586</v>
      </c>
    </row>
    <row r="1078" spans="1:13" x14ac:dyDescent="0.25">
      <c r="A1078" s="1" t="s">
        <v>3499</v>
      </c>
      <c r="B1078" s="1" t="s">
        <v>3500</v>
      </c>
      <c r="C1078" s="1">
        <v>29300000</v>
      </c>
      <c r="D1078" s="1" t="s">
        <v>1021</v>
      </c>
      <c r="E1078">
        <v>242.46639999999999</v>
      </c>
      <c r="F1078" s="1" t="s">
        <v>116</v>
      </c>
      <c r="G1078">
        <v>239</v>
      </c>
      <c r="H1078">
        <v>155</v>
      </c>
      <c r="I1078" s="1" t="s">
        <v>1622</v>
      </c>
      <c r="J1078">
        <v>3</v>
      </c>
      <c r="K1078" t="str">
        <f>IF(Tb_data[[#This Row],[previous_workers]]&lt;Tb_data[[#This Row],[workers]],"yes","no")</f>
        <v>yes</v>
      </c>
      <c r="L1078">
        <f>Tb_data[[#This Row],[workers]]-Tb_data[[#This Row],[previous_workers]]</f>
        <v>84</v>
      </c>
      <c r="M1078" s="12">
        <f>Tb_data[[#This Row],[Employees Growth]]/Tb_data[[#This Row],[previous_workers]]</f>
        <v>0.54193548387096779</v>
      </c>
    </row>
    <row r="1079" spans="1:13" x14ac:dyDescent="0.25">
      <c r="A1079" s="1" t="s">
        <v>6229</v>
      </c>
      <c r="B1079" s="1" t="s">
        <v>6230</v>
      </c>
      <c r="C1079" s="1">
        <v>66900000</v>
      </c>
      <c r="D1079" s="1" t="s">
        <v>20</v>
      </c>
      <c r="E1079">
        <v>120.767</v>
      </c>
      <c r="F1079" s="1" t="s">
        <v>100</v>
      </c>
      <c r="G1079">
        <v>175</v>
      </c>
      <c r="H1079">
        <v>78</v>
      </c>
      <c r="I1079" s="1" t="s">
        <v>46</v>
      </c>
      <c r="J1079">
        <v>5</v>
      </c>
      <c r="K1079" t="str">
        <f>IF(Tb_data[[#This Row],[previous_workers]]&lt;Tb_data[[#This Row],[workers]],"yes","no")</f>
        <v>yes</v>
      </c>
      <c r="L1079">
        <f>Tb_data[[#This Row],[workers]]-Tb_data[[#This Row],[previous_workers]]</f>
        <v>97</v>
      </c>
      <c r="M1079" s="12">
        <f>Tb_data[[#This Row],[Employees Growth]]/Tb_data[[#This Row],[previous_workers]]</f>
        <v>1.2435897435897436</v>
      </c>
    </row>
    <row r="1080" spans="1:13" x14ac:dyDescent="0.25">
      <c r="A1080" s="1" t="s">
        <v>4513</v>
      </c>
      <c r="B1080" s="1" t="s">
        <v>4514</v>
      </c>
      <c r="C1080" s="1">
        <v>2200000</v>
      </c>
      <c r="D1080" s="1" t="s">
        <v>20</v>
      </c>
      <c r="E1080">
        <v>181.9709</v>
      </c>
      <c r="F1080" s="1" t="s">
        <v>156</v>
      </c>
      <c r="G1080">
        <v>18</v>
      </c>
      <c r="H1080">
        <v>8</v>
      </c>
      <c r="I1080" s="1" t="s">
        <v>13</v>
      </c>
      <c r="J1080">
        <v>1</v>
      </c>
      <c r="K1080" t="str">
        <f>IF(Tb_data[[#This Row],[previous_workers]]&lt;Tb_data[[#This Row],[workers]],"yes","no")</f>
        <v>yes</v>
      </c>
      <c r="L1080">
        <f>Tb_data[[#This Row],[workers]]-Tb_data[[#This Row],[previous_workers]]</f>
        <v>10</v>
      </c>
      <c r="M1080" s="12">
        <f>Tb_data[[#This Row],[Employees Growth]]/Tb_data[[#This Row],[previous_workers]]</f>
        <v>1.25</v>
      </c>
    </row>
    <row r="1081" spans="1:13" x14ac:dyDescent="0.25">
      <c r="A1081" s="1" t="s">
        <v>8245</v>
      </c>
      <c r="B1081" s="1" t="s">
        <v>8246</v>
      </c>
      <c r="C1081" s="1">
        <v>22300000</v>
      </c>
      <c r="D1081" s="1" t="s">
        <v>120</v>
      </c>
      <c r="E1081">
        <v>78.441900000000004</v>
      </c>
      <c r="F1081" s="1" t="s">
        <v>514</v>
      </c>
      <c r="G1081">
        <v>135</v>
      </c>
      <c r="H1081">
        <v>105</v>
      </c>
      <c r="I1081" s="1" t="s">
        <v>372</v>
      </c>
      <c r="J1081">
        <v>2</v>
      </c>
      <c r="K1081" t="str">
        <f>IF(Tb_data[[#This Row],[previous_workers]]&lt;Tb_data[[#This Row],[workers]],"yes","no")</f>
        <v>yes</v>
      </c>
      <c r="L1081">
        <f>Tb_data[[#This Row],[workers]]-Tb_data[[#This Row],[previous_workers]]</f>
        <v>30</v>
      </c>
      <c r="M1081" s="12">
        <f>Tb_data[[#This Row],[Employees Growth]]/Tb_data[[#This Row],[previous_workers]]</f>
        <v>0.2857142857142857</v>
      </c>
    </row>
    <row r="1082" spans="1:13" x14ac:dyDescent="0.25">
      <c r="A1082" s="1" t="s">
        <v>7132</v>
      </c>
      <c r="B1082" s="1" t="s">
        <v>7133</v>
      </c>
      <c r="C1082" s="1">
        <v>30300000</v>
      </c>
      <c r="D1082" s="1" t="s">
        <v>627</v>
      </c>
      <c r="E1082">
        <v>99.632000000000005</v>
      </c>
      <c r="F1082" s="1" t="s">
        <v>124</v>
      </c>
      <c r="G1082">
        <v>69</v>
      </c>
      <c r="H1082">
        <v>37</v>
      </c>
      <c r="I1082" s="1" t="s">
        <v>35</v>
      </c>
      <c r="J1082">
        <v>2</v>
      </c>
      <c r="K1082" t="str">
        <f>IF(Tb_data[[#This Row],[previous_workers]]&lt;Tb_data[[#This Row],[workers]],"yes","no")</f>
        <v>yes</v>
      </c>
      <c r="L1082">
        <f>Tb_data[[#This Row],[workers]]-Tb_data[[#This Row],[previous_workers]]</f>
        <v>32</v>
      </c>
      <c r="M1082" s="12">
        <f>Tb_data[[#This Row],[Employees Growth]]/Tb_data[[#This Row],[previous_workers]]</f>
        <v>0.86486486486486491</v>
      </c>
    </row>
    <row r="1083" spans="1:13" x14ac:dyDescent="0.25">
      <c r="A1083" s="1" t="s">
        <v>7943</v>
      </c>
      <c r="B1083" s="1" t="s">
        <v>7944</v>
      </c>
      <c r="C1083" s="1">
        <v>4500000</v>
      </c>
      <c r="D1083" s="1" t="s">
        <v>41</v>
      </c>
      <c r="E1083">
        <v>84.152199999999993</v>
      </c>
      <c r="F1083" s="1" t="s">
        <v>97</v>
      </c>
      <c r="G1083">
        <v>46</v>
      </c>
      <c r="H1083">
        <v>37</v>
      </c>
      <c r="I1083" s="1" t="s">
        <v>74</v>
      </c>
      <c r="J1083">
        <v>3</v>
      </c>
      <c r="K1083" t="str">
        <f>IF(Tb_data[[#This Row],[previous_workers]]&lt;Tb_data[[#This Row],[workers]],"yes","no")</f>
        <v>yes</v>
      </c>
      <c r="L1083">
        <f>Tb_data[[#This Row],[workers]]-Tb_data[[#This Row],[previous_workers]]</f>
        <v>9</v>
      </c>
      <c r="M1083" s="12">
        <f>Tb_data[[#This Row],[Employees Growth]]/Tb_data[[#This Row],[previous_workers]]</f>
        <v>0.24324324324324326</v>
      </c>
    </row>
    <row r="1084" spans="1:13" x14ac:dyDescent="0.25">
      <c r="A1084" s="1" t="s">
        <v>5014</v>
      </c>
      <c r="B1084" s="1" t="s">
        <v>5015</v>
      </c>
      <c r="C1084" s="1">
        <v>75500000</v>
      </c>
      <c r="D1084" s="1" t="s">
        <v>61</v>
      </c>
      <c r="E1084">
        <v>161.29419999999999</v>
      </c>
      <c r="F1084" s="1" t="s">
        <v>100</v>
      </c>
      <c r="G1084">
        <v>580</v>
      </c>
      <c r="H1084">
        <v>143</v>
      </c>
      <c r="I1084" s="1" t="s">
        <v>35</v>
      </c>
      <c r="J1084">
        <v>4</v>
      </c>
      <c r="K1084" t="str">
        <f>IF(Tb_data[[#This Row],[previous_workers]]&lt;Tb_data[[#This Row],[workers]],"yes","no")</f>
        <v>yes</v>
      </c>
      <c r="L1084">
        <f>Tb_data[[#This Row],[workers]]-Tb_data[[#This Row],[previous_workers]]</f>
        <v>437</v>
      </c>
      <c r="M1084" s="12">
        <f>Tb_data[[#This Row],[Employees Growth]]/Tb_data[[#This Row],[previous_workers]]</f>
        <v>3.0559440559440558</v>
      </c>
    </row>
    <row r="1085" spans="1:13" x14ac:dyDescent="0.25">
      <c r="A1085" s="1" t="s">
        <v>4848</v>
      </c>
      <c r="B1085" s="1" t="s">
        <v>4849</v>
      </c>
      <c r="C1085" s="1">
        <v>5700000</v>
      </c>
      <c r="D1085" s="1" t="s">
        <v>1002</v>
      </c>
      <c r="E1085">
        <v>168.04560000000001</v>
      </c>
      <c r="F1085" s="1" t="s">
        <v>12</v>
      </c>
      <c r="G1085">
        <v>47</v>
      </c>
      <c r="H1085">
        <v>14</v>
      </c>
      <c r="I1085" s="1" t="s">
        <v>164</v>
      </c>
      <c r="J1085">
        <v>4</v>
      </c>
      <c r="K1085" t="str">
        <f>IF(Tb_data[[#This Row],[previous_workers]]&lt;Tb_data[[#This Row],[workers]],"yes","no")</f>
        <v>yes</v>
      </c>
      <c r="L1085">
        <f>Tb_data[[#This Row],[workers]]-Tb_data[[#This Row],[previous_workers]]</f>
        <v>33</v>
      </c>
      <c r="M1085" s="12">
        <f>Tb_data[[#This Row],[Employees Growth]]/Tb_data[[#This Row],[previous_workers]]</f>
        <v>2.3571428571428572</v>
      </c>
    </row>
    <row r="1086" spans="1:13" x14ac:dyDescent="0.25">
      <c r="A1086" s="1" t="s">
        <v>9183</v>
      </c>
      <c r="B1086" s="1" t="s">
        <v>9184</v>
      </c>
      <c r="C1086" s="1">
        <v>17700000</v>
      </c>
      <c r="D1086" s="1" t="s">
        <v>33</v>
      </c>
      <c r="E1086">
        <v>64.325900000000004</v>
      </c>
      <c r="F1086" s="1" t="s">
        <v>156</v>
      </c>
      <c r="G1086">
        <v>89</v>
      </c>
      <c r="H1086">
        <v>55</v>
      </c>
      <c r="I1086" s="1" t="s">
        <v>229</v>
      </c>
      <c r="J1086">
        <v>10</v>
      </c>
      <c r="K1086" t="str">
        <f>IF(Tb_data[[#This Row],[previous_workers]]&lt;Tb_data[[#This Row],[workers]],"yes","no")</f>
        <v>yes</v>
      </c>
      <c r="L1086">
        <f>Tb_data[[#This Row],[workers]]-Tb_data[[#This Row],[previous_workers]]</f>
        <v>34</v>
      </c>
      <c r="M1086" s="12">
        <f>Tb_data[[#This Row],[Employees Growth]]/Tb_data[[#This Row],[previous_workers]]</f>
        <v>0.61818181818181817</v>
      </c>
    </row>
    <row r="1087" spans="1:13" x14ac:dyDescent="0.25">
      <c r="A1087" s="1" t="s">
        <v>6613</v>
      </c>
      <c r="B1087" s="1" t="s">
        <v>6614</v>
      </c>
      <c r="C1087" s="1">
        <v>990600000</v>
      </c>
      <c r="D1087" s="1" t="s">
        <v>254</v>
      </c>
      <c r="E1087">
        <v>111.14100000000001</v>
      </c>
      <c r="F1087" s="1" t="s">
        <v>152</v>
      </c>
      <c r="G1087">
        <v>4112</v>
      </c>
      <c r="H1087">
        <v>2136</v>
      </c>
      <c r="I1087" s="1" t="s">
        <v>1051</v>
      </c>
      <c r="J1087">
        <v>3</v>
      </c>
      <c r="K1087" t="str">
        <f>IF(Tb_data[[#This Row],[previous_workers]]&lt;Tb_data[[#This Row],[workers]],"yes","no")</f>
        <v>yes</v>
      </c>
      <c r="L1087">
        <f>Tb_data[[#This Row],[workers]]-Tb_data[[#This Row],[previous_workers]]</f>
        <v>1976</v>
      </c>
      <c r="M1087" s="12">
        <f>Tb_data[[#This Row],[Employees Growth]]/Tb_data[[#This Row],[previous_workers]]</f>
        <v>0.92509363295880154</v>
      </c>
    </row>
    <row r="1088" spans="1:13" x14ac:dyDescent="0.25">
      <c r="A1088" s="1" t="s">
        <v>5030</v>
      </c>
      <c r="B1088" s="1" t="s">
        <v>5031</v>
      </c>
      <c r="C1088" s="1">
        <v>12300000</v>
      </c>
      <c r="D1088" s="1" t="s">
        <v>16</v>
      </c>
      <c r="E1088">
        <v>160.57300000000001</v>
      </c>
      <c r="F1088" s="1" t="s">
        <v>156</v>
      </c>
      <c r="G1088">
        <v>30</v>
      </c>
      <c r="H1088">
        <v>14</v>
      </c>
      <c r="I1088" s="1" t="s">
        <v>35</v>
      </c>
      <c r="J1088">
        <v>5</v>
      </c>
      <c r="K1088" t="str">
        <f>IF(Tb_data[[#This Row],[previous_workers]]&lt;Tb_data[[#This Row],[workers]],"yes","no")</f>
        <v>yes</v>
      </c>
      <c r="L1088">
        <f>Tb_data[[#This Row],[workers]]-Tb_data[[#This Row],[previous_workers]]</f>
        <v>16</v>
      </c>
      <c r="M1088" s="12">
        <f>Tb_data[[#This Row],[Employees Growth]]/Tb_data[[#This Row],[previous_workers]]</f>
        <v>1.1428571428571428</v>
      </c>
    </row>
    <row r="1089" spans="1:13" x14ac:dyDescent="0.25">
      <c r="A1089" s="1" t="s">
        <v>4014</v>
      </c>
      <c r="B1089" s="1" t="s">
        <v>4015</v>
      </c>
      <c r="C1089" s="1">
        <v>38100000</v>
      </c>
      <c r="D1089" s="1" t="s">
        <v>49</v>
      </c>
      <c r="E1089">
        <v>206.1028</v>
      </c>
      <c r="F1089" s="1" t="s">
        <v>86</v>
      </c>
      <c r="G1089">
        <v>237</v>
      </c>
      <c r="H1089">
        <v>120</v>
      </c>
      <c r="I1089" s="1" t="s">
        <v>194</v>
      </c>
      <c r="J1089">
        <v>4</v>
      </c>
      <c r="K1089" t="str">
        <f>IF(Tb_data[[#This Row],[previous_workers]]&lt;Tb_data[[#This Row],[workers]],"yes","no")</f>
        <v>yes</v>
      </c>
      <c r="L1089">
        <f>Tb_data[[#This Row],[workers]]-Tb_data[[#This Row],[previous_workers]]</f>
        <v>117</v>
      </c>
      <c r="M1089" s="12">
        <f>Tb_data[[#This Row],[Employees Growth]]/Tb_data[[#This Row],[previous_workers]]</f>
        <v>0.97499999999999998</v>
      </c>
    </row>
    <row r="1090" spans="1:13" x14ac:dyDescent="0.25">
      <c r="A1090" s="1" t="s">
        <v>1274</v>
      </c>
      <c r="B1090" s="1" t="s">
        <v>1275</v>
      </c>
      <c r="C1090" s="1">
        <v>18800000</v>
      </c>
      <c r="D1090" s="1" t="s">
        <v>58</v>
      </c>
      <c r="E1090">
        <v>754.75789999999995</v>
      </c>
      <c r="F1090" s="1" t="s">
        <v>12</v>
      </c>
      <c r="G1090">
        <v>33</v>
      </c>
      <c r="H1090">
        <v>8</v>
      </c>
      <c r="I1090" s="1" t="s">
        <v>117</v>
      </c>
      <c r="J1090">
        <v>4</v>
      </c>
      <c r="K1090" t="str">
        <f>IF(Tb_data[[#This Row],[previous_workers]]&lt;Tb_data[[#This Row],[workers]],"yes","no")</f>
        <v>yes</v>
      </c>
      <c r="L1090">
        <f>Tb_data[[#This Row],[workers]]-Tb_data[[#This Row],[previous_workers]]</f>
        <v>25</v>
      </c>
      <c r="M1090" s="12">
        <f>Tb_data[[#This Row],[Employees Growth]]/Tb_data[[#This Row],[previous_workers]]</f>
        <v>3.125</v>
      </c>
    </row>
    <row r="1091" spans="1:13" x14ac:dyDescent="0.25">
      <c r="A1091" s="1" t="s">
        <v>1866</v>
      </c>
      <c r="B1091" s="1" t="s">
        <v>1867</v>
      </c>
      <c r="C1091" s="1">
        <v>39800000</v>
      </c>
      <c r="D1091" s="1" t="s">
        <v>49</v>
      </c>
      <c r="E1091">
        <v>484.63889999999998</v>
      </c>
      <c r="F1091" s="1" t="s">
        <v>86</v>
      </c>
      <c r="G1091">
        <v>86</v>
      </c>
      <c r="H1091">
        <v>10</v>
      </c>
      <c r="I1091" s="1" t="s">
        <v>13</v>
      </c>
      <c r="J1091">
        <v>2</v>
      </c>
      <c r="K1091" t="str">
        <f>IF(Tb_data[[#This Row],[previous_workers]]&lt;Tb_data[[#This Row],[workers]],"yes","no")</f>
        <v>yes</v>
      </c>
      <c r="L1091">
        <f>Tb_data[[#This Row],[workers]]-Tb_data[[#This Row],[previous_workers]]</f>
        <v>76</v>
      </c>
      <c r="M1091" s="12">
        <f>Tb_data[[#This Row],[Employees Growth]]/Tb_data[[#This Row],[previous_workers]]</f>
        <v>7.6</v>
      </c>
    </row>
    <row r="1092" spans="1:13" x14ac:dyDescent="0.25">
      <c r="A1092" s="1" t="s">
        <v>6733</v>
      </c>
      <c r="B1092" s="1" t="s">
        <v>6734</v>
      </c>
      <c r="C1092" s="1">
        <v>9600000</v>
      </c>
      <c r="D1092" s="1" t="s">
        <v>33</v>
      </c>
      <c r="E1092">
        <v>108.2013</v>
      </c>
      <c r="F1092" s="1" t="s">
        <v>12</v>
      </c>
      <c r="G1092">
        <v>25</v>
      </c>
      <c r="H1092">
        <v>14</v>
      </c>
      <c r="I1092" s="1" t="s">
        <v>35</v>
      </c>
      <c r="J1092">
        <v>3</v>
      </c>
      <c r="K1092" t="str">
        <f>IF(Tb_data[[#This Row],[previous_workers]]&lt;Tb_data[[#This Row],[workers]],"yes","no")</f>
        <v>yes</v>
      </c>
      <c r="L1092">
        <f>Tb_data[[#This Row],[workers]]-Tb_data[[#This Row],[previous_workers]]</f>
        <v>11</v>
      </c>
      <c r="M1092" s="12">
        <f>Tb_data[[#This Row],[Employees Growth]]/Tb_data[[#This Row],[previous_workers]]</f>
        <v>0.7857142857142857</v>
      </c>
    </row>
    <row r="1093" spans="1:13" x14ac:dyDescent="0.25">
      <c r="A1093" s="1" t="s">
        <v>83</v>
      </c>
      <c r="B1093" s="1" t="s">
        <v>84</v>
      </c>
      <c r="C1093" s="1">
        <v>13800000</v>
      </c>
      <c r="D1093" s="1" t="s">
        <v>85</v>
      </c>
      <c r="E1093">
        <v>7965.9741000000004</v>
      </c>
      <c r="F1093" s="1" t="s">
        <v>86</v>
      </c>
      <c r="G1093">
        <v>37</v>
      </c>
      <c r="H1093">
        <v>10</v>
      </c>
      <c r="I1093" s="1" t="s">
        <v>55</v>
      </c>
      <c r="J1093">
        <v>2</v>
      </c>
      <c r="K1093" t="str">
        <f>IF(Tb_data[[#This Row],[previous_workers]]&lt;Tb_data[[#This Row],[workers]],"yes","no")</f>
        <v>yes</v>
      </c>
      <c r="L1093">
        <f>Tb_data[[#This Row],[workers]]-Tb_data[[#This Row],[previous_workers]]</f>
        <v>27</v>
      </c>
      <c r="M1093" s="12">
        <f>Tb_data[[#This Row],[Employees Growth]]/Tb_data[[#This Row],[previous_workers]]</f>
        <v>2.7</v>
      </c>
    </row>
    <row r="1094" spans="1:13" x14ac:dyDescent="0.25">
      <c r="A1094" s="1" t="s">
        <v>7957</v>
      </c>
      <c r="B1094" s="1" t="s">
        <v>7958</v>
      </c>
      <c r="C1094" s="1">
        <v>53000000</v>
      </c>
      <c r="D1094" s="1" t="s">
        <v>49</v>
      </c>
      <c r="E1094">
        <v>83.811700000000002</v>
      </c>
      <c r="F1094" s="1" t="s">
        <v>12</v>
      </c>
      <c r="G1094">
        <v>27</v>
      </c>
      <c r="H1094">
        <v>18</v>
      </c>
      <c r="I1094" s="1" t="s">
        <v>35</v>
      </c>
      <c r="J1094">
        <v>1</v>
      </c>
      <c r="K1094" t="str">
        <f>IF(Tb_data[[#This Row],[previous_workers]]&lt;Tb_data[[#This Row],[workers]],"yes","no")</f>
        <v>yes</v>
      </c>
      <c r="L1094">
        <f>Tb_data[[#This Row],[workers]]-Tb_data[[#This Row],[previous_workers]]</f>
        <v>9</v>
      </c>
      <c r="M1094" s="12">
        <f>Tb_data[[#This Row],[Employees Growth]]/Tb_data[[#This Row],[previous_workers]]</f>
        <v>0.5</v>
      </c>
    </row>
    <row r="1095" spans="1:13" x14ac:dyDescent="0.25">
      <c r="A1095" s="1" t="s">
        <v>6541</v>
      </c>
      <c r="B1095" s="1" t="s">
        <v>6542</v>
      </c>
      <c r="C1095" s="1">
        <v>2500000</v>
      </c>
      <c r="D1095" s="1" t="s">
        <v>61</v>
      </c>
      <c r="E1095">
        <v>112.8704</v>
      </c>
      <c r="F1095" s="1" t="s">
        <v>86</v>
      </c>
      <c r="G1095">
        <v>35</v>
      </c>
      <c r="H1095">
        <v>31</v>
      </c>
      <c r="I1095" s="1" t="s">
        <v>130</v>
      </c>
      <c r="J1095">
        <v>1</v>
      </c>
      <c r="K1095" t="str">
        <f>IF(Tb_data[[#This Row],[previous_workers]]&lt;Tb_data[[#This Row],[workers]],"yes","no")</f>
        <v>yes</v>
      </c>
      <c r="L1095">
        <f>Tb_data[[#This Row],[workers]]-Tb_data[[#This Row],[previous_workers]]</f>
        <v>4</v>
      </c>
      <c r="M1095" s="12">
        <f>Tb_data[[#This Row],[Employees Growth]]/Tb_data[[#This Row],[previous_workers]]</f>
        <v>0.12903225806451613</v>
      </c>
    </row>
    <row r="1096" spans="1:13" x14ac:dyDescent="0.25">
      <c r="A1096" s="1" t="s">
        <v>8661</v>
      </c>
      <c r="B1096" s="1" t="s">
        <v>8662</v>
      </c>
      <c r="C1096" s="1">
        <v>67100000</v>
      </c>
      <c r="D1096" s="1" t="s">
        <v>895</v>
      </c>
      <c r="E1096">
        <v>71.503600000000006</v>
      </c>
      <c r="F1096" s="1" t="s">
        <v>152</v>
      </c>
      <c r="G1096">
        <v>325</v>
      </c>
      <c r="H1096">
        <v>210</v>
      </c>
      <c r="I1096" s="1" t="s">
        <v>229</v>
      </c>
      <c r="J1096">
        <v>1</v>
      </c>
      <c r="K1096" t="str">
        <f>IF(Tb_data[[#This Row],[previous_workers]]&lt;Tb_data[[#This Row],[workers]],"yes","no")</f>
        <v>yes</v>
      </c>
      <c r="L1096">
        <f>Tb_data[[#This Row],[workers]]-Tb_data[[#This Row],[previous_workers]]</f>
        <v>115</v>
      </c>
      <c r="M1096" s="12">
        <f>Tb_data[[#This Row],[Employees Growth]]/Tb_data[[#This Row],[previous_workers]]</f>
        <v>0.54761904761904767</v>
      </c>
    </row>
    <row r="1097" spans="1:13" x14ac:dyDescent="0.25">
      <c r="A1097" s="1" t="s">
        <v>3197</v>
      </c>
      <c r="B1097" s="1" t="s">
        <v>3198</v>
      </c>
      <c r="C1097" s="1">
        <v>2800000</v>
      </c>
      <c r="D1097" s="1" t="s">
        <v>91</v>
      </c>
      <c r="E1097">
        <v>269.39339999999999</v>
      </c>
      <c r="F1097" s="1" t="s">
        <v>25</v>
      </c>
      <c r="G1097">
        <v>102</v>
      </c>
      <c r="H1097">
        <v>42</v>
      </c>
      <c r="I1097" s="1" t="s">
        <v>836</v>
      </c>
      <c r="J1097">
        <v>3</v>
      </c>
      <c r="K1097" t="str">
        <f>IF(Tb_data[[#This Row],[previous_workers]]&lt;Tb_data[[#This Row],[workers]],"yes","no")</f>
        <v>yes</v>
      </c>
      <c r="L1097">
        <f>Tb_data[[#This Row],[workers]]-Tb_data[[#This Row],[previous_workers]]</f>
        <v>60</v>
      </c>
      <c r="M1097" s="12">
        <f>Tb_data[[#This Row],[Employees Growth]]/Tb_data[[#This Row],[previous_workers]]</f>
        <v>1.4285714285714286</v>
      </c>
    </row>
    <row r="1098" spans="1:13" x14ac:dyDescent="0.25">
      <c r="A1098" s="1" t="s">
        <v>7443</v>
      </c>
      <c r="B1098" s="1" t="s">
        <v>7444</v>
      </c>
      <c r="C1098" s="1">
        <v>10500000</v>
      </c>
      <c r="D1098" s="1" t="s">
        <v>49</v>
      </c>
      <c r="E1098">
        <v>94.444400000000002</v>
      </c>
      <c r="F1098" s="1" t="s">
        <v>21</v>
      </c>
      <c r="G1098">
        <v>50</v>
      </c>
      <c r="H1098">
        <v>40</v>
      </c>
      <c r="I1098" s="1" t="s">
        <v>35</v>
      </c>
      <c r="J1098">
        <v>1</v>
      </c>
      <c r="K1098" t="str">
        <f>IF(Tb_data[[#This Row],[previous_workers]]&lt;Tb_data[[#This Row],[workers]],"yes","no")</f>
        <v>yes</v>
      </c>
      <c r="L1098">
        <f>Tb_data[[#This Row],[workers]]-Tb_data[[#This Row],[previous_workers]]</f>
        <v>10</v>
      </c>
      <c r="M1098" s="12">
        <f>Tb_data[[#This Row],[Employees Growth]]/Tb_data[[#This Row],[previous_workers]]</f>
        <v>0.25</v>
      </c>
    </row>
    <row r="1099" spans="1:13" x14ac:dyDescent="0.25">
      <c r="A1099" s="1" t="s">
        <v>7577</v>
      </c>
      <c r="B1099" s="1" t="s">
        <v>7578</v>
      </c>
      <c r="C1099" s="1">
        <v>282300000</v>
      </c>
      <c r="D1099" s="1" t="s">
        <v>254</v>
      </c>
      <c r="E1099">
        <v>90.9101</v>
      </c>
      <c r="F1099" s="1" t="s">
        <v>21</v>
      </c>
      <c r="G1099">
        <v>4817</v>
      </c>
      <c r="H1099">
        <v>2884</v>
      </c>
      <c r="I1099" s="1" t="s">
        <v>295</v>
      </c>
      <c r="J1099">
        <v>7</v>
      </c>
      <c r="K1099" t="str">
        <f>IF(Tb_data[[#This Row],[previous_workers]]&lt;Tb_data[[#This Row],[workers]],"yes","no")</f>
        <v>yes</v>
      </c>
      <c r="L1099">
        <f>Tb_data[[#This Row],[workers]]-Tb_data[[#This Row],[previous_workers]]</f>
        <v>1933</v>
      </c>
      <c r="M1099" s="12">
        <f>Tb_data[[#This Row],[Employees Growth]]/Tb_data[[#This Row],[previous_workers]]</f>
        <v>0.67024965325936203</v>
      </c>
    </row>
    <row r="1100" spans="1:13" x14ac:dyDescent="0.25">
      <c r="A1100" s="1" t="s">
        <v>3555</v>
      </c>
      <c r="B1100" s="1" t="s">
        <v>3556</v>
      </c>
      <c r="C1100" s="1">
        <v>19700000</v>
      </c>
      <c r="D1100" s="1" t="s">
        <v>33</v>
      </c>
      <c r="E1100">
        <v>237.18809999999999</v>
      </c>
      <c r="F1100" s="1" t="s">
        <v>97</v>
      </c>
      <c r="G1100">
        <v>12</v>
      </c>
      <c r="H1100">
        <v>1</v>
      </c>
      <c r="I1100" s="1" t="s">
        <v>26</v>
      </c>
      <c r="J1100">
        <v>2</v>
      </c>
      <c r="K1100" t="str">
        <f>IF(Tb_data[[#This Row],[previous_workers]]&lt;Tb_data[[#This Row],[workers]],"yes","no")</f>
        <v>yes</v>
      </c>
      <c r="L1100">
        <f>Tb_data[[#This Row],[workers]]-Tb_data[[#This Row],[previous_workers]]</f>
        <v>11</v>
      </c>
      <c r="M1100" s="12">
        <f>Tb_data[[#This Row],[Employees Growth]]/Tb_data[[#This Row],[previous_workers]]</f>
        <v>11</v>
      </c>
    </row>
    <row r="1101" spans="1:13" x14ac:dyDescent="0.25">
      <c r="A1101" s="1" t="s">
        <v>304</v>
      </c>
      <c r="B1101" s="1" t="s">
        <v>305</v>
      </c>
      <c r="C1101" s="1">
        <v>19000000</v>
      </c>
      <c r="D1101" s="1" t="s">
        <v>49</v>
      </c>
      <c r="E1101">
        <v>3023.1327999999999</v>
      </c>
      <c r="F1101" s="1" t="s">
        <v>86</v>
      </c>
      <c r="G1101">
        <v>191</v>
      </c>
      <c r="H1101">
        <v>46</v>
      </c>
      <c r="I1101" s="1" t="s">
        <v>55</v>
      </c>
      <c r="J1101">
        <v>1</v>
      </c>
      <c r="K1101" t="str">
        <f>IF(Tb_data[[#This Row],[previous_workers]]&lt;Tb_data[[#This Row],[workers]],"yes","no")</f>
        <v>yes</v>
      </c>
      <c r="L1101">
        <f>Tb_data[[#This Row],[workers]]-Tb_data[[#This Row],[previous_workers]]</f>
        <v>145</v>
      </c>
      <c r="M1101" s="12">
        <f>Tb_data[[#This Row],[Employees Growth]]/Tb_data[[#This Row],[previous_workers]]</f>
        <v>3.152173913043478</v>
      </c>
    </row>
    <row r="1102" spans="1:13" x14ac:dyDescent="0.25">
      <c r="A1102" s="1" t="s">
        <v>7234</v>
      </c>
      <c r="B1102" s="1" t="s">
        <v>7235</v>
      </c>
      <c r="C1102" s="1">
        <v>84700000</v>
      </c>
      <c r="D1102" s="1" t="s">
        <v>61</v>
      </c>
      <c r="E1102">
        <v>97.866399999999999</v>
      </c>
      <c r="F1102" s="1" t="s">
        <v>42</v>
      </c>
      <c r="G1102">
        <v>79</v>
      </c>
      <c r="H1102">
        <v>86</v>
      </c>
      <c r="I1102" s="1" t="s">
        <v>147</v>
      </c>
      <c r="J1102">
        <v>4</v>
      </c>
      <c r="K1102" t="str">
        <f>IF(Tb_data[[#This Row],[previous_workers]]&lt;Tb_data[[#This Row],[workers]],"yes","no")</f>
        <v>no</v>
      </c>
      <c r="L1102">
        <f>Tb_data[[#This Row],[workers]]-Tb_data[[#This Row],[previous_workers]]</f>
        <v>-7</v>
      </c>
      <c r="M1102" s="12">
        <f>Tb_data[[#This Row],[Employees Growth]]/Tb_data[[#This Row],[previous_workers]]</f>
        <v>-8.1395348837209308E-2</v>
      </c>
    </row>
    <row r="1103" spans="1:13" x14ac:dyDescent="0.25">
      <c r="A1103" s="1" t="s">
        <v>8725</v>
      </c>
      <c r="B1103" s="1" t="s">
        <v>8726</v>
      </c>
      <c r="C1103" s="1">
        <v>73500000</v>
      </c>
      <c r="D1103" s="1" t="s">
        <v>41</v>
      </c>
      <c r="E1103">
        <v>70.783799999999999</v>
      </c>
      <c r="F1103" s="1" t="s">
        <v>42</v>
      </c>
      <c r="G1103">
        <v>256</v>
      </c>
      <c r="H1103">
        <v>125</v>
      </c>
      <c r="I1103" s="1" t="s">
        <v>4062</v>
      </c>
      <c r="J1103">
        <v>1</v>
      </c>
      <c r="K1103" t="str">
        <f>IF(Tb_data[[#This Row],[previous_workers]]&lt;Tb_data[[#This Row],[workers]],"yes","no")</f>
        <v>yes</v>
      </c>
      <c r="L1103">
        <f>Tb_data[[#This Row],[workers]]-Tb_data[[#This Row],[previous_workers]]</f>
        <v>131</v>
      </c>
      <c r="M1103" s="12">
        <f>Tb_data[[#This Row],[Employees Growth]]/Tb_data[[#This Row],[previous_workers]]</f>
        <v>1.048</v>
      </c>
    </row>
    <row r="1104" spans="1:13" x14ac:dyDescent="0.25">
      <c r="A1104" s="1" t="s">
        <v>5034</v>
      </c>
      <c r="B1104" s="1" t="s">
        <v>5035</v>
      </c>
      <c r="C1104" s="1">
        <v>8500000</v>
      </c>
      <c r="D1104" s="1" t="s">
        <v>52</v>
      </c>
      <c r="E1104">
        <v>160.34710000000001</v>
      </c>
      <c r="F1104" s="1" t="s">
        <v>514</v>
      </c>
      <c r="G1104">
        <v>57</v>
      </c>
      <c r="H1104">
        <v>20</v>
      </c>
      <c r="I1104" s="1" t="s">
        <v>55</v>
      </c>
      <c r="J1104">
        <v>2</v>
      </c>
      <c r="K1104" t="str">
        <f>IF(Tb_data[[#This Row],[previous_workers]]&lt;Tb_data[[#This Row],[workers]],"yes","no")</f>
        <v>yes</v>
      </c>
      <c r="L1104">
        <f>Tb_data[[#This Row],[workers]]-Tb_data[[#This Row],[previous_workers]]</f>
        <v>37</v>
      </c>
      <c r="M1104" s="12">
        <f>Tb_data[[#This Row],[Employees Growth]]/Tb_data[[#This Row],[previous_workers]]</f>
        <v>1.85</v>
      </c>
    </row>
    <row r="1105" spans="1:13" x14ac:dyDescent="0.25">
      <c r="A1105" s="1" t="s">
        <v>2330</v>
      </c>
      <c r="B1105" s="1" t="s">
        <v>2331</v>
      </c>
      <c r="C1105" s="1">
        <v>3300000</v>
      </c>
      <c r="D1105" s="1" t="s">
        <v>155</v>
      </c>
      <c r="E1105">
        <v>377.63409999999999</v>
      </c>
      <c r="F1105" s="1" t="s">
        <v>100</v>
      </c>
      <c r="G1105">
        <v>70</v>
      </c>
      <c r="H1105">
        <v>5</v>
      </c>
      <c r="I1105" s="1" t="s">
        <v>55</v>
      </c>
      <c r="J1105">
        <v>1</v>
      </c>
      <c r="K1105" t="str">
        <f>IF(Tb_data[[#This Row],[previous_workers]]&lt;Tb_data[[#This Row],[workers]],"yes","no")</f>
        <v>yes</v>
      </c>
      <c r="L1105">
        <f>Tb_data[[#This Row],[workers]]-Tb_data[[#This Row],[previous_workers]]</f>
        <v>65</v>
      </c>
      <c r="M1105" s="12">
        <f>Tb_data[[#This Row],[Employees Growth]]/Tb_data[[#This Row],[previous_workers]]</f>
        <v>13</v>
      </c>
    </row>
    <row r="1106" spans="1:13" x14ac:dyDescent="0.25">
      <c r="A1106" s="1" t="s">
        <v>6405</v>
      </c>
      <c r="B1106" s="1" t="s">
        <v>6406</v>
      </c>
      <c r="C1106" s="1">
        <v>5100000</v>
      </c>
      <c r="D1106" s="1" t="s">
        <v>41</v>
      </c>
      <c r="E1106">
        <v>116.06829999999999</v>
      </c>
      <c r="F1106" s="1" t="s">
        <v>34</v>
      </c>
      <c r="G1106">
        <v>7</v>
      </c>
      <c r="H1106">
        <v>3</v>
      </c>
      <c r="I1106" s="1" t="s">
        <v>147</v>
      </c>
      <c r="J1106">
        <v>4</v>
      </c>
      <c r="K1106" t="str">
        <f>IF(Tb_data[[#This Row],[previous_workers]]&lt;Tb_data[[#This Row],[workers]],"yes","no")</f>
        <v>yes</v>
      </c>
      <c r="L1106">
        <f>Tb_data[[#This Row],[workers]]-Tb_data[[#This Row],[previous_workers]]</f>
        <v>4</v>
      </c>
      <c r="M1106" s="12">
        <f>Tb_data[[#This Row],[Employees Growth]]/Tb_data[[#This Row],[previous_workers]]</f>
        <v>1.3333333333333333</v>
      </c>
    </row>
    <row r="1107" spans="1:13" x14ac:dyDescent="0.25">
      <c r="A1107" s="1" t="s">
        <v>215</v>
      </c>
      <c r="B1107" s="1" t="s">
        <v>216</v>
      </c>
      <c r="C1107" s="1">
        <v>4600000</v>
      </c>
      <c r="D1107" s="1" t="s">
        <v>38</v>
      </c>
      <c r="E1107">
        <v>4246.7510000000002</v>
      </c>
      <c r="F1107" s="1" t="s">
        <v>86</v>
      </c>
      <c r="G1107">
        <v>39</v>
      </c>
      <c r="H1107">
        <v>1</v>
      </c>
      <c r="I1107" s="1" t="s">
        <v>164</v>
      </c>
      <c r="J1107">
        <v>3</v>
      </c>
      <c r="K1107" t="str">
        <f>IF(Tb_data[[#This Row],[previous_workers]]&lt;Tb_data[[#This Row],[workers]],"yes","no")</f>
        <v>yes</v>
      </c>
      <c r="L1107">
        <f>Tb_data[[#This Row],[workers]]-Tb_data[[#This Row],[previous_workers]]</f>
        <v>38</v>
      </c>
      <c r="M1107" s="12">
        <f>Tb_data[[#This Row],[Employees Growth]]/Tb_data[[#This Row],[previous_workers]]</f>
        <v>38</v>
      </c>
    </row>
    <row r="1108" spans="1:13" x14ac:dyDescent="0.25">
      <c r="A1108" s="1" t="s">
        <v>9493</v>
      </c>
      <c r="B1108" s="1" t="s">
        <v>9494</v>
      </c>
      <c r="C1108" s="1">
        <v>19300000</v>
      </c>
      <c r="D1108" s="1" t="s">
        <v>49</v>
      </c>
      <c r="E1108">
        <v>60.4161</v>
      </c>
      <c r="F1108" s="1" t="s">
        <v>12</v>
      </c>
      <c r="G1108">
        <v>82</v>
      </c>
      <c r="H1108">
        <v>46</v>
      </c>
      <c r="I1108" s="1" t="s">
        <v>295</v>
      </c>
      <c r="J1108">
        <v>4</v>
      </c>
      <c r="K1108" t="str">
        <f>IF(Tb_data[[#This Row],[previous_workers]]&lt;Tb_data[[#This Row],[workers]],"yes","no")</f>
        <v>yes</v>
      </c>
      <c r="L1108">
        <f>Tb_data[[#This Row],[workers]]-Tb_data[[#This Row],[previous_workers]]</f>
        <v>36</v>
      </c>
      <c r="M1108" s="12">
        <f>Tb_data[[#This Row],[Employees Growth]]/Tb_data[[#This Row],[previous_workers]]</f>
        <v>0.78260869565217395</v>
      </c>
    </row>
    <row r="1109" spans="1:13" x14ac:dyDescent="0.25">
      <c r="A1109" s="1" t="s">
        <v>7433</v>
      </c>
      <c r="B1109" s="1" t="s">
        <v>7434</v>
      </c>
      <c r="C1109" s="1">
        <v>25700000</v>
      </c>
      <c r="D1109" s="1" t="s">
        <v>179</v>
      </c>
      <c r="E1109">
        <v>94.649299999999997</v>
      </c>
      <c r="F1109" s="1" t="s">
        <v>156</v>
      </c>
      <c r="G1109">
        <v>100</v>
      </c>
      <c r="H1109">
        <v>50</v>
      </c>
      <c r="I1109" s="1" t="s">
        <v>74</v>
      </c>
      <c r="J1109">
        <v>8</v>
      </c>
      <c r="K1109" t="str">
        <f>IF(Tb_data[[#This Row],[previous_workers]]&lt;Tb_data[[#This Row],[workers]],"yes","no")</f>
        <v>yes</v>
      </c>
      <c r="L1109">
        <f>Tb_data[[#This Row],[workers]]-Tb_data[[#This Row],[previous_workers]]</f>
        <v>50</v>
      </c>
      <c r="M1109" s="12">
        <f>Tb_data[[#This Row],[Employees Growth]]/Tb_data[[#This Row],[previous_workers]]</f>
        <v>1</v>
      </c>
    </row>
    <row r="1110" spans="1:13" x14ac:dyDescent="0.25">
      <c r="A1110" s="1" t="s">
        <v>10018</v>
      </c>
      <c r="B1110" s="1" t="s">
        <v>10019</v>
      </c>
      <c r="C1110" s="1">
        <v>3300000</v>
      </c>
      <c r="D1110" s="1" t="s">
        <v>115</v>
      </c>
      <c r="E1110">
        <v>53.210999999999999</v>
      </c>
      <c r="F1110" s="1" t="s">
        <v>86</v>
      </c>
      <c r="G1110">
        <v>15</v>
      </c>
      <c r="H1110">
        <v>8</v>
      </c>
      <c r="I1110" s="1" t="s">
        <v>46</v>
      </c>
      <c r="J1110">
        <v>4</v>
      </c>
      <c r="K1110" t="str">
        <f>IF(Tb_data[[#This Row],[previous_workers]]&lt;Tb_data[[#This Row],[workers]],"yes","no")</f>
        <v>yes</v>
      </c>
      <c r="L1110">
        <f>Tb_data[[#This Row],[workers]]-Tb_data[[#This Row],[previous_workers]]</f>
        <v>7</v>
      </c>
      <c r="M1110" s="12">
        <f>Tb_data[[#This Row],[Employees Growth]]/Tb_data[[#This Row],[previous_workers]]</f>
        <v>0.875</v>
      </c>
    </row>
    <row r="1111" spans="1:13" x14ac:dyDescent="0.25">
      <c r="A1111" s="1" t="s">
        <v>2542</v>
      </c>
      <c r="B1111" s="1" t="s">
        <v>2543</v>
      </c>
      <c r="C1111" s="1">
        <v>59800000</v>
      </c>
      <c r="D1111" s="1" t="s">
        <v>33</v>
      </c>
      <c r="E1111">
        <v>337.99209999999999</v>
      </c>
      <c r="F1111" s="1" t="s">
        <v>25</v>
      </c>
      <c r="G1111">
        <v>40</v>
      </c>
      <c r="H1111">
        <v>4</v>
      </c>
      <c r="I1111" s="1" t="s">
        <v>164</v>
      </c>
      <c r="J1111">
        <v>3</v>
      </c>
      <c r="K1111" t="str">
        <f>IF(Tb_data[[#This Row],[previous_workers]]&lt;Tb_data[[#This Row],[workers]],"yes","no")</f>
        <v>yes</v>
      </c>
      <c r="L1111">
        <f>Tb_data[[#This Row],[workers]]-Tb_data[[#This Row],[previous_workers]]</f>
        <v>36</v>
      </c>
      <c r="M1111" s="12">
        <f>Tb_data[[#This Row],[Employees Growth]]/Tb_data[[#This Row],[previous_workers]]</f>
        <v>9</v>
      </c>
    </row>
    <row r="1112" spans="1:13" x14ac:dyDescent="0.25">
      <c r="A1112" s="1" t="s">
        <v>3527</v>
      </c>
      <c r="B1112" s="1" t="s">
        <v>3528</v>
      </c>
      <c r="C1112" s="1">
        <v>6000000</v>
      </c>
      <c r="D1112" s="1" t="s">
        <v>120</v>
      </c>
      <c r="E1112">
        <v>239.98</v>
      </c>
      <c r="F1112" s="1" t="s">
        <v>34</v>
      </c>
      <c r="G1112">
        <v>11</v>
      </c>
      <c r="H1112">
        <v>3</v>
      </c>
      <c r="I1112" s="1" t="s">
        <v>164</v>
      </c>
      <c r="J1112">
        <v>1</v>
      </c>
      <c r="K1112" t="str">
        <f>IF(Tb_data[[#This Row],[previous_workers]]&lt;Tb_data[[#This Row],[workers]],"yes","no")</f>
        <v>yes</v>
      </c>
      <c r="L1112">
        <f>Tb_data[[#This Row],[workers]]-Tb_data[[#This Row],[previous_workers]]</f>
        <v>8</v>
      </c>
      <c r="M1112" s="12">
        <f>Tb_data[[#This Row],[Employees Growth]]/Tb_data[[#This Row],[previous_workers]]</f>
        <v>2.6666666666666665</v>
      </c>
    </row>
    <row r="1113" spans="1:13" x14ac:dyDescent="0.25">
      <c r="A1113" s="1" t="s">
        <v>7441</v>
      </c>
      <c r="B1113" s="1" t="s">
        <v>7442</v>
      </c>
      <c r="C1113" s="1">
        <v>7800000</v>
      </c>
      <c r="D1113" s="1" t="s">
        <v>483</v>
      </c>
      <c r="E1113">
        <v>94.504300000000001</v>
      </c>
      <c r="F1113" s="1" t="s">
        <v>97</v>
      </c>
      <c r="G1113">
        <v>34</v>
      </c>
      <c r="H1113">
        <v>30</v>
      </c>
      <c r="I1113" s="1" t="s">
        <v>194</v>
      </c>
      <c r="J1113">
        <v>7</v>
      </c>
      <c r="K1113" t="str">
        <f>IF(Tb_data[[#This Row],[previous_workers]]&lt;Tb_data[[#This Row],[workers]],"yes","no")</f>
        <v>yes</v>
      </c>
      <c r="L1113">
        <f>Tb_data[[#This Row],[workers]]-Tb_data[[#This Row],[previous_workers]]</f>
        <v>4</v>
      </c>
      <c r="M1113" s="12">
        <f>Tb_data[[#This Row],[Employees Growth]]/Tb_data[[#This Row],[previous_workers]]</f>
        <v>0.13333333333333333</v>
      </c>
    </row>
    <row r="1114" spans="1:13" x14ac:dyDescent="0.25">
      <c r="A1114" s="1" t="s">
        <v>8221</v>
      </c>
      <c r="B1114" s="1" t="s">
        <v>8222</v>
      </c>
      <c r="C1114" s="1">
        <v>26000000</v>
      </c>
      <c r="D1114" s="1" t="s">
        <v>422</v>
      </c>
      <c r="E1114">
        <v>79.124499999999998</v>
      </c>
      <c r="F1114" s="1" t="s">
        <v>62</v>
      </c>
      <c r="G1114">
        <v>30</v>
      </c>
      <c r="H1114">
        <v>21</v>
      </c>
      <c r="I1114" s="1" t="s">
        <v>295</v>
      </c>
      <c r="J1114">
        <v>1</v>
      </c>
      <c r="K1114" t="str">
        <f>IF(Tb_data[[#This Row],[previous_workers]]&lt;Tb_data[[#This Row],[workers]],"yes","no")</f>
        <v>yes</v>
      </c>
      <c r="L1114">
        <f>Tb_data[[#This Row],[workers]]-Tb_data[[#This Row],[previous_workers]]</f>
        <v>9</v>
      </c>
      <c r="M1114" s="12">
        <f>Tb_data[[#This Row],[Employees Growth]]/Tb_data[[#This Row],[previous_workers]]</f>
        <v>0.42857142857142855</v>
      </c>
    </row>
    <row r="1115" spans="1:13" x14ac:dyDescent="0.25">
      <c r="A1115" s="1" t="s">
        <v>7883</v>
      </c>
      <c r="B1115" s="1" t="s">
        <v>7884</v>
      </c>
      <c r="C1115" s="1">
        <v>4800000</v>
      </c>
      <c r="D1115" s="1" t="s">
        <v>49</v>
      </c>
      <c r="E1115">
        <v>84.894400000000005</v>
      </c>
      <c r="F1115" s="1" t="s">
        <v>176</v>
      </c>
      <c r="G1115">
        <v>14</v>
      </c>
      <c r="H1115">
        <v>5</v>
      </c>
      <c r="I1115" s="1" t="s">
        <v>2374</v>
      </c>
      <c r="J1115">
        <v>2</v>
      </c>
      <c r="K1115" t="str">
        <f>IF(Tb_data[[#This Row],[previous_workers]]&lt;Tb_data[[#This Row],[workers]],"yes","no")</f>
        <v>yes</v>
      </c>
      <c r="L1115">
        <f>Tb_data[[#This Row],[workers]]-Tb_data[[#This Row],[previous_workers]]</f>
        <v>9</v>
      </c>
      <c r="M1115" s="12">
        <f>Tb_data[[#This Row],[Employees Growth]]/Tb_data[[#This Row],[previous_workers]]</f>
        <v>1.8</v>
      </c>
    </row>
    <row r="1116" spans="1:13" x14ac:dyDescent="0.25">
      <c r="A1116" s="1" t="s">
        <v>9047</v>
      </c>
      <c r="B1116" s="1" t="s">
        <v>9048</v>
      </c>
      <c r="C1116" s="1">
        <v>27900000</v>
      </c>
      <c r="D1116" s="1" t="s">
        <v>38</v>
      </c>
      <c r="E1116">
        <v>65.982100000000003</v>
      </c>
      <c r="F1116" s="1" t="s">
        <v>21</v>
      </c>
      <c r="G1116">
        <v>129</v>
      </c>
      <c r="H1116">
        <v>80</v>
      </c>
      <c r="I1116" s="1" t="s">
        <v>1411</v>
      </c>
      <c r="J1116">
        <v>8</v>
      </c>
      <c r="K1116" t="str">
        <f>IF(Tb_data[[#This Row],[previous_workers]]&lt;Tb_data[[#This Row],[workers]],"yes","no")</f>
        <v>yes</v>
      </c>
      <c r="L1116">
        <f>Tb_data[[#This Row],[workers]]-Tb_data[[#This Row],[previous_workers]]</f>
        <v>49</v>
      </c>
      <c r="M1116" s="12">
        <f>Tb_data[[#This Row],[Employees Growth]]/Tb_data[[#This Row],[previous_workers]]</f>
        <v>0.61250000000000004</v>
      </c>
    </row>
    <row r="1117" spans="1:13" x14ac:dyDescent="0.25">
      <c r="A1117" s="1" t="s">
        <v>3437</v>
      </c>
      <c r="B1117" s="1" t="s">
        <v>3438</v>
      </c>
      <c r="C1117" s="1">
        <v>3200000</v>
      </c>
      <c r="D1117" s="1" t="s">
        <v>175</v>
      </c>
      <c r="E1117">
        <v>247.8828</v>
      </c>
      <c r="F1117" s="1" t="s">
        <v>62</v>
      </c>
      <c r="G1117">
        <v>12</v>
      </c>
      <c r="H1117">
        <v>4</v>
      </c>
      <c r="I1117" s="1" t="s">
        <v>26</v>
      </c>
      <c r="J1117">
        <v>1</v>
      </c>
      <c r="K1117" t="str">
        <f>IF(Tb_data[[#This Row],[previous_workers]]&lt;Tb_data[[#This Row],[workers]],"yes","no")</f>
        <v>yes</v>
      </c>
      <c r="L1117">
        <f>Tb_data[[#This Row],[workers]]-Tb_data[[#This Row],[previous_workers]]</f>
        <v>8</v>
      </c>
      <c r="M1117" s="12">
        <f>Tb_data[[#This Row],[Employees Growth]]/Tb_data[[#This Row],[previous_workers]]</f>
        <v>2</v>
      </c>
    </row>
    <row r="1118" spans="1:13" x14ac:dyDescent="0.25">
      <c r="A1118" s="1" t="s">
        <v>5664</v>
      </c>
      <c r="B1118" s="1" t="s">
        <v>5665</v>
      </c>
      <c r="C1118" s="1">
        <v>5100000</v>
      </c>
      <c r="D1118" s="1" t="s">
        <v>38</v>
      </c>
      <c r="E1118">
        <v>135.62620000000001</v>
      </c>
      <c r="F1118" s="1" t="s">
        <v>86</v>
      </c>
      <c r="G1118">
        <v>22</v>
      </c>
      <c r="H1118">
        <v>12</v>
      </c>
      <c r="I1118" s="1" t="s">
        <v>1356</v>
      </c>
      <c r="J1118">
        <v>3</v>
      </c>
      <c r="K1118" t="str">
        <f>IF(Tb_data[[#This Row],[previous_workers]]&lt;Tb_data[[#This Row],[workers]],"yes","no")</f>
        <v>yes</v>
      </c>
      <c r="L1118">
        <f>Tb_data[[#This Row],[workers]]-Tb_data[[#This Row],[previous_workers]]</f>
        <v>10</v>
      </c>
      <c r="M1118" s="12">
        <f>Tb_data[[#This Row],[Employees Growth]]/Tb_data[[#This Row],[previous_workers]]</f>
        <v>0.83333333333333337</v>
      </c>
    </row>
    <row r="1119" spans="1:13" x14ac:dyDescent="0.25">
      <c r="A1119" s="1" t="s">
        <v>3229</v>
      </c>
      <c r="B1119" s="1" t="s">
        <v>3230</v>
      </c>
      <c r="C1119" s="1">
        <v>2700000</v>
      </c>
      <c r="D1119" s="1" t="s">
        <v>175</v>
      </c>
      <c r="E1119">
        <v>267.1003</v>
      </c>
      <c r="F1119" s="1" t="s">
        <v>97</v>
      </c>
      <c r="G1119">
        <v>23</v>
      </c>
      <c r="H1119">
        <v>8</v>
      </c>
      <c r="I1119" s="1" t="s">
        <v>130</v>
      </c>
      <c r="J1119">
        <v>1</v>
      </c>
      <c r="K1119" t="str">
        <f>IF(Tb_data[[#This Row],[previous_workers]]&lt;Tb_data[[#This Row],[workers]],"yes","no")</f>
        <v>yes</v>
      </c>
      <c r="L1119">
        <f>Tb_data[[#This Row],[workers]]-Tb_data[[#This Row],[previous_workers]]</f>
        <v>15</v>
      </c>
      <c r="M1119" s="12">
        <f>Tb_data[[#This Row],[Employees Growth]]/Tb_data[[#This Row],[previous_workers]]</f>
        <v>1.875</v>
      </c>
    </row>
    <row r="1120" spans="1:13" x14ac:dyDescent="0.25">
      <c r="A1120" s="1" t="s">
        <v>8289</v>
      </c>
      <c r="B1120" s="1" t="s">
        <v>8290</v>
      </c>
      <c r="C1120" s="1">
        <v>10600000</v>
      </c>
      <c r="D1120" s="1" t="s">
        <v>20</v>
      </c>
      <c r="E1120">
        <v>77.844399999999993</v>
      </c>
      <c r="F1120" s="1" t="s">
        <v>30</v>
      </c>
      <c r="G1120">
        <v>35</v>
      </c>
      <c r="H1120">
        <v>10</v>
      </c>
      <c r="I1120" s="1" t="s">
        <v>117</v>
      </c>
      <c r="J1120">
        <v>5</v>
      </c>
      <c r="K1120" t="str">
        <f>IF(Tb_data[[#This Row],[previous_workers]]&lt;Tb_data[[#This Row],[workers]],"yes","no")</f>
        <v>yes</v>
      </c>
      <c r="L1120">
        <f>Tb_data[[#This Row],[workers]]-Tb_data[[#This Row],[previous_workers]]</f>
        <v>25</v>
      </c>
      <c r="M1120" s="12">
        <f>Tb_data[[#This Row],[Employees Growth]]/Tb_data[[#This Row],[previous_workers]]</f>
        <v>2.5</v>
      </c>
    </row>
    <row r="1121" spans="1:13" x14ac:dyDescent="0.25">
      <c r="A1121" s="1" t="s">
        <v>1791</v>
      </c>
      <c r="B1121" s="1" t="s">
        <v>1792</v>
      </c>
      <c r="C1121" s="1">
        <v>5800000</v>
      </c>
      <c r="D1121" s="1" t="s">
        <v>380</v>
      </c>
      <c r="E1121">
        <v>502.49</v>
      </c>
      <c r="F1121" s="1" t="s">
        <v>86</v>
      </c>
      <c r="G1121">
        <v>55</v>
      </c>
      <c r="H1121">
        <v>20</v>
      </c>
      <c r="I1121" s="1" t="s">
        <v>55</v>
      </c>
      <c r="J1121">
        <v>2</v>
      </c>
      <c r="K1121" t="str">
        <f>IF(Tb_data[[#This Row],[previous_workers]]&lt;Tb_data[[#This Row],[workers]],"yes","no")</f>
        <v>yes</v>
      </c>
      <c r="L1121">
        <f>Tb_data[[#This Row],[workers]]-Tb_data[[#This Row],[previous_workers]]</f>
        <v>35</v>
      </c>
      <c r="M1121" s="12">
        <f>Tb_data[[#This Row],[Employees Growth]]/Tb_data[[#This Row],[previous_workers]]</f>
        <v>1.75</v>
      </c>
    </row>
    <row r="1122" spans="1:13" x14ac:dyDescent="0.25">
      <c r="A1122" s="1" t="s">
        <v>3696</v>
      </c>
      <c r="B1122" s="1" t="s">
        <v>3697</v>
      </c>
      <c r="C1122" s="1">
        <v>15900000</v>
      </c>
      <c r="D1122" s="1" t="s">
        <v>41</v>
      </c>
      <c r="E1122">
        <v>228.655</v>
      </c>
      <c r="F1122" s="1" t="s">
        <v>156</v>
      </c>
      <c r="G1122">
        <v>150</v>
      </c>
      <c r="H1122">
        <v>98</v>
      </c>
      <c r="I1122" s="1" t="s">
        <v>1622</v>
      </c>
      <c r="J1122">
        <v>1</v>
      </c>
      <c r="K1122" t="str">
        <f>IF(Tb_data[[#This Row],[previous_workers]]&lt;Tb_data[[#This Row],[workers]],"yes","no")</f>
        <v>yes</v>
      </c>
      <c r="L1122">
        <f>Tb_data[[#This Row],[workers]]-Tb_data[[#This Row],[previous_workers]]</f>
        <v>52</v>
      </c>
      <c r="M1122" s="12">
        <f>Tb_data[[#This Row],[Employees Growth]]/Tb_data[[#This Row],[previous_workers]]</f>
        <v>0.53061224489795922</v>
      </c>
    </row>
    <row r="1123" spans="1:13" x14ac:dyDescent="0.25">
      <c r="A1123" s="1" t="s">
        <v>873</v>
      </c>
      <c r="B1123" s="1" t="s">
        <v>874</v>
      </c>
      <c r="C1123" s="1">
        <v>4600000</v>
      </c>
      <c r="D1123" s="1" t="s">
        <v>91</v>
      </c>
      <c r="E1123">
        <v>1168.8844999999999</v>
      </c>
      <c r="F1123" s="1" t="s">
        <v>30</v>
      </c>
      <c r="G1123">
        <v>70</v>
      </c>
      <c r="H1123">
        <v>5</v>
      </c>
      <c r="I1123" s="1" t="s">
        <v>26</v>
      </c>
      <c r="J1123">
        <v>1</v>
      </c>
      <c r="K1123" t="str">
        <f>IF(Tb_data[[#This Row],[previous_workers]]&lt;Tb_data[[#This Row],[workers]],"yes","no")</f>
        <v>yes</v>
      </c>
      <c r="L1123">
        <f>Tb_data[[#This Row],[workers]]-Tb_data[[#This Row],[previous_workers]]</f>
        <v>65</v>
      </c>
      <c r="M1123" s="12">
        <f>Tb_data[[#This Row],[Employees Growth]]/Tb_data[[#This Row],[previous_workers]]</f>
        <v>13</v>
      </c>
    </row>
    <row r="1124" spans="1:13" x14ac:dyDescent="0.25">
      <c r="A1124" s="1" t="s">
        <v>9077</v>
      </c>
      <c r="B1124" s="1" t="s">
        <v>9078</v>
      </c>
      <c r="C1124" s="1">
        <v>8000000</v>
      </c>
      <c r="D1124" s="1" t="s">
        <v>49</v>
      </c>
      <c r="E1124">
        <v>65.610900000000001</v>
      </c>
      <c r="F1124" s="1" t="s">
        <v>25</v>
      </c>
      <c r="G1124">
        <v>30</v>
      </c>
      <c r="H1124">
        <v>30</v>
      </c>
      <c r="I1124" s="1" t="s">
        <v>147</v>
      </c>
      <c r="J1124">
        <v>6</v>
      </c>
      <c r="K1124" t="str">
        <f>IF(Tb_data[[#This Row],[previous_workers]]&lt;Tb_data[[#This Row],[workers]],"yes","no")</f>
        <v>no</v>
      </c>
      <c r="L1124">
        <f>Tb_data[[#This Row],[workers]]-Tb_data[[#This Row],[previous_workers]]</f>
        <v>0</v>
      </c>
      <c r="M1124" s="12">
        <f>Tb_data[[#This Row],[Employees Growth]]/Tb_data[[#This Row],[previous_workers]]</f>
        <v>0</v>
      </c>
    </row>
    <row r="1125" spans="1:13" x14ac:dyDescent="0.25">
      <c r="A1125" s="1" t="s">
        <v>1106</v>
      </c>
      <c r="B1125" s="1" t="s">
        <v>1107</v>
      </c>
      <c r="C1125" s="1">
        <v>3500000</v>
      </c>
      <c r="D1125" s="1" t="s">
        <v>120</v>
      </c>
      <c r="E1125">
        <v>865.79769999999996</v>
      </c>
      <c r="F1125" s="1" t="s">
        <v>86</v>
      </c>
      <c r="G1125">
        <v>11</v>
      </c>
      <c r="H1125">
        <v>3</v>
      </c>
      <c r="I1125" s="1" t="s">
        <v>46</v>
      </c>
      <c r="J1125">
        <v>1</v>
      </c>
      <c r="K1125" t="str">
        <f>IF(Tb_data[[#This Row],[previous_workers]]&lt;Tb_data[[#This Row],[workers]],"yes","no")</f>
        <v>yes</v>
      </c>
      <c r="L1125">
        <f>Tb_data[[#This Row],[workers]]-Tb_data[[#This Row],[previous_workers]]</f>
        <v>8</v>
      </c>
      <c r="M1125" s="12">
        <f>Tb_data[[#This Row],[Employees Growth]]/Tb_data[[#This Row],[previous_workers]]</f>
        <v>2.6666666666666665</v>
      </c>
    </row>
    <row r="1126" spans="1:13" x14ac:dyDescent="0.25">
      <c r="A1126" s="1" t="s">
        <v>3803</v>
      </c>
      <c r="B1126" s="1" t="s">
        <v>3804</v>
      </c>
      <c r="C1126" s="1">
        <v>2900000</v>
      </c>
      <c r="D1126" s="1" t="s">
        <v>33</v>
      </c>
      <c r="E1126">
        <v>221.45349999999999</v>
      </c>
      <c r="F1126" s="1" t="s">
        <v>100</v>
      </c>
      <c r="G1126">
        <v>9</v>
      </c>
      <c r="H1126">
        <v>1</v>
      </c>
      <c r="I1126" s="1" t="s">
        <v>130</v>
      </c>
      <c r="J1126">
        <v>1</v>
      </c>
      <c r="K1126" t="str">
        <f>IF(Tb_data[[#This Row],[previous_workers]]&lt;Tb_data[[#This Row],[workers]],"yes","no")</f>
        <v>yes</v>
      </c>
      <c r="L1126">
        <f>Tb_data[[#This Row],[workers]]-Tb_data[[#This Row],[previous_workers]]</f>
        <v>8</v>
      </c>
      <c r="M1126" s="12">
        <f>Tb_data[[#This Row],[Employees Growth]]/Tb_data[[#This Row],[previous_workers]]</f>
        <v>8</v>
      </c>
    </row>
    <row r="1127" spans="1:13" x14ac:dyDescent="0.25">
      <c r="A1127" s="1" t="s">
        <v>916</v>
      </c>
      <c r="B1127" s="1" t="s">
        <v>917</v>
      </c>
      <c r="C1127" s="1">
        <v>7100000</v>
      </c>
      <c r="D1127" s="1" t="s">
        <v>49</v>
      </c>
      <c r="E1127">
        <v>1107.6733999999999</v>
      </c>
      <c r="F1127" s="1" t="s">
        <v>12</v>
      </c>
      <c r="G1127">
        <v>7</v>
      </c>
      <c r="H1127">
        <v>1</v>
      </c>
      <c r="I1127" s="1" t="s">
        <v>55</v>
      </c>
      <c r="J1127">
        <v>1</v>
      </c>
      <c r="K1127" t="str">
        <f>IF(Tb_data[[#This Row],[previous_workers]]&lt;Tb_data[[#This Row],[workers]],"yes","no")</f>
        <v>yes</v>
      </c>
      <c r="L1127">
        <f>Tb_data[[#This Row],[workers]]-Tb_data[[#This Row],[previous_workers]]</f>
        <v>6</v>
      </c>
      <c r="M1127" s="12">
        <f>Tb_data[[#This Row],[Employees Growth]]/Tb_data[[#This Row],[previous_workers]]</f>
        <v>6</v>
      </c>
    </row>
    <row r="1128" spans="1:13" x14ac:dyDescent="0.25">
      <c r="A1128" s="1" t="s">
        <v>2130</v>
      </c>
      <c r="B1128" s="1" t="s">
        <v>2131</v>
      </c>
      <c r="C1128" s="1">
        <v>69900000</v>
      </c>
      <c r="D1128" s="1" t="s">
        <v>69</v>
      </c>
      <c r="E1128">
        <v>418.65190000000001</v>
      </c>
      <c r="F1128" s="1" t="s">
        <v>17</v>
      </c>
      <c r="G1128">
        <v>2048</v>
      </c>
      <c r="H1128">
        <v>225</v>
      </c>
      <c r="I1128" s="1" t="s">
        <v>147</v>
      </c>
      <c r="J1128">
        <v>3</v>
      </c>
      <c r="K1128" t="str">
        <f>IF(Tb_data[[#This Row],[previous_workers]]&lt;Tb_data[[#This Row],[workers]],"yes","no")</f>
        <v>yes</v>
      </c>
      <c r="L1128">
        <f>Tb_data[[#This Row],[workers]]-Tb_data[[#This Row],[previous_workers]]</f>
        <v>1823</v>
      </c>
      <c r="M1128" s="12">
        <f>Tb_data[[#This Row],[Employees Growth]]/Tb_data[[#This Row],[previous_workers]]</f>
        <v>8.1022222222222222</v>
      </c>
    </row>
    <row r="1129" spans="1:13" x14ac:dyDescent="0.25">
      <c r="A1129" s="1" t="s">
        <v>9642</v>
      </c>
      <c r="B1129" s="1" t="s">
        <v>9643</v>
      </c>
      <c r="C1129" s="1">
        <v>13100000</v>
      </c>
      <c r="D1129" s="1" t="s">
        <v>49</v>
      </c>
      <c r="E1129">
        <v>58.7498</v>
      </c>
      <c r="F1129" s="1" t="s">
        <v>34</v>
      </c>
      <c r="G1129">
        <v>180</v>
      </c>
      <c r="H1129">
        <v>105</v>
      </c>
      <c r="I1129" s="1" t="s">
        <v>147</v>
      </c>
      <c r="J1129">
        <v>6</v>
      </c>
      <c r="K1129" t="str">
        <f>IF(Tb_data[[#This Row],[previous_workers]]&lt;Tb_data[[#This Row],[workers]],"yes","no")</f>
        <v>yes</v>
      </c>
      <c r="L1129">
        <f>Tb_data[[#This Row],[workers]]-Tb_data[[#This Row],[previous_workers]]</f>
        <v>75</v>
      </c>
      <c r="M1129" s="12">
        <f>Tb_data[[#This Row],[Employees Growth]]/Tb_data[[#This Row],[previous_workers]]</f>
        <v>0.7142857142857143</v>
      </c>
    </row>
    <row r="1130" spans="1:13" x14ac:dyDescent="0.25">
      <c r="A1130" s="1" t="s">
        <v>695</v>
      </c>
      <c r="B1130" s="1" t="s">
        <v>696</v>
      </c>
      <c r="C1130" s="1">
        <v>47100000</v>
      </c>
      <c r="D1130" s="1" t="s">
        <v>33</v>
      </c>
      <c r="E1130">
        <v>1487.4149</v>
      </c>
      <c r="F1130" s="1" t="s">
        <v>17</v>
      </c>
      <c r="G1130">
        <v>55</v>
      </c>
      <c r="H1130">
        <v>6</v>
      </c>
      <c r="I1130" s="1" t="s">
        <v>26</v>
      </c>
      <c r="J1130">
        <v>1</v>
      </c>
      <c r="K1130" t="str">
        <f>IF(Tb_data[[#This Row],[previous_workers]]&lt;Tb_data[[#This Row],[workers]],"yes","no")</f>
        <v>yes</v>
      </c>
      <c r="L1130">
        <f>Tb_data[[#This Row],[workers]]-Tb_data[[#This Row],[previous_workers]]</f>
        <v>49</v>
      </c>
      <c r="M1130" s="12">
        <f>Tb_data[[#This Row],[Employees Growth]]/Tb_data[[#This Row],[previous_workers]]</f>
        <v>8.1666666666666661</v>
      </c>
    </row>
    <row r="1131" spans="1:13" x14ac:dyDescent="0.25">
      <c r="A1131" s="1" t="s">
        <v>8779</v>
      </c>
      <c r="B1131" s="1" t="s">
        <v>8780</v>
      </c>
      <c r="C1131" s="1">
        <v>23000000</v>
      </c>
      <c r="D1131" s="1" t="s">
        <v>123</v>
      </c>
      <c r="E1131">
        <v>69.830200000000005</v>
      </c>
      <c r="F1131" s="1" t="s">
        <v>86</v>
      </c>
      <c r="G1131">
        <v>184</v>
      </c>
      <c r="H1131">
        <v>120</v>
      </c>
      <c r="I1131" s="1" t="s">
        <v>226</v>
      </c>
      <c r="J1131">
        <v>9</v>
      </c>
      <c r="K1131" t="str">
        <f>IF(Tb_data[[#This Row],[previous_workers]]&lt;Tb_data[[#This Row],[workers]],"yes","no")</f>
        <v>yes</v>
      </c>
      <c r="L1131">
        <f>Tb_data[[#This Row],[workers]]-Tb_data[[#This Row],[previous_workers]]</f>
        <v>64</v>
      </c>
      <c r="M1131" s="12">
        <f>Tb_data[[#This Row],[Employees Growth]]/Tb_data[[#This Row],[previous_workers]]</f>
        <v>0.53333333333333333</v>
      </c>
    </row>
    <row r="1132" spans="1:13" x14ac:dyDescent="0.25">
      <c r="A1132" s="1" t="s">
        <v>824</v>
      </c>
      <c r="B1132" s="1" t="s">
        <v>825</v>
      </c>
      <c r="C1132" s="1">
        <v>2600000</v>
      </c>
      <c r="D1132" s="1" t="s">
        <v>427</v>
      </c>
      <c r="E1132">
        <v>1240.6025</v>
      </c>
      <c r="F1132" s="1" t="s">
        <v>124</v>
      </c>
      <c r="G1132">
        <v>11</v>
      </c>
      <c r="H1132">
        <v>2</v>
      </c>
      <c r="I1132" s="1" t="s">
        <v>55</v>
      </c>
      <c r="J1132">
        <v>1</v>
      </c>
      <c r="K1132" t="str">
        <f>IF(Tb_data[[#This Row],[previous_workers]]&lt;Tb_data[[#This Row],[workers]],"yes","no")</f>
        <v>yes</v>
      </c>
      <c r="L1132">
        <f>Tb_data[[#This Row],[workers]]-Tb_data[[#This Row],[previous_workers]]</f>
        <v>9</v>
      </c>
      <c r="M1132" s="12">
        <f>Tb_data[[#This Row],[Employees Growth]]/Tb_data[[#This Row],[previous_workers]]</f>
        <v>4.5</v>
      </c>
    </row>
    <row r="1133" spans="1:13" x14ac:dyDescent="0.25">
      <c r="A1133" s="1" t="s">
        <v>4004</v>
      </c>
      <c r="B1133" s="1" t="s">
        <v>4005</v>
      </c>
      <c r="C1133" s="1">
        <v>2200000</v>
      </c>
      <c r="D1133" s="1" t="s">
        <v>49</v>
      </c>
      <c r="E1133">
        <v>206.1712</v>
      </c>
      <c r="F1133" s="1" t="s">
        <v>34</v>
      </c>
      <c r="G1133">
        <v>6</v>
      </c>
      <c r="H1133">
        <v>3</v>
      </c>
      <c r="I1133" s="1" t="s">
        <v>26</v>
      </c>
      <c r="J1133">
        <v>1</v>
      </c>
      <c r="K1133" t="str">
        <f>IF(Tb_data[[#This Row],[previous_workers]]&lt;Tb_data[[#This Row],[workers]],"yes","no")</f>
        <v>yes</v>
      </c>
      <c r="L1133">
        <f>Tb_data[[#This Row],[workers]]-Tb_data[[#This Row],[previous_workers]]</f>
        <v>3</v>
      </c>
      <c r="M1133" s="12">
        <f>Tb_data[[#This Row],[Employees Growth]]/Tb_data[[#This Row],[previous_workers]]</f>
        <v>1</v>
      </c>
    </row>
    <row r="1134" spans="1:13" x14ac:dyDescent="0.25">
      <c r="A1134" s="1" t="s">
        <v>7987</v>
      </c>
      <c r="B1134" s="1" t="s">
        <v>7988</v>
      </c>
      <c r="C1134" s="1">
        <v>12100000</v>
      </c>
      <c r="D1134" s="1" t="s">
        <v>38</v>
      </c>
      <c r="E1134">
        <v>83.078500000000005</v>
      </c>
      <c r="F1134" s="1" t="s">
        <v>176</v>
      </c>
      <c r="G1134">
        <v>50</v>
      </c>
      <c r="H1134">
        <v>20</v>
      </c>
      <c r="I1134" s="1" t="s">
        <v>226</v>
      </c>
      <c r="J1134">
        <v>6</v>
      </c>
      <c r="K1134" t="str">
        <f>IF(Tb_data[[#This Row],[previous_workers]]&lt;Tb_data[[#This Row],[workers]],"yes","no")</f>
        <v>yes</v>
      </c>
      <c r="L1134">
        <f>Tb_data[[#This Row],[workers]]-Tb_data[[#This Row],[previous_workers]]</f>
        <v>30</v>
      </c>
      <c r="M1134" s="12">
        <f>Tb_data[[#This Row],[Employees Growth]]/Tb_data[[#This Row],[previous_workers]]</f>
        <v>1.5</v>
      </c>
    </row>
    <row r="1135" spans="1:13" x14ac:dyDescent="0.25">
      <c r="A1135" s="1" t="s">
        <v>8727</v>
      </c>
      <c r="B1135" s="1" t="s">
        <v>8728</v>
      </c>
      <c r="C1135" s="1">
        <v>4600000</v>
      </c>
      <c r="D1135" s="1" t="s">
        <v>175</v>
      </c>
      <c r="E1135">
        <v>70.773300000000006</v>
      </c>
      <c r="F1135" s="1" t="s">
        <v>62</v>
      </c>
      <c r="G1135">
        <v>36</v>
      </c>
      <c r="H1135">
        <v>24</v>
      </c>
      <c r="I1135" s="1" t="s">
        <v>229</v>
      </c>
      <c r="J1135">
        <v>1</v>
      </c>
      <c r="K1135" t="str">
        <f>IF(Tb_data[[#This Row],[previous_workers]]&lt;Tb_data[[#This Row],[workers]],"yes","no")</f>
        <v>yes</v>
      </c>
      <c r="L1135">
        <f>Tb_data[[#This Row],[workers]]-Tb_data[[#This Row],[previous_workers]]</f>
        <v>12</v>
      </c>
      <c r="M1135" s="12">
        <f>Tb_data[[#This Row],[Employees Growth]]/Tb_data[[#This Row],[previous_workers]]</f>
        <v>0.5</v>
      </c>
    </row>
    <row r="1136" spans="1:13" x14ac:dyDescent="0.25">
      <c r="A1136" s="1" t="s">
        <v>2540</v>
      </c>
      <c r="B1136" s="1" t="s">
        <v>2541</v>
      </c>
      <c r="C1136" s="1">
        <v>20400000</v>
      </c>
      <c r="D1136" s="1" t="s">
        <v>49</v>
      </c>
      <c r="E1136">
        <v>338.41629999999998</v>
      </c>
      <c r="F1136" s="1" t="s">
        <v>21</v>
      </c>
      <c r="G1136">
        <v>1100</v>
      </c>
      <c r="H1136">
        <v>200</v>
      </c>
      <c r="I1136" s="1" t="s">
        <v>55</v>
      </c>
      <c r="J1136">
        <v>2</v>
      </c>
      <c r="K1136" t="str">
        <f>IF(Tb_data[[#This Row],[previous_workers]]&lt;Tb_data[[#This Row],[workers]],"yes","no")</f>
        <v>yes</v>
      </c>
      <c r="L1136">
        <f>Tb_data[[#This Row],[workers]]-Tb_data[[#This Row],[previous_workers]]</f>
        <v>900</v>
      </c>
      <c r="M1136" s="12">
        <f>Tb_data[[#This Row],[Employees Growth]]/Tb_data[[#This Row],[previous_workers]]</f>
        <v>4.5</v>
      </c>
    </row>
    <row r="1137" spans="1:13" x14ac:dyDescent="0.25">
      <c r="A1137" s="1" t="s">
        <v>9836</v>
      </c>
      <c r="B1137" s="1" t="s">
        <v>9837</v>
      </c>
      <c r="C1137" s="1">
        <v>2900000</v>
      </c>
      <c r="D1137" s="1" t="s">
        <v>52</v>
      </c>
      <c r="E1137">
        <v>56.240900000000003</v>
      </c>
      <c r="F1137" s="1" t="s">
        <v>161</v>
      </c>
      <c r="G1137">
        <v>26</v>
      </c>
      <c r="H1137">
        <v>18</v>
      </c>
      <c r="I1137" s="1" t="s">
        <v>117</v>
      </c>
      <c r="J1137">
        <v>2</v>
      </c>
      <c r="K1137" t="str">
        <f>IF(Tb_data[[#This Row],[previous_workers]]&lt;Tb_data[[#This Row],[workers]],"yes","no")</f>
        <v>yes</v>
      </c>
      <c r="L1137">
        <f>Tb_data[[#This Row],[workers]]-Tb_data[[#This Row],[previous_workers]]</f>
        <v>8</v>
      </c>
      <c r="M1137" s="12">
        <f>Tb_data[[#This Row],[Employees Growth]]/Tb_data[[#This Row],[previous_workers]]</f>
        <v>0.44444444444444442</v>
      </c>
    </row>
    <row r="1138" spans="1:13" x14ac:dyDescent="0.25">
      <c r="A1138" s="1" t="s">
        <v>4465</v>
      </c>
      <c r="B1138" s="1" t="s">
        <v>4466</v>
      </c>
      <c r="C1138" s="1">
        <v>66300000</v>
      </c>
      <c r="D1138" s="1" t="s">
        <v>155</v>
      </c>
      <c r="E1138">
        <v>183.99979999999999</v>
      </c>
      <c r="F1138" s="1" t="s">
        <v>124</v>
      </c>
      <c r="G1138">
        <v>47</v>
      </c>
      <c r="H1138">
        <v>25</v>
      </c>
      <c r="I1138" s="1" t="s">
        <v>55</v>
      </c>
      <c r="J1138">
        <v>2</v>
      </c>
      <c r="K1138" t="str">
        <f>IF(Tb_data[[#This Row],[previous_workers]]&lt;Tb_data[[#This Row],[workers]],"yes","no")</f>
        <v>yes</v>
      </c>
      <c r="L1138">
        <f>Tb_data[[#This Row],[workers]]-Tb_data[[#This Row],[previous_workers]]</f>
        <v>22</v>
      </c>
      <c r="M1138" s="12">
        <f>Tb_data[[#This Row],[Employees Growth]]/Tb_data[[#This Row],[previous_workers]]</f>
        <v>0.88</v>
      </c>
    </row>
    <row r="1139" spans="1:13" x14ac:dyDescent="0.25">
      <c r="A1139" s="1" t="s">
        <v>5198</v>
      </c>
      <c r="B1139" s="1" t="s">
        <v>5199</v>
      </c>
      <c r="C1139" s="1">
        <v>4200000</v>
      </c>
      <c r="D1139" s="1" t="s">
        <v>120</v>
      </c>
      <c r="E1139">
        <v>153.44450000000001</v>
      </c>
      <c r="F1139" s="1" t="s">
        <v>12</v>
      </c>
      <c r="G1139">
        <v>20</v>
      </c>
      <c r="H1139">
        <v>5</v>
      </c>
      <c r="I1139" s="1" t="s">
        <v>468</v>
      </c>
      <c r="J1139">
        <v>2</v>
      </c>
      <c r="K1139" t="str">
        <f>IF(Tb_data[[#This Row],[previous_workers]]&lt;Tb_data[[#This Row],[workers]],"yes","no")</f>
        <v>yes</v>
      </c>
      <c r="L1139">
        <f>Tb_data[[#This Row],[workers]]-Tb_data[[#This Row],[previous_workers]]</f>
        <v>15</v>
      </c>
      <c r="M1139" s="12">
        <f>Tb_data[[#This Row],[Employees Growth]]/Tb_data[[#This Row],[previous_workers]]</f>
        <v>3</v>
      </c>
    </row>
    <row r="1140" spans="1:13" x14ac:dyDescent="0.25">
      <c r="A1140" s="1" t="s">
        <v>859</v>
      </c>
      <c r="B1140" s="1" t="s">
        <v>860</v>
      </c>
      <c r="C1140" s="1">
        <v>6200000</v>
      </c>
      <c r="D1140" s="1" t="s">
        <v>33</v>
      </c>
      <c r="E1140">
        <v>1197.5854999999999</v>
      </c>
      <c r="F1140" s="1" t="s">
        <v>12</v>
      </c>
      <c r="G1140">
        <v>21</v>
      </c>
      <c r="H1140">
        <v>2</v>
      </c>
      <c r="I1140" s="1" t="s">
        <v>26</v>
      </c>
      <c r="J1140">
        <v>1</v>
      </c>
      <c r="K1140" t="str">
        <f>IF(Tb_data[[#This Row],[previous_workers]]&lt;Tb_data[[#This Row],[workers]],"yes","no")</f>
        <v>yes</v>
      </c>
      <c r="L1140">
        <f>Tb_data[[#This Row],[workers]]-Tb_data[[#This Row],[previous_workers]]</f>
        <v>19</v>
      </c>
      <c r="M1140" s="12">
        <f>Tb_data[[#This Row],[Employees Growth]]/Tb_data[[#This Row],[previous_workers]]</f>
        <v>9.5</v>
      </c>
    </row>
    <row r="1141" spans="1:13" x14ac:dyDescent="0.25">
      <c r="A1141" s="1" t="s">
        <v>8447</v>
      </c>
      <c r="B1141" s="1" t="s">
        <v>8448</v>
      </c>
      <c r="C1141" s="1">
        <v>3600000</v>
      </c>
      <c r="D1141" s="1" t="s">
        <v>123</v>
      </c>
      <c r="E1141">
        <v>74.990300000000005</v>
      </c>
      <c r="F1141" s="1" t="s">
        <v>12</v>
      </c>
      <c r="G1141">
        <v>13</v>
      </c>
      <c r="H1141">
        <v>6</v>
      </c>
      <c r="I1141" s="1" t="s">
        <v>130</v>
      </c>
      <c r="J1141">
        <v>3</v>
      </c>
      <c r="K1141" t="str">
        <f>IF(Tb_data[[#This Row],[previous_workers]]&lt;Tb_data[[#This Row],[workers]],"yes","no")</f>
        <v>yes</v>
      </c>
      <c r="L1141">
        <f>Tb_data[[#This Row],[workers]]-Tb_data[[#This Row],[previous_workers]]</f>
        <v>7</v>
      </c>
      <c r="M1141" s="12">
        <f>Tb_data[[#This Row],[Employees Growth]]/Tb_data[[#This Row],[previous_workers]]</f>
        <v>1.1666666666666667</v>
      </c>
    </row>
    <row r="1142" spans="1:13" x14ac:dyDescent="0.25">
      <c r="A1142" s="1" t="s">
        <v>3661</v>
      </c>
      <c r="B1142" s="1" t="s">
        <v>3662</v>
      </c>
      <c r="C1142" s="1">
        <v>30100000</v>
      </c>
      <c r="D1142" s="1" t="s">
        <v>41</v>
      </c>
      <c r="E1142">
        <v>230.7184</v>
      </c>
      <c r="F1142" s="1" t="s">
        <v>97</v>
      </c>
      <c r="G1142">
        <v>105</v>
      </c>
      <c r="H1142">
        <v>44</v>
      </c>
      <c r="I1142" s="1" t="s">
        <v>117</v>
      </c>
      <c r="J1142">
        <v>5</v>
      </c>
      <c r="K1142" t="str">
        <f>IF(Tb_data[[#This Row],[previous_workers]]&lt;Tb_data[[#This Row],[workers]],"yes","no")</f>
        <v>yes</v>
      </c>
      <c r="L1142">
        <f>Tb_data[[#This Row],[workers]]-Tb_data[[#This Row],[previous_workers]]</f>
        <v>61</v>
      </c>
      <c r="M1142" s="12">
        <f>Tb_data[[#This Row],[Employees Growth]]/Tb_data[[#This Row],[previous_workers]]</f>
        <v>1.3863636363636365</v>
      </c>
    </row>
    <row r="1143" spans="1:13" x14ac:dyDescent="0.25">
      <c r="A1143" s="1" t="s">
        <v>5054</v>
      </c>
      <c r="B1143" s="1" t="s">
        <v>5055</v>
      </c>
      <c r="C1143" s="1">
        <v>19200000</v>
      </c>
      <c r="D1143" s="1" t="s">
        <v>427</v>
      </c>
      <c r="E1143">
        <v>159.12289999999999</v>
      </c>
      <c r="F1143" s="1" t="s">
        <v>176</v>
      </c>
      <c r="G1143">
        <v>65</v>
      </c>
      <c r="H1143">
        <v>45</v>
      </c>
      <c r="I1143" s="1" t="s">
        <v>2628</v>
      </c>
      <c r="J1143">
        <v>2</v>
      </c>
      <c r="K1143" t="str">
        <f>IF(Tb_data[[#This Row],[previous_workers]]&lt;Tb_data[[#This Row],[workers]],"yes","no")</f>
        <v>yes</v>
      </c>
      <c r="L1143">
        <f>Tb_data[[#This Row],[workers]]-Tb_data[[#This Row],[previous_workers]]</f>
        <v>20</v>
      </c>
      <c r="M1143" s="12">
        <f>Tb_data[[#This Row],[Employees Growth]]/Tb_data[[#This Row],[previous_workers]]</f>
        <v>0.44444444444444442</v>
      </c>
    </row>
    <row r="1144" spans="1:13" x14ac:dyDescent="0.25">
      <c r="A1144" s="1" t="s">
        <v>3279</v>
      </c>
      <c r="B1144" s="1" t="s">
        <v>3280</v>
      </c>
      <c r="C1144" s="1">
        <v>117600000</v>
      </c>
      <c r="D1144" s="1" t="s">
        <v>41</v>
      </c>
      <c r="E1144">
        <v>262.27210000000002</v>
      </c>
      <c r="F1144" s="1" t="s">
        <v>97</v>
      </c>
      <c r="G1144">
        <v>646</v>
      </c>
      <c r="H1144">
        <v>167</v>
      </c>
      <c r="I1144" s="1" t="s">
        <v>295</v>
      </c>
      <c r="J1144">
        <v>8</v>
      </c>
      <c r="K1144" t="str">
        <f>IF(Tb_data[[#This Row],[previous_workers]]&lt;Tb_data[[#This Row],[workers]],"yes","no")</f>
        <v>yes</v>
      </c>
      <c r="L1144">
        <f>Tb_data[[#This Row],[workers]]-Tb_data[[#This Row],[previous_workers]]</f>
        <v>479</v>
      </c>
      <c r="M1144" s="12">
        <f>Tb_data[[#This Row],[Employees Growth]]/Tb_data[[#This Row],[previous_workers]]</f>
        <v>2.8682634730538923</v>
      </c>
    </row>
    <row r="1145" spans="1:13" x14ac:dyDescent="0.25">
      <c r="A1145" s="1" t="s">
        <v>8061</v>
      </c>
      <c r="B1145" s="1" t="s">
        <v>8062</v>
      </c>
      <c r="C1145" s="1">
        <v>35100000</v>
      </c>
      <c r="D1145" s="1" t="s">
        <v>129</v>
      </c>
      <c r="E1145">
        <v>81.726799999999997</v>
      </c>
      <c r="F1145" s="1" t="s">
        <v>86</v>
      </c>
      <c r="G1145">
        <v>171</v>
      </c>
      <c r="H1145">
        <v>116</v>
      </c>
      <c r="I1145" s="1" t="s">
        <v>226</v>
      </c>
      <c r="J1145">
        <v>5</v>
      </c>
      <c r="K1145" t="str">
        <f>IF(Tb_data[[#This Row],[previous_workers]]&lt;Tb_data[[#This Row],[workers]],"yes","no")</f>
        <v>yes</v>
      </c>
      <c r="L1145">
        <f>Tb_data[[#This Row],[workers]]-Tb_data[[#This Row],[previous_workers]]</f>
        <v>55</v>
      </c>
      <c r="M1145" s="12">
        <f>Tb_data[[#This Row],[Employees Growth]]/Tb_data[[#This Row],[previous_workers]]</f>
        <v>0.47413793103448276</v>
      </c>
    </row>
    <row r="1146" spans="1:13" x14ac:dyDescent="0.25">
      <c r="A1146" s="1" t="s">
        <v>3835</v>
      </c>
      <c r="B1146" s="1" t="s">
        <v>3836</v>
      </c>
      <c r="C1146" s="1">
        <v>4200000</v>
      </c>
      <c r="D1146" s="1" t="s">
        <v>49</v>
      </c>
      <c r="E1146">
        <v>218.76079999999999</v>
      </c>
      <c r="F1146" s="1" t="s">
        <v>86</v>
      </c>
      <c r="G1146">
        <v>2</v>
      </c>
      <c r="H1146">
        <v>1</v>
      </c>
      <c r="I1146" s="1" t="s">
        <v>55</v>
      </c>
      <c r="J1146">
        <v>1</v>
      </c>
      <c r="K1146" t="str">
        <f>IF(Tb_data[[#This Row],[previous_workers]]&lt;Tb_data[[#This Row],[workers]],"yes","no")</f>
        <v>yes</v>
      </c>
      <c r="L1146">
        <f>Tb_data[[#This Row],[workers]]-Tb_data[[#This Row],[previous_workers]]</f>
        <v>1</v>
      </c>
      <c r="M1146" s="12">
        <f>Tb_data[[#This Row],[Employees Growth]]/Tb_data[[#This Row],[previous_workers]]</f>
        <v>1</v>
      </c>
    </row>
    <row r="1147" spans="1:13" x14ac:dyDescent="0.25">
      <c r="A1147" s="1" t="s">
        <v>2641</v>
      </c>
      <c r="B1147" s="1" t="s">
        <v>2642</v>
      </c>
      <c r="C1147" s="1">
        <v>2100000</v>
      </c>
      <c r="D1147" s="1" t="s">
        <v>120</v>
      </c>
      <c r="E1147">
        <v>327.4785</v>
      </c>
      <c r="F1147" s="1" t="s">
        <v>34</v>
      </c>
      <c r="G1147">
        <v>25</v>
      </c>
      <c r="H1147">
        <v>3</v>
      </c>
      <c r="I1147" s="1" t="s">
        <v>2643</v>
      </c>
      <c r="J1147">
        <v>1</v>
      </c>
      <c r="K1147" t="str">
        <f>IF(Tb_data[[#This Row],[previous_workers]]&lt;Tb_data[[#This Row],[workers]],"yes","no")</f>
        <v>yes</v>
      </c>
      <c r="L1147">
        <f>Tb_data[[#This Row],[workers]]-Tb_data[[#This Row],[previous_workers]]</f>
        <v>22</v>
      </c>
      <c r="M1147" s="12">
        <f>Tb_data[[#This Row],[Employees Growth]]/Tb_data[[#This Row],[previous_workers]]</f>
        <v>7.333333333333333</v>
      </c>
    </row>
    <row r="1148" spans="1:13" x14ac:dyDescent="0.25">
      <c r="A1148" s="1" t="s">
        <v>2296</v>
      </c>
      <c r="B1148" s="1" t="s">
        <v>2297</v>
      </c>
      <c r="C1148" s="1">
        <v>5400000</v>
      </c>
      <c r="D1148" s="1" t="s">
        <v>33</v>
      </c>
      <c r="E1148">
        <v>384.76749999999998</v>
      </c>
      <c r="F1148" s="1" t="s">
        <v>176</v>
      </c>
      <c r="G1148">
        <v>34</v>
      </c>
      <c r="H1148">
        <v>6</v>
      </c>
      <c r="I1148" s="1" t="s">
        <v>26</v>
      </c>
      <c r="J1148">
        <v>1</v>
      </c>
      <c r="K1148" t="str">
        <f>IF(Tb_data[[#This Row],[previous_workers]]&lt;Tb_data[[#This Row],[workers]],"yes","no")</f>
        <v>yes</v>
      </c>
      <c r="L1148">
        <f>Tb_data[[#This Row],[workers]]-Tb_data[[#This Row],[previous_workers]]</f>
        <v>28</v>
      </c>
      <c r="M1148" s="12">
        <f>Tb_data[[#This Row],[Employees Growth]]/Tb_data[[#This Row],[previous_workers]]</f>
        <v>4.666666666666667</v>
      </c>
    </row>
    <row r="1149" spans="1:13" x14ac:dyDescent="0.25">
      <c r="A1149" s="1" t="s">
        <v>8367</v>
      </c>
      <c r="B1149" s="1" t="s">
        <v>8368</v>
      </c>
      <c r="C1149" s="1">
        <v>15900000</v>
      </c>
      <c r="D1149" s="1" t="s">
        <v>29</v>
      </c>
      <c r="E1149">
        <v>76.751199999999997</v>
      </c>
      <c r="F1149" s="1" t="s">
        <v>176</v>
      </c>
      <c r="G1149">
        <v>114</v>
      </c>
      <c r="H1149">
        <v>125</v>
      </c>
      <c r="I1149" s="1" t="s">
        <v>130</v>
      </c>
      <c r="J1149">
        <v>3</v>
      </c>
      <c r="K1149" t="str">
        <f>IF(Tb_data[[#This Row],[previous_workers]]&lt;Tb_data[[#This Row],[workers]],"yes","no")</f>
        <v>no</v>
      </c>
      <c r="L1149">
        <f>Tb_data[[#This Row],[workers]]-Tb_data[[#This Row],[previous_workers]]</f>
        <v>-11</v>
      </c>
      <c r="M1149" s="12">
        <f>Tb_data[[#This Row],[Employees Growth]]/Tb_data[[#This Row],[previous_workers]]</f>
        <v>-8.7999999999999995E-2</v>
      </c>
    </row>
    <row r="1150" spans="1:13" x14ac:dyDescent="0.25">
      <c r="A1150" s="1" t="s">
        <v>9279</v>
      </c>
      <c r="B1150" s="1" t="s">
        <v>9280</v>
      </c>
      <c r="C1150" s="1">
        <v>8800000</v>
      </c>
      <c r="D1150" s="1" t="s">
        <v>254</v>
      </c>
      <c r="E1150">
        <v>63.090600000000002</v>
      </c>
      <c r="F1150" s="1" t="s">
        <v>12</v>
      </c>
      <c r="G1150">
        <v>27</v>
      </c>
      <c r="H1150">
        <v>15</v>
      </c>
      <c r="I1150" s="1" t="s">
        <v>1051</v>
      </c>
      <c r="J1150">
        <v>2</v>
      </c>
      <c r="K1150" t="str">
        <f>IF(Tb_data[[#This Row],[previous_workers]]&lt;Tb_data[[#This Row],[workers]],"yes","no")</f>
        <v>yes</v>
      </c>
      <c r="L1150">
        <f>Tb_data[[#This Row],[workers]]-Tb_data[[#This Row],[previous_workers]]</f>
        <v>12</v>
      </c>
      <c r="M1150" s="12">
        <f>Tb_data[[#This Row],[Employees Growth]]/Tb_data[[#This Row],[previous_workers]]</f>
        <v>0.8</v>
      </c>
    </row>
    <row r="1151" spans="1:13" x14ac:dyDescent="0.25">
      <c r="A1151" s="1" t="s">
        <v>7210</v>
      </c>
      <c r="B1151" s="1" t="s">
        <v>7211</v>
      </c>
      <c r="C1151" s="1">
        <v>138800000</v>
      </c>
      <c r="D1151" s="1" t="s">
        <v>627</v>
      </c>
      <c r="E1151">
        <v>98.234300000000005</v>
      </c>
      <c r="F1151" s="1" t="s">
        <v>100</v>
      </c>
      <c r="G1151">
        <v>79</v>
      </c>
      <c r="H1151">
        <v>33</v>
      </c>
      <c r="I1151" s="1" t="s">
        <v>35</v>
      </c>
      <c r="J1151">
        <v>3</v>
      </c>
      <c r="K1151" t="str">
        <f>IF(Tb_data[[#This Row],[previous_workers]]&lt;Tb_data[[#This Row],[workers]],"yes","no")</f>
        <v>yes</v>
      </c>
      <c r="L1151">
        <f>Tb_data[[#This Row],[workers]]-Tb_data[[#This Row],[previous_workers]]</f>
        <v>46</v>
      </c>
      <c r="M1151" s="12">
        <f>Tb_data[[#This Row],[Employees Growth]]/Tb_data[[#This Row],[previous_workers]]</f>
        <v>1.393939393939394</v>
      </c>
    </row>
    <row r="1152" spans="1:13" x14ac:dyDescent="0.25">
      <c r="A1152" s="1" t="s">
        <v>6131</v>
      </c>
      <c r="B1152" s="1" t="s">
        <v>6132</v>
      </c>
      <c r="C1152" s="1">
        <v>7800000</v>
      </c>
      <c r="D1152" s="1" t="s">
        <v>45</v>
      </c>
      <c r="E1152">
        <v>122.94970000000001</v>
      </c>
      <c r="F1152" s="1" t="s">
        <v>176</v>
      </c>
      <c r="G1152">
        <v>42</v>
      </c>
      <c r="H1152">
        <v>21</v>
      </c>
      <c r="I1152" s="1" t="s">
        <v>26</v>
      </c>
      <c r="J1152">
        <v>3</v>
      </c>
      <c r="K1152" t="str">
        <f>IF(Tb_data[[#This Row],[previous_workers]]&lt;Tb_data[[#This Row],[workers]],"yes","no")</f>
        <v>yes</v>
      </c>
      <c r="L1152">
        <f>Tb_data[[#This Row],[workers]]-Tb_data[[#This Row],[previous_workers]]</f>
        <v>21</v>
      </c>
      <c r="M1152" s="12">
        <f>Tb_data[[#This Row],[Employees Growth]]/Tb_data[[#This Row],[previous_workers]]</f>
        <v>1</v>
      </c>
    </row>
    <row r="1153" spans="1:13" x14ac:dyDescent="0.25">
      <c r="A1153" s="1" t="s">
        <v>2635</v>
      </c>
      <c r="B1153" s="1" t="s">
        <v>2636</v>
      </c>
      <c r="C1153" s="1">
        <v>3500000</v>
      </c>
      <c r="D1153" s="1" t="s">
        <v>11</v>
      </c>
      <c r="E1153">
        <v>328.33429999999998</v>
      </c>
      <c r="F1153" s="1" t="s">
        <v>135</v>
      </c>
      <c r="G1153">
        <v>25</v>
      </c>
      <c r="H1153">
        <v>6</v>
      </c>
      <c r="I1153" s="1" t="s">
        <v>26</v>
      </c>
      <c r="J1153">
        <v>1</v>
      </c>
      <c r="K1153" t="str">
        <f>IF(Tb_data[[#This Row],[previous_workers]]&lt;Tb_data[[#This Row],[workers]],"yes","no")</f>
        <v>yes</v>
      </c>
      <c r="L1153">
        <f>Tb_data[[#This Row],[workers]]-Tb_data[[#This Row],[previous_workers]]</f>
        <v>19</v>
      </c>
      <c r="M1153" s="12">
        <f>Tb_data[[#This Row],[Employees Growth]]/Tb_data[[#This Row],[previous_workers]]</f>
        <v>3.1666666666666665</v>
      </c>
    </row>
    <row r="1154" spans="1:13" x14ac:dyDescent="0.25">
      <c r="A1154" s="1" t="s">
        <v>2084</v>
      </c>
      <c r="B1154" s="1" t="s">
        <v>2085</v>
      </c>
      <c r="C1154" s="1">
        <v>10000000</v>
      </c>
      <c r="D1154" s="1" t="s">
        <v>16</v>
      </c>
      <c r="E1154">
        <v>427.47730000000001</v>
      </c>
      <c r="F1154" s="1" t="s">
        <v>12</v>
      </c>
      <c r="G1154">
        <v>50</v>
      </c>
      <c r="H1154">
        <v>15</v>
      </c>
      <c r="I1154" s="1" t="s">
        <v>194</v>
      </c>
      <c r="J1154">
        <v>5</v>
      </c>
      <c r="K1154" t="str">
        <f>IF(Tb_data[[#This Row],[previous_workers]]&lt;Tb_data[[#This Row],[workers]],"yes","no")</f>
        <v>yes</v>
      </c>
      <c r="L1154">
        <f>Tb_data[[#This Row],[workers]]-Tb_data[[#This Row],[previous_workers]]</f>
        <v>35</v>
      </c>
      <c r="M1154" s="12">
        <f>Tb_data[[#This Row],[Employees Growth]]/Tb_data[[#This Row],[previous_workers]]</f>
        <v>2.3333333333333335</v>
      </c>
    </row>
    <row r="1155" spans="1:13" x14ac:dyDescent="0.25">
      <c r="A1155" s="1" t="s">
        <v>703</v>
      </c>
      <c r="B1155" s="1" t="s">
        <v>704</v>
      </c>
      <c r="C1155" s="1">
        <v>16100000</v>
      </c>
      <c r="D1155" s="1" t="s">
        <v>69</v>
      </c>
      <c r="E1155">
        <v>1469.7828</v>
      </c>
      <c r="F1155" s="1" t="s">
        <v>12</v>
      </c>
      <c r="G1155">
        <v>36</v>
      </c>
      <c r="H1155">
        <v>6</v>
      </c>
      <c r="I1155" s="1" t="s">
        <v>130</v>
      </c>
      <c r="J1155">
        <v>3</v>
      </c>
      <c r="K1155" t="str">
        <f>IF(Tb_data[[#This Row],[previous_workers]]&lt;Tb_data[[#This Row],[workers]],"yes","no")</f>
        <v>yes</v>
      </c>
      <c r="L1155">
        <f>Tb_data[[#This Row],[workers]]-Tb_data[[#This Row],[previous_workers]]</f>
        <v>30</v>
      </c>
      <c r="M1155" s="12">
        <f>Tb_data[[#This Row],[Employees Growth]]/Tb_data[[#This Row],[previous_workers]]</f>
        <v>5</v>
      </c>
    </row>
    <row r="1156" spans="1:13" x14ac:dyDescent="0.25">
      <c r="A1156" s="1" t="s">
        <v>5300</v>
      </c>
      <c r="B1156" s="1" t="s">
        <v>5301</v>
      </c>
      <c r="C1156" s="1">
        <v>9400000</v>
      </c>
      <c r="D1156" s="1" t="s">
        <v>49</v>
      </c>
      <c r="E1156">
        <v>150.1146</v>
      </c>
      <c r="F1156" s="1" t="s">
        <v>86</v>
      </c>
      <c r="G1156">
        <v>70</v>
      </c>
      <c r="H1156">
        <v>20</v>
      </c>
      <c r="I1156" s="1" t="s">
        <v>74</v>
      </c>
      <c r="J1156">
        <v>5</v>
      </c>
      <c r="K1156" t="str">
        <f>IF(Tb_data[[#This Row],[previous_workers]]&lt;Tb_data[[#This Row],[workers]],"yes","no")</f>
        <v>yes</v>
      </c>
      <c r="L1156">
        <f>Tb_data[[#This Row],[workers]]-Tb_data[[#This Row],[previous_workers]]</f>
        <v>50</v>
      </c>
      <c r="M1156" s="12">
        <f>Tb_data[[#This Row],[Employees Growth]]/Tb_data[[#This Row],[previous_workers]]</f>
        <v>2.5</v>
      </c>
    </row>
    <row r="1157" spans="1:13" x14ac:dyDescent="0.25">
      <c r="A1157" s="1" t="s">
        <v>3011</v>
      </c>
      <c r="B1157" s="1" t="s">
        <v>3012</v>
      </c>
      <c r="C1157" s="1">
        <v>89000000</v>
      </c>
      <c r="D1157" s="1" t="s">
        <v>41</v>
      </c>
      <c r="E1157">
        <v>286.17439999999999</v>
      </c>
      <c r="F1157" s="1" t="s">
        <v>97</v>
      </c>
      <c r="G1157">
        <v>376</v>
      </c>
      <c r="H1157">
        <v>155</v>
      </c>
      <c r="I1157" s="1" t="s">
        <v>295</v>
      </c>
      <c r="J1157">
        <v>5</v>
      </c>
      <c r="K1157" t="str">
        <f>IF(Tb_data[[#This Row],[previous_workers]]&lt;Tb_data[[#This Row],[workers]],"yes","no")</f>
        <v>yes</v>
      </c>
      <c r="L1157">
        <f>Tb_data[[#This Row],[workers]]-Tb_data[[#This Row],[previous_workers]]</f>
        <v>221</v>
      </c>
      <c r="M1157" s="12">
        <f>Tb_data[[#This Row],[Employees Growth]]/Tb_data[[#This Row],[previous_workers]]</f>
        <v>1.4258064516129032</v>
      </c>
    </row>
    <row r="1158" spans="1:13" x14ac:dyDescent="0.25">
      <c r="A1158" s="1" t="s">
        <v>9003</v>
      </c>
      <c r="B1158" s="1" t="s">
        <v>9004</v>
      </c>
      <c r="C1158" s="1">
        <v>12700000</v>
      </c>
      <c r="D1158" s="1" t="s">
        <v>61</v>
      </c>
      <c r="E1158">
        <v>66.578100000000006</v>
      </c>
      <c r="F1158" s="1" t="s">
        <v>514</v>
      </c>
      <c r="G1158">
        <v>43</v>
      </c>
      <c r="H1158">
        <v>38</v>
      </c>
      <c r="I1158" s="1" t="s">
        <v>2628</v>
      </c>
      <c r="J1158">
        <v>2</v>
      </c>
      <c r="K1158" t="str">
        <f>IF(Tb_data[[#This Row],[previous_workers]]&lt;Tb_data[[#This Row],[workers]],"yes","no")</f>
        <v>yes</v>
      </c>
      <c r="L1158">
        <f>Tb_data[[#This Row],[workers]]-Tb_data[[#This Row],[previous_workers]]</f>
        <v>5</v>
      </c>
      <c r="M1158" s="12">
        <f>Tb_data[[#This Row],[Employees Growth]]/Tb_data[[#This Row],[previous_workers]]</f>
        <v>0.13157894736842105</v>
      </c>
    </row>
    <row r="1159" spans="1:13" x14ac:dyDescent="0.25">
      <c r="A1159" s="1" t="s">
        <v>1821</v>
      </c>
      <c r="B1159" s="1" t="s">
        <v>1822</v>
      </c>
      <c r="C1159" s="1">
        <v>20000000</v>
      </c>
      <c r="D1159" s="1" t="s">
        <v>20</v>
      </c>
      <c r="E1159">
        <v>495.24939999999998</v>
      </c>
      <c r="F1159" s="1" t="s">
        <v>124</v>
      </c>
      <c r="G1159">
        <v>50</v>
      </c>
      <c r="H1159">
        <v>12</v>
      </c>
      <c r="I1159" s="1" t="s">
        <v>35</v>
      </c>
      <c r="J1159">
        <v>1</v>
      </c>
      <c r="K1159" t="str">
        <f>IF(Tb_data[[#This Row],[previous_workers]]&lt;Tb_data[[#This Row],[workers]],"yes","no")</f>
        <v>yes</v>
      </c>
      <c r="L1159">
        <f>Tb_data[[#This Row],[workers]]-Tb_data[[#This Row],[previous_workers]]</f>
        <v>38</v>
      </c>
      <c r="M1159" s="12">
        <f>Tb_data[[#This Row],[Employees Growth]]/Tb_data[[#This Row],[previous_workers]]</f>
        <v>3.1666666666666665</v>
      </c>
    </row>
    <row r="1160" spans="1:13" x14ac:dyDescent="0.25">
      <c r="A1160" s="1" t="s">
        <v>8457</v>
      </c>
      <c r="B1160" s="1" t="s">
        <v>8458</v>
      </c>
      <c r="C1160" s="1">
        <v>4800000</v>
      </c>
      <c r="D1160" s="1" t="s">
        <v>61</v>
      </c>
      <c r="E1160">
        <v>74.8797</v>
      </c>
      <c r="F1160" s="1" t="s">
        <v>86</v>
      </c>
      <c r="G1160">
        <v>50</v>
      </c>
      <c r="H1160">
        <v>10</v>
      </c>
      <c r="I1160" s="1" t="s">
        <v>26</v>
      </c>
      <c r="J1160">
        <v>1</v>
      </c>
      <c r="K1160" t="str">
        <f>IF(Tb_data[[#This Row],[previous_workers]]&lt;Tb_data[[#This Row],[workers]],"yes","no")</f>
        <v>yes</v>
      </c>
      <c r="L1160">
        <f>Tb_data[[#This Row],[workers]]-Tb_data[[#This Row],[previous_workers]]</f>
        <v>40</v>
      </c>
      <c r="M1160" s="12">
        <f>Tb_data[[#This Row],[Employees Growth]]/Tb_data[[#This Row],[previous_workers]]</f>
        <v>4</v>
      </c>
    </row>
    <row r="1161" spans="1:13" x14ac:dyDescent="0.25">
      <c r="A1161" s="1" t="s">
        <v>7759</v>
      </c>
      <c r="B1161" s="1" t="s">
        <v>7760</v>
      </c>
      <c r="C1161" s="1">
        <v>434000000</v>
      </c>
      <c r="D1161" s="1" t="s">
        <v>33</v>
      </c>
      <c r="E1161">
        <v>87.059100000000001</v>
      </c>
      <c r="F1161" s="1" t="s">
        <v>172</v>
      </c>
      <c r="G1161">
        <v>808</v>
      </c>
      <c r="H1161">
        <v>692</v>
      </c>
      <c r="I1161" s="1" t="s">
        <v>2676</v>
      </c>
      <c r="J1161">
        <v>2</v>
      </c>
      <c r="K1161" t="str">
        <f>IF(Tb_data[[#This Row],[previous_workers]]&lt;Tb_data[[#This Row],[workers]],"yes","no")</f>
        <v>yes</v>
      </c>
      <c r="L1161">
        <f>Tb_data[[#This Row],[workers]]-Tb_data[[#This Row],[previous_workers]]</f>
        <v>116</v>
      </c>
      <c r="M1161" s="12">
        <f>Tb_data[[#This Row],[Employees Growth]]/Tb_data[[#This Row],[previous_workers]]</f>
        <v>0.16763005780346821</v>
      </c>
    </row>
    <row r="1162" spans="1:13" x14ac:dyDescent="0.25">
      <c r="A1162" s="1" t="s">
        <v>6827</v>
      </c>
      <c r="B1162" s="1" t="s">
        <v>6828</v>
      </c>
      <c r="C1162" s="1">
        <v>2400000</v>
      </c>
      <c r="D1162" s="1" t="s">
        <v>115</v>
      </c>
      <c r="E1162">
        <v>106.00149999999999</v>
      </c>
      <c r="F1162" s="1" t="s">
        <v>176</v>
      </c>
      <c r="G1162">
        <v>10</v>
      </c>
      <c r="H1162">
        <v>3</v>
      </c>
      <c r="I1162" s="1" t="s">
        <v>117</v>
      </c>
      <c r="J1162">
        <v>1</v>
      </c>
      <c r="K1162" t="str">
        <f>IF(Tb_data[[#This Row],[previous_workers]]&lt;Tb_data[[#This Row],[workers]],"yes","no")</f>
        <v>yes</v>
      </c>
      <c r="L1162">
        <f>Tb_data[[#This Row],[workers]]-Tb_data[[#This Row],[previous_workers]]</f>
        <v>7</v>
      </c>
      <c r="M1162" s="12">
        <f>Tb_data[[#This Row],[Employees Growth]]/Tb_data[[#This Row],[previous_workers]]</f>
        <v>2.3333333333333335</v>
      </c>
    </row>
    <row r="1163" spans="1:13" x14ac:dyDescent="0.25">
      <c r="A1163" s="1" t="s">
        <v>8637</v>
      </c>
      <c r="B1163" s="1" t="s">
        <v>8638</v>
      </c>
      <c r="C1163" s="1">
        <v>76300000</v>
      </c>
      <c r="D1163" s="1" t="s">
        <v>41</v>
      </c>
      <c r="E1163">
        <v>71.983599999999996</v>
      </c>
      <c r="F1163" s="1" t="s">
        <v>176</v>
      </c>
      <c r="G1163">
        <v>341</v>
      </c>
      <c r="H1163">
        <v>117</v>
      </c>
      <c r="I1163" s="1" t="s">
        <v>164</v>
      </c>
      <c r="J1163">
        <v>4</v>
      </c>
      <c r="K1163" t="str">
        <f>IF(Tb_data[[#This Row],[previous_workers]]&lt;Tb_data[[#This Row],[workers]],"yes","no")</f>
        <v>yes</v>
      </c>
      <c r="L1163">
        <f>Tb_data[[#This Row],[workers]]-Tb_data[[#This Row],[previous_workers]]</f>
        <v>224</v>
      </c>
      <c r="M1163" s="12">
        <f>Tb_data[[#This Row],[Employees Growth]]/Tb_data[[#This Row],[previous_workers]]</f>
        <v>1.9145299145299146</v>
      </c>
    </row>
    <row r="1164" spans="1:13" x14ac:dyDescent="0.25">
      <c r="A1164" s="1" t="s">
        <v>961</v>
      </c>
      <c r="B1164" s="1" t="s">
        <v>4090</v>
      </c>
      <c r="C1164" s="1">
        <v>333400000</v>
      </c>
      <c r="D1164" s="1" t="s">
        <v>45</v>
      </c>
      <c r="E1164">
        <v>201.9238</v>
      </c>
      <c r="F1164" s="1" t="s">
        <v>62</v>
      </c>
      <c r="G1164">
        <v>2446</v>
      </c>
      <c r="H1164">
        <v>735</v>
      </c>
      <c r="I1164" s="1" t="s">
        <v>948</v>
      </c>
      <c r="J1164">
        <v>6</v>
      </c>
      <c r="K1164" t="str">
        <f>IF(Tb_data[[#This Row],[previous_workers]]&lt;Tb_data[[#This Row],[workers]],"yes","no")</f>
        <v>yes</v>
      </c>
      <c r="L1164">
        <f>Tb_data[[#This Row],[workers]]-Tb_data[[#This Row],[previous_workers]]</f>
        <v>1711</v>
      </c>
      <c r="M1164" s="12">
        <f>Tb_data[[#This Row],[Employees Growth]]/Tb_data[[#This Row],[previous_workers]]</f>
        <v>2.3278911564625848</v>
      </c>
    </row>
    <row r="1165" spans="1:13" x14ac:dyDescent="0.25">
      <c r="A1165" s="1" t="s">
        <v>1878</v>
      </c>
      <c r="B1165" s="1" t="s">
        <v>1879</v>
      </c>
      <c r="C1165" s="1">
        <v>4100000</v>
      </c>
      <c r="D1165" s="1" t="s">
        <v>61</v>
      </c>
      <c r="E1165">
        <v>478.85629999999998</v>
      </c>
      <c r="F1165" s="1" t="s">
        <v>25</v>
      </c>
      <c r="G1165">
        <v>60</v>
      </c>
      <c r="H1165">
        <v>23</v>
      </c>
      <c r="I1165" s="1" t="s">
        <v>55</v>
      </c>
      <c r="J1165">
        <v>1</v>
      </c>
      <c r="K1165" t="str">
        <f>IF(Tb_data[[#This Row],[previous_workers]]&lt;Tb_data[[#This Row],[workers]],"yes","no")</f>
        <v>yes</v>
      </c>
      <c r="L1165">
        <f>Tb_data[[#This Row],[workers]]-Tb_data[[#This Row],[previous_workers]]</f>
        <v>37</v>
      </c>
      <c r="M1165" s="12">
        <f>Tb_data[[#This Row],[Employees Growth]]/Tb_data[[#This Row],[previous_workers]]</f>
        <v>1.6086956521739131</v>
      </c>
    </row>
    <row r="1166" spans="1:13" x14ac:dyDescent="0.25">
      <c r="A1166" s="1" t="s">
        <v>1558</v>
      </c>
      <c r="B1166" s="1" t="s">
        <v>1559</v>
      </c>
      <c r="C1166" s="1">
        <v>2900000</v>
      </c>
      <c r="D1166" s="1" t="s">
        <v>175</v>
      </c>
      <c r="E1166">
        <v>603.32090000000005</v>
      </c>
      <c r="F1166" s="1" t="s">
        <v>514</v>
      </c>
      <c r="G1166">
        <v>17</v>
      </c>
      <c r="H1166">
        <v>2</v>
      </c>
      <c r="I1166" s="1" t="s">
        <v>130</v>
      </c>
      <c r="J1166">
        <v>1</v>
      </c>
      <c r="K1166" t="str">
        <f>IF(Tb_data[[#This Row],[previous_workers]]&lt;Tb_data[[#This Row],[workers]],"yes","no")</f>
        <v>yes</v>
      </c>
      <c r="L1166">
        <f>Tb_data[[#This Row],[workers]]-Tb_data[[#This Row],[previous_workers]]</f>
        <v>15</v>
      </c>
      <c r="M1166" s="12">
        <f>Tb_data[[#This Row],[Employees Growth]]/Tb_data[[#This Row],[previous_workers]]</f>
        <v>7.5</v>
      </c>
    </row>
    <row r="1167" spans="1:13" x14ac:dyDescent="0.25">
      <c r="A1167" s="1" t="s">
        <v>8743</v>
      </c>
      <c r="B1167" s="1" t="s">
        <v>8744</v>
      </c>
      <c r="C1167" s="1">
        <v>2400000</v>
      </c>
      <c r="D1167" s="1" t="s">
        <v>16</v>
      </c>
      <c r="E1167">
        <v>70.400400000000005</v>
      </c>
      <c r="F1167" s="1" t="s">
        <v>156</v>
      </c>
      <c r="G1167">
        <v>17</v>
      </c>
      <c r="H1167">
        <v>13</v>
      </c>
      <c r="I1167" s="1" t="s">
        <v>164</v>
      </c>
      <c r="J1167">
        <v>3</v>
      </c>
      <c r="K1167" t="str">
        <f>IF(Tb_data[[#This Row],[previous_workers]]&lt;Tb_data[[#This Row],[workers]],"yes","no")</f>
        <v>yes</v>
      </c>
      <c r="L1167">
        <f>Tb_data[[#This Row],[workers]]-Tb_data[[#This Row],[previous_workers]]</f>
        <v>4</v>
      </c>
      <c r="M1167" s="12">
        <f>Tb_data[[#This Row],[Employees Growth]]/Tb_data[[#This Row],[previous_workers]]</f>
        <v>0.30769230769230771</v>
      </c>
    </row>
    <row r="1168" spans="1:13" x14ac:dyDescent="0.25">
      <c r="A1168" s="1" t="s">
        <v>9598</v>
      </c>
      <c r="B1168" s="1" t="s">
        <v>9599</v>
      </c>
      <c r="C1168" s="1">
        <v>2600000</v>
      </c>
      <c r="D1168" s="1" t="s">
        <v>254</v>
      </c>
      <c r="E1168">
        <v>59.246600000000001</v>
      </c>
      <c r="F1168" s="1" t="s">
        <v>124</v>
      </c>
      <c r="G1168">
        <v>16</v>
      </c>
      <c r="H1168">
        <v>6</v>
      </c>
      <c r="I1168" s="1" t="s">
        <v>164</v>
      </c>
      <c r="J1168">
        <v>1</v>
      </c>
      <c r="K1168" t="str">
        <f>IF(Tb_data[[#This Row],[previous_workers]]&lt;Tb_data[[#This Row],[workers]],"yes","no")</f>
        <v>yes</v>
      </c>
      <c r="L1168">
        <f>Tb_data[[#This Row],[workers]]-Tb_data[[#This Row],[previous_workers]]</f>
        <v>10</v>
      </c>
      <c r="M1168" s="12">
        <f>Tb_data[[#This Row],[Employees Growth]]/Tb_data[[#This Row],[previous_workers]]</f>
        <v>1.6666666666666667</v>
      </c>
    </row>
    <row r="1169" spans="1:13" x14ac:dyDescent="0.25">
      <c r="A1169" s="1" t="s">
        <v>3884</v>
      </c>
      <c r="B1169" s="1" t="s">
        <v>3885</v>
      </c>
      <c r="C1169" s="1">
        <v>34600000</v>
      </c>
      <c r="D1169" s="1" t="s">
        <v>33</v>
      </c>
      <c r="E1169">
        <v>215.40690000000001</v>
      </c>
      <c r="F1169" s="1" t="s">
        <v>25</v>
      </c>
      <c r="G1169">
        <v>800</v>
      </c>
      <c r="H1169">
        <v>300</v>
      </c>
      <c r="I1169" s="1" t="s">
        <v>130</v>
      </c>
      <c r="J1169">
        <v>4</v>
      </c>
      <c r="K1169" t="str">
        <f>IF(Tb_data[[#This Row],[previous_workers]]&lt;Tb_data[[#This Row],[workers]],"yes","no")</f>
        <v>yes</v>
      </c>
      <c r="L1169">
        <f>Tb_data[[#This Row],[workers]]-Tb_data[[#This Row],[previous_workers]]</f>
        <v>500</v>
      </c>
      <c r="M1169" s="12">
        <f>Tb_data[[#This Row],[Employees Growth]]/Tb_data[[#This Row],[previous_workers]]</f>
        <v>1.6666666666666667</v>
      </c>
    </row>
    <row r="1170" spans="1:13" x14ac:dyDescent="0.25">
      <c r="A1170" s="1" t="s">
        <v>2719</v>
      </c>
      <c r="B1170" s="1" t="s">
        <v>2720</v>
      </c>
      <c r="C1170" s="1">
        <v>7500000</v>
      </c>
      <c r="D1170" s="1" t="s">
        <v>33</v>
      </c>
      <c r="E1170">
        <v>317.0849</v>
      </c>
      <c r="F1170" s="1" t="s">
        <v>34</v>
      </c>
      <c r="G1170">
        <v>61</v>
      </c>
      <c r="H1170">
        <v>23</v>
      </c>
      <c r="I1170" s="1" t="s">
        <v>55</v>
      </c>
      <c r="J1170">
        <v>2</v>
      </c>
      <c r="K1170" t="str">
        <f>IF(Tb_data[[#This Row],[previous_workers]]&lt;Tb_data[[#This Row],[workers]],"yes","no")</f>
        <v>yes</v>
      </c>
      <c r="L1170">
        <f>Tb_data[[#This Row],[workers]]-Tb_data[[#This Row],[previous_workers]]</f>
        <v>38</v>
      </c>
      <c r="M1170" s="12">
        <f>Tb_data[[#This Row],[Employees Growth]]/Tb_data[[#This Row],[previous_workers]]</f>
        <v>1.6521739130434783</v>
      </c>
    </row>
    <row r="1171" spans="1:13" x14ac:dyDescent="0.25">
      <c r="A1171" s="1" t="s">
        <v>5570</v>
      </c>
      <c r="B1171" s="1" t="s">
        <v>5571</v>
      </c>
      <c r="C1171" s="1">
        <v>5500000</v>
      </c>
      <c r="D1171" s="1" t="s">
        <v>254</v>
      </c>
      <c r="E1171">
        <v>139.5061</v>
      </c>
      <c r="F1171" s="1" t="s">
        <v>161</v>
      </c>
      <c r="G1171">
        <v>27</v>
      </c>
      <c r="H1171">
        <v>18</v>
      </c>
      <c r="I1171" s="1" t="s">
        <v>164</v>
      </c>
      <c r="J1171">
        <v>5</v>
      </c>
      <c r="K1171" t="str">
        <f>IF(Tb_data[[#This Row],[previous_workers]]&lt;Tb_data[[#This Row],[workers]],"yes","no")</f>
        <v>yes</v>
      </c>
      <c r="L1171">
        <f>Tb_data[[#This Row],[workers]]-Tb_data[[#This Row],[previous_workers]]</f>
        <v>9</v>
      </c>
      <c r="M1171" s="12">
        <f>Tb_data[[#This Row],[Employees Growth]]/Tb_data[[#This Row],[previous_workers]]</f>
        <v>0.5</v>
      </c>
    </row>
    <row r="1172" spans="1:13" x14ac:dyDescent="0.25">
      <c r="A1172" s="1" t="s">
        <v>2620</v>
      </c>
      <c r="B1172" s="1" t="s">
        <v>2621</v>
      </c>
      <c r="C1172" s="1">
        <v>10400000</v>
      </c>
      <c r="D1172" s="1" t="s">
        <v>41</v>
      </c>
      <c r="E1172">
        <v>330.06810000000002</v>
      </c>
      <c r="F1172" s="1" t="s">
        <v>34</v>
      </c>
      <c r="G1172">
        <v>70</v>
      </c>
      <c r="H1172">
        <v>15</v>
      </c>
      <c r="I1172" s="1" t="s">
        <v>55</v>
      </c>
      <c r="J1172">
        <v>2</v>
      </c>
      <c r="K1172" t="str">
        <f>IF(Tb_data[[#This Row],[previous_workers]]&lt;Tb_data[[#This Row],[workers]],"yes","no")</f>
        <v>yes</v>
      </c>
      <c r="L1172">
        <f>Tb_data[[#This Row],[workers]]-Tb_data[[#This Row],[previous_workers]]</f>
        <v>55</v>
      </c>
      <c r="M1172" s="12">
        <f>Tb_data[[#This Row],[Employees Growth]]/Tb_data[[#This Row],[previous_workers]]</f>
        <v>3.6666666666666665</v>
      </c>
    </row>
    <row r="1173" spans="1:13" x14ac:dyDescent="0.25">
      <c r="A1173" s="1" t="s">
        <v>7152</v>
      </c>
      <c r="B1173" s="1" t="s">
        <v>7153</v>
      </c>
      <c r="C1173" s="1">
        <v>4700000</v>
      </c>
      <c r="D1173" s="1" t="s">
        <v>41</v>
      </c>
      <c r="E1173">
        <v>99.301500000000004</v>
      </c>
      <c r="F1173" s="1" t="s">
        <v>142</v>
      </c>
      <c r="G1173">
        <v>5</v>
      </c>
      <c r="H1173">
        <v>2</v>
      </c>
      <c r="I1173" s="1" t="s">
        <v>46</v>
      </c>
      <c r="J1173">
        <v>1</v>
      </c>
      <c r="K1173" t="str">
        <f>IF(Tb_data[[#This Row],[previous_workers]]&lt;Tb_data[[#This Row],[workers]],"yes","no")</f>
        <v>yes</v>
      </c>
      <c r="L1173">
        <f>Tb_data[[#This Row],[workers]]-Tb_data[[#This Row],[previous_workers]]</f>
        <v>3</v>
      </c>
      <c r="M1173" s="12">
        <f>Tb_data[[#This Row],[Employees Growth]]/Tb_data[[#This Row],[previous_workers]]</f>
        <v>1.5</v>
      </c>
    </row>
    <row r="1174" spans="1:13" x14ac:dyDescent="0.25">
      <c r="A1174" s="1" t="s">
        <v>5874</v>
      </c>
      <c r="B1174" s="1" t="s">
        <v>5875</v>
      </c>
      <c r="C1174" s="1">
        <v>12600000</v>
      </c>
      <c r="D1174" s="1" t="s">
        <v>58</v>
      </c>
      <c r="E1174">
        <v>129.53399999999999</v>
      </c>
      <c r="F1174" s="1" t="s">
        <v>17</v>
      </c>
      <c r="G1174">
        <v>30</v>
      </c>
      <c r="H1174">
        <v>14</v>
      </c>
      <c r="I1174" s="1" t="s">
        <v>35</v>
      </c>
      <c r="J1174">
        <v>7</v>
      </c>
      <c r="K1174" t="str">
        <f>IF(Tb_data[[#This Row],[previous_workers]]&lt;Tb_data[[#This Row],[workers]],"yes","no")</f>
        <v>yes</v>
      </c>
      <c r="L1174">
        <f>Tb_data[[#This Row],[workers]]-Tb_data[[#This Row],[previous_workers]]</f>
        <v>16</v>
      </c>
      <c r="M1174" s="12">
        <f>Tb_data[[#This Row],[Employees Growth]]/Tb_data[[#This Row],[previous_workers]]</f>
        <v>1.1428571428571428</v>
      </c>
    </row>
    <row r="1175" spans="1:13" x14ac:dyDescent="0.25">
      <c r="A1175" s="1" t="s">
        <v>9239</v>
      </c>
      <c r="B1175" s="1" t="s">
        <v>9240</v>
      </c>
      <c r="C1175" s="1">
        <v>15200000</v>
      </c>
      <c r="D1175" s="1" t="s">
        <v>49</v>
      </c>
      <c r="E1175">
        <v>63.650500000000001</v>
      </c>
      <c r="F1175" s="1" t="s">
        <v>112</v>
      </c>
      <c r="G1175">
        <v>70</v>
      </c>
      <c r="H1175">
        <v>150</v>
      </c>
      <c r="I1175" s="1" t="s">
        <v>164</v>
      </c>
      <c r="J1175">
        <v>4</v>
      </c>
      <c r="K1175" t="str">
        <f>IF(Tb_data[[#This Row],[previous_workers]]&lt;Tb_data[[#This Row],[workers]],"yes","no")</f>
        <v>no</v>
      </c>
      <c r="L1175">
        <f>Tb_data[[#This Row],[workers]]-Tb_data[[#This Row],[previous_workers]]</f>
        <v>-80</v>
      </c>
      <c r="M1175" s="12">
        <f>Tb_data[[#This Row],[Employees Growth]]/Tb_data[[#This Row],[previous_workers]]</f>
        <v>-0.53333333333333333</v>
      </c>
    </row>
    <row r="1176" spans="1:13" x14ac:dyDescent="0.25">
      <c r="A1176" s="1" t="s">
        <v>4353</v>
      </c>
      <c r="B1176" s="1" t="s">
        <v>4354</v>
      </c>
      <c r="C1176" s="1">
        <v>4100000</v>
      </c>
      <c r="D1176" s="1" t="s">
        <v>254</v>
      </c>
      <c r="E1176">
        <v>188.7962</v>
      </c>
      <c r="F1176" s="1" t="s">
        <v>42</v>
      </c>
      <c r="G1176">
        <v>41</v>
      </c>
      <c r="H1176">
        <v>21</v>
      </c>
      <c r="I1176" s="1" t="s">
        <v>1622</v>
      </c>
      <c r="J1176">
        <v>2</v>
      </c>
      <c r="K1176" t="str">
        <f>IF(Tb_data[[#This Row],[previous_workers]]&lt;Tb_data[[#This Row],[workers]],"yes","no")</f>
        <v>yes</v>
      </c>
      <c r="L1176">
        <f>Tb_data[[#This Row],[workers]]-Tb_data[[#This Row],[previous_workers]]</f>
        <v>20</v>
      </c>
      <c r="M1176" s="12">
        <f>Tb_data[[#This Row],[Employees Growth]]/Tb_data[[#This Row],[previous_workers]]</f>
        <v>0.95238095238095233</v>
      </c>
    </row>
    <row r="1177" spans="1:13" x14ac:dyDescent="0.25">
      <c r="A1177" s="1" t="s">
        <v>1426</v>
      </c>
      <c r="B1177" s="1" t="s">
        <v>1427</v>
      </c>
      <c r="C1177" s="1">
        <v>33600000</v>
      </c>
      <c r="D1177" s="1" t="s">
        <v>155</v>
      </c>
      <c r="E1177">
        <v>660.91920000000005</v>
      </c>
      <c r="F1177" s="1" t="s">
        <v>100</v>
      </c>
      <c r="G1177">
        <v>23</v>
      </c>
      <c r="H1177">
        <v>6</v>
      </c>
      <c r="I1177" s="1" t="s">
        <v>130</v>
      </c>
      <c r="J1177">
        <v>2</v>
      </c>
      <c r="K1177" t="str">
        <f>IF(Tb_data[[#This Row],[previous_workers]]&lt;Tb_data[[#This Row],[workers]],"yes","no")</f>
        <v>yes</v>
      </c>
      <c r="L1177">
        <f>Tb_data[[#This Row],[workers]]-Tb_data[[#This Row],[previous_workers]]</f>
        <v>17</v>
      </c>
      <c r="M1177" s="12">
        <f>Tb_data[[#This Row],[Employees Growth]]/Tb_data[[#This Row],[previous_workers]]</f>
        <v>2.8333333333333335</v>
      </c>
    </row>
    <row r="1178" spans="1:13" x14ac:dyDescent="0.25">
      <c r="A1178" s="1" t="s">
        <v>4671</v>
      </c>
      <c r="B1178" s="1" t="s">
        <v>4672</v>
      </c>
      <c r="C1178" s="1">
        <v>14800000</v>
      </c>
      <c r="D1178" s="1" t="s">
        <v>91</v>
      </c>
      <c r="E1178">
        <v>175.5882</v>
      </c>
      <c r="F1178" s="1" t="s">
        <v>21</v>
      </c>
      <c r="G1178">
        <v>315</v>
      </c>
      <c r="H1178">
        <v>98</v>
      </c>
      <c r="I1178" s="1" t="s">
        <v>130</v>
      </c>
      <c r="J1178">
        <v>2</v>
      </c>
      <c r="K1178" t="str">
        <f>IF(Tb_data[[#This Row],[previous_workers]]&lt;Tb_data[[#This Row],[workers]],"yes","no")</f>
        <v>yes</v>
      </c>
      <c r="L1178">
        <f>Tb_data[[#This Row],[workers]]-Tb_data[[#This Row],[previous_workers]]</f>
        <v>217</v>
      </c>
      <c r="M1178" s="12">
        <f>Tb_data[[#This Row],[Employees Growth]]/Tb_data[[#This Row],[previous_workers]]</f>
        <v>2.2142857142857144</v>
      </c>
    </row>
    <row r="1179" spans="1:13" x14ac:dyDescent="0.25">
      <c r="A1179" s="1" t="s">
        <v>7673</v>
      </c>
      <c r="B1179" s="1" t="s">
        <v>7674</v>
      </c>
      <c r="C1179" s="1">
        <v>3500000</v>
      </c>
      <c r="D1179" s="1" t="s">
        <v>79</v>
      </c>
      <c r="E1179">
        <v>88.459699999999998</v>
      </c>
      <c r="F1179" s="1" t="s">
        <v>25</v>
      </c>
      <c r="G1179">
        <v>50</v>
      </c>
      <c r="H1179">
        <v>51</v>
      </c>
      <c r="I1179" s="1" t="s">
        <v>164</v>
      </c>
      <c r="J1179">
        <v>2</v>
      </c>
      <c r="K1179" t="str">
        <f>IF(Tb_data[[#This Row],[previous_workers]]&lt;Tb_data[[#This Row],[workers]],"yes","no")</f>
        <v>no</v>
      </c>
      <c r="L1179">
        <f>Tb_data[[#This Row],[workers]]-Tb_data[[#This Row],[previous_workers]]</f>
        <v>-1</v>
      </c>
      <c r="M1179" s="12">
        <f>Tb_data[[#This Row],[Employees Growth]]/Tb_data[[#This Row],[previous_workers]]</f>
        <v>-1.9607843137254902E-2</v>
      </c>
    </row>
    <row r="1180" spans="1:13" x14ac:dyDescent="0.25">
      <c r="A1180" s="1" t="s">
        <v>6061</v>
      </c>
      <c r="B1180" s="1" t="s">
        <v>6062</v>
      </c>
      <c r="C1180" s="1">
        <v>3900000</v>
      </c>
      <c r="D1180" s="1" t="s">
        <v>49</v>
      </c>
      <c r="E1180">
        <v>125.1557</v>
      </c>
      <c r="F1180" s="1" t="s">
        <v>21</v>
      </c>
      <c r="G1180">
        <v>124</v>
      </c>
      <c r="H1180">
        <v>45</v>
      </c>
      <c r="I1180" s="1" t="s">
        <v>117</v>
      </c>
      <c r="J1180">
        <v>2</v>
      </c>
      <c r="K1180" t="str">
        <f>IF(Tb_data[[#This Row],[previous_workers]]&lt;Tb_data[[#This Row],[workers]],"yes","no")</f>
        <v>yes</v>
      </c>
      <c r="L1180">
        <f>Tb_data[[#This Row],[workers]]-Tb_data[[#This Row],[previous_workers]]</f>
        <v>79</v>
      </c>
      <c r="M1180" s="12">
        <f>Tb_data[[#This Row],[Employees Growth]]/Tb_data[[#This Row],[previous_workers]]</f>
        <v>1.7555555555555555</v>
      </c>
    </row>
    <row r="1181" spans="1:13" x14ac:dyDescent="0.25">
      <c r="A1181" s="1" t="s">
        <v>8045</v>
      </c>
      <c r="B1181" s="1" t="s">
        <v>8046</v>
      </c>
      <c r="C1181" s="1">
        <v>41300000</v>
      </c>
      <c r="D1181" s="1" t="s">
        <v>41</v>
      </c>
      <c r="E1181">
        <v>81.936700000000002</v>
      </c>
      <c r="F1181" s="1" t="s">
        <v>97</v>
      </c>
      <c r="G1181">
        <v>230</v>
      </c>
      <c r="H1181">
        <v>72</v>
      </c>
      <c r="I1181" s="1" t="s">
        <v>147</v>
      </c>
      <c r="J1181">
        <v>8</v>
      </c>
      <c r="K1181" t="str">
        <f>IF(Tb_data[[#This Row],[previous_workers]]&lt;Tb_data[[#This Row],[workers]],"yes","no")</f>
        <v>yes</v>
      </c>
      <c r="L1181">
        <f>Tb_data[[#This Row],[workers]]-Tb_data[[#This Row],[previous_workers]]</f>
        <v>158</v>
      </c>
      <c r="M1181" s="12">
        <f>Tb_data[[#This Row],[Employees Growth]]/Tb_data[[#This Row],[previous_workers]]</f>
        <v>2.1944444444444446</v>
      </c>
    </row>
    <row r="1182" spans="1:13" x14ac:dyDescent="0.25">
      <c r="A1182" s="1" t="s">
        <v>4210</v>
      </c>
      <c r="B1182" s="1" t="s">
        <v>4211</v>
      </c>
      <c r="C1182" s="1">
        <v>2400000</v>
      </c>
      <c r="D1182" s="1" t="s">
        <v>49</v>
      </c>
      <c r="E1182">
        <v>195.41050000000001</v>
      </c>
      <c r="F1182" s="1" t="s">
        <v>12</v>
      </c>
      <c r="G1182">
        <v>11</v>
      </c>
      <c r="H1182">
        <v>3</v>
      </c>
      <c r="I1182" s="1" t="s">
        <v>55</v>
      </c>
      <c r="J1182">
        <v>1</v>
      </c>
      <c r="K1182" t="str">
        <f>IF(Tb_data[[#This Row],[previous_workers]]&lt;Tb_data[[#This Row],[workers]],"yes","no")</f>
        <v>yes</v>
      </c>
      <c r="L1182">
        <f>Tb_data[[#This Row],[workers]]-Tb_data[[#This Row],[previous_workers]]</f>
        <v>8</v>
      </c>
      <c r="M1182" s="12">
        <f>Tb_data[[#This Row],[Employees Growth]]/Tb_data[[#This Row],[previous_workers]]</f>
        <v>2.6666666666666665</v>
      </c>
    </row>
    <row r="1183" spans="1:13" x14ac:dyDescent="0.25">
      <c r="A1183" s="1" t="s">
        <v>4020</v>
      </c>
      <c r="B1183" s="1" t="s">
        <v>4021</v>
      </c>
      <c r="C1183" s="1">
        <v>3000000</v>
      </c>
      <c r="D1183" s="1" t="s">
        <v>375</v>
      </c>
      <c r="E1183">
        <v>205.9907</v>
      </c>
      <c r="F1183" s="1" t="s">
        <v>112</v>
      </c>
      <c r="G1183">
        <v>11</v>
      </c>
      <c r="H1183">
        <v>4</v>
      </c>
      <c r="I1183" s="1" t="s">
        <v>164</v>
      </c>
      <c r="J1183">
        <v>2</v>
      </c>
      <c r="K1183" t="str">
        <f>IF(Tb_data[[#This Row],[previous_workers]]&lt;Tb_data[[#This Row],[workers]],"yes","no")</f>
        <v>yes</v>
      </c>
      <c r="L1183">
        <f>Tb_data[[#This Row],[workers]]-Tb_data[[#This Row],[previous_workers]]</f>
        <v>7</v>
      </c>
      <c r="M1183" s="12">
        <f>Tb_data[[#This Row],[Employees Growth]]/Tb_data[[#This Row],[previous_workers]]</f>
        <v>1.75</v>
      </c>
    </row>
    <row r="1184" spans="1:13" x14ac:dyDescent="0.25">
      <c r="A1184" s="1" t="s">
        <v>648</v>
      </c>
      <c r="B1184" s="1" t="s">
        <v>649</v>
      </c>
      <c r="C1184" s="1">
        <v>3400000</v>
      </c>
      <c r="D1184" s="1" t="s">
        <v>254</v>
      </c>
      <c r="E1184">
        <v>1558.2846</v>
      </c>
      <c r="F1184" s="1" t="s">
        <v>176</v>
      </c>
      <c r="G1184">
        <v>32</v>
      </c>
      <c r="H1184">
        <v>1</v>
      </c>
      <c r="I1184" s="1" t="s">
        <v>55</v>
      </c>
      <c r="J1184">
        <v>1</v>
      </c>
      <c r="K1184" t="str">
        <f>IF(Tb_data[[#This Row],[previous_workers]]&lt;Tb_data[[#This Row],[workers]],"yes","no")</f>
        <v>yes</v>
      </c>
      <c r="L1184">
        <f>Tb_data[[#This Row],[workers]]-Tb_data[[#This Row],[previous_workers]]</f>
        <v>31</v>
      </c>
      <c r="M1184" s="12">
        <f>Tb_data[[#This Row],[Employees Growth]]/Tb_data[[#This Row],[previous_workers]]</f>
        <v>31</v>
      </c>
    </row>
    <row r="1185" spans="1:13" x14ac:dyDescent="0.25">
      <c r="A1185" s="1" t="s">
        <v>5678</v>
      </c>
      <c r="B1185" s="1" t="s">
        <v>5679</v>
      </c>
      <c r="C1185" s="1">
        <v>12200000</v>
      </c>
      <c r="D1185" s="1" t="s">
        <v>254</v>
      </c>
      <c r="E1185">
        <v>135.10300000000001</v>
      </c>
      <c r="F1185" s="1" t="s">
        <v>25</v>
      </c>
      <c r="G1185">
        <v>150</v>
      </c>
      <c r="H1185">
        <v>60</v>
      </c>
      <c r="I1185" s="1" t="s">
        <v>46</v>
      </c>
      <c r="J1185">
        <v>6</v>
      </c>
      <c r="K1185" t="str">
        <f>IF(Tb_data[[#This Row],[previous_workers]]&lt;Tb_data[[#This Row],[workers]],"yes","no")</f>
        <v>yes</v>
      </c>
      <c r="L1185">
        <f>Tb_data[[#This Row],[workers]]-Tb_data[[#This Row],[previous_workers]]</f>
        <v>90</v>
      </c>
      <c r="M1185" s="12">
        <f>Tb_data[[#This Row],[Employees Growth]]/Tb_data[[#This Row],[previous_workers]]</f>
        <v>1.5</v>
      </c>
    </row>
    <row r="1186" spans="1:13" x14ac:dyDescent="0.25">
      <c r="A1186" s="1" t="s">
        <v>6667</v>
      </c>
      <c r="B1186" s="1" t="s">
        <v>6668</v>
      </c>
      <c r="C1186" s="1">
        <v>21100000</v>
      </c>
      <c r="D1186" s="1" t="s">
        <v>11</v>
      </c>
      <c r="E1186">
        <v>109.86190000000001</v>
      </c>
      <c r="F1186" s="1" t="s">
        <v>176</v>
      </c>
      <c r="G1186">
        <v>112</v>
      </c>
      <c r="H1186">
        <v>29</v>
      </c>
      <c r="I1186" s="1" t="s">
        <v>2628</v>
      </c>
      <c r="J1186">
        <v>4</v>
      </c>
      <c r="K1186" t="str">
        <f>IF(Tb_data[[#This Row],[previous_workers]]&lt;Tb_data[[#This Row],[workers]],"yes","no")</f>
        <v>yes</v>
      </c>
      <c r="L1186">
        <f>Tb_data[[#This Row],[workers]]-Tb_data[[#This Row],[previous_workers]]</f>
        <v>83</v>
      </c>
      <c r="M1186" s="12">
        <f>Tb_data[[#This Row],[Employees Growth]]/Tb_data[[#This Row],[previous_workers]]</f>
        <v>2.8620689655172415</v>
      </c>
    </row>
    <row r="1187" spans="1:13" x14ac:dyDescent="0.25">
      <c r="A1187" s="1" t="s">
        <v>8233</v>
      </c>
      <c r="B1187" s="1" t="s">
        <v>8234</v>
      </c>
      <c r="C1187" s="1">
        <v>110600000</v>
      </c>
      <c r="D1187" s="1" t="s">
        <v>16</v>
      </c>
      <c r="E1187">
        <v>78.754499999999993</v>
      </c>
      <c r="F1187" s="1" t="s">
        <v>34</v>
      </c>
      <c r="G1187">
        <v>469</v>
      </c>
      <c r="H1187">
        <v>274</v>
      </c>
      <c r="I1187" s="1" t="s">
        <v>147</v>
      </c>
      <c r="J1187">
        <v>11</v>
      </c>
      <c r="K1187" t="str">
        <f>IF(Tb_data[[#This Row],[previous_workers]]&lt;Tb_data[[#This Row],[workers]],"yes","no")</f>
        <v>yes</v>
      </c>
      <c r="L1187">
        <f>Tb_data[[#This Row],[workers]]-Tb_data[[#This Row],[previous_workers]]</f>
        <v>195</v>
      </c>
      <c r="M1187" s="12">
        <f>Tb_data[[#This Row],[Employees Growth]]/Tb_data[[#This Row],[previous_workers]]</f>
        <v>0.71167883211678828</v>
      </c>
    </row>
    <row r="1188" spans="1:13" x14ac:dyDescent="0.25">
      <c r="A1188" s="1" t="s">
        <v>9353</v>
      </c>
      <c r="B1188" s="1" t="s">
        <v>9354</v>
      </c>
      <c r="C1188" s="1">
        <v>166400000</v>
      </c>
      <c r="D1188" s="1" t="s">
        <v>49</v>
      </c>
      <c r="E1188">
        <v>62.052799999999998</v>
      </c>
      <c r="F1188" s="1" t="s">
        <v>124</v>
      </c>
      <c r="G1188">
        <v>750</v>
      </c>
      <c r="H1188">
        <v>400</v>
      </c>
      <c r="I1188" s="1" t="s">
        <v>1411</v>
      </c>
      <c r="J1188">
        <v>3</v>
      </c>
      <c r="K1188" t="str">
        <f>IF(Tb_data[[#This Row],[previous_workers]]&lt;Tb_data[[#This Row],[workers]],"yes","no")</f>
        <v>yes</v>
      </c>
      <c r="L1188">
        <f>Tb_data[[#This Row],[workers]]-Tb_data[[#This Row],[previous_workers]]</f>
        <v>350</v>
      </c>
      <c r="M1188" s="12">
        <f>Tb_data[[#This Row],[Employees Growth]]/Tb_data[[#This Row],[previous_workers]]</f>
        <v>0.875</v>
      </c>
    </row>
    <row r="1189" spans="1:13" x14ac:dyDescent="0.25">
      <c r="A1189" s="1" t="s">
        <v>6145</v>
      </c>
      <c r="B1189" s="1" t="s">
        <v>6146</v>
      </c>
      <c r="C1189" s="1">
        <v>6500000</v>
      </c>
      <c r="D1189" s="1" t="s">
        <v>175</v>
      </c>
      <c r="E1189">
        <v>122.54089999999999</v>
      </c>
      <c r="F1189" s="1" t="s">
        <v>12</v>
      </c>
      <c r="G1189">
        <v>18</v>
      </c>
      <c r="H1189">
        <v>14</v>
      </c>
      <c r="I1189" s="1" t="s">
        <v>2225</v>
      </c>
      <c r="J1189">
        <v>1</v>
      </c>
      <c r="K1189" t="str">
        <f>IF(Tb_data[[#This Row],[previous_workers]]&lt;Tb_data[[#This Row],[workers]],"yes","no")</f>
        <v>yes</v>
      </c>
      <c r="L1189">
        <f>Tb_data[[#This Row],[workers]]-Tb_data[[#This Row],[previous_workers]]</f>
        <v>4</v>
      </c>
      <c r="M1189" s="12">
        <f>Tb_data[[#This Row],[Employees Growth]]/Tb_data[[#This Row],[previous_workers]]</f>
        <v>0.2857142857142857</v>
      </c>
    </row>
    <row r="1190" spans="1:13" x14ac:dyDescent="0.25">
      <c r="A1190" s="1" t="s">
        <v>729</v>
      </c>
      <c r="B1190" s="1" t="s">
        <v>730</v>
      </c>
      <c r="C1190" s="1">
        <v>25100000</v>
      </c>
      <c r="D1190" s="1" t="s">
        <v>49</v>
      </c>
      <c r="E1190">
        <v>1437.6078</v>
      </c>
      <c r="F1190" s="1" t="s">
        <v>86</v>
      </c>
      <c r="G1190">
        <v>179</v>
      </c>
      <c r="H1190">
        <v>131</v>
      </c>
      <c r="I1190" s="1" t="s">
        <v>117</v>
      </c>
      <c r="J1190">
        <v>1</v>
      </c>
      <c r="K1190" t="str">
        <f>IF(Tb_data[[#This Row],[previous_workers]]&lt;Tb_data[[#This Row],[workers]],"yes","no")</f>
        <v>yes</v>
      </c>
      <c r="L1190">
        <f>Tb_data[[#This Row],[workers]]-Tb_data[[#This Row],[previous_workers]]</f>
        <v>48</v>
      </c>
      <c r="M1190" s="12">
        <f>Tb_data[[#This Row],[Employees Growth]]/Tb_data[[#This Row],[previous_workers]]</f>
        <v>0.36641221374045801</v>
      </c>
    </row>
    <row r="1191" spans="1:13" x14ac:dyDescent="0.25">
      <c r="A1191" s="1" t="s">
        <v>2442</v>
      </c>
      <c r="B1191" s="1" t="s">
        <v>2443</v>
      </c>
      <c r="C1191" s="1">
        <v>18100000</v>
      </c>
      <c r="D1191" s="1" t="s">
        <v>179</v>
      </c>
      <c r="E1191">
        <v>356.21339999999998</v>
      </c>
      <c r="F1191" s="1" t="s">
        <v>161</v>
      </c>
      <c r="G1191">
        <v>19</v>
      </c>
      <c r="H1191">
        <v>5</v>
      </c>
      <c r="I1191" s="1" t="s">
        <v>26</v>
      </c>
      <c r="J1191">
        <v>2</v>
      </c>
      <c r="K1191" t="str">
        <f>IF(Tb_data[[#This Row],[previous_workers]]&lt;Tb_data[[#This Row],[workers]],"yes","no")</f>
        <v>yes</v>
      </c>
      <c r="L1191">
        <f>Tb_data[[#This Row],[workers]]-Tb_data[[#This Row],[previous_workers]]</f>
        <v>14</v>
      </c>
      <c r="M1191" s="12">
        <f>Tb_data[[#This Row],[Employees Growth]]/Tb_data[[#This Row],[previous_workers]]</f>
        <v>2.8</v>
      </c>
    </row>
    <row r="1192" spans="1:13" x14ac:dyDescent="0.25">
      <c r="A1192" s="1" t="s">
        <v>2693</v>
      </c>
      <c r="B1192" s="1" t="s">
        <v>2694</v>
      </c>
      <c r="C1192" s="1">
        <v>5000000</v>
      </c>
      <c r="D1192" s="1" t="s">
        <v>38</v>
      </c>
      <c r="E1192">
        <v>319.83609999999999</v>
      </c>
      <c r="F1192" s="1" t="s">
        <v>12</v>
      </c>
      <c r="G1192">
        <v>5</v>
      </c>
      <c r="H1192">
        <v>4</v>
      </c>
      <c r="I1192" s="1" t="s">
        <v>164</v>
      </c>
      <c r="J1192">
        <v>1</v>
      </c>
      <c r="K1192" t="str">
        <f>IF(Tb_data[[#This Row],[previous_workers]]&lt;Tb_data[[#This Row],[workers]],"yes","no")</f>
        <v>yes</v>
      </c>
      <c r="L1192">
        <f>Tb_data[[#This Row],[workers]]-Tb_data[[#This Row],[previous_workers]]</f>
        <v>1</v>
      </c>
      <c r="M1192" s="12">
        <f>Tb_data[[#This Row],[Employees Growth]]/Tb_data[[#This Row],[previous_workers]]</f>
        <v>0.25</v>
      </c>
    </row>
    <row r="1193" spans="1:13" x14ac:dyDescent="0.25">
      <c r="A1193" s="1" t="s">
        <v>6635</v>
      </c>
      <c r="B1193" s="1" t="s">
        <v>6636</v>
      </c>
      <c r="C1193" s="1">
        <v>233200000</v>
      </c>
      <c r="D1193" s="1" t="s">
        <v>179</v>
      </c>
      <c r="E1193">
        <v>110.6665</v>
      </c>
      <c r="F1193" s="1" t="s">
        <v>310</v>
      </c>
      <c r="G1193">
        <v>917</v>
      </c>
      <c r="H1193">
        <v>514</v>
      </c>
      <c r="I1193" s="1" t="s">
        <v>4062</v>
      </c>
      <c r="J1193">
        <v>5</v>
      </c>
      <c r="K1193" t="str">
        <f>IF(Tb_data[[#This Row],[previous_workers]]&lt;Tb_data[[#This Row],[workers]],"yes","no")</f>
        <v>yes</v>
      </c>
      <c r="L1193">
        <f>Tb_data[[#This Row],[workers]]-Tb_data[[#This Row],[previous_workers]]</f>
        <v>403</v>
      </c>
      <c r="M1193" s="12">
        <f>Tb_data[[#This Row],[Employees Growth]]/Tb_data[[#This Row],[previous_workers]]</f>
        <v>0.78404669260700388</v>
      </c>
    </row>
    <row r="1194" spans="1:13" x14ac:dyDescent="0.25">
      <c r="A1194" s="1" t="s">
        <v>2753</v>
      </c>
      <c r="B1194" s="1" t="s">
        <v>2754</v>
      </c>
      <c r="C1194" s="1">
        <v>3000000</v>
      </c>
      <c r="D1194" s="1" t="s">
        <v>52</v>
      </c>
      <c r="E1194">
        <v>312.40089999999998</v>
      </c>
      <c r="F1194" s="1" t="s">
        <v>124</v>
      </c>
      <c r="G1194">
        <v>25</v>
      </c>
      <c r="H1194">
        <v>7</v>
      </c>
      <c r="I1194" s="1" t="s">
        <v>2628</v>
      </c>
      <c r="J1194">
        <v>2</v>
      </c>
      <c r="K1194" t="str">
        <f>IF(Tb_data[[#This Row],[previous_workers]]&lt;Tb_data[[#This Row],[workers]],"yes","no")</f>
        <v>yes</v>
      </c>
      <c r="L1194">
        <f>Tb_data[[#This Row],[workers]]-Tb_data[[#This Row],[previous_workers]]</f>
        <v>18</v>
      </c>
      <c r="M1194" s="12">
        <f>Tb_data[[#This Row],[Employees Growth]]/Tb_data[[#This Row],[previous_workers]]</f>
        <v>2.5714285714285716</v>
      </c>
    </row>
    <row r="1195" spans="1:13" x14ac:dyDescent="0.25">
      <c r="A1195" s="1" t="s">
        <v>4119</v>
      </c>
      <c r="B1195" s="1" t="s">
        <v>4120</v>
      </c>
      <c r="C1195" s="1">
        <v>31000000</v>
      </c>
      <c r="D1195" s="1" t="s">
        <v>45</v>
      </c>
      <c r="E1195">
        <v>199.4556</v>
      </c>
      <c r="F1195" s="1" t="s">
        <v>17</v>
      </c>
      <c r="G1195">
        <v>27</v>
      </c>
      <c r="H1195">
        <v>6</v>
      </c>
      <c r="I1195" s="1" t="s">
        <v>55</v>
      </c>
      <c r="J1195">
        <v>2</v>
      </c>
      <c r="K1195" t="str">
        <f>IF(Tb_data[[#This Row],[previous_workers]]&lt;Tb_data[[#This Row],[workers]],"yes","no")</f>
        <v>yes</v>
      </c>
      <c r="L1195">
        <f>Tb_data[[#This Row],[workers]]-Tb_data[[#This Row],[previous_workers]]</f>
        <v>21</v>
      </c>
      <c r="M1195" s="12">
        <f>Tb_data[[#This Row],[Employees Growth]]/Tb_data[[#This Row],[previous_workers]]</f>
        <v>3.5</v>
      </c>
    </row>
    <row r="1196" spans="1:13" x14ac:dyDescent="0.25">
      <c r="A1196" s="1" t="s">
        <v>8879</v>
      </c>
      <c r="B1196" s="1" t="s">
        <v>8880</v>
      </c>
      <c r="C1196" s="1">
        <v>5500000</v>
      </c>
      <c r="D1196" s="1" t="s">
        <v>236</v>
      </c>
      <c r="E1196">
        <v>68.310900000000004</v>
      </c>
      <c r="F1196" s="1" t="s">
        <v>124</v>
      </c>
      <c r="G1196">
        <v>30</v>
      </c>
      <c r="H1196">
        <v>20</v>
      </c>
      <c r="I1196" s="1" t="s">
        <v>372</v>
      </c>
      <c r="J1196">
        <v>5</v>
      </c>
      <c r="K1196" t="str">
        <f>IF(Tb_data[[#This Row],[previous_workers]]&lt;Tb_data[[#This Row],[workers]],"yes","no")</f>
        <v>yes</v>
      </c>
      <c r="L1196">
        <f>Tb_data[[#This Row],[workers]]-Tb_data[[#This Row],[previous_workers]]</f>
        <v>10</v>
      </c>
      <c r="M1196" s="12">
        <f>Tb_data[[#This Row],[Employees Growth]]/Tb_data[[#This Row],[previous_workers]]</f>
        <v>0.5</v>
      </c>
    </row>
    <row r="1197" spans="1:13" x14ac:dyDescent="0.25">
      <c r="A1197" s="1" t="s">
        <v>9235</v>
      </c>
      <c r="B1197" s="1" t="s">
        <v>9236</v>
      </c>
      <c r="C1197" s="1">
        <v>42600000</v>
      </c>
      <c r="D1197" s="1" t="s">
        <v>29</v>
      </c>
      <c r="E1197">
        <v>63.718000000000004</v>
      </c>
      <c r="F1197" s="1" t="s">
        <v>94</v>
      </c>
      <c r="G1197">
        <v>170</v>
      </c>
      <c r="H1197">
        <v>120</v>
      </c>
      <c r="I1197" s="1" t="s">
        <v>1622</v>
      </c>
      <c r="J1197">
        <v>11</v>
      </c>
      <c r="K1197" t="str">
        <f>IF(Tb_data[[#This Row],[previous_workers]]&lt;Tb_data[[#This Row],[workers]],"yes","no")</f>
        <v>yes</v>
      </c>
      <c r="L1197">
        <f>Tb_data[[#This Row],[workers]]-Tb_data[[#This Row],[previous_workers]]</f>
        <v>50</v>
      </c>
      <c r="M1197" s="12">
        <f>Tb_data[[#This Row],[Employees Growth]]/Tb_data[[#This Row],[previous_workers]]</f>
        <v>0.41666666666666669</v>
      </c>
    </row>
    <row r="1198" spans="1:13" x14ac:dyDescent="0.25">
      <c r="A1198" s="1" t="s">
        <v>1393</v>
      </c>
      <c r="B1198" s="1" t="s">
        <v>1394</v>
      </c>
      <c r="C1198" s="1">
        <v>5500000</v>
      </c>
      <c r="D1198" s="1" t="s">
        <v>38</v>
      </c>
      <c r="E1198">
        <v>684.8596</v>
      </c>
      <c r="F1198" s="1" t="s">
        <v>25</v>
      </c>
      <c r="G1198">
        <v>18</v>
      </c>
      <c r="H1198">
        <v>2</v>
      </c>
      <c r="I1198" s="1" t="s">
        <v>13</v>
      </c>
      <c r="J1198">
        <v>1</v>
      </c>
      <c r="K1198" t="str">
        <f>IF(Tb_data[[#This Row],[previous_workers]]&lt;Tb_data[[#This Row],[workers]],"yes","no")</f>
        <v>yes</v>
      </c>
      <c r="L1198">
        <f>Tb_data[[#This Row],[workers]]-Tb_data[[#This Row],[previous_workers]]</f>
        <v>16</v>
      </c>
      <c r="M1198" s="12">
        <f>Tb_data[[#This Row],[Employees Growth]]/Tb_data[[#This Row],[previous_workers]]</f>
        <v>8</v>
      </c>
    </row>
    <row r="1199" spans="1:13" x14ac:dyDescent="0.25">
      <c r="A1199" s="1" t="s">
        <v>5977</v>
      </c>
      <c r="B1199" s="1" t="s">
        <v>5978</v>
      </c>
      <c r="C1199" s="1">
        <v>23400000</v>
      </c>
      <c r="D1199" s="1" t="s">
        <v>45</v>
      </c>
      <c r="E1199">
        <v>127.0505</v>
      </c>
      <c r="F1199" s="1" t="s">
        <v>124</v>
      </c>
      <c r="G1199">
        <v>191</v>
      </c>
      <c r="H1199">
        <v>77</v>
      </c>
      <c r="I1199" s="1" t="s">
        <v>74</v>
      </c>
      <c r="J1199">
        <v>1</v>
      </c>
      <c r="K1199" t="str">
        <f>IF(Tb_data[[#This Row],[previous_workers]]&lt;Tb_data[[#This Row],[workers]],"yes","no")</f>
        <v>yes</v>
      </c>
      <c r="L1199">
        <f>Tb_data[[#This Row],[workers]]-Tb_data[[#This Row],[previous_workers]]</f>
        <v>114</v>
      </c>
      <c r="M1199" s="12">
        <f>Tb_data[[#This Row],[Employees Growth]]/Tb_data[[#This Row],[previous_workers]]</f>
        <v>1.4805194805194806</v>
      </c>
    </row>
    <row r="1200" spans="1:13" x14ac:dyDescent="0.25">
      <c r="A1200" s="1" t="s">
        <v>5316</v>
      </c>
      <c r="B1200" s="1" t="s">
        <v>5317</v>
      </c>
      <c r="C1200" s="1">
        <v>18100000</v>
      </c>
      <c r="D1200" s="1" t="s">
        <v>85</v>
      </c>
      <c r="E1200">
        <v>149.4288</v>
      </c>
      <c r="F1200" s="1" t="s">
        <v>176</v>
      </c>
      <c r="G1200">
        <v>188</v>
      </c>
      <c r="H1200">
        <v>160</v>
      </c>
      <c r="I1200" s="1" t="s">
        <v>13</v>
      </c>
      <c r="J1200">
        <v>1</v>
      </c>
      <c r="K1200" t="str">
        <f>IF(Tb_data[[#This Row],[previous_workers]]&lt;Tb_data[[#This Row],[workers]],"yes","no")</f>
        <v>yes</v>
      </c>
      <c r="L1200">
        <f>Tb_data[[#This Row],[workers]]-Tb_data[[#This Row],[previous_workers]]</f>
        <v>28</v>
      </c>
      <c r="M1200" s="12">
        <f>Tb_data[[#This Row],[Employees Growth]]/Tb_data[[#This Row],[previous_workers]]</f>
        <v>0.17499999999999999</v>
      </c>
    </row>
    <row r="1201" spans="1:13" x14ac:dyDescent="0.25">
      <c r="A1201" s="1" t="s">
        <v>5130</v>
      </c>
      <c r="B1201" s="1" t="s">
        <v>5131</v>
      </c>
      <c r="C1201" s="1">
        <v>74100000</v>
      </c>
      <c r="D1201" s="1" t="s">
        <v>41</v>
      </c>
      <c r="E1201">
        <v>156.4915</v>
      </c>
      <c r="F1201" s="1" t="s">
        <v>176</v>
      </c>
      <c r="G1201">
        <v>330</v>
      </c>
      <c r="H1201">
        <v>138</v>
      </c>
      <c r="I1201" s="1" t="s">
        <v>948</v>
      </c>
      <c r="J1201">
        <v>9</v>
      </c>
      <c r="K1201" t="str">
        <f>IF(Tb_data[[#This Row],[previous_workers]]&lt;Tb_data[[#This Row],[workers]],"yes","no")</f>
        <v>yes</v>
      </c>
      <c r="L1201">
        <f>Tb_data[[#This Row],[workers]]-Tb_data[[#This Row],[previous_workers]]</f>
        <v>192</v>
      </c>
      <c r="M1201" s="12">
        <f>Tb_data[[#This Row],[Employees Growth]]/Tb_data[[#This Row],[previous_workers]]</f>
        <v>1.3913043478260869</v>
      </c>
    </row>
    <row r="1202" spans="1:13" x14ac:dyDescent="0.25">
      <c r="A1202" s="1" t="s">
        <v>7833</v>
      </c>
      <c r="B1202" s="1" t="s">
        <v>7834</v>
      </c>
      <c r="C1202" s="1">
        <v>2900000</v>
      </c>
      <c r="D1202" s="1" t="s">
        <v>49</v>
      </c>
      <c r="E1202">
        <v>85.695999999999998</v>
      </c>
      <c r="F1202" s="1" t="s">
        <v>62</v>
      </c>
      <c r="G1202">
        <v>20</v>
      </c>
      <c r="H1202">
        <v>8</v>
      </c>
      <c r="I1202" s="1" t="s">
        <v>55</v>
      </c>
      <c r="J1202">
        <v>2</v>
      </c>
      <c r="K1202" t="str">
        <f>IF(Tb_data[[#This Row],[previous_workers]]&lt;Tb_data[[#This Row],[workers]],"yes","no")</f>
        <v>yes</v>
      </c>
      <c r="L1202">
        <f>Tb_data[[#This Row],[workers]]-Tb_data[[#This Row],[previous_workers]]</f>
        <v>12</v>
      </c>
      <c r="M1202" s="12">
        <f>Tb_data[[#This Row],[Employees Growth]]/Tb_data[[#This Row],[previous_workers]]</f>
        <v>1.5</v>
      </c>
    </row>
    <row r="1203" spans="1:13" x14ac:dyDescent="0.25">
      <c r="A1203" s="1" t="s">
        <v>4451</v>
      </c>
      <c r="B1203" s="1" t="s">
        <v>4452</v>
      </c>
      <c r="C1203" s="1">
        <v>33800000</v>
      </c>
      <c r="D1203" s="1" t="s">
        <v>49</v>
      </c>
      <c r="E1203">
        <v>184.94</v>
      </c>
      <c r="F1203" s="1" t="s">
        <v>97</v>
      </c>
      <c r="G1203">
        <v>18</v>
      </c>
      <c r="H1203">
        <v>8</v>
      </c>
      <c r="I1203" s="1" t="s">
        <v>35</v>
      </c>
      <c r="J1203">
        <v>1</v>
      </c>
      <c r="K1203" t="str">
        <f>IF(Tb_data[[#This Row],[previous_workers]]&lt;Tb_data[[#This Row],[workers]],"yes","no")</f>
        <v>yes</v>
      </c>
      <c r="L1203">
        <f>Tb_data[[#This Row],[workers]]-Tb_data[[#This Row],[previous_workers]]</f>
        <v>10</v>
      </c>
      <c r="M1203" s="12">
        <f>Tb_data[[#This Row],[Employees Growth]]/Tb_data[[#This Row],[previous_workers]]</f>
        <v>1.25</v>
      </c>
    </row>
    <row r="1204" spans="1:13" x14ac:dyDescent="0.25">
      <c r="A1204" s="1" t="s">
        <v>8337</v>
      </c>
      <c r="B1204" s="1" t="s">
        <v>8338</v>
      </c>
      <c r="C1204" s="1">
        <v>55700000</v>
      </c>
      <c r="D1204" s="1" t="s">
        <v>41</v>
      </c>
      <c r="E1204">
        <v>77.3613</v>
      </c>
      <c r="F1204" s="1" t="s">
        <v>156</v>
      </c>
      <c r="G1204">
        <v>727</v>
      </c>
      <c r="H1204">
        <v>565</v>
      </c>
      <c r="I1204" s="1" t="s">
        <v>117</v>
      </c>
      <c r="J1204">
        <v>4</v>
      </c>
      <c r="K1204" t="str">
        <f>IF(Tb_data[[#This Row],[previous_workers]]&lt;Tb_data[[#This Row],[workers]],"yes","no")</f>
        <v>yes</v>
      </c>
      <c r="L1204">
        <f>Tb_data[[#This Row],[workers]]-Tb_data[[#This Row],[previous_workers]]</f>
        <v>162</v>
      </c>
      <c r="M1204" s="12">
        <f>Tb_data[[#This Row],[Employees Growth]]/Tb_data[[#This Row],[previous_workers]]</f>
        <v>0.28672566371681418</v>
      </c>
    </row>
    <row r="1205" spans="1:13" x14ac:dyDescent="0.25">
      <c r="A1205" s="1" t="s">
        <v>4693</v>
      </c>
      <c r="B1205" s="1" t="s">
        <v>4694</v>
      </c>
      <c r="C1205" s="1">
        <v>13700000</v>
      </c>
      <c r="D1205" s="1" t="s">
        <v>29</v>
      </c>
      <c r="E1205">
        <v>174.70779999999999</v>
      </c>
      <c r="F1205" s="1" t="s">
        <v>124</v>
      </c>
      <c r="G1205">
        <v>25</v>
      </c>
      <c r="H1205">
        <v>4</v>
      </c>
      <c r="I1205" s="1" t="s">
        <v>117</v>
      </c>
      <c r="J1205">
        <v>4</v>
      </c>
      <c r="K1205" t="str">
        <f>IF(Tb_data[[#This Row],[previous_workers]]&lt;Tb_data[[#This Row],[workers]],"yes","no")</f>
        <v>yes</v>
      </c>
      <c r="L1205">
        <f>Tb_data[[#This Row],[workers]]-Tb_data[[#This Row],[previous_workers]]</f>
        <v>21</v>
      </c>
      <c r="M1205" s="12">
        <f>Tb_data[[#This Row],[Employees Growth]]/Tb_data[[#This Row],[previous_workers]]</f>
        <v>5.25</v>
      </c>
    </row>
    <row r="1206" spans="1:13" x14ac:dyDescent="0.25">
      <c r="A1206" s="1" t="s">
        <v>5854</v>
      </c>
      <c r="B1206" s="1" t="s">
        <v>5855</v>
      </c>
      <c r="C1206" s="1">
        <v>3700000</v>
      </c>
      <c r="D1206" s="1" t="s">
        <v>20</v>
      </c>
      <c r="E1206">
        <v>129.9984</v>
      </c>
      <c r="F1206" s="1" t="s">
        <v>112</v>
      </c>
      <c r="G1206">
        <v>24</v>
      </c>
      <c r="H1206">
        <v>15</v>
      </c>
      <c r="I1206" s="1" t="s">
        <v>26</v>
      </c>
      <c r="J1206">
        <v>2</v>
      </c>
      <c r="K1206" t="str">
        <f>IF(Tb_data[[#This Row],[previous_workers]]&lt;Tb_data[[#This Row],[workers]],"yes","no")</f>
        <v>yes</v>
      </c>
      <c r="L1206">
        <f>Tb_data[[#This Row],[workers]]-Tb_data[[#This Row],[previous_workers]]</f>
        <v>9</v>
      </c>
      <c r="M1206" s="12">
        <f>Tb_data[[#This Row],[Employees Growth]]/Tb_data[[#This Row],[previous_workers]]</f>
        <v>0.6</v>
      </c>
    </row>
    <row r="1207" spans="1:13" x14ac:dyDescent="0.25">
      <c r="A1207" s="1" t="s">
        <v>569</v>
      </c>
      <c r="B1207" s="1" t="s">
        <v>570</v>
      </c>
      <c r="C1207" s="1">
        <v>3300000</v>
      </c>
      <c r="D1207" s="1" t="s">
        <v>29</v>
      </c>
      <c r="E1207">
        <v>1759.1475</v>
      </c>
      <c r="F1207" s="1" t="s">
        <v>124</v>
      </c>
      <c r="G1207">
        <v>5</v>
      </c>
      <c r="H1207">
        <v>2</v>
      </c>
      <c r="I1207" s="1" t="s">
        <v>13</v>
      </c>
      <c r="J1207">
        <v>1</v>
      </c>
      <c r="K1207" t="str">
        <f>IF(Tb_data[[#This Row],[previous_workers]]&lt;Tb_data[[#This Row],[workers]],"yes","no")</f>
        <v>yes</v>
      </c>
      <c r="L1207">
        <f>Tb_data[[#This Row],[workers]]-Tb_data[[#This Row],[previous_workers]]</f>
        <v>3</v>
      </c>
      <c r="M1207" s="12">
        <f>Tb_data[[#This Row],[Employees Growth]]/Tb_data[[#This Row],[previous_workers]]</f>
        <v>1.5</v>
      </c>
    </row>
    <row r="1208" spans="1:13" x14ac:dyDescent="0.25">
      <c r="A1208" s="1" t="s">
        <v>1631</v>
      </c>
      <c r="B1208" s="1" t="s">
        <v>1632</v>
      </c>
      <c r="C1208" s="1">
        <v>5700000</v>
      </c>
      <c r="D1208" s="1" t="s">
        <v>69</v>
      </c>
      <c r="E1208">
        <v>571.21789999999999</v>
      </c>
      <c r="F1208" s="1" t="s">
        <v>12</v>
      </c>
      <c r="G1208">
        <v>45</v>
      </c>
      <c r="H1208">
        <v>5</v>
      </c>
      <c r="I1208" s="1" t="s">
        <v>26</v>
      </c>
      <c r="J1208">
        <v>2</v>
      </c>
      <c r="K1208" t="str">
        <f>IF(Tb_data[[#This Row],[previous_workers]]&lt;Tb_data[[#This Row],[workers]],"yes","no")</f>
        <v>yes</v>
      </c>
      <c r="L1208">
        <f>Tb_data[[#This Row],[workers]]-Tb_data[[#This Row],[previous_workers]]</f>
        <v>40</v>
      </c>
      <c r="M1208" s="12">
        <f>Tb_data[[#This Row],[Employees Growth]]/Tb_data[[#This Row],[previous_workers]]</f>
        <v>8</v>
      </c>
    </row>
    <row r="1209" spans="1:13" x14ac:dyDescent="0.25">
      <c r="A1209" s="1" t="s">
        <v>6805</v>
      </c>
      <c r="B1209" s="1" t="s">
        <v>6806</v>
      </c>
      <c r="C1209" s="1">
        <v>11900000</v>
      </c>
      <c r="D1209" s="1" t="s">
        <v>20</v>
      </c>
      <c r="E1209">
        <v>106.6485</v>
      </c>
      <c r="F1209" s="1" t="s">
        <v>124</v>
      </c>
      <c r="G1209">
        <v>75</v>
      </c>
      <c r="H1209">
        <v>30</v>
      </c>
      <c r="I1209" s="1" t="s">
        <v>4054</v>
      </c>
      <c r="J1209">
        <v>1</v>
      </c>
      <c r="K1209" t="str">
        <f>IF(Tb_data[[#This Row],[previous_workers]]&lt;Tb_data[[#This Row],[workers]],"yes","no")</f>
        <v>yes</v>
      </c>
      <c r="L1209">
        <f>Tb_data[[#This Row],[workers]]-Tb_data[[#This Row],[previous_workers]]</f>
        <v>45</v>
      </c>
      <c r="M1209" s="12">
        <f>Tb_data[[#This Row],[Employees Growth]]/Tb_data[[#This Row],[previous_workers]]</f>
        <v>1.5</v>
      </c>
    </row>
    <row r="1210" spans="1:13" x14ac:dyDescent="0.25">
      <c r="A1210" s="1" t="s">
        <v>9393</v>
      </c>
      <c r="B1210" s="1" t="s">
        <v>9394</v>
      </c>
      <c r="C1210" s="1">
        <v>2000000</v>
      </c>
      <c r="D1210" s="1" t="s">
        <v>38</v>
      </c>
      <c r="E1210">
        <v>61.544699999999999</v>
      </c>
      <c r="F1210" s="1" t="s">
        <v>21</v>
      </c>
      <c r="G1210">
        <v>40</v>
      </c>
      <c r="H1210">
        <v>10</v>
      </c>
      <c r="I1210" s="1" t="s">
        <v>130</v>
      </c>
      <c r="J1210">
        <v>2</v>
      </c>
      <c r="K1210" t="str">
        <f>IF(Tb_data[[#This Row],[previous_workers]]&lt;Tb_data[[#This Row],[workers]],"yes","no")</f>
        <v>yes</v>
      </c>
      <c r="L1210">
        <f>Tb_data[[#This Row],[workers]]-Tb_data[[#This Row],[previous_workers]]</f>
        <v>30</v>
      </c>
      <c r="M1210" s="12">
        <f>Tb_data[[#This Row],[Employees Growth]]/Tb_data[[#This Row],[previous_workers]]</f>
        <v>3</v>
      </c>
    </row>
    <row r="1211" spans="1:13" x14ac:dyDescent="0.25">
      <c r="A1211" s="1" t="s">
        <v>4882</v>
      </c>
      <c r="B1211" s="1" t="s">
        <v>4883</v>
      </c>
      <c r="C1211" s="1">
        <v>29600000</v>
      </c>
      <c r="D1211" s="1" t="s">
        <v>120</v>
      </c>
      <c r="E1211">
        <v>166.72900000000001</v>
      </c>
      <c r="F1211" s="1" t="s">
        <v>112</v>
      </c>
      <c r="G1211">
        <v>125</v>
      </c>
      <c r="H1211">
        <v>55</v>
      </c>
      <c r="I1211" s="1" t="s">
        <v>3961</v>
      </c>
      <c r="J1211">
        <v>5</v>
      </c>
      <c r="K1211" t="str">
        <f>IF(Tb_data[[#This Row],[previous_workers]]&lt;Tb_data[[#This Row],[workers]],"yes","no")</f>
        <v>yes</v>
      </c>
      <c r="L1211">
        <f>Tb_data[[#This Row],[workers]]-Tb_data[[#This Row],[previous_workers]]</f>
        <v>70</v>
      </c>
      <c r="M1211" s="12">
        <f>Tb_data[[#This Row],[Employees Growth]]/Tb_data[[#This Row],[previous_workers]]</f>
        <v>1.2727272727272727</v>
      </c>
    </row>
    <row r="1212" spans="1:13" x14ac:dyDescent="0.25">
      <c r="A1212" s="1" t="s">
        <v>8931</v>
      </c>
      <c r="B1212" s="1" t="s">
        <v>8932</v>
      </c>
      <c r="C1212" s="1">
        <v>48800000</v>
      </c>
      <c r="D1212" s="1" t="s">
        <v>179</v>
      </c>
      <c r="E1212">
        <v>67.513900000000007</v>
      </c>
      <c r="F1212" s="1" t="s">
        <v>34</v>
      </c>
      <c r="G1212">
        <v>210</v>
      </c>
      <c r="H1212">
        <v>135</v>
      </c>
      <c r="I1212" s="1" t="s">
        <v>46</v>
      </c>
      <c r="J1212">
        <v>7</v>
      </c>
      <c r="K1212" t="str">
        <f>IF(Tb_data[[#This Row],[previous_workers]]&lt;Tb_data[[#This Row],[workers]],"yes","no")</f>
        <v>yes</v>
      </c>
      <c r="L1212">
        <f>Tb_data[[#This Row],[workers]]-Tb_data[[#This Row],[previous_workers]]</f>
        <v>75</v>
      </c>
      <c r="M1212" s="12">
        <f>Tb_data[[#This Row],[Employees Growth]]/Tb_data[[#This Row],[previous_workers]]</f>
        <v>0.55555555555555558</v>
      </c>
    </row>
    <row r="1213" spans="1:13" x14ac:dyDescent="0.25">
      <c r="A1213" s="1" t="s">
        <v>7661</v>
      </c>
      <c r="B1213" s="1" t="s">
        <v>7662</v>
      </c>
      <c r="C1213" s="1">
        <v>17500000</v>
      </c>
      <c r="D1213" s="1" t="s">
        <v>254</v>
      </c>
      <c r="E1213">
        <v>88.657700000000006</v>
      </c>
      <c r="F1213" s="1" t="s">
        <v>100</v>
      </c>
      <c r="G1213">
        <v>388</v>
      </c>
      <c r="H1213">
        <v>222</v>
      </c>
      <c r="I1213" s="1" t="s">
        <v>117</v>
      </c>
      <c r="J1213">
        <v>5</v>
      </c>
      <c r="K1213" t="str">
        <f>IF(Tb_data[[#This Row],[previous_workers]]&lt;Tb_data[[#This Row],[workers]],"yes","no")</f>
        <v>yes</v>
      </c>
      <c r="L1213">
        <f>Tb_data[[#This Row],[workers]]-Tb_data[[#This Row],[previous_workers]]</f>
        <v>166</v>
      </c>
      <c r="M1213" s="12">
        <f>Tb_data[[#This Row],[Employees Growth]]/Tb_data[[#This Row],[previous_workers]]</f>
        <v>0.74774774774774777</v>
      </c>
    </row>
    <row r="1214" spans="1:13" x14ac:dyDescent="0.25">
      <c r="A1214" s="1" t="s">
        <v>6343</v>
      </c>
      <c r="B1214" s="1" t="s">
        <v>6344</v>
      </c>
      <c r="C1214" s="1">
        <v>8900000</v>
      </c>
      <c r="D1214" s="1" t="s">
        <v>41</v>
      </c>
      <c r="E1214">
        <v>117.6748</v>
      </c>
      <c r="F1214" s="1" t="s">
        <v>97</v>
      </c>
      <c r="G1214">
        <v>48</v>
      </c>
      <c r="H1214">
        <v>21</v>
      </c>
      <c r="I1214" s="1" t="s">
        <v>117</v>
      </c>
      <c r="J1214">
        <v>4</v>
      </c>
      <c r="K1214" t="str">
        <f>IF(Tb_data[[#This Row],[previous_workers]]&lt;Tb_data[[#This Row],[workers]],"yes","no")</f>
        <v>yes</v>
      </c>
      <c r="L1214">
        <f>Tb_data[[#This Row],[workers]]-Tb_data[[#This Row],[previous_workers]]</f>
        <v>27</v>
      </c>
      <c r="M1214" s="12">
        <f>Tb_data[[#This Row],[Employees Growth]]/Tb_data[[#This Row],[previous_workers]]</f>
        <v>1.2857142857142858</v>
      </c>
    </row>
    <row r="1215" spans="1:13" x14ac:dyDescent="0.25">
      <c r="A1215" s="1" t="s">
        <v>2086</v>
      </c>
      <c r="B1215" s="1" t="s">
        <v>2087</v>
      </c>
      <c r="C1215" s="1">
        <v>7100000</v>
      </c>
      <c r="D1215" s="1" t="s">
        <v>61</v>
      </c>
      <c r="E1215">
        <v>427.43869999999998</v>
      </c>
      <c r="F1215" s="1" t="s">
        <v>30</v>
      </c>
      <c r="G1215">
        <v>17</v>
      </c>
      <c r="H1215">
        <v>3</v>
      </c>
      <c r="I1215" s="1" t="s">
        <v>46</v>
      </c>
      <c r="J1215">
        <v>3</v>
      </c>
      <c r="K1215" t="str">
        <f>IF(Tb_data[[#This Row],[previous_workers]]&lt;Tb_data[[#This Row],[workers]],"yes","no")</f>
        <v>yes</v>
      </c>
      <c r="L1215">
        <f>Tb_data[[#This Row],[workers]]-Tb_data[[#This Row],[previous_workers]]</f>
        <v>14</v>
      </c>
      <c r="M1215" s="12">
        <f>Tb_data[[#This Row],[Employees Growth]]/Tb_data[[#This Row],[previous_workers]]</f>
        <v>4.666666666666667</v>
      </c>
    </row>
    <row r="1216" spans="1:13" x14ac:dyDescent="0.25">
      <c r="A1216" s="1" t="s">
        <v>6833</v>
      </c>
      <c r="B1216" s="1" t="s">
        <v>6834</v>
      </c>
      <c r="C1216" s="1">
        <v>2900000</v>
      </c>
      <c r="D1216" s="1" t="s">
        <v>91</v>
      </c>
      <c r="E1216">
        <v>105.7779</v>
      </c>
      <c r="F1216" s="1" t="s">
        <v>156</v>
      </c>
      <c r="G1216">
        <v>11</v>
      </c>
      <c r="H1216">
        <v>17</v>
      </c>
      <c r="I1216" s="1" t="s">
        <v>117</v>
      </c>
      <c r="J1216">
        <v>3</v>
      </c>
      <c r="K1216" t="str">
        <f>IF(Tb_data[[#This Row],[previous_workers]]&lt;Tb_data[[#This Row],[workers]],"yes","no")</f>
        <v>no</v>
      </c>
      <c r="L1216">
        <f>Tb_data[[#This Row],[workers]]-Tb_data[[#This Row],[previous_workers]]</f>
        <v>-6</v>
      </c>
      <c r="M1216" s="12">
        <f>Tb_data[[#This Row],[Employees Growth]]/Tb_data[[#This Row],[previous_workers]]</f>
        <v>-0.35294117647058826</v>
      </c>
    </row>
    <row r="1217" spans="1:13" x14ac:dyDescent="0.25">
      <c r="A1217" s="1" t="s">
        <v>4194</v>
      </c>
      <c r="B1217" s="1" t="s">
        <v>4195</v>
      </c>
      <c r="C1217" s="1">
        <v>2000000</v>
      </c>
      <c r="D1217" s="1" t="s">
        <v>129</v>
      </c>
      <c r="E1217">
        <v>195.90430000000001</v>
      </c>
      <c r="F1217" s="1" t="s">
        <v>135</v>
      </c>
      <c r="G1217">
        <v>8</v>
      </c>
      <c r="H1217">
        <v>3</v>
      </c>
      <c r="I1217" s="1" t="s">
        <v>35</v>
      </c>
      <c r="J1217">
        <v>1</v>
      </c>
      <c r="K1217" t="str">
        <f>IF(Tb_data[[#This Row],[previous_workers]]&lt;Tb_data[[#This Row],[workers]],"yes","no")</f>
        <v>yes</v>
      </c>
      <c r="L1217">
        <f>Tb_data[[#This Row],[workers]]-Tb_data[[#This Row],[previous_workers]]</f>
        <v>5</v>
      </c>
      <c r="M1217" s="12">
        <f>Tb_data[[#This Row],[Employees Growth]]/Tb_data[[#This Row],[previous_workers]]</f>
        <v>1.6666666666666667</v>
      </c>
    </row>
    <row r="1218" spans="1:13" x14ac:dyDescent="0.25">
      <c r="A1218" s="1" t="s">
        <v>10002</v>
      </c>
      <c r="B1218" s="1" t="s">
        <v>10003</v>
      </c>
      <c r="C1218" s="1">
        <v>9400000</v>
      </c>
      <c r="D1218" s="1" t="s">
        <v>49</v>
      </c>
      <c r="E1218">
        <v>53.434399999999997</v>
      </c>
      <c r="F1218" s="1" t="s">
        <v>3264</v>
      </c>
      <c r="G1218">
        <v>52</v>
      </c>
      <c r="H1218">
        <v>27</v>
      </c>
      <c r="I1218" s="1" t="s">
        <v>295</v>
      </c>
      <c r="J1218">
        <v>7</v>
      </c>
      <c r="K1218" t="str">
        <f>IF(Tb_data[[#This Row],[previous_workers]]&lt;Tb_data[[#This Row],[workers]],"yes","no")</f>
        <v>yes</v>
      </c>
      <c r="L1218">
        <f>Tb_data[[#This Row],[workers]]-Tb_data[[#This Row],[previous_workers]]</f>
        <v>25</v>
      </c>
      <c r="M1218" s="12">
        <f>Tb_data[[#This Row],[Employees Growth]]/Tb_data[[#This Row],[previous_workers]]</f>
        <v>0.92592592592592593</v>
      </c>
    </row>
    <row r="1219" spans="1:13" x14ac:dyDescent="0.25">
      <c r="A1219" s="1" t="s">
        <v>4762</v>
      </c>
      <c r="B1219" s="1" t="s">
        <v>4763</v>
      </c>
      <c r="C1219" s="1">
        <v>5400000</v>
      </c>
      <c r="D1219" s="1" t="s">
        <v>41</v>
      </c>
      <c r="E1219">
        <v>172.13069999999999</v>
      </c>
      <c r="F1219" s="1" t="s">
        <v>156</v>
      </c>
      <c r="G1219">
        <v>16</v>
      </c>
      <c r="H1219">
        <v>14</v>
      </c>
      <c r="I1219" s="1" t="s">
        <v>46</v>
      </c>
      <c r="J1219">
        <v>1</v>
      </c>
      <c r="K1219" t="str">
        <f>IF(Tb_data[[#This Row],[previous_workers]]&lt;Tb_data[[#This Row],[workers]],"yes","no")</f>
        <v>yes</v>
      </c>
      <c r="L1219">
        <f>Tb_data[[#This Row],[workers]]-Tb_data[[#This Row],[previous_workers]]</f>
        <v>2</v>
      </c>
      <c r="M1219" s="12">
        <f>Tb_data[[#This Row],[Employees Growth]]/Tb_data[[#This Row],[previous_workers]]</f>
        <v>0.14285714285714285</v>
      </c>
    </row>
    <row r="1220" spans="1:13" x14ac:dyDescent="0.25">
      <c r="A1220" s="1" t="s">
        <v>2306</v>
      </c>
      <c r="B1220" s="1" t="s">
        <v>2307</v>
      </c>
      <c r="C1220" s="1">
        <v>3300000</v>
      </c>
      <c r="D1220" s="1" t="s">
        <v>69</v>
      </c>
      <c r="E1220">
        <v>382.40980000000002</v>
      </c>
      <c r="F1220" s="1" t="s">
        <v>86</v>
      </c>
      <c r="G1220">
        <v>22</v>
      </c>
      <c r="H1220">
        <v>8</v>
      </c>
      <c r="I1220" s="1" t="s">
        <v>26</v>
      </c>
      <c r="J1220">
        <v>1</v>
      </c>
      <c r="K1220" t="str">
        <f>IF(Tb_data[[#This Row],[previous_workers]]&lt;Tb_data[[#This Row],[workers]],"yes","no")</f>
        <v>yes</v>
      </c>
      <c r="L1220">
        <f>Tb_data[[#This Row],[workers]]-Tb_data[[#This Row],[previous_workers]]</f>
        <v>14</v>
      </c>
      <c r="M1220" s="12">
        <f>Tb_data[[#This Row],[Employees Growth]]/Tb_data[[#This Row],[previous_workers]]</f>
        <v>1.75</v>
      </c>
    </row>
    <row r="1221" spans="1:13" x14ac:dyDescent="0.25">
      <c r="A1221" s="1" t="s">
        <v>6978</v>
      </c>
      <c r="B1221" s="1" t="s">
        <v>6979</v>
      </c>
      <c r="C1221" s="1">
        <v>3600000</v>
      </c>
      <c r="D1221" s="1" t="s">
        <v>500</v>
      </c>
      <c r="E1221">
        <v>102.3862</v>
      </c>
      <c r="F1221" s="1" t="s">
        <v>152</v>
      </c>
      <c r="G1221">
        <v>18</v>
      </c>
      <c r="H1221">
        <v>15</v>
      </c>
      <c r="I1221" s="1" t="s">
        <v>948</v>
      </c>
      <c r="J1221">
        <v>3</v>
      </c>
      <c r="K1221" t="str">
        <f>IF(Tb_data[[#This Row],[previous_workers]]&lt;Tb_data[[#This Row],[workers]],"yes","no")</f>
        <v>yes</v>
      </c>
      <c r="L1221">
        <f>Tb_data[[#This Row],[workers]]-Tb_data[[#This Row],[previous_workers]]</f>
        <v>3</v>
      </c>
      <c r="M1221" s="12">
        <f>Tb_data[[#This Row],[Employees Growth]]/Tb_data[[#This Row],[previous_workers]]</f>
        <v>0.2</v>
      </c>
    </row>
    <row r="1222" spans="1:13" x14ac:dyDescent="0.25">
      <c r="A1222" s="1" t="s">
        <v>9842</v>
      </c>
      <c r="B1222" s="1" t="s">
        <v>9843</v>
      </c>
      <c r="C1222" s="1">
        <v>6500000</v>
      </c>
      <c r="D1222" s="1" t="s">
        <v>41</v>
      </c>
      <c r="E1222">
        <v>56.168300000000002</v>
      </c>
      <c r="F1222" s="1" t="s">
        <v>135</v>
      </c>
      <c r="G1222">
        <v>18</v>
      </c>
      <c r="H1222">
        <v>12</v>
      </c>
      <c r="I1222" s="1" t="s">
        <v>948</v>
      </c>
      <c r="J1222">
        <v>4</v>
      </c>
      <c r="K1222" t="str">
        <f>IF(Tb_data[[#This Row],[previous_workers]]&lt;Tb_data[[#This Row],[workers]],"yes","no")</f>
        <v>yes</v>
      </c>
      <c r="L1222">
        <f>Tb_data[[#This Row],[workers]]-Tb_data[[#This Row],[previous_workers]]</f>
        <v>6</v>
      </c>
      <c r="M1222" s="12">
        <f>Tb_data[[#This Row],[Employees Growth]]/Tb_data[[#This Row],[previous_workers]]</f>
        <v>0.5</v>
      </c>
    </row>
    <row r="1223" spans="1:13" x14ac:dyDescent="0.25">
      <c r="A1223" s="1" t="s">
        <v>6363</v>
      </c>
      <c r="B1223" s="1" t="s">
        <v>6364</v>
      </c>
      <c r="C1223" s="1">
        <v>70700000</v>
      </c>
      <c r="D1223" s="1" t="s">
        <v>52</v>
      </c>
      <c r="E1223">
        <v>117.0347</v>
      </c>
      <c r="F1223" s="1" t="s">
        <v>156</v>
      </c>
      <c r="G1223">
        <v>975</v>
      </c>
      <c r="H1223">
        <v>532</v>
      </c>
      <c r="I1223" s="1" t="s">
        <v>194</v>
      </c>
      <c r="J1223">
        <v>8</v>
      </c>
      <c r="K1223" t="str">
        <f>IF(Tb_data[[#This Row],[previous_workers]]&lt;Tb_data[[#This Row],[workers]],"yes","no")</f>
        <v>yes</v>
      </c>
      <c r="L1223">
        <f>Tb_data[[#This Row],[workers]]-Tb_data[[#This Row],[previous_workers]]</f>
        <v>443</v>
      </c>
      <c r="M1223" s="12">
        <f>Tb_data[[#This Row],[Employees Growth]]/Tb_data[[#This Row],[previous_workers]]</f>
        <v>0.83270676691729328</v>
      </c>
    </row>
    <row r="1224" spans="1:13" x14ac:dyDescent="0.25">
      <c r="A1224" s="1" t="s">
        <v>3710</v>
      </c>
      <c r="B1224" s="1" t="s">
        <v>3711</v>
      </c>
      <c r="C1224" s="1">
        <v>5000000</v>
      </c>
      <c r="D1224" s="1" t="s">
        <v>49</v>
      </c>
      <c r="E1224">
        <v>228.02770000000001</v>
      </c>
      <c r="F1224" s="1" t="s">
        <v>310</v>
      </c>
      <c r="G1224">
        <v>6</v>
      </c>
      <c r="H1224">
        <v>2</v>
      </c>
      <c r="I1224" s="1" t="s">
        <v>130</v>
      </c>
      <c r="J1224">
        <v>2</v>
      </c>
      <c r="K1224" t="str">
        <f>IF(Tb_data[[#This Row],[previous_workers]]&lt;Tb_data[[#This Row],[workers]],"yes","no")</f>
        <v>yes</v>
      </c>
      <c r="L1224">
        <f>Tb_data[[#This Row],[workers]]-Tb_data[[#This Row],[previous_workers]]</f>
        <v>4</v>
      </c>
      <c r="M1224" s="12">
        <f>Tb_data[[#This Row],[Employees Growth]]/Tb_data[[#This Row],[previous_workers]]</f>
        <v>2</v>
      </c>
    </row>
    <row r="1225" spans="1:13" x14ac:dyDescent="0.25">
      <c r="A1225" s="1" t="s">
        <v>9672</v>
      </c>
      <c r="B1225" s="1" t="s">
        <v>9673</v>
      </c>
      <c r="C1225" s="1">
        <v>35200000</v>
      </c>
      <c r="D1225" s="1" t="s">
        <v>155</v>
      </c>
      <c r="E1225">
        <v>58.313699999999997</v>
      </c>
      <c r="F1225" s="1" t="s">
        <v>156</v>
      </c>
      <c r="G1225">
        <v>46</v>
      </c>
      <c r="H1225">
        <v>29</v>
      </c>
      <c r="I1225" s="1" t="s">
        <v>1051</v>
      </c>
      <c r="J1225">
        <v>7</v>
      </c>
      <c r="K1225" t="str">
        <f>IF(Tb_data[[#This Row],[previous_workers]]&lt;Tb_data[[#This Row],[workers]],"yes","no")</f>
        <v>yes</v>
      </c>
      <c r="L1225">
        <f>Tb_data[[#This Row],[workers]]-Tb_data[[#This Row],[previous_workers]]</f>
        <v>17</v>
      </c>
      <c r="M1225" s="12">
        <f>Tb_data[[#This Row],[Employees Growth]]/Tb_data[[#This Row],[previous_workers]]</f>
        <v>0.58620689655172409</v>
      </c>
    </row>
    <row r="1226" spans="1:13" x14ac:dyDescent="0.25">
      <c r="A1226" s="1" t="s">
        <v>8131</v>
      </c>
      <c r="B1226" s="1" t="s">
        <v>8132</v>
      </c>
      <c r="C1226" s="1">
        <v>3300000</v>
      </c>
      <c r="D1226" s="1" t="s">
        <v>61</v>
      </c>
      <c r="E1226">
        <v>80.752300000000005</v>
      </c>
      <c r="F1226" s="1" t="s">
        <v>116</v>
      </c>
      <c r="G1226">
        <v>10</v>
      </c>
      <c r="H1226">
        <v>12</v>
      </c>
      <c r="I1226" s="1" t="s">
        <v>147</v>
      </c>
      <c r="J1226">
        <v>1</v>
      </c>
      <c r="K1226" t="str">
        <f>IF(Tb_data[[#This Row],[previous_workers]]&lt;Tb_data[[#This Row],[workers]],"yes","no")</f>
        <v>no</v>
      </c>
      <c r="L1226">
        <f>Tb_data[[#This Row],[workers]]-Tb_data[[#This Row],[previous_workers]]</f>
        <v>-2</v>
      </c>
      <c r="M1226" s="12">
        <f>Tb_data[[#This Row],[Employees Growth]]/Tb_data[[#This Row],[previous_workers]]</f>
        <v>-0.16666666666666666</v>
      </c>
    </row>
    <row r="1227" spans="1:13" x14ac:dyDescent="0.25">
      <c r="A1227" s="1" t="s">
        <v>471</v>
      </c>
      <c r="B1227" s="1" t="s">
        <v>472</v>
      </c>
      <c r="C1227" s="1">
        <v>32900000</v>
      </c>
      <c r="D1227" s="1" t="s">
        <v>33</v>
      </c>
      <c r="E1227">
        <v>2068.4929000000002</v>
      </c>
      <c r="F1227" s="1" t="s">
        <v>17</v>
      </c>
      <c r="G1227">
        <v>45</v>
      </c>
      <c r="H1227">
        <v>4</v>
      </c>
      <c r="I1227" s="1" t="s">
        <v>26</v>
      </c>
      <c r="J1227">
        <v>1</v>
      </c>
      <c r="K1227" t="str">
        <f>IF(Tb_data[[#This Row],[previous_workers]]&lt;Tb_data[[#This Row],[workers]],"yes","no")</f>
        <v>yes</v>
      </c>
      <c r="L1227">
        <f>Tb_data[[#This Row],[workers]]-Tb_data[[#This Row],[previous_workers]]</f>
        <v>41</v>
      </c>
      <c r="M1227" s="12">
        <f>Tb_data[[#This Row],[Employees Growth]]/Tb_data[[#This Row],[previous_workers]]</f>
        <v>10.25</v>
      </c>
    </row>
    <row r="1228" spans="1:13" x14ac:dyDescent="0.25">
      <c r="A1228" s="1" t="s">
        <v>6327</v>
      </c>
      <c r="B1228" s="1" t="s">
        <v>6328</v>
      </c>
      <c r="C1228" s="1">
        <v>3300000</v>
      </c>
      <c r="D1228" s="1" t="s">
        <v>33</v>
      </c>
      <c r="E1228">
        <v>117.8302</v>
      </c>
      <c r="F1228" s="1" t="s">
        <v>176</v>
      </c>
      <c r="G1228">
        <v>61</v>
      </c>
      <c r="H1228">
        <v>45</v>
      </c>
      <c r="I1228" s="1" t="s">
        <v>194</v>
      </c>
      <c r="J1228">
        <v>2</v>
      </c>
      <c r="K1228" t="str">
        <f>IF(Tb_data[[#This Row],[previous_workers]]&lt;Tb_data[[#This Row],[workers]],"yes","no")</f>
        <v>yes</v>
      </c>
      <c r="L1228">
        <f>Tb_data[[#This Row],[workers]]-Tb_data[[#This Row],[previous_workers]]</f>
        <v>16</v>
      </c>
      <c r="M1228" s="12">
        <f>Tb_data[[#This Row],[Employees Growth]]/Tb_data[[#This Row],[previous_workers]]</f>
        <v>0.35555555555555557</v>
      </c>
    </row>
    <row r="1229" spans="1:13" x14ac:dyDescent="0.25">
      <c r="A1229" s="1" t="s">
        <v>3361</v>
      </c>
      <c r="B1229" s="1" t="s">
        <v>4040</v>
      </c>
      <c r="C1229" s="1">
        <v>16200000</v>
      </c>
      <c r="D1229" s="1" t="s">
        <v>41</v>
      </c>
      <c r="E1229">
        <v>205.42939999999999</v>
      </c>
      <c r="F1229" s="1" t="s">
        <v>176</v>
      </c>
      <c r="G1229">
        <v>54</v>
      </c>
      <c r="H1229">
        <v>40</v>
      </c>
      <c r="I1229" s="1" t="s">
        <v>55</v>
      </c>
      <c r="J1229">
        <v>3</v>
      </c>
      <c r="K1229" t="str">
        <f>IF(Tb_data[[#This Row],[previous_workers]]&lt;Tb_data[[#This Row],[workers]],"yes","no")</f>
        <v>yes</v>
      </c>
      <c r="L1229">
        <f>Tb_data[[#This Row],[workers]]-Tb_data[[#This Row],[previous_workers]]</f>
        <v>14</v>
      </c>
      <c r="M1229" s="12">
        <f>Tb_data[[#This Row],[Employees Growth]]/Tb_data[[#This Row],[previous_workers]]</f>
        <v>0.35</v>
      </c>
    </row>
    <row r="1230" spans="1:13" x14ac:dyDescent="0.25">
      <c r="A1230" s="1" t="s">
        <v>7843</v>
      </c>
      <c r="B1230" s="1" t="s">
        <v>7844</v>
      </c>
      <c r="C1230" s="1">
        <v>15500000</v>
      </c>
      <c r="D1230" s="1" t="s">
        <v>123</v>
      </c>
      <c r="E1230">
        <v>85.540700000000001</v>
      </c>
      <c r="F1230" s="1" t="s">
        <v>86</v>
      </c>
      <c r="G1230">
        <v>75</v>
      </c>
      <c r="H1230">
        <v>49</v>
      </c>
      <c r="I1230" s="1" t="s">
        <v>372</v>
      </c>
      <c r="J1230">
        <v>9</v>
      </c>
      <c r="K1230" t="str">
        <f>IF(Tb_data[[#This Row],[previous_workers]]&lt;Tb_data[[#This Row],[workers]],"yes","no")</f>
        <v>yes</v>
      </c>
      <c r="L1230">
        <f>Tb_data[[#This Row],[workers]]-Tb_data[[#This Row],[previous_workers]]</f>
        <v>26</v>
      </c>
      <c r="M1230" s="12">
        <f>Tb_data[[#This Row],[Employees Growth]]/Tb_data[[#This Row],[previous_workers]]</f>
        <v>0.53061224489795922</v>
      </c>
    </row>
    <row r="1231" spans="1:13" x14ac:dyDescent="0.25">
      <c r="A1231" s="1" t="s">
        <v>7082</v>
      </c>
      <c r="B1231" s="1" t="s">
        <v>7083</v>
      </c>
      <c r="C1231" s="1">
        <v>4400000</v>
      </c>
      <c r="D1231" s="1" t="s">
        <v>427</v>
      </c>
      <c r="E1231">
        <v>100.5645</v>
      </c>
      <c r="F1231" s="1" t="s">
        <v>86</v>
      </c>
      <c r="G1231">
        <v>26</v>
      </c>
      <c r="H1231">
        <v>11</v>
      </c>
      <c r="I1231" s="1" t="s">
        <v>948</v>
      </c>
      <c r="J1231">
        <v>1</v>
      </c>
      <c r="K1231" t="str">
        <f>IF(Tb_data[[#This Row],[previous_workers]]&lt;Tb_data[[#This Row],[workers]],"yes","no")</f>
        <v>yes</v>
      </c>
      <c r="L1231">
        <f>Tb_data[[#This Row],[workers]]-Tb_data[[#This Row],[previous_workers]]</f>
        <v>15</v>
      </c>
      <c r="M1231" s="12">
        <f>Tb_data[[#This Row],[Employees Growth]]/Tb_data[[#This Row],[previous_workers]]</f>
        <v>1.3636363636363635</v>
      </c>
    </row>
    <row r="1232" spans="1:13" x14ac:dyDescent="0.25">
      <c r="A1232" s="1" t="s">
        <v>8560</v>
      </c>
      <c r="B1232" s="1" t="s">
        <v>8561</v>
      </c>
      <c r="C1232" s="1">
        <v>2000000</v>
      </c>
      <c r="D1232" s="1" t="s">
        <v>16</v>
      </c>
      <c r="E1232">
        <v>72.942899999999995</v>
      </c>
      <c r="F1232" s="1" t="s">
        <v>86</v>
      </c>
      <c r="G1232">
        <v>55</v>
      </c>
      <c r="H1232">
        <v>30</v>
      </c>
      <c r="I1232" s="1" t="s">
        <v>35</v>
      </c>
      <c r="J1232">
        <v>1</v>
      </c>
      <c r="K1232" t="str">
        <f>IF(Tb_data[[#This Row],[previous_workers]]&lt;Tb_data[[#This Row],[workers]],"yes","no")</f>
        <v>yes</v>
      </c>
      <c r="L1232">
        <f>Tb_data[[#This Row],[workers]]-Tb_data[[#This Row],[previous_workers]]</f>
        <v>25</v>
      </c>
      <c r="M1232" s="12">
        <f>Tb_data[[#This Row],[Employees Growth]]/Tb_data[[#This Row],[previous_workers]]</f>
        <v>0.83333333333333337</v>
      </c>
    </row>
    <row r="1233" spans="1:13" x14ac:dyDescent="0.25">
      <c r="A1233" s="1" t="s">
        <v>9556</v>
      </c>
      <c r="B1233" s="1" t="s">
        <v>9557</v>
      </c>
      <c r="C1233" s="1">
        <v>7900000</v>
      </c>
      <c r="D1233" s="1" t="s">
        <v>61</v>
      </c>
      <c r="E1233">
        <v>59.591700000000003</v>
      </c>
      <c r="F1233" s="1" t="s">
        <v>116</v>
      </c>
      <c r="G1233">
        <v>22</v>
      </c>
      <c r="H1233">
        <v>20</v>
      </c>
      <c r="I1233" s="1" t="s">
        <v>194</v>
      </c>
      <c r="J1233">
        <v>5</v>
      </c>
      <c r="K1233" t="str">
        <f>IF(Tb_data[[#This Row],[previous_workers]]&lt;Tb_data[[#This Row],[workers]],"yes","no")</f>
        <v>yes</v>
      </c>
      <c r="L1233">
        <f>Tb_data[[#This Row],[workers]]-Tb_data[[#This Row],[previous_workers]]</f>
        <v>2</v>
      </c>
      <c r="M1233" s="12">
        <f>Tb_data[[#This Row],[Employees Growth]]/Tb_data[[#This Row],[previous_workers]]</f>
        <v>0.1</v>
      </c>
    </row>
    <row r="1234" spans="1:13" x14ac:dyDescent="0.25">
      <c r="A1234" s="1" t="s">
        <v>6411</v>
      </c>
      <c r="B1234" s="1" t="s">
        <v>6412</v>
      </c>
      <c r="C1234" s="1">
        <v>23500000</v>
      </c>
      <c r="D1234" s="1" t="s">
        <v>123</v>
      </c>
      <c r="E1234">
        <v>115.97410000000001</v>
      </c>
      <c r="F1234" s="1" t="s">
        <v>112</v>
      </c>
      <c r="G1234">
        <v>44</v>
      </c>
      <c r="H1234">
        <v>21</v>
      </c>
      <c r="I1234" s="1" t="s">
        <v>35</v>
      </c>
      <c r="J1234">
        <v>2</v>
      </c>
      <c r="K1234" t="str">
        <f>IF(Tb_data[[#This Row],[previous_workers]]&lt;Tb_data[[#This Row],[workers]],"yes","no")</f>
        <v>yes</v>
      </c>
      <c r="L1234">
        <f>Tb_data[[#This Row],[workers]]-Tb_data[[#This Row],[previous_workers]]</f>
        <v>23</v>
      </c>
      <c r="M1234" s="12">
        <f>Tb_data[[#This Row],[Employees Growth]]/Tb_data[[#This Row],[previous_workers]]</f>
        <v>1.0952380952380953</v>
      </c>
    </row>
    <row r="1235" spans="1:13" x14ac:dyDescent="0.25">
      <c r="A1235" s="1" t="s">
        <v>575</v>
      </c>
      <c r="B1235" s="1" t="s">
        <v>576</v>
      </c>
      <c r="C1235" s="1">
        <v>26300000</v>
      </c>
      <c r="D1235" s="1" t="s">
        <v>33</v>
      </c>
      <c r="E1235">
        <v>1732.6297</v>
      </c>
      <c r="F1235" s="1" t="s">
        <v>25</v>
      </c>
      <c r="G1235">
        <v>21</v>
      </c>
      <c r="H1235">
        <v>5</v>
      </c>
      <c r="I1235" s="1" t="s">
        <v>130</v>
      </c>
      <c r="J1235">
        <v>3</v>
      </c>
      <c r="K1235" t="str">
        <f>IF(Tb_data[[#This Row],[previous_workers]]&lt;Tb_data[[#This Row],[workers]],"yes","no")</f>
        <v>yes</v>
      </c>
      <c r="L1235">
        <f>Tb_data[[#This Row],[workers]]-Tb_data[[#This Row],[previous_workers]]</f>
        <v>16</v>
      </c>
      <c r="M1235" s="12">
        <f>Tb_data[[#This Row],[Employees Growth]]/Tb_data[[#This Row],[previous_workers]]</f>
        <v>3.2</v>
      </c>
    </row>
    <row r="1236" spans="1:13" x14ac:dyDescent="0.25">
      <c r="A1236" s="1" t="s">
        <v>5494</v>
      </c>
      <c r="B1236" s="1" t="s">
        <v>5495</v>
      </c>
      <c r="C1236" s="1">
        <v>2900000</v>
      </c>
      <c r="D1236" s="1" t="s">
        <v>29</v>
      </c>
      <c r="E1236">
        <v>142.92080000000001</v>
      </c>
      <c r="F1236" s="1" t="s">
        <v>12</v>
      </c>
      <c r="G1236">
        <v>23</v>
      </c>
      <c r="H1236">
        <v>10</v>
      </c>
      <c r="I1236" s="1" t="s">
        <v>35</v>
      </c>
      <c r="J1236">
        <v>1</v>
      </c>
      <c r="K1236" t="str">
        <f>IF(Tb_data[[#This Row],[previous_workers]]&lt;Tb_data[[#This Row],[workers]],"yes","no")</f>
        <v>yes</v>
      </c>
      <c r="L1236">
        <f>Tb_data[[#This Row],[workers]]-Tb_data[[#This Row],[previous_workers]]</f>
        <v>13</v>
      </c>
      <c r="M1236" s="12">
        <f>Tb_data[[#This Row],[Employees Growth]]/Tb_data[[#This Row],[previous_workers]]</f>
        <v>1.3</v>
      </c>
    </row>
    <row r="1237" spans="1:13" x14ac:dyDescent="0.25">
      <c r="A1237" s="1" t="s">
        <v>7855</v>
      </c>
      <c r="B1237" s="1" t="s">
        <v>7856</v>
      </c>
      <c r="C1237" s="1">
        <v>418900000</v>
      </c>
      <c r="D1237" s="1" t="s">
        <v>33</v>
      </c>
      <c r="E1237">
        <v>85.349299999999999</v>
      </c>
      <c r="F1237" s="1" t="s">
        <v>124</v>
      </c>
      <c r="G1237">
        <v>180</v>
      </c>
      <c r="H1237">
        <v>95</v>
      </c>
      <c r="I1237" s="1" t="s">
        <v>1411</v>
      </c>
      <c r="J1237">
        <v>4</v>
      </c>
      <c r="K1237" t="str">
        <f>IF(Tb_data[[#This Row],[previous_workers]]&lt;Tb_data[[#This Row],[workers]],"yes","no")</f>
        <v>yes</v>
      </c>
      <c r="L1237">
        <f>Tb_data[[#This Row],[workers]]-Tb_data[[#This Row],[previous_workers]]</f>
        <v>85</v>
      </c>
      <c r="M1237" s="12">
        <f>Tb_data[[#This Row],[Employees Growth]]/Tb_data[[#This Row],[previous_workers]]</f>
        <v>0.89473684210526316</v>
      </c>
    </row>
    <row r="1238" spans="1:13" x14ac:dyDescent="0.25">
      <c r="A1238" s="1" t="s">
        <v>9632</v>
      </c>
      <c r="B1238" s="1" t="s">
        <v>9633</v>
      </c>
      <c r="C1238" s="1">
        <v>2600000</v>
      </c>
      <c r="D1238" s="1" t="s">
        <v>49</v>
      </c>
      <c r="E1238">
        <v>58.905999999999999</v>
      </c>
      <c r="F1238" s="1" t="s">
        <v>62</v>
      </c>
      <c r="G1238">
        <v>12</v>
      </c>
      <c r="H1238">
        <v>3</v>
      </c>
      <c r="I1238" s="1" t="s">
        <v>74</v>
      </c>
      <c r="J1238">
        <v>3</v>
      </c>
      <c r="K1238" t="str">
        <f>IF(Tb_data[[#This Row],[previous_workers]]&lt;Tb_data[[#This Row],[workers]],"yes","no")</f>
        <v>yes</v>
      </c>
      <c r="L1238">
        <f>Tb_data[[#This Row],[workers]]-Tb_data[[#This Row],[previous_workers]]</f>
        <v>9</v>
      </c>
      <c r="M1238" s="12">
        <f>Tb_data[[#This Row],[Employees Growth]]/Tb_data[[#This Row],[previous_workers]]</f>
        <v>3</v>
      </c>
    </row>
    <row r="1239" spans="1:13" x14ac:dyDescent="0.25">
      <c r="A1239" s="1" t="s">
        <v>6587</v>
      </c>
      <c r="B1239" s="1" t="s">
        <v>6588</v>
      </c>
      <c r="C1239" s="1">
        <v>87000000</v>
      </c>
      <c r="D1239" s="1" t="s">
        <v>20</v>
      </c>
      <c r="E1239">
        <v>111.90009999999999</v>
      </c>
      <c r="F1239" s="1" t="s">
        <v>34</v>
      </c>
      <c r="G1239">
        <v>750</v>
      </c>
      <c r="H1239">
        <v>500</v>
      </c>
      <c r="I1239" s="1" t="s">
        <v>46</v>
      </c>
      <c r="J1239">
        <v>4</v>
      </c>
      <c r="K1239" t="str">
        <f>IF(Tb_data[[#This Row],[previous_workers]]&lt;Tb_data[[#This Row],[workers]],"yes","no")</f>
        <v>yes</v>
      </c>
      <c r="L1239">
        <f>Tb_data[[#This Row],[workers]]-Tb_data[[#This Row],[previous_workers]]</f>
        <v>250</v>
      </c>
      <c r="M1239" s="12">
        <f>Tb_data[[#This Row],[Employees Growth]]/Tb_data[[#This Row],[previous_workers]]</f>
        <v>0.5</v>
      </c>
    </row>
    <row r="1240" spans="1:13" x14ac:dyDescent="0.25">
      <c r="A1240" s="1" t="s">
        <v>2609</v>
      </c>
      <c r="B1240" s="1" t="s">
        <v>2610</v>
      </c>
      <c r="C1240" s="1">
        <v>12400000</v>
      </c>
      <c r="D1240" s="1" t="s">
        <v>49</v>
      </c>
      <c r="E1240">
        <v>331.29520000000002</v>
      </c>
      <c r="F1240" s="1" t="s">
        <v>12</v>
      </c>
      <c r="G1240">
        <v>123</v>
      </c>
      <c r="H1240">
        <v>100</v>
      </c>
      <c r="I1240" s="1" t="s">
        <v>2611</v>
      </c>
      <c r="J1240">
        <v>3</v>
      </c>
      <c r="K1240" t="str">
        <f>IF(Tb_data[[#This Row],[previous_workers]]&lt;Tb_data[[#This Row],[workers]],"yes","no")</f>
        <v>yes</v>
      </c>
      <c r="L1240">
        <f>Tb_data[[#This Row],[workers]]-Tb_data[[#This Row],[previous_workers]]</f>
        <v>23</v>
      </c>
      <c r="M1240" s="12">
        <f>Tb_data[[#This Row],[Employees Growth]]/Tb_data[[#This Row],[previous_workers]]</f>
        <v>0.23</v>
      </c>
    </row>
    <row r="1241" spans="1:13" x14ac:dyDescent="0.25">
      <c r="A1241" s="1" t="s">
        <v>408</v>
      </c>
      <c r="B1241" s="1" t="s">
        <v>409</v>
      </c>
      <c r="C1241" s="1">
        <v>15900000</v>
      </c>
      <c r="D1241" s="1" t="s">
        <v>129</v>
      </c>
      <c r="E1241">
        <v>2354.4234999999999</v>
      </c>
      <c r="F1241" s="1" t="s">
        <v>156</v>
      </c>
      <c r="G1241">
        <v>100</v>
      </c>
      <c r="H1241">
        <v>6</v>
      </c>
      <c r="I1241" s="1" t="s">
        <v>164</v>
      </c>
      <c r="J1241">
        <v>1</v>
      </c>
      <c r="K1241" t="str">
        <f>IF(Tb_data[[#This Row],[previous_workers]]&lt;Tb_data[[#This Row],[workers]],"yes","no")</f>
        <v>yes</v>
      </c>
      <c r="L1241">
        <f>Tb_data[[#This Row],[workers]]-Tb_data[[#This Row],[previous_workers]]</f>
        <v>94</v>
      </c>
      <c r="M1241" s="12">
        <f>Tb_data[[#This Row],[Employees Growth]]/Tb_data[[#This Row],[previous_workers]]</f>
        <v>15.666666666666666</v>
      </c>
    </row>
    <row r="1242" spans="1:13" x14ac:dyDescent="0.25">
      <c r="A1242" s="1" t="s">
        <v>6155</v>
      </c>
      <c r="B1242" s="1" t="s">
        <v>6156</v>
      </c>
      <c r="C1242" s="1">
        <v>19000000</v>
      </c>
      <c r="D1242" s="1" t="s">
        <v>41</v>
      </c>
      <c r="E1242">
        <v>122.3356</v>
      </c>
      <c r="F1242" s="1" t="s">
        <v>86</v>
      </c>
      <c r="G1242">
        <v>102</v>
      </c>
      <c r="H1242">
        <v>51</v>
      </c>
      <c r="I1242" s="1" t="s">
        <v>1051</v>
      </c>
      <c r="J1242">
        <v>3</v>
      </c>
      <c r="K1242" t="str">
        <f>IF(Tb_data[[#This Row],[previous_workers]]&lt;Tb_data[[#This Row],[workers]],"yes","no")</f>
        <v>yes</v>
      </c>
      <c r="L1242">
        <f>Tb_data[[#This Row],[workers]]-Tb_data[[#This Row],[previous_workers]]</f>
        <v>51</v>
      </c>
      <c r="M1242" s="12">
        <f>Tb_data[[#This Row],[Employees Growth]]/Tb_data[[#This Row],[previous_workers]]</f>
        <v>1</v>
      </c>
    </row>
    <row r="1243" spans="1:13" x14ac:dyDescent="0.25">
      <c r="A1243" s="1" t="s">
        <v>2056</v>
      </c>
      <c r="B1243" s="1" t="s">
        <v>2057</v>
      </c>
      <c r="C1243" s="1">
        <v>7300000</v>
      </c>
      <c r="D1243" s="1" t="s">
        <v>20</v>
      </c>
      <c r="E1243">
        <v>436.84320000000002</v>
      </c>
      <c r="F1243" s="1" t="s">
        <v>12</v>
      </c>
      <c r="G1243">
        <v>30</v>
      </c>
      <c r="H1243">
        <v>4</v>
      </c>
      <c r="I1243" s="1" t="s">
        <v>55</v>
      </c>
      <c r="J1243">
        <v>1</v>
      </c>
      <c r="K1243" t="str">
        <f>IF(Tb_data[[#This Row],[previous_workers]]&lt;Tb_data[[#This Row],[workers]],"yes","no")</f>
        <v>yes</v>
      </c>
      <c r="L1243">
        <f>Tb_data[[#This Row],[workers]]-Tb_data[[#This Row],[previous_workers]]</f>
        <v>26</v>
      </c>
      <c r="M1243" s="12">
        <f>Tb_data[[#This Row],[Employees Growth]]/Tb_data[[#This Row],[previous_workers]]</f>
        <v>6.5</v>
      </c>
    </row>
    <row r="1244" spans="1:13" x14ac:dyDescent="0.25">
      <c r="A1244" s="1" t="s">
        <v>5446</v>
      </c>
      <c r="B1244" s="1" t="s">
        <v>5447</v>
      </c>
      <c r="C1244" s="1">
        <v>33000000</v>
      </c>
      <c r="D1244" s="1" t="s">
        <v>61</v>
      </c>
      <c r="E1244">
        <v>144.74109999999999</v>
      </c>
      <c r="F1244" s="1" t="s">
        <v>156</v>
      </c>
      <c r="G1244">
        <v>125</v>
      </c>
      <c r="H1244">
        <v>85</v>
      </c>
      <c r="I1244" s="1" t="s">
        <v>147</v>
      </c>
      <c r="J1244">
        <v>8</v>
      </c>
      <c r="K1244" t="str">
        <f>IF(Tb_data[[#This Row],[previous_workers]]&lt;Tb_data[[#This Row],[workers]],"yes","no")</f>
        <v>yes</v>
      </c>
      <c r="L1244">
        <f>Tb_data[[#This Row],[workers]]-Tb_data[[#This Row],[previous_workers]]</f>
        <v>40</v>
      </c>
      <c r="M1244" s="12">
        <f>Tb_data[[#This Row],[Employees Growth]]/Tb_data[[#This Row],[previous_workers]]</f>
        <v>0.47058823529411764</v>
      </c>
    </row>
    <row r="1245" spans="1:13" x14ac:dyDescent="0.25">
      <c r="A1245" s="1" t="s">
        <v>6311</v>
      </c>
      <c r="B1245" s="1" t="s">
        <v>6312</v>
      </c>
      <c r="C1245" s="1">
        <v>76100000</v>
      </c>
      <c r="D1245" s="1" t="s">
        <v>29</v>
      </c>
      <c r="E1245">
        <v>118.52370000000001</v>
      </c>
      <c r="F1245" s="1" t="s">
        <v>94</v>
      </c>
      <c r="G1245">
        <v>286</v>
      </c>
      <c r="H1245">
        <v>124</v>
      </c>
      <c r="I1245" s="1" t="s">
        <v>46</v>
      </c>
      <c r="J1245">
        <v>2</v>
      </c>
      <c r="K1245" t="str">
        <f>IF(Tb_data[[#This Row],[previous_workers]]&lt;Tb_data[[#This Row],[workers]],"yes","no")</f>
        <v>yes</v>
      </c>
      <c r="L1245">
        <f>Tb_data[[#This Row],[workers]]-Tb_data[[#This Row],[previous_workers]]</f>
        <v>162</v>
      </c>
      <c r="M1245" s="12">
        <f>Tb_data[[#This Row],[Employees Growth]]/Tb_data[[#This Row],[previous_workers]]</f>
        <v>1.3064516129032258</v>
      </c>
    </row>
    <row r="1246" spans="1:13" x14ac:dyDescent="0.25">
      <c r="A1246" s="1" t="s">
        <v>4323</v>
      </c>
      <c r="B1246" s="1" t="s">
        <v>4324</v>
      </c>
      <c r="C1246" s="1">
        <v>16600000</v>
      </c>
      <c r="D1246" s="1" t="s">
        <v>20</v>
      </c>
      <c r="E1246">
        <v>190.3227</v>
      </c>
      <c r="F1246" s="1" t="s">
        <v>86</v>
      </c>
      <c r="G1246">
        <v>110</v>
      </c>
      <c r="H1246">
        <v>41</v>
      </c>
      <c r="I1246" s="1" t="s">
        <v>130</v>
      </c>
      <c r="J1246">
        <v>3</v>
      </c>
      <c r="K1246" t="str">
        <f>IF(Tb_data[[#This Row],[previous_workers]]&lt;Tb_data[[#This Row],[workers]],"yes","no")</f>
        <v>yes</v>
      </c>
      <c r="L1246">
        <f>Tb_data[[#This Row],[workers]]-Tb_data[[#This Row],[previous_workers]]</f>
        <v>69</v>
      </c>
      <c r="M1246" s="12">
        <f>Tb_data[[#This Row],[Employees Growth]]/Tb_data[[#This Row],[previous_workers]]</f>
        <v>1.6829268292682926</v>
      </c>
    </row>
    <row r="1247" spans="1:13" x14ac:dyDescent="0.25">
      <c r="A1247" s="1" t="s">
        <v>2151</v>
      </c>
      <c r="B1247" s="1" t="s">
        <v>2152</v>
      </c>
      <c r="C1247" s="1">
        <v>58900000</v>
      </c>
      <c r="D1247" s="1" t="s">
        <v>179</v>
      </c>
      <c r="E1247">
        <v>413.26929999999999</v>
      </c>
      <c r="F1247" s="1" t="s">
        <v>86</v>
      </c>
      <c r="G1247">
        <v>299</v>
      </c>
      <c r="H1247">
        <v>89</v>
      </c>
      <c r="I1247" s="1" t="s">
        <v>164</v>
      </c>
      <c r="J1247">
        <v>3</v>
      </c>
      <c r="K1247" t="str">
        <f>IF(Tb_data[[#This Row],[previous_workers]]&lt;Tb_data[[#This Row],[workers]],"yes","no")</f>
        <v>yes</v>
      </c>
      <c r="L1247">
        <f>Tb_data[[#This Row],[workers]]-Tb_data[[#This Row],[previous_workers]]</f>
        <v>210</v>
      </c>
      <c r="M1247" s="12">
        <f>Tb_data[[#This Row],[Employees Growth]]/Tb_data[[#This Row],[previous_workers]]</f>
        <v>2.3595505617977528</v>
      </c>
    </row>
    <row r="1248" spans="1:13" x14ac:dyDescent="0.25">
      <c r="A1248" s="1" t="s">
        <v>5596</v>
      </c>
      <c r="B1248" s="1" t="s">
        <v>5597</v>
      </c>
      <c r="C1248" s="1">
        <v>63800000</v>
      </c>
      <c r="D1248" s="1" t="s">
        <v>236</v>
      </c>
      <c r="E1248">
        <v>138.4111</v>
      </c>
      <c r="F1248" s="1" t="s">
        <v>12</v>
      </c>
      <c r="G1248">
        <v>320</v>
      </c>
      <c r="H1248">
        <v>172</v>
      </c>
      <c r="I1248" s="1" t="s">
        <v>372</v>
      </c>
      <c r="J1248">
        <v>9</v>
      </c>
      <c r="K1248" t="str">
        <f>IF(Tb_data[[#This Row],[previous_workers]]&lt;Tb_data[[#This Row],[workers]],"yes","no")</f>
        <v>yes</v>
      </c>
      <c r="L1248">
        <f>Tb_data[[#This Row],[workers]]-Tb_data[[#This Row],[previous_workers]]</f>
        <v>148</v>
      </c>
      <c r="M1248" s="12">
        <f>Tb_data[[#This Row],[Employees Growth]]/Tb_data[[#This Row],[previous_workers]]</f>
        <v>0.86046511627906974</v>
      </c>
    </row>
    <row r="1249" spans="1:13" x14ac:dyDescent="0.25">
      <c r="A1249" s="1" t="s">
        <v>9666</v>
      </c>
      <c r="B1249" s="1" t="s">
        <v>9667</v>
      </c>
      <c r="C1249" s="1">
        <v>2800000</v>
      </c>
      <c r="D1249" s="1" t="s">
        <v>49</v>
      </c>
      <c r="E1249">
        <v>58.403300000000002</v>
      </c>
      <c r="F1249" s="1" t="s">
        <v>62</v>
      </c>
      <c r="G1249">
        <v>17</v>
      </c>
      <c r="H1249">
        <v>9</v>
      </c>
      <c r="I1249" s="1" t="s">
        <v>74</v>
      </c>
      <c r="J1249">
        <v>3</v>
      </c>
      <c r="K1249" t="str">
        <f>IF(Tb_data[[#This Row],[previous_workers]]&lt;Tb_data[[#This Row],[workers]],"yes","no")</f>
        <v>yes</v>
      </c>
      <c r="L1249">
        <f>Tb_data[[#This Row],[workers]]-Tb_data[[#This Row],[previous_workers]]</f>
        <v>8</v>
      </c>
      <c r="M1249" s="12">
        <f>Tb_data[[#This Row],[Employees Growth]]/Tb_data[[#This Row],[previous_workers]]</f>
        <v>0.88888888888888884</v>
      </c>
    </row>
    <row r="1250" spans="1:13" x14ac:dyDescent="0.25">
      <c r="A1250" s="1" t="s">
        <v>877</v>
      </c>
      <c r="B1250" s="1" t="s">
        <v>878</v>
      </c>
      <c r="C1250" s="1">
        <v>4700000</v>
      </c>
      <c r="D1250" s="1" t="s">
        <v>38</v>
      </c>
      <c r="E1250">
        <v>1165.5447999999999</v>
      </c>
      <c r="F1250" s="1" t="s">
        <v>156</v>
      </c>
      <c r="G1250">
        <v>115</v>
      </c>
      <c r="H1250">
        <v>15</v>
      </c>
      <c r="I1250" s="1" t="s">
        <v>130</v>
      </c>
      <c r="J1250">
        <v>2</v>
      </c>
      <c r="K1250" t="str">
        <f>IF(Tb_data[[#This Row],[previous_workers]]&lt;Tb_data[[#This Row],[workers]],"yes","no")</f>
        <v>yes</v>
      </c>
      <c r="L1250">
        <f>Tb_data[[#This Row],[workers]]-Tb_data[[#This Row],[previous_workers]]</f>
        <v>100</v>
      </c>
      <c r="M1250" s="12">
        <f>Tb_data[[#This Row],[Employees Growth]]/Tb_data[[#This Row],[previous_workers]]</f>
        <v>6.666666666666667</v>
      </c>
    </row>
    <row r="1251" spans="1:13" x14ac:dyDescent="0.25">
      <c r="A1251" s="1" t="s">
        <v>5908</v>
      </c>
      <c r="B1251" s="1" t="s">
        <v>5909</v>
      </c>
      <c r="C1251" s="1">
        <v>71200000</v>
      </c>
      <c r="D1251" s="1" t="s">
        <v>120</v>
      </c>
      <c r="E1251">
        <v>128.7517</v>
      </c>
      <c r="F1251" s="1" t="s">
        <v>116</v>
      </c>
      <c r="G1251">
        <v>260</v>
      </c>
      <c r="H1251">
        <v>75</v>
      </c>
      <c r="I1251" s="1" t="s">
        <v>948</v>
      </c>
      <c r="J1251">
        <v>8</v>
      </c>
      <c r="K1251" t="str">
        <f>IF(Tb_data[[#This Row],[previous_workers]]&lt;Tb_data[[#This Row],[workers]],"yes","no")</f>
        <v>yes</v>
      </c>
      <c r="L1251">
        <f>Tb_data[[#This Row],[workers]]-Tb_data[[#This Row],[previous_workers]]</f>
        <v>185</v>
      </c>
      <c r="M1251" s="12">
        <f>Tb_data[[#This Row],[Employees Growth]]/Tb_data[[#This Row],[previous_workers]]</f>
        <v>2.4666666666666668</v>
      </c>
    </row>
    <row r="1252" spans="1:13" x14ac:dyDescent="0.25">
      <c r="A1252" s="1" t="s">
        <v>5638</v>
      </c>
      <c r="B1252" s="1" t="s">
        <v>5639</v>
      </c>
      <c r="C1252" s="1">
        <v>12100000</v>
      </c>
      <c r="D1252" s="1" t="s">
        <v>52</v>
      </c>
      <c r="E1252">
        <v>136.5445</v>
      </c>
      <c r="F1252" s="1" t="s">
        <v>97</v>
      </c>
      <c r="G1252">
        <v>88</v>
      </c>
      <c r="H1252">
        <v>65</v>
      </c>
      <c r="I1252" s="1" t="s">
        <v>226</v>
      </c>
      <c r="J1252">
        <v>6</v>
      </c>
      <c r="K1252" t="str">
        <f>IF(Tb_data[[#This Row],[previous_workers]]&lt;Tb_data[[#This Row],[workers]],"yes","no")</f>
        <v>yes</v>
      </c>
      <c r="L1252">
        <f>Tb_data[[#This Row],[workers]]-Tb_data[[#This Row],[previous_workers]]</f>
        <v>23</v>
      </c>
      <c r="M1252" s="12">
        <f>Tb_data[[#This Row],[Employees Growth]]/Tb_data[[#This Row],[previous_workers]]</f>
        <v>0.35384615384615387</v>
      </c>
    </row>
    <row r="1253" spans="1:13" x14ac:dyDescent="0.25">
      <c r="A1253" s="1" t="s">
        <v>5222</v>
      </c>
      <c r="B1253" s="1" t="s">
        <v>5223</v>
      </c>
      <c r="C1253" s="1">
        <v>6100000</v>
      </c>
      <c r="D1253" s="1" t="s">
        <v>179</v>
      </c>
      <c r="E1253">
        <v>152.8603</v>
      </c>
      <c r="F1253" s="1" t="s">
        <v>12</v>
      </c>
      <c r="G1253">
        <v>65</v>
      </c>
      <c r="H1253">
        <v>35</v>
      </c>
      <c r="I1253" s="1" t="s">
        <v>164</v>
      </c>
      <c r="J1253">
        <v>2</v>
      </c>
      <c r="K1253" t="str">
        <f>IF(Tb_data[[#This Row],[previous_workers]]&lt;Tb_data[[#This Row],[workers]],"yes","no")</f>
        <v>yes</v>
      </c>
      <c r="L1253">
        <f>Tb_data[[#This Row],[workers]]-Tb_data[[#This Row],[previous_workers]]</f>
        <v>30</v>
      </c>
      <c r="M1253" s="12">
        <f>Tb_data[[#This Row],[Employees Growth]]/Tb_data[[#This Row],[previous_workers]]</f>
        <v>0.8571428571428571</v>
      </c>
    </row>
    <row r="1254" spans="1:13" x14ac:dyDescent="0.25">
      <c r="A1254" s="1" t="s">
        <v>9033</v>
      </c>
      <c r="B1254" s="1" t="s">
        <v>9034</v>
      </c>
      <c r="C1254" s="1">
        <v>3600000</v>
      </c>
      <c r="D1254" s="1" t="s">
        <v>29</v>
      </c>
      <c r="E1254">
        <v>66.197299999999998</v>
      </c>
      <c r="F1254" s="1" t="s">
        <v>112</v>
      </c>
      <c r="G1254">
        <v>20</v>
      </c>
      <c r="H1254">
        <v>14</v>
      </c>
      <c r="I1254" s="1" t="s">
        <v>1657</v>
      </c>
      <c r="J1254">
        <v>2</v>
      </c>
      <c r="K1254" t="str">
        <f>IF(Tb_data[[#This Row],[previous_workers]]&lt;Tb_data[[#This Row],[workers]],"yes","no")</f>
        <v>yes</v>
      </c>
      <c r="L1254">
        <f>Tb_data[[#This Row],[workers]]-Tb_data[[#This Row],[previous_workers]]</f>
        <v>6</v>
      </c>
      <c r="M1254" s="12">
        <f>Tb_data[[#This Row],[Employees Growth]]/Tb_data[[#This Row],[previous_workers]]</f>
        <v>0.42857142857142855</v>
      </c>
    </row>
    <row r="1255" spans="1:13" x14ac:dyDescent="0.25">
      <c r="A1255" s="1" t="s">
        <v>9061</v>
      </c>
      <c r="B1255" s="1" t="s">
        <v>9062</v>
      </c>
      <c r="C1255" s="1">
        <v>89300000</v>
      </c>
      <c r="D1255" s="1" t="s">
        <v>49</v>
      </c>
      <c r="E1255">
        <v>65.882300000000001</v>
      </c>
      <c r="F1255" s="1" t="s">
        <v>124</v>
      </c>
      <c r="G1255">
        <v>54</v>
      </c>
      <c r="H1255">
        <v>37</v>
      </c>
      <c r="I1255" s="1" t="s">
        <v>117</v>
      </c>
      <c r="J1255">
        <v>1</v>
      </c>
      <c r="K1255" t="str">
        <f>IF(Tb_data[[#This Row],[previous_workers]]&lt;Tb_data[[#This Row],[workers]],"yes","no")</f>
        <v>yes</v>
      </c>
      <c r="L1255">
        <f>Tb_data[[#This Row],[workers]]-Tb_data[[#This Row],[previous_workers]]</f>
        <v>17</v>
      </c>
      <c r="M1255" s="12">
        <f>Tb_data[[#This Row],[Employees Growth]]/Tb_data[[#This Row],[previous_workers]]</f>
        <v>0.45945945945945948</v>
      </c>
    </row>
    <row r="1256" spans="1:13" x14ac:dyDescent="0.25">
      <c r="A1256" s="1" t="s">
        <v>4391</v>
      </c>
      <c r="B1256" s="1" t="s">
        <v>4392</v>
      </c>
      <c r="C1256" s="1">
        <v>4600000</v>
      </c>
      <c r="D1256" s="1" t="s">
        <v>61</v>
      </c>
      <c r="E1256">
        <v>186.852</v>
      </c>
      <c r="F1256" s="1" t="s">
        <v>124</v>
      </c>
      <c r="G1256">
        <v>28</v>
      </c>
      <c r="H1256">
        <v>12</v>
      </c>
      <c r="I1256" s="1" t="s">
        <v>194</v>
      </c>
      <c r="J1256">
        <v>1</v>
      </c>
      <c r="K1256" t="str">
        <f>IF(Tb_data[[#This Row],[previous_workers]]&lt;Tb_data[[#This Row],[workers]],"yes","no")</f>
        <v>yes</v>
      </c>
      <c r="L1256">
        <f>Tb_data[[#This Row],[workers]]-Tb_data[[#This Row],[previous_workers]]</f>
        <v>16</v>
      </c>
      <c r="M1256" s="12">
        <f>Tb_data[[#This Row],[Employees Growth]]/Tb_data[[#This Row],[previous_workers]]</f>
        <v>1.3333333333333333</v>
      </c>
    </row>
    <row r="1257" spans="1:13" x14ac:dyDescent="0.25">
      <c r="A1257" s="1" t="s">
        <v>2603</v>
      </c>
      <c r="B1257" s="1" t="s">
        <v>2604</v>
      </c>
      <c r="C1257" s="1">
        <v>24800000</v>
      </c>
      <c r="D1257" s="1" t="s">
        <v>49</v>
      </c>
      <c r="E1257">
        <v>331.94830000000002</v>
      </c>
      <c r="F1257" s="1" t="s">
        <v>156</v>
      </c>
      <c r="G1257">
        <v>250</v>
      </c>
      <c r="H1257">
        <v>57</v>
      </c>
      <c r="I1257" s="1" t="s">
        <v>117</v>
      </c>
      <c r="J1257">
        <v>4</v>
      </c>
      <c r="K1257" t="str">
        <f>IF(Tb_data[[#This Row],[previous_workers]]&lt;Tb_data[[#This Row],[workers]],"yes","no")</f>
        <v>yes</v>
      </c>
      <c r="L1257">
        <f>Tb_data[[#This Row],[workers]]-Tb_data[[#This Row],[previous_workers]]</f>
        <v>193</v>
      </c>
      <c r="M1257" s="12">
        <f>Tb_data[[#This Row],[Employees Growth]]/Tb_data[[#This Row],[previous_workers]]</f>
        <v>3.3859649122807016</v>
      </c>
    </row>
    <row r="1258" spans="1:13" x14ac:dyDescent="0.25">
      <c r="A1258" s="1" t="s">
        <v>4200</v>
      </c>
      <c r="B1258" s="1" t="s">
        <v>4201</v>
      </c>
      <c r="C1258" s="1">
        <v>2100000</v>
      </c>
      <c r="D1258" s="1" t="s">
        <v>49</v>
      </c>
      <c r="E1258">
        <v>195.67330000000001</v>
      </c>
      <c r="F1258" s="1" t="s">
        <v>156</v>
      </c>
      <c r="G1258">
        <v>6</v>
      </c>
      <c r="H1258">
        <v>2</v>
      </c>
      <c r="I1258" s="1" t="s">
        <v>164</v>
      </c>
      <c r="J1258">
        <v>1</v>
      </c>
      <c r="K1258" t="str">
        <f>IF(Tb_data[[#This Row],[previous_workers]]&lt;Tb_data[[#This Row],[workers]],"yes","no")</f>
        <v>yes</v>
      </c>
      <c r="L1258">
        <f>Tb_data[[#This Row],[workers]]-Tb_data[[#This Row],[previous_workers]]</f>
        <v>4</v>
      </c>
      <c r="M1258" s="12">
        <f>Tb_data[[#This Row],[Employees Growth]]/Tb_data[[#This Row],[previous_workers]]</f>
        <v>2</v>
      </c>
    </row>
    <row r="1259" spans="1:13" x14ac:dyDescent="0.25">
      <c r="A1259" s="1" t="s">
        <v>8277</v>
      </c>
      <c r="B1259" s="1" t="s">
        <v>8278</v>
      </c>
      <c r="C1259" s="1">
        <v>17300000</v>
      </c>
      <c r="D1259" s="1" t="s">
        <v>38</v>
      </c>
      <c r="E1259">
        <v>78.032899999999998</v>
      </c>
      <c r="F1259" s="1" t="s">
        <v>34</v>
      </c>
      <c r="G1259">
        <v>135</v>
      </c>
      <c r="H1259">
        <v>80</v>
      </c>
      <c r="I1259" s="1" t="s">
        <v>117</v>
      </c>
      <c r="J1259">
        <v>2</v>
      </c>
      <c r="K1259" t="str">
        <f>IF(Tb_data[[#This Row],[previous_workers]]&lt;Tb_data[[#This Row],[workers]],"yes","no")</f>
        <v>yes</v>
      </c>
      <c r="L1259">
        <f>Tb_data[[#This Row],[workers]]-Tb_data[[#This Row],[previous_workers]]</f>
        <v>55</v>
      </c>
      <c r="M1259" s="12">
        <f>Tb_data[[#This Row],[Employees Growth]]/Tb_data[[#This Row],[previous_workers]]</f>
        <v>0.6875</v>
      </c>
    </row>
    <row r="1260" spans="1:13" x14ac:dyDescent="0.25">
      <c r="A1260" s="1" t="s">
        <v>853</v>
      </c>
      <c r="B1260" s="1" t="s">
        <v>854</v>
      </c>
      <c r="C1260" s="1">
        <v>7000000</v>
      </c>
      <c r="D1260" s="1" t="s">
        <v>91</v>
      </c>
      <c r="E1260">
        <v>1203.7642000000001</v>
      </c>
      <c r="F1260" s="1" t="s">
        <v>34</v>
      </c>
      <c r="G1260">
        <v>84</v>
      </c>
      <c r="H1260">
        <v>14</v>
      </c>
      <c r="I1260" s="1" t="s">
        <v>13</v>
      </c>
      <c r="J1260">
        <v>1</v>
      </c>
      <c r="K1260" t="str">
        <f>IF(Tb_data[[#This Row],[previous_workers]]&lt;Tb_data[[#This Row],[workers]],"yes","no")</f>
        <v>yes</v>
      </c>
      <c r="L1260">
        <f>Tb_data[[#This Row],[workers]]-Tb_data[[#This Row],[previous_workers]]</f>
        <v>70</v>
      </c>
      <c r="M1260" s="12">
        <f>Tb_data[[#This Row],[Employees Growth]]/Tb_data[[#This Row],[previous_workers]]</f>
        <v>5</v>
      </c>
    </row>
    <row r="1261" spans="1:13" x14ac:dyDescent="0.25">
      <c r="A1261" s="1" t="s">
        <v>4947</v>
      </c>
      <c r="B1261" s="1" t="s">
        <v>4948</v>
      </c>
      <c r="C1261" s="1">
        <v>46400000</v>
      </c>
      <c r="D1261" s="1" t="s">
        <v>79</v>
      </c>
      <c r="E1261">
        <v>164.2287</v>
      </c>
      <c r="F1261" s="1" t="s">
        <v>100</v>
      </c>
      <c r="G1261">
        <v>79</v>
      </c>
      <c r="H1261">
        <v>45</v>
      </c>
      <c r="I1261" s="1" t="s">
        <v>46</v>
      </c>
      <c r="J1261">
        <v>1</v>
      </c>
      <c r="K1261" t="str">
        <f>IF(Tb_data[[#This Row],[previous_workers]]&lt;Tb_data[[#This Row],[workers]],"yes","no")</f>
        <v>yes</v>
      </c>
      <c r="L1261">
        <f>Tb_data[[#This Row],[workers]]-Tb_data[[#This Row],[previous_workers]]</f>
        <v>34</v>
      </c>
      <c r="M1261" s="12">
        <f>Tb_data[[#This Row],[Employees Growth]]/Tb_data[[#This Row],[previous_workers]]</f>
        <v>0.75555555555555554</v>
      </c>
    </row>
    <row r="1262" spans="1:13" x14ac:dyDescent="0.25">
      <c r="A1262" s="1" t="s">
        <v>4058</v>
      </c>
      <c r="B1262" s="1" t="s">
        <v>4059</v>
      </c>
      <c r="C1262" s="1">
        <v>21500000</v>
      </c>
      <c r="D1262" s="1" t="s">
        <v>52</v>
      </c>
      <c r="E1262">
        <v>204.33150000000001</v>
      </c>
      <c r="F1262" s="1" t="s">
        <v>124</v>
      </c>
      <c r="G1262">
        <v>32</v>
      </c>
      <c r="H1262">
        <v>22</v>
      </c>
      <c r="I1262" s="1" t="s">
        <v>117</v>
      </c>
      <c r="J1262">
        <v>2</v>
      </c>
      <c r="K1262" t="str">
        <f>IF(Tb_data[[#This Row],[previous_workers]]&lt;Tb_data[[#This Row],[workers]],"yes","no")</f>
        <v>yes</v>
      </c>
      <c r="L1262">
        <f>Tb_data[[#This Row],[workers]]-Tb_data[[#This Row],[previous_workers]]</f>
        <v>10</v>
      </c>
      <c r="M1262" s="12">
        <f>Tb_data[[#This Row],[Employees Growth]]/Tb_data[[#This Row],[previous_workers]]</f>
        <v>0.45454545454545453</v>
      </c>
    </row>
    <row r="1263" spans="1:13" x14ac:dyDescent="0.25">
      <c r="A1263" s="1" t="s">
        <v>5650</v>
      </c>
      <c r="B1263" s="1" t="s">
        <v>5651</v>
      </c>
      <c r="C1263" s="1">
        <v>107900000</v>
      </c>
      <c r="D1263" s="1" t="s">
        <v>33</v>
      </c>
      <c r="E1263">
        <v>135.9786</v>
      </c>
      <c r="F1263" s="1" t="s">
        <v>34</v>
      </c>
      <c r="G1263">
        <v>940</v>
      </c>
      <c r="H1263">
        <v>562</v>
      </c>
      <c r="I1263" s="1" t="s">
        <v>147</v>
      </c>
      <c r="J1263">
        <v>1</v>
      </c>
      <c r="K1263" t="str">
        <f>IF(Tb_data[[#This Row],[previous_workers]]&lt;Tb_data[[#This Row],[workers]],"yes","no")</f>
        <v>yes</v>
      </c>
      <c r="L1263">
        <f>Tb_data[[#This Row],[workers]]-Tb_data[[#This Row],[previous_workers]]</f>
        <v>378</v>
      </c>
      <c r="M1263" s="12">
        <f>Tb_data[[#This Row],[Employees Growth]]/Tb_data[[#This Row],[previous_workers]]</f>
        <v>0.67259786476868333</v>
      </c>
    </row>
    <row r="1264" spans="1:13" x14ac:dyDescent="0.25">
      <c r="A1264" s="1" t="s">
        <v>6627</v>
      </c>
      <c r="B1264" s="1" t="s">
        <v>6628</v>
      </c>
      <c r="C1264" s="1">
        <v>2300000</v>
      </c>
      <c r="D1264" s="1" t="s">
        <v>41</v>
      </c>
      <c r="E1264">
        <v>110.86799999999999</v>
      </c>
      <c r="F1264" s="1" t="s">
        <v>34</v>
      </c>
      <c r="G1264">
        <v>14</v>
      </c>
      <c r="H1264">
        <v>9</v>
      </c>
      <c r="I1264" s="1" t="s">
        <v>74</v>
      </c>
      <c r="J1264">
        <v>1</v>
      </c>
      <c r="K1264" t="str">
        <f>IF(Tb_data[[#This Row],[previous_workers]]&lt;Tb_data[[#This Row],[workers]],"yes","no")</f>
        <v>yes</v>
      </c>
      <c r="L1264">
        <f>Tb_data[[#This Row],[workers]]-Tb_data[[#This Row],[previous_workers]]</f>
        <v>5</v>
      </c>
      <c r="M1264" s="12">
        <f>Tb_data[[#This Row],[Employees Growth]]/Tb_data[[#This Row],[previous_workers]]</f>
        <v>0.55555555555555558</v>
      </c>
    </row>
    <row r="1265" spans="1:13" x14ac:dyDescent="0.25">
      <c r="A1265" s="1" t="s">
        <v>8283</v>
      </c>
      <c r="B1265" s="1" t="s">
        <v>8284</v>
      </c>
      <c r="C1265" s="1">
        <v>37300000</v>
      </c>
      <c r="D1265" s="1" t="s">
        <v>1002</v>
      </c>
      <c r="E1265">
        <v>77.983699999999999</v>
      </c>
      <c r="F1265" s="1" t="s">
        <v>17</v>
      </c>
      <c r="G1265">
        <v>33</v>
      </c>
      <c r="H1265">
        <v>20</v>
      </c>
      <c r="I1265" s="1" t="s">
        <v>4062</v>
      </c>
      <c r="J1265">
        <v>1</v>
      </c>
      <c r="K1265" t="str">
        <f>IF(Tb_data[[#This Row],[previous_workers]]&lt;Tb_data[[#This Row],[workers]],"yes","no")</f>
        <v>yes</v>
      </c>
      <c r="L1265">
        <f>Tb_data[[#This Row],[workers]]-Tb_data[[#This Row],[previous_workers]]</f>
        <v>13</v>
      </c>
      <c r="M1265" s="12">
        <f>Tb_data[[#This Row],[Employees Growth]]/Tb_data[[#This Row],[previous_workers]]</f>
        <v>0.65</v>
      </c>
    </row>
    <row r="1266" spans="1:13" x14ac:dyDescent="0.25">
      <c r="A1266" s="1" t="s">
        <v>5960</v>
      </c>
      <c r="B1266" s="1" t="s">
        <v>5961</v>
      </c>
      <c r="C1266" s="1">
        <v>2000000</v>
      </c>
      <c r="D1266" s="1" t="s">
        <v>33</v>
      </c>
      <c r="E1266">
        <v>127.4988</v>
      </c>
      <c r="F1266" s="1" t="s">
        <v>12</v>
      </c>
      <c r="G1266">
        <v>14</v>
      </c>
      <c r="H1266">
        <v>6</v>
      </c>
      <c r="I1266" s="1" t="s">
        <v>372</v>
      </c>
      <c r="J1266">
        <v>1</v>
      </c>
      <c r="K1266" t="str">
        <f>IF(Tb_data[[#This Row],[previous_workers]]&lt;Tb_data[[#This Row],[workers]],"yes","no")</f>
        <v>yes</v>
      </c>
      <c r="L1266">
        <f>Tb_data[[#This Row],[workers]]-Tb_data[[#This Row],[previous_workers]]</f>
        <v>8</v>
      </c>
      <c r="M1266" s="12">
        <f>Tb_data[[#This Row],[Employees Growth]]/Tb_data[[#This Row],[previous_workers]]</f>
        <v>1.3333333333333333</v>
      </c>
    </row>
    <row r="1267" spans="1:13" x14ac:dyDescent="0.25">
      <c r="A1267" s="1" t="s">
        <v>6924</v>
      </c>
      <c r="B1267" s="1" t="s">
        <v>6925</v>
      </c>
      <c r="C1267" s="1">
        <v>2300000</v>
      </c>
      <c r="D1267" s="1" t="s">
        <v>664</v>
      </c>
      <c r="E1267">
        <v>103.5829</v>
      </c>
      <c r="F1267" s="1" t="s">
        <v>124</v>
      </c>
      <c r="G1267">
        <v>6</v>
      </c>
      <c r="H1267">
        <v>3</v>
      </c>
      <c r="I1267" s="1" t="s">
        <v>55</v>
      </c>
      <c r="J1267">
        <v>1</v>
      </c>
      <c r="K1267" t="str">
        <f>IF(Tb_data[[#This Row],[previous_workers]]&lt;Tb_data[[#This Row],[workers]],"yes","no")</f>
        <v>yes</v>
      </c>
      <c r="L1267">
        <f>Tb_data[[#This Row],[workers]]-Tb_data[[#This Row],[previous_workers]]</f>
        <v>3</v>
      </c>
      <c r="M1267" s="12">
        <f>Tb_data[[#This Row],[Employees Growth]]/Tb_data[[#This Row],[previous_workers]]</f>
        <v>1</v>
      </c>
    </row>
    <row r="1268" spans="1:13" x14ac:dyDescent="0.25">
      <c r="A1268" s="1" t="s">
        <v>780</v>
      </c>
      <c r="B1268" s="1" t="s">
        <v>781</v>
      </c>
      <c r="C1268" s="1">
        <v>7200000</v>
      </c>
      <c r="D1268" s="1" t="s">
        <v>11</v>
      </c>
      <c r="E1268">
        <v>1329.1786999999999</v>
      </c>
      <c r="F1268" s="1" t="s">
        <v>176</v>
      </c>
      <c r="G1268">
        <v>230</v>
      </c>
      <c r="H1268">
        <v>16</v>
      </c>
      <c r="I1268" s="1" t="s">
        <v>13</v>
      </c>
      <c r="J1268">
        <v>1</v>
      </c>
      <c r="K1268" t="str">
        <f>IF(Tb_data[[#This Row],[previous_workers]]&lt;Tb_data[[#This Row],[workers]],"yes","no")</f>
        <v>yes</v>
      </c>
      <c r="L1268">
        <f>Tb_data[[#This Row],[workers]]-Tb_data[[#This Row],[previous_workers]]</f>
        <v>214</v>
      </c>
      <c r="M1268" s="12">
        <f>Tb_data[[#This Row],[Employees Growth]]/Tb_data[[#This Row],[previous_workers]]</f>
        <v>13.375</v>
      </c>
    </row>
    <row r="1269" spans="1:13" x14ac:dyDescent="0.25">
      <c r="A1269" s="1" t="s">
        <v>8632</v>
      </c>
      <c r="B1269" s="1" t="s">
        <v>8633</v>
      </c>
      <c r="C1269" s="1">
        <v>10000000</v>
      </c>
      <c r="D1269" s="1" t="s">
        <v>115</v>
      </c>
      <c r="E1269">
        <v>72.055099999999996</v>
      </c>
      <c r="F1269" s="1" t="s">
        <v>86</v>
      </c>
      <c r="G1269">
        <v>70</v>
      </c>
      <c r="H1269">
        <v>57</v>
      </c>
      <c r="I1269" s="1" t="s">
        <v>295</v>
      </c>
      <c r="J1269">
        <v>1</v>
      </c>
      <c r="K1269" t="str">
        <f>IF(Tb_data[[#This Row],[previous_workers]]&lt;Tb_data[[#This Row],[workers]],"yes","no")</f>
        <v>yes</v>
      </c>
      <c r="L1269">
        <f>Tb_data[[#This Row],[workers]]-Tb_data[[#This Row],[previous_workers]]</f>
        <v>13</v>
      </c>
      <c r="M1269" s="12">
        <f>Tb_data[[#This Row],[Employees Growth]]/Tb_data[[#This Row],[previous_workers]]</f>
        <v>0.22807017543859648</v>
      </c>
    </row>
    <row r="1270" spans="1:13" x14ac:dyDescent="0.25">
      <c r="A1270" s="1" t="s">
        <v>3111</v>
      </c>
      <c r="B1270" s="1" t="s">
        <v>3112</v>
      </c>
      <c r="C1270" s="1">
        <v>39000000</v>
      </c>
      <c r="D1270" s="1" t="s">
        <v>254</v>
      </c>
      <c r="E1270">
        <v>276.25029999999998</v>
      </c>
      <c r="F1270" s="1" t="s">
        <v>86</v>
      </c>
      <c r="G1270">
        <v>433</v>
      </c>
      <c r="H1270">
        <v>155</v>
      </c>
      <c r="I1270" s="1" t="s">
        <v>46</v>
      </c>
      <c r="J1270">
        <v>7</v>
      </c>
      <c r="K1270" t="str">
        <f>IF(Tb_data[[#This Row],[previous_workers]]&lt;Tb_data[[#This Row],[workers]],"yes","no")</f>
        <v>yes</v>
      </c>
      <c r="L1270">
        <f>Tb_data[[#This Row],[workers]]-Tb_data[[#This Row],[previous_workers]]</f>
        <v>278</v>
      </c>
      <c r="M1270" s="12">
        <f>Tb_data[[#This Row],[Employees Growth]]/Tb_data[[#This Row],[previous_workers]]</f>
        <v>1.7935483870967741</v>
      </c>
    </row>
    <row r="1271" spans="1:13" x14ac:dyDescent="0.25">
      <c r="A1271" s="1" t="s">
        <v>5910</v>
      </c>
      <c r="B1271" s="1" t="s">
        <v>5911</v>
      </c>
      <c r="C1271" s="1">
        <v>8100000</v>
      </c>
      <c r="D1271" s="1" t="s">
        <v>52</v>
      </c>
      <c r="E1271">
        <v>128.75129999999999</v>
      </c>
      <c r="F1271" s="1" t="s">
        <v>310</v>
      </c>
      <c r="G1271">
        <v>20</v>
      </c>
      <c r="H1271">
        <v>7</v>
      </c>
      <c r="I1271" s="1" t="s">
        <v>948</v>
      </c>
      <c r="J1271">
        <v>6</v>
      </c>
      <c r="K1271" t="str">
        <f>IF(Tb_data[[#This Row],[previous_workers]]&lt;Tb_data[[#This Row],[workers]],"yes","no")</f>
        <v>yes</v>
      </c>
      <c r="L1271">
        <f>Tb_data[[#This Row],[workers]]-Tb_data[[#This Row],[previous_workers]]</f>
        <v>13</v>
      </c>
      <c r="M1271" s="12">
        <f>Tb_data[[#This Row],[Employees Growth]]/Tb_data[[#This Row],[previous_workers]]</f>
        <v>1.8571428571428572</v>
      </c>
    </row>
    <row r="1272" spans="1:13" x14ac:dyDescent="0.25">
      <c r="A1272" s="1" t="s">
        <v>7333</v>
      </c>
      <c r="B1272" s="1" t="s">
        <v>7334</v>
      </c>
      <c r="C1272" s="1">
        <v>7100000</v>
      </c>
      <c r="D1272" s="1" t="s">
        <v>49</v>
      </c>
      <c r="E1272">
        <v>96.414199999999994</v>
      </c>
      <c r="F1272" s="1" t="s">
        <v>135</v>
      </c>
      <c r="G1272">
        <v>55</v>
      </c>
      <c r="H1272">
        <v>32</v>
      </c>
      <c r="I1272" s="1" t="s">
        <v>372</v>
      </c>
      <c r="J1272">
        <v>2</v>
      </c>
      <c r="K1272" t="str">
        <f>IF(Tb_data[[#This Row],[previous_workers]]&lt;Tb_data[[#This Row],[workers]],"yes","no")</f>
        <v>yes</v>
      </c>
      <c r="L1272">
        <f>Tb_data[[#This Row],[workers]]-Tb_data[[#This Row],[previous_workers]]</f>
        <v>23</v>
      </c>
      <c r="M1272" s="12">
        <f>Tb_data[[#This Row],[Employees Growth]]/Tb_data[[#This Row],[previous_workers]]</f>
        <v>0.71875</v>
      </c>
    </row>
    <row r="1273" spans="1:13" x14ac:dyDescent="0.25">
      <c r="A1273" s="1" t="s">
        <v>4499</v>
      </c>
      <c r="B1273" s="1" t="s">
        <v>4500</v>
      </c>
      <c r="C1273" s="1">
        <v>27500000</v>
      </c>
      <c r="D1273" s="1" t="s">
        <v>91</v>
      </c>
      <c r="E1273">
        <v>182.44460000000001</v>
      </c>
      <c r="F1273" s="1" t="s">
        <v>62</v>
      </c>
      <c r="G1273">
        <v>19</v>
      </c>
      <c r="H1273">
        <v>14</v>
      </c>
      <c r="I1273" s="1" t="s">
        <v>117</v>
      </c>
      <c r="J1273">
        <v>3</v>
      </c>
      <c r="K1273" t="str">
        <f>IF(Tb_data[[#This Row],[previous_workers]]&lt;Tb_data[[#This Row],[workers]],"yes","no")</f>
        <v>yes</v>
      </c>
      <c r="L1273">
        <f>Tb_data[[#This Row],[workers]]-Tb_data[[#This Row],[previous_workers]]</f>
        <v>5</v>
      </c>
      <c r="M1273" s="12">
        <f>Tb_data[[#This Row],[Employees Growth]]/Tb_data[[#This Row],[previous_workers]]</f>
        <v>0.35714285714285715</v>
      </c>
    </row>
    <row r="1274" spans="1:13" x14ac:dyDescent="0.25">
      <c r="A1274" s="1" t="s">
        <v>6665</v>
      </c>
      <c r="B1274" s="1" t="s">
        <v>6666</v>
      </c>
      <c r="C1274" s="1">
        <v>6900000</v>
      </c>
      <c r="D1274" s="1" t="s">
        <v>41</v>
      </c>
      <c r="E1274">
        <v>109.9004</v>
      </c>
      <c r="F1274" s="1" t="s">
        <v>135</v>
      </c>
      <c r="G1274">
        <v>42</v>
      </c>
      <c r="H1274">
        <v>27</v>
      </c>
      <c r="I1274" s="1" t="s">
        <v>372</v>
      </c>
      <c r="J1274">
        <v>3</v>
      </c>
      <c r="K1274" t="str">
        <f>IF(Tb_data[[#This Row],[previous_workers]]&lt;Tb_data[[#This Row],[workers]],"yes","no")</f>
        <v>yes</v>
      </c>
      <c r="L1274">
        <f>Tb_data[[#This Row],[workers]]-Tb_data[[#This Row],[previous_workers]]</f>
        <v>15</v>
      </c>
      <c r="M1274" s="12">
        <f>Tb_data[[#This Row],[Employees Growth]]/Tb_data[[#This Row],[previous_workers]]</f>
        <v>0.55555555555555558</v>
      </c>
    </row>
    <row r="1275" spans="1:13" x14ac:dyDescent="0.25">
      <c r="A1275" s="1" t="s">
        <v>5680</v>
      </c>
      <c r="B1275" s="1" t="s">
        <v>5681</v>
      </c>
      <c r="C1275" s="1">
        <v>14100000</v>
      </c>
      <c r="D1275" s="1" t="s">
        <v>29</v>
      </c>
      <c r="E1275">
        <v>135.0308</v>
      </c>
      <c r="F1275" s="1" t="s">
        <v>112</v>
      </c>
      <c r="G1275">
        <v>67</v>
      </c>
      <c r="H1275">
        <v>38</v>
      </c>
      <c r="I1275" s="1" t="s">
        <v>948</v>
      </c>
      <c r="J1275">
        <v>7</v>
      </c>
      <c r="K1275" t="str">
        <f>IF(Tb_data[[#This Row],[previous_workers]]&lt;Tb_data[[#This Row],[workers]],"yes","no")</f>
        <v>yes</v>
      </c>
      <c r="L1275">
        <f>Tb_data[[#This Row],[workers]]-Tb_data[[#This Row],[previous_workers]]</f>
        <v>29</v>
      </c>
      <c r="M1275" s="12">
        <f>Tb_data[[#This Row],[Employees Growth]]/Tb_data[[#This Row],[previous_workers]]</f>
        <v>0.76315789473684215</v>
      </c>
    </row>
    <row r="1276" spans="1:13" x14ac:dyDescent="0.25">
      <c r="A1276" s="1" t="s">
        <v>2705</v>
      </c>
      <c r="B1276" s="1" t="s">
        <v>2706</v>
      </c>
      <c r="C1276" s="1">
        <v>4300000</v>
      </c>
      <c r="D1276" s="1" t="s">
        <v>45</v>
      </c>
      <c r="E1276">
        <v>318.4024</v>
      </c>
      <c r="F1276" s="1" t="s">
        <v>30</v>
      </c>
      <c r="G1276">
        <v>15</v>
      </c>
      <c r="H1276">
        <v>4</v>
      </c>
      <c r="I1276" s="1" t="s">
        <v>55</v>
      </c>
      <c r="J1276">
        <v>2</v>
      </c>
      <c r="K1276" t="str">
        <f>IF(Tb_data[[#This Row],[previous_workers]]&lt;Tb_data[[#This Row],[workers]],"yes","no")</f>
        <v>yes</v>
      </c>
      <c r="L1276">
        <f>Tb_data[[#This Row],[workers]]-Tb_data[[#This Row],[previous_workers]]</f>
        <v>11</v>
      </c>
      <c r="M1276" s="12">
        <f>Tb_data[[#This Row],[Employees Growth]]/Tb_data[[#This Row],[previous_workers]]</f>
        <v>2.75</v>
      </c>
    </row>
    <row r="1277" spans="1:13" x14ac:dyDescent="0.25">
      <c r="A1277" s="1" t="s">
        <v>6853</v>
      </c>
      <c r="B1277" s="1" t="s">
        <v>6854</v>
      </c>
      <c r="C1277" s="1">
        <v>3400000</v>
      </c>
      <c r="D1277" s="1" t="s">
        <v>45</v>
      </c>
      <c r="E1277">
        <v>105.495</v>
      </c>
      <c r="F1277" s="1" t="s">
        <v>86</v>
      </c>
      <c r="G1277">
        <v>21</v>
      </c>
      <c r="H1277">
        <v>15</v>
      </c>
      <c r="I1277" s="1" t="s">
        <v>55</v>
      </c>
      <c r="J1277">
        <v>1</v>
      </c>
      <c r="K1277" t="str">
        <f>IF(Tb_data[[#This Row],[previous_workers]]&lt;Tb_data[[#This Row],[workers]],"yes","no")</f>
        <v>yes</v>
      </c>
      <c r="L1277">
        <f>Tb_data[[#This Row],[workers]]-Tb_data[[#This Row],[previous_workers]]</f>
        <v>6</v>
      </c>
      <c r="M1277" s="12">
        <f>Tb_data[[#This Row],[Employees Growth]]/Tb_data[[#This Row],[previous_workers]]</f>
        <v>0.4</v>
      </c>
    </row>
    <row r="1278" spans="1:13" x14ac:dyDescent="0.25">
      <c r="A1278" s="1" t="s">
        <v>7649</v>
      </c>
      <c r="B1278" s="1" t="s">
        <v>7650</v>
      </c>
      <c r="C1278" s="1">
        <v>2500000</v>
      </c>
      <c r="D1278" s="1" t="s">
        <v>33</v>
      </c>
      <c r="E1278">
        <v>89.009799999999998</v>
      </c>
      <c r="F1278" s="1" t="s">
        <v>156</v>
      </c>
      <c r="G1278">
        <v>19</v>
      </c>
      <c r="H1278">
        <v>13</v>
      </c>
      <c r="I1278" s="1" t="s">
        <v>35</v>
      </c>
      <c r="J1278">
        <v>2</v>
      </c>
      <c r="K1278" t="str">
        <f>IF(Tb_data[[#This Row],[previous_workers]]&lt;Tb_data[[#This Row],[workers]],"yes","no")</f>
        <v>yes</v>
      </c>
      <c r="L1278">
        <f>Tb_data[[#This Row],[workers]]-Tb_data[[#This Row],[previous_workers]]</f>
        <v>6</v>
      </c>
      <c r="M1278" s="12">
        <f>Tb_data[[#This Row],[Employees Growth]]/Tb_data[[#This Row],[previous_workers]]</f>
        <v>0.46153846153846156</v>
      </c>
    </row>
    <row r="1279" spans="1:13" x14ac:dyDescent="0.25">
      <c r="A1279" s="1" t="s">
        <v>3493</v>
      </c>
      <c r="B1279" s="1" t="s">
        <v>3494</v>
      </c>
      <c r="C1279" s="1">
        <v>2200000</v>
      </c>
      <c r="D1279" s="1" t="s">
        <v>33</v>
      </c>
      <c r="E1279">
        <v>243.17150000000001</v>
      </c>
      <c r="F1279" s="1" t="s">
        <v>12</v>
      </c>
      <c r="G1279">
        <v>11</v>
      </c>
      <c r="H1279">
        <v>7</v>
      </c>
      <c r="I1279" s="1" t="s">
        <v>164</v>
      </c>
      <c r="J1279">
        <v>1</v>
      </c>
      <c r="K1279" t="str">
        <f>IF(Tb_data[[#This Row],[previous_workers]]&lt;Tb_data[[#This Row],[workers]],"yes","no")</f>
        <v>yes</v>
      </c>
      <c r="L1279">
        <f>Tb_data[[#This Row],[workers]]-Tb_data[[#This Row],[previous_workers]]</f>
        <v>4</v>
      </c>
      <c r="M1279" s="12">
        <f>Tb_data[[#This Row],[Employees Growth]]/Tb_data[[#This Row],[previous_workers]]</f>
        <v>0.5714285714285714</v>
      </c>
    </row>
    <row r="1280" spans="1:13" x14ac:dyDescent="0.25">
      <c r="A1280" s="1" t="s">
        <v>6962</v>
      </c>
      <c r="B1280" s="1" t="s">
        <v>6963</v>
      </c>
      <c r="C1280" s="1">
        <v>2000000</v>
      </c>
      <c r="D1280" s="1" t="s">
        <v>33</v>
      </c>
      <c r="E1280">
        <v>102.5932</v>
      </c>
      <c r="F1280" s="1" t="s">
        <v>12</v>
      </c>
      <c r="G1280">
        <v>13</v>
      </c>
      <c r="H1280">
        <v>8</v>
      </c>
      <c r="I1280" s="1" t="s">
        <v>164</v>
      </c>
      <c r="J1280">
        <v>1</v>
      </c>
      <c r="K1280" t="str">
        <f>IF(Tb_data[[#This Row],[previous_workers]]&lt;Tb_data[[#This Row],[workers]],"yes","no")</f>
        <v>yes</v>
      </c>
      <c r="L1280">
        <f>Tb_data[[#This Row],[workers]]-Tb_data[[#This Row],[previous_workers]]</f>
        <v>5</v>
      </c>
      <c r="M1280" s="12">
        <f>Tb_data[[#This Row],[Employees Growth]]/Tb_data[[#This Row],[previous_workers]]</f>
        <v>0.625</v>
      </c>
    </row>
    <row r="1281" spans="1:13" x14ac:dyDescent="0.25">
      <c r="A1281" s="1" t="s">
        <v>2432</v>
      </c>
      <c r="B1281" s="1" t="s">
        <v>2433</v>
      </c>
      <c r="C1281" s="1">
        <v>2100000</v>
      </c>
      <c r="D1281" s="1" t="s">
        <v>129</v>
      </c>
      <c r="E1281">
        <v>358.50700000000001</v>
      </c>
      <c r="F1281" s="1" t="s">
        <v>97</v>
      </c>
      <c r="G1281">
        <v>18</v>
      </c>
      <c r="H1281">
        <v>4</v>
      </c>
      <c r="I1281" s="1" t="s">
        <v>26</v>
      </c>
      <c r="J1281">
        <v>1</v>
      </c>
      <c r="K1281" t="str">
        <f>IF(Tb_data[[#This Row],[previous_workers]]&lt;Tb_data[[#This Row],[workers]],"yes","no")</f>
        <v>yes</v>
      </c>
      <c r="L1281">
        <f>Tb_data[[#This Row],[workers]]-Tb_data[[#This Row],[previous_workers]]</f>
        <v>14</v>
      </c>
      <c r="M1281" s="12">
        <f>Tb_data[[#This Row],[Employees Growth]]/Tb_data[[#This Row],[previous_workers]]</f>
        <v>3.5</v>
      </c>
    </row>
    <row r="1282" spans="1:13" x14ac:dyDescent="0.25">
      <c r="A1282" s="1" t="s">
        <v>1226</v>
      </c>
      <c r="B1282" s="1" t="s">
        <v>1227</v>
      </c>
      <c r="C1282" s="1">
        <v>6900000</v>
      </c>
      <c r="D1282" s="1" t="s">
        <v>61</v>
      </c>
      <c r="E1282">
        <v>786.74959999999999</v>
      </c>
      <c r="F1282" s="1" t="s">
        <v>12</v>
      </c>
      <c r="G1282">
        <v>32</v>
      </c>
      <c r="H1282">
        <v>4</v>
      </c>
      <c r="I1282" s="1" t="s">
        <v>26</v>
      </c>
      <c r="J1282">
        <v>2</v>
      </c>
      <c r="K1282" t="str">
        <f>IF(Tb_data[[#This Row],[previous_workers]]&lt;Tb_data[[#This Row],[workers]],"yes","no")</f>
        <v>yes</v>
      </c>
      <c r="L1282">
        <f>Tb_data[[#This Row],[workers]]-Tb_data[[#This Row],[previous_workers]]</f>
        <v>28</v>
      </c>
      <c r="M1282" s="12">
        <f>Tb_data[[#This Row],[Employees Growth]]/Tb_data[[#This Row],[previous_workers]]</f>
        <v>7</v>
      </c>
    </row>
    <row r="1283" spans="1:13" x14ac:dyDescent="0.25">
      <c r="A1283" s="1" t="s">
        <v>4357</v>
      </c>
      <c r="B1283" s="1" t="s">
        <v>4358</v>
      </c>
      <c r="C1283" s="1">
        <v>156200000</v>
      </c>
      <c r="D1283" s="1" t="s">
        <v>33</v>
      </c>
      <c r="E1283">
        <v>188.18199999999999</v>
      </c>
      <c r="F1283" s="1" t="s">
        <v>12</v>
      </c>
      <c r="G1283">
        <v>335</v>
      </c>
      <c r="H1283">
        <v>49</v>
      </c>
      <c r="I1283" s="1" t="s">
        <v>130</v>
      </c>
      <c r="J1283">
        <v>6</v>
      </c>
      <c r="K1283" t="str">
        <f>IF(Tb_data[[#This Row],[previous_workers]]&lt;Tb_data[[#This Row],[workers]],"yes","no")</f>
        <v>yes</v>
      </c>
      <c r="L1283">
        <f>Tb_data[[#This Row],[workers]]-Tb_data[[#This Row],[previous_workers]]</f>
        <v>286</v>
      </c>
      <c r="M1283" s="12">
        <f>Tb_data[[#This Row],[Employees Growth]]/Tb_data[[#This Row],[previous_workers]]</f>
        <v>5.8367346938775508</v>
      </c>
    </row>
    <row r="1284" spans="1:13" x14ac:dyDescent="0.25">
      <c r="A1284" s="1" t="s">
        <v>5562</v>
      </c>
      <c r="B1284" s="1" t="s">
        <v>5563</v>
      </c>
      <c r="C1284" s="1">
        <v>8100000</v>
      </c>
      <c r="D1284" s="1" t="s">
        <v>20</v>
      </c>
      <c r="E1284">
        <v>140.04730000000001</v>
      </c>
      <c r="F1284" s="1" t="s">
        <v>12</v>
      </c>
      <c r="G1284">
        <v>41</v>
      </c>
      <c r="H1284">
        <v>20</v>
      </c>
      <c r="I1284" s="1" t="s">
        <v>55</v>
      </c>
      <c r="J1284">
        <v>2</v>
      </c>
      <c r="K1284" t="str">
        <f>IF(Tb_data[[#This Row],[previous_workers]]&lt;Tb_data[[#This Row],[workers]],"yes","no")</f>
        <v>yes</v>
      </c>
      <c r="L1284">
        <f>Tb_data[[#This Row],[workers]]-Tb_data[[#This Row],[previous_workers]]</f>
        <v>21</v>
      </c>
      <c r="M1284" s="12">
        <f>Tb_data[[#This Row],[Employees Growth]]/Tb_data[[#This Row],[previous_workers]]</f>
        <v>1.05</v>
      </c>
    </row>
    <row r="1285" spans="1:13" x14ac:dyDescent="0.25">
      <c r="A1285" s="1" t="s">
        <v>2566</v>
      </c>
      <c r="B1285" s="1" t="s">
        <v>2567</v>
      </c>
      <c r="C1285" s="1">
        <v>6300000</v>
      </c>
      <c r="D1285" s="1" t="s">
        <v>2568</v>
      </c>
      <c r="E1285">
        <v>335.94510000000002</v>
      </c>
      <c r="F1285" s="1" t="s">
        <v>12</v>
      </c>
      <c r="G1285">
        <v>19</v>
      </c>
      <c r="H1285">
        <v>5</v>
      </c>
      <c r="I1285" s="1" t="s">
        <v>117</v>
      </c>
      <c r="J1285">
        <v>2</v>
      </c>
      <c r="K1285" t="str">
        <f>IF(Tb_data[[#This Row],[previous_workers]]&lt;Tb_data[[#This Row],[workers]],"yes","no")</f>
        <v>yes</v>
      </c>
      <c r="L1285">
        <f>Tb_data[[#This Row],[workers]]-Tb_data[[#This Row],[previous_workers]]</f>
        <v>14</v>
      </c>
      <c r="M1285" s="12">
        <f>Tb_data[[#This Row],[Employees Growth]]/Tb_data[[#This Row],[previous_workers]]</f>
        <v>2.8</v>
      </c>
    </row>
    <row r="1286" spans="1:13" x14ac:dyDescent="0.25">
      <c r="A1286" s="1" t="s">
        <v>757</v>
      </c>
      <c r="B1286" s="1" t="s">
        <v>758</v>
      </c>
      <c r="C1286" s="1">
        <v>4000000</v>
      </c>
      <c r="D1286" s="1" t="s">
        <v>33</v>
      </c>
      <c r="E1286">
        <v>1399.7156</v>
      </c>
      <c r="F1286" s="1" t="s">
        <v>12</v>
      </c>
      <c r="G1286">
        <v>38</v>
      </c>
      <c r="H1286">
        <v>1</v>
      </c>
      <c r="I1286" s="1" t="s">
        <v>26</v>
      </c>
      <c r="J1286">
        <v>2</v>
      </c>
      <c r="K1286" t="str">
        <f>IF(Tb_data[[#This Row],[previous_workers]]&lt;Tb_data[[#This Row],[workers]],"yes","no")</f>
        <v>yes</v>
      </c>
      <c r="L1286">
        <f>Tb_data[[#This Row],[workers]]-Tb_data[[#This Row],[previous_workers]]</f>
        <v>37</v>
      </c>
      <c r="M1286" s="12">
        <f>Tb_data[[#This Row],[Employees Growth]]/Tb_data[[#This Row],[previous_workers]]</f>
        <v>37</v>
      </c>
    </row>
    <row r="1287" spans="1:13" x14ac:dyDescent="0.25">
      <c r="A1287" s="1" t="s">
        <v>308</v>
      </c>
      <c r="B1287" s="1" t="s">
        <v>309</v>
      </c>
      <c r="C1287" s="1">
        <v>3100000</v>
      </c>
      <c r="D1287" s="1" t="s">
        <v>69</v>
      </c>
      <c r="E1287">
        <v>2957.3530000000001</v>
      </c>
      <c r="F1287" s="1" t="s">
        <v>310</v>
      </c>
      <c r="G1287">
        <v>30</v>
      </c>
      <c r="H1287">
        <v>3</v>
      </c>
      <c r="I1287" s="1" t="s">
        <v>13</v>
      </c>
      <c r="J1287">
        <v>1</v>
      </c>
      <c r="K1287" t="str">
        <f>IF(Tb_data[[#This Row],[previous_workers]]&lt;Tb_data[[#This Row],[workers]],"yes","no")</f>
        <v>yes</v>
      </c>
      <c r="L1287">
        <f>Tb_data[[#This Row],[workers]]-Tb_data[[#This Row],[previous_workers]]</f>
        <v>27</v>
      </c>
      <c r="M1287" s="12">
        <f>Tb_data[[#This Row],[Employees Growth]]/Tb_data[[#This Row],[previous_workers]]</f>
        <v>9</v>
      </c>
    </row>
    <row r="1288" spans="1:13" x14ac:dyDescent="0.25">
      <c r="A1288" s="1" t="s">
        <v>250</v>
      </c>
      <c r="B1288" s="1" t="s">
        <v>251</v>
      </c>
      <c r="C1288" s="1">
        <v>10400000</v>
      </c>
      <c r="D1288" s="1" t="s">
        <v>49</v>
      </c>
      <c r="E1288">
        <v>3534.7662999999998</v>
      </c>
      <c r="F1288" s="1" t="s">
        <v>135</v>
      </c>
      <c r="G1288">
        <v>178</v>
      </c>
      <c r="H1288">
        <v>11</v>
      </c>
      <c r="I1288" s="1" t="s">
        <v>13</v>
      </c>
      <c r="J1288">
        <v>2</v>
      </c>
      <c r="K1288" t="str">
        <f>IF(Tb_data[[#This Row],[previous_workers]]&lt;Tb_data[[#This Row],[workers]],"yes","no")</f>
        <v>yes</v>
      </c>
      <c r="L1288">
        <f>Tb_data[[#This Row],[workers]]-Tb_data[[#This Row],[previous_workers]]</f>
        <v>167</v>
      </c>
      <c r="M1288" s="12">
        <f>Tb_data[[#This Row],[Employees Growth]]/Tb_data[[#This Row],[previous_workers]]</f>
        <v>15.181818181818182</v>
      </c>
    </row>
    <row r="1289" spans="1:13" x14ac:dyDescent="0.25">
      <c r="A1289" s="1" t="s">
        <v>2995</v>
      </c>
      <c r="B1289" s="1" t="s">
        <v>2996</v>
      </c>
      <c r="C1289" s="1">
        <v>16200000</v>
      </c>
      <c r="D1289" s="1" t="s">
        <v>41</v>
      </c>
      <c r="E1289">
        <v>287.89299999999997</v>
      </c>
      <c r="F1289" s="1" t="s">
        <v>97</v>
      </c>
      <c r="G1289">
        <v>105</v>
      </c>
      <c r="H1289">
        <v>20</v>
      </c>
      <c r="I1289" s="1" t="s">
        <v>295</v>
      </c>
      <c r="J1289">
        <v>5</v>
      </c>
      <c r="K1289" t="str">
        <f>IF(Tb_data[[#This Row],[previous_workers]]&lt;Tb_data[[#This Row],[workers]],"yes","no")</f>
        <v>yes</v>
      </c>
      <c r="L1289">
        <f>Tb_data[[#This Row],[workers]]-Tb_data[[#This Row],[previous_workers]]</f>
        <v>85</v>
      </c>
      <c r="M1289" s="12">
        <f>Tb_data[[#This Row],[Employees Growth]]/Tb_data[[#This Row],[previous_workers]]</f>
        <v>4.25</v>
      </c>
    </row>
    <row r="1290" spans="1:13" x14ac:dyDescent="0.25">
      <c r="A1290" s="1" t="s">
        <v>1252</v>
      </c>
      <c r="B1290" s="1" t="s">
        <v>1253</v>
      </c>
      <c r="C1290" s="1">
        <v>12500000</v>
      </c>
      <c r="D1290" s="1" t="s">
        <v>41</v>
      </c>
      <c r="E1290">
        <v>767.88710000000003</v>
      </c>
      <c r="F1290" s="1" t="s">
        <v>97</v>
      </c>
      <c r="G1290">
        <v>65</v>
      </c>
      <c r="H1290">
        <v>10</v>
      </c>
      <c r="I1290" s="1" t="s">
        <v>55</v>
      </c>
      <c r="J1290">
        <v>2</v>
      </c>
      <c r="K1290" t="str">
        <f>IF(Tb_data[[#This Row],[previous_workers]]&lt;Tb_data[[#This Row],[workers]],"yes","no")</f>
        <v>yes</v>
      </c>
      <c r="L1290">
        <f>Tb_data[[#This Row],[workers]]-Tb_data[[#This Row],[previous_workers]]</f>
        <v>55</v>
      </c>
      <c r="M1290" s="12">
        <f>Tb_data[[#This Row],[Employees Growth]]/Tb_data[[#This Row],[previous_workers]]</f>
        <v>5.5</v>
      </c>
    </row>
    <row r="1291" spans="1:13" x14ac:dyDescent="0.25">
      <c r="A1291" s="1" t="s">
        <v>5230</v>
      </c>
      <c r="B1291" s="1" t="s">
        <v>5231</v>
      </c>
      <c r="C1291" s="1">
        <v>250900000</v>
      </c>
      <c r="D1291" s="1" t="s">
        <v>61</v>
      </c>
      <c r="E1291">
        <v>152.60849999999999</v>
      </c>
      <c r="F1291" s="1" t="s">
        <v>86</v>
      </c>
      <c r="G1291">
        <v>760</v>
      </c>
      <c r="H1291">
        <v>350</v>
      </c>
      <c r="I1291" s="1" t="s">
        <v>1051</v>
      </c>
      <c r="J1291">
        <v>2</v>
      </c>
      <c r="K1291" t="str">
        <f>IF(Tb_data[[#This Row],[previous_workers]]&lt;Tb_data[[#This Row],[workers]],"yes","no")</f>
        <v>yes</v>
      </c>
      <c r="L1291">
        <f>Tb_data[[#This Row],[workers]]-Tb_data[[#This Row],[previous_workers]]</f>
        <v>410</v>
      </c>
      <c r="M1291" s="12">
        <f>Tb_data[[#This Row],[Employees Growth]]/Tb_data[[#This Row],[previous_workers]]</f>
        <v>1.1714285714285715</v>
      </c>
    </row>
    <row r="1292" spans="1:13" x14ac:dyDescent="0.25">
      <c r="A1292" s="1" t="s">
        <v>9530</v>
      </c>
      <c r="B1292" s="1" t="s">
        <v>9531</v>
      </c>
      <c r="C1292" s="1">
        <v>37600000</v>
      </c>
      <c r="D1292" s="1" t="s">
        <v>236</v>
      </c>
      <c r="E1292">
        <v>59.943899999999999</v>
      </c>
      <c r="F1292" s="1" t="s">
        <v>176</v>
      </c>
      <c r="G1292">
        <v>225</v>
      </c>
      <c r="H1292">
        <v>158</v>
      </c>
      <c r="I1292" s="1" t="s">
        <v>1356</v>
      </c>
      <c r="J1292">
        <v>5</v>
      </c>
      <c r="K1292" t="str">
        <f>IF(Tb_data[[#This Row],[previous_workers]]&lt;Tb_data[[#This Row],[workers]],"yes","no")</f>
        <v>yes</v>
      </c>
      <c r="L1292">
        <f>Tb_data[[#This Row],[workers]]-Tb_data[[#This Row],[previous_workers]]</f>
        <v>67</v>
      </c>
      <c r="M1292" s="12">
        <f>Tb_data[[#This Row],[Employees Growth]]/Tb_data[[#This Row],[previous_workers]]</f>
        <v>0.42405063291139239</v>
      </c>
    </row>
    <row r="1293" spans="1:13" x14ac:dyDescent="0.25">
      <c r="A1293" s="1" t="s">
        <v>3469</v>
      </c>
      <c r="B1293" s="1" t="s">
        <v>3470</v>
      </c>
      <c r="C1293" s="1">
        <v>12000000</v>
      </c>
      <c r="D1293" s="1" t="s">
        <v>33</v>
      </c>
      <c r="E1293">
        <v>245.31059999999999</v>
      </c>
      <c r="F1293" s="1" t="s">
        <v>82</v>
      </c>
      <c r="G1293">
        <v>25</v>
      </c>
      <c r="H1293">
        <v>15</v>
      </c>
      <c r="I1293" s="1" t="s">
        <v>1622</v>
      </c>
      <c r="J1293">
        <v>2</v>
      </c>
      <c r="K1293" t="str">
        <f>IF(Tb_data[[#This Row],[previous_workers]]&lt;Tb_data[[#This Row],[workers]],"yes","no")</f>
        <v>yes</v>
      </c>
      <c r="L1293">
        <f>Tb_data[[#This Row],[workers]]-Tb_data[[#This Row],[previous_workers]]</f>
        <v>10</v>
      </c>
      <c r="M1293" s="12">
        <f>Tb_data[[#This Row],[Employees Growth]]/Tb_data[[#This Row],[previous_workers]]</f>
        <v>0.66666666666666663</v>
      </c>
    </row>
    <row r="1294" spans="1:13" x14ac:dyDescent="0.25">
      <c r="A1294" s="1" t="s">
        <v>2407</v>
      </c>
      <c r="B1294" s="1" t="s">
        <v>4089</v>
      </c>
      <c r="C1294" s="1">
        <v>10300000</v>
      </c>
      <c r="D1294" s="1" t="s">
        <v>52</v>
      </c>
      <c r="E1294">
        <v>201.92660000000001</v>
      </c>
      <c r="F1294" s="1" t="s">
        <v>152</v>
      </c>
      <c r="G1294">
        <v>32</v>
      </c>
      <c r="H1294">
        <v>20</v>
      </c>
      <c r="I1294" s="1" t="s">
        <v>164</v>
      </c>
      <c r="J1294">
        <v>4</v>
      </c>
      <c r="K1294" t="str">
        <f>IF(Tb_data[[#This Row],[previous_workers]]&lt;Tb_data[[#This Row],[workers]],"yes","no")</f>
        <v>yes</v>
      </c>
      <c r="L1294">
        <f>Tb_data[[#This Row],[workers]]-Tb_data[[#This Row],[previous_workers]]</f>
        <v>12</v>
      </c>
      <c r="M1294" s="12">
        <f>Tb_data[[#This Row],[Employees Growth]]/Tb_data[[#This Row],[previous_workers]]</f>
        <v>0.6</v>
      </c>
    </row>
    <row r="1295" spans="1:13" x14ac:dyDescent="0.25">
      <c r="A1295" s="1" t="s">
        <v>1407</v>
      </c>
      <c r="B1295" s="1" t="s">
        <v>1408</v>
      </c>
      <c r="C1295" s="1">
        <v>70000000</v>
      </c>
      <c r="D1295" s="1" t="s">
        <v>115</v>
      </c>
      <c r="E1295">
        <v>674.37800000000004</v>
      </c>
      <c r="F1295" s="1" t="s">
        <v>94</v>
      </c>
      <c r="G1295">
        <v>181</v>
      </c>
      <c r="H1295">
        <v>55</v>
      </c>
      <c r="I1295" s="1" t="s">
        <v>295</v>
      </c>
      <c r="J1295">
        <v>1</v>
      </c>
      <c r="K1295" t="str">
        <f>IF(Tb_data[[#This Row],[previous_workers]]&lt;Tb_data[[#This Row],[workers]],"yes","no")</f>
        <v>yes</v>
      </c>
      <c r="L1295">
        <f>Tb_data[[#This Row],[workers]]-Tb_data[[#This Row],[previous_workers]]</f>
        <v>126</v>
      </c>
      <c r="M1295" s="12">
        <f>Tb_data[[#This Row],[Employees Growth]]/Tb_data[[#This Row],[previous_workers]]</f>
        <v>2.290909090909091</v>
      </c>
    </row>
    <row r="1296" spans="1:13" x14ac:dyDescent="0.25">
      <c r="A1296" s="1" t="s">
        <v>1035</v>
      </c>
      <c r="B1296" s="1" t="s">
        <v>1036</v>
      </c>
      <c r="C1296" s="1">
        <v>4500000</v>
      </c>
      <c r="D1296" s="1" t="s">
        <v>49</v>
      </c>
      <c r="E1296">
        <v>965.33910000000003</v>
      </c>
      <c r="F1296" s="1" t="s">
        <v>12</v>
      </c>
      <c r="G1296">
        <v>46</v>
      </c>
      <c r="H1296">
        <v>8</v>
      </c>
      <c r="I1296" s="1" t="s">
        <v>26</v>
      </c>
      <c r="J1296">
        <v>1</v>
      </c>
      <c r="K1296" t="str">
        <f>IF(Tb_data[[#This Row],[previous_workers]]&lt;Tb_data[[#This Row],[workers]],"yes","no")</f>
        <v>yes</v>
      </c>
      <c r="L1296">
        <f>Tb_data[[#This Row],[workers]]-Tb_data[[#This Row],[previous_workers]]</f>
        <v>38</v>
      </c>
      <c r="M1296" s="12">
        <f>Tb_data[[#This Row],[Employees Growth]]/Tb_data[[#This Row],[previous_workers]]</f>
        <v>4.75</v>
      </c>
    </row>
    <row r="1297" spans="1:13" x14ac:dyDescent="0.25">
      <c r="A1297" s="1" t="s">
        <v>2591</v>
      </c>
      <c r="B1297" s="1" t="s">
        <v>2592</v>
      </c>
      <c r="C1297" s="1">
        <v>3300000</v>
      </c>
      <c r="D1297" s="1" t="s">
        <v>1021</v>
      </c>
      <c r="E1297">
        <v>333.02539999999999</v>
      </c>
      <c r="F1297" s="1" t="s">
        <v>124</v>
      </c>
      <c r="G1297">
        <v>15</v>
      </c>
      <c r="H1297">
        <v>3</v>
      </c>
      <c r="I1297" s="1" t="s">
        <v>46</v>
      </c>
      <c r="J1297">
        <v>2</v>
      </c>
      <c r="K1297" t="str">
        <f>IF(Tb_data[[#This Row],[previous_workers]]&lt;Tb_data[[#This Row],[workers]],"yes","no")</f>
        <v>yes</v>
      </c>
      <c r="L1297">
        <f>Tb_data[[#This Row],[workers]]-Tb_data[[#This Row],[previous_workers]]</f>
        <v>12</v>
      </c>
      <c r="M1297" s="12">
        <f>Tb_data[[#This Row],[Employees Growth]]/Tb_data[[#This Row],[previous_workers]]</f>
        <v>4</v>
      </c>
    </row>
    <row r="1298" spans="1:13" x14ac:dyDescent="0.25">
      <c r="A1298" s="1" t="s">
        <v>2670</v>
      </c>
      <c r="B1298" s="1" t="s">
        <v>2671</v>
      </c>
      <c r="C1298" s="1">
        <v>8800000</v>
      </c>
      <c r="D1298" s="1" t="s">
        <v>91</v>
      </c>
      <c r="E1298">
        <v>323.7072</v>
      </c>
      <c r="F1298" s="1" t="s">
        <v>172</v>
      </c>
      <c r="G1298">
        <v>60</v>
      </c>
      <c r="H1298">
        <v>25</v>
      </c>
      <c r="I1298" s="1" t="s">
        <v>55</v>
      </c>
      <c r="J1298">
        <v>3</v>
      </c>
      <c r="K1298" t="str">
        <f>IF(Tb_data[[#This Row],[previous_workers]]&lt;Tb_data[[#This Row],[workers]],"yes","no")</f>
        <v>yes</v>
      </c>
      <c r="L1298">
        <f>Tb_data[[#This Row],[workers]]-Tb_data[[#This Row],[previous_workers]]</f>
        <v>35</v>
      </c>
      <c r="M1298" s="12">
        <f>Tb_data[[#This Row],[Employees Growth]]/Tb_data[[#This Row],[previous_workers]]</f>
        <v>1.4</v>
      </c>
    </row>
    <row r="1299" spans="1:13" x14ac:dyDescent="0.25">
      <c r="A1299" s="1" t="s">
        <v>3625</v>
      </c>
      <c r="B1299" s="1" t="s">
        <v>3626</v>
      </c>
      <c r="C1299" s="1">
        <v>148700000</v>
      </c>
      <c r="D1299" s="1" t="s">
        <v>895</v>
      </c>
      <c r="E1299">
        <v>232.29759999999999</v>
      </c>
      <c r="F1299" s="1" t="s">
        <v>86</v>
      </c>
      <c r="G1299">
        <v>500</v>
      </c>
      <c r="H1299">
        <v>198</v>
      </c>
      <c r="I1299" s="1" t="s">
        <v>194</v>
      </c>
      <c r="J1299">
        <v>1</v>
      </c>
      <c r="K1299" t="str">
        <f>IF(Tb_data[[#This Row],[previous_workers]]&lt;Tb_data[[#This Row],[workers]],"yes","no")</f>
        <v>yes</v>
      </c>
      <c r="L1299">
        <f>Tb_data[[#This Row],[workers]]-Tb_data[[#This Row],[previous_workers]]</f>
        <v>302</v>
      </c>
      <c r="M1299" s="12">
        <f>Tb_data[[#This Row],[Employees Growth]]/Tb_data[[#This Row],[previous_workers]]</f>
        <v>1.5252525252525253</v>
      </c>
    </row>
    <row r="1300" spans="1:13" x14ac:dyDescent="0.25">
      <c r="A1300" s="1" t="s">
        <v>8622</v>
      </c>
      <c r="B1300" s="1" t="s">
        <v>8623</v>
      </c>
      <c r="C1300" s="1">
        <v>29200000</v>
      </c>
      <c r="D1300" s="1" t="s">
        <v>254</v>
      </c>
      <c r="E1300">
        <v>72.204599999999999</v>
      </c>
      <c r="F1300" s="1" t="s">
        <v>34</v>
      </c>
      <c r="G1300">
        <v>218</v>
      </c>
      <c r="H1300">
        <v>202</v>
      </c>
      <c r="I1300" s="1" t="s">
        <v>46</v>
      </c>
      <c r="J1300">
        <v>6</v>
      </c>
      <c r="K1300" t="str">
        <f>IF(Tb_data[[#This Row],[previous_workers]]&lt;Tb_data[[#This Row],[workers]],"yes","no")</f>
        <v>yes</v>
      </c>
      <c r="L1300">
        <f>Tb_data[[#This Row],[workers]]-Tb_data[[#This Row],[previous_workers]]</f>
        <v>16</v>
      </c>
      <c r="M1300" s="12">
        <f>Tb_data[[#This Row],[Employees Growth]]/Tb_data[[#This Row],[previous_workers]]</f>
        <v>7.9207920792079209E-2</v>
      </c>
    </row>
    <row r="1301" spans="1:13" x14ac:dyDescent="0.25">
      <c r="A1301" s="1" t="s">
        <v>681</v>
      </c>
      <c r="B1301" s="1" t="s">
        <v>682</v>
      </c>
      <c r="C1301" s="1">
        <v>6300000</v>
      </c>
      <c r="D1301" s="1" t="s">
        <v>58</v>
      </c>
      <c r="E1301">
        <v>1508.6474000000001</v>
      </c>
      <c r="F1301" s="1" t="s">
        <v>86</v>
      </c>
      <c r="G1301">
        <v>44</v>
      </c>
      <c r="H1301">
        <v>15</v>
      </c>
      <c r="I1301" s="1" t="s">
        <v>130</v>
      </c>
      <c r="J1301">
        <v>2</v>
      </c>
      <c r="K1301" t="str">
        <f>IF(Tb_data[[#This Row],[previous_workers]]&lt;Tb_data[[#This Row],[workers]],"yes","no")</f>
        <v>yes</v>
      </c>
      <c r="L1301">
        <f>Tb_data[[#This Row],[workers]]-Tb_data[[#This Row],[previous_workers]]</f>
        <v>29</v>
      </c>
      <c r="M1301" s="12">
        <f>Tb_data[[#This Row],[Employees Growth]]/Tb_data[[#This Row],[previous_workers]]</f>
        <v>1.9333333333333333</v>
      </c>
    </row>
    <row r="1302" spans="1:13" x14ac:dyDescent="0.25">
      <c r="A1302" s="1" t="s">
        <v>932</v>
      </c>
      <c r="B1302" s="1" t="s">
        <v>933</v>
      </c>
      <c r="C1302" s="1">
        <v>7000000</v>
      </c>
      <c r="D1302" s="1" t="s">
        <v>179</v>
      </c>
      <c r="E1302">
        <v>1093.3466000000001</v>
      </c>
      <c r="F1302" s="1" t="s">
        <v>176</v>
      </c>
      <c r="G1302">
        <v>65</v>
      </c>
      <c r="H1302">
        <v>10</v>
      </c>
      <c r="I1302" s="1" t="s">
        <v>130</v>
      </c>
      <c r="J1302">
        <v>1</v>
      </c>
      <c r="K1302" t="str">
        <f>IF(Tb_data[[#This Row],[previous_workers]]&lt;Tb_data[[#This Row],[workers]],"yes","no")</f>
        <v>yes</v>
      </c>
      <c r="L1302">
        <f>Tb_data[[#This Row],[workers]]-Tb_data[[#This Row],[previous_workers]]</f>
        <v>55</v>
      </c>
      <c r="M1302" s="12">
        <f>Tb_data[[#This Row],[Employees Growth]]/Tb_data[[#This Row],[previous_workers]]</f>
        <v>5.5</v>
      </c>
    </row>
    <row r="1303" spans="1:13" x14ac:dyDescent="0.25">
      <c r="A1303" s="1" t="s">
        <v>3121</v>
      </c>
      <c r="B1303" s="1" t="s">
        <v>3122</v>
      </c>
      <c r="C1303" s="1">
        <v>14600000</v>
      </c>
      <c r="D1303" s="1" t="s">
        <v>91</v>
      </c>
      <c r="E1303">
        <v>275.81869999999998</v>
      </c>
      <c r="F1303" s="1" t="s">
        <v>12</v>
      </c>
      <c r="G1303">
        <v>120</v>
      </c>
      <c r="H1303">
        <v>31</v>
      </c>
      <c r="I1303" s="1" t="s">
        <v>55</v>
      </c>
      <c r="J1303">
        <v>3</v>
      </c>
      <c r="K1303" t="str">
        <f>IF(Tb_data[[#This Row],[previous_workers]]&lt;Tb_data[[#This Row],[workers]],"yes","no")</f>
        <v>yes</v>
      </c>
      <c r="L1303">
        <f>Tb_data[[#This Row],[workers]]-Tb_data[[#This Row],[previous_workers]]</f>
        <v>89</v>
      </c>
      <c r="M1303" s="12">
        <f>Tb_data[[#This Row],[Employees Growth]]/Tb_data[[#This Row],[previous_workers]]</f>
        <v>2.870967741935484</v>
      </c>
    </row>
    <row r="1304" spans="1:13" x14ac:dyDescent="0.25">
      <c r="A1304" s="1" t="s">
        <v>10078</v>
      </c>
      <c r="B1304" s="1" t="s">
        <v>10079</v>
      </c>
      <c r="C1304" s="1">
        <v>6100000</v>
      </c>
      <c r="D1304" s="1" t="s">
        <v>49</v>
      </c>
      <c r="E1304">
        <v>52.523200000000003</v>
      </c>
      <c r="F1304" s="1" t="s">
        <v>86</v>
      </c>
      <c r="G1304">
        <v>11</v>
      </c>
      <c r="H1304">
        <v>13</v>
      </c>
      <c r="I1304" s="1" t="s">
        <v>130</v>
      </c>
      <c r="J1304">
        <v>3</v>
      </c>
      <c r="K1304" t="str">
        <f>IF(Tb_data[[#This Row],[previous_workers]]&lt;Tb_data[[#This Row],[workers]],"yes","no")</f>
        <v>no</v>
      </c>
      <c r="L1304">
        <f>Tb_data[[#This Row],[workers]]-Tb_data[[#This Row],[previous_workers]]</f>
        <v>-2</v>
      </c>
      <c r="M1304" s="12">
        <f>Tb_data[[#This Row],[Employees Growth]]/Tb_data[[#This Row],[previous_workers]]</f>
        <v>-0.15384615384615385</v>
      </c>
    </row>
    <row r="1305" spans="1:13" x14ac:dyDescent="0.25">
      <c r="A1305" s="1" t="s">
        <v>6709</v>
      </c>
      <c r="B1305" s="1" t="s">
        <v>6710</v>
      </c>
      <c r="C1305" s="1">
        <v>70300000</v>
      </c>
      <c r="D1305" s="1" t="s">
        <v>33</v>
      </c>
      <c r="E1305">
        <v>108.858</v>
      </c>
      <c r="F1305" s="1" t="s">
        <v>25</v>
      </c>
      <c r="G1305">
        <v>35</v>
      </c>
      <c r="H1305">
        <v>9</v>
      </c>
      <c r="I1305" s="1" t="s">
        <v>46</v>
      </c>
      <c r="J1305">
        <v>3</v>
      </c>
      <c r="K1305" t="str">
        <f>IF(Tb_data[[#This Row],[previous_workers]]&lt;Tb_data[[#This Row],[workers]],"yes","no")</f>
        <v>yes</v>
      </c>
      <c r="L1305">
        <f>Tb_data[[#This Row],[workers]]-Tb_data[[#This Row],[previous_workers]]</f>
        <v>26</v>
      </c>
      <c r="M1305" s="12">
        <f>Tb_data[[#This Row],[Employees Growth]]/Tb_data[[#This Row],[previous_workers]]</f>
        <v>2.8888888888888888</v>
      </c>
    </row>
    <row r="1306" spans="1:13" x14ac:dyDescent="0.25">
      <c r="A1306" s="1" t="s">
        <v>6181</v>
      </c>
      <c r="B1306" s="1" t="s">
        <v>6182</v>
      </c>
      <c r="C1306" s="1">
        <v>19800000</v>
      </c>
      <c r="D1306" s="1" t="s">
        <v>33</v>
      </c>
      <c r="E1306">
        <v>121.6626</v>
      </c>
      <c r="F1306" s="1" t="s">
        <v>25</v>
      </c>
      <c r="G1306">
        <v>14</v>
      </c>
      <c r="H1306">
        <v>9</v>
      </c>
      <c r="I1306" s="1" t="s">
        <v>1622</v>
      </c>
      <c r="J1306">
        <v>1</v>
      </c>
      <c r="K1306" t="str">
        <f>IF(Tb_data[[#This Row],[previous_workers]]&lt;Tb_data[[#This Row],[workers]],"yes","no")</f>
        <v>yes</v>
      </c>
      <c r="L1306">
        <f>Tb_data[[#This Row],[workers]]-Tb_data[[#This Row],[previous_workers]]</f>
        <v>5</v>
      </c>
      <c r="M1306" s="12">
        <f>Tb_data[[#This Row],[Employees Growth]]/Tb_data[[#This Row],[previous_workers]]</f>
        <v>0.55555555555555558</v>
      </c>
    </row>
    <row r="1307" spans="1:13" x14ac:dyDescent="0.25">
      <c r="A1307" s="1" t="s">
        <v>3277</v>
      </c>
      <c r="B1307" s="1" t="s">
        <v>3278</v>
      </c>
      <c r="C1307" s="1">
        <v>741400000</v>
      </c>
      <c r="D1307" s="1" t="s">
        <v>38</v>
      </c>
      <c r="E1307">
        <v>262.3297</v>
      </c>
      <c r="F1307" s="1" t="s">
        <v>176</v>
      </c>
      <c r="G1307">
        <v>1880</v>
      </c>
      <c r="H1307">
        <v>360</v>
      </c>
      <c r="I1307" s="1" t="s">
        <v>1356</v>
      </c>
      <c r="J1307">
        <v>4</v>
      </c>
      <c r="K1307" t="str">
        <f>IF(Tb_data[[#This Row],[previous_workers]]&lt;Tb_data[[#This Row],[workers]],"yes","no")</f>
        <v>yes</v>
      </c>
      <c r="L1307">
        <f>Tb_data[[#This Row],[workers]]-Tb_data[[#This Row],[previous_workers]]</f>
        <v>1520</v>
      </c>
      <c r="M1307" s="12">
        <f>Tb_data[[#This Row],[Employees Growth]]/Tb_data[[#This Row],[previous_workers]]</f>
        <v>4.2222222222222223</v>
      </c>
    </row>
    <row r="1308" spans="1:13" x14ac:dyDescent="0.25">
      <c r="A1308" s="1" t="s">
        <v>4236</v>
      </c>
      <c r="B1308" s="1" t="s">
        <v>4237</v>
      </c>
      <c r="C1308" s="1">
        <v>450900000</v>
      </c>
      <c r="D1308" s="1" t="s">
        <v>16</v>
      </c>
      <c r="E1308">
        <v>194.43199999999999</v>
      </c>
      <c r="F1308" s="1" t="s">
        <v>176</v>
      </c>
      <c r="G1308">
        <v>400</v>
      </c>
      <c r="H1308">
        <v>150</v>
      </c>
      <c r="I1308" s="1" t="s">
        <v>226</v>
      </c>
      <c r="J1308">
        <v>1</v>
      </c>
      <c r="K1308" t="str">
        <f>IF(Tb_data[[#This Row],[previous_workers]]&lt;Tb_data[[#This Row],[workers]],"yes","no")</f>
        <v>yes</v>
      </c>
      <c r="L1308">
        <f>Tb_data[[#This Row],[workers]]-Tb_data[[#This Row],[previous_workers]]</f>
        <v>250</v>
      </c>
      <c r="M1308" s="12">
        <f>Tb_data[[#This Row],[Employees Growth]]/Tb_data[[#This Row],[previous_workers]]</f>
        <v>1.6666666666666667</v>
      </c>
    </row>
    <row r="1309" spans="1:13" x14ac:dyDescent="0.25">
      <c r="A1309" s="1" t="s">
        <v>6397</v>
      </c>
      <c r="B1309" s="1" t="s">
        <v>6398</v>
      </c>
      <c r="C1309" s="1">
        <v>45100000</v>
      </c>
      <c r="D1309" s="1" t="s">
        <v>422</v>
      </c>
      <c r="E1309">
        <v>116.3152</v>
      </c>
      <c r="F1309" s="1" t="s">
        <v>12</v>
      </c>
      <c r="G1309">
        <v>83</v>
      </c>
      <c r="H1309">
        <v>48</v>
      </c>
      <c r="I1309" s="1" t="s">
        <v>948</v>
      </c>
      <c r="J1309">
        <v>7</v>
      </c>
      <c r="K1309" t="str">
        <f>IF(Tb_data[[#This Row],[previous_workers]]&lt;Tb_data[[#This Row],[workers]],"yes","no")</f>
        <v>yes</v>
      </c>
      <c r="L1309">
        <f>Tb_data[[#This Row],[workers]]-Tb_data[[#This Row],[previous_workers]]</f>
        <v>35</v>
      </c>
      <c r="M1309" s="12">
        <f>Tb_data[[#This Row],[Employees Growth]]/Tb_data[[#This Row],[previous_workers]]</f>
        <v>0.72916666666666663</v>
      </c>
    </row>
    <row r="1310" spans="1:13" x14ac:dyDescent="0.25">
      <c r="A1310" s="1" t="s">
        <v>7447</v>
      </c>
      <c r="B1310" s="1" t="s">
        <v>7448</v>
      </c>
      <c r="C1310" s="1">
        <v>262000000</v>
      </c>
      <c r="D1310" s="1" t="s">
        <v>79</v>
      </c>
      <c r="E1310">
        <v>94.359800000000007</v>
      </c>
      <c r="F1310" s="1" t="s">
        <v>176</v>
      </c>
      <c r="G1310">
        <v>324</v>
      </c>
      <c r="H1310">
        <v>142</v>
      </c>
      <c r="I1310" s="1" t="s">
        <v>372</v>
      </c>
      <c r="J1310">
        <v>5</v>
      </c>
      <c r="K1310" t="str">
        <f>IF(Tb_data[[#This Row],[previous_workers]]&lt;Tb_data[[#This Row],[workers]],"yes","no")</f>
        <v>yes</v>
      </c>
      <c r="L1310">
        <f>Tb_data[[#This Row],[workers]]-Tb_data[[#This Row],[previous_workers]]</f>
        <v>182</v>
      </c>
      <c r="M1310" s="12">
        <f>Tb_data[[#This Row],[Employees Growth]]/Tb_data[[#This Row],[previous_workers]]</f>
        <v>1.2816901408450705</v>
      </c>
    </row>
    <row r="1311" spans="1:13" x14ac:dyDescent="0.25">
      <c r="A1311" s="1" t="s">
        <v>4226</v>
      </c>
      <c r="B1311" s="1" t="s">
        <v>4227</v>
      </c>
      <c r="C1311" s="1">
        <v>6600000</v>
      </c>
      <c r="D1311" s="1" t="s">
        <v>52</v>
      </c>
      <c r="E1311">
        <v>194.83070000000001</v>
      </c>
      <c r="F1311" s="1" t="s">
        <v>156</v>
      </c>
      <c r="G1311">
        <v>26</v>
      </c>
      <c r="H1311">
        <v>21</v>
      </c>
      <c r="I1311" s="1" t="s">
        <v>164</v>
      </c>
      <c r="J1311">
        <v>3</v>
      </c>
      <c r="K1311" t="str">
        <f>IF(Tb_data[[#This Row],[previous_workers]]&lt;Tb_data[[#This Row],[workers]],"yes","no")</f>
        <v>yes</v>
      </c>
      <c r="L1311">
        <f>Tb_data[[#This Row],[workers]]-Tb_data[[#This Row],[previous_workers]]</f>
        <v>5</v>
      </c>
      <c r="M1311" s="12">
        <f>Tb_data[[#This Row],[Employees Growth]]/Tb_data[[#This Row],[previous_workers]]</f>
        <v>0.23809523809523808</v>
      </c>
    </row>
    <row r="1312" spans="1:13" x14ac:dyDescent="0.25">
      <c r="A1312" s="1" t="s">
        <v>2863</v>
      </c>
      <c r="B1312" s="1" t="s">
        <v>2864</v>
      </c>
      <c r="C1312" s="1">
        <v>30100000</v>
      </c>
      <c r="D1312" s="1" t="s">
        <v>41</v>
      </c>
      <c r="E1312">
        <v>301.27170000000001</v>
      </c>
      <c r="F1312" s="1" t="s">
        <v>21</v>
      </c>
      <c r="G1312">
        <v>825</v>
      </c>
      <c r="H1312">
        <v>300</v>
      </c>
      <c r="I1312" s="1" t="s">
        <v>164</v>
      </c>
      <c r="J1312">
        <v>1</v>
      </c>
      <c r="K1312" t="str">
        <f>IF(Tb_data[[#This Row],[previous_workers]]&lt;Tb_data[[#This Row],[workers]],"yes","no")</f>
        <v>yes</v>
      </c>
      <c r="L1312">
        <f>Tb_data[[#This Row],[workers]]-Tb_data[[#This Row],[previous_workers]]</f>
        <v>525</v>
      </c>
      <c r="M1312" s="12">
        <f>Tb_data[[#This Row],[Employees Growth]]/Tb_data[[#This Row],[previous_workers]]</f>
        <v>1.75</v>
      </c>
    </row>
    <row r="1313" spans="1:13" x14ac:dyDescent="0.25">
      <c r="A1313" s="1" t="s">
        <v>6385</v>
      </c>
      <c r="B1313" s="1" t="s">
        <v>6386</v>
      </c>
      <c r="C1313" s="1">
        <v>3900000</v>
      </c>
      <c r="D1313" s="1" t="s">
        <v>20</v>
      </c>
      <c r="E1313">
        <v>116.57080000000001</v>
      </c>
      <c r="F1313" s="1" t="s">
        <v>156</v>
      </c>
      <c r="G1313">
        <v>25</v>
      </c>
      <c r="H1313">
        <v>9</v>
      </c>
      <c r="I1313" s="1" t="s">
        <v>147</v>
      </c>
      <c r="J1313">
        <v>3</v>
      </c>
      <c r="K1313" t="str">
        <f>IF(Tb_data[[#This Row],[previous_workers]]&lt;Tb_data[[#This Row],[workers]],"yes","no")</f>
        <v>yes</v>
      </c>
      <c r="L1313">
        <f>Tb_data[[#This Row],[workers]]-Tb_data[[#This Row],[previous_workers]]</f>
        <v>16</v>
      </c>
      <c r="M1313" s="12">
        <f>Tb_data[[#This Row],[Employees Growth]]/Tb_data[[#This Row],[previous_workers]]</f>
        <v>1.7777777777777777</v>
      </c>
    </row>
    <row r="1314" spans="1:13" x14ac:dyDescent="0.25">
      <c r="A1314" s="1" t="s">
        <v>2741</v>
      </c>
      <c r="B1314" s="1" t="s">
        <v>2742</v>
      </c>
      <c r="C1314" s="1">
        <v>2000000</v>
      </c>
      <c r="D1314" s="1" t="s">
        <v>155</v>
      </c>
      <c r="E1314">
        <v>314.4348</v>
      </c>
      <c r="F1314" s="1" t="s">
        <v>17</v>
      </c>
      <c r="G1314">
        <v>10</v>
      </c>
      <c r="H1314">
        <v>1</v>
      </c>
      <c r="I1314" s="1" t="s">
        <v>130</v>
      </c>
      <c r="J1314">
        <v>1</v>
      </c>
      <c r="K1314" t="str">
        <f>IF(Tb_data[[#This Row],[previous_workers]]&lt;Tb_data[[#This Row],[workers]],"yes","no")</f>
        <v>yes</v>
      </c>
      <c r="L1314">
        <f>Tb_data[[#This Row],[workers]]-Tb_data[[#This Row],[previous_workers]]</f>
        <v>9</v>
      </c>
      <c r="M1314" s="12">
        <f>Tb_data[[#This Row],[Employees Growth]]/Tb_data[[#This Row],[previous_workers]]</f>
        <v>9</v>
      </c>
    </row>
    <row r="1315" spans="1:13" x14ac:dyDescent="0.25">
      <c r="A1315" s="1" t="s">
        <v>1929</v>
      </c>
      <c r="B1315" s="1" t="s">
        <v>1930</v>
      </c>
      <c r="C1315" s="1">
        <v>80900000</v>
      </c>
      <c r="D1315" s="1" t="s">
        <v>29</v>
      </c>
      <c r="E1315">
        <v>466.19830000000002</v>
      </c>
      <c r="F1315" s="1" t="s">
        <v>100</v>
      </c>
      <c r="G1315">
        <v>296</v>
      </c>
      <c r="H1315">
        <v>55</v>
      </c>
      <c r="I1315" s="1" t="s">
        <v>117</v>
      </c>
      <c r="J1315">
        <v>1</v>
      </c>
      <c r="K1315" t="str">
        <f>IF(Tb_data[[#This Row],[previous_workers]]&lt;Tb_data[[#This Row],[workers]],"yes","no")</f>
        <v>yes</v>
      </c>
      <c r="L1315">
        <f>Tb_data[[#This Row],[workers]]-Tb_data[[#This Row],[previous_workers]]</f>
        <v>241</v>
      </c>
      <c r="M1315" s="12">
        <f>Tb_data[[#This Row],[Employees Growth]]/Tb_data[[#This Row],[previous_workers]]</f>
        <v>4.3818181818181818</v>
      </c>
    </row>
    <row r="1316" spans="1:13" x14ac:dyDescent="0.25">
      <c r="A1316" s="1" t="s">
        <v>2326</v>
      </c>
      <c r="B1316" s="1" t="s">
        <v>2327</v>
      </c>
      <c r="C1316" s="1">
        <v>60200000</v>
      </c>
      <c r="D1316" s="1" t="s">
        <v>115</v>
      </c>
      <c r="E1316">
        <v>378.60849999999999</v>
      </c>
      <c r="F1316" s="1" t="s">
        <v>112</v>
      </c>
      <c r="G1316">
        <v>84</v>
      </c>
      <c r="H1316">
        <v>32</v>
      </c>
      <c r="I1316" s="1" t="s">
        <v>46</v>
      </c>
      <c r="J1316">
        <v>3</v>
      </c>
      <c r="K1316" t="str">
        <f>IF(Tb_data[[#This Row],[previous_workers]]&lt;Tb_data[[#This Row],[workers]],"yes","no")</f>
        <v>yes</v>
      </c>
      <c r="L1316">
        <f>Tb_data[[#This Row],[workers]]-Tb_data[[#This Row],[previous_workers]]</f>
        <v>52</v>
      </c>
      <c r="M1316" s="12">
        <f>Tb_data[[#This Row],[Employees Growth]]/Tb_data[[#This Row],[previous_workers]]</f>
        <v>1.625</v>
      </c>
    </row>
    <row r="1317" spans="1:13" x14ac:dyDescent="0.25">
      <c r="A1317" s="1" t="s">
        <v>2046</v>
      </c>
      <c r="B1317" s="1" t="s">
        <v>2047</v>
      </c>
      <c r="C1317" s="1">
        <v>26400000</v>
      </c>
      <c r="D1317" s="1" t="s">
        <v>179</v>
      </c>
      <c r="E1317">
        <v>438.36259999999999</v>
      </c>
      <c r="F1317" s="1" t="s">
        <v>62</v>
      </c>
      <c r="G1317">
        <v>147</v>
      </c>
      <c r="H1317">
        <v>41</v>
      </c>
      <c r="I1317" s="1" t="s">
        <v>948</v>
      </c>
      <c r="J1317">
        <v>3</v>
      </c>
      <c r="K1317" t="str">
        <f>IF(Tb_data[[#This Row],[previous_workers]]&lt;Tb_data[[#This Row],[workers]],"yes","no")</f>
        <v>yes</v>
      </c>
      <c r="L1317">
        <f>Tb_data[[#This Row],[workers]]-Tb_data[[#This Row],[previous_workers]]</f>
        <v>106</v>
      </c>
      <c r="M1317" s="12">
        <f>Tb_data[[#This Row],[Employees Growth]]/Tb_data[[#This Row],[previous_workers]]</f>
        <v>2.5853658536585367</v>
      </c>
    </row>
    <row r="1318" spans="1:13" x14ac:dyDescent="0.25">
      <c r="A1318" s="1" t="s">
        <v>2834</v>
      </c>
      <c r="B1318" s="1" t="s">
        <v>2835</v>
      </c>
      <c r="C1318" s="1">
        <v>3800000</v>
      </c>
      <c r="D1318" s="1" t="s">
        <v>20</v>
      </c>
      <c r="E1318">
        <v>305.25330000000002</v>
      </c>
      <c r="F1318" s="1" t="s">
        <v>25</v>
      </c>
      <c r="G1318">
        <v>32</v>
      </c>
      <c r="H1318">
        <v>3</v>
      </c>
      <c r="I1318" s="1" t="s">
        <v>26</v>
      </c>
      <c r="J1318">
        <v>1</v>
      </c>
      <c r="K1318" t="str">
        <f>IF(Tb_data[[#This Row],[previous_workers]]&lt;Tb_data[[#This Row],[workers]],"yes","no")</f>
        <v>yes</v>
      </c>
      <c r="L1318">
        <f>Tb_data[[#This Row],[workers]]-Tb_data[[#This Row],[previous_workers]]</f>
        <v>29</v>
      </c>
      <c r="M1318" s="12">
        <f>Tb_data[[#This Row],[Employees Growth]]/Tb_data[[#This Row],[previous_workers]]</f>
        <v>9.6666666666666661</v>
      </c>
    </row>
    <row r="1319" spans="1:13" x14ac:dyDescent="0.25">
      <c r="A1319" s="1" t="s">
        <v>6089</v>
      </c>
      <c r="B1319" s="1" t="s">
        <v>6090</v>
      </c>
      <c r="C1319" s="1">
        <v>2000000</v>
      </c>
      <c r="D1319" s="1" t="s">
        <v>123</v>
      </c>
      <c r="E1319">
        <v>124.0925</v>
      </c>
      <c r="F1319" s="1" t="s">
        <v>156</v>
      </c>
      <c r="G1319">
        <v>11</v>
      </c>
      <c r="H1319">
        <v>8</v>
      </c>
      <c r="I1319" s="1" t="s">
        <v>295</v>
      </c>
      <c r="J1319">
        <v>1</v>
      </c>
      <c r="K1319" t="str">
        <f>IF(Tb_data[[#This Row],[previous_workers]]&lt;Tb_data[[#This Row],[workers]],"yes","no")</f>
        <v>yes</v>
      </c>
      <c r="L1319">
        <f>Tb_data[[#This Row],[workers]]-Tb_data[[#This Row],[previous_workers]]</f>
        <v>3</v>
      </c>
      <c r="M1319" s="12">
        <f>Tb_data[[#This Row],[Employees Growth]]/Tb_data[[#This Row],[previous_workers]]</f>
        <v>0.375</v>
      </c>
    </row>
    <row r="1320" spans="1:13" x14ac:dyDescent="0.25">
      <c r="A1320" s="1" t="s">
        <v>9816</v>
      </c>
      <c r="B1320" s="1" t="s">
        <v>9817</v>
      </c>
      <c r="C1320" s="1">
        <v>19900000</v>
      </c>
      <c r="D1320" s="1" t="s">
        <v>49</v>
      </c>
      <c r="E1320">
        <v>56.656599999999997</v>
      </c>
      <c r="F1320" s="1" t="s">
        <v>176</v>
      </c>
      <c r="G1320">
        <v>7</v>
      </c>
      <c r="H1320">
        <v>6</v>
      </c>
      <c r="I1320" s="1" t="s">
        <v>147</v>
      </c>
      <c r="J1320">
        <v>4</v>
      </c>
      <c r="K1320" t="str">
        <f>IF(Tb_data[[#This Row],[previous_workers]]&lt;Tb_data[[#This Row],[workers]],"yes","no")</f>
        <v>yes</v>
      </c>
      <c r="L1320">
        <f>Tb_data[[#This Row],[workers]]-Tb_data[[#This Row],[previous_workers]]</f>
        <v>1</v>
      </c>
      <c r="M1320" s="12">
        <f>Tb_data[[#This Row],[Employees Growth]]/Tb_data[[#This Row],[previous_workers]]</f>
        <v>0.16666666666666666</v>
      </c>
    </row>
    <row r="1321" spans="1:13" x14ac:dyDescent="0.25">
      <c r="A1321" s="1" t="s">
        <v>2666</v>
      </c>
      <c r="B1321" s="1" t="s">
        <v>2667</v>
      </c>
      <c r="C1321" s="1">
        <v>8500000</v>
      </c>
      <c r="D1321" s="1" t="s">
        <v>29</v>
      </c>
      <c r="E1321">
        <v>324.3494</v>
      </c>
      <c r="F1321" s="1" t="s">
        <v>176</v>
      </c>
      <c r="G1321">
        <v>42</v>
      </c>
      <c r="H1321">
        <v>19</v>
      </c>
      <c r="I1321" s="1" t="s">
        <v>147</v>
      </c>
      <c r="J1321">
        <v>2</v>
      </c>
      <c r="K1321" t="str">
        <f>IF(Tb_data[[#This Row],[previous_workers]]&lt;Tb_data[[#This Row],[workers]],"yes","no")</f>
        <v>yes</v>
      </c>
      <c r="L1321">
        <f>Tb_data[[#This Row],[workers]]-Tb_data[[#This Row],[previous_workers]]</f>
        <v>23</v>
      </c>
      <c r="M1321" s="12">
        <f>Tb_data[[#This Row],[Employees Growth]]/Tb_data[[#This Row],[previous_workers]]</f>
        <v>1.2105263157894737</v>
      </c>
    </row>
    <row r="1322" spans="1:13" x14ac:dyDescent="0.25">
      <c r="A1322" s="1" t="s">
        <v>1890</v>
      </c>
      <c r="B1322" s="1" t="s">
        <v>1891</v>
      </c>
      <c r="C1322" s="1">
        <v>2100000</v>
      </c>
      <c r="D1322" s="1" t="s">
        <v>427</v>
      </c>
      <c r="E1322">
        <v>476.23200000000003</v>
      </c>
      <c r="F1322" s="1" t="s">
        <v>25</v>
      </c>
      <c r="G1322">
        <v>9</v>
      </c>
      <c r="H1322">
        <v>3</v>
      </c>
      <c r="I1322" s="1" t="s">
        <v>13</v>
      </c>
      <c r="J1322">
        <v>1</v>
      </c>
      <c r="K1322" t="str">
        <f>IF(Tb_data[[#This Row],[previous_workers]]&lt;Tb_data[[#This Row],[workers]],"yes","no")</f>
        <v>yes</v>
      </c>
      <c r="L1322">
        <f>Tb_data[[#This Row],[workers]]-Tb_data[[#This Row],[previous_workers]]</f>
        <v>6</v>
      </c>
      <c r="M1322" s="12">
        <f>Tb_data[[#This Row],[Employees Growth]]/Tb_data[[#This Row],[previous_workers]]</f>
        <v>2</v>
      </c>
    </row>
    <row r="1323" spans="1:13" x14ac:dyDescent="0.25">
      <c r="A1323" s="1" t="s">
        <v>3051</v>
      </c>
      <c r="B1323" s="1" t="s">
        <v>3052</v>
      </c>
      <c r="C1323" s="1">
        <v>12200000</v>
      </c>
      <c r="D1323" s="1" t="s">
        <v>179</v>
      </c>
      <c r="E1323">
        <v>282.57909999999998</v>
      </c>
      <c r="F1323" s="1" t="s">
        <v>86</v>
      </c>
      <c r="G1323">
        <v>70</v>
      </c>
      <c r="H1323">
        <v>24</v>
      </c>
      <c r="I1323" s="1" t="s">
        <v>117</v>
      </c>
      <c r="J1323">
        <v>1</v>
      </c>
      <c r="K1323" t="str">
        <f>IF(Tb_data[[#This Row],[previous_workers]]&lt;Tb_data[[#This Row],[workers]],"yes","no")</f>
        <v>yes</v>
      </c>
      <c r="L1323">
        <f>Tb_data[[#This Row],[workers]]-Tb_data[[#This Row],[previous_workers]]</f>
        <v>46</v>
      </c>
      <c r="M1323" s="12">
        <f>Tb_data[[#This Row],[Employees Growth]]/Tb_data[[#This Row],[previous_workers]]</f>
        <v>1.9166666666666667</v>
      </c>
    </row>
    <row r="1324" spans="1:13" x14ac:dyDescent="0.25">
      <c r="A1324" s="1" t="s">
        <v>5948</v>
      </c>
      <c r="B1324" s="1" t="s">
        <v>5949</v>
      </c>
      <c r="C1324" s="1">
        <v>9700000</v>
      </c>
      <c r="D1324" s="1" t="s">
        <v>69</v>
      </c>
      <c r="E1324">
        <v>127.8056</v>
      </c>
      <c r="F1324" s="1" t="s">
        <v>135</v>
      </c>
      <c r="G1324">
        <v>79</v>
      </c>
      <c r="H1324">
        <v>34</v>
      </c>
      <c r="I1324" s="1" t="s">
        <v>164</v>
      </c>
      <c r="J1324">
        <v>2</v>
      </c>
      <c r="K1324" t="str">
        <f>IF(Tb_data[[#This Row],[previous_workers]]&lt;Tb_data[[#This Row],[workers]],"yes","no")</f>
        <v>yes</v>
      </c>
      <c r="L1324">
        <f>Tb_data[[#This Row],[workers]]-Tb_data[[#This Row],[previous_workers]]</f>
        <v>45</v>
      </c>
      <c r="M1324" s="12">
        <f>Tb_data[[#This Row],[Employees Growth]]/Tb_data[[#This Row],[previous_workers]]</f>
        <v>1.3235294117647058</v>
      </c>
    </row>
    <row r="1325" spans="1:13" x14ac:dyDescent="0.25">
      <c r="A1325" s="1" t="s">
        <v>2691</v>
      </c>
      <c r="B1325" s="1" t="s">
        <v>2692</v>
      </c>
      <c r="C1325" s="1">
        <v>5900000</v>
      </c>
      <c r="D1325" s="1" t="s">
        <v>20</v>
      </c>
      <c r="E1325">
        <v>319.85669999999999</v>
      </c>
      <c r="F1325" s="1" t="s">
        <v>12</v>
      </c>
      <c r="G1325">
        <v>44</v>
      </c>
      <c r="H1325">
        <v>31</v>
      </c>
      <c r="I1325" s="1" t="s">
        <v>26</v>
      </c>
      <c r="J1325">
        <v>2</v>
      </c>
      <c r="K1325" t="str">
        <f>IF(Tb_data[[#This Row],[previous_workers]]&lt;Tb_data[[#This Row],[workers]],"yes","no")</f>
        <v>yes</v>
      </c>
      <c r="L1325">
        <f>Tb_data[[#This Row],[workers]]-Tb_data[[#This Row],[previous_workers]]</f>
        <v>13</v>
      </c>
      <c r="M1325" s="12">
        <f>Tb_data[[#This Row],[Employees Growth]]/Tb_data[[#This Row],[previous_workers]]</f>
        <v>0.41935483870967744</v>
      </c>
    </row>
    <row r="1326" spans="1:13" x14ac:dyDescent="0.25">
      <c r="A1326" s="1" t="s">
        <v>6279</v>
      </c>
      <c r="B1326" s="1" t="s">
        <v>6280</v>
      </c>
      <c r="C1326" s="1">
        <v>14400000</v>
      </c>
      <c r="D1326" s="1" t="s">
        <v>11</v>
      </c>
      <c r="E1326">
        <v>119.5378</v>
      </c>
      <c r="F1326" s="1" t="s">
        <v>25</v>
      </c>
      <c r="G1326">
        <v>305</v>
      </c>
      <c r="H1326">
        <v>170</v>
      </c>
      <c r="I1326" s="1" t="s">
        <v>229</v>
      </c>
      <c r="J1326">
        <v>1</v>
      </c>
      <c r="K1326" t="str">
        <f>IF(Tb_data[[#This Row],[previous_workers]]&lt;Tb_data[[#This Row],[workers]],"yes","no")</f>
        <v>yes</v>
      </c>
      <c r="L1326">
        <f>Tb_data[[#This Row],[workers]]-Tb_data[[#This Row],[previous_workers]]</f>
        <v>135</v>
      </c>
      <c r="M1326" s="12">
        <f>Tb_data[[#This Row],[Employees Growth]]/Tb_data[[#This Row],[previous_workers]]</f>
        <v>0.79411764705882348</v>
      </c>
    </row>
    <row r="1327" spans="1:13" x14ac:dyDescent="0.25">
      <c r="A1327" s="1" t="s">
        <v>4479</v>
      </c>
      <c r="B1327" s="1" t="s">
        <v>4480</v>
      </c>
      <c r="C1327" s="1">
        <v>2600000</v>
      </c>
      <c r="D1327" s="1" t="s">
        <v>49</v>
      </c>
      <c r="E1327">
        <v>183.6643</v>
      </c>
      <c r="F1327" s="1" t="s">
        <v>86</v>
      </c>
      <c r="G1327">
        <v>35</v>
      </c>
      <c r="H1327">
        <v>12</v>
      </c>
      <c r="I1327" s="1" t="s">
        <v>164</v>
      </c>
      <c r="J1327">
        <v>3</v>
      </c>
      <c r="K1327" t="str">
        <f>IF(Tb_data[[#This Row],[previous_workers]]&lt;Tb_data[[#This Row],[workers]],"yes","no")</f>
        <v>yes</v>
      </c>
      <c r="L1327">
        <f>Tb_data[[#This Row],[workers]]-Tb_data[[#This Row],[previous_workers]]</f>
        <v>23</v>
      </c>
      <c r="M1327" s="12">
        <f>Tb_data[[#This Row],[Employees Growth]]/Tb_data[[#This Row],[previous_workers]]</f>
        <v>1.9166666666666667</v>
      </c>
    </row>
    <row r="1328" spans="1:13" x14ac:dyDescent="0.25">
      <c r="A1328" s="1" t="s">
        <v>5524</v>
      </c>
      <c r="B1328" s="1" t="s">
        <v>5525</v>
      </c>
      <c r="C1328" s="1">
        <v>6000000</v>
      </c>
      <c r="D1328" s="1" t="s">
        <v>91</v>
      </c>
      <c r="E1328">
        <v>141.79580000000001</v>
      </c>
      <c r="F1328" s="1" t="s">
        <v>100</v>
      </c>
      <c r="G1328">
        <v>35</v>
      </c>
      <c r="H1328">
        <v>20</v>
      </c>
      <c r="I1328" s="1" t="s">
        <v>117</v>
      </c>
      <c r="J1328">
        <v>2</v>
      </c>
      <c r="K1328" t="str">
        <f>IF(Tb_data[[#This Row],[previous_workers]]&lt;Tb_data[[#This Row],[workers]],"yes","no")</f>
        <v>yes</v>
      </c>
      <c r="L1328">
        <f>Tb_data[[#This Row],[workers]]-Tb_data[[#This Row],[previous_workers]]</f>
        <v>15</v>
      </c>
      <c r="M1328" s="12">
        <f>Tb_data[[#This Row],[Employees Growth]]/Tb_data[[#This Row],[previous_workers]]</f>
        <v>0.75</v>
      </c>
    </row>
    <row r="1329" spans="1:13" x14ac:dyDescent="0.25">
      <c r="A1329" s="1" t="s">
        <v>4212</v>
      </c>
      <c r="B1329" s="1" t="s">
        <v>4213</v>
      </c>
      <c r="C1329" s="1">
        <v>2200000</v>
      </c>
      <c r="D1329" s="1" t="s">
        <v>49</v>
      </c>
      <c r="E1329">
        <v>195.31100000000001</v>
      </c>
      <c r="F1329" s="1" t="s">
        <v>12</v>
      </c>
      <c r="G1329">
        <v>15</v>
      </c>
      <c r="H1329">
        <v>4</v>
      </c>
      <c r="I1329" s="1" t="s">
        <v>13</v>
      </c>
      <c r="J1329">
        <v>1</v>
      </c>
      <c r="K1329" t="str">
        <f>IF(Tb_data[[#This Row],[previous_workers]]&lt;Tb_data[[#This Row],[workers]],"yes","no")</f>
        <v>yes</v>
      </c>
      <c r="L1329">
        <f>Tb_data[[#This Row],[workers]]-Tb_data[[#This Row],[previous_workers]]</f>
        <v>11</v>
      </c>
      <c r="M1329" s="12">
        <f>Tb_data[[#This Row],[Employees Growth]]/Tb_data[[#This Row],[previous_workers]]</f>
        <v>2.75</v>
      </c>
    </row>
    <row r="1330" spans="1:13" x14ac:dyDescent="0.25">
      <c r="A1330" s="1" t="s">
        <v>683</v>
      </c>
      <c r="B1330" s="1" t="s">
        <v>684</v>
      </c>
      <c r="C1330" s="1">
        <v>9100000</v>
      </c>
      <c r="D1330" s="1" t="s">
        <v>85</v>
      </c>
      <c r="E1330">
        <v>1507.9686999999999</v>
      </c>
      <c r="F1330" s="1" t="s">
        <v>17</v>
      </c>
      <c r="G1330">
        <v>15</v>
      </c>
      <c r="H1330">
        <v>5</v>
      </c>
      <c r="I1330" s="1" t="s">
        <v>46</v>
      </c>
      <c r="J1330">
        <v>3</v>
      </c>
      <c r="K1330" t="str">
        <f>IF(Tb_data[[#This Row],[previous_workers]]&lt;Tb_data[[#This Row],[workers]],"yes","no")</f>
        <v>yes</v>
      </c>
      <c r="L1330">
        <f>Tb_data[[#This Row],[workers]]-Tb_data[[#This Row],[previous_workers]]</f>
        <v>10</v>
      </c>
      <c r="M1330" s="12">
        <f>Tb_data[[#This Row],[Employees Growth]]/Tb_data[[#This Row],[previous_workers]]</f>
        <v>2</v>
      </c>
    </row>
    <row r="1331" spans="1:13" x14ac:dyDescent="0.25">
      <c r="A1331" s="1" t="s">
        <v>6645</v>
      </c>
      <c r="B1331" s="1" t="s">
        <v>6646</v>
      </c>
      <c r="C1331" s="1">
        <v>12300000</v>
      </c>
      <c r="D1331" s="1" t="s">
        <v>61</v>
      </c>
      <c r="E1331">
        <v>110.4096</v>
      </c>
      <c r="F1331" s="1" t="s">
        <v>86</v>
      </c>
      <c r="G1331">
        <v>67</v>
      </c>
      <c r="H1331">
        <v>40</v>
      </c>
      <c r="I1331" s="1" t="s">
        <v>35</v>
      </c>
      <c r="J1331">
        <v>6</v>
      </c>
      <c r="K1331" t="str">
        <f>IF(Tb_data[[#This Row],[previous_workers]]&lt;Tb_data[[#This Row],[workers]],"yes","no")</f>
        <v>yes</v>
      </c>
      <c r="L1331">
        <f>Tb_data[[#This Row],[workers]]-Tb_data[[#This Row],[previous_workers]]</f>
        <v>27</v>
      </c>
      <c r="M1331" s="12">
        <f>Tb_data[[#This Row],[Employees Growth]]/Tb_data[[#This Row],[previous_workers]]</f>
        <v>0.67500000000000004</v>
      </c>
    </row>
    <row r="1332" spans="1:13" x14ac:dyDescent="0.25">
      <c r="A1332" s="1" t="s">
        <v>2546</v>
      </c>
      <c r="B1332" s="1" t="s">
        <v>2547</v>
      </c>
      <c r="C1332" s="1">
        <v>2700000</v>
      </c>
      <c r="D1332" s="1" t="s">
        <v>33</v>
      </c>
      <c r="E1332">
        <v>337.43770000000001</v>
      </c>
      <c r="F1332" s="1" t="s">
        <v>25</v>
      </c>
      <c r="G1332">
        <v>8</v>
      </c>
      <c r="H1332">
        <v>3</v>
      </c>
      <c r="I1332" s="1" t="s">
        <v>117</v>
      </c>
      <c r="J1332">
        <v>1</v>
      </c>
      <c r="K1332" t="str">
        <f>IF(Tb_data[[#This Row],[previous_workers]]&lt;Tb_data[[#This Row],[workers]],"yes","no")</f>
        <v>yes</v>
      </c>
      <c r="L1332">
        <f>Tb_data[[#This Row],[workers]]-Tb_data[[#This Row],[previous_workers]]</f>
        <v>5</v>
      </c>
      <c r="M1332" s="12">
        <f>Tb_data[[#This Row],[Employees Growth]]/Tb_data[[#This Row],[previous_workers]]</f>
        <v>1.6666666666666667</v>
      </c>
    </row>
    <row r="1333" spans="1:13" x14ac:dyDescent="0.25">
      <c r="A1333" s="1" t="s">
        <v>6651</v>
      </c>
      <c r="B1333" s="1" t="s">
        <v>6652</v>
      </c>
      <c r="C1333" s="1">
        <v>17700000</v>
      </c>
      <c r="D1333" s="1" t="s">
        <v>41</v>
      </c>
      <c r="E1333">
        <v>110.1746</v>
      </c>
      <c r="F1333" s="1" t="s">
        <v>161</v>
      </c>
      <c r="G1333">
        <v>99</v>
      </c>
      <c r="H1333">
        <v>52</v>
      </c>
      <c r="I1333" s="1" t="s">
        <v>229</v>
      </c>
      <c r="J1333">
        <v>10</v>
      </c>
      <c r="K1333" t="str">
        <f>IF(Tb_data[[#This Row],[previous_workers]]&lt;Tb_data[[#This Row],[workers]],"yes","no")</f>
        <v>yes</v>
      </c>
      <c r="L1333">
        <f>Tb_data[[#This Row],[workers]]-Tb_data[[#This Row],[previous_workers]]</f>
        <v>47</v>
      </c>
      <c r="M1333" s="12">
        <f>Tb_data[[#This Row],[Employees Growth]]/Tb_data[[#This Row],[previous_workers]]</f>
        <v>0.90384615384615385</v>
      </c>
    </row>
    <row r="1334" spans="1:13" x14ac:dyDescent="0.25">
      <c r="A1334" s="1" t="s">
        <v>685</v>
      </c>
      <c r="B1334" s="1" t="s">
        <v>686</v>
      </c>
      <c r="C1334" s="1">
        <v>11800000</v>
      </c>
      <c r="D1334" s="1" t="s">
        <v>49</v>
      </c>
      <c r="E1334">
        <v>1505.6425999999999</v>
      </c>
      <c r="F1334" s="1" t="s">
        <v>86</v>
      </c>
      <c r="G1334">
        <v>102</v>
      </c>
      <c r="H1334">
        <v>12</v>
      </c>
      <c r="I1334" s="1" t="s">
        <v>55</v>
      </c>
      <c r="J1334">
        <v>1</v>
      </c>
      <c r="K1334" t="str">
        <f>IF(Tb_data[[#This Row],[previous_workers]]&lt;Tb_data[[#This Row],[workers]],"yes","no")</f>
        <v>yes</v>
      </c>
      <c r="L1334">
        <f>Tb_data[[#This Row],[workers]]-Tb_data[[#This Row],[previous_workers]]</f>
        <v>90</v>
      </c>
      <c r="M1334" s="12">
        <f>Tb_data[[#This Row],[Employees Growth]]/Tb_data[[#This Row],[previous_workers]]</f>
        <v>7.5</v>
      </c>
    </row>
    <row r="1335" spans="1:13" x14ac:dyDescent="0.25">
      <c r="A1335" s="1" t="s">
        <v>7815</v>
      </c>
      <c r="B1335" s="1" t="s">
        <v>7816</v>
      </c>
      <c r="C1335" s="1">
        <v>3700000</v>
      </c>
      <c r="D1335" s="1" t="s">
        <v>45</v>
      </c>
      <c r="E1335">
        <v>86.066000000000003</v>
      </c>
      <c r="F1335" s="1" t="s">
        <v>34</v>
      </c>
      <c r="G1335">
        <v>10</v>
      </c>
      <c r="H1335">
        <v>5</v>
      </c>
      <c r="I1335" s="1" t="s">
        <v>46</v>
      </c>
      <c r="J1335">
        <v>2</v>
      </c>
      <c r="K1335" t="str">
        <f>IF(Tb_data[[#This Row],[previous_workers]]&lt;Tb_data[[#This Row],[workers]],"yes","no")</f>
        <v>yes</v>
      </c>
      <c r="L1335">
        <f>Tb_data[[#This Row],[workers]]-Tb_data[[#This Row],[previous_workers]]</f>
        <v>5</v>
      </c>
      <c r="M1335" s="12">
        <f>Tb_data[[#This Row],[Employees Growth]]/Tb_data[[#This Row],[previous_workers]]</f>
        <v>1</v>
      </c>
    </row>
    <row r="1336" spans="1:13" x14ac:dyDescent="0.25">
      <c r="A1336" s="1" t="s">
        <v>3937</v>
      </c>
      <c r="B1336" s="1" t="s">
        <v>3938</v>
      </c>
      <c r="C1336" s="1">
        <v>9500000</v>
      </c>
      <c r="D1336" s="1" t="s">
        <v>115</v>
      </c>
      <c r="E1336">
        <v>210.851</v>
      </c>
      <c r="F1336" s="1" t="s">
        <v>30</v>
      </c>
      <c r="G1336">
        <v>230</v>
      </c>
      <c r="H1336">
        <v>75</v>
      </c>
      <c r="I1336" s="1" t="s">
        <v>74</v>
      </c>
      <c r="J1336">
        <v>3</v>
      </c>
      <c r="K1336" t="str">
        <f>IF(Tb_data[[#This Row],[previous_workers]]&lt;Tb_data[[#This Row],[workers]],"yes","no")</f>
        <v>yes</v>
      </c>
      <c r="L1336">
        <f>Tb_data[[#This Row],[workers]]-Tb_data[[#This Row],[previous_workers]]</f>
        <v>155</v>
      </c>
      <c r="M1336" s="12">
        <f>Tb_data[[#This Row],[Employees Growth]]/Tb_data[[#This Row],[previous_workers]]</f>
        <v>2.0666666666666669</v>
      </c>
    </row>
    <row r="1337" spans="1:13" x14ac:dyDescent="0.25">
      <c r="A1337" s="1" t="s">
        <v>5000</v>
      </c>
      <c r="B1337" s="1" t="s">
        <v>5001</v>
      </c>
      <c r="C1337" s="1">
        <v>2400000</v>
      </c>
      <c r="D1337" s="1" t="s">
        <v>33</v>
      </c>
      <c r="E1337">
        <v>161.84059999999999</v>
      </c>
      <c r="F1337" s="1" t="s">
        <v>25</v>
      </c>
      <c r="G1337">
        <v>14</v>
      </c>
      <c r="H1337">
        <v>12</v>
      </c>
      <c r="I1337" s="1" t="s">
        <v>117</v>
      </c>
      <c r="J1337">
        <v>1</v>
      </c>
      <c r="K1337" t="str">
        <f>IF(Tb_data[[#This Row],[previous_workers]]&lt;Tb_data[[#This Row],[workers]],"yes","no")</f>
        <v>yes</v>
      </c>
      <c r="L1337">
        <f>Tb_data[[#This Row],[workers]]-Tb_data[[#This Row],[previous_workers]]</f>
        <v>2</v>
      </c>
      <c r="M1337" s="12">
        <f>Tb_data[[#This Row],[Employees Growth]]/Tb_data[[#This Row],[previous_workers]]</f>
        <v>0.16666666666666666</v>
      </c>
    </row>
    <row r="1338" spans="1:13" x14ac:dyDescent="0.25">
      <c r="A1338" s="1" t="s">
        <v>8179</v>
      </c>
      <c r="B1338" s="1" t="s">
        <v>8180</v>
      </c>
      <c r="C1338" s="1">
        <v>27000000</v>
      </c>
      <c r="D1338" s="1" t="s">
        <v>61</v>
      </c>
      <c r="E1338">
        <v>80</v>
      </c>
      <c r="F1338" s="1" t="s">
        <v>25</v>
      </c>
      <c r="G1338">
        <v>56</v>
      </c>
      <c r="H1338">
        <v>38</v>
      </c>
      <c r="I1338" s="1" t="s">
        <v>55</v>
      </c>
      <c r="J1338">
        <v>1</v>
      </c>
      <c r="K1338" t="str">
        <f>IF(Tb_data[[#This Row],[previous_workers]]&lt;Tb_data[[#This Row],[workers]],"yes","no")</f>
        <v>yes</v>
      </c>
      <c r="L1338">
        <f>Tb_data[[#This Row],[workers]]-Tb_data[[#This Row],[previous_workers]]</f>
        <v>18</v>
      </c>
      <c r="M1338" s="12">
        <f>Tb_data[[#This Row],[Employees Growth]]/Tb_data[[#This Row],[previous_workers]]</f>
        <v>0.47368421052631576</v>
      </c>
    </row>
    <row r="1339" spans="1:13" x14ac:dyDescent="0.25">
      <c r="A1339" s="1" t="s">
        <v>4248</v>
      </c>
      <c r="B1339" s="1" t="s">
        <v>4249</v>
      </c>
      <c r="C1339" s="1">
        <v>12100000</v>
      </c>
      <c r="D1339" s="1" t="s">
        <v>20</v>
      </c>
      <c r="E1339">
        <v>194.06440000000001</v>
      </c>
      <c r="F1339" s="1" t="s">
        <v>12</v>
      </c>
      <c r="G1339">
        <v>27</v>
      </c>
      <c r="H1339">
        <v>6</v>
      </c>
      <c r="I1339" s="1" t="s">
        <v>55</v>
      </c>
      <c r="J1339">
        <v>1</v>
      </c>
      <c r="K1339" t="str">
        <f>IF(Tb_data[[#This Row],[previous_workers]]&lt;Tb_data[[#This Row],[workers]],"yes","no")</f>
        <v>yes</v>
      </c>
      <c r="L1339">
        <f>Tb_data[[#This Row],[workers]]-Tb_data[[#This Row],[previous_workers]]</f>
        <v>21</v>
      </c>
      <c r="M1339" s="12">
        <f>Tb_data[[#This Row],[Employees Growth]]/Tb_data[[#This Row],[previous_workers]]</f>
        <v>3.5</v>
      </c>
    </row>
    <row r="1340" spans="1:13" x14ac:dyDescent="0.25">
      <c r="A1340" s="1" t="s">
        <v>9175</v>
      </c>
      <c r="B1340" s="1" t="s">
        <v>9176</v>
      </c>
      <c r="C1340" s="1">
        <v>15300000</v>
      </c>
      <c r="D1340" s="1" t="s">
        <v>254</v>
      </c>
      <c r="E1340">
        <v>64.515600000000006</v>
      </c>
      <c r="F1340" s="1" t="s">
        <v>21</v>
      </c>
      <c r="G1340">
        <v>54</v>
      </c>
      <c r="H1340">
        <v>30</v>
      </c>
      <c r="I1340" s="1" t="s">
        <v>1622</v>
      </c>
      <c r="J1340">
        <v>12</v>
      </c>
      <c r="K1340" t="str">
        <f>IF(Tb_data[[#This Row],[previous_workers]]&lt;Tb_data[[#This Row],[workers]],"yes","no")</f>
        <v>yes</v>
      </c>
      <c r="L1340">
        <f>Tb_data[[#This Row],[workers]]-Tb_data[[#This Row],[previous_workers]]</f>
        <v>24</v>
      </c>
      <c r="M1340" s="12">
        <f>Tb_data[[#This Row],[Employees Growth]]/Tb_data[[#This Row],[previous_workers]]</f>
        <v>0.8</v>
      </c>
    </row>
    <row r="1341" spans="1:13" x14ac:dyDescent="0.25">
      <c r="A1341" s="1" t="s">
        <v>885</v>
      </c>
      <c r="B1341" s="1" t="s">
        <v>886</v>
      </c>
      <c r="C1341" s="1">
        <v>6900000</v>
      </c>
      <c r="D1341" s="1" t="s">
        <v>29</v>
      </c>
      <c r="E1341">
        <v>1147.2141999999999</v>
      </c>
      <c r="F1341" s="1" t="s">
        <v>34</v>
      </c>
      <c r="G1341">
        <v>3</v>
      </c>
      <c r="H1341">
        <v>2</v>
      </c>
      <c r="I1341" s="1" t="s">
        <v>55</v>
      </c>
      <c r="J1341">
        <v>1</v>
      </c>
      <c r="K1341" t="str">
        <f>IF(Tb_data[[#This Row],[previous_workers]]&lt;Tb_data[[#This Row],[workers]],"yes","no")</f>
        <v>yes</v>
      </c>
      <c r="L1341">
        <f>Tb_data[[#This Row],[workers]]-Tb_data[[#This Row],[previous_workers]]</f>
        <v>1</v>
      </c>
      <c r="M1341" s="12">
        <f>Tb_data[[#This Row],[Employees Growth]]/Tb_data[[#This Row],[previous_workers]]</f>
        <v>0.5</v>
      </c>
    </row>
    <row r="1342" spans="1:13" x14ac:dyDescent="0.25">
      <c r="A1342" s="1" t="s">
        <v>3791</v>
      </c>
      <c r="B1342" s="1" t="s">
        <v>3792</v>
      </c>
      <c r="C1342" s="1">
        <v>9800000</v>
      </c>
      <c r="D1342" s="1" t="s">
        <v>427</v>
      </c>
      <c r="E1342">
        <v>222.39789999999999</v>
      </c>
      <c r="F1342" s="1" t="s">
        <v>17</v>
      </c>
      <c r="G1342">
        <v>63</v>
      </c>
      <c r="H1342">
        <v>11</v>
      </c>
      <c r="I1342" s="1" t="s">
        <v>164</v>
      </c>
      <c r="J1342">
        <v>4</v>
      </c>
      <c r="K1342" t="str">
        <f>IF(Tb_data[[#This Row],[previous_workers]]&lt;Tb_data[[#This Row],[workers]],"yes","no")</f>
        <v>yes</v>
      </c>
      <c r="L1342">
        <f>Tb_data[[#This Row],[workers]]-Tb_data[[#This Row],[previous_workers]]</f>
        <v>52</v>
      </c>
      <c r="M1342" s="12">
        <f>Tb_data[[#This Row],[Employees Growth]]/Tb_data[[#This Row],[previous_workers]]</f>
        <v>4.7272727272727275</v>
      </c>
    </row>
    <row r="1343" spans="1:13" x14ac:dyDescent="0.25">
      <c r="A1343" s="1" t="s">
        <v>3085</v>
      </c>
      <c r="B1343" s="1" t="s">
        <v>3086</v>
      </c>
      <c r="C1343" s="1">
        <v>12400000</v>
      </c>
      <c r="D1343" s="1" t="s">
        <v>129</v>
      </c>
      <c r="E1343">
        <v>278.70600000000002</v>
      </c>
      <c r="F1343" s="1" t="s">
        <v>100</v>
      </c>
      <c r="G1343">
        <v>400</v>
      </c>
      <c r="H1343">
        <v>202</v>
      </c>
      <c r="I1343" s="1" t="s">
        <v>46</v>
      </c>
      <c r="J1343">
        <v>4</v>
      </c>
      <c r="K1343" t="str">
        <f>IF(Tb_data[[#This Row],[previous_workers]]&lt;Tb_data[[#This Row],[workers]],"yes","no")</f>
        <v>yes</v>
      </c>
      <c r="L1343">
        <f>Tb_data[[#This Row],[workers]]-Tb_data[[#This Row],[previous_workers]]</f>
        <v>198</v>
      </c>
      <c r="M1343" s="12">
        <f>Tb_data[[#This Row],[Employees Growth]]/Tb_data[[#This Row],[previous_workers]]</f>
        <v>0.98019801980198018</v>
      </c>
    </row>
    <row r="1344" spans="1:13" x14ac:dyDescent="0.25">
      <c r="A1344" s="1" t="s">
        <v>3990</v>
      </c>
      <c r="B1344" s="1" t="s">
        <v>3991</v>
      </c>
      <c r="C1344" s="1">
        <v>209700000</v>
      </c>
      <c r="D1344" s="1" t="s">
        <v>41</v>
      </c>
      <c r="E1344">
        <v>207.34880000000001</v>
      </c>
      <c r="F1344" s="1" t="s">
        <v>135</v>
      </c>
      <c r="G1344">
        <v>948</v>
      </c>
      <c r="H1344">
        <v>201</v>
      </c>
      <c r="I1344" s="1" t="s">
        <v>295</v>
      </c>
      <c r="J1344">
        <v>4</v>
      </c>
      <c r="K1344" t="str">
        <f>IF(Tb_data[[#This Row],[previous_workers]]&lt;Tb_data[[#This Row],[workers]],"yes","no")</f>
        <v>yes</v>
      </c>
      <c r="L1344">
        <f>Tb_data[[#This Row],[workers]]-Tb_data[[#This Row],[previous_workers]]</f>
        <v>747</v>
      </c>
      <c r="M1344" s="12">
        <f>Tb_data[[#This Row],[Employees Growth]]/Tb_data[[#This Row],[previous_workers]]</f>
        <v>3.716417910447761</v>
      </c>
    </row>
    <row r="1345" spans="1:13" x14ac:dyDescent="0.25">
      <c r="A1345" s="1" t="s">
        <v>5442</v>
      </c>
      <c r="B1345" s="1" t="s">
        <v>5443</v>
      </c>
      <c r="C1345" s="1">
        <v>13700000</v>
      </c>
      <c r="D1345" s="1" t="s">
        <v>179</v>
      </c>
      <c r="E1345">
        <v>144.762</v>
      </c>
      <c r="F1345" s="1" t="s">
        <v>21</v>
      </c>
      <c r="G1345">
        <v>73</v>
      </c>
      <c r="H1345">
        <v>33</v>
      </c>
      <c r="I1345" s="1" t="s">
        <v>164</v>
      </c>
      <c r="J1345">
        <v>4</v>
      </c>
      <c r="K1345" t="str">
        <f>IF(Tb_data[[#This Row],[previous_workers]]&lt;Tb_data[[#This Row],[workers]],"yes","no")</f>
        <v>yes</v>
      </c>
      <c r="L1345">
        <f>Tb_data[[#This Row],[workers]]-Tb_data[[#This Row],[previous_workers]]</f>
        <v>40</v>
      </c>
      <c r="M1345" s="12">
        <f>Tb_data[[#This Row],[Employees Growth]]/Tb_data[[#This Row],[previous_workers]]</f>
        <v>1.2121212121212122</v>
      </c>
    </row>
    <row r="1346" spans="1:13" x14ac:dyDescent="0.25">
      <c r="A1346" s="1" t="s">
        <v>5952</v>
      </c>
      <c r="B1346" s="1" t="s">
        <v>5953</v>
      </c>
      <c r="C1346" s="1">
        <v>2200000</v>
      </c>
      <c r="D1346" s="1" t="s">
        <v>627</v>
      </c>
      <c r="E1346">
        <v>127.6529</v>
      </c>
      <c r="F1346" s="1" t="s">
        <v>21</v>
      </c>
      <c r="G1346">
        <v>90</v>
      </c>
      <c r="H1346">
        <v>60</v>
      </c>
      <c r="I1346" s="1" t="s">
        <v>948</v>
      </c>
      <c r="J1346">
        <v>1</v>
      </c>
      <c r="K1346" t="str">
        <f>IF(Tb_data[[#This Row],[previous_workers]]&lt;Tb_data[[#This Row],[workers]],"yes","no")</f>
        <v>yes</v>
      </c>
      <c r="L1346">
        <f>Tb_data[[#This Row],[workers]]-Tb_data[[#This Row],[previous_workers]]</f>
        <v>30</v>
      </c>
      <c r="M1346" s="12">
        <f>Tb_data[[#This Row],[Employees Growth]]/Tb_data[[#This Row],[previous_workers]]</f>
        <v>0.5</v>
      </c>
    </row>
    <row r="1347" spans="1:13" x14ac:dyDescent="0.25">
      <c r="A1347" s="1" t="s">
        <v>7727</v>
      </c>
      <c r="B1347" s="1" t="s">
        <v>7728</v>
      </c>
      <c r="C1347" s="1">
        <v>60500000</v>
      </c>
      <c r="D1347" s="1" t="s">
        <v>11</v>
      </c>
      <c r="E1347">
        <v>87.620500000000007</v>
      </c>
      <c r="F1347" s="1" t="s">
        <v>124</v>
      </c>
      <c r="G1347">
        <v>350</v>
      </c>
      <c r="H1347">
        <v>150</v>
      </c>
      <c r="I1347" s="1" t="s">
        <v>3426</v>
      </c>
      <c r="J1347">
        <v>1</v>
      </c>
      <c r="K1347" t="str">
        <f>IF(Tb_data[[#This Row],[previous_workers]]&lt;Tb_data[[#This Row],[workers]],"yes","no")</f>
        <v>yes</v>
      </c>
      <c r="L1347">
        <f>Tb_data[[#This Row],[workers]]-Tb_data[[#This Row],[previous_workers]]</f>
        <v>200</v>
      </c>
      <c r="M1347" s="12">
        <f>Tb_data[[#This Row],[Employees Growth]]/Tb_data[[#This Row],[previous_workers]]</f>
        <v>1.3333333333333333</v>
      </c>
    </row>
    <row r="1348" spans="1:13" x14ac:dyDescent="0.25">
      <c r="A1348" s="1" t="s">
        <v>1629</v>
      </c>
      <c r="B1348" s="1" t="s">
        <v>1630</v>
      </c>
      <c r="C1348" s="1">
        <v>5000000</v>
      </c>
      <c r="D1348" s="1" t="s">
        <v>49</v>
      </c>
      <c r="E1348">
        <v>571.48590000000002</v>
      </c>
      <c r="F1348" s="1" t="s">
        <v>25</v>
      </c>
      <c r="G1348">
        <v>5</v>
      </c>
      <c r="H1348">
        <v>3</v>
      </c>
      <c r="I1348" s="1" t="s">
        <v>55</v>
      </c>
      <c r="J1348">
        <v>2</v>
      </c>
      <c r="K1348" t="str">
        <f>IF(Tb_data[[#This Row],[previous_workers]]&lt;Tb_data[[#This Row],[workers]],"yes","no")</f>
        <v>yes</v>
      </c>
      <c r="L1348">
        <f>Tb_data[[#This Row],[workers]]-Tb_data[[#This Row],[previous_workers]]</f>
        <v>2</v>
      </c>
      <c r="M1348" s="12">
        <f>Tb_data[[#This Row],[Employees Growth]]/Tb_data[[#This Row],[previous_workers]]</f>
        <v>0.66666666666666663</v>
      </c>
    </row>
    <row r="1349" spans="1:13" x14ac:dyDescent="0.25">
      <c r="A1349" s="1" t="s">
        <v>1238</v>
      </c>
      <c r="B1349" s="1" t="s">
        <v>1239</v>
      </c>
      <c r="C1349" s="1">
        <v>46400000</v>
      </c>
      <c r="D1349" s="1" t="s">
        <v>33</v>
      </c>
      <c r="E1349">
        <v>775.29880000000003</v>
      </c>
      <c r="F1349" s="1" t="s">
        <v>97</v>
      </c>
      <c r="G1349">
        <v>190</v>
      </c>
      <c r="H1349">
        <v>50</v>
      </c>
      <c r="I1349" s="1" t="s">
        <v>164</v>
      </c>
      <c r="J1349">
        <v>3</v>
      </c>
      <c r="K1349" t="str">
        <f>IF(Tb_data[[#This Row],[previous_workers]]&lt;Tb_data[[#This Row],[workers]],"yes","no")</f>
        <v>yes</v>
      </c>
      <c r="L1349">
        <f>Tb_data[[#This Row],[workers]]-Tb_data[[#This Row],[previous_workers]]</f>
        <v>140</v>
      </c>
      <c r="M1349" s="12">
        <f>Tb_data[[#This Row],[Employees Growth]]/Tb_data[[#This Row],[previous_workers]]</f>
        <v>2.8</v>
      </c>
    </row>
    <row r="1350" spans="1:13" x14ac:dyDescent="0.25">
      <c r="A1350" s="1" t="s">
        <v>3127</v>
      </c>
      <c r="B1350" s="1" t="s">
        <v>3128</v>
      </c>
      <c r="C1350" s="1">
        <v>524400000</v>
      </c>
      <c r="D1350" s="1" t="s">
        <v>33</v>
      </c>
      <c r="E1350">
        <v>275.44549999999998</v>
      </c>
      <c r="F1350" s="1" t="s">
        <v>124</v>
      </c>
      <c r="G1350">
        <v>280</v>
      </c>
      <c r="H1350">
        <v>200</v>
      </c>
      <c r="I1350" s="1" t="s">
        <v>46</v>
      </c>
      <c r="J1350">
        <v>9</v>
      </c>
      <c r="K1350" t="str">
        <f>IF(Tb_data[[#This Row],[previous_workers]]&lt;Tb_data[[#This Row],[workers]],"yes","no")</f>
        <v>yes</v>
      </c>
      <c r="L1350">
        <f>Tb_data[[#This Row],[workers]]-Tb_data[[#This Row],[previous_workers]]</f>
        <v>80</v>
      </c>
      <c r="M1350" s="12">
        <f>Tb_data[[#This Row],[Employees Growth]]/Tb_data[[#This Row],[previous_workers]]</f>
        <v>0.4</v>
      </c>
    </row>
    <row r="1351" spans="1:13" x14ac:dyDescent="0.25">
      <c r="A1351" s="1" t="s">
        <v>6293</v>
      </c>
      <c r="B1351" s="1" t="s">
        <v>6294</v>
      </c>
      <c r="C1351" s="1">
        <v>3600000</v>
      </c>
      <c r="D1351" s="1" t="s">
        <v>221</v>
      </c>
      <c r="E1351">
        <v>119.0561</v>
      </c>
      <c r="F1351" s="1" t="s">
        <v>12</v>
      </c>
      <c r="G1351">
        <v>35</v>
      </c>
      <c r="H1351">
        <v>25</v>
      </c>
      <c r="I1351" s="1" t="s">
        <v>35</v>
      </c>
      <c r="J1351">
        <v>2</v>
      </c>
      <c r="K1351" t="str">
        <f>IF(Tb_data[[#This Row],[previous_workers]]&lt;Tb_data[[#This Row],[workers]],"yes","no")</f>
        <v>yes</v>
      </c>
      <c r="L1351">
        <f>Tb_data[[#This Row],[workers]]-Tb_data[[#This Row],[previous_workers]]</f>
        <v>10</v>
      </c>
      <c r="M1351" s="12">
        <f>Tb_data[[#This Row],[Employees Growth]]/Tb_data[[#This Row],[previous_workers]]</f>
        <v>0.4</v>
      </c>
    </row>
    <row r="1352" spans="1:13" x14ac:dyDescent="0.25">
      <c r="A1352" s="1" t="s">
        <v>9163</v>
      </c>
      <c r="B1352" s="1" t="s">
        <v>9164</v>
      </c>
      <c r="C1352" s="1">
        <v>4700000</v>
      </c>
      <c r="D1352" s="1" t="s">
        <v>58</v>
      </c>
      <c r="E1352">
        <v>64.629000000000005</v>
      </c>
      <c r="F1352" s="1" t="s">
        <v>34</v>
      </c>
      <c r="G1352">
        <v>130</v>
      </c>
      <c r="H1352">
        <v>85</v>
      </c>
      <c r="I1352" s="1" t="s">
        <v>948</v>
      </c>
      <c r="J1352">
        <v>4</v>
      </c>
      <c r="K1352" t="str">
        <f>IF(Tb_data[[#This Row],[previous_workers]]&lt;Tb_data[[#This Row],[workers]],"yes","no")</f>
        <v>yes</v>
      </c>
      <c r="L1352">
        <f>Tb_data[[#This Row],[workers]]-Tb_data[[#This Row],[previous_workers]]</f>
        <v>45</v>
      </c>
      <c r="M1352" s="12">
        <f>Tb_data[[#This Row],[Employees Growth]]/Tb_data[[#This Row],[previous_workers]]</f>
        <v>0.52941176470588236</v>
      </c>
    </row>
    <row r="1353" spans="1:13" x14ac:dyDescent="0.25">
      <c r="A1353" s="1" t="s">
        <v>6926</v>
      </c>
      <c r="B1353" s="1" t="s">
        <v>6927</v>
      </c>
      <c r="C1353" s="1">
        <v>49300000</v>
      </c>
      <c r="D1353" s="1" t="s">
        <v>49</v>
      </c>
      <c r="E1353">
        <v>103.5715</v>
      </c>
      <c r="F1353" s="1" t="s">
        <v>25</v>
      </c>
      <c r="G1353">
        <v>49</v>
      </c>
      <c r="H1353">
        <v>44</v>
      </c>
      <c r="I1353" s="1" t="s">
        <v>229</v>
      </c>
      <c r="J1353">
        <v>4</v>
      </c>
      <c r="K1353" t="str">
        <f>IF(Tb_data[[#This Row],[previous_workers]]&lt;Tb_data[[#This Row],[workers]],"yes","no")</f>
        <v>yes</v>
      </c>
      <c r="L1353">
        <f>Tb_data[[#This Row],[workers]]-Tb_data[[#This Row],[previous_workers]]</f>
        <v>5</v>
      </c>
      <c r="M1353" s="12">
        <f>Tb_data[[#This Row],[Employees Growth]]/Tb_data[[#This Row],[previous_workers]]</f>
        <v>0.11363636363636363</v>
      </c>
    </row>
    <row r="1354" spans="1:13" x14ac:dyDescent="0.25">
      <c r="A1354" s="1" t="s">
        <v>6843</v>
      </c>
      <c r="B1354" s="1" t="s">
        <v>6844</v>
      </c>
      <c r="C1354" s="1">
        <v>106000000</v>
      </c>
      <c r="D1354" s="1" t="s">
        <v>24</v>
      </c>
      <c r="E1354">
        <v>105.68989999999999</v>
      </c>
      <c r="F1354" s="1" t="s">
        <v>124</v>
      </c>
      <c r="G1354">
        <v>620</v>
      </c>
      <c r="H1354">
        <v>355</v>
      </c>
      <c r="I1354" s="1" t="s">
        <v>1657</v>
      </c>
      <c r="J1354">
        <v>2</v>
      </c>
      <c r="K1354" t="str">
        <f>IF(Tb_data[[#This Row],[previous_workers]]&lt;Tb_data[[#This Row],[workers]],"yes","no")</f>
        <v>yes</v>
      </c>
      <c r="L1354">
        <f>Tb_data[[#This Row],[workers]]-Tb_data[[#This Row],[previous_workers]]</f>
        <v>265</v>
      </c>
      <c r="M1354" s="12">
        <f>Tb_data[[#This Row],[Employees Growth]]/Tb_data[[#This Row],[previous_workers]]</f>
        <v>0.74647887323943662</v>
      </c>
    </row>
    <row r="1355" spans="1:13" x14ac:dyDescent="0.25">
      <c r="A1355" s="1" t="s">
        <v>10028</v>
      </c>
      <c r="B1355" s="1" t="s">
        <v>10029</v>
      </c>
      <c r="C1355" s="1">
        <v>180500000</v>
      </c>
      <c r="D1355" s="1" t="s">
        <v>120</v>
      </c>
      <c r="E1355">
        <v>53.125599999999999</v>
      </c>
      <c r="F1355" s="1" t="s">
        <v>124</v>
      </c>
      <c r="G1355">
        <v>379</v>
      </c>
      <c r="H1355">
        <v>240</v>
      </c>
      <c r="I1355" s="1" t="s">
        <v>980</v>
      </c>
      <c r="J1355">
        <v>9</v>
      </c>
      <c r="K1355" t="str">
        <f>IF(Tb_data[[#This Row],[previous_workers]]&lt;Tb_data[[#This Row],[workers]],"yes","no")</f>
        <v>yes</v>
      </c>
      <c r="L1355">
        <f>Tb_data[[#This Row],[workers]]-Tb_data[[#This Row],[previous_workers]]</f>
        <v>139</v>
      </c>
      <c r="M1355" s="12">
        <f>Tb_data[[#This Row],[Employees Growth]]/Tb_data[[#This Row],[previous_workers]]</f>
        <v>0.57916666666666672</v>
      </c>
    </row>
    <row r="1356" spans="1:13" x14ac:dyDescent="0.25">
      <c r="A1356" s="1" t="s">
        <v>4295</v>
      </c>
      <c r="B1356" s="1" t="s">
        <v>4296</v>
      </c>
      <c r="C1356" s="1">
        <v>5900000</v>
      </c>
      <c r="D1356" s="1" t="s">
        <v>49</v>
      </c>
      <c r="E1356">
        <v>191.16249999999999</v>
      </c>
      <c r="F1356" s="1" t="s">
        <v>86</v>
      </c>
      <c r="G1356">
        <v>42</v>
      </c>
      <c r="H1356">
        <v>8</v>
      </c>
      <c r="I1356" s="1" t="s">
        <v>35</v>
      </c>
      <c r="J1356">
        <v>2</v>
      </c>
      <c r="K1356" t="str">
        <f>IF(Tb_data[[#This Row],[previous_workers]]&lt;Tb_data[[#This Row],[workers]],"yes","no")</f>
        <v>yes</v>
      </c>
      <c r="L1356">
        <f>Tb_data[[#This Row],[workers]]-Tb_data[[#This Row],[previous_workers]]</f>
        <v>34</v>
      </c>
      <c r="M1356" s="12">
        <f>Tb_data[[#This Row],[Employees Growth]]/Tb_data[[#This Row],[previous_workers]]</f>
        <v>4.25</v>
      </c>
    </row>
    <row r="1357" spans="1:13" x14ac:dyDescent="0.25">
      <c r="A1357" s="1" t="s">
        <v>1391</v>
      </c>
      <c r="B1357" s="1" t="s">
        <v>1392</v>
      </c>
      <c r="C1357" s="1">
        <v>2600000</v>
      </c>
      <c r="D1357" s="1" t="s">
        <v>120</v>
      </c>
      <c r="E1357">
        <v>685.19159999999999</v>
      </c>
      <c r="F1357" s="1" t="s">
        <v>21</v>
      </c>
      <c r="G1357">
        <v>50</v>
      </c>
      <c r="H1357">
        <v>60</v>
      </c>
      <c r="I1357" s="1" t="s">
        <v>26</v>
      </c>
      <c r="J1357">
        <v>2</v>
      </c>
      <c r="K1357" t="str">
        <f>IF(Tb_data[[#This Row],[previous_workers]]&lt;Tb_data[[#This Row],[workers]],"yes","no")</f>
        <v>no</v>
      </c>
      <c r="L1357">
        <f>Tb_data[[#This Row],[workers]]-Tb_data[[#This Row],[previous_workers]]</f>
        <v>-10</v>
      </c>
      <c r="M1357" s="12">
        <f>Tb_data[[#This Row],[Employees Growth]]/Tb_data[[#This Row],[previous_workers]]</f>
        <v>-0.16666666666666666</v>
      </c>
    </row>
    <row r="1358" spans="1:13" x14ac:dyDescent="0.25">
      <c r="A1358" s="1" t="s">
        <v>2221</v>
      </c>
      <c r="B1358" s="1" t="s">
        <v>2222</v>
      </c>
      <c r="C1358" s="1">
        <v>7800000</v>
      </c>
      <c r="D1358" s="1" t="s">
        <v>422</v>
      </c>
      <c r="E1358">
        <v>397.5</v>
      </c>
      <c r="F1358" s="1" t="s">
        <v>12</v>
      </c>
      <c r="G1358">
        <v>83</v>
      </c>
      <c r="H1358">
        <v>30</v>
      </c>
      <c r="I1358" s="1" t="s">
        <v>130</v>
      </c>
      <c r="J1358">
        <v>3</v>
      </c>
      <c r="K1358" t="str">
        <f>IF(Tb_data[[#This Row],[previous_workers]]&lt;Tb_data[[#This Row],[workers]],"yes","no")</f>
        <v>yes</v>
      </c>
      <c r="L1358">
        <f>Tb_data[[#This Row],[workers]]-Tb_data[[#This Row],[previous_workers]]</f>
        <v>53</v>
      </c>
      <c r="M1358" s="12">
        <f>Tb_data[[#This Row],[Employees Growth]]/Tb_data[[#This Row],[previous_workers]]</f>
        <v>1.7666666666666666</v>
      </c>
    </row>
    <row r="1359" spans="1:13" x14ac:dyDescent="0.25">
      <c r="A1359" s="1" t="s">
        <v>173</v>
      </c>
      <c r="B1359" s="1" t="s">
        <v>174</v>
      </c>
      <c r="C1359" s="1">
        <v>5100000</v>
      </c>
      <c r="D1359" s="1" t="s">
        <v>175</v>
      </c>
      <c r="E1359">
        <v>4971.4548999999997</v>
      </c>
      <c r="F1359" s="1" t="s">
        <v>176</v>
      </c>
      <c r="G1359">
        <v>30</v>
      </c>
      <c r="H1359">
        <v>2</v>
      </c>
      <c r="I1359" s="1" t="s">
        <v>13</v>
      </c>
      <c r="J1359">
        <v>1</v>
      </c>
      <c r="K1359" t="str">
        <f>IF(Tb_data[[#This Row],[previous_workers]]&lt;Tb_data[[#This Row],[workers]],"yes","no")</f>
        <v>yes</v>
      </c>
      <c r="L1359">
        <f>Tb_data[[#This Row],[workers]]-Tb_data[[#This Row],[previous_workers]]</f>
        <v>28</v>
      </c>
      <c r="M1359" s="12">
        <f>Tb_data[[#This Row],[Employees Growth]]/Tb_data[[#This Row],[previous_workers]]</f>
        <v>14</v>
      </c>
    </row>
    <row r="1360" spans="1:13" x14ac:dyDescent="0.25">
      <c r="A1360" s="1" t="s">
        <v>751</v>
      </c>
      <c r="B1360" s="1" t="s">
        <v>752</v>
      </c>
      <c r="C1360" s="1">
        <v>16200000</v>
      </c>
      <c r="D1360" s="1" t="s">
        <v>20</v>
      </c>
      <c r="E1360">
        <v>1405.9213</v>
      </c>
      <c r="F1360" s="1" t="s">
        <v>17</v>
      </c>
      <c r="G1360">
        <v>84</v>
      </c>
      <c r="H1360">
        <v>22</v>
      </c>
      <c r="I1360" s="1" t="s">
        <v>26</v>
      </c>
      <c r="J1360">
        <v>1</v>
      </c>
      <c r="K1360" t="str">
        <f>IF(Tb_data[[#This Row],[previous_workers]]&lt;Tb_data[[#This Row],[workers]],"yes","no")</f>
        <v>yes</v>
      </c>
      <c r="L1360">
        <f>Tb_data[[#This Row],[workers]]-Tb_data[[#This Row],[previous_workers]]</f>
        <v>62</v>
      </c>
      <c r="M1360" s="12">
        <f>Tb_data[[#This Row],[Employees Growth]]/Tb_data[[#This Row],[previous_workers]]</f>
        <v>2.8181818181818183</v>
      </c>
    </row>
    <row r="1361" spans="1:13" x14ac:dyDescent="0.25">
      <c r="A1361" s="1" t="s">
        <v>2173</v>
      </c>
      <c r="B1361" s="1" t="s">
        <v>2174</v>
      </c>
      <c r="C1361" s="1">
        <v>4200000</v>
      </c>
      <c r="D1361" s="1" t="s">
        <v>29</v>
      </c>
      <c r="E1361">
        <v>408.5899</v>
      </c>
      <c r="F1361" s="1" t="s">
        <v>25</v>
      </c>
      <c r="G1361">
        <v>7</v>
      </c>
      <c r="H1361">
        <v>4</v>
      </c>
      <c r="I1361" s="1" t="s">
        <v>74</v>
      </c>
      <c r="J1361">
        <v>1</v>
      </c>
      <c r="K1361" t="str">
        <f>IF(Tb_data[[#This Row],[previous_workers]]&lt;Tb_data[[#This Row],[workers]],"yes","no")</f>
        <v>yes</v>
      </c>
      <c r="L1361">
        <f>Tb_data[[#This Row],[workers]]-Tb_data[[#This Row],[previous_workers]]</f>
        <v>3</v>
      </c>
      <c r="M1361" s="12">
        <f>Tb_data[[#This Row],[Employees Growth]]/Tb_data[[#This Row],[previous_workers]]</f>
        <v>0.75</v>
      </c>
    </row>
    <row r="1362" spans="1:13" x14ac:dyDescent="0.25">
      <c r="A1362" s="1" t="s">
        <v>8552</v>
      </c>
      <c r="B1362" s="1" t="s">
        <v>8553</v>
      </c>
      <c r="C1362" s="1">
        <v>65600000</v>
      </c>
      <c r="D1362" s="1" t="s">
        <v>41</v>
      </c>
      <c r="E1362">
        <v>73.056899999999999</v>
      </c>
      <c r="F1362" s="1" t="s">
        <v>97</v>
      </c>
      <c r="G1362">
        <v>293</v>
      </c>
      <c r="H1362">
        <v>195</v>
      </c>
      <c r="I1362" s="1" t="s">
        <v>147</v>
      </c>
      <c r="J1362">
        <v>10</v>
      </c>
      <c r="K1362" t="str">
        <f>IF(Tb_data[[#This Row],[previous_workers]]&lt;Tb_data[[#This Row],[workers]],"yes","no")</f>
        <v>yes</v>
      </c>
      <c r="L1362">
        <f>Tb_data[[#This Row],[workers]]-Tb_data[[#This Row],[previous_workers]]</f>
        <v>98</v>
      </c>
      <c r="M1362" s="12">
        <f>Tb_data[[#This Row],[Employees Growth]]/Tb_data[[#This Row],[previous_workers]]</f>
        <v>0.50256410256410255</v>
      </c>
    </row>
    <row r="1363" spans="1:13" x14ac:dyDescent="0.25">
      <c r="A1363" s="1" t="s">
        <v>8453</v>
      </c>
      <c r="B1363" s="1" t="s">
        <v>8454</v>
      </c>
      <c r="C1363" s="1">
        <v>67400000</v>
      </c>
      <c r="D1363" s="1" t="s">
        <v>29</v>
      </c>
      <c r="E1363">
        <v>74.915999999999997</v>
      </c>
      <c r="F1363" s="1" t="s">
        <v>17</v>
      </c>
      <c r="G1363">
        <v>56</v>
      </c>
      <c r="H1363">
        <v>37</v>
      </c>
      <c r="I1363" s="1" t="s">
        <v>194</v>
      </c>
      <c r="J1363">
        <v>7</v>
      </c>
      <c r="K1363" t="str">
        <f>IF(Tb_data[[#This Row],[previous_workers]]&lt;Tb_data[[#This Row],[workers]],"yes","no")</f>
        <v>yes</v>
      </c>
      <c r="L1363">
        <f>Tb_data[[#This Row],[workers]]-Tb_data[[#This Row],[previous_workers]]</f>
        <v>19</v>
      </c>
      <c r="M1363" s="12">
        <f>Tb_data[[#This Row],[Employees Growth]]/Tb_data[[#This Row],[previous_workers]]</f>
        <v>0.51351351351351349</v>
      </c>
    </row>
    <row r="1364" spans="1:13" x14ac:dyDescent="0.25">
      <c r="A1364" s="1" t="s">
        <v>6910</v>
      </c>
      <c r="B1364" s="1" t="s">
        <v>6911</v>
      </c>
      <c r="C1364" s="1">
        <v>14600000</v>
      </c>
      <c r="D1364" s="1" t="s">
        <v>115</v>
      </c>
      <c r="E1364">
        <v>103.91240000000001</v>
      </c>
      <c r="F1364" s="1" t="s">
        <v>124</v>
      </c>
      <c r="G1364">
        <v>108</v>
      </c>
      <c r="H1364">
        <v>69</v>
      </c>
      <c r="I1364" s="1" t="s">
        <v>372</v>
      </c>
      <c r="J1364">
        <v>1</v>
      </c>
      <c r="K1364" t="str">
        <f>IF(Tb_data[[#This Row],[previous_workers]]&lt;Tb_data[[#This Row],[workers]],"yes","no")</f>
        <v>yes</v>
      </c>
      <c r="L1364">
        <f>Tb_data[[#This Row],[workers]]-Tb_data[[#This Row],[previous_workers]]</f>
        <v>39</v>
      </c>
      <c r="M1364" s="12">
        <f>Tb_data[[#This Row],[Employees Growth]]/Tb_data[[#This Row],[previous_workers]]</f>
        <v>0.56521739130434778</v>
      </c>
    </row>
    <row r="1365" spans="1:13" x14ac:dyDescent="0.25">
      <c r="A1365" s="1" t="s">
        <v>1668</v>
      </c>
      <c r="B1365" s="1" t="s">
        <v>1669</v>
      </c>
      <c r="C1365" s="1">
        <v>25400000</v>
      </c>
      <c r="D1365" s="1" t="s">
        <v>49</v>
      </c>
      <c r="E1365">
        <v>553.11289999999997</v>
      </c>
      <c r="F1365" s="1" t="s">
        <v>21</v>
      </c>
      <c r="G1365">
        <v>120</v>
      </c>
      <c r="H1365">
        <v>18</v>
      </c>
      <c r="I1365" s="1" t="s">
        <v>1411</v>
      </c>
      <c r="J1365">
        <v>1</v>
      </c>
      <c r="K1365" t="str">
        <f>IF(Tb_data[[#This Row],[previous_workers]]&lt;Tb_data[[#This Row],[workers]],"yes","no")</f>
        <v>yes</v>
      </c>
      <c r="L1365">
        <f>Tb_data[[#This Row],[workers]]-Tb_data[[#This Row],[previous_workers]]</f>
        <v>102</v>
      </c>
      <c r="M1365" s="12">
        <f>Tb_data[[#This Row],[Employees Growth]]/Tb_data[[#This Row],[previous_workers]]</f>
        <v>5.666666666666667</v>
      </c>
    </row>
    <row r="1366" spans="1:13" x14ac:dyDescent="0.25">
      <c r="A1366" s="1" t="s">
        <v>5738</v>
      </c>
      <c r="B1366" s="1" t="s">
        <v>5739</v>
      </c>
      <c r="C1366" s="1">
        <v>37100000</v>
      </c>
      <c r="D1366" s="1" t="s">
        <v>61</v>
      </c>
      <c r="E1366">
        <v>133.1627</v>
      </c>
      <c r="F1366" s="1" t="s">
        <v>124</v>
      </c>
      <c r="G1366">
        <v>107</v>
      </c>
      <c r="H1366">
        <v>61</v>
      </c>
      <c r="I1366" s="1" t="s">
        <v>35</v>
      </c>
      <c r="J1366">
        <v>7</v>
      </c>
      <c r="K1366" t="str">
        <f>IF(Tb_data[[#This Row],[previous_workers]]&lt;Tb_data[[#This Row],[workers]],"yes","no")</f>
        <v>yes</v>
      </c>
      <c r="L1366">
        <f>Tb_data[[#This Row],[workers]]-Tb_data[[#This Row],[previous_workers]]</f>
        <v>46</v>
      </c>
      <c r="M1366" s="12">
        <f>Tb_data[[#This Row],[Employees Growth]]/Tb_data[[#This Row],[previous_workers]]</f>
        <v>0.75409836065573765</v>
      </c>
    </row>
    <row r="1367" spans="1:13" x14ac:dyDescent="0.25">
      <c r="A1367" s="1" t="s">
        <v>7739</v>
      </c>
      <c r="B1367" s="1" t="s">
        <v>7740</v>
      </c>
      <c r="C1367" s="1">
        <v>3000000</v>
      </c>
      <c r="D1367" s="1" t="s">
        <v>1002</v>
      </c>
      <c r="E1367">
        <v>87.289299999999997</v>
      </c>
      <c r="F1367" s="1" t="s">
        <v>30</v>
      </c>
      <c r="G1367">
        <v>14</v>
      </c>
      <c r="H1367">
        <v>9</v>
      </c>
      <c r="I1367" s="1" t="s">
        <v>130</v>
      </c>
      <c r="J1367">
        <v>2</v>
      </c>
      <c r="K1367" t="str">
        <f>IF(Tb_data[[#This Row],[previous_workers]]&lt;Tb_data[[#This Row],[workers]],"yes","no")</f>
        <v>yes</v>
      </c>
      <c r="L1367">
        <f>Tb_data[[#This Row],[workers]]-Tb_data[[#This Row],[previous_workers]]</f>
        <v>5</v>
      </c>
      <c r="M1367" s="12">
        <f>Tb_data[[#This Row],[Employees Growth]]/Tb_data[[#This Row],[previous_workers]]</f>
        <v>0.55555555555555558</v>
      </c>
    </row>
    <row r="1368" spans="1:13" x14ac:dyDescent="0.25">
      <c r="A1368" s="1" t="s">
        <v>9526</v>
      </c>
      <c r="B1368" s="1" t="s">
        <v>9527</v>
      </c>
      <c r="C1368" s="1">
        <v>2600000</v>
      </c>
      <c r="D1368" s="1" t="s">
        <v>33</v>
      </c>
      <c r="E1368">
        <v>59.991199999999999</v>
      </c>
      <c r="F1368" s="1" t="s">
        <v>21</v>
      </c>
      <c r="G1368">
        <v>34</v>
      </c>
      <c r="H1368">
        <v>27</v>
      </c>
      <c r="I1368" s="1" t="s">
        <v>164</v>
      </c>
      <c r="J1368">
        <v>2</v>
      </c>
      <c r="K1368" t="str">
        <f>IF(Tb_data[[#This Row],[previous_workers]]&lt;Tb_data[[#This Row],[workers]],"yes","no")</f>
        <v>yes</v>
      </c>
      <c r="L1368">
        <f>Tb_data[[#This Row],[workers]]-Tb_data[[#This Row],[previous_workers]]</f>
        <v>7</v>
      </c>
      <c r="M1368" s="12">
        <f>Tb_data[[#This Row],[Employees Growth]]/Tb_data[[#This Row],[previous_workers]]</f>
        <v>0.25925925925925924</v>
      </c>
    </row>
    <row r="1369" spans="1:13" x14ac:dyDescent="0.25">
      <c r="A1369" s="1" t="s">
        <v>10064</v>
      </c>
      <c r="B1369" s="1" t="s">
        <v>10065</v>
      </c>
      <c r="C1369" s="1">
        <v>104000000</v>
      </c>
      <c r="D1369" s="1" t="s">
        <v>321</v>
      </c>
      <c r="E1369">
        <v>52.634399999999999</v>
      </c>
      <c r="F1369" s="1" t="s">
        <v>112</v>
      </c>
      <c r="G1369">
        <v>377</v>
      </c>
      <c r="H1369">
        <v>274</v>
      </c>
      <c r="I1369" s="1" t="s">
        <v>4080</v>
      </c>
      <c r="J1369">
        <v>9</v>
      </c>
      <c r="K1369" t="str">
        <f>IF(Tb_data[[#This Row],[previous_workers]]&lt;Tb_data[[#This Row],[workers]],"yes","no")</f>
        <v>yes</v>
      </c>
      <c r="L1369">
        <f>Tb_data[[#This Row],[workers]]-Tb_data[[#This Row],[previous_workers]]</f>
        <v>103</v>
      </c>
      <c r="M1369" s="12">
        <f>Tb_data[[#This Row],[Employees Growth]]/Tb_data[[#This Row],[previous_workers]]</f>
        <v>0.37591240875912407</v>
      </c>
    </row>
    <row r="1370" spans="1:13" x14ac:dyDescent="0.25">
      <c r="A1370" s="1" t="s">
        <v>234</v>
      </c>
      <c r="B1370" s="1" t="s">
        <v>235</v>
      </c>
      <c r="C1370" s="1">
        <v>54400000</v>
      </c>
      <c r="D1370" s="1" t="s">
        <v>236</v>
      </c>
      <c r="E1370">
        <v>3839.8420000000001</v>
      </c>
      <c r="F1370" s="1" t="s">
        <v>17</v>
      </c>
      <c r="G1370">
        <v>50</v>
      </c>
      <c r="H1370">
        <v>4</v>
      </c>
      <c r="I1370" s="1" t="s">
        <v>13</v>
      </c>
      <c r="J1370">
        <v>1</v>
      </c>
      <c r="K1370" t="str">
        <f>IF(Tb_data[[#This Row],[previous_workers]]&lt;Tb_data[[#This Row],[workers]],"yes","no")</f>
        <v>yes</v>
      </c>
      <c r="L1370">
        <f>Tb_data[[#This Row],[workers]]-Tb_data[[#This Row],[previous_workers]]</f>
        <v>46</v>
      </c>
      <c r="M1370" s="12">
        <f>Tb_data[[#This Row],[Employees Growth]]/Tb_data[[#This Row],[previous_workers]]</f>
        <v>11.5</v>
      </c>
    </row>
    <row r="1371" spans="1:13" x14ac:dyDescent="0.25">
      <c r="A1371" s="1" t="s">
        <v>4317</v>
      </c>
      <c r="B1371" s="1" t="s">
        <v>4318</v>
      </c>
      <c r="C1371" s="1">
        <v>17800000</v>
      </c>
      <c r="D1371" s="1" t="s">
        <v>61</v>
      </c>
      <c r="E1371">
        <v>190.66839999999999</v>
      </c>
      <c r="F1371" s="1" t="s">
        <v>176</v>
      </c>
      <c r="G1371">
        <v>5</v>
      </c>
      <c r="H1371">
        <v>1</v>
      </c>
      <c r="I1371" s="1" t="s">
        <v>35</v>
      </c>
      <c r="J1371">
        <v>2</v>
      </c>
      <c r="K1371" t="str">
        <f>IF(Tb_data[[#This Row],[previous_workers]]&lt;Tb_data[[#This Row],[workers]],"yes","no")</f>
        <v>yes</v>
      </c>
      <c r="L1371">
        <f>Tb_data[[#This Row],[workers]]-Tb_data[[#This Row],[previous_workers]]</f>
        <v>4</v>
      </c>
      <c r="M1371" s="12">
        <f>Tb_data[[#This Row],[Employees Growth]]/Tb_data[[#This Row],[previous_workers]]</f>
        <v>4</v>
      </c>
    </row>
    <row r="1372" spans="1:13" x14ac:dyDescent="0.25">
      <c r="A1372" s="1" t="s">
        <v>7246</v>
      </c>
      <c r="B1372" s="1" t="s">
        <v>7247</v>
      </c>
      <c r="C1372" s="1">
        <v>24900000</v>
      </c>
      <c r="D1372" s="1" t="s">
        <v>120</v>
      </c>
      <c r="E1372">
        <v>97.726399999999998</v>
      </c>
      <c r="F1372" s="1" t="s">
        <v>25</v>
      </c>
      <c r="G1372">
        <v>26</v>
      </c>
      <c r="H1372">
        <v>13</v>
      </c>
      <c r="I1372" s="1" t="s">
        <v>117</v>
      </c>
      <c r="J1372">
        <v>3</v>
      </c>
      <c r="K1372" t="str">
        <f>IF(Tb_data[[#This Row],[previous_workers]]&lt;Tb_data[[#This Row],[workers]],"yes","no")</f>
        <v>yes</v>
      </c>
      <c r="L1372">
        <f>Tb_data[[#This Row],[workers]]-Tb_data[[#This Row],[previous_workers]]</f>
        <v>13</v>
      </c>
      <c r="M1372" s="12">
        <f>Tb_data[[#This Row],[Employees Growth]]/Tb_data[[#This Row],[previous_workers]]</f>
        <v>1</v>
      </c>
    </row>
    <row r="1373" spans="1:13" x14ac:dyDescent="0.25">
      <c r="A1373" s="1" t="s">
        <v>9411</v>
      </c>
      <c r="B1373" s="1" t="s">
        <v>9412</v>
      </c>
      <c r="C1373" s="1">
        <v>201100000</v>
      </c>
      <c r="D1373" s="1" t="s">
        <v>49</v>
      </c>
      <c r="E1373">
        <v>61.401200000000003</v>
      </c>
      <c r="F1373" s="1" t="s">
        <v>156</v>
      </c>
      <c r="G1373">
        <v>67</v>
      </c>
      <c r="H1373">
        <v>58</v>
      </c>
      <c r="I1373" s="1" t="s">
        <v>2225</v>
      </c>
      <c r="J1373">
        <v>9</v>
      </c>
      <c r="K1373" t="str">
        <f>IF(Tb_data[[#This Row],[previous_workers]]&lt;Tb_data[[#This Row],[workers]],"yes","no")</f>
        <v>yes</v>
      </c>
      <c r="L1373">
        <f>Tb_data[[#This Row],[workers]]-Tb_data[[#This Row],[previous_workers]]</f>
        <v>9</v>
      </c>
      <c r="M1373" s="12">
        <f>Tb_data[[#This Row],[Employees Growth]]/Tb_data[[#This Row],[previous_workers]]</f>
        <v>0.15517241379310345</v>
      </c>
    </row>
    <row r="1374" spans="1:13" x14ac:dyDescent="0.25">
      <c r="A1374" s="1" t="s">
        <v>466</v>
      </c>
      <c r="B1374" s="1" t="s">
        <v>467</v>
      </c>
      <c r="C1374" s="1">
        <v>24700000</v>
      </c>
      <c r="D1374" s="1" t="s">
        <v>41</v>
      </c>
      <c r="E1374">
        <v>2077.0156000000002</v>
      </c>
      <c r="F1374" s="1" t="s">
        <v>97</v>
      </c>
      <c r="G1374">
        <v>350</v>
      </c>
      <c r="H1374">
        <v>35</v>
      </c>
      <c r="I1374" s="1" t="s">
        <v>468</v>
      </c>
      <c r="J1374">
        <v>4</v>
      </c>
      <c r="K1374" t="str">
        <f>IF(Tb_data[[#This Row],[previous_workers]]&lt;Tb_data[[#This Row],[workers]],"yes","no")</f>
        <v>yes</v>
      </c>
      <c r="L1374">
        <f>Tb_data[[#This Row],[workers]]-Tb_data[[#This Row],[previous_workers]]</f>
        <v>315</v>
      </c>
      <c r="M1374" s="12">
        <f>Tb_data[[#This Row],[Employees Growth]]/Tb_data[[#This Row],[previous_workers]]</f>
        <v>9</v>
      </c>
    </row>
    <row r="1375" spans="1:13" x14ac:dyDescent="0.25">
      <c r="A1375" s="1" t="s">
        <v>6423</v>
      </c>
      <c r="B1375" s="1" t="s">
        <v>6424</v>
      </c>
      <c r="C1375" s="1">
        <v>9100000</v>
      </c>
      <c r="D1375" s="1" t="s">
        <v>254</v>
      </c>
      <c r="E1375">
        <v>115.8764</v>
      </c>
      <c r="F1375" s="1" t="s">
        <v>156</v>
      </c>
      <c r="G1375">
        <v>47</v>
      </c>
      <c r="H1375">
        <v>28</v>
      </c>
      <c r="I1375" s="1" t="s">
        <v>35</v>
      </c>
      <c r="J1375">
        <v>4</v>
      </c>
      <c r="K1375" t="str">
        <f>IF(Tb_data[[#This Row],[previous_workers]]&lt;Tb_data[[#This Row],[workers]],"yes","no")</f>
        <v>yes</v>
      </c>
      <c r="L1375">
        <f>Tb_data[[#This Row],[workers]]-Tb_data[[#This Row],[previous_workers]]</f>
        <v>19</v>
      </c>
      <c r="M1375" s="12">
        <f>Tb_data[[#This Row],[Employees Growth]]/Tb_data[[#This Row],[previous_workers]]</f>
        <v>0.6785714285714286</v>
      </c>
    </row>
    <row r="1376" spans="1:13" x14ac:dyDescent="0.25">
      <c r="A1376" s="1" t="s">
        <v>8711</v>
      </c>
      <c r="B1376" s="1" t="s">
        <v>8712</v>
      </c>
      <c r="C1376" s="1">
        <v>15000000</v>
      </c>
      <c r="D1376" s="1" t="s">
        <v>45</v>
      </c>
      <c r="E1376">
        <v>70.912199999999999</v>
      </c>
      <c r="F1376" s="1" t="s">
        <v>135</v>
      </c>
      <c r="G1376">
        <v>120</v>
      </c>
      <c r="H1376">
        <v>80</v>
      </c>
      <c r="I1376" s="1" t="s">
        <v>147</v>
      </c>
      <c r="J1376">
        <v>6</v>
      </c>
      <c r="K1376" t="str">
        <f>IF(Tb_data[[#This Row],[previous_workers]]&lt;Tb_data[[#This Row],[workers]],"yes","no")</f>
        <v>yes</v>
      </c>
      <c r="L1376">
        <f>Tb_data[[#This Row],[workers]]-Tb_data[[#This Row],[previous_workers]]</f>
        <v>40</v>
      </c>
      <c r="M1376" s="12">
        <f>Tb_data[[#This Row],[Employees Growth]]/Tb_data[[#This Row],[previous_workers]]</f>
        <v>0.5</v>
      </c>
    </row>
    <row r="1377" spans="1:13" x14ac:dyDescent="0.25">
      <c r="A1377" s="1" t="s">
        <v>1664</v>
      </c>
      <c r="B1377" s="1" t="s">
        <v>1665</v>
      </c>
      <c r="C1377" s="1">
        <v>5600000</v>
      </c>
      <c r="D1377" s="1" t="s">
        <v>500</v>
      </c>
      <c r="E1377">
        <v>555.35829999999999</v>
      </c>
      <c r="F1377" s="1" t="s">
        <v>176</v>
      </c>
      <c r="G1377">
        <v>25</v>
      </c>
      <c r="H1377">
        <v>9</v>
      </c>
      <c r="I1377" s="1" t="s">
        <v>26</v>
      </c>
      <c r="J1377">
        <v>1</v>
      </c>
      <c r="K1377" t="str">
        <f>IF(Tb_data[[#This Row],[previous_workers]]&lt;Tb_data[[#This Row],[workers]],"yes","no")</f>
        <v>yes</v>
      </c>
      <c r="L1377">
        <f>Tb_data[[#This Row],[workers]]-Tb_data[[#This Row],[previous_workers]]</f>
        <v>16</v>
      </c>
      <c r="M1377" s="12">
        <f>Tb_data[[#This Row],[Employees Growth]]/Tb_data[[#This Row],[previous_workers]]</f>
        <v>1.7777777777777777</v>
      </c>
    </row>
    <row r="1378" spans="1:13" x14ac:dyDescent="0.25">
      <c r="A1378" s="1" t="s">
        <v>1250</v>
      </c>
      <c r="B1378" s="1" t="s">
        <v>1251</v>
      </c>
      <c r="C1378" s="1">
        <v>16400000</v>
      </c>
      <c r="D1378" s="1" t="s">
        <v>41</v>
      </c>
      <c r="E1378">
        <v>768.67740000000003</v>
      </c>
      <c r="F1378" s="1" t="s">
        <v>97</v>
      </c>
      <c r="G1378">
        <v>67</v>
      </c>
      <c r="H1378">
        <v>23</v>
      </c>
      <c r="I1378" s="1" t="s">
        <v>130</v>
      </c>
      <c r="J1378">
        <v>3</v>
      </c>
      <c r="K1378" t="str">
        <f>IF(Tb_data[[#This Row],[previous_workers]]&lt;Tb_data[[#This Row],[workers]],"yes","no")</f>
        <v>yes</v>
      </c>
      <c r="L1378">
        <f>Tb_data[[#This Row],[workers]]-Tb_data[[#This Row],[previous_workers]]</f>
        <v>44</v>
      </c>
      <c r="M1378" s="12">
        <f>Tb_data[[#This Row],[Employees Growth]]/Tb_data[[#This Row],[previous_workers]]</f>
        <v>1.9130434782608696</v>
      </c>
    </row>
    <row r="1379" spans="1:13" x14ac:dyDescent="0.25">
      <c r="A1379" s="1" t="s">
        <v>2002</v>
      </c>
      <c r="B1379" s="1" t="s">
        <v>2003</v>
      </c>
      <c r="C1379" s="1">
        <v>32200000</v>
      </c>
      <c r="D1379" s="1" t="s">
        <v>20</v>
      </c>
      <c r="E1379">
        <v>448.82350000000002</v>
      </c>
      <c r="F1379" s="1" t="s">
        <v>124</v>
      </c>
      <c r="G1379">
        <v>33</v>
      </c>
      <c r="H1379">
        <v>10</v>
      </c>
      <c r="I1379" s="1" t="s">
        <v>164</v>
      </c>
      <c r="J1379">
        <v>1</v>
      </c>
      <c r="K1379" t="str">
        <f>IF(Tb_data[[#This Row],[previous_workers]]&lt;Tb_data[[#This Row],[workers]],"yes","no")</f>
        <v>yes</v>
      </c>
      <c r="L1379">
        <f>Tb_data[[#This Row],[workers]]-Tb_data[[#This Row],[previous_workers]]</f>
        <v>23</v>
      </c>
      <c r="M1379" s="12">
        <f>Tb_data[[#This Row],[Employees Growth]]/Tb_data[[#This Row],[previous_workers]]</f>
        <v>2.2999999999999998</v>
      </c>
    </row>
    <row r="1380" spans="1:13" x14ac:dyDescent="0.25">
      <c r="A1380" s="1" t="s">
        <v>3019</v>
      </c>
      <c r="B1380" s="1" t="s">
        <v>3020</v>
      </c>
      <c r="C1380" s="1">
        <v>3900000</v>
      </c>
      <c r="D1380" s="1" t="s">
        <v>254</v>
      </c>
      <c r="E1380">
        <v>285.61829999999998</v>
      </c>
      <c r="F1380" s="1" t="s">
        <v>42</v>
      </c>
      <c r="G1380">
        <v>8</v>
      </c>
      <c r="H1380">
        <v>3</v>
      </c>
      <c r="I1380" s="1" t="s">
        <v>26</v>
      </c>
      <c r="J1380">
        <v>1</v>
      </c>
      <c r="K1380" t="str">
        <f>IF(Tb_data[[#This Row],[previous_workers]]&lt;Tb_data[[#This Row],[workers]],"yes","no")</f>
        <v>yes</v>
      </c>
      <c r="L1380">
        <f>Tb_data[[#This Row],[workers]]-Tb_data[[#This Row],[previous_workers]]</f>
        <v>5</v>
      </c>
      <c r="M1380" s="12">
        <f>Tb_data[[#This Row],[Employees Growth]]/Tb_data[[#This Row],[previous_workers]]</f>
        <v>1.6666666666666667</v>
      </c>
    </row>
    <row r="1381" spans="1:13" x14ac:dyDescent="0.25">
      <c r="A1381" s="1" t="s">
        <v>940</v>
      </c>
      <c r="B1381" s="1" t="s">
        <v>941</v>
      </c>
      <c r="C1381" s="1">
        <v>9800000</v>
      </c>
      <c r="D1381" s="1" t="s">
        <v>41</v>
      </c>
      <c r="E1381">
        <v>1083.1819</v>
      </c>
      <c r="F1381" s="1" t="s">
        <v>97</v>
      </c>
      <c r="G1381">
        <v>103</v>
      </c>
      <c r="H1381">
        <v>35</v>
      </c>
      <c r="I1381" s="1" t="s">
        <v>295</v>
      </c>
      <c r="J1381">
        <v>1</v>
      </c>
      <c r="K1381" t="str">
        <f>IF(Tb_data[[#This Row],[previous_workers]]&lt;Tb_data[[#This Row],[workers]],"yes","no")</f>
        <v>yes</v>
      </c>
      <c r="L1381">
        <f>Tb_data[[#This Row],[workers]]-Tb_data[[#This Row],[previous_workers]]</f>
        <v>68</v>
      </c>
      <c r="M1381" s="12">
        <f>Tb_data[[#This Row],[Employees Growth]]/Tb_data[[#This Row],[previous_workers]]</f>
        <v>1.9428571428571428</v>
      </c>
    </row>
    <row r="1382" spans="1:13" x14ac:dyDescent="0.25">
      <c r="A1382" s="1" t="s">
        <v>2161</v>
      </c>
      <c r="B1382" s="1" t="s">
        <v>2162</v>
      </c>
      <c r="C1382" s="1">
        <v>3700000</v>
      </c>
      <c r="D1382" s="1" t="s">
        <v>221</v>
      </c>
      <c r="E1382">
        <v>410.11509999999998</v>
      </c>
      <c r="F1382" s="1" t="s">
        <v>30</v>
      </c>
      <c r="G1382">
        <v>3</v>
      </c>
      <c r="H1382">
        <v>1</v>
      </c>
      <c r="I1382" s="1" t="s">
        <v>26</v>
      </c>
      <c r="J1382">
        <v>1</v>
      </c>
      <c r="K1382" t="str">
        <f>IF(Tb_data[[#This Row],[previous_workers]]&lt;Tb_data[[#This Row],[workers]],"yes","no")</f>
        <v>yes</v>
      </c>
      <c r="L1382">
        <f>Tb_data[[#This Row],[workers]]-Tb_data[[#This Row],[previous_workers]]</f>
        <v>2</v>
      </c>
      <c r="M1382" s="12">
        <f>Tb_data[[#This Row],[Employees Growth]]/Tb_data[[#This Row],[previous_workers]]</f>
        <v>2</v>
      </c>
    </row>
    <row r="1383" spans="1:13" x14ac:dyDescent="0.25">
      <c r="A1383" s="1" t="s">
        <v>7122</v>
      </c>
      <c r="B1383" s="1" t="s">
        <v>7123</v>
      </c>
      <c r="C1383" s="1">
        <v>3600000</v>
      </c>
      <c r="D1383" s="1" t="s">
        <v>69</v>
      </c>
      <c r="E1383">
        <v>99.787000000000006</v>
      </c>
      <c r="F1383" s="1" t="s">
        <v>62</v>
      </c>
      <c r="G1383">
        <v>12</v>
      </c>
      <c r="H1383">
        <v>6</v>
      </c>
      <c r="I1383" s="1" t="s">
        <v>55</v>
      </c>
      <c r="J1383">
        <v>2</v>
      </c>
      <c r="K1383" t="str">
        <f>IF(Tb_data[[#This Row],[previous_workers]]&lt;Tb_data[[#This Row],[workers]],"yes","no")</f>
        <v>yes</v>
      </c>
      <c r="L1383">
        <f>Tb_data[[#This Row],[workers]]-Tb_data[[#This Row],[previous_workers]]</f>
        <v>6</v>
      </c>
      <c r="M1383" s="12">
        <f>Tb_data[[#This Row],[Employees Growth]]/Tb_data[[#This Row],[previous_workers]]</f>
        <v>1</v>
      </c>
    </row>
    <row r="1384" spans="1:13" x14ac:dyDescent="0.25">
      <c r="A1384" s="1" t="s">
        <v>1414</v>
      </c>
      <c r="B1384" s="1" t="s">
        <v>1415</v>
      </c>
      <c r="C1384" s="1">
        <v>273700000</v>
      </c>
      <c r="D1384" s="1" t="s">
        <v>20</v>
      </c>
      <c r="E1384">
        <v>670.05380000000002</v>
      </c>
      <c r="F1384" s="1" t="s">
        <v>94</v>
      </c>
      <c r="G1384">
        <v>22</v>
      </c>
      <c r="H1384">
        <v>4</v>
      </c>
      <c r="I1384" s="1" t="s">
        <v>55</v>
      </c>
      <c r="J1384">
        <v>2</v>
      </c>
      <c r="K1384" t="str">
        <f>IF(Tb_data[[#This Row],[previous_workers]]&lt;Tb_data[[#This Row],[workers]],"yes","no")</f>
        <v>yes</v>
      </c>
      <c r="L1384">
        <f>Tb_data[[#This Row],[workers]]-Tb_data[[#This Row],[previous_workers]]</f>
        <v>18</v>
      </c>
      <c r="M1384" s="12">
        <f>Tb_data[[#This Row],[Employees Growth]]/Tb_data[[#This Row],[previous_workers]]</f>
        <v>4.5</v>
      </c>
    </row>
    <row r="1385" spans="1:13" x14ac:dyDescent="0.25">
      <c r="A1385" s="1" t="s">
        <v>4467</v>
      </c>
      <c r="B1385" s="1" t="s">
        <v>4468</v>
      </c>
      <c r="C1385" s="1">
        <v>11000000</v>
      </c>
      <c r="D1385" s="1" t="s">
        <v>1002</v>
      </c>
      <c r="E1385">
        <v>183.9265</v>
      </c>
      <c r="F1385" s="1" t="s">
        <v>94</v>
      </c>
      <c r="G1385">
        <v>56</v>
      </c>
      <c r="H1385">
        <v>22</v>
      </c>
      <c r="I1385" s="1" t="s">
        <v>117</v>
      </c>
      <c r="J1385">
        <v>1</v>
      </c>
      <c r="K1385" t="str">
        <f>IF(Tb_data[[#This Row],[previous_workers]]&lt;Tb_data[[#This Row],[workers]],"yes","no")</f>
        <v>yes</v>
      </c>
      <c r="L1385">
        <f>Tb_data[[#This Row],[workers]]-Tb_data[[#This Row],[previous_workers]]</f>
        <v>34</v>
      </c>
      <c r="M1385" s="12">
        <f>Tb_data[[#This Row],[Employees Growth]]/Tb_data[[#This Row],[previous_workers]]</f>
        <v>1.5454545454545454</v>
      </c>
    </row>
    <row r="1386" spans="1:13" x14ac:dyDescent="0.25">
      <c r="A1386" s="1" t="s">
        <v>269</v>
      </c>
      <c r="B1386" s="1" t="s">
        <v>270</v>
      </c>
      <c r="C1386" s="1">
        <v>4800000</v>
      </c>
      <c r="D1386" s="1" t="s">
        <v>45</v>
      </c>
      <c r="E1386">
        <v>3339.6237000000001</v>
      </c>
      <c r="F1386" s="1" t="s">
        <v>17</v>
      </c>
      <c r="G1386">
        <v>35</v>
      </c>
      <c r="H1386">
        <v>1</v>
      </c>
      <c r="I1386" s="1" t="s">
        <v>26</v>
      </c>
      <c r="J1386">
        <v>1</v>
      </c>
      <c r="K1386" t="str">
        <f>IF(Tb_data[[#This Row],[previous_workers]]&lt;Tb_data[[#This Row],[workers]],"yes","no")</f>
        <v>yes</v>
      </c>
      <c r="L1386">
        <f>Tb_data[[#This Row],[workers]]-Tb_data[[#This Row],[previous_workers]]</f>
        <v>34</v>
      </c>
      <c r="M1386" s="12">
        <f>Tb_data[[#This Row],[Employees Growth]]/Tb_data[[#This Row],[previous_workers]]</f>
        <v>34</v>
      </c>
    </row>
    <row r="1387" spans="1:13" x14ac:dyDescent="0.25">
      <c r="A1387" s="1" t="s">
        <v>3424</v>
      </c>
      <c r="B1387" s="1" t="s">
        <v>3425</v>
      </c>
      <c r="C1387" s="1">
        <v>7800000</v>
      </c>
      <c r="D1387" s="1" t="s">
        <v>254</v>
      </c>
      <c r="E1387">
        <v>249.82679999999999</v>
      </c>
      <c r="F1387" s="1" t="s">
        <v>112</v>
      </c>
      <c r="G1387">
        <v>38</v>
      </c>
      <c r="H1387">
        <v>35</v>
      </c>
      <c r="I1387" s="1" t="s">
        <v>3426</v>
      </c>
      <c r="J1387">
        <v>1</v>
      </c>
      <c r="K1387" t="str">
        <f>IF(Tb_data[[#This Row],[previous_workers]]&lt;Tb_data[[#This Row],[workers]],"yes","no")</f>
        <v>yes</v>
      </c>
      <c r="L1387">
        <f>Tb_data[[#This Row],[workers]]-Tb_data[[#This Row],[previous_workers]]</f>
        <v>3</v>
      </c>
      <c r="M1387" s="12">
        <f>Tb_data[[#This Row],[Employees Growth]]/Tb_data[[#This Row],[previous_workers]]</f>
        <v>8.5714285714285715E-2</v>
      </c>
    </row>
    <row r="1388" spans="1:13" x14ac:dyDescent="0.25">
      <c r="A1388" s="1" t="s">
        <v>8755</v>
      </c>
      <c r="B1388" s="1" t="s">
        <v>8756</v>
      </c>
      <c r="C1388" s="1">
        <v>11700000</v>
      </c>
      <c r="D1388" s="1" t="s">
        <v>115</v>
      </c>
      <c r="E1388">
        <v>70.270399999999995</v>
      </c>
      <c r="F1388" s="1" t="s">
        <v>124</v>
      </c>
      <c r="G1388">
        <v>69</v>
      </c>
      <c r="H1388">
        <v>45</v>
      </c>
      <c r="I1388" s="1" t="s">
        <v>4060</v>
      </c>
      <c r="J1388">
        <v>2</v>
      </c>
      <c r="K1388" t="str">
        <f>IF(Tb_data[[#This Row],[previous_workers]]&lt;Tb_data[[#This Row],[workers]],"yes","no")</f>
        <v>yes</v>
      </c>
      <c r="L1388">
        <f>Tb_data[[#This Row],[workers]]-Tb_data[[#This Row],[previous_workers]]</f>
        <v>24</v>
      </c>
      <c r="M1388" s="12">
        <f>Tb_data[[#This Row],[Employees Growth]]/Tb_data[[#This Row],[previous_workers]]</f>
        <v>0.53333333333333333</v>
      </c>
    </row>
    <row r="1389" spans="1:13" x14ac:dyDescent="0.25">
      <c r="A1389" s="1" t="s">
        <v>7030</v>
      </c>
      <c r="B1389" s="1" t="s">
        <v>7031</v>
      </c>
      <c r="C1389" s="1">
        <v>17200000</v>
      </c>
      <c r="D1389" s="1" t="s">
        <v>49</v>
      </c>
      <c r="E1389">
        <v>101.432</v>
      </c>
      <c r="F1389" s="1" t="s">
        <v>62</v>
      </c>
      <c r="G1389">
        <v>130</v>
      </c>
      <c r="H1389">
        <v>70</v>
      </c>
      <c r="I1389" s="1" t="s">
        <v>46</v>
      </c>
      <c r="J1389">
        <v>5</v>
      </c>
      <c r="K1389" t="str">
        <f>IF(Tb_data[[#This Row],[previous_workers]]&lt;Tb_data[[#This Row],[workers]],"yes","no")</f>
        <v>yes</v>
      </c>
      <c r="L1389">
        <f>Tb_data[[#This Row],[workers]]-Tb_data[[#This Row],[previous_workers]]</f>
        <v>60</v>
      </c>
      <c r="M1389" s="12">
        <f>Tb_data[[#This Row],[Employees Growth]]/Tb_data[[#This Row],[previous_workers]]</f>
        <v>0.8571428571428571</v>
      </c>
    </row>
    <row r="1390" spans="1:13" x14ac:dyDescent="0.25">
      <c r="A1390" s="1" t="s">
        <v>2082</v>
      </c>
      <c r="B1390" s="1" t="s">
        <v>2083</v>
      </c>
      <c r="C1390" s="1">
        <v>53500000</v>
      </c>
      <c r="D1390" s="1" t="s">
        <v>45</v>
      </c>
      <c r="E1390">
        <v>427.4948</v>
      </c>
      <c r="F1390" s="1" t="s">
        <v>17</v>
      </c>
      <c r="G1390">
        <v>45</v>
      </c>
      <c r="H1390">
        <v>11</v>
      </c>
      <c r="I1390" s="1" t="s">
        <v>26</v>
      </c>
      <c r="J1390">
        <v>2</v>
      </c>
      <c r="K1390" t="str">
        <f>IF(Tb_data[[#This Row],[previous_workers]]&lt;Tb_data[[#This Row],[workers]],"yes","no")</f>
        <v>yes</v>
      </c>
      <c r="L1390">
        <f>Tb_data[[#This Row],[workers]]-Tb_data[[#This Row],[previous_workers]]</f>
        <v>34</v>
      </c>
      <c r="M1390" s="12">
        <f>Tb_data[[#This Row],[Employees Growth]]/Tb_data[[#This Row],[previous_workers]]</f>
        <v>3.0909090909090908</v>
      </c>
    </row>
    <row r="1391" spans="1:13" x14ac:dyDescent="0.25">
      <c r="A1391" s="1" t="s">
        <v>2803</v>
      </c>
      <c r="B1391" s="1" t="s">
        <v>2805</v>
      </c>
      <c r="C1391" s="1">
        <v>16800000</v>
      </c>
      <c r="D1391" s="1" t="s">
        <v>91</v>
      </c>
      <c r="E1391">
        <v>308.07330000000002</v>
      </c>
      <c r="F1391" s="1" t="s">
        <v>34</v>
      </c>
      <c r="G1391">
        <v>53</v>
      </c>
      <c r="H1391">
        <v>1</v>
      </c>
      <c r="I1391" s="1" t="s">
        <v>130</v>
      </c>
      <c r="J1391">
        <v>4</v>
      </c>
      <c r="K1391" t="str">
        <f>IF(Tb_data[[#This Row],[previous_workers]]&lt;Tb_data[[#This Row],[workers]],"yes","no")</f>
        <v>yes</v>
      </c>
      <c r="L1391">
        <f>Tb_data[[#This Row],[workers]]-Tb_data[[#This Row],[previous_workers]]</f>
        <v>52</v>
      </c>
      <c r="M1391" s="12">
        <f>Tb_data[[#This Row],[Employees Growth]]/Tb_data[[#This Row],[previous_workers]]</f>
        <v>52</v>
      </c>
    </row>
    <row r="1392" spans="1:13" x14ac:dyDescent="0.25">
      <c r="A1392" s="1" t="s">
        <v>9638</v>
      </c>
      <c r="B1392" s="1" t="s">
        <v>9639</v>
      </c>
      <c r="C1392" s="1">
        <v>183300000</v>
      </c>
      <c r="D1392" s="1" t="s">
        <v>52</v>
      </c>
      <c r="E1392">
        <v>58.860900000000001</v>
      </c>
      <c r="F1392" s="1" t="s">
        <v>34</v>
      </c>
      <c r="G1392">
        <v>1300</v>
      </c>
      <c r="H1392">
        <v>770</v>
      </c>
      <c r="I1392" s="1" t="s">
        <v>46</v>
      </c>
      <c r="J1392">
        <v>5</v>
      </c>
      <c r="K1392" t="str">
        <f>IF(Tb_data[[#This Row],[previous_workers]]&lt;Tb_data[[#This Row],[workers]],"yes","no")</f>
        <v>yes</v>
      </c>
      <c r="L1392">
        <f>Tb_data[[#This Row],[workers]]-Tb_data[[#This Row],[previous_workers]]</f>
        <v>530</v>
      </c>
      <c r="M1392" s="12">
        <f>Tb_data[[#This Row],[Employees Growth]]/Tb_data[[#This Row],[previous_workers]]</f>
        <v>0.68831168831168832</v>
      </c>
    </row>
    <row r="1393" spans="1:13" x14ac:dyDescent="0.25">
      <c r="A1393" s="1" t="s">
        <v>996</v>
      </c>
      <c r="B1393" s="1" t="s">
        <v>997</v>
      </c>
      <c r="C1393" s="1">
        <v>3900000</v>
      </c>
      <c r="D1393" s="1" t="s">
        <v>115</v>
      </c>
      <c r="E1393">
        <v>1006.828</v>
      </c>
      <c r="F1393" s="1" t="s">
        <v>17</v>
      </c>
      <c r="G1393">
        <v>5</v>
      </c>
      <c r="H1393">
        <v>5</v>
      </c>
      <c r="I1393" s="1" t="s">
        <v>55</v>
      </c>
      <c r="J1393">
        <v>1</v>
      </c>
      <c r="K1393" t="str">
        <f>IF(Tb_data[[#This Row],[previous_workers]]&lt;Tb_data[[#This Row],[workers]],"yes","no")</f>
        <v>no</v>
      </c>
      <c r="L1393">
        <f>Tb_data[[#This Row],[workers]]-Tb_data[[#This Row],[previous_workers]]</f>
        <v>0</v>
      </c>
      <c r="M1393" s="12">
        <f>Tb_data[[#This Row],[Employees Growth]]/Tb_data[[#This Row],[previous_workers]]</f>
        <v>0</v>
      </c>
    </row>
    <row r="1394" spans="1:13" x14ac:dyDescent="0.25">
      <c r="A1394" s="1" t="s">
        <v>5236</v>
      </c>
      <c r="B1394" s="1" t="s">
        <v>5237</v>
      </c>
      <c r="C1394" s="1">
        <v>17800000</v>
      </c>
      <c r="D1394" s="1" t="s">
        <v>20</v>
      </c>
      <c r="E1394">
        <v>152.50069999999999</v>
      </c>
      <c r="F1394" s="1" t="s">
        <v>176</v>
      </c>
      <c r="G1394">
        <v>189</v>
      </c>
      <c r="H1394">
        <v>86</v>
      </c>
      <c r="I1394" s="1" t="s">
        <v>74</v>
      </c>
      <c r="J1394">
        <v>6</v>
      </c>
      <c r="K1394" t="str">
        <f>IF(Tb_data[[#This Row],[previous_workers]]&lt;Tb_data[[#This Row],[workers]],"yes","no")</f>
        <v>yes</v>
      </c>
      <c r="L1394">
        <f>Tb_data[[#This Row],[workers]]-Tb_data[[#This Row],[previous_workers]]</f>
        <v>103</v>
      </c>
      <c r="M1394" s="12">
        <f>Tb_data[[#This Row],[Employees Growth]]/Tb_data[[#This Row],[previous_workers]]</f>
        <v>1.1976744186046511</v>
      </c>
    </row>
    <row r="1395" spans="1:13" x14ac:dyDescent="0.25">
      <c r="A1395" s="1" t="s">
        <v>9724</v>
      </c>
      <c r="B1395" s="1" t="s">
        <v>9725</v>
      </c>
      <c r="C1395" s="1">
        <v>3200000</v>
      </c>
      <c r="D1395" s="1" t="s">
        <v>895</v>
      </c>
      <c r="E1395">
        <v>57.819400000000002</v>
      </c>
      <c r="F1395" s="1" t="s">
        <v>62</v>
      </c>
      <c r="G1395">
        <v>27</v>
      </c>
      <c r="H1395">
        <v>21</v>
      </c>
      <c r="I1395" s="1" t="s">
        <v>2611</v>
      </c>
      <c r="J1395">
        <v>3</v>
      </c>
      <c r="K1395" t="str">
        <f>IF(Tb_data[[#This Row],[previous_workers]]&lt;Tb_data[[#This Row],[workers]],"yes","no")</f>
        <v>yes</v>
      </c>
      <c r="L1395">
        <f>Tb_data[[#This Row],[workers]]-Tb_data[[#This Row],[previous_workers]]</f>
        <v>6</v>
      </c>
      <c r="M1395" s="12">
        <f>Tb_data[[#This Row],[Employees Growth]]/Tb_data[[#This Row],[previous_workers]]</f>
        <v>0.2857142857142857</v>
      </c>
    </row>
    <row r="1396" spans="1:13" x14ac:dyDescent="0.25">
      <c r="A1396" s="1" t="s">
        <v>6033</v>
      </c>
      <c r="B1396" s="1" t="s">
        <v>6034</v>
      </c>
      <c r="C1396" s="1">
        <v>148600000</v>
      </c>
      <c r="D1396" s="1" t="s">
        <v>45</v>
      </c>
      <c r="E1396">
        <v>125.90730000000001</v>
      </c>
      <c r="F1396" s="1" t="s">
        <v>34</v>
      </c>
      <c r="G1396">
        <v>92</v>
      </c>
      <c r="H1396">
        <v>42</v>
      </c>
      <c r="I1396" s="1" t="s">
        <v>2628</v>
      </c>
      <c r="J1396">
        <v>7</v>
      </c>
      <c r="K1396" t="str">
        <f>IF(Tb_data[[#This Row],[previous_workers]]&lt;Tb_data[[#This Row],[workers]],"yes","no")</f>
        <v>yes</v>
      </c>
      <c r="L1396">
        <f>Tb_data[[#This Row],[workers]]-Tb_data[[#This Row],[previous_workers]]</f>
        <v>50</v>
      </c>
      <c r="M1396" s="12">
        <f>Tb_data[[#This Row],[Employees Growth]]/Tb_data[[#This Row],[previous_workers]]</f>
        <v>1.1904761904761905</v>
      </c>
    </row>
    <row r="1397" spans="1:13" x14ac:dyDescent="0.25">
      <c r="A1397" s="1" t="s">
        <v>3181</v>
      </c>
      <c r="B1397" s="1" t="s">
        <v>3182</v>
      </c>
      <c r="C1397" s="1">
        <v>5500000</v>
      </c>
      <c r="D1397" s="1" t="s">
        <v>236</v>
      </c>
      <c r="E1397">
        <v>269.959</v>
      </c>
      <c r="F1397" s="1" t="s">
        <v>124</v>
      </c>
      <c r="G1397">
        <v>31</v>
      </c>
      <c r="H1397">
        <v>9</v>
      </c>
      <c r="I1397" s="1" t="s">
        <v>147</v>
      </c>
      <c r="J1397">
        <v>1</v>
      </c>
      <c r="K1397" t="str">
        <f>IF(Tb_data[[#This Row],[previous_workers]]&lt;Tb_data[[#This Row],[workers]],"yes","no")</f>
        <v>yes</v>
      </c>
      <c r="L1397">
        <f>Tb_data[[#This Row],[workers]]-Tb_data[[#This Row],[previous_workers]]</f>
        <v>22</v>
      </c>
      <c r="M1397" s="12">
        <f>Tb_data[[#This Row],[Employees Growth]]/Tb_data[[#This Row],[previous_workers]]</f>
        <v>2.4444444444444446</v>
      </c>
    </row>
    <row r="1398" spans="1:13" x14ac:dyDescent="0.25">
      <c r="A1398" s="1" t="s">
        <v>8645</v>
      </c>
      <c r="B1398" s="1" t="s">
        <v>8646</v>
      </c>
      <c r="C1398" s="1">
        <v>5200000</v>
      </c>
      <c r="D1398" s="1" t="s">
        <v>41</v>
      </c>
      <c r="E1398">
        <v>71.736800000000002</v>
      </c>
      <c r="F1398" s="1" t="s">
        <v>34</v>
      </c>
      <c r="G1398">
        <v>17</v>
      </c>
      <c r="H1398">
        <v>9</v>
      </c>
      <c r="I1398" s="1" t="s">
        <v>46</v>
      </c>
      <c r="J1398">
        <v>1</v>
      </c>
      <c r="K1398" t="str">
        <f>IF(Tb_data[[#This Row],[previous_workers]]&lt;Tb_data[[#This Row],[workers]],"yes","no")</f>
        <v>yes</v>
      </c>
      <c r="L1398">
        <f>Tb_data[[#This Row],[workers]]-Tb_data[[#This Row],[previous_workers]]</f>
        <v>8</v>
      </c>
      <c r="M1398" s="12">
        <f>Tb_data[[#This Row],[Employees Growth]]/Tb_data[[#This Row],[previous_workers]]</f>
        <v>0.88888888888888884</v>
      </c>
    </row>
    <row r="1399" spans="1:13" x14ac:dyDescent="0.25">
      <c r="A1399" s="1" t="s">
        <v>5184</v>
      </c>
      <c r="B1399" s="1" t="s">
        <v>5185</v>
      </c>
      <c r="C1399" s="1">
        <v>9800000</v>
      </c>
      <c r="D1399" s="1" t="s">
        <v>69</v>
      </c>
      <c r="E1399">
        <v>154.0917</v>
      </c>
      <c r="F1399" s="1" t="s">
        <v>176</v>
      </c>
      <c r="G1399">
        <v>20</v>
      </c>
      <c r="H1399">
        <v>9</v>
      </c>
      <c r="I1399" s="1" t="s">
        <v>55</v>
      </c>
      <c r="J1399">
        <v>2</v>
      </c>
      <c r="K1399" t="str">
        <f>IF(Tb_data[[#This Row],[previous_workers]]&lt;Tb_data[[#This Row],[workers]],"yes","no")</f>
        <v>yes</v>
      </c>
      <c r="L1399">
        <f>Tb_data[[#This Row],[workers]]-Tb_data[[#This Row],[previous_workers]]</f>
        <v>11</v>
      </c>
      <c r="M1399" s="12">
        <f>Tb_data[[#This Row],[Employees Growth]]/Tb_data[[#This Row],[previous_workers]]</f>
        <v>1.2222222222222223</v>
      </c>
    </row>
    <row r="1400" spans="1:13" x14ac:dyDescent="0.25">
      <c r="A1400" s="1" t="s">
        <v>3414</v>
      </c>
      <c r="B1400" s="1" t="s">
        <v>3415</v>
      </c>
      <c r="C1400" s="1">
        <v>14300000</v>
      </c>
      <c r="D1400" s="1" t="s">
        <v>254</v>
      </c>
      <c r="E1400">
        <v>251.05680000000001</v>
      </c>
      <c r="F1400" s="1" t="s">
        <v>17</v>
      </c>
      <c r="G1400">
        <v>25</v>
      </c>
      <c r="H1400">
        <v>10</v>
      </c>
      <c r="I1400" s="1" t="s">
        <v>35</v>
      </c>
      <c r="J1400">
        <v>3</v>
      </c>
      <c r="K1400" t="str">
        <f>IF(Tb_data[[#This Row],[previous_workers]]&lt;Tb_data[[#This Row],[workers]],"yes","no")</f>
        <v>yes</v>
      </c>
      <c r="L1400">
        <f>Tb_data[[#This Row],[workers]]-Tb_data[[#This Row],[previous_workers]]</f>
        <v>15</v>
      </c>
      <c r="M1400" s="12">
        <f>Tb_data[[#This Row],[Employees Growth]]/Tb_data[[#This Row],[previous_workers]]</f>
        <v>1.5</v>
      </c>
    </row>
    <row r="1401" spans="1:13" x14ac:dyDescent="0.25">
      <c r="A1401" s="1" t="s">
        <v>7198</v>
      </c>
      <c r="B1401" s="1" t="s">
        <v>7199</v>
      </c>
      <c r="C1401" s="1">
        <v>20000000</v>
      </c>
      <c r="D1401" s="1" t="s">
        <v>52</v>
      </c>
      <c r="E1401">
        <v>98.457899999999995</v>
      </c>
      <c r="F1401" s="1" t="s">
        <v>94</v>
      </c>
      <c r="G1401">
        <v>155</v>
      </c>
      <c r="H1401">
        <v>75</v>
      </c>
      <c r="I1401" s="1" t="s">
        <v>117</v>
      </c>
      <c r="J1401">
        <v>2</v>
      </c>
      <c r="K1401" t="str">
        <f>IF(Tb_data[[#This Row],[previous_workers]]&lt;Tb_data[[#This Row],[workers]],"yes","no")</f>
        <v>yes</v>
      </c>
      <c r="L1401">
        <f>Tb_data[[#This Row],[workers]]-Tb_data[[#This Row],[previous_workers]]</f>
        <v>80</v>
      </c>
      <c r="M1401" s="12">
        <f>Tb_data[[#This Row],[Employees Growth]]/Tb_data[[#This Row],[previous_workers]]</f>
        <v>1.0666666666666667</v>
      </c>
    </row>
    <row r="1402" spans="1:13" x14ac:dyDescent="0.25">
      <c r="A1402" s="1" t="s">
        <v>1982</v>
      </c>
      <c r="B1402" s="1" t="s">
        <v>1983</v>
      </c>
      <c r="C1402" s="1">
        <v>3000000</v>
      </c>
      <c r="D1402" s="1" t="s">
        <v>500</v>
      </c>
      <c r="E1402">
        <v>455.29259999999999</v>
      </c>
      <c r="F1402" s="1" t="s">
        <v>135</v>
      </c>
      <c r="G1402">
        <v>39</v>
      </c>
      <c r="H1402">
        <v>33</v>
      </c>
      <c r="I1402" s="1" t="s">
        <v>55</v>
      </c>
      <c r="J1402">
        <v>2</v>
      </c>
      <c r="K1402" t="str">
        <f>IF(Tb_data[[#This Row],[previous_workers]]&lt;Tb_data[[#This Row],[workers]],"yes","no")</f>
        <v>yes</v>
      </c>
      <c r="L1402">
        <f>Tb_data[[#This Row],[workers]]-Tb_data[[#This Row],[previous_workers]]</f>
        <v>6</v>
      </c>
      <c r="M1402" s="12">
        <f>Tb_data[[#This Row],[Employees Growth]]/Tb_data[[#This Row],[previous_workers]]</f>
        <v>0.18181818181818182</v>
      </c>
    </row>
    <row r="1403" spans="1:13" x14ac:dyDescent="0.25">
      <c r="A1403" s="1" t="s">
        <v>8717</v>
      </c>
      <c r="B1403" s="1" t="s">
        <v>8718</v>
      </c>
      <c r="C1403" s="1">
        <v>3400000</v>
      </c>
      <c r="D1403" s="1" t="s">
        <v>33</v>
      </c>
      <c r="E1403">
        <v>70.825699999999998</v>
      </c>
      <c r="F1403" s="1" t="s">
        <v>176</v>
      </c>
      <c r="G1403">
        <v>13</v>
      </c>
      <c r="H1403">
        <v>7</v>
      </c>
      <c r="I1403" s="1" t="s">
        <v>194</v>
      </c>
      <c r="J1403">
        <v>1</v>
      </c>
      <c r="K1403" t="str">
        <f>IF(Tb_data[[#This Row],[previous_workers]]&lt;Tb_data[[#This Row],[workers]],"yes","no")</f>
        <v>yes</v>
      </c>
      <c r="L1403">
        <f>Tb_data[[#This Row],[workers]]-Tb_data[[#This Row],[previous_workers]]</f>
        <v>6</v>
      </c>
      <c r="M1403" s="12">
        <f>Tb_data[[#This Row],[Employees Growth]]/Tb_data[[#This Row],[previous_workers]]</f>
        <v>0.8571428571428571</v>
      </c>
    </row>
    <row r="1404" spans="1:13" x14ac:dyDescent="0.25">
      <c r="A1404" s="1" t="s">
        <v>5374</v>
      </c>
      <c r="B1404" s="1" t="s">
        <v>5375</v>
      </c>
      <c r="C1404" s="1">
        <v>5900000</v>
      </c>
      <c r="D1404" s="1" t="s">
        <v>20</v>
      </c>
      <c r="E1404">
        <v>147.4478</v>
      </c>
      <c r="F1404" s="1" t="s">
        <v>169</v>
      </c>
      <c r="G1404">
        <v>26</v>
      </c>
      <c r="H1404">
        <v>12</v>
      </c>
      <c r="I1404" s="1" t="s">
        <v>130</v>
      </c>
      <c r="J1404">
        <v>3</v>
      </c>
      <c r="K1404" t="str">
        <f>IF(Tb_data[[#This Row],[previous_workers]]&lt;Tb_data[[#This Row],[workers]],"yes","no")</f>
        <v>yes</v>
      </c>
      <c r="L1404">
        <f>Tb_data[[#This Row],[workers]]-Tb_data[[#This Row],[previous_workers]]</f>
        <v>14</v>
      </c>
      <c r="M1404" s="12">
        <f>Tb_data[[#This Row],[Employees Growth]]/Tb_data[[#This Row],[previous_workers]]</f>
        <v>1.1666666666666667</v>
      </c>
    </row>
    <row r="1405" spans="1:13" x14ac:dyDescent="0.25">
      <c r="A1405" s="1" t="s">
        <v>217</v>
      </c>
      <c r="B1405" s="1" t="s">
        <v>218</v>
      </c>
      <c r="C1405" s="1">
        <v>6700000</v>
      </c>
      <c r="D1405" s="1" t="s">
        <v>33</v>
      </c>
      <c r="E1405">
        <v>4233.6743999999999</v>
      </c>
      <c r="F1405" s="1" t="s">
        <v>169</v>
      </c>
      <c r="G1405">
        <v>36</v>
      </c>
      <c r="H1405">
        <v>2</v>
      </c>
      <c r="I1405" s="1" t="s">
        <v>130</v>
      </c>
      <c r="J1405">
        <v>1</v>
      </c>
      <c r="K1405" t="str">
        <f>IF(Tb_data[[#This Row],[previous_workers]]&lt;Tb_data[[#This Row],[workers]],"yes","no")</f>
        <v>yes</v>
      </c>
      <c r="L1405">
        <f>Tb_data[[#This Row],[workers]]-Tb_data[[#This Row],[previous_workers]]</f>
        <v>34</v>
      </c>
      <c r="M1405" s="12">
        <f>Tb_data[[#This Row],[Employees Growth]]/Tb_data[[#This Row],[previous_workers]]</f>
        <v>17</v>
      </c>
    </row>
    <row r="1406" spans="1:13" x14ac:dyDescent="0.25">
      <c r="A1406" s="1" t="s">
        <v>6109</v>
      </c>
      <c r="B1406" s="1" t="s">
        <v>6110</v>
      </c>
      <c r="C1406" s="1">
        <v>15000000</v>
      </c>
      <c r="D1406" s="1" t="s">
        <v>129</v>
      </c>
      <c r="E1406">
        <v>123.4325</v>
      </c>
      <c r="F1406" s="1" t="s">
        <v>169</v>
      </c>
      <c r="G1406">
        <v>75</v>
      </c>
      <c r="H1406">
        <v>36</v>
      </c>
      <c r="I1406" s="1" t="s">
        <v>1622</v>
      </c>
      <c r="J1406">
        <v>3</v>
      </c>
      <c r="K1406" t="str">
        <f>IF(Tb_data[[#This Row],[previous_workers]]&lt;Tb_data[[#This Row],[workers]],"yes","no")</f>
        <v>yes</v>
      </c>
      <c r="L1406">
        <f>Tb_data[[#This Row],[workers]]-Tb_data[[#This Row],[previous_workers]]</f>
        <v>39</v>
      </c>
      <c r="M1406" s="12">
        <f>Tb_data[[#This Row],[Employees Growth]]/Tb_data[[#This Row],[previous_workers]]</f>
        <v>1.0833333333333333</v>
      </c>
    </row>
    <row r="1407" spans="1:13" x14ac:dyDescent="0.25">
      <c r="A1407" s="1" t="s">
        <v>4643</v>
      </c>
      <c r="B1407" s="1" t="s">
        <v>4644</v>
      </c>
      <c r="C1407" s="1">
        <v>3900000</v>
      </c>
      <c r="D1407" s="1" t="s">
        <v>49</v>
      </c>
      <c r="E1407">
        <v>176.19720000000001</v>
      </c>
      <c r="F1407" s="1" t="s">
        <v>86</v>
      </c>
      <c r="G1407">
        <v>14</v>
      </c>
      <c r="H1407">
        <v>10</v>
      </c>
      <c r="I1407" s="1" t="s">
        <v>164</v>
      </c>
      <c r="J1407">
        <v>2</v>
      </c>
      <c r="K1407" t="str">
        <f>IF(Tb_data[[#This Row],[previous_workers]]&lt;Tb_data[[#This Row],[workers]],"yes","no")</f>
        <v>yes</v>
      </c>
      <c r="L1407">
        <f>Tb_data[[#This Row],[workers]]-Tb_data[[#This Row],[previous_workers]]</f>
        <v>4</v>
      </c>
      <c r="M1407" s="12">
        <f>Tb_data[[#This Row],[Employees Growth]]/Tb_data[[#This Row],[previous_workers]]</f>
        <v>0.4</v>
      </c>
    </row>
    <row r="1408" spans="1:13" x14ac:dyDescent="0.25">
      <c r="A1408" s="1" t="s">
        <v>9071</v>
      </c>
      <c r="B1408" s="1" t="s">
        <v>9072</v>
      </c>
      <c r="C1408" s="1">
        <v>5000000</v>
      </c>
      <c r="D1408" s="1" t="s">
        <v>61</v>
      </c>
      <c r="E1408">
        <v>65.781000000000006</v>
      </c>
      <c r="F1408" s="1" t="s">
        <v>514</v>
      </c>
      <c r="G1408">
        <v>28</v>
      </c>
      <c r="H1408">
        <v>18</v>
      </c>
      <c r="I1408" s="1" t="s">
        <v>295</v>
      </c>
      <c r="J1408">
        <v>3</v>
      </c>
      <c r="K1408" t="str">
        <f>IF(Tb_data[[#This Row],[previous_workers]]&lt;Tb_data[[#This Row],[workers]],"yes","no")</f>
        <v>yes</v>
      </c>
      <c r="L1408">
        <f>Tb_data[[#This Row],[workers]]-Tb_data[[#This Row],[previous_workers]]</f>
        <v>10</v>
      </c>
      <c r="M1408" s="12">
        <f>Tb_data[[#This Row],[Employees Growth]]/Tb_data[[#This Row],[previous_workers]]</f>
        <v>0.55555555555555558</v>
      </c>
    </row>
    <row r="1409" spans="1:13" x14ac:dyDescent="0.25">
      <c r="A1409" s="1" t="s">
        <v>6007</v>
      </c>
      <c r="B1409" s="1" t="s">
        <v>6008</v>
      </c>
      <c r="C1409" s="1">
        <v>35600000</v>
      </c>
      <c r="D1409" s="1" t="s">
        <v>91</v>
      </c>
      <c r="E1409">
        <v>126.3777</v>
      </c>
      <c r="F1409" s="1" t="s">
        <v>25</v>
      </c>
      <c r="G1409">
        <v>326</v>
      </c>
      <c r="H1409">
        <v>142</v>
      </c>
      <c r="I1409" s="1" t="s">
        <v>46</v>
      </c>
      <c r="J1409">
        <v>5</v>
      </c>
      <c r="K1409" t="str">
        <f>IF(Tb_data[[#This Row],[previous_workers]]&lt;Tb_data[[#This Row],[workers]],"yes","no")</f>
        <v>yes</v>
      </c>
      <c r="L1409">
        <f>Tb_data[[#This Row],[workers]]-Tb_data[[#This Row],[previous_workers]]</f>
        <v>184</v>
      </c>
      <c r="M1409" s="12">
        <f>Tb_data[[#This Row],[Employees Growth]]/Tb_data[[#This Row],[previous_workers]]</f>
        <v>1.295774647887324</v>
      </c>
    </row>
    <row r="1410" spans="1:13" x14ac:dyDescent="0.25">
      <c r="A1410" s="1" t="s">
        <v>4834</v>
      </c>
      <c r="B1410" s="1" t="s">
        <v>4835</v>
      </c>
      <c r="C1410" s="1">
        <v>12700000</v>
      </c>
      <c r="D1410" s="1" t="s">
        <v>69</v>
      </c>
      <c r="E1410">
        <v>168.7715</v>
      </c>
      <c r="F1410" s="1" t="s">
        <v>176</v>
      </c>
      <c r="G1410">
        <v>40</v>
      </c>
      <c r="H1410">
        <v>14</v>
      </c>
      <c r="I1410" s="1" t="s">
        <v>130</v>
      </c>
      <c r="J1410">
        <v>3</v>
      </c>
      <c r="K1410" t="str">
        <f>IF(Tb_data[[#This Row],[previous_workers]]&lt;Tb_data[[#This Row],[workers]],"yes","no")</f>
        <v>yes</v>
      </c>
      <c r="L1410">
        <f>Tb_data[[#This Row],[workers]]-Tb_data[[#This Row],[previous_workers]]</f>
        <v>26</v>
      </c>
      <c r="M1410" s="12">
        <f>Tb_data[[#This Row],[Employees Growth]]/Tb_data[[#This Row],[previous_workers]]</f>
        <v>1.8571428571428572</v>
      </c>
    </row>
    <row r="1411" spans="1:13" x14ac:dyDescent="0.25">
      <c r="A1411" s="1" t="s">
        <v>7294</v>
      </c>
      <c r="B1411" s="1" t="s">
        <v>7295</v>
      </c>
      <c r="C1411" s="1">
        <v>19300000</v>
      </c>
      <c r="D1411" s="1" t="s">
        <v>49</v>
      </c>
      <c r="E1411">
        <v>97.100099999999998</v>
      </c>
      <c r="F1411" s="1" t="s">
        <v>62</v>
      </c>
      <c r="G1411">
        <v>125</v>
      </c>
      <c r="H1411">
        <v>40</v>
      </c>
      <c r="I1411" s="1" t="s">
        <v>1051</v>
      </c>
      <c r="J1411">
        <v>2</v>
      </c>
      <c r="K1411" t="str">
        <f>IF(Tb_data[[#This Row],[previous_workers]]&lt;Tb_data[[#This Row],[workers]],"yes","no")</f>
        <v>yes</v>
      </c>
      <c r="L1411">
        <f>Tb_data[[#This Row],[workers]]-Tb_data[[#This Row],[previous_workers]]</f>
        <v>85</v>
      </c>
      <c r="M1411" s="12">
        <f>Tb_data[[#This Row],[Employees Growth]]/Tb_data[[#This Row],[previous_workers]]</f>
        <v>2.125</v>
      </c>
    </row>
    <row r="1412" spans="1:13" x14ac:dyDescent="0.25">
      <c r="A1412" s="1" t="s">
        <v>1945</v>
      </c>
      <c r="B1412" s="1" t="s">
        <v>1946</v>
      </c>
      <c r="C1412" s="1">
        <v>46600000</v>
      </c>
      <c r="D1412" s="1" t="s">
        <v>254</v>
      </c>
      <c r="E1412">
        <v>462.97230000000002</v>
      </c>
      <c r="F1412" s="1" t="s">
        <v>17</v>
      </c>
      <c r="G1412">
        <v>43</v>
      </c>
      <c r="H1412">
        <v>14</v>
      </c>
      <c r="I1412" s="1" t="s">
        <v>26</v>
      </c>
      <c r="J1412">
        <v>2</v>
      </c>
      <c r="K1412" t="str">
        <f>IF(Tb_data[[#This Row],[previous_workers]]&lt;Tb_data[[#This Row],[workers]],"yes","no")</f>
        <v>yes</v>
      </c>
      <c r="L1412">
        <f>Tb_data[[#This Row],[workers]]-Tb_data[[#This Row],[previous_workers]]</f>
        <v>29</v>
      </c>
      <c r="M1412" s="12">
        <f>Tb_data[[#This Row],[Employees Growth]]/Tb_data[[#This Row],[previous_workers]]</f>
        <v>2.0714285714285716</v>
      </c>
    </row>
    <row r="1413" spans="1:13" x14ac:dyDescent="0.25">
      <c r="A1413" s="1" t="s">
        <v>5294</v>
      </c>
      <c r="B1413" s="1" t="s">
        <v>5295</v>
      </c>
      <c r="C1413" s="1">
        <v>19400000</v>
      </c>
      <c r="D1413" s="1" t="s">
        <v>129</v>
      </c>
      <c r="E1413">
        <v>150.29470000000001</v>
      </c>
      <c r="F1413" s="1" t="s">
        <v>156</v>
      </c>
      <c r="G1413">
        <v>157</v>
      </c>
      <c r="H1413">
        <v>67</v>
      </c>
      <c r="I1413" s="1" t="s">
        <v>229</v>
      </c>
      <c r="J1413">
        <v>1</v>
      </c>
      <c r="K1413" t="str">
        <f>IF(Tb_data[[#This Row],[previous_workers]]&lt;Tb_data[[#This Row],[workers]],"yes","no")</f>
        <v>yes</v>
      </c>
      <c r="L1413">
        <f>Tb_data[[#This Row],[workers]]-Tb_data[[#This Row],[previous_workers]]</f>
        <v>90</v>
      </c>
      <c r="M1413" s="12">
        <f>Tb_data[[#This Row],[Employees Growth]]/Tb_data[[#This Row],[previous_workers]]</f>
        <v>1.3432835820895523</v>
      </c>
    </row>
    <row r="1414" spans="1:13" x14ac:dyDescent="0.25">
      <c r="A1414" s="1" t="s">
        <v>4880</v>
      </c>
      <c r="B1414" s="1" t="s">
        <v>4881</v>
      </c>
      <c r="C1414" s="1">
        <v>2200000</v>
      </c>
      <c r="D1414" s="1" t="s">
        <v>49</v>
      </c>
      <c r="E1414">
        <v>166.78309999999999</v>
      </c>
      <c r="F1414" s="1" t="s">
        <v>310</v>
      </c>
      <c r="G1414">
        <v>48</v>
      </c>
      <c r="H1414">
        <v>25</v>
      </c>
      <c r="I1414" s="1" t="s">
        <v>164</v>
      </c>
      <c r="J1414">
        <v>1</v>
      </c>
      <c r="K1414" t="str">
        <f>IF(Tb_data[[#This Row],[previous_workers]]&lt;Tb_data[[#This Row],[workers]],"yes","no")</f>
        <v>yes</v>
      </c>
      <c r="L1414">
        <f>Tb_data[[#This Row],[workers]]-Tb_data[[#This Row],[previous_workers]]</f>
        <v>23</v>
      </c>
      <c r="M1414" s="12">
        <f>Tb_data[[#This Row],[Employees Growth]]/Tb_data[[#This Row],[previous_workers]]</f>
        <v>0.92</v>
      </c>
    </row>
    <row r="1415" spans="1:13" x14ac:dyDescent="0.25">
      <c r="A1415" s="1" t="s">
        <v>9201</v>
      </c>
      <c r="B1415" s="1" t="s">
        <v>9202</v>
      </c>
      <c r="C1415" s="1">
        <v>8100000</v>
      </c>
      <c r="D1415" s="1" t="s">
        <v>29</v>
      </c>
      <c r="E1415">
        <v>64.113900000000001</v>
      </c>
      <c r="F1415" s="1" t="s">
        <v>310</v>
      </c>
      <c r="G1415">
        <v>31</v>
      </c>
      <c r="H1415">
        <v>20</v>
      </c>
      <c r="I1415" s="1" t="s">
        <v>229</v>
      </c>
      <c r="J1415">
        <v>8</v>
      </c>
      <c r="K1415" t="str">
        <f>IF(Tb_data[[#This Row],[previous_workers]]&lt;Tb_data[[#This Row],[workers]],"yes","no")</f>
        <v>yes</v>
      </c>
      <c r="L1415">
        <f>Tb_data[[#This Row],[workers]]-Tb_data[[#This Row],[previous_workers]]</f>
        <v>11</v>
      </c>
      <c r="M1415" s="12">
        <f>Tb_data[[#This Row],[Employees Growth]]/Tb_data[[#This Row],[previous_workers]]</f>
        <v>0.55000000000000004</v>
      </c>
    </row>
    <row r="1416" spans="1:13" x14ac:dyDescent="0.25">
      <c r="A1416" s="1" t="s">
        <v>1318</v>
      </c>
      <c r="B1416" s="1" t="s">
        <v>1319</v>
      </c>
      <c r="C1416" s="1">
        <v>6300000</v>
      </c>
      <c r="D1416" s="1" t="s">
        <v>52</v>
      </c>
      <c r="E1416">
        <v>732.62300000000005</v>
      </c>
      <c r="F1416" s="1" t="s">
        <v>86</v>
      </c>
      <c r="G1416">
        <v>60</v>
      </c>
      <c r="H1416">
        <v>13</v>
      </c>
      <c r="I1416" s="1" t="s">
        <v>35</v>
      </c>
      <c r="J1416">
        <v>3</v>
      </c>
      <c r="K1416" t="str">
        <f>IF(Tb_data[[#This Row],[previous_workers]]&lt;Tb_data[[#This Row],[workers]],"yes","no")</f>
        <v>yes</v>
      </c>
      <c r="L1416">
        <f>Tb_data[[#This Row],[workers]]-Tb_data[[#This Row],[previous_workers]]</f>
        <v>47</v>
      </c>
      <c r="M1416" s="12">
        <f>Tb_data[[#This Row],[Employees Growth]]/Tb_data[[#This Row],[previous_workers]]</f>
        <v>3.6153846153846154</v>
      </c>
    </row>
    <row r="1417" spans="1:13" x14ac:dyDescent="0.25">
      <c r="A1417" s="1" t="s">
        <v>881</v>
      </c>
      <c r="B1417" s="1" t="s">
        <v>882</v>
      </c>
      <c r="C1417" s="1">
        <v>2900000</v>
      </c>
      <c r="D1417" s="1" t="s">
        <v>49</v>
      </c>
      <c r="E1417">
        <v>1156.826</v>
      </c>
      <c r="F1417" s="1" t="s">
        <v>86</v>
      </c>
      <c r="G1417">
        <v>52</v>
      </c>
      <c r="H1417">
        <v>10</v>
      </c>
      <c r="I1417" s="1" t="s">
        <v>130</v>
      </c>
      <c r="J1417">
        <v>1</v>
      </c>
      <c r="K1417" t="str">
        <f>IF(Tb_data[[#This Row],[previous_workers]]&lt;Tb_data[[#This Row],[workers]],"yes","no")</f>
        <v>yes</v>
      </c>
      <c r="L1417">
        <f>Tb_data[[#This Row],[workers]]-Tb_data[[#This Row],[previous_workers]]</f>
        <v>42</v>
      </c>
      <c r="M1417" s="12">
        <f>Tb_data[[#This Row],[Employees Growth]]/Tb_data[[#This Row],[previous_workers]]</f>
        <v>4.2</v>
      </c>
    </row>
    <row r="1418" spans="1:13" x14ac:dyDescent="0.25">
      <c r="A1418" s="1" t="s">
        <v>7941</v>
      </c>
      <c r="B1418" s="1" t="s">
        <v>7942</v>
      </c>
      <c r="C1418" s="1">
        <v>46100000</v>
      </c>
      <c r="D1418" s="1" t="s">
        <v>29</v>
      </c>
      <c r="E1418">
        <v>84.154200000000003</v>
      </c>
      <c r="F1418" s="1" t="s">
        <v>21</v>
      </c>
      <c r="G1418">
        <v>105</v>
      </c>
      <c r="H1418">
        <v>77</v>
      </c>
      <c r="I1418" s="1" t="s">
        <v>3955</v>
      </c>
      <c r="J1418">
        <v>5</v>
      </c>
      <c r="K1418" t="str">
        <f>IF(Tb_data[[#This Row],[previous_workers]]&lt;Tb_data[[#This Row],[workers]],"yes","no")</f>
        <v>yes</v>
      </c>
      <c r="L1418">
        <f>Tb_data[[#This Row],[workers]]-Tb_data[[#This Row],[previous_workers]]</f>
        <v>28</v>
      </c>
      <c r="M1418" s="12">
        <f>Tb_data[[#This Row],[Employees Growth]]/Tb_data[[#This Row],[previous_workers]]</f>
        <v>0.36363636363636365</v>
      </c>
    </row>
    <row r="1419" spans="1:13" x14ac:dyDescent="0.25">
      <c r="A1419" s="1" t="s">
        <v>8845</v>
      </c>
      <c r="B1419" s="1" t="s">
        <v>8846</v>
      </c>
      <c r="C1419" s="1">
        <v>14900000</v>
      </c>
      <c r="D1419" s="1" t="s">
        <v>129</v>
      </c>
      <c r="E1419">
        <v>68.805599999999998</v>
      </c>
      <c r="F1419" s="1" t="s">
        <v>176</v>
      </c>
      <c r="G1419">
        <v>98</v>
      </c>
      <c r="H1419">
        <v>50</v>
      </c>
      <c r="I1419" s="1" t="s">
        <v>2628</v>
      </c>
      <c r="J1419">
        <v>10</v>
      </c>
      <c r="K1419" t="str">
        <f>IF(Tb_data[[#This Row],[previous_workers]]&lt;Tb_data[[#This Row],[workers]],"yes","no")</f>
        <v>yes</v>
      </c>
      <c r="L1419">
        <f>Tb_data[[#This Row],[workers]]-Tb_data[[#This Row],[previous_workers]]</f>
        <v>48</v>
      </c>
      <c r="M1419" s="12">
        <f>Tb_data[[#This Row],[Employees Growth]]/Tb_data[[#This Row],[previous_workers]]</f>
        <v>0.96</v>
      </c>
    </row>
    <row r="1420" spans="1:13" x14ac:dyDescent="0.25">
      <c r="A1420" s="1" t="s">
        <v>691</v>
      </c>
      <c r="B1420" s="1" t="s">
        <v>692</v>
      </c>
      <c r="C1420" s="1">
        <v>6600000</v>
      </c>
      <c r="D1420" s="1" t="s">
        <v>85</v>
      </c>
      <c r="E1420">
        <v>1493.1967</v>
      </c>
      <c r="F1420" s="1" t="s">
        <v>116</v>
      </c>
      <c r="G1420">
        <v>20</v>
      </c>
      <c r="H1420">
        <v>4</v>
      </c>
      <c r="I1420" s="1" t="s">
        <v>13</v>
      </c>
      <c r="J1420">
        <v>1</v>
      </c>
      <c r="K1420" t="str">
        <f>IF(Tb_data[[#This Row],[previous_workers]]&lt;Tb_data[[#This Row],[workers]],"yes","no")</f>
        <v>yes</v>
      </c>
      <c r="L1420">
        <f>Tb_data[[#This Row],[workers]]-Tb_data[[#This Row],[previous_workers]]</f>
        <v>16</v>
      </c>
      <c r="M1420" s="12">
        <f>Tb_data[[#This Row],[Employees Growth]]/Tb_data[[#This Row],[previous_workers]]</f>
        <v>4</v>
      </c>
    </row>
    <row r="1421" spans="1:13" x14ac:dyDescent="0.25">
      <c r="A1421" s="1" t="s">
        <v>2518</v>
      </c>
      <c r="B1421" s="1" t="s">
        <v>2519</v>
      </c>
      <c r="C1421" s="1">
        <v>2700000</v>
      </c>
      <c r="D1421" s="1" t="s">
        <v>61</v>
      </c>
      <c r="E1421">
        <v>343.9375</v>
      </c>
      <c r="F1421" s="1" t="s">
        <v>12</v>
      </c>
      <c r="G1421">
        <v>12</v>
      </c>
      <c r="H1421">
        <v>7</v>
      </c>
      <c r="I1421" s="1" t="s">
        <v>55</v>
      </c>
      <c r="J1421">
        <v>3</v>
      </c>
      <c r="K1421" t="str">
        <f>IF(Tb_data[[#This Row],[previous_workers]]&lt;Tb_data[[#This Row],[workers]],"yes","no")</f>
        <v>yes</v>
      </c>
      <c r="L1421">
        <f>Tb_data[[#This Row],[workers]]-Tb_data[[#This Row],[previous_workers]]</f>
        <v>5</v>
      </c>
      <c r="M1421" s="12">
        <f>Tb_data[[#This Row],[Employees Growth]]/Tb_data[[#This Row],[previous_workers]]</f>
        <v>0.7142857142857143</v>
      </c>
    </row>
    <row r="1422" spans="1:13" x14ac:dyDescent="0.25">
      <c r="A1422" s="1" t="s">
        <v>7457</v>
      </c>
      <c r="B1422" s="1" t="s">
        <v>7458</v>
      </c>
      <c r="C1422" s="1">
        <v>3400000</v>
      </c>
      <c r="D1422" s="1" t="s">
        <v>20</v>
      </c>
      <c r="E1422">
        <v>94.213300000000004</v>
      </c>
      <c r="F1422" s="1" t="s">
        <v>12</v>
      </c>
      <c r="G1422">
        <v>36</v>
      </c>
      <c r="H1422">
        <v>17</v>
      </c>
      <c r="I1422" s="1" t="s">
        <v>46</v>
      </c>
      <c r="J1422">
        <v>1</v>
      </c>
      <c r="K1422" t="str">
        <f>IF(Tb_data[[#This Row],[previous_workers]]&lt;Tb_data[[#This Row],[workers]],"yes","no")</f>
        <v>yes</v>
      </c>
      <c r="L1422">
        <f>Tb_data[[#This Row],[workers]]-Tb_data[[#This Row],[previous_workers]]</f>
        <v>19</v>
      </c>
      <c r="M1422" s="12">
        <f>Tb_data[[#This Row],[Employees Growth]]/Tb_data[[#This Row],[previous_workers]]</f>
        <v>1.1176470588235294</v>
      </c>
    </row>
    <row r="1423" spans="1:13" x14ac:dyDescent="0.25">
      <c r="A1423" s="1" t="s">
        <v>440</v>
      </c>
      <c r="B1423" s="1" t="s">
        <v>441</v>
      </c>
      <c r="C1423" s="1">
        <v>9900000</v>
      </c>
      <c r="D1423" s="1" t="s">
        <v>33</v>
      </c>
      <c r="E1423">
        <v>2155.4069</v>
      </c>
      <c r="F1423" s="1" t="s">
        <v>94</v>
      </c>
      <c r="G1423">
        <v>50</v>
      </c>
      <c r="H1423">
        <v>10</v>
      </c>
      <c r="I1423" s="1" t="s">
        <v>164</v>
      </c>
      <c r="J1423">
        <v>1</v>
      </c>
      <c r="K1423" t="str">
        <f>IF(Tb_data[[#This Row],[previous_workers]]&lt;Tb_data[[#This Row],[workers]],"yes","no")</f>
        <v>yes</v>
      </c>
      <c r="L1423">
        <f>Tb_data[[#This Row],[workers]]-Tb_data[[#This Row],[previous_workers]]</f>
        <v>40</v>
      </c>
      <c r="M1423" s="12">
        <f>Tb_data[[#This Row],[Employees Growth]]/Tb_data[[#This Row],[previous_workers]]</f>
        <v>4</v>
      </c>
    </row>
    <row r="1424" spans="1:13" x14ac:dyDescent="0.25">
      <c r="A1424" s="1" t="s">
        <v>4784</v>
      </c>
      <c r="B1424" s="1" t="s">
        <v>4785</v>
      </c>
      <c r="C1424" s="1">
        <v>45700000</v>
      </c>
      <c r="D1424" s="1" t="s">
        <v>254</v>
      </c>
      <c r="E1424">
        <v>170.7114</v>
      </c>
      <c r="F1424" s="1" t="s">
        <v>135</v>
      </c>
      <c r="G1424">
        <v>250</v>
      </c>
      <c r="H1424">
        <v>120</v>
      </c>
      <c r="I1424" s="1" t="s">
        <v>226</v>
      </c>
      <c r="J1424">
        <v>5</v>
      </c>
      <c r="K1424" t="str">
        <f>IF(Tb_data[[#This Row],[previous_workers]]&lt;Tb_data[[#This Row],[workers]],"yes","no")</f>
        <v>yes</v>
      </c>
      <c r="L1424">
        <f>Tb_data[[#This Row],[workers]]-Tb_data[[#This Row],[previous_workers]]</f>
        <v>130</v>
      </c>
      <c r="M1424" s="12">
        <f>Tb_data[[#This Row],[Employees Growth]]/Tb_data[[#This Row],[previous_workers]]</f>
        <v>1.0833333333333333</v>
      </c>
    </row>
    <row r="1425" spans="1:13" x14ac:dyDescent="0.25">
      <c r="A1425" s="1" t="s">
        <v>229</v>
      </c>
      <c r="B1425" s="1" t="s">
        <v>4104</v>
      </c>
      <c r="C1425" s="1">
        <v>5800000</v>
      </c>
      <c r="D1425" s="1" t="s">
        <v>38</v>
      </c>
      <c r="E1425">
        <v>200.87899999999999</v>
      </c>
      <c r="F1425" s="1" t="s">
        <v>124</v>
      </c>
      <c r="G1425">
        <v>20</v>
      </c>
      <c r="H1425">
        <v>6</v>
      </c>
      <c r="I1425" s="1" t="s">
        <v>35</v>
      </c>
      <c r="J1425">
        <v>3</v>
      </c>
      <c r="K1425" t="str">
        <f>IF(Tb_data[[#This Row],[previous_workers]]&lt;Tb_data[[#This Row],[workers]],"yes","no")</f>
        <v>yes</v>
      </c>
      <c r="L1425">
        <f>Tb_data[[#This Row],[workers]]-Tb_data[[#This Row],[previous_workers]]</f>
        <v>14</v>
      </c>
      <c r="M1425" s="12">
        <f>Tb_data[[#This Row],[Employees Growth]]/Tb_data[[#This Row],[previous_workers]]</f>
        <v>2.3333333333333335</v>
      </c>
    </row>
    <row r="1426" spans="1:13" x14ac:dyDescent="0.25">
      <c r="A1426" s="1" t="s">
        <v>8203</v>
      </c>
      <c r="B1426" s="1" t="s">
        <v>8204</v>
      </c>
      <c r="C1426" s="1">
        <v>3500000</v>
      </c>
      <c r="D1426" s="1" t="s">
        <v>483</v>
      </c>
      <c r="E1426">
        <v>79.523399999999995</v>
      </c>
      <c r="F1426" s="1" t="s">
        <v>3264</v>
      </c>
      <c r="G1426">
        <v>21</v>
      </c>
      <c r="H1426">
        <v>13</v>
      </c>
      <c r="I1426" s="1" t="s">
        <v>194</v>
      </c>
      <c r="J1426">
        <v>1</v>
      </c>
      <c r="K1426" t="str">
        <f>IF(Tb_data[[#This Row],[previous_workers]]&lt;Tb_data[[#This Row],[workers]],"yes","no")</f>
        <v>yes</v>
      </c>
      <c r="L1426">
        <f>Tb_data[[#This Row],[workers]]-Tb_data[[#This Row],[previous_workers]]</f>
        <v>8</v>
      </c>
      <c r="M1426" s="12">
        <f>Tb_data[[#This Row],[Employees Growth]]/Tb_data[[#This Row],[previous_workers]]</f>
        <v>0.61538461538461542</v>
      </c>
    </row>
    <row r="1427" spans="1:13" x14ac:dyDescent="0.25">
      <c r="A1427" s="1" t="s">
        <v>9041</v>
      </c>
      <c r="B1427" s="1" t="s">
        <v>9042</v>
      </c>
      <c r="C1427" s="1">
        <v>22500000</v>
      </c>
      <c r="D1427" s="1" t="s">
        <v>61</v>
      </c>
      <c r="E1427">
        <v>66.028000000000006</v>
      </c>
      <c r="F1427" s="1" t="s">
        <v>34</v>
      </c>
      <c r="G1427">
        <v>246</v>
      </c>
      <c r="H1427">
        <v>167</v>
      </c>
      <c r="I1427" s="1" t="s">
        <v>74</v>
      </c>
      <c r="J1427">
        <v>3</v>
      </c>
      <c r="K1427" t="str">
        <f>IF(Tb_data[[#This Row],[previous_workers]]&lt;Tb_data[[#This Row],[workers]],"yes","no")</f>
        <v>yes</v>
      </c>
      <c r="L1427">
        <f>Tb_data[[#This Row],[workers]]-Tb_data[[#This Row],[previous_workers]]</f>
        <v>79</v>
      </c>
      <c r="M1427" s="12">
        <f>Tb_data[[#This Row],[Employees Growth]]/Tb_data[[#This Row],[previous_workers]]</f>
        <v>0.47305389221556887</v>
      </c>
    </row>
    <row r="1428" spans="1:13" x14ac:dyDescent="0.25">
      <c r="A1428" s="1" t="s">
        <v>6845</v>
      </c>
      <c r="B1428" s="1" t="s">
        <v>6846</v>
      </c>
      <c r="C1428" s="1">
        <v>3400000</v>
      </c>
      <c r="D1428" s="1" t="s">
        <v>155</v>
      </c>
      <c r="E1428">
        <v>105.6763</v>
      </c>
      <c r="F1428" s="1" t="s">
        <v>116</v>
      </c>
      <c r="G1428">
        <v>10</v>
      </c>
      <c r="H1428">
        <v>6</v>
      </c>
      <c r="I1428" s="1" t="s">
        <v>948</v>
      </c>
      <c r="J1428">
        <v>1</v>
      </c>
      <c r="K1428" t="str">
        <f>IF(Tb_data[[#This Row],[previous_workers]]&lt;Tb_data[[#This Row],[workers]],"yes","no")</f>
        <v>yes</v>
      </c>
      <c r="L1428">
        <f>Tb_data[[#This Row],[workers]]-Tb_data[[#This Row],[previous_workers]]</f>
        <v>4</v>
      </c>
      <c r="M1428" s="12">
        <f>Tb_data[[#This Row],[Employees Growth]]/Tb_data[[#This Row],[previous_workers]]</f>
        <v>0.66666666666666663</v>
      </c>
    </row>
    <row r="1429" spans="1:13" x14ac:dyDescent="0.25">
      <c r="A1429" s="1" t="s">
        <v>5682</v>
      </c>
      <c r="B1429" s="1" t="s">
        <v>5683</v>
      </c>
      <c r="C1429" s="1">
        <v>5100000</v>
      </c>
      <c r="D1429" s="1" t="s">
        <v>254</v>
      </c>
      <c r="E1429">
        <v>134.9528</v>
      </c>
      <c r="F1429" s="1" t="s">
        <v>86</v>
      </c>
      <c r="G1429">
        <v>40</v>
      </c>
      <c r="H1429">
        <v>17</v>
      </c>
      <c r="I1429" s="1" t="s">
        <v>46</v>
      </c>
      <c r="J1429">
        <v>4</v>
      </c>
      <c r="K1429" t="str">
        <f>IF(Tb_data[[#This Row],[previous_workers]]&lt;Tb_data[[#This Row],[workers]],"yes","no")</f>
        <v>yes</v>
      </c>
      <c r="L1429">
        <f>Tb_data[[#This Row],[workers]]-Tb_data[[#This Row],[previous_workers]]</f>
        <v>23</v>
      </c>
      <c r="M1429" s="12">
        <f>Tb_data[[#This Row],[Employees Growth]]/Tb_data[[#This Row],[previous_workers]]</f>
        <v>1.3529411764705883</v>
      </c>
    </row>
    <row r="1430" spans="1:13" x14ac:dyDescent="0.25">
      <c r="A1430" s="1" t="s">
        <v>4062</v>
      </c>
      <c r="B1430" s="1" t="s">
        <v>4063</v>
      </c>
      <c r="C1430" s="1">
        <v>2700000</v>
      </c>
      <c r="D1430" s="1" t="s">
        <v>4064</v>
      </c>
      <c r="E1430">
        <v>204.1746</v>
      </c>
      <c r="F1430" s="1" t="s">
        <v>12</v>
      </c>
      <c r="G1430">
        <v>23</v>
      </c>
      <c r="H1430">
        <v>12</v>
      </c>
      <c r="I1430" s="1" t="s">
        <v>35</v>
      </c>
      <c r="J1430">
        <v>1</v>
      </c>
      <c r="K1430" t="str">
        <f>IF(Tb_data[[#This Row],[previous_workers]]&lt;Tb_data[[#This Row],[workers]],"yes","no")</f>
        <v>yes</v>
      </c>
      <c r="L1430">
        <f>Tb_data[[#This Row],[workers]]-Tb_data[[#This Row],[previous_workers]]</f>
        <v>11</v>
      </c>
      <c r="M1430" s="12">
        <f>Tb_data[[#This Row],[Employees Growth]]/Tb_data[[#This Row],[previous_workers]]</f>
        <v>0.91666666666666663</v>
      </c>
    </row>
    <row r="1431" spans="1:13" x14ac:dyDescent="0.25">
      <c r="A1431" s="1" t="s">
        <v>4904</v>
      </c>
      <c r="B1431" s="1" t="s">
        <v>4905</v>
      </c>
      <c r="C1431" s="1">
        <v>6400000</v>
      </c>
      <c r="D1431" s="1" t="s">
        <v>20</v>
      </c>
      <c r="E1431">
        <v>165.54470000000001</v>
      </c>
      <c r="F1431" s="1" t="s">
        <v>17</v>
      </c>
      <c r="G1431">
        <v>100</v>
      </c>
      <c r="H1431">
        <v>50</v>
      </c>
      <c r="I1431" s="1" t="s">
        <v>130</v>
      </c>
      <c r="J1431">
        <v>2</v>
      </c>
      <c r="K1431" t="str">
        <f>IF(Tb_data[[#This Row],[previous_workers]]&lt;Tb_data[[#This Row],[workers]],"yes","no")</f>
        <v>yes</v>
      </c>
      <c r="L1431">
        <f>Tb_data[[#This Row],[workers]]-Tb_data[[#This Row],[previous_workers]]</f>
        <v>50</v>
      </c>
      <c r="M1431" s="12">
        <f>Tb_data[[#This Row],[Employees Growth]]/Tb_data[[#This Row],[previous_workers]]</f>
        <v>1</v>
      </c>
    </row>
    <row r="1432" spans="1:13" x14ac:dyDescent="0.25">
      <c r="A1432" s="1" t="s">
        <v>3374</v>
      </c>
      <c r="B1432" s="1" t="s">
        <v>3375</v>
      </c>
      <c r="C1432" s="1">
        <v>32800000</v>
      </c>
      <c r="D1432" s="1" t="s">
        <v>69</v>
      </c>
      <c r="E1432">
        <v>254.001</v>
      </c>
      <c r="F1432" s="1" t="s">
        <v>161</v>
      </c>
      <c r="G1432">
        <v>7</v>
      </c>
      <c r="H1432">
        <v>4</v>
      </c>
      <c r="I1432" s="1" t="s">
        <v>194</v>
      </c>
      <c r="J1432">
        <v>3</v>
      </c>
      <c r="K1432" t="str">
        <f>IF(Tb_data[[#This Row],[previous_workers]]&lt;Tb_data[[#This Row],[workers]],"yes","no")</f>
        <v>yes</v>
      </c>
      <c r="L1432">
        <f>Tb_data[[#This Row],[workers]]-Tb_data[[#This Row],[previous_workers]]</f>
        <v>3</v>
      </c>
      <c r="M1432" s="12">
        <f>Tb_data[[#This Row],[Employees Growth]]/Tb_data[[#This Row],[previous_workers]]</f>
        <v>0.75</v>
      </c>
    </row>
    <row r="1433" spans="1:13" x14ac:dyDescent="0.25">
      <c r="A1433" s="1" t="s">
        <v>9746</v>
      </c>
      <c r="B1433" s="1" t="s">
        <v>9747</v>
      </c>
      <c r="C1433" s="1">
        <v>8400000</v>
      </c>
      <c r="D1433" s="1" t="s">
        <v>422</v>
      </c>
      <c r="E1433">
        <v>57.470300000000002</v>
      </c>
      <c r="F1433" s="1" t="s">
        <v>176</v>
      </c>
      <c r="G1433">
        <v>36</v>
      </c>
      <c r="H1433">
        <v>30</v>
      </c>
      <c r="I1433" s="1" t="s">
        <v>147</v>
      </c>
      <c r="J1433">
        <v>3</v>
      </c>
      <c r="K1433" t="str">
        <f>IF(Tb_data[[#This Row],[previous_workers]]&lt;Tb_data[[#This Row],[workers]],"yes","no")</f>
        <v>yes</v>
      </c>
      <c r="L1433">
        <f>Tb_data[[#This Row],[workers]]-Tb_data[[#This Row],[previous_workers]]</f>
        <v>6</v>
      </c>
      <c r="M1433" s="12">
        <f>Tb_data[[#This Row],[Employees Growth]]/Tb_data[[#This Row],[previous_workers]]</f>
        <v>0.2</v>
      </c>
    </row>
    <row r="1434" spans="1:13" x14ac:dyDescent="0.25">
      <c r="A1434" s="1" t="s">
        <v>6317</v>
      </c>
      <c r="B1434" s="1" t="s">
        <v>6318</v>
      </c>
      <c r="C1434" s="1">
        <v>10100000</v>
      </c>
      <c r="D1434" s="1" t="s">
        <v>91</v>
      </c>
      <c r="E1434">
        <v>118.3498</v>
      </c>
      <c r="F1434" s="1" t="s">
        <v>310</v>
      </c>
      <c r="G1434">
        <v>62</v>
      </c>
      <c r="H1434">
        <v>43</v>
      </c>
      <c r="I1434" s="1" t="s">
        <v>35</v>
      </c>
      <c r="J1434">
        <v>6</v>
      </c>
      <c r="K1434" t="str">
        <f>IF(Tb_data[[#This Row],[previous_workers]]&lt;Tb_data[[#This Row],[workers]],"yes","no")</f>
        <v>yes</v>
      </c>
      <c r="L1434">
        <f>Tb_data[[#This Row],[workers]]-Tb_data[[#This Row],[previous_workers]]</f>
        <v>19</v>
      </c>
      <c r="M1434" s="12">
        <f>Tb_data[[#This Row],[Employees Growth]]/Tb_data[[#This Row],[previous_workers]]</f>
        <v>0.44186046511627908</v>
      </c>
    </row>
    <row r="1435" spans="1:13" x14ac:dyDescent="0.25">
      <c r="A1435" s="1" t="s">
        <v>5262</v>
      </c>
      <c r="B1435" s="1" t="s">
        <v>5263</v>
      </c>
      <c r="C1435" s="1">
        <v>12600000</v>
      </c>
      <c r="D1435" s="1" t="s">
        <v>41</v>
      </c>
      <c r="E1435">
        <v>151.26599999999999</v>
      </c>
      <c r="F1435" s="1" t="s">
        <v>97</v>
      </c>
      <c r="G1435">
        <v>74</v>
      </c>
      <c r="H1435">
        <v>24</v>
      </c>
      <c r="I1435" s="1" t="s">
        <v>1051</v>
      </c>
      <c r="J1435">
        <v>6</v>
      </c>
      <c r="K1435" t="str">
        <f>IF(Tb_data[[#This Row],[previous_workers]]&lt;Tb_data[[#This Row],[workers]],"yes","no")</f>
        <v>yes</v>
      </c>
      <c r="L1435">
        <f>Tb_data[[#This Row],[workers]]-Tb_data[[#This Row],[previous_workers]]</f>
        <v>50</v>
      </c>
      <c r="M1435" s="12">
        <f>Tb_data[[#This Row],[Employees Growth]]/Tb_data[[#This Row],[previous_workers]]</f>
        <v>2.0833333333333335</v>
      </c>
    </row>
    <row r="1436" spans="1:13" x14ac:dyDescent="0.25">
      <c r="A1436" s="1" t="s">
        <v>3633</v>
      </c>
      <c r="B1436" s="1" t="s">
        <v>3634</v>
      </c>
      <c r="C1436" s="1">
        <v>2500000</v>
      </c>
      <c r="D1436" s="1" t="s">
        <v>20</v>
      </c>
      <c r="E1436">
        <v>231.6891</v>
      </c>
      <c r="F1436" s="1" t="s">
        <v>176</v>
      </c>
      <c r="G1436">
        <v>20</v>
      </c>
      <c r="H1436">
        <v>10</v>
      </c>
      <c r="I1436" s="1" t="s">
        <v>117</v>
      </c>
      <c r="J1436">
        <v>1</v>
      </c>
      <c r="K1436" t="str">
        <f>IF(Tb_data[[#This Row],[previous_workers]]&lt;Tb_data[[#This Row],[workers]],"yes","no")</f>
        <v>yes</v>
      </c>
      <c r="L1436">
        <f>Tb_data[[#This Row],[workers]]-Tb_data[[#This Row],[previous_workers]]</f>
        <v>10</v>
      </c>
      <c r="M1436" s="12">
        <f>Tb_data[[#This Row],[Employees Growth]]/Tb_data[[#This Row],[previous_workers]]</f>
        <v>1</v>
      </c>
    </row>
    <row r="1437" spans="1:13" x14ac:dyDescent="0.25">
      <c r="A1437" s="1" t="s">
        <v>8343</v>
      </c>
      <c r="B1437" s="1" t="s">
        <v>8344</v>
      </c>
      <c r="C1437" s="1">
        <v>11900000</v>
      </c>
      <c r="D1437" s="1" t="s">
        <v>427</v>
      </c>
      <c r="E1437">
        <v>77.2376</v>
      </c>
      <c r="F1437" s="1" t="s">
        <v>12</v>
      </c>
      <c r="G1437">
        <v>65</v>
      </c>
      <c r="H1437">
        <v>45</v>
      </c>
      <c r="I1437" s="1" t="s">
        <v>74</v>
      </c>
      <c r="J1437">
        <v>6</v>
      </c>
      <c r="K1437" t="str">
        <f>IF(Tb_data[[#This Row],[previous_workers]]&lt;Tb_data[[#This Row],[workers]],"yes","no")</f>
        <v>yes</v>
      </c>
      <c r="L1437">
        <f>Tb_data[[#This Row],[workers]]-Tb_data[[#This Row],[previous_workers]]</f>
        <v>20</v>
      </c>
      <c r="M1437" s="12">
        <f>Tb_data[[#This Row],[Employees Growth]]/Tb_data[[#This Row],[previous_workers]]</f>
        <v>0.44444444444444442</v>
      </c>
    </row>
    <row r="1438" spans="1:13" x14ac:dyDescent="0.25">
      <c r="A1438" s="1" t="s">
        <v>800</v>
      </c>
      <c r="B1438" s="1" t="s">
        <v>801</v>
      </c>
      <c r="C1438" s="1">
        <v>2900000</v>
      </c>
      <c r="D1438" s="1" t="s">
        <v>254</v>
      </c>
      <c r="E1438">
        <v>1282.6274000000001</v>
      </c>
      <c r="F1438" s="1" t="s">
        <v>62</v>
      </c>
      <c r="G1438">
        <v>16</v>
      </c>
      <c r="H1438">
        <v>2</v>
      </c>
      <c r="I1438" s="1" t="s">
        <v>13</v>
      </c>
      <c r="J1438">
        <v>1</v>
      </c>
      <c r="K1438" t="str">
        <f>IF(Tb_data[[#This Row],[previous_workers]]&lt;Tb_data[[#This Row],[workers]],"yes","no")</f>
        <v>yes</v>
      </c>
      <c r="L1438">
        <f>Tb_data[[#This Row],[workers]]-Tb_data[[#This Row],[previous_workers]]</f>
        <v>14</v>
      </c>
      <c r="M1438" s="12">
        <f>Tb_data[[#This Row],[Employees Growth]]/Tb_data[[#This Row],[previous_workers]]</f>
        <v>7</v>
      </c>
    </row>
    <row r="1439" spans="1:13" x14ac:dyDescent="0.25">
      <c r="A1439" s="1" t="s">
        <v>5814</v>
      </c>
      <c r="B1439" s="1" t="s">
        <v>5815</v>
      </c>
      <c r="C1439" s="1">
        <v>21800000</v>
      </c>
      <c r="D1439" s="1" t="s">
        <v>52</v>
      </c>
      <c r="E1439">
        <v>130.84389999999999</v>
      </c>
      <c r="F1439" s="1" t="s">
        <v>34</v>
      </c>
      <c r="G1439">
        <v>69</v>
      </c>
      <c r="H1439">
        <v>33</v>
      </c>
      <c r="I1439" s="1" t="s">
        <v>74</v>
      </c>
      <c r="J1439">
        <v>2</v>
      </c>
      <c r="K1439" t="str">
        <f>IF(Tb_data[[#This Row],[previous_workers]]&lt;Tb_data[[#This Row],[workers]],"yes","no")</f>
        <v>yes</v>
      </c>
      <c r="L1439">
        <f>Tb_data[[#This Row],[workers]]-Tb_data[[#This Row],[previous_workers]]</f>
        <v>36</v>
      </c>
      <c r="M1439" s="12">
        <f>Tb_data[[#This Row],[Employees Growth]]/Tb_data[[#This Row],[previous_workers]]</f>
        <v>1.0909090909090908</v>
      </c>
    </row>
    <row r="1440" spans="1:13" x14ac:dyDescent="0.25">
      <c r="A1440" s="1" t="s">
        <v>5504</v>
      </c>
      <c r="B1440" s="1" t="s">
        <v>5505</v>
      </c>
      <c r="C1440" s="1">
        <v>2700000</v>
      </c>
      <c r="D1440" s="1" t="s">
        <v>69</v>
      </c>
      <c r="E1440">
        <v>142.29230000000001</v>
      </c>
      <c r="F1440" s="1" t="s">
        <v>161</v>
      </c>
      <c r="G1440">
        <v>16</v>
      </c>
      <c r="H1440">
        <v>10</v>
      </c>
      <c r="I1440" s="1" t="s">
        <v>55</v>
      </c>
      <c r="J1440">
        <v>1</v>
      </c>
      <c r="K1440" t="str">
        <f>IF(Tb_data[[#This Row],[previous_workers]]&lt;Tb_data[[#This Row],[workers]],"yes","no")</f>
        <v>yes</v>
      </c>
      <c r="L1440">
        <f>Tb_data[[#This Row],[workers]]-Tb_data[[#This Row],[previous_workers]]</f>
        <v>6</v>
      </c>
      <c r="M1440" s="12">
        <f>Tb_data[[#This Row],[Employees Growth]]/Tb_data[[#This Row],[previous_workers]]</f>
        <v>0.6</v>
      </c>
    </row>
    <row r="1441" spans="1:13" x14ac:dyDescent="0.25">
      <c r="A1441" s="1" t="s">
        <v>3894</v>
      </c>
      <c r="B1441" s="1" t="s">
        <v>3895</v>
      </c>
      <c r="C1441" s="1">
        <v>4500000</v>
      </c>
      <c r="D1441" s="1" t="s">
        <v>483</v>
      </c>
      <c r="E1441">
        <v>214.82509999999999</v>
      </c>
      <c r="F1441" s="1" t="s">
        <v>176</v>
      </c>
      <c r="G1441">
        <v>53</v>
      </c>
      <c r="H1441">
        <v>22</v>
      </c>
      <c r="I1441" s="1" t="s">
        <v>55</v>
      </c>
      <c r="J1441">
        <v>3</v>
      </c>
      <c r="K1441" t="str">
        <f>IF(Tb_data[[#This Row],[previous_workers]]&lt;Tb_data[[#This Row],[workers]],"yes","no")</f>
        <v>yes</v>
      </c>
      <c r="L1441">
        <f>Tb_data[[#This Row],[workers]]-Tb_data[[#This Row],[previous_workers]]</f>
        <v>31</v>
      </c>
      <c r="M1441" s="12">
        <f>Tb_data[[#This Row],[Employees Growth]]/Tb_data[[#This Row],[previous_workers]]</f>
        <v>1.4090909090909092</v>
      </c>
    </row>
    <row r="1442" spans="1:13" x14ac:dyDescent="0.25">
      <c r="A1442" s="1" t="s">
        <v>2012</v>
      </c>
      <c r="B1442" s="1" t="s">
        <v>2013</v>
      </c>
      <c r="C1442" s="1">
        <v>8000000</v>
      </c>
      <c r="D1442" s="1" t="s">
        <v>49</v>
      </c>
      <c r="E1442">
        <v>445.9853</v>
      </c>
      <c r="F1442" s="1" t="s">
        <v>12</v>
      </c>
      <c r="G1442">
        <v>32</v>
      </c>
      <c r="H1442">
        <v>7</v>
      </c>
      <c r="I1442" s="1" t="s">
        <v>26</v>
      </c>
      <c r="J1442">
        <v>1</v>
      </c>
      <c r="K1442" t="str">
        <f>IF(Tb_data[[#This Row],[previous_workers]]&lt;Tb_data[[#This Row],[workers]],"yes","no")</f>
        <v>yes</v>
      </c>
      <c r="L1442">
        <f>Tb_data[[#This Row],[workers]]-Tb_data[[#This Row],[previous_workers]]</f>
        <v>25</v>
      </c>
      <c r="M1442" s="12">
        <f>Tb_data[[#This Row],[Employees Growth]]/Tb_data[[#This Row],[previous_workers]]</f>
        <v>3.5714285714285716</v>
      </c>
    </row>
    <row r="1443" spans="1:13" x14ac:dyDescent="0.25">
      <c r="A1443" s="1" t="s">
        <v>2658</v>
      </c>
      <c r="B1443" s="1" t="s">
        <v>2659</v>
      </c>
      <c r="C1443" s="1">
        <v>40500000</v>
      </c>
      <c r="D1443" s="1" t="s">
        <v>11</v>
      </c>
      <c r="E1443">
        <v>324.9178</v>
      </c>
      <c r="F1443" s="1" t="s">
        <v>94</v>
      </c>
      <c r="G1443">
        <v>136</v>
      </c>
      <c r="H1443">
        <v>19</v>
      </c>
      <c r="I1443" s="1" t="s">
        <v>26</v>
      </c>
      <c r="J1443">
        <v>1</v>
      </c>
      <c r="K1443" t="str">
        <f>IF(Tb_data[[#This Row],[previous_workers]]&lt;Tb_data[[#This Row],[workers]],"yes","no")</f>
        <v>yes</v>
      </c>
      <c r="L1443">
        <f>Tb_data[[#This Row],[workers]]-Tb_data[[#This Row],[previous_workers]]</f>
        <v>117</v>
      </c>
      <c r="M1443" s="12">
        <f>Tb_data[[#This Row],[Employees Growth]]/Tb_data[[#This Row],[previous_workers]]</f>
        <v>6.1578947368421053</v>
      </c>
    </row>
    <row r="1444" spans="1:13" x14ac:dyDescent="0.25">
      <c r="A1444" s="1" t="s">
        <v>5160</v>
      </c>
      <c r="B1444" s="1" t="s">
        <v>5161</v>
      </c>
      <c r="C1444" s="1">
        <v>82600000</v>
      </c>
      <c r="D1444" s="1" t="s">
        <v>254</v>
      </c>
      <c r="E1444">
        <v>154.9948</v>
      </c>
      <c r="F1444" s="1" t="s">
        <v>94</v>
      </c>
      <c r="G1444">
        <v>62</v>
      </c>
      <c r="H1444">
        <v>18</v>
      </c>
      <c r="I1444" s="1" t="s">
        <v>130</v>
      </c>
      <c r="J1444">
        <v>3</v>
      </c>
      <c r="K1444" t="str">
        <f>IF(Tb_data[[#This Row],[previous_workers]]&lt;Tb_data[[#This Row],[workers]],"yes","no")</f>
        <v>yes</v>
      </c>
      <c r="L1444">
        <f>Tb_data[[#This Row],[workers]]-Tb_data[[#This Row],[previous_workers]]</f>
        <v>44</v>
      </c>
      <c r="M1444" s="12">
        <f>Tb_data[[#This Row],[Employees Growth]]/Tb_data[[#This Row],[previous_workers]]</f>
        <v>2.4444444444444446</v>
      </c>
    </row>
    <row r="1445" spans="1:13" x14ac:dyDescent="0.25">
      <c r="A1445" s="1" t="s">
        <v>7138</v>
      </c>
      <c r="B1445" s="1" t="s">
        <v>7139</v>
      </c>
      <c r="C1445" s="1">
        <v>3000000</v>
      </c>
      <c r="D1445" s="1" t="s">
        <v>33</v>
      </c>
      <c r="E1445">
        <v>99.539100000000005</v>
      </c>
      <c r="F1445" s="1" t="s">
        <v>100</v>
      </c>
      <c r="G1445">
        <v>31</v>
      </c>
      <c r="H1445">
        <v>2</v>
      </c>
      <c r="I1445" s="1" t="s">
        <v>26</v>
      </c>
      <c r="J1445">
        <v>1</v>
      </c>
      <c r="K1445" t="str">
        <f>IF(Tb_data[[#This Row],[previous_workers]]&lt;Tb_data[[#This Row],[workers]],"yes","no")</f>
        <v>yes</v>
      </c>
      <c r="L1445">
        <f>Tb_data[[#This Row],[workers]]-Tb_data[[#This Row],[previous_workers]]</f>
        <v>29</v>
      </c>
      <c r="M1445" s="12">
        <f>Tb_data[[#This Row],[Employees Growth]]/Tb_data[[#This Row],[previous_workers]]</f>
        <v>14.5</v>
      </c>
    </row>
    <row r="1446" spans="1:13" x14ac:dyDescent="0.25">
      <c r="A1446" s="1" t="s">
        <v>6980</v>
      </c>
      <c r="B1446" s="1" t="s">
        <v>6981</v>
      </c>
      <c r="C1446" s="1">
        <v>15200000</v>
      </c>
      <c r="D1446" s="1" t="s">
        <v>45</v>
      </c>
      <c r="E1446">
        <v>102.33159999999999</v>
      </c>
      <c r="F1446" s="1" t="s">
        <v>34</v>
      </c>
      <c r="G1446">
        <v>41</v>
      </c>
      <c r="H1446">
        <v>15</v>
      </c>
      <c r="I1446" s="1" t="s">
        <v>130</v>
      </c>
      <c r="J1446">
        <v>2</v>
      </c>
      <c r="K1446" t="str">
        <f>IF(Tb_data[[#This Row],[previous_workers]]&lt;Tb_data[[#This Row],[workers]],"yes","no")</f>
        <v>yes</v>
      </c>
      <c r="L1446">
        <f>Tb_data[[#This Row],[workers]]-Tb_data[[#This Row],[previous_workers]]</f>
        <v>26</v>
      </c>
      <c r="M1446" s="12">
        <f>Tb_data[[#This Row],[Employees Growth]]/Tb_data[[#This Row],[previous_workers]]</f>
        <v>1.7333333333333334</v>
      </c>
    </row>
    <row r="1447" spans="1:13" x14ac:dyDescent="0.25">
      <c r="A1447" s="1" t="s">
        <v>6691</v>
      </c>
      <c r="B1447" s="1" t="s">
        <v>6692</v>
      </c>
      <c r="C1447" s="1">
        <v>7400000</v>
      </c>
      <c r="D1447" s="1" t="s">
        <v>1446</v>
      </c>
      <c r="E1447">
        <v>109.4495</v>
      </c>
      <c r="F1447" s="1" t="s">
        <v>112</v>
      </c>
      <c r="G1447">
        <v>42</v>
      </c>
      <c r="H1447">
        <v>9</v>
      </c>
      <c r="I1447" s="1" t="s">
        <v>26</v>
      </c>
      <c r="J1447">
        <v>1</v>
      </c>
      <c r="K1447" t="str">
        <f>IF(Tb_data[[#This Row],[previous_workers]]&lt;Tb_data[[#This Row],[workers]],"yes","no")</f>
        <v>yes</v>
      </c>
      <c r="L1447">
        <f>Tb_data[[#This Row],[workers]]-Tb_data[[#This Row],[previous_workers]]</f>
        <v>33</v>
      </c>
      <c r="M1447" s="12">
        <f>Tb_data[[#This Row],[Employees Growth]]/Tb_data[[#This Row],[previous_workers]]</f>
        <v>3.6666666666666665</v>
      </c>
    </row>
    <row r="1448" spans="1:13" x14ac:dyDescent="0.25">
      <c r="A1448" s="1" t="s">
        <v>4180</v>
      </c>
      <c r="B1448" s="1" t="s">
        <v>4181</v>
      </c>
      <c r="C1448" s="1">
        <v>3100000</v>
      </c>
      <c r="D1448" s="1" t="s">
        <v>33</v>
      </c>
      <c r="E1448">
        <v>196.37379999999999</v>
      </c>
      <c r="F1448" s="1" t="s">
        <v>25</v>
      </c>
      <c r="G1448">
        <v>45</v>
      </c>
      <c r="H1448">
        <v>8</v>
      </c>
      <c r="I1448" s="1" t="s">
        <v>194</v>
      </c>
      <c r="J1448">
        <v>1</v>
      </c>
      <c r="K1448" t="str">
        <f>IF(Tb_data[[#This Row],[previous_workers]]&lt;Tb_data[[#This Row],[workers]],"yes","no")</f>
        <v>yes</v>
      </c>
      <c r="L1448">
        <f>Tb_data[[#This Row],[workers]]-Tb_data[[#This Row],[previous_workers]]</f>
        <v>37</v>
      </c>
      <c r="M1448" s="12">
        <f>Tb_data[[#This Row],[Employees Growth]]/Tb_data[[#This Row],[previous_workers]]</f>
        <v>4.625</v>
      </c>
    </row>
    <row r="1449" spans="1:13" x14ac:dyDescent="0.25">
      <c r="A1449" s="1" t="s">
        <v>8253</v>
      </c>
      <c r="B1449" s="1" t="s">
        <v>8254</v>
      </c>
      <c r="C1449" s="1">
        <v>6100000</v>
      </c>
      <c r="D1449" s="1" t="s">
        <v>20</v>
      </c>
      <c r="E1449">
        <v>78.397300000000001</v>
      </c>
      <c r="F1449" s="1" t="s">
        <v>156</v>
      </c>
      <c r="G1449">
        <v>85</v>
      </c>
      <c r="H1449">
        <v>45</v>
      </c>
      <c r="I1449" s="1" t="s">
        <v>74</v>
      </c>
      <c r="J1449">
        <v>2</v>
      </c>
      <c r="K1449" t="str">
        <f>IF(Tb_data[[#This Row],[previous_workers]]&lt;Tb_data[[#This Row],[workers]],"yes","no")</f>
        <v>yes</v>
      </c>
      <c r="L1449">
        <f>Tb_data[[#This Row],[workers]]-Tb_data[[#This Row],[previous_workers]]</f>
        <v>40</v>
      </c>
      <c r="M1449" s="12">
        <f>Tb_data[[#This Row],[Employees Growth]]/Tb_data[[#This Row],[previous_workers]]</f>
        <v>0.88888888888888884</v>
      </c>
    </row>
    <row r="1450" spans="1:13" x14ac:dyDescent="0.25">
      <c r="A1450" s="1" t="s">
        <v>1198</v>
      </c>
      <c r="B1450" s="1" t="s">
        <v>1199</v>
      </c>
      <c r="C1450" s="1">
        <v>5500000</v>
      </c>
      <c r="D1450" s="1" t="s">
        <v>33</v>
      </c>
      <c r="E1450">
        <v>808.52480000000003</v>
      </c>
      <c r="F1450" s="1" t="s">
        <v>172</v>
      </c>
      <c r="G1450">
        <v>28</v>
      </c>
      <c r="H1450">
        <v>6</v>
      </c>
      <c r="I1450" s="1" t="s">
        <v>26</v>
      </c>
      <c r="J1450">
        <v>2</v>
      </c>
      <c r="K1450" t="str">
        <f>IF(Tb_data[[#This Row],[previous_workers]]&lt;Tb_data[[#This Row],[workers]],"yes","no")</f>
        <v>yes</v>
      </c>
      <c r="L1450">
        <f>Tb_data[[#This Row],[workers]]-Tb_data[[#This Row],[previous_workers]]</f>
        <v>22</v>
      </c>
      <c r="M1450" s="12">
        <f>Tb_data[[#This Row],[Employees Growth]]/Tb_data[[#This Row],[previous_workers]]</f>
        <v>3.6666666666666665</v>
      </c>
    </row>
    <row r="1451" spans="1:13" x14ac:dyDescent="0.25">
      <c r="A1451" s="1" t="s">
        <v>4994</v>
      </c>
      <c r="B1451" s="1" t="s">
        <v>4995</v>
      </c>
      <c r="C1451" s="1">
        <v>40500000</v>
      </c>
      <c r="D1451" s="1" t="s">
        <v>4145</v>
      </c>
      <c r="E1451">
        <v>162.12100000000001</v>
      </c>
      <c r="F1451" s="1" t="s">
        <v>100</v>
      </c>
      <c r="G1451">
        <v>37</v>
      </c>
      <c r="H1451">
        <v>8</v>
      </c>
      <c r="I1451" s="1" t="s">
        <v>295</v>
      </c>
      <c r="J1451">
        <v>7</v>
      </c>
      <c r="K1451" t="str">
        <f>IF(Tb_data[[#This Row],[previous_workers]]&lt;Tb_data[[#This Row],[workers]],"yes","no")</f>
        <v>yes</v>
      </c>
      <c r="L1451">
        <f>Tb_data[[#This Row],[workers]]-Tb_data[[#This Row],[previous_workers]]</f>
        <v>29</v>
      </c>
      <c r="M1451" s="12">
        <f>Tb_data[[#This Row],[Employees Growth]]/Tb_data[[#This Row],[previous_workers]]</f>
        <v>3.625</v>
      </c>
    </row>
    <row r="1452" spans="1:13" x14ac:dyDescent="0.25">
      <c r="A1452" s="1" t="s">
        <v>5394</v>
      </c>
      <c r="B1452" s="1" t="s">
        <v>5395</v>
      </c>
      <c r="C1452" s="1">
        <v>16000000</v>
      </c>
      <c r="D1452" s="1" t="s">
        <v>52</v>
      </c>
      <c r="E1452">
        <v>146.54830000000001</v>
      </c>
      <c r="F1452" s="1" t="s">
        <v>124</v>
      </c>
      <c r="G1452">
        <v>22</v>
      </c>
      <c r="H1452">
        <v>10</v>
      </c>
      <c r="I1452" s="1" t="s">
        <v>46</v>
      </c>
      <c r="J1452">
        <v>2</v>
      </c>
      <c r="K1452" t="str">
        <f>IF(Tb_data[[#This Row],[previous_workers]]&lt;Tb_data[[#This Row],[workers]],"yes","no")</f>
        <v>yes</v>
      </c>
      <c r="L1452">
        <f>Tb_data[[#This Row],[workers]]-Tb_data[[#This Row],[previous_workers]]</f>
        <v>12</v>
      </c>
      <c r="M1452" s="12">
        <f>Tb_data[[#This Row],[Employees Growth]]/Tb_data[[#This Row],[previous_workers]]</f>
        <v>1.2</v>
      </c>
    </row>
    <row r="1453" spans="1:13" x14ac:dyDescent="0.25">
      <c r="A1453" s="1" t="s">
        <v>1246</v>
      </c>
      <c r="B1453" s="1" t="s">
        <v>1247</v>
      </c>
      <c r="C1453" s="1">
        <v>41900000</v>
      </c>
      <c r="D1453" s="1" t="s">
        <v>29</v>
      </c>
      <c r="E1453">
        <v>771.00279999999998</v>
      </c>
      <c r="F1453" s="1" t="s">
        <v>17</v>
      </c>
      <c r="G1453">
        <v>83</v>
      </c>
      <c r="H1453">
        <v>7</v>
      </c>
      <c r="I1453" s="1" t="s">
        <v>55</v>
      </c>
      <c r="J1453">
        <v>1</v>
      </c>
      <c r="K1453" t="str">
        <f>IF(Tb_data[[#This Row],[previous_workers]]&lt;Tb_data[[#This Row],[workers]],"yes","no")</f>
        <v>yes</v>
      </c>
      <c r="L1453">
        <f>Tb_data[[#This Row],[workers]]-Tb_data[[#This Row],[previous_workers]]</f>
        <v>76</v>
      </c>
      <c r="M1453" s="12">
        <f>Tb_data[[#This Row],[Employees Growth]]/Tb_data[[#This Row],[previous_workers]]</f>
        <v>10.857142857142858</v>
      </c>
    </row>
    <row r="1454" spans="1:13" x14ac:dyDescent="0.25">
      <c r="A1454" s="1" t="s">
        <v>7002</v>
      </c>
      <c r="B1454" s="1" t="s">
        <v>7003</v>
      </c>
      <c r="C1454" s="1">
        <v>3300000</v>
      </c>
      <c r="D1454" s="1" t="s">
        <v>61</v>
      </c>
      <c r="E1454">
        <v>101.8168</v>
      </c>
      <c r="F1454" s="1" t="s">
        <v>25</v>
      </c>
      <c r="G1454">
        <v>26</v>
      </c>
      <c r="H1454">
        <v>10</v>
      </c>
      <c r="I1454" s="1" t="s">
        <v>1411</v>
      </c>
      <c r="J1454">
        <v>1</v>
      </c>
      <c r="K1454" t="str">
        <f>IF(Tb_data[[#This Row],[previous_workers]]&lt;Tb_data[[#This Row],[workers]],"yes","no")</f>
        <v>yes</v>
      </c>
      <c r="L1454">
        <f>Tb_data[[#This Row],[workers]]-Tb_data[[#This Row],[previous_workers]]</f>
        <v>16</v>
      </c>
      <c r="M1454" s="12">
        <f>Tb_data[[#This Row],[Employees Growth]]/Tb_data[[#This Row],[previous_workers]]</f>
        <v>1.6</v>
      </c>
    </row>
    <row r="1455" spans="1:13" x14ac:dyDescent="0.25">
      <c r="A1455" s="1" t="s">
        <v>5466</v>
      </c>
      <c r="B1455" s="1" t="s">
        <v>5467</v>
      </c>
      <c r="C1455" s="1">
        <v>28300000</v>
      </c>
      <c r="D1455" s="1" t="s">
        <v>49</v>
      </c>
      <c r="E1455">
        <v>143.8492</v>
      </c>
      <c r="F1455" s="1" t="s">
        <v>25</v>
      </c>
      <c r="G1455">
        <v>70</v>
      </c>
      <c r="H1455">
        <v>50</v>
      </c>
      <c r="I1455" s="1" t="s">
        <v>117</v>
      </c>
      <c r="J1455">
        <v>6</v>
      </c>
      <c r="K1455" t="str">
        <f>IF(Tb_data[[#This Row],[previous_workers]]&lt;Tb_data[[#This Row],[workers]],"yes","no")</f>
        <v>yes</v>
      </c>
      <c r="L1455">
        <f>Tb_data[[#This Row],[workers]]-Tb_data[[#This Row],[previous_workers]]</f>
        <v>20</v>
      </c>
      <c r="M1455" s="12">
        <f>Tb_data[[#This Row],[Employees Growth]]/Tb_data[[#This Row],[previous_workers]]</f>
        <v>0.4</v>
      </c>
    </row>
    <row r="1456" spans="1:13" x14ac:dyDescent="0.25">
      <c r="A1456" s="1" t="s">
        <v>2228</v>
      </c>
      <c r="B1456" s="1" t="s">
        <v>2229</v>
      </c>
      <c r="C1456" s="1">
        <v>7400000</v>
      </c>
      <c r="D1456" s="1" t="s">
        <v>20</v>
      </c>
      <c r="E1456">
        <v>395.97039999999998</v>
      </c>
      <c r="F1456" s="1" t="s">
        <v>62</v>
      </c>
      <c r="G1456">
        <v>62</v>
      </c>
      <c r="H1456">
        <v>10</v>
      </c>
      <c r="I1456" s="1" t="s">
        <v>117</v>
      </c>
      <c r="J1456">
        <v>2</v>
      </c>
      <c r="K1456" t="str">
        <f>IF(Tb_data[[#This Row],[previous_workers]]&lt;Tb_data[[#This Row],[workers]],"yes","no")</f>
        <v>yes</v>
      </c>
      <c r="L1456">
        <f>Tb_data[[#This Row],[workers]]-Tb_data[[#This Row],[previous_workers]]</f>
        <v>52</v>
      </c>
      <c r="M1456" s="12">
        <f>Tb_data[[#This Row],[Employees Growth]]/Tb_data[[#This Row],[previous_workers]]</f>
        <v>5.2</v>
      </c>
    </row>
    <row r="1457" spans="1:13" x14ac:dyDescent="0.25">
      <c r="A1457" s="1" t="s">
        <v>6461</v>
      </c>
      <c r="B1457" s="1" t="s">
        <v>6462</v>
      </c>
      <c r="C1457" s="1">
        <v>3200000</v>
      </c>
      <c r="D1457" s="1" t="s">
        <v>41</v>
      </c>
      <c r="E1457">
        <v>115.1148</v>
      </c>
      <c r="F1457" s="1" t="s">
        <v>176</v>
      </c>
      <c r="G1457">
        <v>15</v>
      </c>
      <c r="H1457">
        <v>7</v>
      </c>
      <c r="I1457" s="1" t="s">
        <v>35</v>
      </c>
      <c r="J1457">
        <v>1</v>
      </c>
      <c r="K1457" t="str">
        <f>IF(Tb_data[[#This Row],[previous_workers]]&lt;Tb_data[[#This Row],[workers]],"yes","no")</f>
        <v>yes</v>
      </c>
      <c r="L1457">
        <f>Tb_data[[#This Row],[workers]]-Tb_data[[#This Row],[previous_workers]]</f>
        <v>8</v>
      </c>
      <c r="M1457" s="12">
        <f>Tb_data[[#This Row],[Employees Growth]]/Tb_data[[#This Row],[previous_workers]]</f>
        <v>1.1428571428571428</v>
      </c>
    </row>
    <row r="1458" spans="1:13" x14ac:dyDescent="0.25">
      <c r="A1458" s="1" t="s">
        <v>1471</v>
      </c>
      <c r="B1458" s="1" t="s">
        <v>1472</v>
      </c>
      <c r="C1458" s="1">
        <v>5600000</v>
      </c>
      <c r="D1458" s="1" t="s">
        <v>11</v>
      </c>
      <c r="E1458">
        <v>640.00109999999995</v>
      </c>
      <c r="F1458" s="1" t="s">
        <v>25</v>
      </c>
      <c r="G1458">
        <v>9</v>
      </c>
      <c r="H1458">
        <v>4</v>
      </c>
      <c r="I1458" s="1" t="s">
        <v>226</v>
      </c>
      <c r="J1458">
        <v>1</v>
      </c>
      <c r="K1458" t="str">
        <f>IF(Tb_data[[#This Row],[previous_workers]]&lt;Tb_data[[#This Row],[workers]],"yes","no")</f>
        <v>yes</v>
      </c>
      <c r="L1458">
        <f>Tb_data[[#This Row],[workers]]-Tb_data[[#This Row],[previous_workers]]</f>
        <v>5</v>
      </c>
      <c r="M1458" s="12">
        <f>Tb_data[[#This Row],[Employees Growth]]/Tb_data[[#This Row],[previous_workers]]</f>
        <v>1.25</v>
      </c>
    </row>
    <row r="1459" spans="1:13" x14ac:dyDescent="0.25">
      <c r="A1459" s="1" t="s">
        <v>4657</v>
      </c>
      <c r="B1459" s="1" t="s">
        <v>4658</v>
      </c>
      <c r="C1459" s="1">
        <v>12800000</v>
      </c>
      <c r="D1459" s="1" t="s">
        <v>115</v>
      </c>
      <c r="E1459">
        <v>175.9485</v>
      </c>
      <c r="F1459" s="1" t="s">
        <v>124</v>
      </c>
      <c r="G1459">
        <v>90</v>
      </c>
      <c r="H1459">
        <v>40</v>
      </c>
      <c r="I1459" s="1" t="s">
        <v>55</v>
      </c>
      <c r="J1459">
        <v>2</v>
      </c>
      <c r="K1459" t="str">
        <f>IF(Tb_data[[#This Row],[previous_workers]]&lt;Tb_data[[#This Row],[workers]],"yes","no")</f>
        <v>yes</v>
      </c>
      <c r="L1459">
        <f>Tb_data[[#This Row],[workers]]-Tb_data[[#This Row],[previous_workers]]</f>
        <v>50</v>
      </c>
      <c r="M1459" s="12">
        <f>Tb_data[[#This Row],[Employees Growth]]/Tb_data[[#This Row],[previous_workers]]</f>
        <v>1.25</v>
      </c>
    </row>
    <row r="1460" spans="1:13" x14ac:dyDescent="0.25">
      <c r="A1460" s="1" t="s">
        <v>1475</v>
      </c>
      <c r="B1460" s="1" t="s">
        <v>1476</v>
      </c>
      <c r="C1460" s="1">
        <v>8300000</v>
      </c>
      <c r="D1460" s="1" t="s">
        <v>664</v>
      </c>
      <c r="E1460">
        <v>634.92729999999995</v>
      </c>
      <c r="F1460" s="1" t="s">
        <v>176</v>
      </c>
      <c r="G1460">
        <v>29</v>
      </c>
      <c r="H1460">
        <v>5</v>
      </c>
      <c r="I1460" s="1" t="s">
        <v>130</v>
      </c>
      <c r="J1460">
        <v>2</v>
      </c>
      <c r="K1460" t="str">
        <f>IF(Tb_data[[#This Row],[previous_workers]]&lt;Tb_data[[#This Row],[workers]],"yes","no")</f>
        <v>yes</v>
      </c>
      <c r="L1460">
        <f>Tb_data[[#This Row],[workers]]-Tb_data[[#This Row],[previous_workers]]</f>
        <v>24</v>
      </c>
      <c r="M1460" s="12">
        <f>Tb_data[[#This Row],[Employees Growth]]/Tb_data[[#This Row],[previous_workers]]</f>
        <v>4.8</v>
      </c>
    </row>
    <row r="1461" spans="1:13" x14ac:dyDescent="0.25">
      <c r="A1461" s="1" t="s">
        <v>8484</v>
      </c>
      <c r="B1461" s="1" t="s">
        <v>8485</v>
      </c>
      <c r="C1461" s="1">
        <v>5700000</v>
      </c>
      <c r="D1461" s="1" t="s">
        <v>20</v>
      </c>
      <c r="E1461">
        <v>74.313999999999993</v>
      </c>
      <c r="F1461" s="1" t="s">
        <v>176</v>
      </c>
      <c r="G1461">
        <v>58</v>
      </c>
      <c r="H1461">
        <v>34</v>
      </c>
      <c r="I1461" s="1" t="s">
        <v>74</v>
      </c>
      <c r="J1461">
        <v>1</v>
      </c>
      <c r="K1461" t="str">
        <f>IF(Tb_data[[#This Row],[previous_workers]]&lt;Tb_data[[#This Row],[workers]],"yes","no")</f>
        <v>yes</v>
      </c>
      <c r="L1461">
        <f>Tb_data[[#This Row],[workers]]-Tb_data[[#This Row],[previous_workers]]</f>
        <v>24</v>
      </c>
      <c r="M1461" s="12">
        <f>Tb_data[[#This Row],[Employees Growth]]/Tb_data[[#This Row],[previous_workers]]</f>
        <v>0.70588235294117652</v>
      </c>
    </row>
    <row r="1462" spans="1:13" x14ac:dyDescent="0.25">
      <c r="A1462" s="1" t="s">
        <v>8021</v>
      </c>
      <c r="B1462" s="1" t="s">
        <v>8022</v>
      </c>
      <c r="C1462" s="1">
        <v>16400000</v>
      </c>
      <c r="D1462" s="1" t="s">
        <v>20</v>
      </c>
      <c r="E1462">
        <v>82.407399999999996</v>
      </c>
      <c r="F1462" s="1" t="s">
        <v>94</v>
      </c>
      <c r="G1462">
        <v>42</v>
      </c>
      <c r="H1462">
        <v>31</v>
      </c>
      <c r="I1462" s="1" t="s">
        <v>194</v>
      </c>
      <c r="J1462">
        <v>1</v>
      </c>
      <c r="K1462" t="str">
        <f>IF(Tb_data[[#This Row],[previous_workers]]&lt;Tb_data[[#This Row],[workers]],"yes","no")</f>
        <v>yes</v>
      </c>
      <c r="L1462">
        <f>Tb_data[[#This Row],[workers]]-Tb_data[[#This Row],[previous_workers]]</f>
        <v>11</v>
      </c>
      <c r="M1462" s="12">
        <f>Tb_data[[#This Row],[Employees Growth]]/Tb_data[[#This Row],[previous_workers]]</f>
        <v>0.35483870967741937</v>
      </c>
    </row>
    <row r="1463" spans="1:13" x14ac:dyDescent="0.25">
      <c r="A1463" s="1" t="s">
        <v>1555</v>
      </c>
      <c r="B1463" s="1" t="s">
        <v>1556</v>
      </c>
      <c r="C1463" s="1">
        <v>33100000</v>
      </c>
      <c r="D1463" s="1" t="s">
        <v>1557</v>
      </c>
      <c r="E1463">
        <v>603.84429999999998</v>
      </c>
      <c r="F1463" s="1" t="s">
        <v>176</v>
      </c>
      <c r="G1463">
        <v>58</v>
      </c>
      <c r="H1463">
        <v>15</v>
      </c>
      <c r="I1463" s="1" t="s">
        <v>130</v>
      </c>
      <c r="J1463">
        <v>4</v>
      </c>
      <c r="K1463" t="str">
        <f>IF(Tb_data[[#This Row],[previous_workers]]&lt;Tb_data[[#This Row],[workers]],"yes","no")</f>
        <v>yes</v>
      </c>
      <c r="L1463">
        <f>Tb_data[[#This Row],[workers]]-Tb_data[[#This Row],[previous_workers]]</f>
        <v>43</v>
      </c>
      <c r="M1463" s="12">
        <f>Tb_data[[#This Row],[Employees Growth]]/Tb_data[[#This Row],[previous_workers]]</f>
        <v>2.8666666666666667</v>
      </c>
    </row>
    <row r="1464" spans="1:13" x14ac:dyDescent="0.25">
      <c r="A1464" s="1" t="s">
        <v>9291</v>
      </c>
      <c r="B1464" s="1" t="s">
        <v>9292</v>
      </c>
      <c r="C1464" s="1">
        <v>52000000</v>
      </c>
      <c r="D1464" s="1" t="s">
        <v>49</v>
      </c>
      <c r="E1464">
        <v>62.860599999999998</v>
      </c>
      <c r="F1464" s="1" t="s">
        <v>124</v>
      </c>
      <c r="G1464">
        <v>500</v>
      </c>
      <c r="H1464">
        <v>300</v>
      </c>
      <c r="I1464" s="1" t="s">
        <v>229</v>
      </c>
      <c r="J1464">
        <v>4</v>
      </c>
      <c r="K1464" t="str">
        <f>IF(Tb_data[[#This Row],[previous_workers]]&lt;Tb_data[[#This Row],[workers]],"yes","no")</f>
        <v>yes</v>
      </c>
      <c r="L1464">
        <f>Tb_data[[#This Row],[workers]]-Tb_data[[#This Row],[previous_workers]]</f>
        <v>200</v>
      </c>
      <c r="M1464" s="12">
        <f>Tb_data[[#This Row],[Employees Growth]]/Tb_data[[#This Row],[previous_workers]]</f>
        <v>0.66666666666666663</v>
      </c>
    </row>
    <row r="1465" spans="1:13" x14ac:dyDescent="0.25">
      <c r="A1465" s="1" t="s">
        <v>9626</v>
      </c>
      <c r="B1465" s="1" t="s">
        <v>9627</v>
      </c>
      <c r="C1465" s="1">
        <v>8000000</v>
      </c>
      <c r="D1465" s="1" t="s">
        <v>254</v>
      </c>
      <c r="E1465">
        <v>58.945999999999998</v>
      </c>
      <c r="F1465" s="1" t="s">
        <v>156</v>
      </c>
      <c r="G1465">
        <v>72</v>
      </c>
      <c r="H1465">
        <v>52</v>
      </c>
      <c r="I1465" s="1" t="s">
        <v>226</v>
      </c>
      <c r="J1465">
        <v>8</v>
      </c>
      <c r="K1465" t="str">
        <f>IF(Tb_data[[#This Row],[previous_workers]]&lt;Tb_data[[#This Row],[workers]],"yes","no")</f>
        <v>yes</v>
      </c>
      <c r="L1465">
        <f>Tb_data[[#This Row],[workers]]-Tb_data[[#This Row],[previous_workers]]</f>
        <v>20</v>
      </c>
      <c r="M1465" s="12">
        <f>Tb_data[[#This Row],[Employees Growth]]/Tb_data[[#This Row],[previous_workers]]</f>
        <v>0.38461538461538464</v>
      </c>
    </row>
    <row r="1466" spans="1:13" x14ac:dyDescent="0.25">
      <c r="A1466" s="1" t="s">
        <v>1220</v>
      </c>
      <c r="B1466" s="1" t="s">
        <v>1221</v>
      </c>
      <c r="C1466" s="1">
        <v>2000000</v>
      </c>
      <c r="D1466" s="1" t="s">
        <v>41</v>
      </c>
      <c r="E1466">
        <v>794.00450000000001</v>
      </c>
      <c r="F1466" s="1" t="s">
        <v>176</v>
      </c>
      <c r="G1466">
        <v>10</v>
      </c>
      <c r="H1466">
        <v>5</v>
      </c>
      <c r="I1466" s="1" t="s">
        <v>35</v>
      </c>
      <c r="J1466">
        <v>1</v>
      </c>
      <c r="K1466" t="str">
        <f>IF(Tb_data[[#This Row],[previous_workers]]&lt;Tb_data[[#This Row],[workers]],"yes","no")</f>
        <v>yes</v>
      </c>
      <c r="L1466">
        <f>Tb_data[[#This Row],[workers]]-Tb_data[[#This Row],[previous_workers]]</f>
        <v>5</v>
      </c>
      <c r="M1466" s="12">
        <f>Tb_data[[#This Row],[Employees Growth]]/Tb_data[[#This Row],[previous_workers]]</f>
        <v>1</v>
      </c>
    </row>
    <row r="1467" spans="1:13" x14ac:dyDescent="0.25">
      <c r="A1467" s="1" t="s">
        <v>9622</v>
      </c>
      <c r="B1467" s="1" t="s">
        <v>9623</v>
      </c>
      <c r="C1467" s="1">
        <v>29500000</v>
      </c>
      <c r="D1467" s="1" t="s">
        <v>175</v>
      </c>
      <c r="E1467">
        <v>58.979500000000002</v>
      </c>
      <c r="F1467" s="1" t="s">
        <v>161</v>
      </c>
      <c r="G1467">
        <v>137</v>
      </c>
      <c r="H1467">
        <v>81</v>
      </c>
      <c r="I1467" s="1" t="s">
        <v>836</v>
      </c>
      <c r="J1467">
        <v>13</v>
      </c>
      <c r="K1467" t="str">
        <f>IF(Tb_data[[#This Row],[previous_workers]]&lt;Tb_data[[#This Row],[workers]],"yes","no")</f>
        <v>yes</v>
      </c>
      <c r="L1467">
        <f>Tb_data[[#This Row],[workers]]-Tb_data[[#This Row],[previous_workers]]</f>
        <v>56</v>
      </c>
      <c r="M1467" s="12">
        <f>Tb_data[[#This Row],[Employees Growth]]/Tb_data[[#This Row],[previous_workers]]</f>
        <v>0.69135802469135799</v>
      </c>
    </row>
    <row r="1468" spans="1:13" x14ac:dyDescent="0.25">
      <c r="A1468" s="1" t="s">
        <v>505</v>
      </c>
      <c r="B1468" s="1" t="s">
        <v>506</v>
      </c>
      <c r="C1468" s="1">
        <v>3600000</v>
      </c>
      <c r="D1468" s="1" t="s">
        <v>422</v>
      </c>
      <c r="E1468">
        <v>1944.0214000000001</v>
      </c>
      <c r="F1468" s="1" t="s">
        <v>124</v>
      </c>
      <c r="G1468">
        <v>28</v>
      </c>
      <c r="H1468">
        <v>4</v>
      </c>
      <c r="I1468" s="1" t="s">
        <v>13</v>
      </c>
      <c r="J1468">
        <v>1</v>
      </c>
      <c r="K1468" t="str">
        <f>IF(Tb_data[[#This Row],[previous_workers]]&lt;Tb_data[[#This Row],[workers]],"yes","no")</f>
        <v>yes</v>
      </c>
      <c r="L1468">
        <f>Tb_data[[#This Row],[workers]]-Tb_data[[#This Row],[previous_workers]]</f>
        <v>24</v>
      </c>
      <c r="M1468" s="12">
        <f>Tb_data[[#This Row],[Employees Growth]]/Tb_data[[#This Row],[previous_workers]]</f>
        <v>6</v>
      </c>
    </row>
    <row r="1469" spans="1:13" x14ac:dyDescent="0.25">
      <c r="A1469" s="1" t="s">
        <v>5354</v>
      </c>
      <c r="B1469" s="1" t="s">
        <v>5355</v>
      </c>
      <c r="C1469" s="1">
        <v>24400000</v>
      </c>
      <c r="D1469" s="1" t="s">
        <v>16</v>
      </c>
      <c r="E1469">
        <v>147.9212</v>
      </c>
      <c r="F1469" s="1" t="s">
        <v>172</v>
      </c>
      <c r="G1469">
        <v>235</v>
      </c>
      <c r="H1469">
        <v>102</v>
      </c>
      <c r="I1469" s="1" t="s">
        <v>226</v>
      </c>
      <c r="J1469">
        <v>6</v>
      </c>
      <c r="K1469" t="str">
        <f>IF(Tb_data[[#This Row],[previous_workers]]&lt;Tb_data[[#This Row],[workers]],"yes","no")</f>
        <v>yes</v>
      </c>
      <c r="L1469">
        <f>Tb_data[[#This Row],[workers]]-Tb_data[[#This Row],[previous_workers]]</f>
        <v>133</v>
      </c>
      <c r="M1469" s="12">
        <f>Tb_data[[#This Row],[Employees Growth]]/Tb_data[[#This Row],[previous_workers]]</f>
        <v>1.303921568627451</v>
      </c>
    </row>
    <row r="1470" spans="1:13" x14ac:dyDescent="0.25">
      <c r="A1470" s="1" t="s">
        <v>2334</v>
      </c>
      <c r="B1470" s="1" t="s">
        <v>2335</v>
      </c>
      <c r="C1470" s="1">
        <v>21900000</v>
      </c>
      <c r="D1470" s="1" t="s">
        <v>61</v>
      </c>
      <c r="E1470">
        <v>376.57940000000002</v>
      </c>
      <c r="F1470" s="1" t="s">
        <v>152</v>
      </c>
      <c r="G1470">
        <v>150</v>
      </c>
      <c r="H1470">
        <v>70</v>
      </c>
      <c r="I1470" s="1" t="s">
        <v>117</v>
      </c>
      <c r="J1470">
        <v>2</v>
      </c>
      <c r="K1470" t="str">
        <f>IF(Tb_data[[#This Row],[previous_workers]]&lt;Tb_data[[#This Row],[workers]],"yes","no")</f>
        <v>yes</v>
      </c>
      <c r="L1470">
        <f>Tb_data[[#This Row],[workers]]-Tb_data[[#This Row],[previous_workers]]</f>
        <v>80</v>
      </c>
      <c r="M1470" s="12">
        <f>Tb_data[[#This Row],[Employees Growth]]/Tb_data[[#This Row],[previous_workers]]</f>
        <v>1.1428571428571428</v>
      </c>
    </row>
    <row r="1471" spans="1:13" x14ac:dyDescent="0.25">
      <c r="A1471" s="1" t="s">
        <v>2332</v>
      </c>
      <c r="B1471" s="1" t="s">
        <v>2333</v>
      </c>
      <c r="C1471" s="1">
        <v>4200000</v>
      </c>
      <c r="D1471" s="1" t="s">
        <v>20</v>
      </c>
      <c r="E1471">
        <v>377.46069999999997</v>
      </c>
      <c r="F1471" s="1" t="s">
        <v>161</v>
      </c>
      <c r="G1471">
        <v>16</v>
      </c>
      <c r="H1471">
        <v>6</v>
      </c>
      <c r="I1471" s="1" t="s">
        <v>117</v>
      </c>
      <c r="J1471">
        <v>2</v>
      </c>
      <c r="K1471" t="str">
        <f>IF(Tb_data[[#This Row],[previous_workers]]&lt;Tb_data[[#This Row],[workers]],"yes","no")</f>
        <v>yes</v>
      </c>
      <c r="L1471">
        <f>Tb_data[[#This Row],[workers]]-Tb_data[[#This Row],[previous_workers]]</f>
        <v>10</v>
      </c>
      <c r="M1471" s="12">
        <f>Tb_data[[#This Row],[Employees Growth]]/Tb_data[[#This Row],[previous_workers]]</f>
        <v>1.6666666666666667</v>
      </c>
    </row>
    <row r="1472" spans="1:13" x14ac:dyDescent="0.25">
      <c r="A1472" s="1" t="s">
        <v>3605</v>
      </c>
      <c r="B1472" s="1" t="s">
        <v>3606</v>
      </c>
      <c r="C1472" s="1">
        <v>79100000</v>
      </c>
      <c r="D1472" s="1" t="s">
        <v>33</v>
      </c>
      <c r="E1472">
        <v>233.62950000000001</v>
      </c>
      <c r="F1472" s="1" t="s">
        <v>310</v>
      </c>
      <c r="G1472">
        <v>1600</v>
      </c>
      <c r="H1472">
        <v>500</v>
      </c>
      <c r="I1472" s="1" t="s">
        <v>130</v>
      </c>
      <c r="J1472">
        <v>2</v>
      </c>
      <c r="K1472" t="str">
        <f>IF(Tb_data[[#This Row],[previous_workers]]&lt;Tb_data[[#This Row],[workers]],"yes","no")</f>
        <v>yes</v>
      </c>
      <c r="L1472">
        <f>Tb_data[[#This Row],[workers]]-Tb_data[[#This Row],[previous_workers]]</f>
        <v>1100</v>
      </c>
      <c r="M1472" s="12">
        <f>Tb_data[[#This Row],[Employees Growth]]/Tb_data[[#This Row],[previous_workers]]</f>
        <v>2.2000000000000002</v>
      </c>
    </row>
    <row r="1473" spans="1:13" x14ac:dyDescent="0.25">
      <c r="A1473" s="1" t="s">
        <v>8299</v>
      </c>
      <c r="B1473" s="1" t="s">
        <v>8300</v>
      </c>
      <c r="C1473" s="1">
        <v>15200000</v>
      </c>
      <c r="D1473" s="1" t="s">
        <v>49</v>
      </c>
      <c r="E1473">
        <v>77.657499999999999</v>
      </c>
      <c r="F1473" s="1" t="s">
        <v>156</v>
      </c>
      <c r="G1473">
        <v>85</v>
      </c>
      <c r="H1473">
        <v>44</v>
      </c>
      <c r="I1473" s="1" t="s">
        <v>147</v>
      </c>
      <c r="J1473">
        <v>5</v>
      </c>
      <c r="K1473" t="str">
        <f>IF(Tb_data[[#This Row],[previous_workers]]&lt;Tb_data[[#This Row],[workers]],"yes","no")</f>
        <v>yes</v>
      </c>
      <c r="L1473">
        <f>Tb_data[[#This Row],[workers]]-Tb_data[[#This Row],[previous_workers]]</f>
        <v>41</v>
      </c>
      <c r="M1473" s="12">
        <f>Tb_data[[#This Row],[Employees Growth]]/Tb_data[[#This Row],[previous_workers]]</f>
        <v>0.93181818181818177</v>
      </c>
    </row>
    <row r="1474" spans="1:13" x14ac:dyDescent="0.25">
      <c r="A1474" s="1" t="s">
        <v>3071</v>
      </c>
      <c r="B1474" s="1" t="s">
        <v>3072</v>
      </c>
      <c r="C1474" s="1">
        <v>486500000</v>
      </c>
      <c r="D1474" s="1" t="s">
        <v>254</v>
      </c>
      <c r="E1474">
        <v>280.24919999999997</v>
      </c>
      <c r="F1474" s="1" t="s">
        <v>25</v>
      </c>
      <c r="G1474">
        <v>661</v>
      </c>
      <c r="H1474">
        <v>325</v>
      </c>
      <c r="I1474" s="1" t="s">
        <v>74</v>
      </c>
      <c r="J1474">
        <v>5</v>
      </c>
      <c r="K1474" t="str">
        <f>IF(Tb_data[[#This Row],[previous_workers]]&lt;Tb_data[[#This Row],[workers]],"yes","no")</f>
        <v>yes</v>
      </c>
      <c r="L1474">
        <f>Tb_data[[#This Row],[workers]]-Tb_data[[#This Row],[previous_workers]]</f>
        <v>336</v>
      </c>
      <c r="M1474" s="12">
        <f>Tb_data[[#This Row],[Employees Growth]]/Tb_data[[#This Row],[previous_workers]]</f>
        <v>1.0338461538461539</v>
      </c>
    </row>
    <row r="1475" spans="1:13" x14ac:dyDescent="0.25">
      <c r="A1475" s="1" t="s">
        <v>4407</v>
      </c>
      <c r="B1475" s="1" t="s">
        <v>4408</v>
      </c>
      <c r="C1475" s="1">
        <v>12400000</v>
      </c>
      <c r="D1475" s="1" t="s">
        <v>103</v>
      </c>
      <c r="E1475">
        <v>186.39240000000001</v>
      </c>
      <c r="F1475" s="1" t="s">
        <v>124</v>
      </c>
      <c r="G1475">
        <v>74</v>
      </c>
      <c r="H1475">
        <v>17</v>
      </c>
      <c r="I1475" s="1" t="s">
        <v>35</v>
      </c>
      <c r="J1475">
        <v>6</v>
      </c>
      <c r="K1475" t="str">
        <f>IF(Tb_data[[#This Row],[previous_workers]]&lt;Tb_data[[#This Row],[workers]],"yes","no")</f>
        <v>yes</v>
      </c>
      <c r="L1475">
        <f>Tb_data[[#This Row],[workers]]-Tb_data[[#This Row],[previous_workers]]</f>
        <v>57</v>
      </c>
      <c r="M1475" s="12">
        <f>Tb_data[[#This Row],[Employees Growth]]/Tb_data[[#This Row],[previous_workers]]</f>
        <v>3.3529411764705883</v>
      </c>
    </row>
    <row r="1476" spans="1:13" x14ac:dyDescent="0.25">
      <c r="A1476" s="1" t="s">
        <v>503</v>
      </c>
      <c r="B1476" s="1" t="s">
        <v>504</v>
      </c>
      <c r="C1476" s="1">
        <v>22300000</v>
      </c>
      <c r="D1476" s="1" t="s">
        <v>16</v>
      </c>
      <c r="E1476">
        <v>1952.8258000000001</v>
      </c>
      <c r="F1476" s="1" t="s">
        <v>12</v>
      </c>
      <c r="G1476">
        <v>42</v>
      </c>
      <c r="H1476">
        <v>14</v>
      </c>
      <c r="I1476" s="1" t="s">
        <v>164</v>
      </c>
      <c r="J1476">
        <v>1</v>
      </c>
      <c r="K1476" t="str">
        <f>IF(Tb_data[[#This Row],[previous_workers]]&lt;Tb_data[[#This Row],[workers]],"yes","no")</f>
        <v>yes</v>
      </c>
      <c r="L1476">
        <f>Tb_data[[#This Row],[workers]]-Tb_data[[#This Row],[previous_workers]]</f>
        <v>28</v>
      </c>
      <c r="M1476" s="12">
        <f>Tb_data[[#This Row],[Employees Growth]]/Tb_data[[#This Row],[previous_workers]]</f>
        <v>2</v>
      </c>
    </row>
    <row r="1477" spans="1:13" x14ac:dyDescent="0.25">
      <c r="A1477" s="1" t="s">
        <v>6345</v>
      </c>
      <c r="B1477" s="1" t="s">
        <v>6346</v>
      </c>
      <c r="C1477" s="1">
        <v>4600000</v>
      </c>
      <c r="D1477" s="1" t="s">
        <v>61</v>
      </c>
      <c r="E1477">
        <v>117.5575</v>
      </c>
      <c r="F1477" s="1" t="s">
        <v>34</v>
      </c>
      <c r="G1477">
        <v>150</v>
      </c>
      <c r="H1477">
        <v>120</v>
      </c>
      <c r="I1477" s="1" t="s">
        <v>948</v>
      </c>
      <c r="J1477">
        <v>4</v>
      </c>
      <c r="K1477" t="str">
        <f>IF(Tb_data[[#This Row],[previous_workers]]&lt;Tb_data[[#This Row],[workers]],"yes","no")</f>
        <v>yes</v>
      </c>
      <c r="L1477">
        <f>Tb_data[[#This Row],[workers]]-Tb_data[[#This Row],[previous_workers]]</f>
        <v>30</v>
      </c>
      <c r="M1477" s="12">
        <f>Tb_data[[#This Row],[Employees Growth]]/Tb_data[[#This Row],[previous_workers]]</f>
        <v>0.25</v>
      </c>
    </row>
    <row r="1478" spans="1:13" x14ac:dyDescent="0.25">
      <c r="A1478" s="1" t="s">
        <v>3975</v>
      </c>
      <c r="B1478" s="1" t="s">
        <v>3976</v>
      </c>
      <c r="C1478" s="1">
        <v>6900000</v>
      </c>
      <c r="D1478" s="1" t="s">
        <v>16</v>
      </c>
      <c r="E1478">
        <v>207.95830000000001</v>
      </c>
      <c r="F1478" s="1" t="s">
        <v>94</v>
      </c>
      <c r="G1478">
        <v>17</v>
      </c>
      <c r="H1478">
        <v>8</v>
      </c>
      <c r="I1478" s="1" t="s">
        <v>117</v>
      </c>
      <c r="J1478">
        <v>2</v>
      </c>
      <c r="K1478" t="str">
        <f>IF(Tb_data[[#This Row],[previous_workers]]&lt;Tb_data[[#This Row],[workers]],"yes","no")</f>
        <v>yes</v>
      </c>
      <c r="L1478">
        <f>Tb_data[[#This Row],[workers]]-Tb_data[[#This Row],[previous_workers]]</f>
        <v>9</v>
      </c>
      <c r="M1478" s="12">
        <f>Tb_data[[#This Row],[Employees Growth]]/Tb_data[[#This Row],[previous_workers]]</f>
        <v>1.125</v>
      </c>
    </row>
    <row r="1479" spans="1:13" x14ac:dyDescent="0.25">
      <c r="A1479" s="1" t="s">
        <v>567</v>
      </c>
      <c r="B1479" s="1" t="s">
        <v>568</v>
      </c>
      <c r="C1479" s="1">
        <v>6300000</v>
      </c>
      <c r="D1479" s="1" t="s">
        <v>20</v>
      </c>
      <c r="E1479">
        <v>1763.0807</v>
      </c>
      <c r="F1479" s="1" t="s">
        <v>25</v>
      </c>
      <c r="G1479">
        <v>60</v>
      </c>
      <c r="H1479">
        <v>10</v>
      </c>
      <c r="I1479" s="1" t="s">
        <v>55</v>
      </c>
      <c r="J1479">
        <v>1</v>
      </c>
      <c r="K1479" t="str">
        <f>IF(Tb_data[[#This Row],[previous_workers]]&lt;Tb_data[[#This Row],[workers]],"yes","no")</f>
        <v>yes</v>
      </c>
      <c r="L1479">
        <f>Tb_data[[#This Row],[workers]]-Tb_data[[#This Row],[previous_workers]]</f>
        <v>50</v>
      </c>
      <c r="M1479" s="12">
        <f>Tb_data[[#This Row],[Employees Growth]]/Tb_data[[#This Row],[previous_workers]]</f>
        <v>5</v>
      </c>
    </row>
    <row r="1480" spans="1:13" x14ac:dyDescent="0.25">
      <c r="A1480" s="1" t="s">
        <v>2132</v>
      </c>
      <c r="B1480" s="1" t="s">
        <v>2133</v>
      </c>
      <c r="C1480" s="1">
        <v>2000000</v>
      </c>
      <c r="D1480" s="1" t="s">
        <v>33</v>
      </c>
      <c r="E1480">
        <v>417.75409999999999</v>
      </c>
      <c r="F1480" s="1" t="s">
        <v>94</v>
      </c>
      <c r="G1480">
        <v>22</v>
      </c>
      <c r="H1480">
        <v>3</v>
      </c>
      <c r="I1480" s="1" t="s">
        <v>26</v>
      </c>
      <c r="J1480">
        <v>1</v>
      </c>
      <c r="K1480" t="str">
        <f>IF(Tb_data[[#This Row],[previous_workers]]&lt;Tb_data[[#This Row],[workers]],"yes","no")</f>
        <v>yes</v>
      </c>
      <c r="L1480">
        <f>Tb_data[[#This Row],[workers]]-Tb_data[[#This Row],[previous_workers]]</f>
        <v>19</v>
      </c>
      <c r="M1480" s="12">
        <f>Tb_data[[#This Row],[Employees Growth]]/Tb_data[[#This Row],[previous_workers]]</f>
        <v>6.333333333333333</v>
      </c>
    </row>
    <row r="1481" spans="1:13" x14ac:dyDescent="0.25">
      <c r="A1481" s="1" t="s">
        <v>5906</v>
      </c>
      <c r="B1481" s="1" t="s">
        <v>5907</v>
      </c>
      <c r="C1481" s="1">
        <v>32700000</v>
      </c>
      <c r="D1481" s="1" t="s">
        <v>33</v>
      </c>
      <c r="E1481">
        <v>128.779</v>
      </c>
      <c r="F1481" s="1" t="s">
        <v>161</v>
      </c>
      <c r="G1481">
        <v>151</v>
      </c>
      <c r="H1481">
        <v>72</v>
      </c>
      <c r="I1481" s="1" t="s">
        <v>164</v>
      </c>
      <c r="J1481">
        <v>4</v>
      </c>
      <c r="K1481" t="str">
        <f>IF(Tb_data[[#This Row],[previous_workers]]&lt;Tb_data[[#This Row],[workers]],"yes","no")</f>
        <v>yes</v>
      </c>
      <c r="L1481">
        <f>Tb_data[[#This Row],[workers]]-Tb_data[[#This Row],[previous_workers]]</f>
        <v>79</v>
      </c>
      <c r="M1481" s="12">
        <f>Tb_data[[#This Row],[Employees Growth]]/Tb_data[[#This Row],[previous_workers]]</f>
        <v>1.0972222222222223</v>
      </c>
    </row>
    <row r="1482" spans="1:13" x14ac:dyDescent="0.25">
      <c r="A1482" s="1" t="s">
        <v>2262</v>
      </c>
      <c r="B1482" s="1" t="s">
        <v>2263</v>
      </c>
      <c r="C1482" s="1">
        <v>5600000</v>
      </c>
      <c r="D1482" s="1" t="s">
        <v>49</v>
      </c>
      <c r="E1482">
        <v>390.40050000000002</v>
      </c>
      <c r="F1482" s="1" t="s">
        <v>86</v>
      </c>
      <c r="G1482">
        <v>37</v>
      </c>
      <c r="H1482">
        <v>12</v>
      </c>
      <c r="I1482" s="1" t="s">
        <v>46</v>
      </c>
      <c r="J1482">
        <v>3</v>
      </c>
      <c r="K1482" t="str">
        <f>IF(Tb_data[[#This Row],[previous_workers]]&lt;Tb_data[[#This Row],[workers]],"yes","no")</f>
        <v>yes</v>
      </c>
      <c r="L1482">
        <f>Tb_data[[#This Row],[workers]]-Tb_data[[#This Row],[previous_workers]]</f>
        <v>25</v>
      </c>
      <c r="M1482" s="12">
        <f>Tb_data[[#This Row],[Employees Growth]]/Tb_data[[#This Row],[previous_workers]]</f>
        <v>2.0833333333333335</v>
      </c>
    </row>
    <row r="1483" spans="1:13" x14ac:dyDescent="0.25">
      <c r="A1483" s="1" t="s">
        <v>1937</v>
      </c>
      <c r="B1483" s="1" t="s">
        <v>1938</v>
      </c>
      <c r="C1483" s="1">
        <v>2200000</v>
      </c>
      <c r="D1483" s="1" t="s">
        <v>49</v>
      </c>
      <c r="E1483">
        <v>464.87180000000001</v>
      </c>
      <c r="F1483" s="1" t="s">
        <v>34</v>
      </c>
      <c r="G1483">
        <v>8</v>
      </c>
      <c r="H1483">
        <v>3</v>
      </c>
      <c r="I1483" s="1" t="s">
        <v>55</v>
      </c>
      <c r="J1483">
        <v>2</v>
      </c>
      <c r="K1483" t="str">
        <f>IF(Tb_data[[#This Row],[previous_workers]]&lt;Tb_data[[#This Row],[workers]],"yes","no")</f>
        <v>yes</v>
      </c>
      <c r="L1483">
        <f>Tb_data[[#This Row],[workers]]-Tb_data[[#This Row],[previous_workers]]</f>
        <v>5</v>
      </c>
      <c r="M1483" s="12">
        <f>Tb_data[[#This Row],[Employees Growth]]/Tb_data[[#This Row],[previous_workers]]</f>
        <v>1.6666666666666667</v>
      </c>
    </row>
    <row r="1484" spans="1:13" x14ac:dyDescent="0.25">
      <c r="A1484" s="1" t="s">
        <v>6039</v>
      </c>
      <c r="B1484" s="1" t="s">
        <v>6040</v>
      </c>
      <c r="C1484" s="1">
        <v>45800000</v>
      </c>
      <c r="D1484" s="1" t="s">
        <v>45</v>
      </c>
      <c r="E1484">
        <v>125.7898</v>
      </c>
      <c r="F1484" s="1" t="s">
        <v>124</v>
      </c>
      <c r="G1484">
        <v>59</v>
      </c>
      <c r="H1484">
        <v>32</v>
      </c>
      <c r="I1484" s="1" t="s">
        <v>229</v>
      </c>
      <c r="J1484">
        <v>4</v>
      </c>
      <c r="K1484" t="str">
        <f>IF(Tb_data[[#This Row],[previous_workers]]&lt;Tb_data[[#This Row],[workers]],"yes","no")</f>
        <v>yes</v>
      </c>
      <c r="L1484">
        <f>Tb_data[[#This Row],[workers]]-Tb_data[[#This Row],[previous_workers]]</f>
        <v>27</v>
      </c>
      <c r="M1484" s="12">
        <f>Tb_data[[#This Row],[Employees Growth]]/Tb_data[[#This Row],[previous_workers]]</f>
        <v>0.84375</v>
      </c>
    </row>
    <row r="1485" spans="1:13" x14ac:dyDescent="0.25">
      <c r="A1485" s="1" t="s">
        <v>6015</v>
      </c>
      <c r="B1485" s="1" t="s">
        <v>6016</v>
      </c>
      <c r="C1485" s="1">
        <v>2900000</v>
      </c>
      <c r="D1485" s="1" t="s">
        <v>175</v>
      </c>
      <c r="E1485">
        <v>126.2778</v>
      </c>
      <c r="F1485" s="1" t="s">
        <v>97</v>
      </c>
      <c r="G1485">
        <v>18</v>
      </c>
      <c r="H1485">
        <v>4</v>
      </c>
      <c r="I1485" s="1" t="s">
        <v>194</v>
      </c>
      <c r="J1485">
        <v>1</v>
      </c>
      <c r="K1485" t="str">
        <f>IF(Tb_data[[#This Row],[previous_workers]]&lt;Tb_data[[#This Row],[workers]],"yes","no")</f>
        <v>yes</v>
      </c>
      <c r="L1485">
        <f>Tb_data[[#This Row],[workers]]-Tb_data[[#This Row],[previous_workers]]</f>
        <v>14</v>
      </c>
      <c r="M1485" s="12">
        <f>Tb_data[[#This Row],[Employees Growth]]/Tb_data[[#This Row],[previous_workers]]</f>
        <v>3.5</v>
      </c>
    </row>
    <row r="1486" spans="1:13" x14ac:dyDescent="0.25">
      <c r="A1486" s="1" t="s">
        <v>4854</v>
      </c>
      <c r="B1486" s="1" t="s">
        <v>4855</v>
      </c>
      <c r="C1486" s="1">
        <v>34100000</v>
      </c>
      <c r="D1486" s="1" t="s">
        <v>49</v>
      </c>
      <c r="E1486">
        <v>167.68629999999999</v>
      </c>
      <c r="F1486" s="1" t="s">
        <v>135</v>
      </c>
      <c r="G1486">
        <v>149</v>
      </c>
      <c r="H1486">
        <v>50</v>
      </c>
      <c r="I1486" s="1" t="s">
        <v>130</v>
      </c>
      <c r="J1486">
        <v>1</v>
      </c>
      <c r="K1486" t="str">
        <f>IF(Tb_data[[#This Row],[previous_workers]]&lt;Tb_data[[#This Row],[workers]],"yes","no")</f>
        <v>yes</v>
      </c>
      <c r="L1486">
        <f>Tb_data[[#This Row],[workers]]-Tb_data[[#This Row],[previous_workers]]</f>
        <v>99</v>
      </c>
      <c r="M1486" s="12">
        <f>Tb_data[[#This Row],[Employees Growth]]/Tb_data[[#This Row],[previous_workers]]</f>
        <v>1.98</v>
      </c>
    </row>
    <row r="1487" spans="1:13" x14ac:dyDescent="0.25">
      <c r="A1487" s="1" t="s">
        <v>6952</v>
      </c>
      <c r="B1487" s="1" t="s">
        <v>6953</v>
      </c>
      <c r="C1487" s="1">
        <v>10000000</v>
      </c>
      <c r="D1487" s="1" t="s">
        <v>69</v>
      </c>
      <c r="E1487">
        <v>102.7041</v>
      </c>
      <c r="F1487" s="1" t="s">
        <v>124</v>
      </c>
      <c r="G1487">
        <v>65</v>
      </c>
      <c r="H1487">
        <v>54</v>
      </c>
      <c r="I1487" s="1" t="s">
        <v>74</v>
      </c>
      <c r="J1487">
        <v>3</v>
      </c>
      <c r="K1487" t="str">
        <f>IF(Tb_data[[#This Row],[previous_workers]]&lt;Tb_data[[#This Row],[workers]],"yes","no")</f>
        <v>yes</v>
      </c>
      <c r="L1487">
        <f>Tb_data[[#This Row],[workers]]-Tb_data[[#This Row],[previous_workers]]</f>
        <v>11</v>
      </c>
      <c r="M1487" s="12">
        <f>Tb_data[[#This Row],[Employees Growth]]/Tb_data[[#This Row],[previous_workers]]</f>
        <v>0.20370370370370369</v>
      </c>
    </row>
    <row r="1488" spans="1:13" x14ac:dyDescent="0.25">
      <c r="A1488" s="1" t="s">
        <v>7222</v>
      </c>
      <c r="B1488" s="1" t="s">
        <v>7223</v>
      </c>
      <c r="C1488" s="1">
        <v>10600000</v>
      </c>
      <c r="D1488" s="1" t="s">
        <v>41</v>
      </c>
      <c r="E1488">
        <v>98.112499999999997</v>
      </c>
      <c r="F1488" s="1" t="s">
        <v>97</v>
      </c>
      <c r="G1488">
        <v>47</v>
      </c>
      <c r="H1488">
        <v>55</v>
      </c>
      <c r="I1488" s="1" t="s">
        <v>194</v>
      </c>
      <c r="J1488">
        <v>4</v>
      </c>
      <c r="K1488" t="str">
        <f>IF(Tb_data[[#This Row],[previous_workers]]&lt;Tb_data[[#This Row],[workers]],"yes","no")</f>
        <v>no</v>
      </c>
      <c r="L1488">
        <f>Tb_data[[#This Row],[workers]]-Tb_data[[#This Row],[previous_workers]]</f>
        <v>-8</v>
      </c>
      <c r="M1488" s="12">
        <f>Tb_data[[#This Row],[Employees Growth]]/Tb_data[[#This Row],[previous_workers]]</f>
        <v>-0.14545454545454545</v>
      </c>
    </row>
    <row r="1489" spans="1:13" x14ac:dyDescent="0.25">
      <c r="A1489" s="1" t="s">
        <v>7645</v>
      </c>
      <c r="B1489" s="1" t="s">
        <v>7646</v>
      </c>
      <c r="C1489" s="1">
        <v>30000000</v>
      </c>
      <c r="D1489" s="1" t="s">
        <v>91</v>
      </c>
      <c r="E1489">
        <v>89.036699999999996</v>
      </c>
      <c r="F1489" s="1" t="s">
        <v>17</v>
      </c>
      <c r="G1489">
        <v>126</v>
      </c>
      <c r="H1489">
        <v>50</v>
      </c>
      <c r="I1489" s="1" t="s">
        <v>164</v>
      </c>
      <c r="J1489">
        <v>2</v>
      </c>
      <c r="K1489" t="str">
        <f>IF(Tb_data[[#This Row],[previous_workers]]&lt;Tb_data[[#This Row],[workers]],"yes","no")</f>
        <v>yes</v>
      </c>
      <c r="L1489">
        <f>Tb_data[[#This Row],[workers]]-Tb_data[[#This Row],[previous_workers]]</f>
        <v>76</v>
      </c>
      <c r="M1489" s="12">
        <f>Tb_data[[#This Row],[Employees Growth]]/Tb_data[[#This Row],[previous_workers]]</f>
        <v>1.52</v>
      </c>
    </row>
    <row r="1490" spans="1:13" x14ac:dyDescent="0.25">
      <c r="A1490" s="1" t="s">
        <v>6017</v>
      </c>
      <c r="B1490" s="1" t="s">
        <v>6018</v>
      </c>
      <c r="C1490" s="1">
        <v>13800000</v>
      </c>
      <c r="D1490" s="1" t="s">
        <v>52</v>
      </c>
      <c r="E1490">
        <v>126.23390000000001</v>
      </c>
      <c r="F1490" s="1" t="s">
        <v>514</v>
      </c>
      <c r="G1490">
        <v>145</v>
      </c>
      <c r="H1490">
        <v>107</v>
      </c>
      <c r="I1490" s="1" t="s">
        <v>836</v>
      </c>
      <c r="J1490">
        <v>3</v>
      </c>
      <c r="K1490" t="str">
        <f>IF(Tb_data[[#This Row],[previous_workers]]&lt;Tb_data[[#This Row],[workers]],"yes","no")</f>
        <v>yes</v>
      </c>
      <c r="L1490">
        <f>Tb_data[[#This Row],[workers]]-Tb_data[[#This Row],[previous_workers]]</f>
        <v>38</v>
      </c>
      <c r="M1490" s="12">
        <f>Tb_data[[#This Row],[Employees Growth]]/Tb_data[[#This Row],[previous_workers]]</f>
        <v>0.35514018691588783</v>
      </c>
    </row>
    <row r="1491" spans="1:13" x14ac:dyDescent="0.25">
      <c r="A1491" s="1" t="s">
        <v>4876</v>
      </c>
      <c r="B1491" s="1" t="s">
        <v>4877</v>
      </c>
      <c r="C1491" s="1">
        <v>63700000</v>
      </c>
      <c r="D1491" s="1" t="s">
        <v>20</v>
      </c>
      <c r="E1491">
        <v>166.91130000000001</v>
      </c>
      <c r="F1491" s="1" t="s">
        <v>116</v>
      </c>
      <c r="G1491">
        <v>115</v>
      </c>
      <c r="H1491">
        <v>73</v>
      </c>
      <c r="I1491" s="1" t="s">
        <v>226</v>
      </c>
      <c r="J1491">
        <v>4</v>
      </c>
      <c r="K1491" t="str">
        <f>IF(Tb_data[[#This Row],[previous_workers]]&lt;Tb_data[[#This Row],[workers]],"yes","no")</f>
        <v>yes</v>
      </c>
      <c r="L1491">
        <f>Tb_data[[#This Row],[workers]]-Tb_data[[#This Row],[previous_workers]]</f>
        <v>42</v>
      </c>
      <c r="M1491" s="12">
        <f>Tb_data[[#This Row],[Employees Growth]]/Tb_data[[#This Row],[previous_workers]]</f>
        <v>0.57534246575342463</v>
      </c>
    </row>
    <row r="1492" spans="1:13" x14ac:dyDescent="0.25">
      <c r="A1492" s="1" t="s">
        <v>1314</v>
      </c>
      <c r="B1492" s="1" t="s">
        <v>1315</v>
      </c>
      <c r="C1492" s="1">
        <v>3500000</v>
      </c>
      <c r="D1492" s="1" t="s">
        <v>49</v>
      </c>
      <c r="E1492">
        <v>733.37040000000002</v>
      </c>
      <c r="F1492" s="1" t="s">
        <v>176</v>
      </c>
      <c r="G1492">
        <v>350</v>
      </c>
      <c r="H1492">
        <v>40</v>
      </c>
      <c r="I1492" s="1" t="s">
        <v>26</v>
      </c>
      <c r="J1492">
        <v>1</v>
      </c>
      <c r="K1492" t="str">
        <f>IF(Tb_data[[#This Row],[previous_workers]]&lt;Tb_data[[#This Row],[workers]],"yes","no")</f>
        <v>yes</v>
      </c>
      <c r="L1492">
        <f>Tb_data[[#This Row],[workers]]-Tb_data[[#This Row],[previous_workers]]</f>
        <v>310</v>
      </c>
      <c r="M1492" s="12">
        <f>Tb_data[[#This Row],[Employees Growth]]/Tb_data[[#This Row],[previous_workers]]</f>
        <v>7.75</v>
      </c>
    </row>
    <row r="1493" spans="1:13" x14ac:dyDescent="0.25">
      <c r="A1493" s="1" t="s">
        <v>7827</v>
      </c>
      <c r="B1493" s="1" t="s">
        <v>7828</v>
      </c>
      <c r="C1493" s="1">
        <v>23700000</v>
      </c>
      <c r="D1493" s="1" t="s">
        <v>61</v>
      </c>
      <c r="E1493">
        <v>85.863799999999998</v>
      </c>
      <c r="F1493" s="1" t="s">
        <v>176</v>
      </c>
      <c r="G1493">
        <v>97</v>
      </c>
      <c r="H1493">
        <v>52</v>
      </c>
      <c r="I1493" s="1" t="s">
        <v>194</v>
      </c>
      <c r="J1493">
        <v>8</v>
      </c>
      <c r="K1493" t="str">
        <f>IF(Tb_data[[#This Row],[previous_workers]]&lt;Tb_data[[#This Row],[workers]],"yes","no")</f>
        <v>yes</v>
      </c>
      <c r="L1493">
        <f>Tb_data[[#This Row],[workers]]-Tb_data[[#This Row],[previous_workers]]</f>
        <v>45</v>
      </c>
      <c r="M1493" s="12">
        <f>Tb_data[[#This Row],[Employees Growth]]/Tb_data[[#This Row],[previous_workers]]</f>
        <v>0.86538461538461542</v>
      </c>
    </row>
    <row r="1494" spans="1:13" x14ac:dyDescent="0.25">
      <c r="A1494" s="1" t="s">
        <v>7226</v>
      </c>
      <c r="B1494" s="1" t="s">
        <v>7227</v>
      </c>
      <c r="C1494" s="1">
        <v>7800000</v>
      </c>
      <c r="D1494" s="1" t="s">
        <v>254</v>
      </c>
      <c r="E1494">
        <v>98.094099999999997</v>
      </c>
      <c r="F1494" s="1" t="s">
        <v>156</v>
      </c>
      <c r="G1494">
        <v>50</v>
      </c>
      <c r="H1494">
        <v>38</v>
      </c>
      <c r="I1494" s="1" t="s">
        <v>1051</v>
      </c>
      <c r="J1494">
        <v>1</v>
      </c>
      <c r="K1494" t="str">
        <f>IF(Tb_data[[#This Row],[previous_workers]]&lt;Tb_data[[#This Row],[workers]],"yes","no")</f>
        <v>yes</v>
      </c>
      <c r="L1494">
        <f>Tb_data[[#This Row],[workers]]-Tb_data[[#This Row],[previous_workers]]</f>
        <v>12</v>
      </c>
      <c r="M1494" s="12">
        <f>Tb_data[[#This Row],[Employees Growth]]/Tb_data[[#This Row],[previous_workers]]</f>
        <v>0.31578947368421051</v>
      </c>
    </row>
    <row r="1495" spans="1:13" x14ac:dyDescent="0.25">
      <c r="A1495" s="1" t="s">
        <v>4912</v>
      </c>
      <c r="B1495" s="1" t="s">
        <v>4913</v>
      </c>
      <c r="C1495" s="1">
        <v>6700000</v>
      </c>
      <c r="D1495" s="1" t="s">
        <v>41</v>
      </c>
      <c r="E1495">
        <v>165.2071</v>
      </c>
      <c r="F1495" s="1" t="s">
        <v>176</v>
      </c>
      <c r="G1495">
        <v>40</v>
      </c>
      <c r="H1495">
        <v>13</v>
      </c>
      <c r="I1495" s="1" t="s">
        <v>55</v>
      </c>
      <c r="J1495">
        <v>1</v>
      </c>
      <c r="K1495" t="str">
        <f>IF(Tb_data[[#This Row],[previous_workers]]&lt;Tb_data[[#This Row],[workers]],"yes","no")</f>
        <v>yes</v>
      </c>
      <c r="L1495">
        <f>Tb_data[[#This Row],[workers]]-Tb_data[[#This Row],[previous_workers]]</f>
        <v>27</v>
      </c>
      <c r="M1495" s="12">
        <f>Tb_data[[#This Row],[Employees Growth]]/Tb_data[[#This Row],[previous_workers]]</f>
        <v>2.0769230769230771</v>
      </c>
    </row>
    <row r="1496" spans="1:13" x14ac:dyDescent="0.25">
      <c r="A1496" s="1" t="s">
        <v>7509</v>
      </c>
      <c r="B1496" s="1" t="s">
        <v>7510</v>
      </c>
      <c r="C1496" s="1">
        <v>97800000</v>
      </c>
      <c r="D1496" s="1" t="s">
        <v>254</v>
      </c>
      <c r="E1496">
        <v>92.835800000000006</v>
      </c>
      <c r="F1496" s="1" t="s">
        <v>161</v>
      </c>
      <c r="G1496">
        <v>415</v>
      </c>
      <c r="H1496">
        <v>175</v>
      </c>
      <c r="I1496" s="1" t="s">
        <v>226</v>
      </c>
      <c r="J1496">
        <v>1</v>
      </c>
      <c r="K1496" t="str">
        <f>IF(Tb_data[[#This Row],[previous_workers]]&lt;Tb_data[[#This Row],[workers]],"yes","no")</f>
        <v>yes</v>
      </c>
      <c r="L1496">
        <f>Tb_data[[#This Row],[workers]]-Tb_data[[#This Row],[previous_workers]]</f>
        <v>240</v>
      </c>
      <c r="M1496" s="12">
        <f>Tb_data[[#This Row],[Employees Growth]]/Tb_data[[#This Row],[previous_workers]]</f>
        <v>1.3714285714285714</v>
      </c>
    </row>
    <row r="1497" spans="1:13" x14ac:dyDescent="0.25">
      <c r="A1497" s="1" t="s">
        <v>4503</v>
      </c>
      <c r="B1497" s="1" t="s">
        <v>4504</v>
      </c>
      <c r="C1497" s="1">
        <v>3900000</v>
      </c>
      <c r="D1497" s="1" t="s">
        <v>49</v>
      </c>
      <c r="E1497">
        <v>182.20590000000001</v>
      </c>
      <c r="F1497" s="1" t="s">
        <v>176</v>
      </c>
      <c r="G1497">
        <v>14</v>
      </c>
      <c r="H1497">
        <v>5</v>
      </c>
      <c r="I1497" s="1" t="s">
        <v>1051</v>
      </c>
      <c r="J1497">
        <v>2</v>
      </c>
      <c r="K1497" t="str">
        <f>IF(Tb_data[[#This Row],[previous_workers]]&lt;Tb_data[[#This Row],[workers]],"yes","no")</f>
        <v>yes</v>
      </c>
      <c r="L1497">
        <f>Tb_data[[#This Row],[workers]]-Tb_data[[#This Row],[previous_workers]]</f>
        <v>9</v>
      </c>
      <c r="M1497" s="12">
        <f>Tb_data[[#This Row],[Employees Growth]]/Tb_data[[#This Row],[previous_workers]]</f>
        <v>1.8</v>
      </c>
    </row>
    <row r="1498" spans="1:13" x14ac:dyDescent="0.25">
      <c r="A1498" s="1" t="s">
        <v>8393</v>
      </c>
      <c r="B1498" s="1" t="s">
        <v>8394</v>
      </c>
      <c r="C1498" s="1">
        <v>162400000</v>
      </c>
      <c r="D1498" s="1" t="s">
        <v>49</v>
      </c>
      <c r="E1498">
        <v>76.282600000000002</v>
      </c>
      <c r="F1498" s="1" t="s">
        <v>156</v>
      </c>
      <c r="G1498">
        <v>128</v>
      </c>
      <c r="H1498">
        <v>102</v>
      </c>
      <c r="I1498" s="1" t="s">
        <v>961</v>
      </c>
      <c r="J1498">
        <v>8</v>
      </c>
      <c r="K1498" t="str">
        <f>IF(Tb_data[[#This Row],[previous_workers]]&lt;Tb_data[[#This Row],[workers]],"yes","no")</f>
        <v>yes</v>
      </c>
      <c r="L1498">
        <f>Tb_data[[#This Row],[workers]]-Tb_data[[#This Row],[previous_workers]]</f>
        <v>26</v>
      </c>
      <c r="M1498" s="12">
        <f>Tb_data[[#This Row],[Employees Growth]]/Tb_data[[#This Row],[previous_workers]]</f>
        <v>0.25490196078431371</v>
      </c>
    </row>
    <row r="1499" spans="1:13" x14ac:dyDescent="0.25">
      <c r="A1499" s="1" t="s">
        <v>4024</v>
      </c>
      <c r="B1499" s="1" t="s">
        <v>4025</v>
      </c>
      <c r="C1499" s="1">
        <v>11700000</v>
      </c>
      <c r="D1499" s="1" t="s">
        <v>20</v>
      </c>
      <c r="E1499">
        <v>205.8484</v>
      </c>
      <c r="F1499" s="1" t="s">
        <v>94</v>
      </c>
      <c r="G1499">
        <v>42</v>
      </c>
      <c r="H1499">
        <v>29</v>
      </c>
      <c r="I1499" s="1" t="s">
        <v>46</v>
      </c>
      <c r="J1499">
        <v>3</v>
      </c>
      <c r="K1499" t="str">
        <f>IF(Tb_data[[#This Row],[previous_workers]]&lt;Tb_data[[#This Row],[workers]],"yes","no")</f>
        <v>yes</v>
      </c>
      <c r="L1499">
        <f>Tb_data[[#This Row],[workers]]-Tb_data[[#This Row],[previous_workers]]</f>
        <v>13</v>
      </c>
      <c r="M1499" s="12">
        <f>Tb_data[[#This Row],[Employees Growth]]/Tb_data[[#This Row],[previous_workers]]</f>
        <v>0.44827586206896552</v>
      </c>
    </row>
    <row r="1500" spans="1:13" x14ac:dyDescent="0.25">
      <c r="A1500" s="1" t="s">
        <v>4874</v>
      </c>
      <c r="B1500" s="1" t="s">
        <v>4875</v>
      </c>
      <c r="C1500" s="1">
        <v>17000000</v>
      </c>
      <c r="D1500" s="1" t="s">
        <v>115</v>
      </c>
      <c r="E1500">
        <v>166.9119</v>
      </c>
      <c r="F1500" s="1" t="s">
        <v>176</v>
      </c>
      <c r="G1500">
        <v>57</v>
      </c>
      <c r="H1500">
        <v>35</v>
      </c>
      <c r="I1500" s="1" t="s">
        <v>35</v>
      </c>
      <c r="J1500">
        <v>5</v>
      </c>
      <c r="K1500" t="str">
        <f>IF(Tb_data[[#This Row],[previous_workers]]&lt;Tb_data[[#This Row],[workers]],"yes","no")</f>
        <v>yes</v>
      </c>
      <c r="L1500">
        <f>Tb_data[[#This Row],[workers]]-Tb_data[[#This Row],[previous_workers]]</f>
        <v>22</v>
      </c>
      <c r="M1500" s="12">
        <f>Tb_data[[#This Row],[Employees Growth]]/Tb_data[[#This Row],[previous_workers]]</f>
        <v>0.62857142857142856</v>
      </c>
    </row>
    <row r="1501" spans="1:13" x14ac:dyDescent="0.25">
      <c r="A1501" s="1" t="s">
        <v>6970</v>
      </c>
      <c r="B1501" s="1" t="s">
        <v>6971</v>
      </c>
      <c r="C1501" s="1">
        <v>6400000</v>
      </c>
      <c r="D1501" s="1" t="s">
        <v>49</v>
      </c>
      <c r="E1501">
        <v>102.5239</v>
      </c>
      <c r="F1501" s="1" t="s">
        <v>124</v>
      </c>
      <c r="G1501">
        <v>33</v>
      </c>
      <c r="H1501">
        <v>15</v>
      </c>
      <c r="I1501" s="1" t="s">
        <v>117</v>
      </c>
      <c r="J1501">
        <v>1</v>
      </c>
      <c r="K1501" t="str">
        <f>IF(Tb_data[[#This Row],[previous_workers]]&lt;Tb_data[[#This Row],[workers]],"yes","no")</f>
        <v>yes</v>
      </c>
      <c r="L1501">
        <f>Tb_data[[#This Row],[workers]]-Tb_data[[#This Row],[previous_workers]]</f>
        <v>18</v>
      </c>
      <c r="M1501" s="12">
        <f>Tb_data[[#This Row],[Employees Growth]]/Tb_data[[#This Row],[previous_workers]]</f>
        <v>1.2</v>
      </c>
    </row>
    <row r="1502" spans="1:13" x14ac:dyDescent="0.25">
      <c r="A1502" s="1" t="s">
        <v>9880</v>
      </c>
      <c r="B1502" s="1" t="s">
        <v>9881</v>
      </c>
      <c r="C1502" s="1">
        <v>27100000</v>
      </c>
      <c r="D1502" s="1" t="s">
        <v>49</v>
      </c>
      <c r="E1502">
        <v>55.590499999999999</v>
      </c>
      <c r="F1502" s="1" t="s">
        <v>176</v>
      </c>
      <c r="G1502">
        <v>54</v>
      </c>
      <c r="H1502">
        <v>32</v>
      </c>
      <c r="I1502" s="1" t="s">
        <v>74</v>
      </c>
      <c r="J1502">
        <v>7</v>
      </c>
      <c r="K1502" t="str">
        <f>IF(Tb_data[[#This Row],[previous_workers]]&lt;Tb_data[[#This Row],[workers]],"yes","no")</f>
        <v>yes</v>
      </c>
      <c r="L1502">
        <f>Tb_data[[#This Row],[workers]]-Tb_data[[#This Row],[previous_workers]]</f>
        <v>22</v>
      </c>
      <c r="M1502" s="12">
        <f>Tb_data[[#This Row],[Employees Growth]]/Tb_data[[#This Row],[previous_workers]]</f>
        <v>0.6875</v>
      </c>
    </row>
    <row r="1503" spans="1:13" x14ac:dyDescent="0.25">
      <c r="A1503" s="1" t="s">
        <v>8057</v>
      </c>
      <c r="B1503" s="1" t="s">
        <v>8058</v>
      </c>
      <c r="C1503" s="1">
        <v>2300000</v>
      </c>
      <c r="D1503" s="1" t="s">
        <v>45</v>
      </c>
      <c r="E1503">
        <v>81.827500000000001</v>
      </c>
      <c r="F1503" s="1" t="s">
        <v>169</v>
      </c>
      <c r="G1503">
        <v>28</v>
      </c>
      <c r="H1503">
        <v>19</v>
      </c>
      <c r="I1503" s="1" t="s">
        <v>948</v>
      </c>
      <c r="J1503">
        <v>1</v>
      </c>
      <c r="K1503" t="str">
        <f>IF(Tb_data[[#This Row],[previous_workers]]&lt;Tb_data[[#This Row],[workers]],"yes","no")</f>
        <v>yes</v>
      </c>
      <c r="L1503">
        <f>Tb_data[[#This Row],[workers]]-Tb_data[[#This Row],[previous_workers]]</f>
        <v>9</v>
      </c>
      <c r="M1503" s="12">
        <f>Tb_data[[#This Row],[Employees Growth]]/Tb_data[[#This Row],[previous_workers]]</f>
        <v>0.47368421052631576</v>
      </c>
    </row>
    <row r="1504" spans="1:13" x14ac:dyDescent="0.25">
      <c r="A1504" s="1" t="s">
        <v>5020</v>
      </c>
      <c r="B1504" s="1" t="s">
        <v>5021</v>
      </c>
      <c r="C1504" s="1">
        <v>15000000</v>
      </c>
      <c r="D1504" s="1" t="s">
        <v>254</v>
      </c>
      <c r="E1504">
        <v>161.0797</v>
      </c>
      <c r="F1504" s="1" t="s">
        <v>169</v>
      </c>
      <c r="G1504">
        <v>25</v>
      </c>
      <c r="H1504">
        <v>17</v>
      </c>
      <c r="I1504" s="1" t="s">
        <v>1356</v>
      </c>
      <c r="J1504">
        <v>3</v>
      </c>
      <c r="K1504" t="str">
        <f>IF(Tb_data[[#This Row],[previous_workers]]&lt;Tb_data[[#This Row],[workers]],"yes","no")</f>
        <v>yes</v>
      </c>
      <c r="L1504">
        <f>Tb_data[[#This Row],[workers]]-Tb_data[[#This Row],[previous_workers]]</f>
        <v>8</v>
      </c>
      <c r="M1504" s="12">
        <f>Tb_data[[#This Row],[Employees Growth]]/Tb_data[[#This Row],[previous_workers]]</f>
        <v>0.47058823529411764</v>
      </c>
    </row>
    <row r="1505" spans="1:13" x14ac:dyDescent="0.25">
      <c r="A1505" s="1" t="s">
        <v>7393</v>
      </c>
      <c r="B1505" s="1" t="s">
        <v>7394</v>
      </c>
      <c r="C1505" s="1">
        <v>29500000</v>
      </c>
      <c r="D1505" s="1" t="s">
        <v>422</v>
      </c>
      <c r="E1505">
        <v>95.419899999999998</v>
      </c>
      <c r="F1505" s="1" t="s">
        <v>169</v>
      </c>
      <c r="G1505">
        <v>198</v>
      </c>
      <c r="H1505">
        <v>103</v>
      </c>
      <c r="I1505" s="1" t="s">
        <v>1949</v>
      </c>
      <c r="J1505">
        <v>1</v>
      </c>
      <c r="K1505" t="str">
        <f>IF(Tb_data[[#This Row],[previous_workers]]&lt;Tb_data[[#This Row],[workers]],"yes","no")</f>
        <v>yes</v>
      </c>
      <c r="L1505">
        <f>Tb_data[[#This Row],[workers]]-Tb_data[[#This Row],[previous_workers]]</f>
        <v>95</v>
      </c>
      <c r="M1505" s="12">
        <f>Tb_data[[#This Row],[Employees Growth]]/Tb_data[[#This Row],[previous_workers]]</f>
        <v>0.92233009708737868</v>
      </c>
    </row>
    <row r="1506" spans="1:13" x14ac:dyDescent="0.25">
      <c r="A1506" s="1" t="s">
        <v>5985</v>
      </c>
      <c r="B1506" s="1" t="s">
        <v>5986</v>
      </c>
      <c r="C1506" s="1">
        <v>6200000</v>
      </c>
      <c r="D1506" s="1" t="s">
        <v>179</v>
      </c>
      <c r="E1506">
        <v>126.95359999999999</v>
      </c>
      <c r="F1506" s="1" t="s">
        <v>156</v>
      </c>
      <c r="G1506">
        <v>45</v>
      </c>
      <c r="H1506">
        <v>15</v>
      </c>
      <c r="I1506" s="1" t="s">
        <v>117</v>
      </c>
      <c r="J1506">
        <v>1</v>
      </c>
      <c r="K1506" t="str">
        <f>IF(Tb_data[[#This Row],[previous_workers]]&lt;Tb_data[[#This Row],[workers]],"yes","no")</f>
        <v>yes</v>
      </c>
      <c r="L1506">
        <f>Tb_data[[#This Row],[workers]]-Tb_data[[#This Row],[previous_workers]]</f>
        <v>30</v>
      </c>
      <c r="M1506" s="12">
        <f>Tb_data[[#This Row],[Employees Growth]]/Tb_data[[#This Row],[previous_workers]]</f>
        <v>2</v>
      </c>
    </row>
    <row r="1507" spans="1:13" x14ac:dyDescent="0.25">
      <c r="A1507" s="1" t="s">
        <v>7977</v>
      </c>
      <c r="B1507" s="1" t="s">
        <v>7978</v>
      </c>
      <c r="C1507" s="1">
        <v>4300000</v>
      </c>
      <c r="D1507" s="1" t="s">
        <v>1002</v>
      </c>
      <c r="E1507">
        <v>83.259100000000004</v>
      </c>
      <c r="F1507" s="1" t="s">
        <v>25</v>
      </c>
      <c r="G1507">
        <v>35</v>
      </c>
      <c r="H1507">
        <v>15</v>
      </c>
      <c r="I1507" s="1" t="s">
        <v>295</v>
      </c>
      <c r="J1507">
        <v>2</v>
      </c>
      <c r="K1507" t="str">
        <f>IF(Tb_data[[#This Row],[previous_workers]]&lt;Tb_data[[#This Row],[workers]],"yes","no")</f>
        <v>yes</v>
      </c>
      <c r="L1507">
        <f>Tb_data[[#This Row],[workers]]-Tb_data[[#This Row],[previous_workers]]</f>
        <v>20</v>
      </c>
      <c r="M1507" s="12">
        <f>Tb_data[[#This Row],[Employees Growth]]/Tb_data[[#This Row],[previous_workers]]</f>
        <v>1.3333333333333333</v>
      </c>
    </row>
    <row r="1508" spans="1:13" x14ac:dyDescent="0.25">
      <c r="A1508" s="1" t="s">
        <v>9057</v>
      </c>
      <c r="B1508" s="1" t="s">
        <v>9058</v>
      </c>
      <c r="C1508" s="1">
        <v>32700000</v>
      </c>
      <c r="D1508" s="1" t="s">
        <v>49</v>
      </c>
      <c r="E1508">
        <v>65.907200000000003</v>
      </c>
      <c r="F1508" s="1" t="s">
        <v>62</v>
      </c>
      <c r="G1508">
        <v>26</v>
      </c>
      <c r="H1508">
        <v>13</v>
      </c>
      <c r="I1508" s="1" t="s">
        <v>194</v>
      </c>
      <c r="J1508">
        <v>5</v>
      </c>
      <c r="K1508" t="str">
        <f>IF(Tb_data[[#This Row],[previous_workers]]&lt;Tb_data[[#This Row],[workers]],"yes","no")</f>
        <v>yes</v>
      </c>
      <c r="L1508">
        <f>Tb_data[[#This Row],[workers]]-Tb_data[[#This Row],[previous_workers]]</f>
        <v>13</v>
      </c>
      <c r="M1508" s="12">
        <f>Tb_data[[#This Row],[Employees Growth]]/Tb_data[[#This Row],[previous_workers]]</f>
        <v>1</v>
      </c>
    </row>
    <row r="1509" spans="1:13" x14ac:dyDescent="0.25">
      <c r="A1509" s="1" t="s">
        <v>7537</v>
      </c>
      <c r="B1509" s="1" t="s">
        <v>7538</v>
      </c>
      <c r="C1509" s="1">
        <v>47000000</v>
      </c>
      <c r="D1509" s="1" t="s">
        <v>49</v>
      </c>
      <c r="E1509">
        <v>92.070899999999995</v>
      </c>
      <c r="F1509" s="1" t="s">
        <v>25</v>
      </c>
      <c r="G1509">
        <v>137</v>
      </c>
      <c r="H1509">
        <v>91</v>
      </c>
      <c r="I1509" s="1" t="s">
        <v>468</v>
      </c>
      <c r="J1509">
        <v>8</v>
      </c>
      <c r="K1509" t="str">
        <f>IF(Tb_data[[#This Row],[previous_workers]]&lt;Tb_data[[#This Row],[workers]],"yes","no")</f>
        <v>yes</v>
      </c>
      <c r="L1509">
        <f>Tb_data[[#This Row],[workers]]-Tb_data[[#This Row],[previous_workers]]</f>
        <v>46</v>
      </c>
      <c r="M1509" s="12">
        <f>Tb_data[[#This Row],[Employees Growth]]/Tb_data[[#This Row],[previous_workers]]</f>
        <v>0.50549450549450547</v>
      </c>
    </row>
    <row r="1510" spans="1:13" x14ac:dyDescent="0.25">
      <c r="A1510" s="1" t="s">
        <v>7439</v>
      </c>
      <c r="B1510" s="1" t="s">
        <v>7440</v>
      </c>
      <c r="C1510" s="1">
        <v>32200000</v>
      </c>
      <c r="D1510" s="1" t="s">
        <v>49</v>
      </c>
      <c r="E1510">
        <v>94.567099999999996</v>
      </c>
      <c r="F1510" s="1" t="s">
        <v>62</v>
      </c>
      <c r="G1510">
        <v>86</v>
      </c>
      <c r="H1510">
        <v>37</v>
      </c>
      <c r="I1510" s="1" t="s">
        <v>147</v>
      </c>
      <c r="J1510">
        <v>1</v>
      </c>
      <c r="K1510" t="str">
        <f>IF(Tb_data[[#This Row],[previous_workers]]&lt;Tb_data[[#This Row],[workers]],"yes","no")</f>
        <v>yes</v>
      </c>
      <c r="L1510">
        <f>Tb_data[[#This Row],[workers]]-Tb_data[[#This Row],[previous_workers]]</f>
        <v>49</v>
      </c>
      <c r="M1510" s="12">
        <f>Tb_data[[#This Row],[Employees Growth]]/Tb_data[[#This Row],[previous_workers]]</f>
        <v>1.3243243243243243</v>
      </c>
    </row>
    <row r="1511" spans="1:13" x14ac:dyDescent="0.25">
      <c r="A1511" s="1" t="s">
        <v>6677</v>
      </c>
      <c r="B1511" s="1" t="s">
        <v>6678</v>
      </c>
      <c r="C1511" s="1">
        <v>32100000</v>
      </c>
      <c r="D1511" s="1" t="s">
        <v>49</v>
      </c>
      <c r="E1511">
        <v>109.717</v>
      </c>
      <c r="F1511" s="1" t="s">
        <v>82</v>
      </c>
      <c r="G1511">
        <v>37</v>
      </c>
      <c r="H1511">
        <v>26</v>
      </c>
      <c r="I1511" s="1" t="s">
        <v>26</v>
      </c>
      <c r="J1511">
        <v>1</v>
      </c>
      <c r="K1511" t="str">
        <f>IF(Tb_data[[#This Row],[previous_workers]]&lt;Tb_data[[#This Row],[workers]],"yes","no")</f>
        <v>yes</v>
      </c>
      <c r="L1511">
        <f>Tb_data[[#This Row],[workers]]-Tb_data[[#This Row],[previous_workers]]</f>
        <v>11</v>
      </c>
      <c r="M1511" s="12">
        <f>Tb_data[[#This Row],[Employees Growth]]/Tb_data[[#This Row],[previous_workers]]</f>
        <v>0.42307692307692307</v>
      </c>
    </row>
    <row r="1512" spans="1:13" x14ac:dyDescent="0.25">
      <c r="A1512" s="1" t="s">
        <v>6837</v>
      </c>
      <c r="B1512" s="1" t="s">
        <v>6838</v>
      </c>
      <c r="C1512" s="1">
        <v>19500000</v>
      </c>
      <c r="D1512" s="1" t="s">
        <v>49</v>
      </c>
      <c r="E1512">
        <v>105.7479</v>
      </c>
      <c r="F1512" s="1" t="s">
        <v>17</v>
      </c>
      <c r="G1512">
        <v>30</v>
      </c>
      <c r="H1512">
        <v>10</v>
      </c>
      <c r="I1512" s="1" t="s">
        <v>164</v>
      </c>
      <c r="J1512">
        <v>4</v>
      </c>
      <c r="K1512" t="str">
        <f>IF(Tb_data[[#This Row],[previous_workers]]&lt;Tb_data[[#This Row],[workers]],"yes","no")</f>
        <v>yes</v>
      </c>
      <c r="L1512">
        <f>Tb_data[[#This Row],[workers]]-Tb_data[[#This Row],[previous_workers]]</f>
        <v>20</v>
      </c>
      <c r="M1512" s="12">
        <f>Tb_data[[#This Row],[Employees Growth]]/Tb_data[[#This Row],[previous_workers]]</f>
        <v>2</v>
      </c>
    </row>
    <row r="1513" spans="1:13" x14ac:dyDescent="0.25">
      <c r="A1513" s="1" t="s">
        <v>5999</v>
      </c>
      <c r="B1513" s="1" t="s">
        <v>6000</v>
      </c>
      <c r="C1513" s="1">
        <v>393300000</v>
      </c>
      <c r="D1513" s="1" t="s">
        <v>49</v>
      </c>
      <c r="E1513">
        <v>126.5667</v>
      </c>
      <c r="F1513" s="1" t="s">
        <v>172</v>
      </c>
      <c r="G1513">
        <v>1330</v>
      </c>
      <c r="H1513">
        <v>1124</v>
      </c>
      <c r="I1513" s="1" t="s">
        <v>194</v>
      </c>
      <c r="J1513">
        <v>6</v>
      </c>
      <c r="K1513" t="str">
        <f>IF(Tb_data[[#This Row],[previous_workers]]&lt;Tb_data[[#This Row],[workers]],"yes","no")</f>
        <v>yes</v>
      </c>
      <c r="L1513">
        <f>Tb_data[[#This Row],[workers]]-Tb_data[[#This Row],[previous_workers]]</f>
        <v>206</v>
      </c>
      <c r="M1513" s="12">
        <f>Tb_data[[#This Row],[Employees Growth]]/Tb_data[[#This Row],[previous_workers]]</f>
        <v>0.18327402135231316</v>
      </c>
    </row>
    <row r="1514" spans="1:13" x14ac:dyDescent="0.25">
      <c r="A1514" s="1" t="s">
        <v>1602</v>
      </c>
      <c r="B1514" s="1" t="s">
        <v>1603</v>
      </c>
      <c r="C1514" s="1">
        <v>17800000</v>
      </c>
      <c r="D1514" s="1" t="s">
        <v>49</v>
      </c>
      <c r="E1514">
        <v>583.4692</v>
      </c>
      <c r="F1514" s="1" t="s">
        <v>161</v>
      </c>
      <c r="G1514">
        <v>1211</v>
      </c>
      <c r="H1514">
        <v>167</v>
      </c>
      <c r="I1514" s="1" t="s">
        <v>55</v>
      </c>
      <c r="J1514">
        <v>1</v>
      </c>
      <c r="K1514" t="str">
        <f>IF(Tb_data[[#This Row],[previous_workers]]&lt;Tb_data[[#This Row],[workers]],"yes","no")</f>
        <v>yes</v>
      </c>
      <c r="L1514">
        <f>Tb_data[[#This Row],[workers]]-Tb_data[[#This Row],[previous_workers]]</f>
        <v>1044</v>
      </c>
      <c r="M1514" s="12">
        <f>Tb_data[[#This Row],[Employees Growth]]/Tb_data[[#This Row],[previous_workers]]</f>
        <v>6.2514970059880239</v>
      </c>
    </row>
    <row r="1515" spans="1:13" x14ac:dyDescent="0.25">
      <c r="A1515" s="1" t="s">
        <v>3293</v>
      </c>
      <c r="B1515" s="1" t="s">
        <v>3294</v>
      </c>
      <c r="C1515" s="1">
        <v>3200000</v>
      </c>
      <c r="D1515" s="1" t="s">
        <v>123</v>
      </c>
      <c r="E1515">
        <v>260.02190000000002</v>
      </c>
      <c r="F1515" s="1" t="s">
        <v>100</v>
      </c>
      <c r="G1515">
        <v>20</v>
      </c>
      <c r="H1515">
        <v>2</v>
      </c>
      <c r="I1515" s="1" t="s">
        <v>35</v>
      </c>
      <c r="J1515">
        <v>1</v>
      </c>
      <c r="K1515" t="str">
        <f>IF(Tb_data[[#This Row],[previous_workers]]&lt;Tb_data[[#This Row],[workers]],"yes","no")</f>
        <v>yes</v>
      </c>
      <c r="L1515">
        <f>Tb_data[[#This Row],[workers]]-Tb_data[[#This Row],[previous_workers]]</f>
        <v>18</v>
      </c>
      <c r="M1515" s="12">
        <f>Tb_data[[#This Row],[Employees Growth]]/Tb_data[[#This Row],[previous_workers]]</f>
        <v>9</v>
      </c>
    </row>
    <row r="1516" spans="1:13" x14ac:dyDescent="0.25">
      <c r="A1516" s="1" t="s">
        <v>640</v>
      </c>
      <c r="B1516" s="1" t="s">
        <v>641</v>
      </c>
      <c r="C1516" s="1">
        <v>4100000</v>
      </c>
      <c r="D1516" s="1" t="s">
        <v>38</v>
      </c>
      <c r="E1516">
        <v>1599.4677999999999</v>
      </c>
      <c r="F1516" s="1" t="s">
        <v>86</v>
      </c>
      <c r="G1516">
        <v>20</v>
      </c>
      <c r="H1516">
        <v>15</v>
      </c>
      <c r="I1516" s="1" t="s">
        <v>164</v>
      </c>
      <c r="J1516">
        <v>1</v>
      </c>
      <c r="K1516" t="str">
        <f>IF(Tb_data[[#This Row],[previous_workers]]&lt;Tb_data[[#This Row],[workers]],"yes","no")</f>
        <v>yes</v>
      </c>
      <c r="L1516">
        <f>Tb_data[[#This Row],[workers]]-Tb_data[[#This Row],[previous_workers]]</f>
        <v>5</v>
      </c>
      <c r="M1516" s="12">
        <f>Tb_data[[#This Row],[Employees Growth]]/Tb_data[[#This Row],[previous_workers]]</f>
        <v>0.33333333333333331</v>
      </c>
    </row>
    <row r="1517" spans="1:13" x14ac:dyDescent="0.25">
      <c r="A1517" s="1" t="s">
        <v>5280</v>
      </c>
      <c r="B1517" s="1" t="s">
        <v>5281</v>
      </c>
      <c r="C1517" s="1">
        <v>1000000000</v>
      </c>
      <c r="D1517" s="1" t="s">
        <v>69</v>
      </c>
      <c r="E1517">
        <v>150.79169999999999</v>
      </c>
      <c r="F1517" s="1" t="s">
        <v>176</v>
      </c>
      <c r="G1517">
        <v>5800</v>
      </c>
      <c r="H1517">
        <v>4908</v>
      </c>
      <c r="I1517" s="1" t="s">
        <v>1622</v>
      </c>
      <c r="J1517">
        <v>12</v>
      </c>
      <c r="K1517" t="str">
        <f>IF(Tb_data[[#This Row],[previous_workers]]&lt;Tb_data[[#This Row],[workers]],"yes","no")</f>
        <v>yes</v>
      </c>
      <c r="L1517">
        <f>Tb_data[[#This Row],[workers]]-Tb_data[[#This Row],[previous_workers]]</f>
        <v>892</v>
      </c>
      <c r="M1517" s="12">
        <f>Tb_data[[#This Row],[Employees Growth]]/Tb_data[[#This Row],[previous_workers]]</f>
        <v>0.18174409127954361</v>
      </c>
    </row>
    <row r="1518" spans="1:13" x14ac:dyDescent="0.25">
      <c r="A1518" s="1" t="s">
        <v>6517</v>
      </c>
      <c r="B1518" s="1" t="s">
        <v>6518</v>
      </c>
      <c r="C1518" s="1">
        <v>4300000</v>
      </c>
      <c r="D1518" s="1" t="s">
        <v>49</v>
      </c>
      <c r="E1518">
        <v>113.3402</v>
      </c>
      <c r="F1518" s="1" t="s">
        <v>100</v>
      </c>
      <c r="G1518">
        <v>29</v>
      </c>
      <c r="H1518">
        <v>15</v>
      </c>
      <c r="I1518" s="1" t="s">
        <v>55</v>
      </c>
      <c r="J1518">
        <v>2</v>
      </c>
      <c r="K1518" t="str">
        <f>IF(Tb_data[[#This Row],[previous_workers]]&lt;Tb_data[[#This Row],[workers]],"yes","no")</f>
        <v>yes</v>
      </c>
      <c r="L1518">
        <f>Tb_data[[#This Row],[workers]]-Tb_data[[#This Row],[previous_workers]]</f>
        <v>14</v>
      </c>
      <c r="M1518" s="12">
        <f>Tb_data[[#This Row],[Employees Growth]]/Tb_data[[#This Row],[previous_workers]]</f>
        <v>0.93333333333333335</v>
      </c>
    </row>
    <row r="1519" spans="1:13" x14ac:dyDescent="0.25">
      <c r="A1519" s="1" t="s">
        <v>9125</v>
      </c>
      <c r="B1519" s="1" t="s">
        <v>9126</v>
      </c>
      <c r="C1519" s="1">
        <v>19500000</v>
      </c>
      <c r="D1519" s="1" t="s">
        <v>49</v>
      </c>
      <c r="E1519">
        <v>65.060199999999995</v>
      </c>
      <c r="F1519" s="1" t="s">
        <v>21</v>
      </c>
      <c r="G1519">
        <v>143</v>
      </c>
      <c r="H1519">
        <v>82</v>
      </c>
      <c r="I1519" s="1" t="s">
        <v>468</v>
      </c>
      <c r="J1519">
        <v>6</v>
      </c>
      <c r="K1519" t="str">
        <f>IF(Tb_data[[#This Row],[previous_workers]]&lt;Tb_data[[#This Row],[workers]],"yes","no")</f>
        <v>yes</v>
      </c>
      <c r="L1519">
        <f>Tb_data[[#This Row],[workers]]-Tb_data[[#This Row],[previous_workers]]</f>
        <v>61</v>
      </c>
      <c r="M1519" s="12">
        <f>Tb_data[[#This Row],[Employees Growth]]/Tb_data[[#This Row],[previous_workers]]</f>
        <v>0.74390243902439024</v>
      </c>
    </row>
    <row r="1520" spans="1:13" x14ac:dyDescent="0.25">
      <c r="A1520" s="1" t="s">
        <v>7547</v>
      </c>
      <c r="B1520" s="1" t="s">
        <v>7548</v>
      </c>
      <c r="C1520" s="1">
        <v>369400000</v>
      </c>
      <c r="D1520" s="1" t="s">
        <v>427</v>
      </c>
      <c r="E1520">
        <v>91.697000000000003</v>
      </c>
      <c r="F1520" s="1" t="s">
        <v>34</v>
      </c>
      <c r="G1520">
        <v>1799</v>
      </c>
      <c r="H1520">
        <v>854</v>
      </c>
      <c r="I1520" s="1" t="s">
        <v>147</v>
      </c>
      <c r="J1520">
        <v>9</v>
      </c>
      <c r="K1520" t="str">
        <f>IF(Tb_data[[#This Row],[previous_workers]]&lt;Tb_data[[#This Row],[workers]],"yes","no")</f>
        <v>yes</v>
      </c>
      <c r="L1520">
        <f>Tb_data[[#This Row],[workers]]-Tb_data[[#This Row],[previous_workers]]</f>
        <v>945</v>
      </c>
      <c r="M1520" s="12">
        <f>Tb_data[[#This Row],[Employees Growth]]/Tb_data[[#This Row],[previous_workers]]</f>
        <v>1.1065573770491803</v>
      </c>
    </row>
    <row r="1521" spans="1:13" x14ac:dyDescent="0.25">
      <c r="A1521" s="1" t="s">
        <v>10066</v>
      </c>
      <c r="B1521" s="1" t="s">
        <v>10067</v>
      </c>
      <c r="C1521" s="1">
        <v>2200000</v>
      </c>
      <c r="D1521" s="1" t="s">
        <v>627</v>
      </c>
      <c r="E1521">
        <v>52.609200000000001</v>
      </c>
      <c r="F1521" s="1" t="s">
        <v>124</v>
      </c>
      <c r="G1521">
        <v>19</v>
      </c>
      <c r="H1521">
        <v>11</v>
      </c>
      <c r="I1521" s="1" t="s">
        <v>3943</v>
      </c>
      <c r="J1521">
        <v>3</v>
      </c>
      <c r="K1521" t="str">
        <f>IF(Tb_data[[#This Row],[previous_workers]]&lt;Tb_data[[#This Row],[workers]],"yes","no")</f>
        <v>yes</v>
      </c>
      <c r="L1521">
        <f>Tb_data[[#This Row],[workers]]-Tb_data[[#This Row],[previous_workers]]</f>
        <v>8</v>
      </c>
      <c r="M1521" s="12">
        <f>Tb_data[[#This Row],[Employees Growth]]/Tb_data[[#This Row],[previous_workers]]</f>
        <v>0.72727272727272729</v>
      </c>
    </row>
    <row r="1522" spans="1:13" x14ac:dyDescent="0.25">
      <c r="A1522" s="1" t="s">
        <v>4878</v>
      </c>
      <c r="B1522" s="1" t="s">
        <v>4879</v>
      </c>
      <c r="C1522" s="1">
        <v>15500000</v>
      </c>
      <c r="D1522" s="1" t="s">
        <v>69</v>
      </c>
      <c r="E1522">
        <v>166.815</v>
      </c>
      <c r="F1522" s="1" t="s">
        <v>17</v>
      </c>
      <c r="G1522">
        <v>17</v>
      </c>
      <c r="H1522">
        <v>7</v>
      </c>
      <c r="I1522" s="1" t="s">
        <v>46</v>
      </c>
      <c r="J1522">
        <v>4</v>
      </c>
      <c r="K1522" t="str">
        <f>IF(Tb_data[[#This Row],[previous_workers]]&lt;Tb_data[[#This Row],[workers]],"yes","no")</f>
        <v>yes</v>
      </c>
      <c r="L1522">
        <f>Tb_data[[#This Row],[workers]]-Tb_data[[#This Row],[previous_workers]]</f>
        <v>10</v>
      </c>
      <c r="M1522" s="12">
        <f>Tb_data[[#This Row],[Employees Growth]]/Tb_data[[#This Row],[previous_workers]]</f>
        <v>1.4285714285714286</v>
      </c>
    </row>
    <row r="1523" spans="1:13" x14ac:dyDescent="0.25">
      <c r="A1523" s="1" t="s">
        <v>3657</v>
      </c>
      <c r="B1523" s="1" t="s">
        <v>3658</v>
      </c>
      <c r="C1523" s="1">
        <v>8500000</v>
      </c>
      <c r="D1523" s="1" t="s">
        <v>627</v>
      </c>
      <c r="E1523">
        <v>230.7894</v>
      </c>
      <c r="F1523" s="1" t="s">
        <v>34</v>
      </c>
      <c r="G1523">
        <v>81</v>
      </c>
      <c r="H1523">
        <v>28</v>
      </c>
      <c r="I1523" s="1" t="s">
        <v>35</v>
      </c>
      <c r="J1523">
        <v>4</v>
      </c>
      <c r="K1523" t="str">
        <f>IF(Tb_data[[#This Row],[previous_workers]]&lt;Tb_data[[#This Row],[workers]],"yes","no")</f>
        <v>yes</v>
      </c>
      <c r="L1523">
        <f>Tb_data[[#This Row],[workers]]-Tb_data[[#This Row],[previous_workers]]</f>
        <v>53</v>
      </c>
      <c r="M1523" s="12">
        <f>Tb_data[[#This Row],[Employees Growth]]/Tb_data[[#This Row],[previous_workers]]</f>
        <v>1.8928571428571428</v>
      </c>
    </row>
    <row r="1524" spans="1:13" x14ac:dyDescent="0.25">
      <c r="A1524" s="1" t="s">
        <v>332</v>
      </c>
      <c r="B1524" s="1" t="s">
        <v>333</v>
      </c>
      <c r="C1524" s="1">
        <v>3200000</v>
      </c>
      <c r="D1524" s="1" t="s">
        <v>33</v>
      </c>
      <c r="E1524">
        <v>2729.3507</v>
      </c>
      <c r="F1524" s="1" t="s">
        <v>176</v>
      </c>
      <c r="G1524">
        <v>20</v>
      </c>
      <c r="H1524">
        <v>4</v>
      </c>
      <c r="I1524" s="1" t="s">
        <v>26</v>
      </c>
      <c r="J1524">
        <v>1</v>
      </c>
      <c r="K1524" t="str">
        <f>IF(Tb_data[[#This Row],[previous_workers]]&lt;Tb_data[[#This Row],[workers]],"yes","no")</f>
        <v>yes</v>
      </c>
      <c r="L1524">
        <f>Tb_data[[#This Row],[workers]]-Tb_data[[#This Row],[previous_workers]]</f>
        <v>16</v>
      </c>
      <c r="M1524" s="12">
        <f>Tb_data[[#This Row],[Employees Growth]]/Tb_data[[#This Row],[previous_workers]]</f>
        <v>4</v>
      </c>
    </row>
    <row r="1525" spans="1:13" x14ac:dyDescent="0.25">
      <c r="A1525" s="1" t="s">
        <v>9796</v>
      </c>
      <c r="B1525" s="1" t="s">
        <v>9797</v>
      </c>
      <c r="C1525" s="1">
        <v>30400000</v>
      </c>
      <c r="D1525" s="1" t="s">
        <v>52</v>
      </c>
      <c r="E1525">
        <v>56.8324</v>
      </c>
      <c r="F1525" s="1" t="s">
        <v>86</v>
      </c>
      <c r="G1525">
        <v>178</v>
      </c>
      <c r="H1525">
        <v>85</v>
      </c>
      <c r="I1525" s="1" t="s">
        <v>372</v>
      </c>
      <c r="J1525">
        <v>10</v>
      </c>
      <c r="K1525" t="str">
        <f>IF(Tb_data[[#This Row],[previous_workers]]&lt;Tb_data[[#This Row],[workers]],"yes","no")</f>
        <v>yes</v>
      </c>
      <c r="L1525">
        <f>Tb_data[[#This Row],[workers]]-Tb_data[[#This Row],[previous_workers]]</f>
        <v>93</v>
      </c>
      <c r="M1525" s="12">
        <f>Tb_data[[#This Row],[Employees Growth]]/Tb_data[[#This Row],[previous_workers]]</f>
        <v>1.0941176470588236</v>
      </c>
    </row>
    <row r="1526" spans="1:13" x14ac:dyDescent="0.25">
      <c r="A1526" s="1" t="s">
        <v>970</v>
      </c>
      <c r="B1526" s="1" t="s">
        <v>971</v>
      </c>
      <c r="C1526" s="1">
        <v>10100000</v>
      </c>
      <c r="D1526" s="1" t="s">
        <v>254</v>
      </c>
      <c r="E1526">
        <v>1041.7625</v>
      </c>
      <c r="F1526" s="1" t="s">
        <v>17</v>
      </c>
      <c r="G1526">
        <v>80</v>
      </c>
      <c r="H1526">
        <v>3</v>
      </c>
      <c r="I1526" s="1" t="s">
        <v>55</v>
      </c>
      <c r="J1526">
        <v>2</v>
      </c>
      <c r="K1526" t="str">
        <f>IF(Tb_data[[#This Row],[previous_workers]]&lt;Tb_data[[#This Row],[workers]],"yes","no")</f>
        <v>yes</v>
      </c>
      <c r="L1526">
        <f>Tb_data[[#This Row],[workers]]-Tb_data[[#This Row],[previous_workers]]</f>
        <v>77</v>
      </c>
      <c r="M1526" s="12">
        <f>Tb_data[[#This Row],[Employees Growth]]/Tb_data[[#This Row],[previous_workers]]</f>
        <v>25.666666666666668</v>
      </c>
    </row>
    <row r="1527" spans="1:13" x14ac:dyDescent="0.25">
      <c r="A1527" s="1" t="s">
        <v>5844</v>
      </c>
      <c r="B1527" s="1" t="s">
        <v>5845</v>
      </c>
      <c r="C1527" s="1">
        <v>3600000</v>
      </c>
      <c r="D1527" s="1" t="s">
        <v>20</v>
      </c>
      <c r="E1527">
        <v>130.17410000000001</v>
      </c>
      <c r="F1527" s="1" t="s">
        <v>62</v>
      </c>
      <c r="G1527">
        <v>8</v>
      </c>
      <c r="H1527">
        <v>5</v>
      </c>
      <c r="I1527" s="1" t="s">
        <v>1949</v>
      </c>
      <c r="J1527">
        <v>2</v>
      </c>
      <c r="K1527" t="str">
        <f>IF(Tb_data[[#This Row],[previous_workers]]&lt;Tb_data[[#This Row],[workers]],"yes","no")</f>
        <v>yes</v>
      </c>
      <c r="L1527">
        <f>Tb_data[[#This Row],[workers]]-Tb_data[[#This Row],[previous_workers]]</f>
        <v>3</v>
      </c>
      <c r="M1527" s="12">
        <f>Tb_data[[#This Row],[Employees Growth]]/Tb_data[[#This Row],[previous_workers]]</f>
        <v>0.6</v>
      </c>
    </row>
    <row r="1528" spans="1:13" x14ac:dyDescent="0.25">
      <c r="A1528" s="1" t="s">
        <v>6841</v>
      </c>
      <c r="B1528" s="1" t="s">
        <v>6842</v>
      </c>
      <c r="C1528" s="1">
        <v>10800000</v>
      </c>
      <c r="D1528" s="1" t="s">
        <v>895</v>
      </c>
      <c r="E1528">
        <v>105.69750000000001</v>
      </c>
      <c r="F1528" s="1" t="s">
        <v>12</v>
      </c>
      <c r="G1528">
        <v>83</v>
      </c>
      <c r="H1528">
        <v>50</v>
      </c>
      <c r="I1528" s="1" t="s">
        <v>229</v>
      </c>
      <c r="J1528">
        <v>8</v>
      </c>
      <c r="K1528" t="str">
        <f>IF(Tb_data[[#This Row],[previous_workers]]&lt;Tb_data[[#This Row],[workers]],"yes","no")</f>
        <v>yes</v>
      </c>
      <c r="L1528">
        <f>Tb_data[[#This Row],[workers]]-Tb_data[[#This Row],[previous_workers]]</f>
        <v>33</v>
      </c>
      <c r="M1528" s="12">
        <f>Tb_data[[#This Row],[Employees Growth]]/Tb_data[[#This Row],[previous_workers]]</f>
        <v>0.66</v>
      </c>
    </row>
    <row r="1529" spans="1:13" x14ac:dyDescent="0.25">
      <c r="A1529" s="1" t="s">
        <v>3716</v>
      </c>
      <c r="B1529" s="1" t="s">
        <v>3717</v>
      </c>
      <c r="C1529" s="1">
        <v>2500000</v>
      </c>
      <c r="D1529" s="1" t="s">
        <v>52</v>
      </c>
      <c r="E1529">
        <v>227.3115</v>
      </c>
      <c r="F1529" s="1" t="s">
        <v>176</v>
      </c>
      <c r="G1529">
        <v>8</v>
      </c>
      <c r="H1529">
        <v>2</v>
      </c>
      <c r="I1529" s="1" t="s">
        <v>117</v>
      </c>
      <c r="J1529">
        <v>1</v>
      </c>
      <c r="K1529" t="str">
        <f>IF(Tb_data[[#This Row],[previous_workers]]&lt;Tb_data[[#This Row],[workers]],"yes","no")</f>
        <v>yes</v>
      </c>
      <c r="L1529">
        <f>Tb_data[[#This Row],[workers]]-Tb_data[[#This Row],[previous_workers]]</f>
        <v>6</v>
      </c>
      <c r="M1529" s="12">
        <f>Tb_data[[#This Row],[Employees Growth]]/Tb_data[[#This Row],[previous_workers]]</f>
        <v>3</v>
      </c>
    </row>
    <row r="1530" spans="1:13" x14ac:dyDescent="0.25">
      <c r="A1530" s="1" t="s">
        <v>1348</v>
      </c>
      <c r="B1530" s="1" t="s">
        <v>1349</v>
      </c>
      <c r="C1530" s="1">
        <v>7200000</v>
      </c>
      <c r="D1530" s="1" t="s">
        <v>123</v>
      </c>
      <c r="E1530">
        <v>704.68190000000004</v>
      </c>
      <c r="F1530" s="1" t="s">
        <v>135</v>
      </c>
      <c r="G1530">
        <v>58</v>
      </c>
      <c r="H1530">
        <v>16</v>
      </c>
      <c r="I1530" s="1" t="s">
        <v>164</v>
      </c>
      <c r="J1530">
        <v>3</v>
      </c>
      <c r="K1530" t="str">
        <f>IF(Tb_data[[#This Row],[previous_workers]]&lt;Tb_data[[#This Row],[workers]],"yes","no")</f>
        <v>yes</v>
      </c>
      <c r="L1530">
        <f>Tb_data[[#This Row],[workers]]-Tb_data[[#This Row],[previous_workers]]</f>
        <v>42</v>
      </c>
      <c r="M1530" s="12">
        <f>Tb_data[[#This Row],[Employees Growth]]/Tb_data[[#This Row],[previous_workers]]</f>
        <v>2.625</v>
      </c>
    </row>
    <row r="1531" spans="1:13" x14ac:dyDescent="0.25">
      <c r="A1531" s="1" t="s">
        <v>3221</v>
      </c>
      <c r="B1531" s="1" t="s">
        <v>3222</v>
      </c>
      <c r="C1531" s="1">
        <v>2400000</v>
      </c>
      <c r="D1531" s="1" t="s">
        <v>33</v>
      </c>
      <c r="E1531">
        <v>267.43020000000001</v>
      </c>
      <c r="F1531" s="1" t="s">
        <v>86</v>
      </c>
      <c r="G1531">
        <v>33</v>
      </c>
      <c r="H1531">
        <v>20</v>
      </c>
      <c r="I1531" s="1" t="s">
        <v>55</v>
      </c>
      <c r="J1531">
        <v>2</v>
      </c>
      <c r="K1531" t="str">
        <f>IF(Tb_data[[#This Row],[previous_workers]]&lt;Tb_data[[#This Row],[workers]],"yes","no")</f>
        <v>yes</v>
      </c>
      <c r="L1531">
        <f>Tb_data[[#This Row],[workers]]-Tb_data[[#This Row],[previous_workers]]</f>
        <v>13</v>
      </c>
      <c r="M1531" s="12">
        <f>Tb_data[[#This Row],[Employees Growth]]/Tb_data[[#This Row],[previous_workers]]</f>
        <v>0.65</v>
      </c>
    </row>
    <row r="1532" spans="1:13" x14ac:dyDescent="0.25">
      <c r="A1532" s="1" t="s">
        <v>5981</v>
      </c>
      <c r="B1532" s="1" t="s">
        <v>5982</v>
      </c>
      <c r="C1532" s="1">
        <v>54800000</v>
      </c>
      <c r="D1532" s="1" t="s">
        <v>11</v>
      </c>
      <c r="E1532">
        <v>127.0407</v>
      </c>
      <c r="F1532" s="1" t="s">
        <v>94</v>
      </c>
      <c r="G1532">
        <v>240</v>
      </c>
      <c r="H1532">
        <v>60</v>
      </c>
      <c r="I1532" s="1" t="s">
        <v>147</v>
      </c>
      <c r="J1532">
        <v>2</v>
      </c>
      <c r="K1532" t="str">
        <f>IF(Tb_data[[#This Row],[previous_workers]]&lt;Tb_data[[#This Row],[workers]],"yes","no")</f>
        <v>yes</v>
      </c>
      <c r="L1532">
        <f>Tb_data[[#This Row],[workers]]-Tb_data[[#This Row],[previous_workers]]</f>
        <v>180</v>
      </c>
      <c r="M1532" s="12">
        <f>Tb_data[[#This Row],[Employees Growth]]/Tb_data[[#This Row],[previous_workers]]</f>
        <v>3</v>
      </c>
    </row>
    <row r="1533" spans="1:13" x14ac:dyDescent="0.25">
      <c r="A1533" s="1" t="s">
        <v>396</v>
      </c>
      <c r="B1533" s="1" t="s">
        <v>397</v>
      </c>
      <c r="C1533" s="1">
        <v>20600000</v>
      </c>
      <c r="D1533" s="1" t="s">
        <v>61</v>
      </c>
      <c r="E1533">
        <v>2412.1028999999999</v>
      </c>
      <c r="F1533" s="1" t="s">
        <v>161</v>
      </c>
      <c r="G1533">
        <v>545</v>
      </c>
      <c r="H1533">
        <v>166</v>
      </c>
      <c r="I1533" s="1" t="s">
        <v>35</v>
      </c>
      <c r="J1533">
        <v>8</v>
      </c>
      <c r="K1533" t="str">
        <f>IF(Tb_data[[#This Row],[previous_workers]]&lt;Tb_data[[#This Row],[workers]],"yes","no")</f>
        <v>yes</v>
      </c>
      <c r="L1533">
        <f>Tb_data[[#This Row],[workers]]-Tb_data[[#This Row],[previous_workers]]</f>
        <v>379</v>
      </c>
      <c r="M1533" s="12">
        <f>Tb_data[[#This Row],[Employees Growth]]/Tb_data[[#This Row],[previous_workers]]</f>
        <v>2.2831325301204819</v>
      </c>
    </row>
    <row r="1534" spans="1:13" x14ac:dyDescent="0.25">
      <c r="A1534" s="1" t="s">
        <v>5200</v>
      </c>
      <c r="B1534" s="1" t="s">
        <v>5201</v>
      </c>
      <c r="C1534" s="1">
        <v>15100000</v>
      </c>
      <c r="D1534" s="1" t="s">
        <v>49</v>
      </c>
      <c r="E1534">
        <v>153.41650000000001</v>
      </c>
      <c r="F1534" s="1" t="s">
        <v>176</v>
      </c>
      <c r="G1534">
        <v>206</v>
      </c>
      <c r="H1534">
        <v>131</v>
      </c>
      <c r="I1534" s="1" t="s">
        <v>74</v>
      </c>
      <c r="J1534">
        <v>2</v>
      </c>
      <c r="K1534" t="str">
        <f>IF(Tb_data[[#This Row],[previous_workers]]&lt;Tb_data[[#This Row],[workers]],"yes","no")</f>
        <v>yes</v>
      </c>
      <c r="L1534">
        <f>Tb_data[[#This Row],[workers]]-Tb_data[[#This Row],[previous_workers]]</f>
        <v>75</v>
      </c>
      <c r="M1534" s="12">
        <f>Tb_data[[#This Row],[Employees Growth]]/Tb_data[[#This Row],[previous_workers]]</f>
        <v>0.5725190839694656</v>
      </c>
    </row>
    <row r="1535" spans="1:13" x14ac:dyDescent="0.25">
      <c r="A1535" s="1" t="s">
        <v>3167</v>
      </c>
      <c r="B1535" s="1" t="s">
        <v>3168</v>
      </c>
      <c r="C1535" s="1">
        <v>3900000</v>
      </c>
      <c r="D1535" s="1" t="s">
        <v>33</v>
      </c>
      <c r="E1535">
        <v>271.7149</v>
      </c>
      <c r="F1535" s="1" t="s">
        <v>142</v>
      </c>
      <c r="G1535">
        <v>50</v>
      </c>
      <c r="H1535">
        <v>15</v>
      </c>
      <c r="I1535" s="1" t="s">
        <v>26</v>
      </c>
      <c r="J1535">
        <v>1</v>
      </c>
      <c r="K1535" t="str">
        <f>IF(Tb_data[[#This Row],[previous_workers]]&lt;Tb_data[[#This Row],[workers]],"yes","no")</f>
        <v>yes</v>
      </c>
      <c r="L1535">
        <f>Tb_data[[#This Row],[workers]]-Tb_data[[#This Row],[previous_workers]]</f>
        <v>35</v>
      </c>
      <c r="M1535" s="12">
        <f>Tb_data[[#This Row],[Employees Growth]]/Tb_data[[#This Row],[previous_workers]]</f>
        <v>2.3333333333333335</v>
      </c>
    </row>
    <row r="1536" spans="1:13" x14ac:dyDescent="0.25">
      <c r="A1536" s="1" t="s">
        <v>3441</v>
      </c>
      <c r="B1536" s="1" t="s">
        <v>3442</v>
      </c>
      <c r="C1536" s="1">
        <v>35900000</v>
      </c>
      <c r="D1536" s="1" t="s">
        <v>20</v>
      </c>
      <c r="E1536">
        <v>247.79300000000001</v>
      </c>
      <c r="F1536" s="1" t="s">
        <v>86</v>
      </c>
      <c r="G1536">
        <v>213</v>
      </c>
      <c r="H1536">
        <v>102</v>
      </c>
      <c r="I1536" s="1" t="s">
        <v>147</v>
      </c>
      <c r="J1536">
        <v>7</v>
      </c>
      <c r="K1536" t="str">
        <f>IF(Tb_data[[#This Row],[previous_workers]]&lt;Tb_data[[#This Row],[workers]],"yes","no")</f>
        <v>yes</v>
      </c>
      <c r="L1536">
        <f>Tb_data[[#This Row],[workers]]-Tb_data[[#This Row],[previous_workers]]</f>
        <v>111</v>
      </c>
      <c r="M1536" s="12">
        <f>Tb_data[[#This Row],[Employees Growth]]/Tb_data[[#This Row],[previous_workers]]</f>
        <v>1.088235294117647</v>
      </c>
    </row>
    <row r="1537" spans="1:13" x14ac:dyDescent="0.25">
      <c r="A1537" s="1" t="s">
        <v>4425</v>
      </c>
      <c r="B1537" s="1" t="s">
        <v>4426</v>
      </c>
      <c r="C1537" s="1">
        <v>42100000</v>
      </c>
      <c r="D1537" s="1" t="s">
        <v>254</v>
      </c>
      <c r="E1537">
        <v>185.70400000000001</v>
      </c>
      <c r="F1537" s="1" t="s">
        <v>34</v>
      </c>
      <c r="G1537">
        <v>8</v>
      </c>
      <c r="H1537">
        <v>3</v>
      </c>
      <c r="I1537" s="1" t="s">
        <v>35</v>
      </c>
      <c r="J1537">
        <v>1</v>
      </c>
      <c r="K1537" t="str">
        <f>IF(Tb_data[[#This Row],[previous_workers]]&lt;Tb_data[[#This Row],[workers]],"yes","no")</f>
        <v>yes</v>
      </c>
      <c r="L1537">
        <f>Tb_data[[#This Row],[workers]]-Tb_data[[#This Row],[previous_workers]]</f>
        <v>5</v>
      </c>
      <c r="M1537" s="12">
        <f>Tb_data[[#This Row],[Employees Growth]]/Tb_data[[#This Row],[previous_workers]]</f>
        <v>1.6666666666666667</v>
      </c>
    </row>
    <row r="1538" spans="1:13" x14ac:dyDescent="0.25">
      <c r="A1538" s="1" t="s">
        <v>4669</v>
      </c>
      <c r="B1538" s="1" t="s">
        <v>4670</v>
      </c>
      <c r="C1538" s="1">
        <v>28800000</v>
      </c>
      <c r="D1538" s="1" t="s">
        <v>11</v>
      </c>
      <c r="E1538">
        <v>175.589</v>
      </c>
      <c r="F1538" s="1" t="s">
        <v>42</v>
      </c>
      <c r="G1538">
        <v>130</v>
      </c>
      <c r="H1538">
        <v>60</v>
      </c>
      <c r="I1538" s="1" t="s">
        <v>1051</v>
      </c>
      <c r="J1538">
        <v>6</v>
      </c>
      <c r="K1538" t="str">
        <f>IF(Tb_data[[#This Row],[previous_workers]]&lt;Tb_data[[#This Row],[workers]],"yes","no")</f>
        <v>yes</v>
      </c>
      <c r="L1538">
        <f>Tb_data[[#This Row],[workers]]-Tb_data[[#This Row],[previous_workers]]</f>
        <v>70</v>
      </c>
      <c r="M1538" s="12">
        <f>Tb_data[[#This Row],[Employees Growth]]/Tb_data[[#This Row],[previous_workers]]</f>
        <v>1.1666666666666667</v>
      </c>
    </row>
    <row r="1539" spans="1:13" x14ac:dyDescent="0.25">
      <c r="A1539" s="1" t="s">
        <v>4182</v>
      </c>
      <c r="B1539" s="1" t="s">
        <v>4183</v>
      </c>
      <c r="C1539" s="1">
        <v>62200000</v>
      </c>
      <c r="D1539" s="1" t="s">
        <v>33</v>
      </c>
      <c r="E1539">
        <v>196.29580000000001</v>
      </c>
      <c r="F1539" s="1" t="s">
        <v>172</v>
      </c>
      <c r="G1539">
        <v>18</v>
      </c>
      <c r="H1539">
        <v>15</v>
      </c>
      <c r="I1539" s="1" t="s">
        <v>4080</v>
      </c>
      <c r="J1539">
        <v>1</v>
      </c>
      <c r="K1539" t="str">
        <f>IF(Tb_data[[#This Row],[previous_workers]]&lt;Tb_data[[#This Row],[workers]],"yes","no")</f>
        <v>yes</v>
      </c>
      <c r="L1539">
        <f>Tb_data[[#This Row],[workers]]-Tb_data[[#This Row],[previous_workers]]</f>
        <v>3</v>
      </c>
      <c r="M1539" s="12">
        <f>Tb_data[[#This Row],[Employees Growth]]/Tb_data[[#This Row],[previous_workers]]</f>
        <v>0.2</v>
      </c>
    </row>
    <row r="1540" spans="1:13" x14ac:dyDescent="0.25">
      <c r="A1540" s="1" t="s">
        <v>1874</v>
      </c>
      <c r="B1540" s="1" t="s">
        <v>1875</v>
      </c>
      <c r="C1540" s="1">
        <v>10200000</v>
      </c>
      <c r="D1540" s="1" t="s">
        <v>422</v>
      </c>
      <c r="E1540">
        <v>480.65390000000002</v>
      </c>
      <c r="F1540" s="1" t="s">
        <v>514</v>
      </c>
      <c r="G1540">
        <v>44</v>
      </c>
      <c r="H1540">
        <v>17</v>
      </c>
      <c r="I1540" s="1" t="s">
        <v>117</v>
      </c>
      <c r="J1540">
        <v>3</v>
      </c>
      <c r="K1540" t="str">
        <f>IF(Tb_data[[#This Row],[previous_workers]]&lt;Tb_data[[#This Row],[workers]],"yes","no")</f>
        <v>yes</v>
      </c>
      <c r="L1540">
        <f>Tb_data[[#This Row],[workers]]-Tb_data[[#This Row],[previous_workers]]</f>
        <v>27</v>
      </c>
      <c r="M1540" s="12">
        <f>Tb_data[[#This Row],[Employees Growth]]/Tb_data[[#This Row],[previous_workers]]</f>
        <v>1.588235294117647</v>
      </c>
    </row>
    <row r="1541" spans="1:13" x14ac:dyDescent="0.25">
      <c r="A1541" s="1" t="s">
        <v>9261</v>
      </c>
      <c r="B1541" s="1" t="s">
        <v>9262</v>
      </c>
      <c r="C1541" s="1">
        <v>10300000</v>
      </c>
      <c r="D1541" s="1" t="s">
        <v>254</v>
      </c>
      <c r="E1541">
        <v>63.258200000000002</v>
      </c>
      <c r="F1541" s="1" t="s">
        <v>156</v>
      </c>
      <c r="G1541">
        <v>80</v>
      </c>
      <c r="H1541">
        <v>35</v>
      </c>
      <c r="I1541" s="1" t="s">
        <v>147</v>
      </c>
      <c r="J1541">
        <v>5</v>
      </c>
      <c r="K1541" t="str">
        <f>IF(Tb_data[[#This Row],[previous_workers]]&lt;Tb_data[[#This Row],[workers]],"yes","no")</f>
        <v>yes</v>
      </c>
      <c r="L1541">
        <f>Tb_data[[#This Row],[workers]]-Tb_data[[#This Row],[previous_workers]]</f>
        <v>45</v>
      </c>
      <c r="M1541" s="12">
        <f>Tb_data[[#This Row],[Employees Growth]]/Tb_data[[#This Row],[previous_workers]]</f>
        <v>1.2857142857142858</v>
      </c>
    </row>
    <row r="1542" spans="1:13" x14ac:dyDescent="0.25">
      <c r="A1542" s="1" t="s">
        <v>8751</v>
      </c>
      <c r="B1542" s="1" t="s">
        <v>8752</v>
      </c>
      <c r="C1542" s="1">
        <v>2700000</v>
      </c>
      <c r="D1542" s="1" t="s">
        <v>49</v>
      </c>
      <c r="E1542">
        <v>70.371899999999997</v>
      </c>
      <c r="F1542" s="1" t="s">
        <v>156</v>
      </c>
      <c r="G1542">
        <v>19</v>
      </c>
      <c r="H1542">
        <v>13</v>
      </c>
      <c r="I1542" s="1" t="s">
        <v>2628</v>
      </c>
      <c r="J1542">
        <v>1</v>
      </c>
      <c r="K1542" t="str">
        <f>IF(Tb_data[[#This Row],[previous_workers]]&lt;Tb_data[[#This Row],[workers]],"yes","no")</f>
        <v>yes</v>
      </c>
      <c r="L1542">
        <f>Tb_data[[#This Row],[workers]]-Tb_data[[#This Row],[previous_workers]]</f>
        <v>6</v>
      </c>
      <c r="M1542" s="12">
        <f>Tb_data[[#This Row],[Employees Growth]]/Tb_data[[#This Row],[previous_workers]]</f>
        <v>0.46153846153846156</v>
      </c>
    </row>
    <row r="1543" spans="1:13" x14ac:dyDescent="0.25">
      <c r="A1543" s="1" t="s">
        <v>1966</v>
      </c>
      <c r="B1543" s="1" t="s">
        <v>1967</v>
      </c>
      <c r="C1543" s="1">
        <v>2600000</v>
      </c>
      <c r="D1543" s="1" t="s">
        <v>115</v>
      </c>
      <c r="E1543">
        <v>457.9597</v>
      </c>
      <c r="F1543" s="1" t="s">
        <v>176</v>
      </c>
      <c r="G1543">
        <v>21</v>
      </c>
      <c r="H1543">
        <v>1</v>
      </c>
      <c r="I1543" s="1" t="s">
        <v>55</v>
      </c>
      <c r="J1543">
        <v>2</v>
      </c>
      <c r="K1543" t="str">
        <f>IF(Tb_data[[#This Row],[previous_workers]]&lt;Tb_data[[#This Row],[workers]],"yes","no")</f>
        <v>yes</v>
      </c>
      <c r="L1543">
        <f>Tb_data[[#This Row],[workers]]-Tb_data[[#This Row],[previous_workers]]</f>
        <v>20</v>
      </c>
      <c r="M1543" s="12">
        <f>Tb_data[[#This Row],[Employees Growth]]/Tb_data[[#This Row],[previous_workers]]</f>
        <v>20</v>
      </c>
    </row>
    <row r="1544" spans="1:13" x14ac:dyDescent="0.25">
      <c r="A1544" s="1" t="s">
        <v>5958</v>
      </c>
      <c r="B1544" s="1" t="s">
        <v>5959</v>
      </c>
      <c r="C1544" s="1">
        <v>16100000</v>
      </c>
      <c r="D1544" s="1" t="s">
        <v>41</v>
      </c>
      <c r="E1544">
        <v>127.5231</v>
      </c>
      <c r="F1544" s="1" t="s">
        <v>97</v>
      </c>
      <c r="G1544">
        <v>60</v>
      </c>
      <c r="H1544">
        <v>49</v>
      </c>
      <c r="I1544" s="1" t="s">
        <v>836</v>
      </c>
      <c r="J1544">
        <v>6</v>
      </c>
      <c r="K1544" t="str">
        <f>IF(Tb_data[[#This Row],[previous_workers]]&lt;Tb_data[[#This Row],[workers]],"yes","no")</f>
        <v>yes</v>
      </c>
      <c r="L1544">
        <f>Tb_data[[#This Row],[workers]]-Tb_data[[#This Row],[previous_workers]]</f>
        <v>11</v>
      </c>
      <c r="M1544" s="12">
        <f>Tb_data[[#This Row],[Employees Growth]]/Tb_data[[#This Row],[previous_workers]]</f>
        <v>0.22448979591836735</v>
      </c>
    </row>
    <row r="1545" spans="1:13" x14ac:dyDescent="0.25">
      <c r="A1545" s="1" t="s">
        <v>1543</v>
      </c>
      <c r="B1545" s="1" t="s">
        <v>1544</v>
      </c>
      <c r="C1545" s="1">
        <v>5500000</v>
      </c>
      <c r="D1545" s="1" t="s">
        <v>49</v>
      </c>
      <c r="E1545">
        <v>607.32190000000003</v>
      </c>
      <c r="F1545" s="1" t="s">
        <v>124</v>
      </c>
      <c r="G1545">
        <v>86</v>
      </c>
      <c r="H1545">
        <v>26</v>
      </c>
      <c r="I1545" s="1" t="s">
        <v>46</v>
      </c>
      <c r="J1545">
        <v>1</v>
      </c>
      <c r="K1545" t="str">
        <f>IF(Tb_data[[#This Row],[previous_workers]]&lt;Tb_data[[#This Row],[workers]],"yes","no")</f>
        <v>yes</v>
      </c>
      <c r="L1545">
        <f>Tb_data[[#This Row],[workers]]-Tb_data[[#This Row],[previous_workers]]</f>
        <v>60</v>
      </c>
      <c r="M1545" s="12">
        <f>Tb_data[[#This Row],[Employees Growth]]/Tb_data[[#This Row],[previous_workers]]</f>
        <v>2.3076923076923075</v>
      </c>
    </row>
    <row r="1546" spans="1:13" x14ac:dyDescent="0.25">
      <c r="A1546" s="1" t="s">
        <v>2506</v>
      </c>
      <c r="B1546" s="1" t="s">
        <v>2507</v>
      </c>
      <c r="C1546" s="1">
        <v>243800000</v>
      </c>
      <c r="D1546" s="1" t="s">
        <v>20</v>
      </c>
      <c r="E1546">
        <v>345.82119999999998</v>
      </c>
      <c r="F1546" s="1" t="s">
        <v>176</v>
      </c>
      <c r="G1546">
        <v>30</v>
      </c>
      <c r="H1546">
        <v>10</v>
      </c>
      <c r="I1546" s="1" t="s">
        <v>35</v>
      </c>
      <c r="J1546">
        <v>9</v>
      </c>
      <c r="K1546" t="str">
        <f>IF(Tb_data[[#This Row],[previous_workers]]&lt;Tb_data[[#This Row],[workers]],"yes","no")</f>
        <v>yes</v>
      </c>
      <c r="L1546">
        <f>Tb_data[[#This Row],[workers]]-Tb_data[[#This Row],[previous_workers]]</f>
        <v>20</v>
      </c>
      <c r="M1546" s="12">
        <f>Tb_data[[#This Row],[Employees Growth]]/Tb_data[[#This Row],[previous_workers]]</f>
        <v>2</v>
      </c>
    </row>
    <row r="1547" spans="1:13" x14ac:dyDescent="0.25">
      <c r="A1547" s="1" t="s">
        <v>4613</v>
      </c>
      <c r="B1547" s="1" t="s">
        <v>4614</v>
      </c>
      <c r="C1547" s="1">
        <v>4500000</v>
      </c>
      <c r="D1547" s="1" t="s">
        <v>69</v>
      </c>
      <c r="E1547">
        <v>177.833</v>
      </c>
      <c r="F1547" s="1" t="s">
        <v>142</v>
      </c>
      <c r="G1547">
        <v>30</v>
      </c>
      <c r="H1547">
        <v>22</v>
      </c>
      <c r="I1547" s="1" t="s">
        <v>117</v>
      </c>
      <c r="J1547">
        <v>3</v>
      </c>
      <c r="K1547" t="str">
        <f>IF(Tb_data[[#This Row],[previous_workers]]&lt;Tb_data[[#This Row],[workers]],"yes","no")</f>
        <v>yes</v>
      </c>
      <c r="L1547">
        <f>Tb_data[[#This Row],[workers]]-Tb_data[[#This Row],[previous_workers]]</f>
        <v>8</v>
      </c>
      <c r="M1547" s="12">
        <f>Tb_data[[#This Row],[Employees Growth]]/Tb_data[[#This Row],[previous_workers]]</f>
        <v>0.36363636363636365</v>
      </c>
    </row>
    <row r="1548" spans="1:13" x14ac:dyDescent="0.25">
      <c r="A1548" s="1" t="s">
        <v>8439</v>
      </c>
      <c r="B1548" s="1" t="s">
        <v>8440</v>
      </c>
      <c r="C1548" s="1">
        <v>116300000</v>
      </c>
      <c r="D1548" s="1" t="s">
        <v>155</v>
      </c>
      <c r="E1548">
        <v>75.064999999999998</v>
      </c>
      <c r="F1548" s="1" t="s">
        <v>30</v>
      </c>
      <c r="G1548">
        <v>1500</v>
      </c>
      <c r="H1548">
        <v>800</v>
      </c>
      <c r="I1548" s="1" t="s">
        <v>147</v>
      </c>
      <c r="J1548">
        <v>1</v>
      </c>
      <c r="K1548" t="str">
        <f>IF(Tb_data[[#This Row],[previous_workers]]&lt;Tb_data[[#This Row],[workers]],"yes","no")</f>
        <v>yes</v>
      </c>
      <c r="L1548">
        <f>Tb_data[[#This Row],[workers]]-Tb_data[[#This Row],[previous_workers]]</f>
        <v>700</v>
      </c>
      <c r="M1548" s="12">
        <f>Tb_data[[#This Row],[Employees Growth]]/Tb_data[[#This Row],[previous_workers]]</f>
        <v>0.875</v>
      </c>
    </row>
    <row r="1549" spans="1:13" x14ac:dyDescent="0.25">
      <c r="A1549" s="1" t="s">
        <v>1342</v>
      </c>
      <c r="B1549" s="1" t="s">
        <v>1343</v>
      </c>
      <c r="C1549" s="1">
        <v>22900000</v>
      </c>
      <c r="D1549" s="1" t="s">
        <v>58</v>
      </c>
      <c r="E1549">
        <v>708.66869999999994</v>
      </c>
      <c r="F1549" s="1" t="s">
        <v>30</v>
      </c>
      <c r="G1549">
        <v>100</v>
      </c>
      <c r="H1549">
        <v>20</v>
      </c>
      <c r="I1549" s="1" t="s">
        <v>468</v>
      </c>
      <c r="J1549">
        <v>1</v>
      </c>
      <c r="K1549" t="str">
        <f>IF(Tb_data[[#This Row],[previous_workers]]&lt;Tb_data[[#This Row],[workers]],"yes","no")</f>
        <v>yes</v>
      </c>
      <c r="L1549">
        <f>Tb_data[[#This Row],[workers]]-Tb_data[[#This Row],[previous_workers]]</f>
        <v>80</v>
      </c>
      <c r="M1549" s="12">
        <f>Tb_data[[#This Row],[Employees Growth]]/Tb_data[[#This Row],[previous_workers]]</f>
        <v>4</v>
      </c>
    </row>
    <row r="1550" spans="1:13" x14ac:dyDescent="0.25">
      <c r="A1550" s="1" t="s">
        <v>8793</v>
      </c>
      <c r="B1550" s="1" t="s">
        <v>8794</v>
      </c>
      <c r="C1550" s="1">
        <v>2500000</v>
      </c>
      <c r="D1550" s="1" t="s">
        <v>387</v>
      </c>
      <c r="E1550">
        <v>69.5227</v>
      </c>
      <c r="F1550" s="1" t="s">
        <v>62</v>
      </c>
      <c r="G1550">
        <v>15</v>
      </c>
      <c r="H1550">
        <v>10</v>
      </c>
      <c r="I1550" s="1" t="s">
        <v>130</v>
      </c>
      <c r="J1550">
        <v>2</v>
      </c>
      <c r="K1550" t="str">
        <f>IF(Tb_data[[#This Row],[previous_workers]]&lt;Tb_data[[#This Row],[workers]],"yes","no")</f>
        <v>yes</v>
      </c>
      <c r="L1550">
        <f>Tb_data[[#This Row],[workers]]-Tb_data[[#This Row],[previous_workers]]</f>
        <v>5</v>
      </c>
      <c r="M1550" s="12">
        <f>Tb_data[[#This Row],[Employees Growth]]/Tb_data[[#This Row],[previous_workers]]</f>
        <v>0.5</v>
      </c>
    </row>
    <row r="1551" spans="1:13" x14ac:dyDescent="0.25">
      <c r="A1551" s="1" t="s">
        <v>1092</v>
      </c>
      <c r="B1551" s="1" t="s">
        <v>1093</v>
      </c>
      <c r="C1551" s="1">
        <v>2900000</v>
      </c>
      <c r="D1551" s="1" t="s">
        <v>58</v>
      </c>
      <c r="E1551">
        <v>886.84109999999998</v>
      </c>
      <c r="F1551" s="1" t="s">
        <v>100</v>
      </c>
      <c r="G1551">
        <v>6</v>
      </c>
      <c r="H1551">
        <v>2</v>
      </c>
      <c r="I1551" s="1" t="s">
        <v>13</v>
      </c>
      <c r="J1551">
        <v>1</v>
      </c>
      <c r="K1551" t="str">
        <f>IF(Tb_data[[#This Row],[previous_workers]]&lt;Tb_data[[#This Row],[workers]],"yes","no")</f>
        <v>yes</v>
      </c>
      <c r="L1551">
        <f>Tb_data[[#This Row],[workers]]-Tb_data[[#This Row],[previous_workers]]</f>
        <v>4</v>
      </c>
      <c r="M1551" s="12">
        <f>Tb_data[[#This Row],[Employees Growth]]/Tb_data[[#This Row],[previous_workers]]</f>
        <v>2</v>
      </c>
    </row>
    <row r="1552" spans="1:13" x14ac:dyDescent="0.25">
      <c r="A1552" s="1" t="s">
        <v>7559</v>
      </c>
      <c r="B1552" s="1" t="s">
        <v>7560</v>
      </c>
      <c r="C1552" s="1">
        <v>43700000</v>
      </c>
      <c r="D1552" s="1" t="s">
        <v>483</v>
      </c>
      <c r="E1552">
        <v>91.46</v>
      </c>
      <c r="F1552" s="1" t="s">
        <v>86</v>
      </c>
      <c r="G1552">
        <v>248</v>
      </c>
      <c r="H1552">
        <v>184</v>
      </c>
      <c r="I1552" s="1" t="s">
        <v>2628</v>
      </c>
      <c r="J1552">
        <v>11</v>
      </c>
      <c r="K1552" t="str">
        <f>IF(Tb_data[[#This Row],[previous_workers]]&lt;Tb_data[[#This Row],[workers]],"yes","no")</f>
        <v>yes</v>
      </c>
      <c r="L1552">
        <f>Tb_data[[#This Row],[workers]]-Tb_data[[#This Row],[previous_workers]]</f>
        <v>64</v>
      </c>
      <c r="M1552" s="12">
        <f>Tb_data[[#This Row],[Employees Growth]]/Tb_data[[#This Row],[previous_workers]]</f>
        <v>0.34782608695652173</v>
      </c>
    </row>
    <row r="1553" spans="1:13" x14ac:dyDescent="0.25">
      <c r="A1553" s="1" t="s">
        <v>4369</v>
      </c>
      <c r="B1553" s="1" t="s">
        <v>4370</v>
      </c>
      <c r="C1553" s="1">
        <v>7200000</v>
      </c>
      <c r="D1553" s="1" t="s">
        <v>179</v>
      </c>
      <c r="E1553">
        <v>187.8586</v>
      </c>
      <c r="F1553" s="1" t="s">
        <v>25</v>
      </c>
      <c r="G1553">
        <v>70</v>
      </c>
      <c r="H1553">
        <v>10</v>
      </c>
      <c r="I1553" s="1" t="s">
        <v>26</v>
      </c>
      <c r="J1553">
        <v>1</v>
      </c>
      <c r="K1553" t="str">
        <f>IF(Tb_data[[#This Row],[previous_workers]]&lt;Tb_data[[#This Row],[workers]],"yes","no")</f>
        <v>yes</v>
      </c>
      <c r="L1553">
        <f>Tb_data[[#This Row],[workers]]-Tb_data[[#This Row],[previous_workers]]</f>
        <v>60</v>
      </c>
      <c r="M1553" s="12">
        <f>Tb_data[[#This Row],[Employees Growth]]/Tb_data[[#This Row],[previous_workers]]</f>
        <v>6</v>
      </c>
    </row>
    <row r="1554" spans="1:13" x14ac:dyDescent="0.25">
      <c r="A1554" s="1" t="s">
        <v>2028</v>
      </c>
      <c r="B1554" s="1" t="s">
        <v>2029</v>
      </c>
      <c r="C1554" s="1">
        <v>4100000</v>
      </c>
      <c r="D1554" s="1" t="s">
        <v>20</v>
      </c>
      <c r="E1554">
        <v>442.4667</v>
      </c>
      <c r="F1554" s="1" t="s">
        <v>86</v>
      </c>
      <c r="G1554">
        <v>12</v>
      </c>
      <c r="H1554">
        <v>4</v>
      </c>
      <c r="I1554" s="1" t="s">
        <v>13</v>
      </c>
      <c r="J1554">
        <v>1</v>
      </c>
      <c r="K1554" t="str">
        <f>IF(Tb_data[[#This Row],[previous_workers]]&lt;Tb_data[[#This Row],[workers]],"yes","no")</f>
        <v>yes</v>
      </c>
      <c r="L1554">
        <f>Tb_data[[#This Row],[workers]]-Tb_data[[#This Row],[previous_workers]]</f>
        <v>8</v>
      </c>
      <c r="M1554" s="12">
        <f>Tb_data[[#This Row],[Employees Growth]]/Tb_data[[#This Row],[previous_workers]]</f>
        <v>2</v>
      </c>
    </row>
    <row r="1555" spans="1:13" x14ac:dyDescent="0.25">
      <c r="A1555" s="1" t="s">
        <v>9844</v>
      </c>
      <c r="B1555" s="1" t="s">
        <v>9845</v>
      </c>
      <c r="C1555" s="1">
        <v>7400000</v>
      </c>
      <c r="D1555" s="1" t="s">
        <v>33</v>
      </c>
      <c r="E1555">
        <v>56.166600000000003</v>
      </c>
      <c r="F1555" s="1" t="s">
        <v>12</v>
      </c>
      <c r="G1555">
        <v>32</v>
      </c>
      <c r="H1555">
        <v>24</v>
      </c>
      <c r="I1555" s="1" t="s">
        <v>229</v>
      </c>
      <c r="J1555">
        <v>1</v>
      </c>
      <c r="K1555" t="str">
        <f>IF(Tb_data[[#This Row],[previous_workers]]&lt;Tb_data[[#This Row],[workers]],"yes","no")</f>
        <v>yes</v>
      </c>
      <c r="L1555">
        <f>Tb_data[[#This Row],[workers]]-Tb_data[[#This Row],[previous_workers]]</f>
        <v>8</v>
      </c>
      <c r="M1555" s="12">
        <f>Tb_data[[#This Row],[Employees Growth]]/Tb_data[[#This Row],[previous_workers]]</f>
        <v>0.33333333333333331</v>
      </c>
    </row>
    <row r="1556" spans="1:13" x14ac:dyDescent="0.25">
      <c r="A1556" s="1" t="s">
        <v>7633</v>
      </c>
      <c r="B1556" s="1" t="s">
        <v>7634</v>
      </c>
      <c r="C1556" s="1">
        <v>4000000</v>
      </c>
      <c r="D1556" s="1" t="s">
        <v>120</v>
      </c>
      <c r="E1556">
        <v>89.357100000000003</v>
      </c>
      <c r="F1556" s="1" t="s">
        <v>12</v>
      </c>
      <c r="G1556">
        <v>42</v>
      </c>
      <c r="H1556">
        <v>25</v>
      </c>
      <c r="I1556" s="1" t="s">
        <v>35</v>
      </c>
      <c r="J1556">
        <v>4</v>
      </c>
      <c r="K1556" t="str">
        <f>IF(Tb_data[[#This Row],[previous_workers]]&lt;Tb_data[[#This Row],[workers]],"yes","no")</f>
        <v>yes</v>
      </c>
      <c r="L1556">
        <f>Tb_data[[#This Row],[workers]]-Tb_data[[#This Row],[previous_workers]]</f>
        <v>17</v>
      </c>
      <c r="M1556" s="12">
        <f>Tb_data[[#This Row],[Employees Growth]]/Tb_data[[#This Row],[previous_workers]]</f>
        <v>0.68</v>
      </c>
    </row>
    <row r="1557" spans="1:13" x14ac:dyDescent="0.25">
      <c r="A1557" s="1" t="s">
        <v>1483</v>
      </c>
      <c r="B1557" s="1" t="s">
        <v>1484</v>
      </c>
      <c r="C1557" s="1">
        <v>4900000</v>
      </c>
      <c r="D1557" s="1" t="s">
        <v>16</v>
      </c>
      <c r="E1557">
        <v>631.90120000000002</v>
      </c>
      <c r="F1557" s="1" t="s">
        <v>142</v>
      </c>
      <c r="G1557">
        <v>8</v>
      </c>
      <c r="H1557">
        <v>2</v>
      </c>
      <c r="I1557" s="1" t="s">
        <v>130</v>
      </c>
      <c r="J1557">
        <v>2</v>
      </c>
      <c r="K1557" t="str">
        <f>IF(Tb_data[[#This Row],[previous_workers]]&lt;Tb_data[[#This Row],[workers]],"yes","no")</f>
        <v>yes</v>
      </c>
      <c r="L1557">
        <f>Tb_data[[#This Row],[workers]]-Tb_data[[#This Row],[previous_workers]]</f>
        <v>6</v>
      </c>
      <c r="M1557" s="12">
        <f>Tb_data[[#This Row],[Employees Growth]]/Tb_data[[#This Row],[previous_workers]]</f>
        <v>3</v>
      </c>
    </row>
    <row r="1558" spans="1:13" x14ac:dyDescent="0.25">
      <c r="A1558" s="1" t="s">
        <v>8129</v>
      </c>
      <c r="B1558" s="1" t="s">
        <v>8130</v>
      </c>
      <c r="C1558" s="1">
        <v>106000000</v>
      </c>
      <c r="D1558" s="1" t="s">
        <v>29</v>
      </c>
      <c r="E1558">
        <v>80.759</v>
      </c>
      <c r="F1558" s="1" t="s">
        <v>135</v>
      </c>
      <c r="G1558">
        <v>400</v>
      </c>
      <c r="H1558">
        <v>207</v>
      </c>
      <c r="I1558" s="1" t="s">
        <v>194</v>
      </c>
      <c r="J1558">
        <v>7</v>
      </c>
      <c r="K1558" t="str">
        <f>IF(Tb_data[[#This Row],[previous_workers]]&lt;Tb_data[[#This Row],[workers]],"yes","no")</f>
        <v>yes</v>
      </c>
      <c r="L1558">
        <f>Tb_data[[#This Row],[workers]]-Tb_data[[#This Row],[previous_workers]]</f>
        <v>193</v>
      </c>
      <c r="M1558" s="12">
        <f>Tb_data[[#This Row],[Employees Growth]]/Tb_data[[#This Row],[previous_workers]]</f>
        <v>0.93236714975845414</v>
      </c>
    </row>
    <row r="1559" spans="1:13" x14ac:dyDescent="0.25">
      <c r="A1559" s="1" t="s">
        <v>5700</v>
      </c>
      <c r="B1559" s="1" t="s">
        <v>5701</v>
      </c>
      <c r="C1559" s="1">
        <v>4800000</v>
      </c>
      <c r="D1559" s="1" t="s">
        <v>45</v>
      </c>
      <c r="E1559">
        <v>134.38589999999999</v>
      </c>
      <c r="F1559" s="1" t="s">
        <v>514</v>
      </c>
      <c r="G1559">
        <v>23</v>
      </c>
      <c r="H1559">
        <v>9</v>
      </c>
      <c r="I1559" s="1" t="s">
        <v>117</v>
      </c>
      <c r="J1559">
        <v>4</v>
      </c>
      <c r="K1559" t="str">
        <f>IF(Tb_data[[#This Row],[previous_workers]]&lt;Tb_data[[#This Row],[workers]],"yes","no")</f>
        <v>yes</v>
      </c>
      <c r="L1559">
        <f>Tb_data[[#This Row],[workers]]-Tb_data[[#This Row],[previous_workers]]</f>
        <v>14</v>
      </c>
      <c r="M1559" s="12">
        <f>Tb_data[[#This Row],[Employees Growth]]/Tb_data[[#This Row],[previous_workers]]</f>
        <v>1.5555555555555556</v>
      </c>
    </row>
    <row r="1560" spans="1:13" x14ac:dyDescent="0.25">
      <c r="A1560" s="1" t="s">
        <v>6241</v>
      </c>
      <c r="B1560" s="1" t="s">
        <v>6242</v>
      </c>
      <c r="C1560" s="1">
        <v>6500000</v>
      </c>
      <c r="D1560" s="1" t="s">
        <v>61</v>
      </c>
      <c r="E1560">
        <v>120.65219999999999</v>
      </c>
      <c r="F1560" s="1" t="s">
        <v>12</v>
      </c>
      <c r="G1560">
        <v>20</v>
      </c>
      <c r="H1560">
        <v>10</v>
      </c>
      <c r="I1560" s="1" t="s">
        <v>26</v>
      </c>
      <c r="J1560">
        <v>1</v>
      </c>
      <c r="K1560" t="str">
        <f>IF(Tb_data[[#This Row],[previous_workers]]&lt;Tb_data[[#This Row],[workers]],"yes","no")</f>
        <v>yes</v>
      </c>
      <c r="L1560">
        <f>Tb_data[[#This Row],[workers]]-Tb_data[[#This Row],[previous_workers]]</f>
        <v>10</v>
      </c>
      <c r="M1560" s="12">
        <f>Tb_data[[#This Row],[Employees Growth]]/Tb_data[[#This Row],[previous_workers]]</f>
        <v>1</v>
      </c>
    </row>
    <row r="1561" spans="1:13" x14ac:dyDescent="0.25">
      <c r="A1561" s="1" t="s">
        <v>344</v>
      </c>
      <c r="B1561" s="1" t="s">
        <v>345</v>
      </c>
      <c r="C1561" s="1">
        <v>38800000</v>
      </c>
      <c r="D1561" s="1" t="s">
        <v>49</v>
      </c>
      <c r="E1561">
        <v>2678.5391</v>
      </c>
      <c r="F1561" s="1" t="s">
        <v>152</v>
      </c>
      <c r="G1561">
        <v>274</v>
      </c>
      <c r="H1561">
        <v>54</v>
      </c>
      <c r="I1561" s="1" t="s">
        <v>55</v>
      </c>
      <c r="J1561">
        <v>2</v>
      </c>
      <c r="K1561" t="str">
        <f>IF(Tb_data[[#This Row],[previous_workers]]&lt;Tb_data[[#This Row],[workers]],"yes","no")</f>
        <v>yes</v>
      </c>
      <c r="L1561">
        <f>Tb_data[[#This Row],[workers]]-Tb_data[[#This Row],[previous_workers]]</f>
        <v>220</v>
      </c>
      <c r="M1561" s="12">
        <f>Tb_data[[#This Row],[Employees Growth]]/Tb_data[[#This Row],[previous_workers]]</f>
        <v>4.0740740740740744</v>
      </c>
    </row>
    <row r="1562" spans="1:13" x14ac:dyDescent="0.25">
      <c r="A1562" s="1" t="s">
        <v>10016</v>
      </c>
      <c r="B1562" s="1" t="s">
        <v>10017</v>
      </c>
      <c r="C1562" s="1">
        <v>15000000</v>
      </c>
      <c r="D1562" s="1" t="s">
        <v>254</v>
      </c>
      <c r="E1562">
        <v>53.279699999999998</v>
      </c>
      <c r="F1562" s="1" t="s">
        <v>12</v>
      </c>
      <c r="G1562">
        <v>111</v>
      </c>
      <c r="H1562">
        <v>100</v>
      </c>
      <c r="I1562" s="1" t="s">
        <v>1051</v>
      </c>
      <c r="J1562">
        <v>8</v>
      </c>
      <c r="K1562" t="str">
        <f>IF(Tb_data[[#This Row],[previous_workers]]&lt;Tb_data[[#This Row],[workers]],"yes","no")</f>
        <v>yes</v>
      </c>
      <c r="L1562">
        <f>Tb_data[[#This Row],[workers]]-Tb_data[[#This Row],[previous_workers]]</f>
        <v>11</v>
      </c>
      <c r="M1562" s="12">
        <f>Tb_data[[#This Row],[Employees Growth]]/Tb_data[[#This Row],[previous_workers]]</f>
        <v>0.11</v>
      </c>
    </row>
    <row r="1563" spans="1:13" x14ac:dyDescent="0.25">
      <c r="A1563" s="1" t="s">
        <v>8991</v>
      </c>
      <c r="B1563" s="1" t="s">
        <v>8992</v>
      </c>
      <c r="C1563" s="1">
        <v>2400000</v>
      </c>
      <c r="D1563" s="1" t="s">
        <v>29</v>
      </c>
      <c r="E1563">
        <v>66.7941</v>
      </c>
      <c r="F1563" s="1" t="s">
        <v>94</v>
      </c>
      <c r="G1563">
        <v>13</v>
      </c>
      <c r="H1563">
        <v>4</v>
      </c>
      <c r="I1563" s="1" t="s">
        <v>295</v>
      </c>
      <c r="J1563">
        <v>3</v>
      </c>
      <c r="K1563" t="str">
        <f>IF(Tb_data[[#This Row],[previous_workers]]&lt;Tb_data[[#This Row],[workers]],"yes","no")</f>
        <v>yes</v>
      </c>
      <c r="L1563">
        <f>Tb_data[[#This Row],[workers]]-Tb_data[[#This Row],[previous_workers]]</f>
        <v>9</v>
      </c>
      <c r="M1563" s="12">
        <f>Tb_data[[#This Row],[Employees Growth]]/Tb_data[[#This Row],[previous_workers]]</f>
        <v>2.25</v>
      </c>
    </row>
    <row r="1564" spans="1:13" x14ac:dyDescent="0.25">
      <c r="A1564" s="1" t="s">
        <v>8723</v>
      </c>
      <c r="B1564" s="1" t="s">
        <v>8724</v>
      </c>
      <c r="C1564" s="1">
        <v>203400000</v>
      </c>
      <c r="D1564" s="1" t="s">
        <v>45</v>
      </c>
      <c r="E1564">
        <v>70.797899999999998</v>
      </c>
      <c r="F1564" s="1" t="s">
        <v>34</v>
      </c>
      <c r="G1564">
        <v>438</v>
      </c>
      <c r="H1564">
        <v>253</v>
      </c>
      <c r="I1564" s="1" t="s">
        <v>35</v>
      </c>
      <c r="J1564">
        <v>6</v>
      </c>
      <c r="K1564" t="str">
        <f>IF(Tb_data[[#This Row],[previous_workers]]&lt;Tb_data[[#This Row],[workers]],"yes","no")</f>
        <v>yes</v>
      </c>
      <c r="L1564">
        <f>Tb_data[[#This Row],[workers]]-Tb_data[[#This Row],[previous_workers]]</f>
        <v>185</v>
      </c>
      <c r="M1564" s="12">
        <f>Tb_data[[#This Row],[Employees Growth]]/Tb_data[[#This Row],[previous_workers]]</f>
        <v>0.73122529644268774</v>
      </c>
    </row>
    <row r="1565" spans="1:13" x14ac:dyDescent="0.25">
      <c r="A1565" s="1" t="s">
        <v>8907</v>
      </c>
      <c r="B1565" s="1" t="s">
        <v>8908</v>
      </c>
      <c r="C1565" s="1">
        <v>20700000</v>
      </c>
      <c r="D1565" s="1" t="s">
        <v>155</v>
      </c>
      <c r="E1565">
        <v>67.949100000000001</v>
      </c>
      <c r="F1565" s="1" t="s">
        <v>86</v>
      </c>
      <c r="G1565">
        <v>115</v>
      </c>
      <c r="H1565">
        <v>75</v>
      </c>
      <c r="I1565" s="1" t="s">
        <v>226</v>
      </c>
      <c r="J1565">
        <v>5</v>
      </c>
      <c r="K1565" t="str">
        <f>IF(Tb_data[[#This Row],[previous_workers]]&lt;Tb_data[[#This Row],[workers]],"yes","no")</f>
        <v>yes</v>
      </c>
      <c r="L1565">
        <f>Tb_data[[#This Row],[workers]]-Tb_data[[#This Row],[previous_workers]]</f>
        <v>40</v>
      </c>
      <c r="M1565" s="12">
        <f>Tb_data[[#This Row],[Employees Growth]]/Tb_data[[#This Row],[previous_workers]]</f>
        <v>0.53333333333333333</v>
      </c>
    </row>
    <row r="1566" spans="1:13" x14ac:dyDescent="0.25">
      <c r="A1566" s="1" t="s">
        <v>7603</v>
      </c>
      <c r="B1566" s="1" t="s">
        <v>7604</v>
      </c>
      <c r="C1566" s="1">
        <v>3800000</v>
      </c>
      <c r="D1566" s="1" t="s">
        <v>58</v>
      </c>
      <c r="E1566">
        <v>90.2119</v>
      </c>
      <c r="F1566" s="1" t="s">
        <v>156</v>
      </c>
      <c r="G1566">
        <v>25</v>
      </c>
      <c r="H1566">
        <v>18</v>
      </c>
      <c r="I1566" s="1" t="s">
        <v>1051</v>
      </c>
      <c r="J1566">
        <v>1</v>
      </c>
      <c r="K1566" t="str">
        <f>IF(Tb_data[[#This Row],[previous_workers]]&lt;Tb_data[[#This Row],[workers]],"yes","no")</f>
        <v>yes</v>
      </c>
      <c r="L1566">
        <f>Tb_data[[#This Row],[workers]]-Tb_data[[#This Row],[previous_workers]]</f>
        <v>7</v>
      </c>
      <c r="M1566" s="12">
        <f>Tb_data[[#This Row],[Employees Growth]]/Tb_data[[#This Row],[previous_workers]]</f>
        <v>0.3888888888888889</v>
      </c>
    </row>
    <row r="1567" spans="1:13" x14ac:dyDescent="0.25">
      <c r="A1567" s="1" t="s">
        <v>8703</v>
      </c>
      <c r="B1567" s="1" t="s">
        <v>8704</v>
      </c>
      <c r="C1567" s="1">
        <v>2600000</v>
      </c>
      <c r="D1567" s="1" t="s">
        <v>155</v>
      </c>
      <c r="E1567">
        <v>71.0702</v>
      </c>
      <c r="F1567" s="1" t="s">
        <v>310</v>
      </c>
      <c r="G1567">
        <v>50</v>
      </c>
      <c r="H1567">
        <v>8</v>
      </c>
      <c r="I1567" s="1" t="s">
        <v>295</v>
      </c>
      <c r="J1567">
        <v>1</v>
      </c>
      <c r="K1567" t="str">
        <f>IF(Tb_data[[#This Row],[previous_workers]]&lt;Tb_data[[#This Row],[workers]],"yes","no")</f>
        <v>yes</v>
      </c>
      <c r="L1567">
        <f>Tb_data[[#This Row],[workers]]-Tb_data[[#This Row],[previous_workers]]</f>
        <v>42</v>
      </c>
      <c r="M1567" s="12">
        <f>Tb_data[[#This Row],[Employees Growth]]/Tb_data[[#This Row],[previous_workers]]</f>
        <v>5.25</v>
      </c>
    </row>
    <row r="1568" spans="1:13" x14ac:dyDescent="0.25">
      <c r="A1568" s="1" t="s">
        <v>1962</v>
      </c>
      <c r="B1568" s="1" t="s">
        <v>1963</v>
      </c>
      <c r="C1568" s="1">
        <v>31600000</v>
      </c>
      <c r="D1568" s="1" t="s">
        <v>45</v>
      </c>
      <c r="E1568">
        <v>458.30959999999999</v>
      </c>
      <c r="F1568" s="1" t="s">
        <v>172</v>
      </c>
      <c r="G1568">
        <v>12</v>
      </c>
      <c r="H1568">
        <v>3</v>
      </c>
      <c r="I1568" s="1" t="s">
        <v>55</v>
      </c>
      <c r="J1568">
        <v>3</v>
      </c>
      <c r="K1568" t="str">
        <f>IF(Tb_data[[#This Row],[previous_workers]]&lt;Tb_data[[#This Row],[workers]],"yes","no")</f>
        <v>yes</v>
      </c>
      <c r="L1568">
        <f>Tb_data[[#This Row],[workers]]-Tb_data[[#This Row],[previous_workers]]</f>
        <v>9</v>
      </c>
      <c r="M1568" s="12">
        <f>Tb_data[[#This Row],[Employees Growth]]/Tb_data[[#This Row],[previous_workers]]</f>
        <v>3</v>
      </c>
    </row>
    <row r="1569" spans="1:13" x14ac:dyDescent="0.25">
      <c r="A1569" s="1" t="s">
        <v>5973</v>
      </c>
      <c r="B1569" s="1" t="s">
        <v>5974</v>
      </c>
      <c r="C1569" s="1">
        <v>28300000</v>
      </c>
      <c r="D1569" s="1" t="s">
        <v>79</v>
      </c>
      <c r="E1569">
        <v>127.18940000000001</v>
      </c>
      <c r="F1569" s="1" t="s">
        <v>124</v>
      </c>
      <c r="G1569">
        <v>122</v>
      </c>
      <c r="H1569">
        <v>71</v>
      </c>
      <c r="I1569" s="1" t="s">
        <v>74</v>
      </c>
      <c r="J1569">
        <v>4</v>
      </c>
      <c r="K1569" t="str">
        <f>IF(Tb_data[[#This Row],[previous_workers]]&lt;Tb_data[[#This Row],[workers]],"yes","no")</f>
        <v>yes</v>
      </c>
      <c r="L1569">
        <f>Tb_data[[#This Row],[workers]]-Tb_data[[#This Row],[previous_workers]]</f>
        <v>51</v>
      </c>
      <c r="M1569" s="12">
        <f>Tb_data[[#This Row],[Employees Growth]]/Tb_data[[#This Row],[previous_workers]]</f>
        <v>0.71830985915492962</v>
      </c>
    </row>
    <row r="1570" spans="1:13" x14ac:dyDescent="0.25">
      <c r="A1570" s="1" t="s">
        <v>1588</v>
      </c>
      <c r="B1570" s="1" t="s">
        <v>1589</v>
      </c>
      <c r="C1570" s="1">
        <v>6900000</v>
      </c>
      <c r="D1570" s="1" t="s">
        <v>20</v>
      </c>
      <c r="E1570">
        <v>587.49149999999997</v>
      </c>
      <c r="F1570" s="1" t="s">
        <v>34</v>
      </c>
      <c r="G1570">
        <v>9</v>
      </c>
      <c r="H1570">
        <v>3</v>
      </c>
      <c r="I1570" s="1" t="s">
        <v>35</v>
      </c>
      <c r="J1570">
        <v>2</v>
      </c>
      <c r="K1570" t="str">
        <f>IF(Tb_data[[#This Row],[previous_workers]]&lt;Tb_data[[#This Row],[workers]],"yes","no")</f>
        <v>yes</v>
      </c>
      <c r="L1570">
        <f>Tb_data[[#This Row],[workers]]-Tb_data[[#This Row],[previous_workers]]</f>
        <v>6</v>
      </c>
      <c r="M1570" s="12">
        <f>Tb_data[[#This Row],[Employees Growth]]/Tb_data[[#This Row],[previous_workers]]</f>
        <v>2</v>
      </c>
    </row>
    <row r="1571" spans="1:13" x14ac:dyDescent="0.25">
      <c r="A1571" s="1" t="s">
        <v>5880</v>
      </c>
      <c r="B1571" s="1" t="s">
        <v>5881</v>
      </c>
      <c r="C1571" s="1">
        <v>71300000</v>
      </c>
      <c r="D1571" s="1" t="s">
        <v>41</v>
      </c>
      <c r="E1571">
        <v>129.3785</v>
      </c>
      <c r="F1571" s="1" t="s">
        <v>135</v>
      </c>
      <c r="G1571">
        <v>300</v>
      </c>
      <c r="H1571">
        <v>150</v>
      </c>
      <c r="I1571" s="1" t="s">
        <v>229</v>
      </c>
      <c r="J1571">
        <v>6</v>
      </c>
      <c r="K1571" t="str">
        <f>IF(Tb_data[[#This Row],[previous_workers]]&lt;Tb_data[[#This Row],[workers]],"yes","no")</f>
        <v>yes</v>
      </c>
      <c r="L1571">
        <f>Tb_data[[#This Row],[workers]]-Tb_data[[#This Row],[previous_workers]]</f>
        <v>150</v>
      </c>
      <c r="M1571" s="12">
        <f>Tb_data[[#This Row],[Employees Growth]]/Tb_data[[#This Row],[previous_workers]]</f>
        <v>1</v>
      </c>
    </row>
    <row r="1572" spans="1:13" x14ac:dyDescent="0.25">
      <c r="A1572" s="1" t="s">
        <v>8971</v>
      </c>
      <c r="B1572" s="1" t="s">
        <v>8972</v>
      </c>
      <c r="C1572" s="1">
        <v>10900000</v>
      </c>
      <c r="D1572" s="1" t="s">
        <v>179</v>
      </c>
      <c r="E1572">
        <v>66.970699999999994</v>
      </c>
      <c r="F1572" s="1" t="s">
        <v>12</v>
      </c>
      <c r="G1572">
        <v>70</v>
      </c>
      <c r="H1572">
        <v>45</v>
      </c>
      <c r="I1572" s="1" t="s">
        <v>2628</v>
      </c>
      <c r="J1572">
        <v>9</v>
      </c>
      <c r="K1572" t="str">
        <f>IF(Tb_data[[#This Row],[previous_workers]]&lt;Tb_data[[#This Row],[workers]],"yes","no")</f>
        <v>yes</v>
      </c>
      <c r="L1572">
        <f>Tb_data[[#This Row],[workers]]-Tb_data[[#This Row],[previous_workers]]</f>
        <v>25</v>
      </c>
      <c r="M1572" s="12">
        <f>Tb_data[[#This Row],[Employees Growth]]/Tb_data[[#This Row],[previous_workers]]</f>
        <v>0.55555555555555558</v>
      </c>
    </row>
    <row r="1573" spans="1:13" x14ac:dyDescent="0.25">
      <c r="A1573" s="1" t="s">
        <v>5168</v>
      </c>
      <c r="B1573" s="1" t="s">
        <v>5169</v>
      </c>
      <c r="C1573" s="1">
        <v>26700000</v>
      </c>
      <c r="D1573" s="1" t="s">
        <v>91</v>
      </c>
      <c r="E1573">
        <v>154.70580000000001</v>
      </c>
      <c r="F1573" s="1" t="s">
        <v>156</v>
      </c>
      <c r="G1573">
        <v>127</v>
      </c>
      <c r="H1573">
        <v>52</v>
      </c>
      <c r="I1573" s="1" t="s">
        <v>372</v>
      </c>
      <c r="J1573">
        <v>7</v>
      </c>
      <c r="K1573" t="str">
        <f>IF(Tb_data[[#This Row],[previous_workers]]&lt;Tb_data[[#This Row],[workers]],"yes","no")</f>
        <v>yes</v>
      </c>
      <c r="L1573">
        <f>Tb_data[[#This Row],[workers]]-Tb_data[[#This Row],[previous_workers]]</f>
        <v>75</v>
      </c>
      <c r="M1573" s="12">
        <f>Tb_data[[#This Row],[Employees Growth]]/Tb_data[[#This Row],[previous_workers]]</f>
        <v>1.4423076923076923</v>
      </c>
    </row>
    <row r="1574" spans="1:13" x14ac:dyDescent="0.25">
      <c r="A1574" s="1" t="s">
        <v>3833</v>
      </c>
      <c r="B1574" s="1" t="s">
        <v>3834</v>
      </c>
      <c r="C1574" s="1">
        <v>2800000</v>
      </c>
      <c r="D1574" s="1" t="s">
        <v>41</v>
      </c>
      <c r="E1574">
        <v>218.88079999999999</v>
      </c>
      <c r="F1574" s="1" t="s">
        <v>161</v>
      </c>
      <c r="G1574">
        <v>11</v>
      </c>
      <c r="H1574">
        <v>3</v>
      </c>
      <c r="I1574" s="1" t="s">
        <v>26</v>
      </c>
      <c r="J1574">
        <v>1</v>
      </c>
      <c r="K1574" t="str">
        <f>IF(Tb_data[[#This Row],[previous_workers]]&lt;Tb_data[[#This Row],[workers]],"yes","no")</f>
        <v>yes</v>
      </c>
      <c r="L1574">
        <f>Tb_data[[#This Row],[workers]]-Tb_data[[#This Row],[previous_workers]]</f>
        <v>8</v>
      </c>
      <c r="M1574" s="12">
        <f>Tb_data[[#This Row],[Employees Growth]]/Tb_data[[#This Row],[previous_workers]]</f>
        <v>2.6666666666666665</v>
      </c>
    </row>
    <row r="1575" spans="1:13" x14ac:dyDescent="0.25">
      <c r="A1575" s="1" t="s">
        <v>8639</v>
      </c>
      <c r="B1575" s="1" t="s">
        <v>8640</v>
      </c>
      <c r="C1575" s="1">
        <v>10600000</v>
      </c>
      <c r="D1575" s="1" t="s">
        <v>16</v>
      </c>
      <c r="E1575">
        <v>71.9328</v>
      </c>
      <c r="F1575" s="1" t="s">
        <v>176</v>
      </c>
      <c r="G1575">
        <v>15</v>
      </c>
      <c r="H1575">
        <v>8</v>
      </c>
      <c r="I1575" s="1" t="s">
        <v>1356</v>
      </c>
      <c r="J1575">
        <v>3</v>
      </c>
      <c r="K1575" t="str">
        <f>IF(Tb_data[[#This Row],[previous_workers]]&lt;Tb_data[[#This Row],[workers]],"yes","no")</f>
        <v>yes</v>
      </c>
      <c r="L1575">
        <f>Tb_data[[#This Row],[workers]]-Tb_data[[#This Row],[previous_workers]]</f>
        <v>7</v>
      </c>
      <c r="M1575" s="12">
        <f>Tb_data[[#This Row],[Employees Growth]]/Tb_data[[#This Row],[previous_workers]]</f>
        <v>0.875</v>
      </c>
    </row>
    <row r="1576" spans="1:13" x14ac:dyDescent="0.25">
      <c r="A1576" s="1" t="s">
        <v>7270</v>
      </c>
      <c r="B1576" s="1" t="s">
        <v>7271</v>
      </c>
      <c r="C1576" s="1">
        <v>12700000</v>
      </c>
      <c r="D1576" s="1" t="s">
        <v>254</v>
      </c>
      <c r="E1576">
        <v>97.5077</v>
      </c>
      <c r="F1576" s="1" t="s">
        <v>17</v>
      </c>
      <c r="G1576">
        <v>359</v>
      </c>
      <c r="H1576">
        <v>105</v>
      </c>
      <c r="I1576" s="1" t="s">
        <v>46</v>
      </c>
      <c r="J1576">
        <v>3</v>
      </c>
      <c r="K1576" t="str">
        <f>IF(Tb_data[[#This Row],[previous_workers]]&lt;Tb_data[[#This Row],[workers]],"yes","no")</f>
        <v>yes</v>
      </c>
      <c r="L1576">
        <f>Tb_data[[#This Row],[workers]]-Tb_data[[#This Row],[previous_workers]]</f>
        <v>254</v>
      </c>
      <c r="M1576" s="12">
        <f>Tb_data[[#This Row],[Employees Growth]]/Tb_data[[#This Row],[previous_workers]]</f>
        <v>2.4190476190476189</v>
      </c>
    </row>
    <row r="1577" spans="1:13" x14ac:dyDescent="0.25">
      <c r="A1577" s="1" t="s">
        <v>9507</v>
      </c>
      <c r="B1577" s="1" t="s">
        <v>9508</v>
      </c>
      <c r="C1577" s="1">
        <v>33100000</v>
      </c>
      <c r="D1577" s="1" t="s">
        <v>69</v>
      </c>
      <c r="E1577">
        <v>60.194299999999998</v>
      </c>
      <c r="F1577" s="1" t="s">
        <v>12</v>
      </c>
      <c r="G1577">
        <v>120</v>
      </c>
      <c r="H1577">
        <v>80</v>
      </c>
      <c r="I1577" s="1" t="s">
        <v>836</v>
      </c>
      <c r="J1577">
        <v>3</v>
      </c>
      <c r="K1577" t="str">
        <f>IF(Tb_data[[#This Row],[previous_workers]]&lt;Tb_data[[#This Row],[workers]],"yes","no")</f>
        <v>yes</v>
      </c>
      <c r="L1577">
        <f>Tb_data[[#This Row],[workers]]-Tb_data[[#This Row],[previous_workers]]</f>
        <v>40</v>
      </c>
      <c r="M1577" s="12">
        <f>Tb_data[[#This Row],[Employees Growth]]/Tb_data[[#This Row],[previous_workers]]</f>
        <v>0.5</v>
      </c>
    </row>
    <row r="1578" spans="1:13" x14ac:dyDescent="0.25">
      <c r="A1578" s="1" t="s">
        <v>8155</v>
      </c>
      <c r="B1578" s="1" t="s">
        <v>8156</v>
      </c>
      <c r="C1578" s="1">
        <v>6500000</v>
      </c>
      <c r="D1578" s="1" t="s">
        <v>33</v>
      </c>
      <c r="E1578">
        <v>80.389099999999999</v>
      </c>
      <c r="F1578" s="1" t="s">
        <v>82</v>
      </c>
      <c r="G1578">
        <v>17</v>
      </c>
      <c r="H1578">
        <v>10</v>
      </c>
      <c r="I1578" s="1" t="s">
        <v>1657</v>
      </c>
      <c r="J1578">
        <v>2</v>
      </c>
      <c r="K1578" t="str">
        <f>IF(Tb_data[[#This Row],[previous_workers]]&lt;Tb_data[[#This Row],[workers]],"yes","no")</f>
        <v>yes</v>
      </c>
      <c r="L1578">
        <f>Tb_data[[#This Row],[workers]]-Tb_data[[#This Row],[previous_workers]]</f>
        <v>7</v>
      </c>
      <c r="M1578" s="12">
        <f>Tb_data[[#This Row],[Employees Growth]]/Tb_data[[#This Row],[previous_workers]]</f>
        <v>0.7</v>
      </c>
    </row>
    <row r="1579" spans="1:13" x14ac:dyDescent="0.25">
      <c r="A1579" s="1" t="s">
        <v>7327</v>
      </c>
      <c r="B1579" s="1" t="s">
        <v>7328</v>
      </c>
      <c r="C1579" s="1">
        <v>31300000</v>
      </c>
      <c r="D1579" s="1" t="s">
        <v>1853</v>
      </c>
      <c r="E1579">
        <v>96.552099999999996</v>
      </c>
      <c r="F1579" s="1" t="s">
        <v>62</v>
      </c>
      <c r="G1579">
        <v>70</v>
      </c>
      <c r="H1579">
        <v>40</v>
      </c>
      <c r="I1579" s="1" t="s">
        <v>55</v>
      </c>
      <c r="J1579">
        <v>2</v>
      </c>
      <c r="K1579" t="str">
        <f>IF(Tb_data[[#This Row],[previous_workers]]&lt;Tb_data[[#This Row],[workers]],"yes","no")</f>
        <v>yes</v>
      </c>
      <c r="L1579">
        <f>Tb_data[[#This Row],[workers]]-Tb_data[[#This Row],[previous_workers]]</f>
        <v>30</v>
      </c>
      <c r="M1579" s="12">
        <f>Tb_data[[#This Row],[Employees Growth]]/Tb_data[[#This Row],[previous_workers]]</f>
        <v>0.75</v>
      </c>
    </row>
    <row r="1580" spans="1:13" x14ac:dyDescent="0.25">
      <c r="A1580" s="1" t="s">
        <v>2420</v>
      </c>
      <c r="B1580" s="1" t="s">
        <v>2421</v>
      </c>
      <c r="C1580" s="1">
        <v>8600000</v>
      </c>
      <c r="D1580" s="1" t="s">
        <v>41</v>
      </c>
      <c r="E1580">
        <v>359.8569</v>
      </c>
      <c r="F1580" s="1" t="s">
        <v>514</v>
      </c>
      <c r="G1580">
        <v>30</v>
      </c>
      <c r="H1580">
        <v>10</v>
      </c>
      <c r="I1580" s="1" t="s">
        <v>55</v>
      </c>
      <c r="J1580">
        <v>2</v>
      </c>
      <c r="K1580" t="str">
        <f>IF(Tb_data[[#This Row],[previous_workers]]&lt;Tb_data[[#This Row],[workers]],"yes","no")</f>
        <v>yes</v>
      </c>
      <c r="L1580">
        <f>Tb_data[[#This Row],[workers]]-Tb_data[[#This Row],[previous_workers]]</f>
        <v>20</v>
      </c>
      <c r="M1580" s="12">
        <f>Tb_data[[#This Row],[Employees Growth]]/Tb_data[[#This Row],[previous_workers]]</f>
        <v>2</v>
      </c>
    </row>
    <row r="1581" spans="1:13" x14ac:dyDescent="0.25">
      <c r="A1581" s="1" t="s">
        <v>5480</v>
      </c>
      <c r="B1581" s="1" t="s">
        <v>5481</v>
      </c>
      <c r="C1581" s="1">
        <v>3600000</v>
      </c>
      <c r="D1581" s="1" t="s">
        <v>20</v>
      </c>
      <c r="E1581">
        <v>143.28630000000001</v>
      </c>
      <c r="F1581" s="1" t="s">
        <v>86</v>
      </c>
      <c r="G1581">
        <v>9</v>
      </c>
      <c r="H1581">
        <v>4</v>
      </c>
      <c r="I1581" s="1" t="s">
        <v>117</v>
      </c>
      <c r="J1581">
        <v>2</v>
      </c>
      <c r="K1581" t="str">
        <f>IF(Tb_data[[#This Row],[previous_workers]]&lt;Tb_data[[#This Row],[workers]],"yes","no")</f>
        <v>yes</v>
      </c>
      <c r="L1581">
        <f>Tb_data[[#This Row],[workers]]-Tb_data[[#This Row],[previous_workers]]</f>
        <v>5</v>
      </c>
      <c r="M1581" s="12">
        <f>Tb_data[[#This Row],[Employees Growth]]/Tb_data[[#This Row],[previous_workers]]</f>
        <v>1.25</v>
      </c>
    </row>
    <row r="1582" spans="1:13" x14ac:dyDescent="0.25">
      <c r="A1582" s="1" t="s">
        <v>3069</v>
      </c>
      <c r="B1582" s="1" t="s">
        <v>3070</v>
      </c>
      <c r="C1582" s="1">
        <v>8500000</v>
      </c>
      <c r="D1582" s="1" t="s">
        <v>20</v>
      </c>
      <c r="E1582">
        <v>280.67770000000002</v>
      </c>
      <c r="F1582" s="1" t="s">
        <v>86</v>
      </c>
      <c r="G1582">
        <v>40</v>
      </c>
      <c r="H1582">
        <v>12</v>
      </c>
      <c r="I1582" s="1" t="s">
        <v>1051</v>
      </c>
      <c r="J1582">
        <v>4</v>
      </c>
      <c r="K1582" t="str">
        <f>IF(Tb_data[[#This Row],[previous_workers]]&lt;Tb_data[[#This Row],[workers]],"yes","no")</f>
        <v>yes</v>
      </c>
      <c r="L1582">
        <f>Tb_data[[#This Row],[workers]]-Tb_data[[#This Row],[previous_workers]]</f>
        <v>28</v>
      </c>
      <c r="M1582" s="12">
        <f>Tb_data[[#This Row],[Employees Growth]]/Tb_data[[#This Row],[previous_workers]]</f>
        <v>2.3333333333333335</v>
      </c>
    </row>
    <row r="1583" spans="1:13" x14ac:dyDescent="0.25">
      <c r="A1583" s="1" t="s">
        <v>8311</v>
      </c>
      <c r="B1583" s="1" t="s">
        <v>8312</v>
      </c>
      <c r="C1583" s="1">
        <v>2400000</v>
      </c>
      <c r="D1583" s="1" t="s">
        <v>20</v>
      </c>
      <c r="E1583">
        <v>77.579899999999995</v>
      </c>
      <c r="F1583" s="1" t="s">
        <v>3264</v>
      </c>
      <c r="G1583">
        <v>15</v>
      </c>
      <c r="H1583">
        <v>8</v>
      </c>
      <c r="I1583" s="1" t="s">
        <v>295</v>
      </c>
      <c r="J1583">
        <v>1</v>
      </c>
      <c r="K1583" t="str">
        <f>IF(Tb_data[[#This Row],[previous_workers]]&lt;Tb_data[[#This Row],[workers]],"yes","no")</f>
        <v>yes</v>
      </c>
      <c r="L1583">
        <f>Tb_data[[#This Row],[workers]]-Tb_data[[#This Row],[previous_workers]]</f>
        <v>7</v>
      </c>
      <c r="M1583" s="12">
        <f>Tb_data[[#This Row],[Employees Growth]]/Tb_data[[#This Row],[previous_workers]]</f>
        <v>0.875</v>
      </c>
    </row>
    <row r="1584" spans="1:13" x14ac:dyDescent="0.25">
      <c r="A1584" s="1" t="s">
        <v>3420</v>
      </c>
      <c r="B1584" s="1" t="s">
        <v>3421</v>
      </c>
      <c r="C1584" s="1">
        <v>2700000</v>
      </c>
      <c r="D1584" s="1" t="s">
        <v>33</v>
      </c>
      <c r="E1584">
        <v>250.50700000000001</v>
      </c>
      <c r="F1584" s="1" t="s">
        <v>112</v>
      </c>
      <c r="G1584">
        <v>8</v>
      </c>
      <c r="H1584">
        <v>5</v>
      </c>
      <c r="I1584" s="1" t="s">
        <v>1622</v>
      </c>
      <c r="J1584">
        <v>2</v>
      </c>
      <c r="K1584" t="str">
        <f>IF(Tb_data[[#This Row],[previous_workers]]&lt;Tb_data[[#This Row],[workers]],"yes","no")</f>
        <v>yes</v>
      </c>
      <c r="L1584">
        <f>Tb_data[[#This Row],[workers]]-Tb_data[[#This Row],[previous_workers]]</f>
        <v>3</v>
      </c>
      <c r="M1584" s="12">
        <f>Tb_data[[#This Row],[Employees Growth]]/Tb_data[[#This Row],[previous_workers]]</f>
        <v>0.6</v>
      </c>
    </row>
    <row r="1585" spans="1:13" x14ac:dyDescent="0.25">
      <c r="A1585" s="1" t="s">
        <v>9323</v>
      </c>
      <c r="B1585" s="1" t="s">
        <v>9324</v>
      </c>
      <c r="C1585" s="1">
        <v>6500000</v>
      </c>
      <c r="D1585" s="1" t="s">
        <v>49</v>
      </c>
      <c r="E1585">
        <v>62.503799999999998</v>
      </c>
      <c r="F1585" s="1" t="s">
        <v>176</v>
      </c>
      <c r="G1585">
        <v>25</v>
      </c>
      <c r="H1585">
        <v>18</v>
      </c>
      <c r="I1585" s="1" t="s">
        <v>2225</v>
      </c>
      <c r="J1585">
        <v>1</v>
      </c>
      <c r="K1585" t="str">
        <f>IF(Tb_data[[#This Row],[previous_workers]]&lt;Tb_data[[#This Row],[workers]],"yes","no")</f>
        <v>yes</v>
      </c>
      <c r="L1585">
        <f>Tb_data[[#This Row],[workers]]-Tb_data[[#This Row],[previous_workers]]</f>
        <v>7</v>
      </c>
      <c r="M1585" s="12">
        <f>Tb_data[[#This Row],[Employees Growth]]/Tb_data[[#This Row],[previous_workers]]</f>
        <v>0.3888888888888889</v>
      </c>
    </row>
    <row r="1586" spans="1:13" x14ac:dyDescent="0.25">
      <c r="A1586" s="1" t="s">
        <v>5116</v>
      </c>
      <c r="B1586" s="1" t="s">
        <v>5117</v>
      </c>
      <c r="C1586" s="1">
        <v>40400000</v>
      </c>
      <c r="D1586" s="1" t="s">
        <v>20</v>
      </c>
      <c r="E1586">
        <v>156.90889999999999</v>
      </c>
      <c r="F1586" s="1" t="s">
        <v>100</v>
      </c>
      <c r="G1586">
        <v>150</v>
      </c>
      <c r="H1586">
        <v>34</v>
      </c>
      <c r="I1586" s="1" t="s">
        <v>164</v>
      </c>
      <c r="J1586">
        <v>1</v>
      </c>
      <c r="K1586" t="str">
        <f>IF(Tb_data[[#This Row],[previous_workers]]&lt;Tb_data[[#This Row],[workers]],"yes","no")</f>
        <v>yes</v>
      </c>
      <c r="L1586">
        <f>Tb_data[[#This Row],[workers]]-Tb_data[[#This Row],[previous_workers]]</f>
        <v>116</v>
      </c>
      <c r="M1586" s="12">
        <f>Tb_data[[#This Row],[Employees Growth]]/Tb_data[[#This Row],[previous_workers]]</f>
        <v>3.4117647058823528</v>
      </c>
    </row>
    <row r="1587" spans="1:13" x14ac:dyDescent="0.25">
      <c r="A1587" s="1" t="s">
        <v>9495</v>
      </c>
      <c r="B1587" s="1" t="s">
        <v>9496</v>
      </c>
      <c r="C1587" s="1">
        <v>31400000</v>
      </c>
      <c r="D1587" s="1" t="s">
        <v>20</v>
      </c>
      <c r="E1587">
        <v>60.3996</v>
      </c>
      <c r="F1587" s="1" t="s">
        <v>142</v>
      </c>
      <c r="G1587">
        <v>45</v>
      </c>
      <c r="H1587">
        <v>24</v>
      </c>
      <c r="I1587" s="1" t="s">
        <v>46</v>
      </c>
      <c r="J1587">
        <v>2</v>
      </c>
      <c r="K1587" t="str">
        <f>IF(Tb_data[[#This Row],[previous_workers]]&lt;Tb_data[[#This Row],[workers]],"yes","no")</f>
        <v>yes</v>
      </c>
      <c r="L1587">
        <f>Tb_data[[#This Row],[workers]]-Tb_data[[#This Row],[previous_workers]]</f>
        <v>21</v>
      </c>
      <c r="M1587" s="12">
        <f>Tb_data[[#This Row],[Employees Growth]]/Tb_data[[#This Row],[previous_workers]]</f>
        <v>0.875</v>
      </c>
    </row>
    <row r="1588" spans="1:13" x14ac:dyDescent="0.25">
      <c r="A1588" s="1" t="s">
        <v>8151</v>
      </c>
      <c r="B1588" s="1" t="s">
        <v>8152</v>
      </c>
      <c r="C1588" s="1">
        <v>40700000</v>
      </c>
      <c r="D1588" s="1" t="s">
        <v>1002</v>
      </c>
      <c r="E1588">
        <v>80.510400000000004</v>
      </c>
      <c r="F1588" s="1" t="s">
        <v>17</v>
      </c>
      <c r="G1588">
        <v>75</v>
      </c>
      <c r="H1588">
        <v>43</v>
      </c>
      <c r="I1588" s="1" t="s">
        <v>55</v>
      </c>
      <c r="J1588">
        <v>3</v>
      </c>
      <c r="K1588" t="str">
        <f>IF(Tb_data[[#This Row],[previous_workers]]&lt;Tb_data[[#This Row],[workers]],"yes","no")</f>
        <v>yes</v>
      </c>
      <c r="L1588">
        <f>Tb_data[[#This Row],[workers]]-Tb_data[[#This Row],[previous_workers]]</f>
        <v>32</v>
      </c>
      <c r="M1588" s="12">
        <f>Tb_data[[#This Row],[Employees Growth]]/Tb_data[[#This Row],[previous_workers]]</f>
        <v>0.7441860465116279</v>
      </c>
    </row>
    <row r="1589" spans="1:13" x14ac:dyDescent="0.25">
      <c r="A1589" s="1" t="s">
        <v>2626</v>
      </c>
      <c r="B1589" s="1" t="s">
        <v>2627</v>
      </c>
      <c r="C1589" s="1">
        <v>9300000</v>
      </c>
      <c r="D1589" s="1" t="s">
        <v>483</v>
      </c>
      <c r="E1589">
        <v>329.16590000000002</v>
      </c>
      <c r="F1589" s="1" t="s">
        <v>97</v>
      </c>
      <c r="G1589">
        <v>82</v>
      </c>
      <c r="H1589">
        <v>16</v>
      </c>
      <c r="I1589" s="1" t="s">
        <v>2628</v>
      </c>
      <c r="J1589">
        <v>2</v>
      </c>
      <c r="K1589" t="str">
        <f>IF(Tb_data[[#This Row],[previous_workers]]&lt;Tb_data[[#This Row],[workers]],"yes","no")</f>
        <v>yes</v>
      </c>
      <c r="L1589">
        <f>Tb_data[[#This Row],[workers]]-Tb_data[[#This Row],[previous_workers]]</f>
        <v>66</v>
      </c>
      <c r="M1589" s="12">
        <f>Tb_data[[#This Row],[Employees Growth]]/Tb_data[[#This Row],[previous_workers]]</f>
        <v>4.125</v>
      </c>
    </row>
    <row r="1590" spans="1:13" x14ac:dyDescent="0.25">
      <c r="A1590" s="1" t="s">
        <v>6954</v>
      </c>
      <c r="B1590" s="1" t="s">
        <v>6955</v>
      </c>
      <c r="C1590" s="1">
        <v>7100000</v>
      </c>
      <c r="D1590" s="1" t="s">
        <v>45</v>
      </c>
      <c r="E1590">
        <v>102.7041</v>
      </c>
      <c r="F1590" s="1" t="s">
        <v>124</v>
      </c>
      <c r="G1590">
        <v>82</v>
      </c>
      <c r="H1590">
        <v>26</v>
      </c>
      <c r="I1590" s="1" t="s">
        <v>194</v>
      </c>
      <c r="J1590">
        <v>3</v>
      </c>
      <c r="K1590" t="str">
        <f>IF(Tb_data[[#This Row],[previous_workers]]&lt;Tb_data[[#This Row],[workers]],"yes","no")</f>
        <v>yes</v>
      </c>
      <c r="L1590">
        <f>Tb_data[[#This Row],[workers]]-Tb_data[[#This Row],[previous_workers]]</f>
        <v>56</v>
      </c>
      <c r="M1590" s="12">
        <f>Tb_data[[#This Row],[Employees Growth]]/Tb_data[[#This Row],[previous_workers]]</f>
        <v>2.1538461538461537</v>
      </c>
    </row>
    <row r="1591" spans="1:13" x14ac:dyDescent="0.25">
      <c r="A1591" s="1" t="s">
        <v>9846</v>
      </c>
      <c r="B1591" s="1" t="s">
        <v>9847</v>
      </c>
      <c r="C1591" s="1">
        <v>11100000</v>
      </c>
      <c r="D1591" s="1" t="s">
        <v>120</v>
      </c>
      <c r="E1591">
        <v>56.138399999999997</v>
      </c>
      <c r="F1591" s="1" t="s">
        <v>161</v>
      </c>
      <c r="G1591">
        <v>34</v>
      </c>
      <c r="H1591">
        <v>26</v>
      </c>
      <c r="I1591" s="1" t="s">
        <v>229</v>
      </c>
      <c r="J1591">
        <v>1</v>
      </c>
      <c r="K1591" t="str">
        <f>IF(Tb_data[[#This Row],[previous_workers]]&lt;Tb_data[[#This Row],[workers]],"yes","no")</f>
        <v>yes</v>
      </c>
      <c r="L1591">
        <f>Tb_data[[#This Row],[workers]]-Tb_data[[#This Row],[previous_workers]]</f>
        <v>8</v>
      </c>
      <c r="M1591" s="12">
        <f>Tb_data[[#This Row],[Employees Growth]]/Tb_data[[#This Row],[previous_workers]]</f>
        <v>0.30769230769230771</v>
      </c>
    </row>
    <row r="1592" spans="1:13" x14ac:dyDescent="0.25">
      <c r="A1592" s="1" t="s">
        <v>6807</v>
      </c>
      <c r="B1592" s="1" t="s">
        <v>6808</v>
      </c>
      <c r="C1592" s="1">
        <v>15200000</v>
      </c>
      <c r="D1592" s="1" t="s">
        <v>41</v>
      </c>
      <c r="E1592">
        <v>106.5775</v>
      </c>
      <c r="F1592" s="1" t="s">
        <v>124</v>
      </c>
      <c r="G1592">
        <v>45</v>
      </c>
      <c r="H1592">
        <v>15</v>
      </c>
      <c r="I1592" s="1" t="s">
        <v>194</v>
      </c>
      <c r="J1592">
        <v>5</v>
      </c>
      <c r="K1592" t="str">
        <f>IF(Tb_data[[#This Row],[previous_workers]]&lt;Tb_data[[#This Row],[workers]],"yes","no")</f>
        <v>yes</v>
      </c>
      <c r="L1592">
        <f>Tb_data[[#This Row],[workers]]-Tb_data[[#This Row],[previous_workers]]</f>
        <v>30</v>
      </c>
      <c r="M1592" s="12">
        <f>Tb_data[[#This Row],[Employees Growth]]/Tb_data[[#This Row],[previous_workers]]</f>
        <v>2</v>
      </c>
    </row>
    <row r="1593" spans="1:13" x14ac:dyDescent="0.25">
      <c r="A1593" s="1" t="s">
        <v>2486</v>
      </c>
      <c r="B1593" s="1" t="s">
        <v>2487</v>
      </c>
      <c r="C1593" s="1">
        <v>5600000</v>
      </c>
      <c r="D1593" s="1" t="s">
        <v>120</v>
      </c>
      <c r="E1593">
        <v>349.85700000000003</v>
      </c>
      <c r="F1593" s="1" t="s">
        <v>34</v>
      </c>
      <c r="G1593">
        <v>31</v>
      </c>
      <c r="H1593">
        <v>7</v>
      </c>
      <c r="I1593" s="1" t="s">
        <v>130</v>
      </c>
      <c r="J1593">
        <v>2</v>
      </c>
      <c r="K1593" t="str">
        <f>IF(Tb_data[[#This Row],[previous_workers]]&lt;Tb_data[[#This Row],[workers]],"yes","no")</f>
        <v>yes</v>
      </c>
      <c r="L1593">
        <f>Tb_data[[#This Row],[workers]]-Tb_data[[#This Row],[previous_workers]]</f>
        <v>24</v>
      </c>
      <c r="M1593" s="12">
        <f>Tb_data[[#This Row],[Employees Growth]]/Tb_data[[#This Row],[previous_workers]]</f>
        <v>3.4285714285714284</v>
      </c>
    </row>
    <row r="1594" spans="1:13" x14ac:dyDescent="0.25">
      <c r="A1594" s="1" t="s">
        <v>4307</v>
      </c>
      <c r="B1594" s="1" t="s">
        <v>4308</v>
      </c>
      <c r="C1594" s="1">
        <v>36400000</v>
      </c>
      <c r="D1594" s="1" t="s">
        <v>179</v>
      </c>
      <c r="E1594">
        <v>190.98939999999999</v>
      </c>
      <c r="F1594" s="1" t="s">
        <v>97</v>
      </c>
      <c r="G1594">
        <v>375</v>
      </c>
      <c r="H1594">
        <v>96</v>
      </c>
      <c r="I1594" s="1" t="s">
        <v>372</v>
      </c>
      <c r="J1594">
        <v>1</v>
      </c>
      <c r="K1594" t="str">
        <f>IF(Tb_data[[#This Row],[previous_workers]]&lt;Tb_data[[#This Row],[workers]],"yes","no")</f>
        <v>yes</v>
      </c>
      <c r="L1594">
        <f>Tb_data[[#This Row],[workers]]-Tb_data[[#This Row],[previous_workers]]</f>
        <v>279</v>
      </c>
      <c r="M1594" s="12">
        <f>Tb_data[[#This Row],[Employees Growth]]/Tb_data[[#This Row],[previous_workers]]</f>
        <v>2.90625</v>
      </c>
    </row>
    <row r="1595" spans="1:13" x14ac:dyDescent="0.25">
      <c r="A1595" s="1" t="s">
        <v>1843</v>
      </c>
      <c r="B1595" s="1" t="s">
        <v>1844</v>
      </c>
      <c r="C1595" s="1">
        <v>17200000</v>
      </c>
      <c r="D1595" s="1" t="s">
        <v>221</v>
      </c>
      <c r="E1595">
        <v>489.99009999999998</v>
      </c>
      <c r="F1595" s="1" t="s">
        <v>112</v>
      </c>
      <c r="G1595">
        <v>156</v>
      </c>
      <c r="H1595">
        <v>14</v>
      </c>
      <c r="I1595" s="1" t="s">
        <v>117</v>
      </c>
      <c r="J1595">
        <v>2</v>
      </c>
      <c r="K1595" t="str">
        <f>IF(Tb_data[[#This Row],[previous_workers]]&lt;Tb_data[[#This Row],[workers]],"yes","no")</f>
        <v>yes</v>
      </c>
      <c r="L1595">
        <f>Tb_data[[#This Row],[workers]]-Tb_data[[#This Row],[previous_workers]]</f>
        <v>142</v>
      </c>
      <c r="M1595" s="12">
        <f>Tb_data[[#This Row],[Employees Growth]]/Tb_data[[#This Row],[previous_workers]]</f>
        <v>10.142857142857142</v>
      </c>
    </row>
    <row r="1596" spans="1:13" x14ac:dyDescent="0.25">
      <c r="A1596" s="1" t="s">
        <v>3752</v>
      </c>
      <c r="B1596" s="1" t="s">
        <v>3753</v>
      </c>
      <c r="C1596" s="1">
        <v>7900000</v>
      </c>
      <c r="D1596" s="1" t="s">
        <v>45</v>
      </c>
      <c r="E1596">
        <v>225.0693</v>
      </c>
      <c r="F1596" s="1" t="s">
        <v>112</v>
      </c>
      <c r="G1596">
        <v>35</v>
      </c>
      <c r="H1596">
        <v>10</v>
      </c>
      <c r="I1596" s="1" t="s">
        <v>130</v>
      </c>
      <c r="J1596">
        <v>4</v>
      </c>
      <c r="K1596" t="str">
        <f>IF(Tb_data[[#This Row],[previous_workers]]&lt;Tb_data[[#This Row],[workers]],"yes","no")</f>
        <v>yes</v>
      </c>
      <c r="L1596">
        <f>Tb_data[[#This Row],[workers]]-Tb_data[[#This Row],[previous_workers]]</f>
        <v>25</v>
      </c>
      <c r="M1596" s="12">
        <f>Tb_data[[#This Row],[Employees Growth]]/Tb_data[[#This Row],[previous_workers]]</f>
        <v>2.5</v>
      </c>
    </row>
    <row r="1597" spans="1:13" x14ac:dyDescent="0.25">
      <c r="A1597" s="1" t="s">
        <v>6227</v>
      </c>
      <c r="B1597" s="1" t="s">
        <v>6228</v>
      </c>
      <c r="C1597" s="1">
        <v>3900000</v>
      </c>
      <c r="D1597" s="1" t="s">
        <v>115</v>
      </c>
      <c r="E1597">
        <v>120.7735</v>
      </c>
      <c r="F1597" s="1" t="s">
        <v>124</v>
      </c>
      <c r="G1597">
        <v>50</v>
      </c>
      <c r="H1597">
        <v>22</v>
      </c>
      <c r="I1597" s="1" t="s">
        <v>2628</v>
      </c>
      <c r="J1597">
        <v>2</v>
      </c>
      <c r="K1597" t="str">
        <f>IF(Tb_data[[#This Row],[previous_workers]]&lt;Tb_data[[#This Row],[workers]],"yes","no")</f>
        <v>yes</v>
      </c>
      <c r="L1597">
        <f>Tb_data[[#This Row],[workers]]-Tb_data[[#This Row],[previous_workers]]</f>
        <v>28</v>
      </c>
      <c r="M1597" s="12">
        <f>Tb_data[[#This Row],[Employees Growth]]/Tb_data[[#This Row],[previous_workers]]</f>
        <v>1.2727272727272727</v>
      </c>
    </row>
    <row r="1598" spans="1:13" x14ac:dyDescent="0.25">
      <c r="A1598" s="1" t="s">
        <v>3906</v>
      </c>
      <c r="B1598" s="1" t="s">
        <v>3907</v>
      </c>
      <c r="C1598" s="1">
        <v>17700000</v>
      </c>
      <c r="D1598" s="1" t="s">
        <v>664</v>
      </c>
      <c r="E1598">
        <v>213.12979999999999</v>
      </c>
      <c r="F1598" s="1" t="s">
        <v>124</v>
      </c>
      <c r="G1598">
        <v>102</v>
      </c>
      <c r="H1598">
        <v>55</v>
      </c>
      <c r="I1598" s="1" t="s">
        <v>117</v>
      </c>
      <c r="J1598">
        <v>5</v>
      </c>
      <c r="K1598" t="str">
        <f>IF(Tb_data[[#This Row],[previous_workers]]&lt;Tb_data[[#This Row],[workers]],"yes","no")</f>
        <v>yes</v>
      </c>
      <c r="L1598">
        <f>Tb_data[[#This Row],[workers]]-Tb_data[[#This Row],[previous_workers]]</f>
        <v>47</v>
      </c>
      <c r="M1598" s="12">
        <f>Tb_data[[#This Row],[Employees Growth]]/Tb_data[[#This Row],[previous_workers]]</f>
        <v>0.8545454545454545</v>
      </c>
    </row>
    <row r="1599" spans="1:13" x14ac:dyDescent="0.25">
      <c r="A1599" s="1" t="s">
        <v>6231</v>
      </c>
      <c r="B1599" s="1" t="s">
        <v>6232</v>
      </c>
      <c r="C1599" s="1">
        <v>4500000</v>
      </c>
      <c r="D1599" s="1" t="s">
        <v>236</v>
      </c>
      <c r="E1599">
        <v>120.7535</v>
      </c>
      <c r="F1599" s="1" t="s">
        <v>124</v>
      </c>
      <c r="G1599">
        <v>10</v>
      </c>
      <c r="H1599">
        <v>7</v>
      </c>
      <c r="I1599" s="1" t="s">
        <v>980</v>
      </c>
      <c r="J1599">
        <v>1</v>
      </c>
      <c r="K1599" t="str">
        <f>IF(Tb_data[[#This Row],[previous_workers]]&lt;Tb_data[[#This Row],[workers]],"yes","no")</f>
        <v>yes</v>
      </c>
      <c r="L1599">
        <f>Tb_data[[#This Row],[workers]]-Tb_data[[#This Row],[previous_workers]]</f>
        <v>3</v>
      </c>
      <c r="M1599" s="12">
        <f>Tb_data[[#This Row],[Employees Growth]]/Tb_data[[#This Row],[previous_workers]]</f>
        <v>0.42857142857142855</v>
      </c>
    </row>
    <row r="1600" spans="1:13" x14ac:dyDescent="0.25">
      <c r="A1600" s="1" t="s">
        <v>989</v>
      </c>
      <c r="B1600" s="1" t="s">
        <v>990</v>
      </c>
      <c r="C1600" s="1">
        <v>22300000</v>
      </c>
      <c r="D1600" s="1" t="s">
        <v>254</v>
      </c>
      <c r="E1600">
        <v>1018.1919</v>
      </c>
      <c r="F1600" s="1" t="s">
        <v>21</v>
      </c>
      <c r="G1600">
        <v>18</v>
      </c>
      <c r="H1600">
        <v>8</v>
      </c>
      <c r="I1600" s="1" t="s">
        <v>55</v>
      </c>
      <c r="J1600">
        <v>3</v>
      </c>
      <c r="K1600" t="str">
        <f>IF(Tb_data[[#This Row],[previous_workers]]&lt;Tb_data[[#This Row],[workers]],"yes","no")</f>
        <v>yes</v>
      </c>
      <c r="L1600">
        <f>Tb_data[[#This Row],[workers]]-Tb_data[[#This Row],[previous_workers]]</f>
        <v>10</v>
      </c>
      <c r="M1600" s="12">
        <f>Tb_data[[#This Row],[Employees Growth]]/Tb_data[[#This Row],[previous_workers]]</f>
        <v>1.25</v>
      </c>
    </row>
    <row r="1601" spans="1:13" x14ac:dyDescent="0.25">
      <c r="A1601" s="1" t="s">
        <v>625</v>
      </c>
      <c r="B1601" s="1" t="s">
        <v>626</v>
      </c>
      <c r="C1601" s="1">
        <v>2700000</v>
      </c>
      <c r="D1601" s="1" t="s">
        <v>627</v>
      </c>
      <c r="E1601">
        <v>1627.4742000000001</v>
      </c>
      <c r="F1601" s="1" t="s">
        <v>12</v>
      </c>
      <c r="G1601">
        <v>6</v>
      </c>
      <c r="H1601">
        <v>1</v>
      </c>
      <c r="I1601" s="1" t="s">
        <v>13</v>
      </c>
      <c r="J1601">
        <v>1</v>
      </c>
      <c r="K1601" t="str">
        <f>IF(Tb_data[[#This Row],[previous_workers]]&lt;Tb_data[[#This Row],[workers]],"yes","no")</f>
        <v>yes</v>
      </c>
      <c r="L1601">
        <f>Tb_data[[#This Row],[workers]]-Tb_data[[#This Row],[previous_workers]]</f>
        <v>5</v>
      </c>
      <c r="M1601" s="12">
        <f>Tb_data[[#This Row],[Employees Growth]]/Tb_data[[#This Row],[previous_workers]]</f>
        <v>5</v>
      </c>
    </row>
    <row r="1602" spans="1:13" x14ac:dyDescent="0.25">
      <c r="A1602" s="1" t="s">
        <v>9265</v>
      </c>
      <c r="B1602" s="1" t="s">
        <v>9266</v>
      </c>
      <c r="C1602" s="1">
        <v>96400000</v>
      </c>
      <c r="D1602" s="1" t="s">
        <v>11</v>
      </c>
      <c r="E1602">
        <v>63.224499999999999</v>
      </c>
      <c r="F1602" s="1" t="s">
        <v>30</v>
      </c>
      <c r="G1602">
        <v>125</v>
      </c>
      <c r="H1602">
        <v>75</v>
      </c>
      <c r="I1602" s="1" t="s">
        <v>372</v>
      </c>
      <c r="J1602">
        <v>4</v>
      </c>
      <c r="K1602" t="str">
        <f>IF(Tb_data[[#This Row],[previous_workers]]&lt;Tb_data[[#This Row],[workers]],"yes","no")</f>
        <v>yes</v>
      </c>
      <c r="L1602">
        <f>Tb_data[[#This Row],[workers]]-Tb_data[[#This Row],[previous_workers]]</f>
        <v>50</v>
      </c>
      <c r="M1602" s="12">
        <f>Tb_data[[#This Row],[Employees Growth]]/Tb_data[[#This Row],[previous_workers]]</f>
        <v>0.66666666666666663</v>
      </c>
    </row>
    <row r="1603" spans="1:13" x14ac:dyDescent="0.25">
      <c r="A1603" s="1" t="s">
        <v>527</v>
      </c>
      <c r="B1603" s="1" t="s">
        <v>528</v>
      </c>
      <c r="C1603" s="1">
        <v>6100000</v>
      </c>
      <c r="D1603" s="1" t="s">
        <v>20</v>
      </c>
      <c r="E1603">
        <v>1882.7744</v>
      </c>
      <c r="F1603" s="1" t="s">
        <v>30</v>
      </c>
      <c r="G1603">
        <v>5</v>
      </c>
      <c r="H1603">
        <v>2</v>
      </c>
      <c r="I1603" s="1" t="s">
        <v>55</v>
      </c>
      <c r="J1603">
        <v>1</v>
      </c>
      <c r="K1603" t="str">
        <f>IF(Tb_data[[#This Row],[previous_workers]]&lt;Tb_data[[#This Row],[workers]],"yes","no")</f>
        <v>yes</v>
      </c>
      <c r="L1603">
        <f>Tb_data[[#This Row],[workers]]-Tb_data[[#This Row],[previous_workers]]</f>
        <v>3</v>
      </c>
      <c r="M1603" s="12">
        <f>Tb_data[[#This Row],[Employees Growth]]/Tb_data[[#This Row],[previous_workers]]</f>
        <v>1.5</v>
      </c>
    </row>
    <row r="1604" spans="1:13" x14ac:dyDescent="0.25">
      <c r="A1604" s="1" t="s">
        <v>3489</v>
      </c>
      <c r="B1604" s="1" t="s">
        <v>3490</v>
      </c>
      <c r="C1604" s="1">
        <v>31200000</v>
      </c>
      <c r="D1604" s="1" t="s">
        <v>38</v>
      </c>
      <c r="E1604">
        <v>243.35329999999999</v>
      </c>
      <c r="F1604" s="1" t="s">
        <v>100</v>
      </c>
      <c r="G1604">
        <v>7</v>
      </c>
      <c r="H1604">
        <v>3</v>
      </c>
      <c r="I1604" s="1" t="s">
        <v>55</v>
      </c>
      <c r="J1604">
        <v>1</v>
      </c>
      <c r="K1604" t="str">
        <f>IF(Tb_data[[#This Row],[previous_workers]]&lt;Tb_data[[#This Row],[workers]],"yes","no")</f>
        <v>yes</v>
      </c>
      <c r="L1604">
        <f>Tb_data[[#This Row],[workers]]-Tb_data[[#This Row],[previous_workers]]</f>
        <v>4</v>
      </c>
      <c r="M1604" s="12">
        <f>Tb_data[[#This Row],[Employees Growth]]/Tb_data[[#This Row],[previous_workers]]</f>
        <v>1.3333333333333333</v>
      </c>
    </row>
    <row r="1605" spans="1:13" x14ac:dyDescent="0.25">
      <c r="A1605" s="1" t="s">
        <v>9083</v>
      </c>
      <c r="B1605" s="1" t="s">
        <v>9084</v>
      </c>
      <c r="C1605" s="1">
        <v>13300000</v>
      </c>
      <c r="D1605" s="1" t="s">
        <v>123</v>
      </c>
      <c r="E1605">
        <v>65.569199999999995</v>
      </c>
      <c r="F1605" s="1" t="s">
        <v>176</v>
      </c>
      <c r="G1605">
        <v>160</v>
      </c>
      <c r="H1605">
        <v>90</v>
      </c>
      <c r="I1605" s="1" t="s">
        <v>2628</v>
      </c>
      <c r="J1605">
        <v>1</v>
      </c>
      <c r="K1605" t="str">
        <f>IF(Tb_data[[#This Row],[previous_workers]]&lt;Tb_data[[#This Row],[workers]],"yes","no")</f>
        <v>yes</v>
      </c>
      <c r="L1605">
        <f>Tb_data[[#This Row],[workers]]-Tb_data[[#This Row],[previous_workers]]</f>
        <v>70</v>
      </c>
      <c r="M1605" s="12">
        <f>Tb_data[[#This Row],[Employees Growth]]/Tb_data[[#This Row],[previous_workers]]</f>
        <v>0.77777777777777779</v>
      </c>
    </row>
    <row r="1606" spans="1:13" x14ac:dyDescent="0.25">
      <c r="A1606" s="1" t="s">
        <v>3103</v>
      </c>
      <c r="B1606" s="1" t="s">
        <v>3104</v>
      </c>
      <c r="C1606" s="1">
        <v>34200000</v>
      </c>
      <c r="D1606" s="1" t="s">
        <v>115</v>
      </c>
      <c r="E1606">
        <v>277.01949999999999</v>
      </c>
      <c r="F1606" s="1" t="s">
        <v>21</v>
      </c>
      <c r="G1606">
        <v>1190</v>
      </c>
      <c r="H1606">
        <v>315</v>
      </c>
      <c r="I1606" s="1" t="s">
        <v>295</v>
      </c>
      <c r="J1606">
        <v>2</v>
      </c>
      <c r="K1606" t="str">
        <f>IF(Tb_data[[#This Row],[previous_workers]]&lt;Tb_data[[#This Row],[workers]],"yes","no")</f>
        <v>yes</v>
      </c>
      <c r="L1606">
        <f>Tb_data[[#This Row],[workers]]-Tb_data[[#This Row],[previous_workers]]</f>
        <v>875</v>
      </c>
      <c r="M1606" s="12">
        <f>Tb_data[[#This Row],[Employees Growth]]/Tb_data[[#This Row],[previous_workers]]</f>
        <v>2.7777777777777777</v>
      </c>
    </row>
    <row r="1607" spans="1:13" x14ac:dyDescent="0.25">
      <c r="A1607" s="1" t="s">
        <v>136</v>
      </c>
      <c r="B1607" s="1" t="s">
        <v>137</v>
      </c>
      <c r="C1607" s="1">
        <v>8300000</v>
      </c>
      <c r="D1607" s="1" t="s">
        <v>61</v>
      </c>
      <c r="E1607">
        <v>6055.9447</v>
      </c>
      <c r="F1607" s="1" t="s">
        <v>30</v>
      </c>
      <c r="G1607">
        <v>13</v>
      </c>
      <c r="H1607">
        <v>2</v>
      </c>
      <c r="I1607" s="1" t="s">
        <v>26</v>
      </c>
      <c r="J1607">
        <v>1</v>
      </c>
      <c r="K1607" t="str">
        <f>IF(Tb_data[[#This Row],[previous_workers]]&lt;Tb_data[[#This Row],[workers]],"yes","no")</f>
        <v>yes</v>
      </c>
      <c r="L1607">
        <f>Tb_data[[#This Row],[workers]]-Tb_data[[#This Row],[previous_workers]]</f>
        <v>11</v>
      </c>
      <c r="M1607" s="12">
        <f>Tb_data[[#This Row],[Employees Growth]]/Tb_data[[#This Row],[previous_workers]]</f>
        <v>5.5</v>
      </c>
    </row>
    <row r="1608" spans="1:13" x14ac:dyDescent="0.25">
      <c r="A1608" s="1" t="s">
        <v>2434</v>
      </c>
      <c r="B1608" s="1" t="s">
        <v>2435</v>
      </c>
      <c r="C1608" s="1">
        <v>3700000</v>
      </c>
      <c r="D1608" s="1" t="s">
        <v>49</v>
      </c>
      <c r="E1608">
        <v>357.83449999999999</v>
      </c>
      <c r="F1608" s="1" t="s">
        <v>25</v>
      </c>
      <c r="G1608">
        <v>32</v>
      </c>
      <c r="H1608">
        <v>20</v>
      </c>
      <c r="I1608" s="1" t="s">
        <v>55</v>
      </c>
      <c r="J1608">
        <v>2</v>
      </c>
      <c r="K1608" t="str">
        <f>IF(Tb_data[[#This Row],[previous_workers]]&lt;Tb_data[[#This Row],[workers]],"yes","no")</f>
        <v>yes</v>
      </c>
      <c r="L1608">
        <f>Tb_data[[#This Row],[workers]]-Tb_data[[#This Row],[previous_workers]]</f>
        <v>12</v>
      </c>
      <c r="M1608" s="12">
        <f>Tb_data[[#This Row],[Employees Growth]]/Tb_data[[#This Row],[previous_workers]]</f>
        <v>0.6</v>
      </c>
    </row>
    <row r="1609" spans="1:13" x14ac:dyDescent="0.25">
      <c r="A1609" s="1" t="s">
        <v>2102</v>
      </c>
      <c r="B1609" s="1" t="s">
        <v>2103</v>
      </c>
      <c r="C1609" s="1">
        <v>23400000</v>
      </c>
      <c r="D1609" s="1" t="s">
        <v>49</v>
      </c>
      <c r="E1609">
        <v>424.86739999999998</v>
      </c>
      <c r="F1609" s="1" t="s">
        <v>30</v>
      </c>
      <c r="G1609">
        <v>106</v>
      </c>
      <c r="H1609">
        <v>41</v>
      </c>
      <c r="I1609" s="1" t="s">
        <v>117</v>
      </c>
      <c r="J1609">
        <v>2</v>
      </c>
      <c r="K1609" t="str">
        <f>IF(Tb_data[[#This Row],[previous_workers]]&lt;Tb_data[[#This Row],[workers]],"yes","no")</f>
        <v>yes</v>
      </c>
      <c r="L1609">
        <f>Tb_data[[#This Row],[workers]]-Tb_data[[#This Row],[previous_workers]]</f>
        <v>65</v>
      </c>
      <c r="M1609" s="12">
        <f>Tb_data[[#This Row],[Employees Growth]]/Tb_data[[#This Row],[previous_workers]]</f>
        <v>1.5853658536585367</v>
      </c>
    </row>
    <row r="1610" spans="1:13" x14ac:dyDescent="0.25">
      <c r="A1610" s="1" t="s">
        <v>4196</v>
      </c>
      <c r="B1610" s="1" t="s">
        <v>4197</v>
      </c>
      <c r="C1610" s="1">
        <v>5900000</v>
      </c>
      <c r="D1610" s="1" t="s">
        <v>120</v>
      </c>
      <c r="E1610">
        <v>195.77699999999999</v>
      </c>
      <c r="F1610" s="1" t="s">
        <v>176</v>
      </c>
      <c r="G1610">
        <v>48</v>
      </c>
      <c r="H1610">
        <v>11</v>
      </c>
      <c r="I1610" s="1" t="s">
        <v>130</v>
      </c>
      <c r="J1610">
        <v>3</v>
      </c>
      <c r="K1610" t="str">
        <f>IF(Tb_data[[#This Row],[previous_workers]]&lt;Tb_data[[#This Row],[workers]],"yes","no")</f>
        <v>yes</v>
      </c>
      <c r="L1610">
        <f>Tb_data[[#This Row],[workers]]-Tb_data[[#This Row],[previous_workers]]</f>
        <v>37</v>
      </c>
      <c r="M1610" s="12">
        <f>Tb_data[[#This Row],[Employees Growth]]/Tb_data[[#This Row],[previous_workers]]</f>
        <v>3.3636363636363638</v>
      </c>
    </row>
    <row r="1611" spans="1:13" x14ac:dyDescent="0.25">
      <c r="A1611" s="1" t="s">
        <v>1902</v>
      </c>
      <c r="B1611" s="1" t="s">
        <v>1903</v>
      </c>
      <c r="C1611" s="1">
        <v>3500000</v>
      </c>
      <c r="D1611" s="1" t="s">
        <v>175</v>
      </c>
      <c r="E1611">
        <v>473.49220000000003</v>
      </c>
      <c r="F1611" s="1" t="s">
        <v>135</v>
      </c>
      <c r="G1611">
        <v>25</v>
      </c>
      <c r="H1611">
        <v>5</v>
      </c>
      <c r="I1611" s="1" t="s">
        <v>26</v>
      </c>
      <c r="J1611">
        <v>1</v>
      </c>
      <c r="K1611" t="str">
        <f>IF(Tb_data[[#This Row],[previous_workers]]&lt;Tb_data[[#This Row],[workers]],"yes","no")</f>
        <v>yes</v>
      </c>
      <c r="L1611">
        <f>Tb_data[[#This Row],[workers]]-Tb_data[[#This Row],[previous_workers]]</f>
        <v>20</v>
      </c>
      <c r="M1611" s="12">
        <f>Tb_data[[#This Row],[Employees Growth]]/Tb_data[[#This Row],[previous_workers]]</f>
        <v>4</v>
      </c>
    </row>
    <row r="1612" spans="1:13" x14ac:dyDescent="0.25">
      <c r="A1612" s="1" t="s">
        <v>2140</v>
      </c>
      <c r="B1612" s="1" t="s">
        <v>2141</v>
      </c>
      <c r="C1612" s="1">
        <v>4400000</v>
      </c>
      <c r="D1612" s="1" t="s">
        <v>49</v>
      </c>
      <c r="E1612">
        <v>416.08839999999998</v>
      </c>
      <c r="F1612" s="1" t="s">
        <v>100</v>
      </c>
      <c r="G1612">
        <v>18</v>
      </c>
      <c r="H1612">
        <v>8</v>
      </c>
      <c r="I1612" s="1" t="s">
        <v>26</v>
      </c>
      <c r="J1612">
        <v>2</v>
      </c>
      <c r="K1612" t="str">
        <f>IF(Tb_data[[#This Row],[previous_workers]]&lt;Tb_data[[#This Row],[workers]],"yes","no")</f>
        <v>yes</v>
      </c>
      <c r="L1612">
        <f>Tb_data[[#This Row],[workers]]-Tb_data[[#This Row],[previous_workers]]</f>
        <v>10</v>
      </c>
      <c r="M1612" s="12">
        <f>Tb_data[[#This Row],[Employees Growth]]/Tb_data[[#This Row],[previous_workers]]</f>
        <v>1.25</v>
      </c>
    </row>
    <row r="1613" spans="1:13" x14ac:dyDescent="0.25">
      <c r="A1613" s="1" t="s">
        <v>2937</v>
      </c>
      <c r="B1613" s="1" t="s">
        <v>2938</v>
      </c>
      <c r="C1613" s="1">
        <v>60300000</v>
      </c>
      <c r="D1613" s="1" t="s">
        <v>254</v>
      </c>
      <c r="E1613">
        <v>292.5455</v>
      </c>
      <c r="F1613" s="1" t="s">
        <v>17</v>
      </c>
      <c r="G1613">
        <v>85</v>
      </c>
      <c r="H1613">
        <v>33</v>
      </c>
      <c r="I1613" s="1" t="s">
        <v>295</v>
      </c>
      <c r="J1613">
        <v>3</v>
      </c>
      <c r="K1613" t="str">
        <f>IF(Tb_data[[#This Row],[previous_workers]]&lt;Tb_data[[#This Row],[workers]],"yes","no")</f>
        <v>yes</v>
      </c>
      <c r="L1613">
        <f>Tb_data[[#This Row],[workers]]-Tb_data[[#This Row],[previous_workers]]</f>
        <v>52</v>
      </c>
      <c r="M1613" s="12">
        <f>Tb_data[[#This Row],[Employees Growth]]/Tb_data[[#This Row],[previous_workers]]</f>
        <v>1.5757575757575757</v>
      </c>
    </row>
    <row r="1614" spans="1:13" x14ac:dyDescent="0.25">
      <c r="A1614" s="1" t="s">
        <v>7463</v>
      </c>
      <c r="B1614" s="1" t="s">
        <v>7464</v>
      </c>
      <c r="C1614" s="1">
        <v>30300000</v>
      </c>
      <c r="D1614" s="1" t="s">
        <v>49</v>
      </c>
      <c r="E1614">
        <v>94.081699999999998</v>
      </c>
      <c r="F1614" s="1" t="s">
        <v>86</v>
      </c>
      <c r="G1614">
        <v>84</v>
      </c>
      <c r="H1614">
        <v>38</v>
      </c>
      <c r="I1614" s="1" t="s">
        <v>295</v>
      </c>
      <c r="J1614">
        <v>6</v>
      </c>
      <c r="K1614" t="str">
        <f>IF(Tb_data[[#This Row],[previous_workers]]&lt;Tb_data[[#This Row],[workers]],"yes","no")</f>
        <v>yes</v>
      </c>
      <c r="L1614">
        <f>Tb_data[[#This Row],[workers]]-Tb_data[[#This Row],[previous_workers]]</f>
        <v>46</v>
      </c>
      <c r="M1614" s="12">
        <f>Tb_data[[#This Row],[Employees Growth]]/Tb_data[[#This Row],[previous_workers]]</f>
        <v>1.2105263157894737</v>
      </c>
    </row>
    <row r="1615" spans="1:13" x14ac:dyDescent="0.25">
      <c r="A1615" s="1" t="s">
        <v>5220</v>
      </c>
      <c r="B1615" s="1" t="s">
        <v>5221</v>
      </c>
      <c r="C1615" s="1">
        <v>7100000</v>
      </c>
      <c r="D1615" s="1" t="s">
        <v>85</v>
      </c>
      <c r="E1615">
        <v>152.90029999999999</v>
      </c>
      <c r="F1615" s="1" t="s">
        <v>42</v>
      </c>
      <c r="G1615">
        <v>25</v>
      </c>
      <c r="H1615">
        <v>14</v>
      </c>
      <c r="I1615" s="1" t="s">
        <v>117</v>
      </c>
      <c r="J1615">
        <v>3</v>
      </c>
      <c r="K1615" t="str">
        <f>IF(Tb_data[[#This Row],[previous_workers]]&lt;Tb_data[[#This Row],[workers]],"yes","no")</f>
        <v>yes</v>
      </c>
      <c r="L1615">
        <f>Tb_data[[#This Row],[workers]]-Tb_data[[#This Row],[previous_workers]]</f>
        <v>11</v>
      </c>
      <c r="M1615" s="12">
        <f>Tb_data[[#This Row],[Employees Growth]]/Tb_data[[#This Row],[previous_workers]]</f>
        <v>0.7857142857142857</v>
      </c>
    </row>
    <row r="1616" spans="1:13" x14ac:dyDescent="0.25">
      <c r="A1616" s="1" t="s">
        <v>6339</v>
      </c>
      <c r="B1616" s="1" t="s">
        <v>6340</v>
      </c>
      <c r="C1616" s="1">
        <v>16200000</v>
      </c>
      <c r="D1616" s="1" t="s">
        <v>49</v>
      </c>
      <c r="E1616">
        <v>117.718</v>
      </c>
      <c r="F1616" s="1" t="s">
        <v>112</v>
      </c>
      <c r="G1616">
        <v>72</v>
      </c>
      <c r="H1616">
        <v>62</v>
      </c>
      <c r="I1616" s="1" t="s">
        <v>46</v>
      </c>
      <c r="J1616">
        <v>7</v>
      </c>
      <c r="K1616" t="str">
        <f>IF(Tb_data[[#This Row],[previous_workers]]&lt;Tb_data[[#This Row],[workers]],"yes","no")</f>
        <v>yes</v>
      </c>
      <c r="L1616">
        <f>Tb_data[[#This Row],[workers]]-Tb_data[[#This Row],[previous_workers]]</f>
        <v>10</v>
      </c>
      <c r="M1616" s="12">
        <f>Tb_data[[#This Row],[Employees Growth]]/Tb_data[[#This Row],[previous_workers]]</f>
        <v>0.16129032258064516</v>
      </c>
    </row>
    <row r="1617" spans="1:13" x14ac:dyDescent="0.25">
      <c r="A1617" s="1" t="s">
        <v>7567</v>
      </c>
      <c r="B1617" s="1" t="s">
        <v>7568</v>
      </c>
      <c r="C1617" s="1">
        <v>5400000</v>
      </c>
      <c r="D1617" s="1" t="s">
        <v>627</v>
      </c>
      <c r="E1617">
        <v>91.136700000000005</v>
      </c>
      <c r="F1617" s="1" t="s">
        <v>97</v>
      </c>
      <c r="G1617">
        <v>46</v>
      </c>
      <c r="H1617">
        <v>26</v>
      </c>
      <c r="I1617" s="1" t="s">
        <v>130</v>
      </c>
      <c r="J1617">
        <v>3</v>
      </c>
      <c r="K1617" t="str">
        <f>IF(Tb_data[[#This Row],[previous_workers]]&lt;Tb_data[[#This Row],[workers]],"yes","no")</f>
        <v>yes</v>
      </c>
      <c r="L1617">
        <f>Tb_data[[#This Row],[workers]]-Tb_data[[#This Row],[previous_workers]]</f>
        <v>20</v>
      </c>
      <c r="M1617" s="12">
        <f>Tb_data[[#This Row],[Employees Growth]]/Tb_data[[#This Row],[previous_workers]]</f>
        <v>0.76923076923076927</v>
      </c>
    </row>
    <row r="1618" spans="1:13" x14ac:dyDescent="0.25">
      <c r="A1618" s="1" t="s">
        <v>4862</v>
      </c>
      <c r="B1618" s="1" t="s">
        <v>4863</v>
      </c>
      <c r="C1618" s="1">
        <v>84300000</v>
      </c>
      <c r="D1618" s="1" t="s">
        <v>115</v>
      </c>
      <c r="E1618">
        <v>167.5266</v>
      </c>
      <c r="F1618" s="1" t="s">
        <v>100</v>
      </c>
      <c r="G1618">
        <v>25</v>
      </c>
      <c r="H1618">
        <v>10</v>
      </c>
      <c r="I1618" s="1" t="s">
        <v>117</v>
      </c>
      <c r="J1618">
        <v>6</v>
      </c>
      <c r="K1618" t="str">
        <f>IF(Tb_data[[#This Row],[previous_workers]]&lt;Tb_data[[#This Row],[workers]],"yes","no")</f>
        <v>yes</v>
      </c>
      <c r="L1618">
        <f>Tb_data[[#This Row],[workers]]-Tb_data[[#This Row],[previous_workers]]</f>
        <v>15</v>
      </c>
      <c r="M1618" s="12">
        <f>Tb_data[[#This Row],[Employees Growth]]/Tb_data[[#This Row],[previous_workers]]</f>
        <v>1.5</v>
      </c>
    </row>
    <row r="1619" spans="1:13" x14ac:dyDescent="0.25">
      <c r="A1619" s="1" t="s">
        <v>521</v>
      </c>
      <c r="B1619" s="1" t="s">
        <v>522</v>
      </c>
      <c r="C1619" s="1">
        <v>4500000</v>
      </c>
      <c r="D1619" s="1" t="s">
        <v>33</v>
      </c>
      <c r="E1619">
        <v>1914.7356</v>
      </c>
      <c r="F1619" s="1" t="s">
        <v>62</v>
      </c>
      <c r="G1619">
        <v>75</v>
      </c>
      <c r="H1619">
        <v>5</v>
      </c>
      <c r="I1619" s="1" t="s">
        <v>26</v>
      </c>
      <c r="J1619">
        <v>1</v>
      </c>
      <c r="K1619" t="str">
        <f>IF(Tb_data[[#This Row],[previous_workers]]&lt;Tb_data[[#This Row],[workers]],"yes","no")</f>
        <v>yes</v>
      </c>
      <c r="L1619">
        <f>Tb_data[[#This Row],[workers]]-Tb_data[[#This Row],[previous_workers]]</f>
        <v>70</v>
      </c>
      <c r="M1619" s="12">
        <f>Tb_data[[#This Row],[Employees Growth]]/Tb_data[[#This Row],[previous_workers]]</f>
        <v>14</v>
      </c>
    </row>
    <row r="1620" spans="1:13" x14ac:dyDescent="0.25">
      <c r="A1620" s="1" t="s">
        <v>8877</v>
      </c>
      <c r="B1620" s="1" t="s">
        <v>8878</v>
      </c>
      <c r="C1620" s="1">
        <v>8100000</v>
      </c>
      <c r="D1620" s="1" t="s">
        <v>49</v>
      </c>
      <c r="E1620">
        <v>68.322199999999995</v>
      </c>
      <c r="F1620" s="1" t="s">
        <v>86</v>
      </c>
      <c r="G1620">
        <v>23</v>
      </c>
      <c r="H1620">
        <v>25</v>
      </c>
      <c r="I1620" s="1" t="s">
        <v>35</v>
      </c>
      <c r="J1620">
        <v>6</v>
      </c>
      <c r="K1620" t="str">
        <f>IF(Tb_data[[#This Row],[previous_workers]]&lt;Tb_data[[#This Row],[workers]],"yes","no")</f>
        <v>no</v>
      </c>
      <c r="L1620">
        <f>Tb_data[[#This Row],[workers]]-Tb_data[[#This Row],[previous_workers]]</f>
        <v>-2</v>
      </c>
      <c r="M1620" s="12">
        <f>Tb_data[[#This Row],[Employees Growth]]/Tb_data[[#This Row],[previous_workers]]</f>
        <v>-0.08</v>
      </c>
    </row>
    <row r="1621" spans="1:13" x14ac:dyDescent="0.25">
      <c r="A1621" s="1" t="s">
        <v>8691</v>
      </c>
      <c r="B1621" s="1" t="s">
        <v>8692</v>
      </c>
      <c r="C1621" s="1">
        <v>14900000</v>
      </c>
      <c r="D1621" s="1" t="s">
        <v>20</v>
      </c>
      <c r="E1621">
        <v>71.168000000000006</v>
      </c>
      <c r="F1621" s="1" t="s">
        <v>124</v>
      </c>
      <c r="G1621">
        <v>125</v>
      </c>
      <c r="H1621">
        <v>90</v>
      </c>
      <c r="I1621" s="1" t="s">
        <v>1657</v>
      </c>
      <c r="J1621">
        <v>4</v>
      </c>
      <c r="K1621" t="str">
        <f>IF(Tb_data[[#This Row],[previous_workers]]&lt;Tb_data[[#This Row],[workers]],"yes","no")</f>
        <v>yes</v>
      </c>
      <c r="L1621">
        <f>Tb_data[[#This Row],[workers]]-Tb_data[[#This Row],[previous_workers]]</f>
        <v>35</v>
      </c>
      <c r="M1621" s="12">
        <f>Tb_data[[#This Row],[Employees Growth]]/Tb_data[[#This Row],[previous_workers]]</f>
        <v>0.3888888888888889</v>
      </c>
    </row>
    <row r="1622" spans="1:13" x14ac:dyDescent="0.25">
      <c r="A1622" s="1" t="s">
        <v>5608</v>
      </c>
      <c r="B1622" s="1" t="s">
        <v>5609</v>
      </c>
      <c r="C1622" s="1">
        <v>63900000</v>
      </c>
      <c r="D1622" s="1" t="s">
        <v>45</v>
      </c>
      <c r="E1622">
        <v>137.5307</v>
      </c>
      <c r="F1622" s="1" t="s">
        <v>176</v>
      </c>
      <c r="G1622">
        <v>40</v>
      </c>
      <c r="H1622">
        <v>17</v>
      </c>
      <c r="I1622" s="1" t="s">
        <v>26</v>
      </c>
      <c r="J1622">
        <v>1</v>
      </c>
      <c r="K1622" t="str">
        <f>IF(Tb_data[[#This Row],[previous_workers]]&lt;Tb_data[[#This Row],[workers]],"yes","no")</f>
        <v>yes</v>
      </c>
      <c r="L1622">
        <f>Tb_data[[#This Row],[workers]]-Tb_data[[#This Row],[previous_workers]]</f>
        <v>23</v>
      </c>
      <c r="M1622" s="12">
        <f>Tb_data[[#This Row],[Employees Growth]]/Tb_data[[#This Row],[previous_workers]]</f>
        <v>1.3529411764705883</v>
      </c>
    </row>
    <row r="1623" spans="1:13" x14ac:dyDescent="0.25">
      <c r="A1623" s="1" t="s">
        <v>6127</v>
      </c>
      <c r="B1623" s="1" t="s">
        <v>6128</v>
      </c>
      <c r="C1623" s="1">
        <v>46400000</v>
      </c>
      <c r="D1623" s="1" t="s">
        <v>321</v>
      </c>
      <c r="E1623">
        <v>123.1022</v>
      </c>
      <c r="F1623" s="1" t="s">
        <v>25</v>
      </c>
      <c r="G1623">
        <v>89</v>
      </c>
      <c r="H1623">
        <v>41</v>
      </c>
      <c r="I1623" s="1" t="s">
        <v>1051</v>
      </c>
      <c r="J1623">
        <v>6</v>
      </c>
      <c r="K1623" t="str">
        <f>IF(Tb_data[[#This Row],[previous_workers]]&lt;Tb_data[[#This Row],[workers]],"yes","no")</f>
        <v>yes</v>
      </c>
      <c r="L1623">
        <f>Tb_data[[#This Row],[workers]]-Tb_data[[#This Row],[previous_workers]]</f>
        <v>48</v>
      </c>
      <c r="M1623" s="12">
        <f>Tb_data[[#This Row],[Employees Growth]]/Tb_data[[#This Row],[previous_workers]]</f>
        <v>1.1707317073170731</v>
      </c>
    </row>
    <row r="1624" spans="1:13" x14ac:dyDescent="0.25">
      <c r="A1624" s="1" t="s">
        <v>2124</v>
      </c>
      <c r="B1624" s="1" t="s">
        <v>2125</v>
      </c>
      <c r="C1624" s="1">
        <v>3200000</v>
      </c>
      <c r="D1624" s="1" t="s">
        <v>61</v>
      </c>
      <c r="E1624">
        <v>419.27670000000001</v>
      </c>
      <c r="F1624" s="1" t="s">
        <v>176</v>
      </c>
      <c r="G1624">
        <v>40</v>
      </c>
      <c r="H1624">
        <v>4</v>
      </c>
      <c r="I1624" s="1" t="s">
        <v>117</v>
      </c>
      <c r="J1624">
        <v>1</v>
      </c>
      <c r="K1624" t="str">
        <f>IF(Tb_data[[#This Row],[previous_workers]]&lt;Tb_data[[#This Row],[workers]],"yes","no")</f>
        <v>yes</v>
      </c>
      <c r="L1624">
        <f>Tb_data[[#This Row],[workers]]-Tb_data[[#This Row],[previous_workers]]</f>
        <v>36</v>
      </c>
      <c r="M1624" s="12">
        <f>Tb_data[[#This Row],[Employees Growth]]/Tb_data[[#This Row],[previous_workers]]</f>
        <v>9</v>
      </c>
    </row>
    <row r="1625" spans="1:13" x14ac:dyDescent="0.25">
      <c r="A1625" s="1" t="s">
        <v>6003</v>
      </c>
      <c r="B1625" s="1" t="s">
        <v>6004</v>
      </c>
      <c r="C1625" s="1">
        <v>58600000</v>
      </c>
      <c r="D1625" s="1" t="s">
        <v>41</v>
      </c>
      <c r="E1625">
        <v>126.51479999999999</v>
      </c>
      <c r="F1625" s="1" t="s">
        <v>97</v>
      </c>
      <c r="G1625">
        <v>11</v>
      </c>
      <c r="H1625">
        <v>9</v>
      </c>
      <c r="I1625" s="1" t="s">
        <v>164</v>
      </c>
      <c r="J1625">
        <v>4</v>
      </c>
      <c r="K1625" t="str">
        <f>IF(Tb_data[[#This Row],[previous_workers]]&lt;Tb_data[[#This Row],[workers]],"yes","no")</f>
        <v>yes</v>
      </c>
      <c r="L1625">
        <f>Tb_data[[#This Row],[workers]]-Tb_data[[#This Row],[previous_workers]]</f>
        <v>2</v>
      </c>
      <c r="M1625" s="12">
        <f>Tb_data[[#This Row],[Employees Growth]]/Tb_data[[#This Row],[previous_workers]]</f>
        <v>0.22222222222222221</v>
      </c>
    </row>
    <row r="1626" spans="1:13" x14ac:dyDescent="0.25">
      <c r="A1626" s="1" t="s">
        <v>2524</v>
      </c>
      <c r="B1626" s="1" t="s">
        <v>2525</v>
      </c>
      <c r="C1626" s="1">
        <v>4100000</v>
      </c>
      <c r="D1626" s="1" t="s">
        <v>41</v>
      </c>
      <c r="E1626">
        <v>340.36439999999999</v>
      </c>
      <c r="F1626" s="1" t="s">
        <v>97</v>
      </c>
      <c r="G1626">
        <v>28</v>
      </c>
      <c r="H1626">
        <v>15</v>
      </c>
      <c r="I1626" s="1" t="s">
        <v>26</v>
      </c>
      <c r="J1626">
        <v>2</v>
      </c>
      <c r="K1626" t="str">
        <f>IF(Tb_data[[#This Row],[previous_workers]]&lt;Tb_data[[#This Row],[workers]],"yes","no")</f>
        <v>yes</v>
      </c>
      <c r="L1626">
        <f>Tb_data[[#This Row],[workers]]-Tb_data[[#This Row],[previous_workers]]</f>
        <v>13</v>
      </c>
      <c r="M1626" s="12">
        <f>Tb_data[[#This Row],[Employees Growth]]/Tb_data[[#This Row],[previous_workers]]</f>
        <v>0.8666666666666667</v>
      </c>
    </row>
    <row r="1627" spans="1:13" x14ac:dyDescent="0.25">
      <c r="A1627" s="1" t="s">
        <v>7361</v>
      </c>
      <c r="B1627" s="1" t="s">
        <v>7362</v>
      </c>
      <c r="C1627" s="1">
        <v>54900000</v>
      </c>
      <c r="D1627" s="1" t="s">
        <v>41</v>
      </c>
      <c r="E1627">
        <v>95.877099999999999</v>
      </c>
      <c r="F1627" s="1" t="s">
        <v>176</v>
      </c>
      <c r="G1627">
        <v>68</v>
      </c>
      <c r="H1627">
        <v>50</v>
      </c>
      <c r="I1627" s="1" t="s">
        <v>74</v>
      </c>
      <c r="J1627">
        <v>3</v>
      </c>
      <c r="K1627" t="str">
        <f>IF(Tb_data[[#This Row],[previous_workers]]&lt;Tb_data[[#This Row],[workers]],"yes","no")</f>
        <v>yes</v>
      </c>
      <c r="L1627">
        <f>Tb_data[[#This Row],[workers]]-Tb_data[[#This Row],[previous_workers]]</f>
        <v>18</v>
      </c>
      <c r="M1627" s="12">
        <f>Tb_data[[#This Row],[Employees Growth]]/Tb_data[[#This Row],[previous_workers]]</f>
        <v>0.36</v>
      </c>
    </row>
    <row r="1628" spans="1:13" x14ac:dyDescent="0.25">
      <c r="A1628" s="1" t="s">
        <v>368</v>
      </c>
      <c r="B1628" s="1" t="s">
        <v>369</v>
      </c>
      <c r="C1628" s="1">
        <v>5400000</v>
      </c>
      <c r="D1628" s="1" t="s">
        <v>41</v>
      </c>
      <c r="E1628">
        <v>2555.6570000000002</v>
      </c>
      <c r="F1628" s="1" t="s">
        <v>97</v>
      </c>
      <c r="G1628">
        <v>57</v>
      </c>
      <c r="H1628">
        <v>1</v>
      </c>
      <c r="I1628" s="1" t="s">
        <v>117</v>
      </c>
      <c r="J1628">
        <v>2</v>
      </c>
      <c r="K1628" t="str">
        <f>IF(Tb_data[[#This Row],[previous_workers]]&lt;Tb_data[[#This Row],[workers]],"yes","no")</f>
        <v>yes</v>
      </c>
      <c r="L1628">
        <f>Tb_data[[#This Row],[workers]]-Tb_data[[#This Row],[previous_workers]]</f>
        <v>56</v>
      </c>
      <c r="M1628" s="12">
        <f>Tb_data[[#This Row],[Employees Growth]]/Tb_data[[#This Row],[previous_workers]]</f>
        <v>56</v>
      </c>
    </row>
    <row r="1629" spans="1:13" x14ac:dyDescent="0.25">
      <c r="A1629" s="1" t="s">
        <v>263</v>
      </c>
      <c r="B1629" s="1" t="s">
        <v>264</v>
      </c>
      <c r="C1629" s="1">
        <v>7400000</v>
      </c>
      <c r="D1629" s="1" t="s">
        <v>49</v>
      </c>
      <c r="E1629">
        <v>3371.0279999999998</v>
      </c>
      <c r="F1629" s="1" t="s">
        <v>12</v>
      </c>
      <c r="G1629">
        <v>85</v>
      </c>
      <c r="H1629">
        <v>1</v>
      </c>
      <c r="I1629" s="1" t="s">
        <v>26</v>
      </c>
      <c r="J1629">
        <v>1</v>
      </c>
      <c r="K1629" t="str">
        <f>IF(Tb_data[[#This Row],[previous_workers]]&lt;Tb_data[[#This Row],[workers]],"yes","no")</f>
        <v>yes</v>
      </c>
      <c r="L1629">
        <f>Tb_data[[#This Row],[workers]]-Tb_data[[#This Row],[previous_workers]]</f>
        <v>84</v>
      </c>
      <c r="M1629" s="12">
        <f>Tb_data[[#This Row],[Employees Growth]]/Tb_data[[#This Row],[previous_workers]]</f>
        <v>84</v>
      </c>
    </row>
    <row r="1630" spans="1:13" x14ac:dyDescent="0.25">
      <c r="A1630" s="1" t="s">
        <v>3977</v>
      </c>
      <c r="B1630" s="1" t="s">
        <v>3978</v>
      </c>
      <c r="C1630" s="1">
        <v>3800000</v>
      </c>
      <c r="D1630" s="1" t="s">
        <v>20</v>
      </c>
      <c r="E1630">
        <v>207.89279999999999</v>
      </c>
      <c r="F1630" s="1" t="s">
        <v>176</v>
      </c>
      <c r="G1630">
        <v>19</v>
      </c>
      <c r="H1630">
        <v>2</v>
      </c>
      <c r="I1630" s="1" t="s">
        <v>117</v>
      </c>
      <c r="J1630">
        <v>1</v>
      </c>
      <c r="K1630" t="str">
        <f>IF(Tb_data[[#This Row],[previous_workers]]&lt;Tb_data[[#This Row],[workers]],"yes","no")</f>
        <v>yes</v>
      </c>
      <c r="L1630">
        <f>Tb_data[[#This Row],[workers]]-Tb_data[[#This Row],[previous_workers]]</f>
        <v>17</v>
      </c>
      <c r="M1630" s="12">
        <f>Tb_data[[#This Row],[Employees Growth]]/Tb_data[[#This Row],[previous_workers]]</f>
        <v>8.5</v>
      </c>
    </row>
    <row r="1631" spans="1:13" x14ac:dyDescent="0.25">
      <c r="A1631" s="1" t="s">
        <v>203</v>
      </c>
      <c r="B1631" s="1" t="s">
        <v>204</v>
      </c>
      <c r="C1631" s="1">
        <v>9000000</v>
      </c>
      <c r="D1631" s="1" t="s">
        <v>120</v>
      </c>
      <c r="E1631">
        <v>4322.5573000000004</v>
      </c>
      <c r="F1631" s="1" t="s">
        <v>86</v>
      </c>
      <c r="G1631">
        <v>63</v>
      </c>
      <c r="H1631">
        <v>31</v>
      </c>
      <c r="I1631" s="1" t="s">
        <v>55</v>
      </c>
      <c r="J1631">
        <v>1</v>
      </c>
      <c r="K1631" t="str">
        <f>IF(Tb_data[[#This Row],[previous_workers]]&lt;Tb_data[[#This Row],[workers]],"yes","no")</f>
        <v>yes</v>
      </c>
      <c r="L1631">
        <f>Tb_data[[#This Row],[workers]]-Tb_data[[#This Row],[previous_workers]]</f>
        <v>32</v>
      </c>
      <c r="M1631" s="12">
        <f>Tb_data[[#This Row],[Employees Growth]]/Tb_data[[#This Row],[previous_workers]]</f>
        <v>1.032258064516129</v>
      </c>
    </row>
    <row r="1632" spans="1:13" x14ac:dyDescent="0.25">
      <c r="A1632" s="1" t="s">
        <v>5572</v>
      </c>
      <c r="B1632" s="1" t="s">
        <v>5573</v>
      </c>
      <c r="C1632" s="1">
        <v>16200000</v>
      </c>
      <c r="D1632" s="1" t="s">
        <v>38</v>
      </c>
      <c r="E1632">
        <v>139.44710000000001</v>
      </c>
      <c r="F1632" s="1" t="s">
        <v>12</v>
      </c>
      <c r="G1632">
        <v>50</v>
      </c>
      <c r="H1632">
        <v>25</v>
      </c>
      <c r="I1632" s="1" t="s">
        <v>468</v>
      </c>
      <c r="J1632">
        <v>1</v>
      </c>
      <c r="K1632" t="str">
        <f>IF(Tb_data[[#This Row],[previous_workers]]&lt;Tb_data[[#This Row],[workers]],"yes","no")</f>
        <v>yes</v>
      </c>
      <c r="L1632">
        <f>Tb_data[[#This Row],[workers]]-Tb_data[[#This Row],[previous_workers]]</f>
        <v>25</v>
      </c>
      <c r="M1632" s="12">
        <f>Tb_data[[#This Row],[Employees Growth]]/Tb_data[[#This Row],[previous_workers]]</f>
        <v>1</v>
      </c>
    </row>
    <row r="1633" spans="1:13" x14ac:dyDescent="0.25">
      <c r="A1633" s="1" t="s">
        <v>1976</v>
      </c>
      <c r="B1633" s="1" t="s">
        <v>1977</v>
      </c>
      <c r="C1633" s="1">
        <v>125500000</v>
      </c>
      <c r="D1633" s="1" t="s">
        <v>52</v>
      </c>
      <c r="E1633">
        <v>456.36989999999997</v>
      </c>
      <c r="F1633" s="1" t="s">
        <v>112</v>
      </c>
      <c r="G1633">
        <v>140</v>
      </c>
      <c r="H1633">
        <v>34</v>
      </c>
      <c r="I1633" s="1" t="s">
        <v>194</v>
      </c>
      <c r="J1633">
        <v>3</v>
      </c>
      <c r="K1633" t="str">
        <f>IF(Tb_data[[#This Row],[previous_workers]]&lt;Tb_data[[#This Row],[workers]],"yes","no")</f>
        <v>yes</v>
      </c>
      <c r="L1633">
        <f>Tb_data[[#This Row],[workers]]-Tb_data[[#This Row],[previous_workers]]</f>
        <v>106</v>
      </c>
      <c r="M1633" s="12">
        <f>Tb_data[[#This Row],[Employees Growth]]/Tb_data[[#This Row],[previous_workers]]</f>
        <v>3.1176470588235294</v>
      </c>
    </row>
    <row r="1634" spans="1:13" x14ac:dyDescent="0.25">
      <c r="A1634" s="1" t="s">
        <v>7301</v>
      </c>
      <c r="B1634" s="1" t="s">
        <v>7302</v>
      </c>
      <c r="C1634" s="1">
        <v>4000000</v>
      </c>
      <c r="D1634" s="1" t="s">
        <v>20</v>
      </c>
      <c r="E1634">
        <v>97.018699999999995</v>
      </c>
      <c r="F1634" s="1" t="s">
        <v>97</v>
      </c>
      <c r="G1634">
        <v>43</v>
      </c>
      <c r="H1634">
        <v>21</v>
      </c>
      <c r="I1634" s="1" t="s">
        <v>229</v>
      </c>
      <c r="J1634">
        <v>1</v>
      </c>
      <c r="K1634" t="str">
        <f>IF(Tb_data[[#This Row],[previous_workers]]&lt;Tb_data[[#This Row],[workers]],"yes","no")</f>
        <v>yes</v>
      </c>
      <c r="L1634">
        <f>Tb_data[[#This Row],[workers]]-Tb_data[[#This Row],[previous_workers]]</f>
        <v>22</v>
      </c>
      <c r="M1634" s="12">
        <f>Tb_data[[#This Row],[Employees Growth]]/Tb_data[[#This Row],[previous_workers]]</f>
        <v>1.0476190476190477</v>
      </c>
    </row>
    <row r="1635" spans="1:13" x14ac:dyDescent="0.25">
      <c r="A1635" s="1" t="s">
        <v>8801</v>
      </c>
      <c r="B1635" s="1" t="s">
        <v>8802</v>
      </c>
      <c r="C1635" s="1">
        <v>69000000</v>
      </c>
      <c r="D1635" s="1" t="s">
        <v>61</v>
      </c>
      <c r="E1635">
        <v>69.448899999999995</v>
      </c>
      <c r="F1635" s="1" t="s">
        <v>3264</v>
      </c>
      <c r="G1635">
        <v>65</v>
      </c>
      <c r="H1635">
        <v>54</v>
      </c>
      <c r="I1635" s="1" t="s">
        <v>229</v>
      </c>
      <c r="J1635">
        <v>1</v>
      </c>
      <c r="K1635" t="str">
        <f>IF(Tb_data[[#This Row],[previous_workers]]&lt;Tb_data[[#This Row],[workers]],"yes","no")</f>
        <v>yes</v>
      </c>
      <c r="L1635">
        <f>Tb_data[[#This Row],[workers]]-Tb_data[[#This Row],[previous_workers]]</f>
        <v>11</v>
      </c>
      <c r="M1635" s="12">
        <f>Tb_data[[#This Row],[Employees Growth]]/Tb_data[[#This Row],[previous_workers]]</f>
        <v>0.20370370370370369</v>
      </c>
    </row>
    <row r="1636" spans="1:13" x14ac:dyDescent="0.25">
      <c r="A1636" s="1" t="s">
        <v>2573</v>
      </c>
      <c r="B1636" s="1" t="s">
        <v>2574</v>
      </c>
      <c r="C1636" s="1">
        <v>2400000</v>
      </c>
      <c r="D1636" s="1" t="s">
        <v>20</v>
      </c>
      <c r="E1636">
        <v>334.33620000000002</v>
      </c>
      <c r="F1636" s="1" t="s">
        <v>94</v>
      </c>
      <c r="G1636">
        <v>6</v>
      </c>
      <c r="H1636">
        <v>2</v>
      </c>
      <c r="I1636" s="1" t="s">
        <v>164</v>
      </c>
      <c r="J1636">
        <v>1</v>
      </c>
      <c r="K1636" t="str">
        <f>IF(Tb_data[[#This Row],[previous_workers]]&lt;Tb_data[[#This Row],[workers]],"yes","no")</f>
        <v>yes</v>
      </c>
      <c r="L1636">
        <f>Tb_data[[#This Row],[workers]]-Tb_data[[#This Row],[previous_workers]]</f>
        <v>4</v>
      </c>
      <c r="M1636" s="12">
        <f>Tb_data[[#This Row],[Employees Growth]]/Tb_data[[#This Row],[previous_workers]]</f>
        <v>2</v>
      </c>
    </row>
    <row r="1637" spans="1:13" x14ac:dyDescent="0.25">
      <c r="A1637" s="1" t="s">
        <v>6988</v>
      </c>
      <c r="B1637" s="1" t="s">
        <v>6989</v>
      </c>
      <c r="C1637" s="1">
        <v>18200000</v>
      </c>
      <c r="D1637" s="1" t="s">
        <v>33</v>
      </c>
      <c r="E1637">
        <v>102.119</v>
      </c>
      <c r="F1637" s="1" t="s">
        <v>86</v>
      </c>
      <c r="G1637">
        <v>140</v>
      </c>
      <c r="H1637">
        <v>50</v>
      </c>
      <c r="I1637" s="1" t="s">
        <v>4080</v>
      </c>
      <c r="J1637">
        <v>3</v>
      </c>
      <c r="K1637" t="str">
        <f>IF(Tb_data[[#This Row],[previous_workers]]&lt;Tb_data[[#This Row],[workers]],"yes","no")</f>
        <v>yes</v>
      </c>
      <c r="L1637">
        <f>Tb_data[[#This Row],[workers]]-Tb_data[[#This Row],[previous_workers]]</f>
        <v>90</v>
      </c>
      <c r="M1637" s="12">
        <f>Tb_data[[#This Row],[Employees Growth]]/Tb_data[[#This Row],[previous_workers]]</f>
        <v>1.8</v>
      </c>
    </row>
    <row r="1638" spans="1:13" x14ac:dyDescent="0.25">
      <c r="A1638" s="1" t="s">
        <v>3941</v>
      </c>
      <c r="B1638" s="1" t="s">
        <v>3942</v>
      </c>
      <c r="C1638" s="1">
        <v>153800000</v>
      </c>
      <c r="D1638" s="1" t="s">
        <v>91</v>
      </c>
      <c r="E1638">
        <v>210.31899999999999</v>
      </c>
      <c r="F1638" s="1" t="s">
        <v>124</v>
      </c>
      <c r="G1638">
        <v>80</v>
      </c>
      <c r="H1638">
        <v>51</v>
      </c>
      <c r="I1638" s="1" t="s">
        <v>3943</v>
      </c>
      <c r="J1638">
        <v>2</v>
      </c>
      <c r="K1638" t="str">
        <f>IF(Tb_data[[#This Row],[previous_workers]]&lt;Tb_data[[#This Row],[workers]],"yes","no")</f>
        <v>yes</v>
      </c>
      <c r="L1638">
        <f>Tb_data[[#This Row],[workers]]-Tb_data[[#This Row],[previous_workers]]</f>
        <v>29</v>
      </c>
      <c r="M1638" s="12">
        <f>Tb_data[[#This Row],[Employees Growth]]/Tb_data[[#This Row],[previous_workers]]</f>
        <v>0.56862745098039214</v>
      </c>
    </row>
    <row r="1639" spans="1:13" x14ac:dyDescent="0.25">
      <c r="A1639" s="1" t="s">
        <v>1308</v>
      </c>
      <c r="B1639" s="1" t="s">
        <v>1309</v>
      </c>
      <c r="C1639" s="1">
        <v>14800000</v>
      </c>
      <c r="D1639" s="1" t="s">
        <v>49</v>
      </c>
      <c r="E1639">
        <v>735.79380000000003</v>
      </c>
      <c r="F1639" s="1" t="s">
        <v>21</v>
      </c>
      <c r="G1639">
        <v>102</v>
      </c>
      <c r="H1639">
        <v>20</v>
      </c>
      <c r="I1639" s="1" t="s">
        <v>26</v>
      </c>
      <c r="J1639">
        <v>1</v>
      </c>
      <c r="K1639" t="str">
        <f>IF(Tb_data[[#This Row],[previous_workers]]&lt;Tb_data[[#This Row],[workers]],"yes","no")</f>
        <v>yes</v>
      </c>
      <c r="L1639">
        <f>Tb_data[[#This Row],[workers]]-Tb_data[[#This Row],[previous_workers]]</f>
        <v>82</v>
      </c>
      <c r="M1639" s="12">
        <f>Tb_data[[#This Row],[Employees Growth]]/Tb_data[[#This Row],[previous_workers]]</f>
        <v>4.0999999999999996</v>
      </c>
    </row>
    <row r="1640" spans="1:13" x14ac:dyDescent="0.25">
      <c r="A1640" s="1" t="s">
        <v>1714</v>
      </c>
      <c r="B1640" s="1" t="s">
        <v>1715</v>
      </c>
      <c r="C1640" s="1">
        <v>35600000</v>
      </c>
      <c r="D1640" s="1" t="s">
        <v>123</v>
      </c>
      <c r="E1640">
        <v>532.72630000000004</v>
      </c>
      <c r="F1640" s="1" t="s">
        <v>17</v>
      </c>
      <c r="G1640">
        <v>68</v>
      </c>
      <c r="H1640">
        <v>7</v>
      </c>
      <c r="I1640" s="1" t="s">
        <v>130</v>
      </c>
      <c r="J1640">
        <v>3</v>
      </c>
      <c r="K1640" t="str">
        <f>IF(Tb_data[[#This Row],[previous_workers]]&lt;Tb_data[[#This Row],[workers]],"yes","no")</f>
        <v>yes</v>
      </c>
      <c r="L1640">
        <f>Tb_data[[#This Row],[workers]]-Tb_data[[#This Row],[previous_workers]]</f>
        <v>61</v>
      </c>
      <c r="M1640" s="12">
        <f>Tb_data[[#This Row],[Employees Growth]]/Tb_data[[#This Row],[previous_workers]]</f>
        <v>8.7142857142857135</v>
      </c>
    </row>
    <row r="1641" spans="1:13" x14ac:dyDescent="0.25">
      <c r="A1641" s="1" t="s">
        <v>9690</v>
      </c>
      <c r="B1641" s="1" t="s">
        <v>9691</v>
      </c>
      <c r="C1641" s="1">
        <v>17100000</v>
      </c>
      <c r="D1641" s="1" t="s">
        <v>61</v>
      </c>
      <c r="E1641">
        <v>58.141800000000003</v>
      </c>
      <c r="F1641" s="1" t="s">
        <v>12</v>
      </c>
      <c r="G1641">
        <v>65</v>
      </c>
      <c r="H1641">
        <v>39</v>
      </c>
      <c r="I1641" s="1" t="s">
        <v>55</v>
      </c>
      <c r="J1641">
        <v>1</v>
      </c>
      <c r="K1641" t="str">
        <f>IF(Tb_data[[#This Row],[previous_workers]]&lt;Tb_data[[#This Row],[workers]],"yes","no")</f>
        <v>yes</v>
      </c>
      <c r="L1641">
        <f>Tb_data[[#This Row],[workers]]-Tb_data[[#This Row],[previous_workers]]</f>
        <v>26</v>
      </c>
      <c r="M1641" s="12">
        <f>Tb_data[[#This Row],[Employees Growth]]/Tb_data[[#This Row],[previous_workers]]</f>
        <v>0.66666666666666663</v>
      </c>
    </row>
    <row r="1642" spans="1:13" x14ac:dyDescent="0.25">
      <c r="A1642" s="1" t="s">
        <v>3744</v>
      </c>
      <c r="B1642" s="1" t="s">
        <v>3745</v>
      </c>
      <c r="C1642" s="1">
        <v>4500000</v>
      </c>
      <c r="D1642" s="1" t="s">
        <v>375</v>
      </c>
      <c r="E1642">
        <v>225.4085</v>
      </c>
      <c r="F1642" s="1" t="s">
        <v>86</v>
      </c>
      <c r="G1642">
        <v>14</v>
      </c>
      <c r="H1642">
        <v>5</v>
      </c>
      <c r="I1642" s="1" t="s">
        <v>46</v>
      </c>
      <c r="J1642">
        <v>1</v>
      </c>
      <c r="K1642" t="str">
        <f>IF(Tb_data[[#This Row],[previous_workers]]&lt;Tb_data[[#This Row],[workers]],"yes","no")</f>
        <v>yes</v>
      </c>
      <c r="L1642">
        <f>Tb_data[[#This Row],[workers]]-Tb_data[[#This Row],[previous_workers]]</f>
        <v>9</v>
      </c>
      <c r="M1642" s="12">
        <f>Tb_data[[#This Row],[Employees Growth]]/Tb_data[[#This Row],[previous_workers]]</f>
        <v>1.8</v>
      </c>
    </row>
    <row r="1643" spans="1:13" x14ac:dyDescent="0.25">
      <c r="A1643" s="1" t="s">
        <v>10062</v>
      </c>
      <c r="B1643" s="1" t="s">
        <v>10063</v>
      </c>
      <c r="C1643" s="1">
        <v>7400000</v>
      </c>
      <c r="D1643" s="1" t="s">
        <v>49</v>
      </c>
      <c r="E1643">
        <v>52.649099999999997</v>
      </c>
      <c r="F1643" s="1" t="s">
        <v>86</v>
      </c>
      <c r="G1643">
        <v>47</v>
      </c>
      <c r="H1643">
        <v>29</v>
      </c>
      <c r="I1643" s="1" t="s">
        <v>74</v>
      </c>
      <c r="J1643">
        <v>2</v>
      </c>
      <c r="K1643" t="str">
        <f>IF(Tb_data[[#This Row],[previous_workers]]&lt;Tb_data[[#This Row],[workers]],"yes","no")</f>
        <v>yes</v>
      </c>
      <c r="L1643">
        <f>Tb_data[[#This Row],[workers]]-Tb_data[[#This Row],[previous_workers]]</f>
        <v>18</v>
      </c>
      <c r="M1643" s="12">
        <f>Tb_data[[#This Row],[Employees Growth]]/Tb_data[[#This Row],[previous_workers]]</f>
        <v>0.62068965517241381</v>
      </c>
    </row>
    <row r="1644" spans="1:13" x14ac:dyDescent="0.25">
      <c r="A1644" s="1" t="s">
        <v>5934</v>
      </c>
      <c r="B1644" s="1" t="s">
        <v>5935</v>
      </c>
      <c r="C1644" s="1">
        <v>14300000</v>
      </c>
      <c r="D1644" s="1" t="s">
        <v>33</v>
      </c>
      <c r="E1644">
        <v>128.07239999999999</v>
      </c>
      <c r="F1644" s="1" t="s">
        <v>176</v>
      </c>
      <c r="G1644">
        <v>35</v>
      </c>
      <c r="H1644">
        <v>25</v>
      </c>
      <c r="I1644" s="1" t="s">
        <v>961</v>
      </c>
      <c r="J1644">
        <v>3</v>
      </c>
      <c r="K1644" t="str">
        <f>IF(Tb_data[[#This Row],[previous_workers]]&lt;Tb_data[[#This Row],[workers]],"yes","no")</f>
        <v>yes</v>
      </c>
      <c r="L1644">
        <f>Tb_data[[#This Row],[workers]]-Tb_data[[#This Row],[previous_workers]]</f>
        <v>10</v>
      </c>
      <c r="M1644" s="12">
        <f>Tb_data[[#This Row],[Employees Growth]]/Tb_data[[#This Row],[previous_workers]]</f>
        <v>0.4</v>
      </c>
    </row>
    <row r="1645" spans="1:13" x14ac:dyDescent="0.25">
      <c r="A1645" s="1" t="s">
        <v>9197</v>
      </c>
      <c r="B1645" s="1" t="s">
        <v>9198</v>
      </c>
      <c r="C1645" s="1">
        <v>8300000</v>
      </c>
      <c r="D1645" s="1" t="s">
        <v>33</v>
      </c>
      <c r="E1645">
        <v>64.122299999999996</v>
      </c>
      <c r="F1645" s="1" t="s">
        <v>17</v>
      </c>
      <c r="G1645">
        <v>45</v>
      </c>
      <c r="H1645">
        <v>26</v>
      </c>
      <c r="I1645" s="1" t="s">
        <v>117</v>
      </c>
      <c r="J1645">
        <v>2</v>
      </c>
      <c r="K1645" t="str">
        <f>IF(Tb_data[[#This Row],[previous_workers]]&lt;Tb_data[[#This Row],[workers]],"yes","no")</f>
        <v>yes</v>
      </c>
      <c r="L1645">
        <f>Tb_data[[#This Row],[workers]]-Tb_data[[#This Row],[previous_workers]]</f>
        <v>19</v>
      </c>
      <c r="M1645" s="12">
        <f>Tb_data[[#This Row],[Employees Growth]]/Tb_data[[#This Row],[previous_workers]]</f>
        <v>0.73076923076923073</v>
      </c>
    </row>
    <row r="1646" spans="1:13" x14ac:dyDescent="0.25">
      <c r="A1646" s="1" t="s">
        <v>6637</v>
      </c>
      <c r="B1646" s="1" t="s">
        <v>6638</v>
      </c>
      <c r="C1646" s="1">
        <v>44800000</v>
      </c>
      <c r="D1646" s="1" t="s">
        <v>61</v>
      </c>
      <c r="E1646">
        <v>110.6289</v>
      </c>
      <c r="F1646" s="1" t="s">
        <v>12</v>
      </c>
      <c r="G1646">
        <v>220</v>
      </c>
      <c r="H1646">
        <v>160</v>
      </c>
      <c r="I1646" s="1" t="s">
        <v>46</v>
      </c>
      <c r="J1646">
        <v>7</v>
      </c>
      <c r="K1646" t="str">
        <f>IF(Tb_data[[#This Row],[previous_workers]]&lt;Tb_data[[#This Row],[workers]],"yes","no")</f>
        <v>yes</v>
      </c>
      <c r="L1646">
        <f>Tb_data[[#This Row],[workers]]-Tb_data[[#This Row],[previous_workers]]</f>
        <v>60</v>
      </c>
      <c r="M1646" s="12">
        <f>Tb_data[[#This Row],[Employees Growth]]/Tb_data[[#This Row],[previous_workers]]</f>
        <v>0.375</v>
      </c>
    </row>
    <row r="1647" spans="1:13" x14ac:dyDescent="0.25">
      <c r="A1647" s="1" t="s">
        <v>2211</v>
      </c>
      <c r="B1647" s="1" t="s">
        <v>2212</v>
      </c>
      <c r="C1647" s="1">
        <v>3200000</v>
      </c>
      <c r="D1647" s="1" t="s">
        <v>49</v>
      </c>
      <c r="E1647">
        <v>398.89960000000002</v>
      </c>
      <c r="F1647" s="1" t="s">
        <v>30</v>
      </c>
      <c r="G1647">
        <v>15</v>
      </c>
      <c r="H1647">
        <v>2</v>
      </c>
      <c r="I1647" s="1" t="s">
        <v>117</v>
      </c>
      <c r="J1647">
        <v>1</v>
      </c>
      <c r="K1647" t="str">
        <f>IF(Tb_data[[#This Row],[previous_workers]]&lt;Tb_data[[#This Row],[workers]],"yes","no")</f>
        <v>yes</v>
      </c>
      <c r="L1647">
        <f>Tb_data[[#This Row],[workers]]-Tb_data[[#This Row],[previous_workers]]</f>
        <v>13</v>
      </c>
      <c r="M1647" s="12">
        <f>Tb_data[[#This Row],[Employees Growth]]/Tb_data[[#This Row],[previous_workers]]</f>
        <v>6.5</v>
      </c>
    </row>
    <row r="1648" spans="1:13" x14ac:dyDescent="0.25">
      <c r="A1648" s="1" t="s">
        <v>7148</v>
      </c>
      <c r="B1648" s="1" t="s">
        <v>7149</v>
      </c>
      <c r="C1648" s="1">
        <v>21700000</v>
      </c>
      <c r="D1648" s="1" t="s">
        <v>179</v>
      </c>
      <c r="E1648">
        <v>99.374200000000002</v>
      </c>
      <c r="F1648" s="1" t="s">
        <v>124</v>
      </c>
      <c r="G1648">
        <v>120</v>
      </c>
      <c r="H1648">
        <v>64</v>
      </c>
      <c r="I1648" s="1" t="s">
        <v>3984</v>
      </c>
      <c r="J1648">
        <v>2</v>
      </c>
      <c r="K1648" t="str">
        <f>IF(Tb_data[[#This Row],[previous_workers]]&lt;Tb_data[[#This Row],[workers]],"yes","no")</f>
        <v>yes</v>
      </c>
      <c r="L1648">
        <f>Tb_data[[#This Row],[workers]]-Tb_data[[#This Row],[previous_workers]]</f>
        <v>56</v>
      </c>
      <c r="M1648" s="12">
        <f>Tb_data[[#This Row],[Employees Growth]]/Tb_data[[#This Row],[previous_workers]]</f>
        <v>0.875</v>
      </c>
    </row>
    <row r="1649" spans="1:13" x14ac:dyDescent="0.25">
      <c r="A1649" s="1" t="s">
        <v>3627</v>
      </c>
      <c r="B1649" s="1" t="s">
        <v>3628</v>
      </c>
      <c r="C1649" s="1">
        <v>8900000</v>
      </c>
      <c r="D1649" s="1" t="s">
        <v>41</v>
      </c>
      <c r="E1649">
        <v>232.18960000000001</v>
      </c>
      <c r="F1649" s="1" t="s">
        <v>97</v>
      </c>
      <c r="G1649">
        <v>56</v>
      </c>
      <c r="H1649">
        <v>13</v>
      </c>
      <c r="I1649" s="1" t="s">
        <v>164</v>
      </c>
      <c r="J1649">
        <v>1</v>
      </c>
      <c r="K1649" t="str">
        <f>IF(Tb_data[[#This Row],[previous_workers]]&lt;Tb_data[[#This Row],[workers]],"yes","no")</f>
        <v>yes</v>
      </c>
      <c r="L1649">
        <f>Tb_data[[#This Row],[workers]]-Tb_data[[#This Row],[previous_workers]]</f>
        <v>43</v>
      </c>
      <c r="M1649" s="12">
        <f>Tb_data[[#This Row],[Employees Growth]]/Tb_data[[#This Row],[previous_workers]]</f>
        <v>3.3076923076923075</v>
      </c>
    </row>
    <row r="1650" spans="1:13" x14ac:dyDescent="0.25">
      <c r="A1650" s="1" t="s">
        <v>1880</v>
      </c>
      <c r="B1650" s="1" t="s">
        <v>1881</v>
      </c>
      <c r="C1650" s="1">
        <v>2700000</v>
      </c>
      <c r="D1650" s="1" t="s">
        <v>20</v>
      </c>
      <c r="E1650">
        <v>478.23399999999998</v>
      </c>
      <c r="F1650" s="1" t="s">
        <v>25</v>
      </c>
      <c r="G1650">
        <v>6</v>
      </c>
      <c r="H1650">
        <v>5</v>
      </c>
      <c r="I1650" s="1" t="s">
        <v>117</v>
      </c>
      <c r="J1650">
        <v>2</v>
      </c>
      <c r="K1650" t="str">
        <f>IF(Tb_data[[#This Row],[previous_workers]]&lt;Tb_data[[#This Row],[workers]],"yes","no")</f>
        <v>yes</v>
      </c>
      <c r="L1650">
        <f>Tb_data[[#This Row],[workers]]-Tb_data[[#This Row],[previous_workers]]</f>
        <v>1</v>
      </c>
      <c r="M1650" s="12">
        <f>Tb_data[[#This Row],[Employees Growth]]/Tb_data[[#This Row],[previous_workers]]</f>
        <v>0.2</v>
      </c>
    </row>
    <row r="1651" spans="1:13" x14ac:dyDescent="0.25">
      <c r="A1651" s="1" t="s">
        <v>2476</v>
      </c>
      <c r="B1651" s="1" t="s">
        <v>2477</v>
      </c>
      <c r="C1651" s="1">
        <v>75600000</v>
      </c>
      <c r="D1651" s="1" t="s">
        <v>155</v>
      </c>
      <c r="E1651">
        <v>351.87090000000001</v>
      </c>
      <c r="F1651" s="1" t="s">
        <v>82</v>
      </c>
      <c r="G1651">
        <v>64</v>
      </c>
      <c r="H1651">
        <v>22</v>
      </c>
      <c r="I1651" s="1" t="s">
        <v>164</v>
      </c>
      <c r="J1651">
        <v>4</v>
      </c>
      <c r="K1651" t="str">
        <f>IF(Tb_data[[#This Row],[previous_workers]]&lt;Tb_data[[#This Row],[workers]],"yes","no")</f>
        <v>yes</v>
      </c>
      <c r="L1651">
        <f>Tb_data[[#This Row],[workers]]-Tb_data[[#This Row],[previous_workers]]</f>
        <v>42</v>
      </c>
      <c r="M1651" s="12">
        <f>Tb_data[[#This Row],[Employees Growth]]/Tb_data[[#This Row],[previous_workers]]</f>
        <v>1.9090909090909092</v>
      </c>
    </row>
    <row r="1652" spans="1:13" x14ac:dyDescent="0.25">
      <c r="A1652" s="1" t="s">
        <v>7781</v>
      </c>
      <c r="B1652" s="1" t="s">
        <v>7782</v>
      </c>
      <c r="C1652" s="1">
        <v>11500000</v>
      </c>
      <c r="D1652" s="1" t="s">
        <v>41</v>
      </c>
      <c r="E1652">
        <v>86.609399999999994</v>
      </c>
      <c r="F1652" s="1" t="s">
        <v>21</v>
      </c>
      <c r="G1652">
        <v>100</v>
      </c>
      <c r="H1652">
        <v>70</v>
      </c>
      <c r="I1652" s="1" t="s">
        <v>1949</v>
      </c>
      <c r="J1652">
        <v>2</v>
      </c>
      <c r="K1652" t="str">
        <f>IF(Tb_data[[#This Row],[previous_workers]]&lt;Tb_data[[#This Row],[workers]],"yes","no")</f>
        <v>yes</v>
      </c>
      <c r="L1652">
        <f>Tb_data[[#This Row],[workers]]-Tb_data[[#This Row],[previous_workers]]</f>
        <v>30</v>
      </c>
      <c r="M1652" s="12">
        <f>Tb_data[[#This Row],[Employees Growth]]/Tb_data[[#This Row],[previous_workers]]</f>
        <v>0.42857142857142855</v>
      </c>
    </row>
    <row r="1653" spans="1:13" x14ac:dyDescent="0.25">
      <c r="A1653" s="1" t="s">
        <v>7893</v>
      </c>
      <c r="B1653" s="1" t="s">
        <v>7894</v>
      </c>
      <c r="C1653" s="1">
        <v>20000000</v>
      </c>
      <c r="D1653" s="1" t="s">
        <v>179</v>
      </c>
      <c r="E1653">
        <v>84.820499999999996</v>
      </c>
      <c r="F1653" s="1" t="s">
        <v>21</v>
      </c>
      <c r="G1653">
        <v>125</v>
      </c>
      <c r="H1653">
        <v>65</v>
      </c>
      <c r="I1653" s="1" t="s">
        <v>372</v>
      </c>
      <c r="J1653">
        <v>2</v>
      </c>
      <c r="K1653" t="str">
        <f>IF(Tb_data[[#This Row],[previous_workers]]&lt;Tb_data[[#This Row],[workers]],"yes","no")</f>
        <v>yes</v>
      </c>
      <c r="L1653">
        <f>Tb_data[[#This Row],[workers]]-Tb_data[[#This Row],[previous_workers]]</f>
        <v>60</v>
      </c>
      <c r="M1653" s="12">
        <f>Tb_data[[#This Row],[Employees Growth]]/Tb_data[[#This Row],[previous_workers]]</f>
        <v>0.92307692307692313</v>
      </c>
    </row>
    <row r="1654" spans="1:13" x14ac:dyDescent="0.25">
      <c r="A1654" s="1" t="s">
        <v>7379</v>
      </c>
      <c r="B1654" s="1" t="s">
        <v>7380</v>
      </c>
      <c r="C1654" s="1">
        <v>3000000</v>
      </c>
      <c r="D1654" s="1" t="s">
        <v>500</v>
      </c>
      <c r="E1654">
        <v>95.687399999999997</v>
      </c>
      <c r="F1654" s="1" t="s">
        <v>25</v>
      </c>
      <c r="G1654">
        <v>19</v>
      </c>
      <c r="H1654">
        <v>10</v>
      </c>
      <c r="I1654" s="1" t="s">
        <v>194</v>
      </c>
      <c r="J1654">
        <v>1</v>
      </c>
      <c r="K1654" t="str">
        <f>IF(Tb_data[[#This Row],[previous_workers]]&lt;Tb_data[[#This Row],[workers]],"yes","no")</f>
        <v>yes</v>
      </c>
      <c r="L1654">
        <f>Tb_data[[#This Row],[workers]]-Tb_data[[#This Row],[previous_workers]]</f>
        <v>9</v>
      </c>
      <c r="M1654" s="12">
        <f>Tb_data[[#This Row],[Employees Growth]]/Tb_data[[#This Row],[previous_workers]]</f>
        <v>0.9</v>
      </c>
    </row>
    <row r="1655" spans="1:13" x14ac:dyDescent="0.25">
      <c r="A1655" s="1" t="s">
        <v>8347</v>
      </c>
      <c r="B1655" s="1" t="s">
        <v>8348</v>
      </c>
      <c r="C1655" s="1">
        <v>783900000</v>
      </c>
      <c r="D1655" s="1" t="s">
        <v>20</v>
      </c>
      <c r="E1655">
        <v>77.127600000000001</v>
      </c>
      <c r="F1655" s="1" t="s">
        <v>62</v>
      </c>
      <c r="G1655">
        <v>1001</v>
      </c>
      <c r="H1655">
        <v>1244</v>
      </c>
      <c r="I1655" s="1" t="s">
        <v>3426</v>
      </c>
      <c r="J1655">
        <v>2</v>
      </c>
      <c r="K1655" t="str">
        <f>IF(Tb_data[[#This Row],[previous_workers]]&lt;Tb_data[[#This Row],[workers]],"yes","no")</f>
        <v>no</v>
      </c>
      <c r="L1655">
        <f>Tb_data[[#This Row],[workers]]-Tb_data[[#This Row],[previous_workers]]</f>
        <v>-243</v>
      </c>
      <c r="M1655" s="12">
        <f>Tb_data[[#This Row],[Employees Growth]]/Tb_data[[#This Row],[previous_workers]]</f>
        <v>-0.19533762057877813</v>
      </c>
    </row>
    <row r="1656" spans="1:13" x14ac:dyDescent="0.25">
      <c r="A1656" s="1" t="s">
        <v>7679</v>
      </c>
      <c r="B1656" s="1" t="s">
        <v>7680</v>
      </c>
      <c r="C1656" s="1">
        <v>44300000</v>
      </c>
      <c r="D1656" s="1" t="s">
        <v>254</v>
      </c>
      <c r="E1656">
        <v>88.394499999999994</v>
      </c>
      <c r="F1656" s="1" t="s">
        <v>62</v>
      </c>
      <c r="G1656">
        <v>264</v>
      </c>
      <c r="H1656">
        <v>124</v>
      </c>
      <c r="I1656" s="1" t="s">
        <v>468</v>
      </c>
      <c r="J1656">
        <v>3</v>
      </c>
      <c r="K1656" t="str">
        <f>IF(Tb_data[[#This Row],[previous_workers]]&lt;Tb_data[[#This Row],[workers]],"yes","no")</f>
        <v>yes</v>
      </c>
      <c r="L1656">
        <f>Tb_data[[#This Row],[workers]]-Tb_data[[#This Row],[previous_workers]]</f>
        <v>140</v>
      </c>
      <c r="M1656" s="12">
        <f>Tb_data[[#This Row],[Employees Growth]]/Tb_data[[#This Row],[previous_workers]]</f>
        <v>1.1290322580645162</v>
      </c>
    </row>
    <row r="1657" spans="1:13" x14ac:dyDescent="0.25">
      <c r="A1657" s="1" t="s">
        <v>8917</v>
      </c>
      <c r="B1657" s="1" t="s">
        <v>8918</v>
      </c>
      <c r="C1657" s="1">
        <v>11900000</v>
      </c>
      <c r="D1657" s="1" t="s">
        <v>115</v>
      </c>
      <c r="E1657">
        <v>67.736500000000007</v>
      </c>
      <c r="F1657" s="1" t="s">
        <v>17</v>
      </c>
      <c r="G1657">
        <v>1</v>
      </c>
      <c r="H1657">
        <v>1</v>
      </c>
      <c r="I1657" s="1" t="s">
        <v>46</v>
      </c>
      <c r="J1657">
        <v>6</v>
      </c>
      <c r="K1657" t="str">
        <f>IF(Tb_data[[#This Row],[previous_workers]]&lt;Tb_data[[#This Row],[workers]],"yes","no")</f>
        <v>no</v>
      </c>
      <c r="L1657">
        <f>Tb_data[[#This Row],[workers]]-Tb_data[[#This Row],[previous_workers]]</f>
        <v>0</v>
      </c>
      <c r="M1657" s="12">
        <f>Tb_data[[#This Row],[Employees Growth]]/Tb_data[[#This Row],[previous_workers]]</f>
        <v>0</v>
      </c>
    </row>
    <row r="1658" spans="1:13" x14ac:dyDescent="0.25">
      <c r="A1658" s="1" t="s">
        <v>4315</v>
      </c>
      <c r="B1658" s="1" t="s">
        <v>4316</v>
      </c>
      <c r="C1658" s="1">
        <v>29800000</v>
      </c>
      <c r="D1658" s="1" t="s">
        <v>179</v>
      </c>
      <c r="E1658">
        <v>190.72929999999999</v>
      </c>
      <c r="F1658" s="1" t="s">
        <v>62</v>
      </c>
      <c r="G1658">
        <v>100</v>
      </c>
      <c r="H1658">
        <v>25</v>
      </c>
      <c r="I1658" s="1" t="s">
        <v>74</v>
      </c>
      <c r="J1658">
        <v>1</v>
      </c>
      <c r="K1658" t="str">
        <f>IF(Tb_data[[#This Row],[previous_workers]]&lt;Tb_data[[#This Row],[workers]],"yes","no")</f>
        <v>yes</v>
      </c>
      <c r="L1658">
        <f>Tb_data[[#This Row],[workers]]-Tb_data[[#This Row],[previous_workers]]</f>
        <v>75</v>
      </c>
      <c r="M1658" s="12">
        <f>Tb_data[[#This Row],[Employees Growth]]/Tb_data[[#This Row],[previous_workers]]</f>
        <v>3</v>
      </c>
    </row>
    <row r="1659" spans="1:13" x14ac:dyDescent="0.25">
      <c r="A1659" s="1" t="s">
        <v>8606</v>
      </c>
      <c r="B1659" s="1" t="s">
        <v>8607</v>
      </c>
      <c r="C1659" s="1">
        <v>10400000</v>
      </c>
      <c r="D1659" s="1" t="s">
        <v>41</v>
      </c>
      <c r="E1659">
        <v>72.315600000000003</v>
      </c>
      <c r="F1659" s="1" t="s">
        <v>112</v>
      </c>
      <c r="G1659">
        <v>15</v>
      </c>
      <c r="H1659">
        <v>13</v>
      </c>
      <c r="I1659" s="1" t="s">
        <v>948</v>
      </c>
      <c r="J1659">
        <v>4</v>
      </c>
      <c r="K1659" t="str">
        <f>IF(Tb_data[[#This Row],[previous_workers]]&lt;Tb_data[[#This Row],[workers]],"yes","no")</f>
        <v>yes</v>
      </c>
      <c r="L1659">
        <f>Tb_data[[#This Row],[workers]]-Tb_data[[#This Row],[previous_workers]]</f>
        <v>2</v>
      </c>
      <c r="M1659" s="12">
        <f>Tb_data[[#This Row],[Employees Growth]]/Tb_data[[#This Row],[previous_workers]]</f>
        <v>0.15384615384615385</v>
      </c>
    </row>
    <row r="1660" spans="1:13" x14ac:dyDescent="0.25">
      <c r="A1660" s="1" t="s">
        <v>5848</v>
      </c>
      <c r="B1660" s="1" t="s">
        <v>5849</v>
      </c>
      <c r="C1660" s="1">
        <v>115000000</v>
      </c>
      <c r="D1660" s="1" t="s">
        <v>20</v>
      </c>
      <c r="E1660">
        <v>130.1104</v>
      </c>
      <c r="F1660" s="1" t="s">
        <v>172</v>
      </c>
      <c r="G1660">
        <v>28</v>
      </c>
      <c r="H1660">
        <v>12</v>
      </c>
      <c r="I1660" s="1" t="s">
        <v>130</v>
      </c>
      <c r="J1660">
        <v>3</v>
      </c>
      <c r="K1660" t="str">
        <f>IF(Tb_data[[#This Row],[previous_workers]]&lt;Tb_data[[#This Row],[workers]],"yes","no")</f>
        <v>yes</v>
      </c>
      <c r="L1660">
        <f>Tb_data[[#This Row],[workers]]-Tb_data[[#This Row],[previous_workers]]</f>
        <v>16</v>
      </c>
      <c r="M1660" s="12">
        <f>Tb_data[[#This Row],[Employees Growth]]/Tb_data[[#This Row],[previous_workers]]</f>
        <v>1.3333333333333333</v>
      </c>
    </row>
    <row r="1661" spans="1:13" x14ac:dyDescent="0.25">
      <c r="A1661" s="1" t="s">
        <v>841</v>
      </c>
      <c r="B1661" s="1" t="s">
        <v>842</v>
      </c>
      <c r="C1661" s="1">
        <v>4000000</v>
      </c>
      <c r="D1661" s="1" t="s">
        <v>254</v>
      </c>
      <c r="E1661">
        <v>1226.2361000000001</v>
      </c>
      <c r="F1661" s="1" t="s">
        <v>34</v>
      </c>
      <c r="G1661">
        <v>24</v>
      </c>
      <c r="H1661">
        <v>12</v>
      </c>
      <c r="I1661" s="1" t="s">
        <v>164</v>
      </c>
      <c r="J1661">
        <v>2</v>
      </c>
      <c r="K1661" t="str">
        <f>IF(Tb_data[[#This Row],[previous_workers]]&lt;Tb_data[[#This Row],[workers]],"yes","no")</f>
        <v>yes</v>
      </c>
      <c r="L1661">
        <f>Tb_data[[#This Row],[workers]]-Tb_data[[#This Row],[previous_workers]]</f>
        <v>12</v>
      </c>
      <c r="M1661" s="12">
        <f>Tb_data[[#This Row],[Employees Growth]]/Tb_data[[#This Row],[previous_workers]]</f>
        <v>1</v>
      </c>
    </row>
    <row r="1662" spans="1:13" x14ac:dyDescent="0.25">
      <c r="A1662" s="1" t="s">
        <v>6107</v>
      </c>
      <c r="B1662" s="1" t="s">
        <v>6108</v>
      </c>
      <c r="C1662" s="1">
        <v>12000000</v>
      </c>
      <c r="D1662" s="1" t="s">
        <v>20</v>
      </c>
      <c r="E1662">
        <v>123.58150000000001</v>
      </c>
      <c r="F1662" s="1" t="s">
        <v>100</v>
      </c>
      <c r="G1662">
        <v>36</v>
      </c>
      <c r="H1662">
        <v>20</v>
      </c>
      <c r="I1662" s="1" t="s">
        <v>226</v>
      </c>
      <c r="J1662">
        <v>4</v>
      </c>
      <c r="K1662" t="str">
        <f>IF(Tb_data[[#This Row],[previous_workers]]&lt;Tb_data[[#This Row],[workers]],"yes","no")</f>
        <v>yes</v>
      </c>
      <c r="L1662">
        <f>Tb_data[[#This Row],[workers]]-Tb_data[[#This Row],[previous_workers]]</f>
        <v>16</v>
      </c>
      <c r="M1662" s="12">
        <f>Tb_data[[#This Row],[Employees Growth]]/Tb_data[[#This Row],[previous_workers]]</f>
        <v>0.8</v>
      </c>
    </row>
    <row r="1663" spans="1:13" x14ac:dyDescent="0.25">
      <c r="A1663" s="1" t="s">
        <v>7124</v>
      </c>
      <c r="B1663" s="1" t="s">
        <v>7125</v>
      </c>
      <c r="C1663" s="1">
        <v>7700000</v>
      </c>
      <c r="D1663" s="1" t="s">
        <v>45</v>
      </c>
      <c r="E1663">
        <v>99.781899999999993</v>
      </c>
      <c r="F1663" s="1" t="s">
        <v>34</v>
      </c>
      <c r="G1663">
        <v>32</v>
      </c>
      <c r="H1663">
        <v>11</v>
      </c>
      <c r="I1663" s="1" t="s">
        <v>35</v>
      </c>
      <c r="J1663">
        <v>5</v>
      </c>
      <c r="K1663" t="str">
        <f>IF(Tb_data[[#This Row],[previous_workers]]&lt;Tb_data[[#This Row],[workers]],"yes","no")</f>
        <v>yes</v>
      </c>
      <c r="L1663">
        <f>Tb_data[[#This Row],[workers]]-Tb_data[[#This Row],[previous_workers]]</f>
        <v>21</v>
      </c>
      <c r="M1663" s="12">
        <f>Tb_data[[#This Row],[Employees Growth]]/Tb_data[[#This Row],[previous_workers]]</f>
        <v>1.9090909090909092</v>
      </c>
    </row>
    <row r="1664" spans="1:13" x14ac:dyDescent="0.25">
      <c r="A1664" s="1" t="s">
        <v>7208</v>
      </c>
      <c r="B1664" s="1" t="s">
        <v>7209</v>
      </c>
      <c r="C1664" s="1">
        <v>75000000</v>
      </c>
      <c r="D1664" s="1" t="s">
        <v>91</v>
      </c>
      <c r="E1664">
        <v>98.243499999999997</v>
      </c>
      <c r="F1664" s="1" t="s">
        <v>17</v>
      </c>
      <c r="G1664">
        <v>44</v>
      </c>
      <c r="H1664">
        <v>13</v>
      </c>
      <c r="I1664" s="1" t="s">
        <v>164</v>
      </c>
      <c r="J1664">
        <v>3</v>
      </c>
      <c r="K1664" t="str">
        <f>IF(Tb_data[[#This Row],[previous_workers]]&lt;Tb_data[[#This Row],[workers]],"yes","no")</f>
        <v>yes</v>
      </c>
      <c r="L1664">
        <f>Tb_data[[#This Row],[workers]]-Tb_data[[#This Row],[previous_workers]]</f>
        <v>31</v>
      </c>
      <c r="M1664" s="12">
        <f>Tb_data[[#This Row],[Employees Growth]]/Tb_data[[#This Row],[previous_workers]]</f>
        <v>2.3846153846153846</v>
      </c>
    </row>
    <row r="1665" spans="1:13" x14ac:dyDescent="0.25">
      <c r="A1665" s="1" t="s">
        <v>2622</v>
      </c>
      <c r="B1665" s="1" t="s">
        <v>2623</v>
      </c>
      <c r="C1665" s="1">
        <v>8200000</v>
      </c>
      <c r="D1665" s="1" t="s">
        <v>49</v>
      </c>
      <c r="E1665">
        <v>329.9085</v>
      </c>
      <c r="F1665" s="1" t="s">
        <v>34</v>
      </c>
      <c r="G1665">
        <v>43</v>
      </c>
      <c r="H1665">
        <v>15</v>
      </c>
      <c r="I1665" s="1" t="s">
        <v>164</v>
      </c>
      <c r="J1665">
        <v>4</v>
      </c>
      <c r="K1665" t="str">
        <f>IF(Tb_data[[#This Row],[previous_workers]]&lt;Tb_data[[#This Row],[workers]],"yes","no")</f>
        <v>yes</v>
      </c>
      <c r="L1665">
        <f>Tb_data[[#This Row],[workers]]-Tb_data[[#This Row],[previous_workers]]</f>
        <v>28</v>
      </c>
      <c r="M1665" s="12">
        <f>Tb_data[[#This Row],[Employees Growth]]/Tb_data[[#This Row],[previous_workers]]</f>
        <v>1.8666666666666667</v>
      </c>
    </row>
    <row r="1666" spans="1:13" x14ac:dyDescent="0.25">
      <c r="A1666" s="1" t="s">
        <v>5518</v>
      </c>
      <c r="B1666" s="1" t="s">
        <v>5519</v>
      </c>
      <c r="C1666" s="1">
        <v>2200000</v>
      </c>
      <c r="D1666" s="1" t="s">
        <v>1853</v>
      </c>
      <c r="E1666">
        <v>141.9958</v>
      </c>
      <c r="F1666" s="1" t="s">
        <v>30</v>
      </c>
      <c r="G1666">
        <v>22</v>
      </c>
      <c r="H1666">
        <v>7</v>
      </c>
      <c r="I1666" s="1" t="s">
        <v>55</v>
      </c>
      <c r="J1666">
        <v>1</v>
      </c>
      <c r="K1666" t="str">
        <f>IF(Tb_data[[#This Row],[previous_workers]]&lt;Tb_data[[#This Row],[workers]],"yes","no")</f>
        <v>yes</v>
      </c>
      <c r="L1666">
        <f>Tb_data[[#This Row],[workers]]-Tb_data[[#This Row],[previous_workers]]</f>
        <v>15</v>
      </c>
      <c r="M1666" s="12">
        <f>Tb_data[[#This Row],[Employees Growth]]/Tb_data[[#This Row],[previous_workers]]</f>
        <v>2.1428571428571428</v>
      </c>
    </row>
    <row r="1667" spans="1:13" x14ac:dyDescent="0.25">
      <c r="A1667" s="1" t="s">
        <v>442</v>
      </c>
      <c r="B1667" s="1" t="s">
        <v>443</v>
      </c>
      <c r="C1667" s="1">
        <v>10300000</v>
      </c>
      <c r="D1667" s="1" t="s">
        <v>254</v>
      </c>
      <c r="E1667">
        <v>2142.2694999999999</v>
      </c>
      <c r="F1667" s="1" t="s">
        <v>112</v>
      </c>
      <c r="G1667">
        <v>13</v>
      </c>
      <c r="H1667">
        <v>3</v>
      </c>
      <c r="I1667" s="1" t="s">
        <v>26</v>
      </c>
      <c r="J1667">
        <v>1</v>
      </c>
      <c r="K1667" t="str">
        <f>IF(Tb_data[[#This Row],[previous_workers]]&lt;Tb_data[[#This Row],[workers]],"yes","no")</f>
        <v>yes</v>
      </c>
      <c r="L1667">
        <f>Tb_data[[#This Row],[workers]]-Tb_data[[#This Row],[previous_workers]]</f>
        <v>10</v>
      </c>
      <c r="M1667" s="12">
        <f>Tb_data[[#This Row],[Employees Growth]]/Tb_data[[#This Row],[previous_workers]]</f>
        <v>3.3333333333333335</v>
      </c>
    </row>
    <row r="1668" spans="1:13" x14ac:dyDescent="0.25">
      <c r="A1668" s="1" t="s">
        <v>1047</v>
      </c>
      <c r="B1668" s="1" t="s">
        <v>1048</v>
      </c>
      <c r="C1668" s="1">
        <v>7100000</v>
      </c>
      <c r="D1668" s="1" t="s">
        <v>61</v>
      </c>
      <c r="E1668">
        <v>946.60699999999997</v>
      </c>
      <c r="F1668" s="1" t="s">
        <v>12</v>
      </c>
      <c r="G1668">
        <v>77</v>
      </c>
      <c r="H1668">
        <v>8</v>
      </c>
      <c r="I1668" s="1" t="s">
        <v>164</v>
      </c>
      <c r="J1668">
        <v>2</v>
      </c>
      <c r="K1668" t="str">
        <f>IF(Tb_data[[#This Row],[previous_workers]]&lt;Tb_data[[#This Row],[workers]],"yes","no")</f>
        <v>yes</v>
      </c>
      <c r="L1668">
        <f>Tb_data[[#This Row],[workers]]-Tb_data[[#This Row],[previous_workers]]</f>
        <v>69</v>
      </c>
      <c r="M1668" s="12">
        <f>Tb_data[[#This Row],[Employees Growth]]/Tb_data[[#This Row],[previous_workers]]</f>
        <v>8.625</v>
      </c>
    </row>
    <row r="1669" spans="1:13" x14ac:dyDescent="0.25">
      <c r="A1669" s="1" t="s">
        <v>95</v>
      </c>
      <c r="B1669" s="1" t="s">
        <v>96</v>
      </c>
      <c r="C1669" s="1">
        <v>15800000</v>
      </c>
      <c r="D1669" s="1" t="s">
        <v>41</v>
      </c>
      <c r="E1669">
        <v>7329.3793999999998</v>
      </c>
      <c r="F1669" s="1" t="s">
        <v>97</v>
      </c>
      <c r="G1669">
        <v>191</v>
      </c>
      <c r="H1669">
        <v>7</v>
      </c>
      <c r="I1669" s="1" t="s">
        <v>55</v>
      </c>
      <c r="J1669">
        <v>1</v>
      </c>
      <c r="K1669" t="str">
        <f>IF(Tb_data[[#This Row],[previous_workers]]&lt;Tb_data[[#This Row],[workers]],"yes","no")</f>
        <v>yes</v>
      </c>
      <c r="L1669">
        <f>Tb_data[[#This Row],[workers]]-Tb_data[[#This Row],[previous_workers]]</f>
        <v>184</v>
      </c>
      <c r="M1669" s="12">
        <f>Tb_data[[#This Row],[Employees Growth]]/Tb_data[[#This Row],[previous_workers]]</f>
        <v>26.285714285714285</v>
      </c>
    </row>
    <row r="1670" spans="1:13" x14ac:dyDescent="0.25">
      <c r="A1670" s="1" t="s">
        <v>3313</v>
      </c>
      <c r="B1670" s="1" t="s">
        <v>3314</v>
      </c>
      <c r="C1670" s="1">
        <v>3600000</v>
      </c>
      <c r="D1670" s="1" t="s">
        <v>129</v>
      </c>
      <c r="E1670">
        <v>257.90069999999997</v>
      </c>
      <c r="F1670" s="1" t="s">
        <v>100</v>
      </c>
      <c r="G1670">
        <v>231</v>
      </c>
      <c r="H1670">
        <v>78</v>
      </c>
      <c r="I1670" s="1" t="s">
        <v>26</v>
      </c>
      <c r="J1670">
        <v>2</v>
      </c>
      <c r="K1670" t="str">
        <f>IF(Tb_data[[#This Row],[previous_workers]]&lt;Tb_data[[#This Row],[workers]],"yes","no")</f>
        <v>yes</v>
      </c>
      <c r="L1670">
        <f>Tb_data[[#This Row],[workers]]-Tb_data[[#This Row],[previous_workers]]</f>
        <v>153</v>
      </c>
      <c r="M1670" s="12">
        <f>Tb_data[[#This Row],[Employees Growth]]/Tb_data[[#This Row],[previous_workers]]</f>
        <v>1.9615384615384615</v>
      </c>
    </row>
    <row r="1671" spans="1:13" x14ac:dyDescent="0.25">
      <c r="A1671" s="1" t="s">
        <v>6992</v>
      </c>
      <c r="B1671" s="1" t="s">
        <v>6993</v>
      </c>
      <c r="C1671" s="1">
        <v>3000000</v>
      </c>
      <c r="D1671" s="1" t="s">
        <v>123</v>
      </c>
      <c r="E1671">
        <v>102.0694</v>
      </c>
      <c r="F1671" s="1" t="s">
        <v>21</v>
      </c>
      <c r="G1671">
        <v>90</v>
      </c>
      <c r="H1671">
        <v>60</v>
      </c>
      <c r="I1671" s="1" t="s">
        <v>229</v>
      </c>
      <c r="J1671">
        <v>2</v>
      </c>
      <c r="K1671" t="str">
        <f>IF(Tb_data[[#This Row],[previous_workers]]&lt;Tb_data[[#This Row],[workers]],"yes","no")</f>
        <v>yes</v>
      </c>
      <c r="L1671">
        <f>Tb_data[[#This Row],[workers]]-Tb_data[[#This Row],[previous_workers]]</f>
        <v>30</v>
      </c>
      <c r="M1671" s="12">
        <f>Tb_data[[#This Row],[Employees Growth]]/Tb_data[[#This Row],[previous_workers]]</f>
        <v>0.5</v>
      </c>
    </row>
    <row r="1672" spans="1:13" x14ac:dyDescent="0.25">
      <c r="A1672" s="1" t="s">
        <v>9802</v>
      </c>
      <c r="B1672" s="1" t="s">
        <v>9803</v>
      </c>
      <c r="C1672" s="1">
        <v>3200000</v>
      </c>
      <c r="D1672" s="1" t="s">
        <v>45</v>
      </c>
      <c r="E1672">
        <v>56.763300000000001</v>
      </c>
      <c r="F1672" s="1" t="s">
        <v>176</v>
      </c>
      <c r="G1672">
        <v>30</v>
      </c>
      <c r="H1672">
        <v>25</v>
      </c>
      <c r="I1672" s="1" t="s">
        <v>117</v>
      </c>
      <c r="J1672">
        <v>4</v>
      </c>
      <c r="K1672" t="str">
        <f>IF(Tb_data[[#This Row],[previous_workers]]&lt;Tb_data[[#This Row],[workers]],"yes","no")</f>
        <v>yes</v>
      </c>
      <c r="L1672">
        <f>Tb_data[[#This Row],[workers]]-Tb_data[[#This Row],[previous_workers]]</f>
        <v>5</v>
      </c>
      <c r="M1672" s="12">
        <f>Tb_data[[#This Row],[Employees Growth]]/Tb_data[[#This Row],[previous_workers]]</f>
        <v>0.2</v>
      </c>
    </row>
    <row r="1673" spans="1:13" x14ac:dyDescent="0.25">
      <c r="A1673" s="1" t="s">
        <v>8859</v>
      </c>
      <c r="B1673" s="1" t="s">
        <v>8860</v>
      </c>
      <c r="C1673" s="1">
        <v>2400000</v>
      </c>
      <c r="D1673" s="1" t="s">
        <v>91</v>
      </c>
      <c r="E1673">
        <v>68.565799999999996</v>
      </c>
      <c r="F1673" s="1" t="s">
        <v>86</v>
      </c>
      <c r="G1673">
        <v>57</v>
      </c>
      <c r="H1673">
        <v>39</v>
      </c>
      <c r="I1673" s="1" t="s">
        <v>13</v>
      </c>
      <c r="J1673">
        <v>1</v>
      </c>
      <c r="K1673" t="str">
        <f>IF(Tb_data[[#This Row],[previous_workers]]&lt;Tb_data[[#This Row],[workers]],"yes","no")</f>
        <v>yes</v>
      </c>
      <c r="L1673">
        <f>Tb_data[[#This Row],[workers]]-Tb_data[[#This Row],[previous_workers]]</f>
        <v>18</v>
      </c>
      <c r="M1673" s="12">
        <f>Tb_data[[#This Row],[Employees Growth]]/Tb_data[[#This Row],[previous_workers]]</f>
        <v>0.46153846153846156</v>
      </c>
    </row>
    <row r="1674" spans="1:13" x14ac:dyDescent="0.25">
      <c r="A1674" s="1" t="s">
        <v>9467</v>
      </c>
      <c r="B1674" s="1" t="s">
        <v>9468</v>
      </c>
      <c r="C1674" s="1">
        <v>10600000</v>
      </c>
      <c r="D1674" s="1" t="s">
        <v>49</v>
      </c>
      <c r="E1674">
        <v>60.674300000000002</v>
      </c>
      <c r="F1674" s="1" t="s">
        <v>124</v>
      </c>
      <c r="G1674">
        <v>72</v>
      </c>
      <c r="H1674">
        <v>42</v>
      </c>
      <c r="I1674" s="1" t="s">
        <v>1657</v>
      </c>
      <c r="J1674">
        <v>6</v>
      </c>
      <c r="K1674" t="str">
        <f>IF(Tb_data[[#This Row],[previous_workers]]&lt;Tb_data[[#This Row],[workers]],"yes","no")</f>
        <v>yes</v>
      </c>
      <c r="L1674">
        <f>Tb_data[[#This Row],[workers]]-Tb_data[[#This Row],[previous_workers]]</f>
        <v>30</v>
      </c>
      <c r="M1674" s="12">
        <f>Tb_data[[#This Row],[Employees Growth]]/Tb_data[[#This Row],[previous_workers]]</f>
        <v>0.7142857142857143</v>
      </c>
    </row>
    <row r="1675" spans="1:13" x14ac:dyDescent="0.25">
      <c r="A1675" s="1" t="s">
        <v>2548</v>
      </c>
      <c r="B1675" s="1" t="s">
        <v>2549</v>
      </c>
      <c r="C1675" s="1">
        <v>2100000</v>
      </c>
      <c r="D1675" s="1" t="s">
        <v>254</v>
      </c>
      <c r="E1675">
        <v>337.20979999999997</v>
      </c>
      <c r="F1675" s="1" t="s">
        <v>100</v>
      </c>
      <c r="G1675">
        <v>12</v>
      </c>
      <c r="H1675">
        <v>5</v>
      </c>
      <c r="I1675" s="1" t="s">
        <v>130</v>
      </c>
      <c r="J1675">
        <v>1</v>
      </c>
      <c r="K1675" t="str">
        <f>IF(Tb_data[[#This Row],[previous_workers]]&lt;Tb_data[[#This Row],[workers]],"yes","no")</f>
        <v>yes</v>
      </c>
      <c r="L1675">
        <f>Tb_data[[#This Row],[workers]]-Tb_data[[#This Row],[previous_workers]]</f>
        <v>7</v>
      </c>
      <c r="M1675" s="12">
        <f>Tb_data[[#This Row],[Employees Growth]]/Tb_data[[#This Row],[previous_workers]]</f>
        <v>1.4</v>
      </c>
    </row>
    <row r="1676" spans="1:13" x14ac:dyDescent="0.25">
      <c r="A1676" s="1" t="s">
        <v>1769</v>
      </c>
      <c r="B1676" s="1" t="s">
        <v>1770</v>
      </c>
      <c r="C1676" s="1">
        <v>4500000</v>
      </c>
      <c r="D1676" s="1" t="s">
        <v>45</v>
      </c>
      <c r="E1676">
        <v>511.96249999999998</v>
      </c>
      <c r="F1676" s="1" t="s">
        <v>112</v>
      </c>
      <c r="G1676">
        <v>13</v>
      </c>
      <c r="H1676">
        <v>4</v>
      </c>
      <c r="I1676" s="1" t="s">
        <v>13</v>
      </c>
      <c r="J1676">
        <v>1</v>
      </c>
      <c r="K1676" t="str">
        <f>IF(Tb_data[[#This Row],[previous_workers]]&lt;Tb_data[[#This Row],[workers]],"yes","no")</f>
        <v>yes</v>
      </c>
      <c r="L1676">
        <f>Tb_data[[#This Row],[workers]]-Tb_data[[#This Row],[previous_workers]]</f>
        <v>9</v>
      </c>
      <c r="M1676" s="12">
        <f>Tb_data[[#This Row],[Employees Growth]]/Tb_data[[#This Row],[previous_workers]]</f>
        <v>2.25</v>
      </c>
    </row>
    <row r="1677" spans="1:13" x14ac:dyDescent="0.25">
      <c r="A1677" s="1" t="s">
        <v>1336</v>
      </c>
      <c r="B1677" s="1" t="s">
        <v>1337</v>
      </c>
      <c r="C1677" s="1">
        <v>5900000</v>
      </c>
      <c r="D1677" s="1" t="s">
        <v>41</v>
      </c>
      <c r="E1677">
        <v>710.84370000000001</v>
      </c>
      <c r="F1677" s="1" t="s">
        <v>124</v>
      </c>
      <c r="G1677">
        <v>10</v>
      </c>
      <c r="H1677">
        <v>2</v>
      </c>
      <c r="I1677" s="1" t="s">
        <v>55</v>
      </c>
      <c r="J1677">
        <v>2</v>
      </c>
      <c r="K1677" t="str">
        <f>IF(Tb_data[[#This Row],[previous_workers]]&lt;Tb_data[[#This Row],[workers]],"yes","no")</f>
        <v>yes</v>
      </c>
      <c r="L1677">
        <f>Tb_data[[#This Row],[workers]]-Tb_data[[#This Row],[previous_workers]]</f>
        <v>8</v>
      </c>
      <c r="M1677" s="12">
        <f>Tb_data[[#This Row],[Employees Growth]]/Tb_data[[#This Row],[previous_workers]]</f>
        <v>4</v>
      </c>
    </row>
    <row r="1678" spans="1:13" x14ac:dyDescent="0.25">
      <c r="A1678" s="1" t="s">
        <v>2743</v>
      </c>
      <c r="B1678" s="1" t="s">
        <v>2744</v>
      </c>
      <c r="C1678" s="1">
        <v>5900000</v>
      </c>
      <c r="D1678" s="1" t="s">
        <v>33</v>
      </c>
      <c r="E1678">
        <v>314.22390000000001</v>
      </c>
      <c r="F1678" s="1" t="s">
        <v>62</v>
      </c>
      <c r="G1678">
        <v>50</v>
      </c>
      <c r="H1678">
        <v>7</v>
      </c>
      <c r="I1678" s="1" t="s">
        <v>164</v>
      </c>
      <c r="J1678">
        <v>1</v>
      </c>
      <c r="K1678" t="str">
        <f>IF(Tb_data[[#This Row],[previous_workers]]&lt;Tb_data[[#This Row],[workers]],"yes","no")</f>
        <v>yes</v>
      </c>
      <c r="L1678">
        <f>Tb_data[[#This Row],[workers]]-Tb_data[[#This Row],[previous_workers]]</f>
        <v>43</v>
      </c>
      <c r="M1678" s="12">
        <f>Tb_data[[#This Row],[Employees Growth]]/Tb_data[[#This Row],[previous_workers]]</f>
        <v>6.1428571428571432</v>
      </c>
    </row>
    <row r="1679" spans="1:13" x14ac:dyDescent="0.25">
      <c r="A1679" s="1" t="s">
        <v>4244</v>
      </c>
      <c r="B1679" s="1" t="s">
        <v>4245</v>
      </c>
      <c r="C1679" s="1">
        <v>5800000</v>
      </c>
      <c r="D1679" s="1" t="s">
        <v>69</v>
      </c>
      <c r="E1679">
        <v>194.2362</v>
      </c>
      <c r="F1679" s="1" t="s">
        <v>161</v>
      </c>
      <c r="G1679">
        <v>11</v>
      </c>
      <c r="H1679">
        <v>3</v>
      </c>
      <c r="I1679" s="1" t="s">
        <v>55</v>
      </c>
      <c r="J1679">
        <v>1</v>
      </c>
      <c r="K1679" t="str">
        <f>IF(Tb_data[[#This Row],[previous_workers]]&lt;Tb_data[[#This Row],[workers]],"yes","no")</f>
        <v>yes</v>
      </c>
      <c r="L1679">
        <f>Tb_data[[#This Row],[workers]]-Tb_data[[#This Row],[previous_workers]]</f>
        <v>8</v>
      </c>
      <c r="M1679" s="12">
        <f>Tb_data[[#This Row],[Employees Growth]]/Tb_data[[#This Row],[previous_workers]]</f>
        <v>2.6666666666666665</v>
      </c>
    </row>
    <row r="1680" spans="1:13" x14ac:dyDescent="0.25">
      <c r="A1680" s="1" t="s">
        <v>662</v>
      </c>
      <c r="B1680" s="1" t="s">
        <v>663</v>
      </c>
      <c r="C1680" s="1">
        <v>2700000</v>
      </c>
      <c r="D1680" s="1" t="s">
        <v>664</v>
      </c>
      <c r="E1680">
        <v>1541.2816</v>
      </c>
      <c r="F1680" s="1" t="s">
        <v>161</v>
      </c>
      <c r="G1680">
        <v>11</v>
      </c>
      <c r="H1680">
        <v>2</v>
      </c>
      <c r="I1680" s="1" t="s">
        <v>13</v>
      </c>
      <c r="J1680">
        <v>1</v>
      </c>
      <c r="K1680" t="str">
        <f>IF(Tb_data[[#This Row],[previous_workers]]&lt;Tb_data[[#This Row],[workers]],"yes","no")</f>
        <v>yes</v>
      </c>
      <c r="L1680">
        <f>Tb_data[[#This Row],[workers]]-Tb_data[[#This Row],[previous_workers]]</f>
        <v>9</v>
      </c>
      <c r="M1680" s="12">
        <f>Tb_data[[#This Row],[Employees Growth]]/Tb_data[[#This Row],[previous_workers]]</f>
        <v>4.5</v>
      </c>
    </row>
    <row r="1681" spans="1:13" x14ac:dyDescent="0.25">
      <c r="A1681" s="1" t="s">
        <v>3147</v>
      </c>
      <c r="B1681" s="1" t="s">
        <v>3148</v>
      </c>
      <c r="C1681" s="1">
        <v>3600000</v>
      </c>
      <c r="D1681" s="1" t="s">
        <v>375</v>
      </c>
      <c r="E1681">
        <v>273.22199999999998</v>
      </c>
      <c r="F1681" s="1" t="s">
        <v>12</v>
      </c>
      <c r="G1681">
        <v>1</v>
      </c>
      <c r="H1681">
        <v>1</v>
      </c>
      <c r="I1681" s="1" t="s">
        <v>164</v>
      </c>
      <c r="J1681">
        <v>2</v>
      </c>
      <c r="K1681" t="str">
        <f>IF(Tb_data[[#This Row],[previous_workers]]&lt;Tb_data[[#This Row],[workers]],"yes","no")</f>
        <v>no</v>
      </c>
      <c r="L1681">
        <f>Tb_data[[#This Row],[workers]]-Tb_data[[#This Row],[previous_workers]]</f>
        <v>0</v>
      </c>
      <c r="M1681" s="12">
        <f>Tb_data[[#This Row],[Employees Growth]]/Tb_data[[#This Row],[previous_workers]]</f>
        <v>0</v>
      </c>
    </row>
    <row r="1682" spans="1:13" x14ac:dyDescent="0.25">
      <c r="A1682" s="1" t="s">
        <v>1958</v>
      </c>
      <c r="B1682" s="1" t="s">
        <v>1959</v>
      </c>
      <c r="C1682" s="1">
        <v>257000000</v>
      </c>
      <c r="D1682" s="1" t="s">
        <v>11</v>
      </c>
      <c r="E1682">
        <v>458.46269999999998</v>
      </c>
      <c r="F1682" s="1" t="s">
        <v>176</v>
      </c>
      <c r="G1682">
        <v>1000</v>
      </c>
      <c r="H1682">
        <v>195</v>
      </c>
      <c r="I1682" s="1" t="s">
        <v>295</v>
      </c>
      <c r="J1682">
        <v>10</v>
      </c>
      <c r="K1682" t="str">
        <f>IF(Tb_data[[#This Row],[previous_workers]]&lt;Tb_data[[#This Row],[workers]],"yes","no")</f>
        <v>yes</v>
      </c>
      <c r="L1682">
        <f>Tb_data[[#This Row],[workers]]-Tb_data[[#This Row],[previous_workers]]</f>
        <v>805</v>
      </c>
      <c r="M1682" s="12">
        <f>Tb_data[[#This Row],[Employees Growth]]/Tb_data[[#This Row],[previous_workers]]</f>
        <v>4.1282051282051286</v>
      </c>
    </row>
    <row r="1683" spans="1:13" x14ac:dyDescent="0.25">
      <c r="A1683" s="1" t="s">
        <v>3541</v>
      </c>
      <c r="B1683" s="1" t="s">
        <v>3542</v>
      </c>
      <c r="C1683" s="1">
        <v>21400000</v>
      </c>
      <c r="D1683" s="1" t="s">
        <v>49</v>
      </c>
      <c r="E1683">
        <v>238.97739999999999</v>
      </c>
      <c r="F1683" s="1" t="s">
        <v>86</v>
      </c>
      <c r="G1683">
        <v>84</v>
      </c>
      <c r="H1683">
        <v>32</v>
      </c>
      <c r="I1683" s="1" t="s">
        <v>194</v>
      </c>
      <c r="J1683">
        <v>5</v>
      </c>
      <c r="K1683" t="str">
        <f>IF(Tb_data[[#This Row],[previous_workers]]&lt;Tb_data[[#This Row],[workers]],"yes","no")</f>
        <v>yes</v>
      </c>
      <c r="L1683">
        <f>Tb_data[[#This Row],[workers]]-Tb_data[[#This Row],[previous_workers]]</f>
        <v>52</v>
      </c>
      <c r="M1683" s="12">
        <f>Tb_data[[#This Row],[Employees Growth]]/Tb_data[[#This Row],[previous_workers]]</f>
        <v>1.625</v>
      </c>
    </row>
    <row r="1684" spans="1:13" x14ac:dyDescent="0.25">
      <c r="A1684" s="1" t="s">
        <v>553</v>
      </c>
      <c r="B1684" s="1" t="s">
        <v>554</v>
      </c>
      <c r="C1684" s="1">
        <v>4700000</v>
      </c>
      <c r="D1684" s="1" t="s">
        <v>49</v>
      </c>
      <c r="E1684">
        <v>1792.335</v>
      </c>
      <c r="F1684" s="1" t="s">
        <v>86</v>
      </c>
      <c r="G1684">
        <v>30</v>
      </c>
      <c r="H1684">
        <v>11</v>
      </c>
      <c r="I1684" s="1" t="s">
        <v>130</v>
      </c>
      <c r="J1684">
        <v>1</v>
      </c>
      <c r="K1684" t="str">
        <f>IF(Tb_data[[#This Row],[previous_workers]]&lt;Tb_data[[#This Row],[workers]],"yes","no")</f>
        <v>yes</v>
      </c>
      <c r="L1684">
        <f>Tb_data[[#This Row],[workers]]-Tb_data[[#This Row],[previous_workers]]</f>
        <v>19</v>
      </c>
      <c r="M1684" s="12">
        <f>Tb_data[[#This Row],[Employees Growth]]/Tb_data[[#This Row],[previous_workers]]</f>
        <v>1.7272727272727273</v>
      </c>
    </row>
    <row r="1685" spans="1:13" x14ac:dyDescent="0.25">
      <c r="A1685" s="1" t="s">
        <v>4413</v>
      </c>
      <c r="B1685" s="1" t="s">
        <v>4414</v>
      </c>
      <c r="C1685" s="1">
        <v>45700000</v>
      </c>
      <c r="D1685" s="1" t="s">
        <v>20</v>
      </c>
      <c r="E1685">
        <v>186.24969999999999</v>
      </c>
      <c r="F1685" s="1" t="s">
        <v>21</v>
      </c>
      <c r="G1685">
        <v>1300</v>
      </c>
      <c r="H1685">
        <v>500</v>
      </c>
      <c r="I1685" s="1" t="s">
        <v>164</v>
      </c>
      <c r="J1685">
        <v>2</v>
      </c>
      <c r="K1685" t="str">
        <f>IF(Tb_data[[#This Row],[previous_workers]]&lt;Tb_data[[#This Row],[workers]],"yes","no")</f>
        <v>yes</v>
      </c>
      <c r="L1685">
        <f>Tb_data[[#This Row],[workers]]-Tb_data[[#This Row],[previous_workers]]</f>
        <v>800</v>
      </c>
      <c r="M1685" s="12">
        <f>Tb_data[[#This Row],[Employees Growth]]/Tb_data[[#This Row],[previous_workers]]</f>
        <v>1.6</v>
      </c>
    </row>
    <row r="1686" spans="1:13" x14ac:dyDescent="0.25">
      <c r="A1686" s="1" t="s">
        <v>3163</v>
      </c>
      <c r="B1686" s="1" t="s">
        <v>3164</v>
      </c>
      <c r="C1686" s="1">
        <v>2100000</v>
      </c>
      <c r="D1686" s="1" t="s">
        <v>20</v>
      </c>
      <c r="E1686">
        <v>272.3793</v>
      </c>
      <c r="F1686" s="1" t="s">
        <v>86</v>
      </c>
      <c r="G1686">
        <v>13</v>
      </c>
      <c r="H1686">
        <v>7</v>
      </c>
      <c r="I1686" s="1" t="s">
        <v>46</v>
      </c>
      <c r="J1686">
        <v>1</v>
      </c>
      <c r="K1686" t="str">
        <f>IF(Tb_data[[#This Row],[previous_workers]]&lt;Tb_data[[#This Row],[workers]],"yes","no")</f>
        <v>yes</v>
      </c>
      <c r="L1686">
        <f>Tb_data[[#This Row],[workers]]-Tb_data[[#This Row],[previous_workers]]</f>
        <v>6</v>
      </c>
      <c r="M1686" s="12">
        <f>Tb_data[[#This Row],[Employees Growth]]/Tb_data[[#This Row],[previous_workers]]</f>
        <v>0.8571428571428571</v>
      </c>
    </row>
    <row r="1687" spans="1:13" x14ac:dyDescent="0.25">
      <c r="A1687" s="1" t="s">
        <v>3427</v>
      </c>
      <c r="B1687" s="1" t="s">
        <v>3428</v>
      </c>
      <c r="C1687" s="1">
        <v>12500000</v>
      </c>
      <c r="D1687" s="1" t="s">
        <v>20</v>
      </c>
      <c r="E1687">
        <v>249.30600000000001</v>
      </c>
      <c r="F1687" s="1" t="s">
        <v>112</v>
      </c>
      <c r="G1687">
        <v>12</v>
      </c>
      <c r="H1687">
        <v>8</v>
      </c>
      <c r="I1687" s="1" t="s">
        <v>1051</v>
      </c>
      <c r="J1687">
        <v>2</v>
      </c>
      <c r="K1687" t="str">
        <f>IF(Tb_data[[#This Row],[previous_workers]]&lt;Tb_data[[#This Row],[workers]],"yes","no")</f>
        <v>yes</v>
      </c>
      <c r="L1687">
        <f>Tb_data[[#This Row],[workers]]-Tb_data[[#This Row],[previous_workers]]</f>
        <v>4</v>
      </c>
      <c r="M1687" s="12">
        <f>Tb_data[[#This Row],[Employees Growth]]/Tb_data[[#This Row],[previous_workers]]</f>
        <v>0.5</v>
      </c>
    </row>
    <row r="1688" spans="1:13" x14ac:dyDescent="0.25">
      <c r="A1688" s="1" t="s">
        <v>8169</v>
      </c>
      <c r="B1688" s="1" t="s">
        <v>8170</v>
      </c>
      <c r="C1688" s="1">
        <v>5500000</v>
      </c>
      <c r="D1688" s="1" t="s">
        <v>49</v>
      </c>
      <c r="E1688">
        <v>80.110900000000001</v>
      </c>
      <c r="F1688" s="1" t="s">
        <v>176</v>
      </c>
      <c r="G1688">
        <v>91</v>
      </c>
      <c r="H1688">
        <v>55</v>
      </c>
      <c r="I1688" s="1" t="s">
        <v>2611</v>
      </c>
      <c r="J1688">
        <v>1</v>
      </c>
      <c r="K1688" t="str">
        <f>IF(Tb_data[[#This Row],[previous_workers]]&lt;Tb_data[[#This Row],[workers]],"yes","no")</f>
        <v>yes</v>
      </c>
      <c r="L1688">
        <f>Tb_data[[#This Row],[workers]]-Tb_data[[#This Row],[previous_workers]]</f>
        <v>36</v>
      </c>
      <c r="M1688" s="12">
        <f>Tb_data[[#This Row],[Employees Growth]]/Tb_data[[#This Row],[previous_workers]]</f>
        <v>0.65454545454545454</v>
      </c>
    </row>
    <row r="1689" spans="1:13" x14ac:dyDescent="0.25">
      <c r="A1689" s="1" t="s">
        <v>5842</v>
      </c>
      <c r="B1689" s="1" t="s">
        <v>5843</v>
      </c>
      <c r="C1689" s="1">
        <v>8100000</v>
      </c>
      <c r="D1689" s="1" t="s">
        <v>52</v>
      </c>
      <c r="E1689">
        <v>130.21770000000001</v>
      </c>
      <c r="F1689" s="1" t="s">
        <v>124</v>
      </c>
      <c r="G1689">
        <v>62</v>
      </c>
      <c r="H1689">
        <v>44</v>
      </c>
      <c r="I1689" s="1" t="s">
        <v>46</v>
      </c>
      <c r="J1689">
        <v>2</v>
      </c>
      <c r="K1689" t="str">
        <f>IF(Tb_data[[#This Row],[previous_workers]]&lt;Tb_data[[#This Row],[workers]],"yes","no")</f>
        <v>yes</v>
      </c>
      <c r="L1689">
        <f>Tb_data[[#This Row],[workers]]-Tb_data[[#This Row],[previous_workers]]</f>
        <v>18</v>
      </c>
      <c r="M1689" s="12">
        <f>Tb_data[[#This Row],[Employees Growth]]/Tb_data[[#This Row],[previous_workers]]</f>
        <v>0.40909090909090912</v>
      </c>
    </row>
    <row r="1690" spans="1:13" x14ac:dyDescent="0.25">
      <c r="A1690" s="1" t="s">
        <v>1086</v>
      </c>
      <c r="B1690" s="1" t="s">
        <v>1087</v>
      </c>
      <c r="C1690" s="1">
        <v>5300000</v>
      </c>
      <c r="D1690" s="1" t="s">
        <v>52</v>
      </c>
      <c r="E1690">
        <v>893.62699999999995</v>
      </c>
      <c r="F1690" s="1" t="s">
        <v>21</v>
      </c>
      <c r="G1690">
        <v>36</v>
      </c>
      <c r="H1690">
        <v>12</v>
      </c>
      <c r="I1690" s="1" t="s">
        <v>55</v>
      </c>
      <c r="J1690">
        <v>1</v>
      </c>
      <c r="K1690" t="str">
        <f>IF(Tb_data[[#This Row],[previous_workers]]&lt;Tb_data[[#This Row],[workers]],"yes","no")</f>
        <v>yes</v>
      </c>
      <c r="L1690">
        <f>Tb_data[[#This Row],[workers]]-Tb_data[[#This Row],[previous_workers]]</f>
        <v>24</v>
      </c>
      <c r="M1690" s="12">
        <f>Tb_data[[#This Row],[Employees Growth]]/Tb_data[[#This Row],[previous_workers]]</f>
        <v>2</v>
      </c>
    </row>
    <row r="1691" spans="1:13" x14ac:dyDescent="0.25">
      <c r="A1691" s="1" t="s">
        <v>9191</v>
      </c>
      <c r="B1691" s="1" t="s">
        <v>9192</v>
      </c>
      <c r="C1691" s="1">
        <v>4000000</v>
      </c>
      <c r="D1691" s="1" t="s">
        <v>11</v>
      </c>
      <c r="E1691">
        <v>64.215500000000006</v>
      </c>
      <c r="F1691" s="1" t="s">
        <v>124</v>
      </c>
      <c r="G1691">
        <v>33</v>
      </c>
      <c r="H1691">
        <v>19</v>
      </c>
      <c r="I1691" s="1" t="s">
        <v>1622</v>
      </c>
      <c r="J1691">
        <v>1</v>
      </c>
      <c r="K1691" t="str">
        <f>IF(Tb_data[[#This Row],[previous_workers]]&lt;Tb_data[[#This Row],[workers]],"yes","no")</f>
        <v>yes</v>
      </c>
      <c r="L1691">
        <f>Tb_data[[#This Row],[workers]]-Tb_data[[#This Row],[previous_workers]]</f>
        <v>14</v>
      </c>
      <c r="M1691" s="12">
        <f>Tb_data[[#This Row],[Employees Growth]]/Tb_data[[#This Row],[previous_workers]]</f>
        <v>0.73684210526315785</v>
      </c>
    </row>
    <row r="1692" spans="1:13" x14ac:dyDescent="0.25">
      <c r="A1692" s="1" t="s">
        <v>2925</v>
      </c>
      <c r="B1692" s="1" t="s">
        <v>2926</v>
      </c>
      <c r="C1692" s="1">
        <v>6900000</v>
      </c>
      <c r="D1692" s="1" t="s">
        <v>52</v>
      </c>
      <c r="E1692">
        <v>294.53480000000002</v>
      </c>
      <c r="F1692" s="1" t="s">
        <v>42</v>
      </c>
      <c r="G1692">
        <v>41</v>
      </c>
      <c r="H1692">
        <v>19</v>
      </c>
      <c r="I1692" s="1" t="s">
        <v>117</v>
      </c>
      <c r="J1692">
        <v>2</v>
      </c>
      <c r="K1692" t="str">
        <f>IF(Tb_data[[#This Row],[previous_workers]]&lt;Tb_data[[#This Row],[workers]],"yes","no")</f>
        <v>yes</v>
      </c>
      <c r="L1692">
        <f>Tb_data[[#This Row],[workers]]-Tb_data[[#This Row],[previous_workers]]</f>
        <v>22</v>
      </c>
      <c r="M1692" s="12">
        <f>Tb_data[[#This Row],[Employees Growth]]/Tb_data[[#This Row],[previous_workers]]</f>
        <v>1.1578947368421053</v>
      </c>
    </row>
    <row r="1693" spans="1:13" x14ac:dyDescent="0.25">
      <c r="A1693" s="1" t="s">
        <v>8875</v>
      </c>
      <c r="B1693" s="1" t="s">
        <v>8876</v>
      </c>
      <c r="C1693" s="1">
        <v>10300000</v>
      </c>
      <c r="D1693" s="1" t="s">
        <v>254</v>
      </c>
      <c r="E1693">
        <v>68.3309</v>
      </c>
      <c r="F1693" s="1" t="s">
        <v>112</v>
      </c>
      <c r="G1693">
        <v>40</v>
      </c>
      <c r="H1693">
        <v>20</v>
      </c>
      <c r="I1693" s="1" t="s">
        <v>4084</v>
      </c>
      <c r="J1693">
        <v>2</v>
      </c>
      <c r="K1693" t="str">
        <f>IF(Tb_data[[#This Row],[previous_workers]]&lt;Tb_data[[#This Row],[workers]],"yes","no")</f>
        <v>yes</v>
      </c>
      <c r="L1693">
        <f>Tb_data[[#This Row],[workers]]-Tb_data[[#This Row],[previous_workers]]</f>
        <v>20</v>
      </c>
      <c r="M1693" s="12">
        <f>Tb_data[[#This Row],[Employees Growth]]/Tb_data[[#This Row],[previous_workers]]</f>
        <v>1</v>
      </c>
    </row>
    <row r="1694" spans="1:13" x14ac:dyDescent="0.25">
      <c r="A1694" s="1" t="s">
        <v>5272</v>
      </c>
      <c r="B1694" s="1" t="s">
        <v>5273</v>
      </c>
      <c r="C1694" s="1">
        <v>17400000</v>
      </c>
      <c r="D1694" s="1" t="s">
        <v>61</v>
      </c>
      <c r="E1694">
        <v>151.04339999999999</v>
      </c>
      <c r="F1694" s="1" t="s">
        <v>86</v>
      </c>
      <c r="G1694">
        <v>48</v>
      </c>
      <c r="H1694">
        <v>25</v>
      </c>
      <c r="I1694" s="1" t="s">
        <v>295</v>
      </c>
      <c r="J1694">
        <v>1</v>
      </c>
      <c r="K1694" t="str">
        <f>IF(Tb_data[[#This Row],[previous_workers]]&lt;Tb_data[[#This Row],[workers]],"yes","no")</f>
        <v>yes</v>
      </c>
      <c r="L1694">
        <f>Tb_data[[#This Row],[workers]]-Tb_data[[#This Row],[previous_workers]]</f>
        <v>23</v>
      </c>
      <c r="M1694" s="12">
        <f>Tb_data[[#This Row],[Employees Growth]]/Tb_data[[#This Row],[previous_workers]]</f>
        <v>0.92</v>
      </c>
    </row>
    <row r="1695" spans="1:13" x14ac:dyDescent="0.25">
      <c r="A1695" s="1" t="s">
        <v>3101</v>
      </c>
      <c r="B1695" s="1" t="s">
        <v>3102</v>
      </c>
      <c r="C1695" s="1">
        <v>4900000</v>
      </c>
      <c r="D1695" s="1" t="s">
        <v>20</v>
      </c>
      <c r="E1695">
        <v>277.16570000000002</v>
      </c>
      <c r="F1695" s="1" t="s">
        <v>135</v>
      </c>
      <c r="G1695">
        <v>59</v>
      </c>
      <c r="H1695">
        <v>12</v>
      </c>
      <c r="I1695" s="1" t="s">
        <v>55</v>
      </c>
      <c r="J1695">
        <v>2</v>
      </c>
      <c r="K1695" t="str">
        <f>IF(Tb_data[[#This Row],[previous_workers]]&lt;Tb_data[[#This Row],[workers]],"yes","no")</f>
        <v>yes</v>
      </c>
      <c r="L1695">
        <f>Tb_data[[#This Row],[workers]]-Tb_data[[#This Row],[previous_workers]]</f>
        <v>47</v>
      </c>
      <c r="M1695" s="12">
        <f>Tb_data[[#This Row],[Employees Growth]]/Tb_data[[#This Row],[previous_workers]]</f>
        <v>3.9166666666666665</v>
      </c>
    </row>
    <row r="1696" spans="1:13" x14ac:dyDescent="0.25">
      <c r="A1696" s="1" t="s">
        <v>1817</v>
      </c>
      <c r="B1696" s="1" t="s">
        <v>1818</v>
      </c>
      <c r="C1696" s="1">
        <v>14400000</v>
      </c>
      <c r="D1696" s="1" t="s">
        <v>500</v>
      </c>
      <c r="E1696">
        <v>496.93610000000001</v>
      </c>
      <c r="F1696" s="1" t="s">
        <v>156</v>
      </c>
      <c r="G1696">
        <v>174</v>
      </c>
      <c r="H1696">
        <v>26</v>
      </c>
      <c r="I1696" s="1" t="s">
        <v>130</v>
      </c>
      <c r="J1696">
        <v>2</v>
      </c>
      <c r="K1696" t="str">
        <f>IF(Tb_data[[#This Row],[previous_workers]]&lt;Tb_data[[#This Row],[workers]],"yes","no")</f>
        <v>yes</v>
      </c>
      <c r="L1696">
        <f>Tb_data[[#This Row],[workers]]-Tb_data[[#This Row],[previous_workers]]</f>
        <v>148</v>
      </c>
      <c r="M1696" s="12">
        <f>Tb_data[[#This Row],[Employees Growth]]/Tb_data[[#This Row],[previous_workers]]</f>
        <v>5.6923076923076925</v>
      </c>
    </row>
    <row r="1697" spans="1:13" x14ac:dyDescent="0.25">
      <c r="A1697" s="1" t="s">
        <v>7783</v>
      </c>
      <c r="B1697" s="1" t="s">
        <v>7784</v>
      </c>
      <c r="C1697" s="1">
        <v>6000000</v>
      </c>
      <c r="D1697" s="1" t="s">
        <v>16</v>
      </c>
      <c r="E1697">
        <v>86.598600000000005</v>
      </c>
      <c r="F1697" s="1" t="s">
        <v>12</v>
      </c>
      <c r="G1697">
        <v>20</v>
      </c>
      <c r="H1697">
        <v>7</v>
      </c>
      <c r="I1697" s="1" t="s">
        <v>3943</v>
      </c>
      <c r="J1697">
        <v>1</v>
      </c>
      <c r="K1697" t="str">
        <f>IF(Tb_data[[#This Row],[previous_workers]]&lt;Tb_data[[#This Row],[workers]],"yes","no")</f>
        <v>yes</v>
      </c>
      <c r="L1697">
        <f>Tb_data[[#This Row],[workers]]-Tb_data[[#This Row],[previous_workers]]</f>
        <v>13</v>
      </c>
      <c r="M1697" s="12">
        <f>Tb_data[[#This Row],[Employees Growth]]/Tb_data[[#This Row],[previous_workers]]</f>
        <v>1.8571428571428572</v>
      </c>
    </row>
    <row r="1698" spans="1:13" x14ac:dyDescent="0.25">
      <c r="A1698" s="1" t="s">
        <v>7319</v>
      </c>
      <c r="B1698" s="1" t="s">
        <v>7320</v>
      </c>
      <c r="C1698" s="1">
        <v>9400000</v>
      </c>
      <c r="D1698" s="1" t="s">
        <v>16</v>
      </c>
      <c r="E1698">
        <v>96.762699999999995</v>
      </c>
      <c r="F1698" s="1" t="s">
        <v>62</v>
      </c>
      <c r="G1698">
        <v>10</v>
      </c>
      <c r="H1698">
        <v>14</v>
      </c>
      <c r="I1698" s="1" t="s">
        <v>295</v>
      </c>
      <c r="J1698">
        <v>2</v>
      </c>
      <c r="K1698" t="str">
        <f>IF(Tb_data[[#This Row],[previous_workers]]&lt;Tb_data[[#This Row],[workers]],"yes","no")</f>
        <v>no</v>
      </c>
      <c r="L1698">
        <f>Tb_data[[#This Row],[workers]]-Tb_data[[#This Row],[previous_workers]]</f>
        <v>-4</v>
      </c>
      <c r="M1698" s="12">
        <f>Tb_data[[#This Row],[Employees Growth]]/Tb_data[[#This Row],[previous_workers]]</f>
        <v>-0.2857142857142857</v>
      </c>
    </row>
    <row r="1699" spans="1:13" x14ac:dyDescent="0.25">
      <c r="A1699" s="1" t="s">
        <v>1244</v>
      </c>
      <c r="B1699" s="1" t="s">
        <v>1245</v>
      </c>
      <c r="C1699" s="1">
        <v>17500000</v>
      </c>
      <c r="D1699" s="1" t="s">
        <v>427</v>
      </c>
      <c r="E1699">
        <v>771.86400000000003</v>
      </c>
      <c r="F1699" s="1" t="s">
        <v>176</v>
      </c>
      <c r="G1699">
        <v>55</v>
      </c>
      <c r="H1699">
        <v>3</v>
      </c>
      <c r="I1699" s="1" t="s">
        <v>130</v>
      </c>
      <c r="J1699">
        <v>1</v>
      </c>
      <c r="K1699" t="str">
        <f>IF(Tb_data[[#This Row],[previous_workers]]&lt;Tb_data[[#This Row],[workers]],"yes","no")</f>
        <v>yes</v>
      </c>
      <c r="L1699">
        <f>Tb_data[[#This Row],[workers]]-Tb_data[[#This Row],[previous_workers]]</f>
        <v>52</v>
      </c>
      <c r="M1699" s="12">
        <f>Tb_data[[#This Row],[Employees Growth]]/Tb_data[[#This Row],[previous_workers]]</f>
        <v>17.333333333333332</v>
      </c>
    </row>
    <row r="1700" spans="1:13" x14ac:dyDescent="0.25">
      <c r="A1700" s="1" t="s">
        <v>5936</v>
      </c>
      <c r="B1700" s="1" t="s">
        <v>5937</v>
      </c>
      <c r="C1700" s="1">
        <v>19800000</v>
      </c>
      <c r="D1700" s="1" t="s">
        <v>41</v>
      </c>
      <c r="E1700">
        <v>128.06710000000001</v>
      </c>
      <c r="F1700" s="1" t="s">
        <v>86</v>
      </c>
      <c r="G1700">
        <v>150</v>
      </c>
      <c r="H1700">
        <v>70</v>
      </c>
      <c r="I1700" s="1" t="s">
        <v>117</v>
      </c>
      <c r="J1700">
        <v>6</v>
      </c>
      <c r="K1700" t="str">
        <f>IF(Tb_data[[#This Row],[previous_workers]]&lt;Tb_data[[#This Row],[workers]],"yes","no")</f>
        <v>yes</v>
      </c>
      <c r="L1700">
        <f>Tb_data[[#This Row],[workers]]-Tb_data[[#This Row],[previous_workers]]</f>
        <v>80</v>
      </c>
      <c r="M1700" s="12">
        <f>Tb_data[[#This Row],[Employees Growth]]/Tb_data[[#This Row],[previous_workers]]</f>
        <v>1.1428571428571428</v>
      </c>
    </row>
    <row r="1701" spans="1:13" x14ac:dyDescent="0.25">
      <c r="A1701" s="1" t="s">
        <v>5428</v>
      </c>
      <c r="B1701" s="1" t="s">
        <v>5429</v>
      </c>
      <c r="C1701" s="1">
        <v>27700000</v>
      </c>
      <c r="D1701" s="1" t="s">
        <v>61</v>
      </c>
      <c r="E1701">
        <v>145.268</v>
      </c>
      <c r="F1701" s="1" t="s">
        <v>30</v>
      </c>
      <c r="G1701">
        <v>94</v>
      </c>
      <c r="H1701">
        <v>55</v>
      </c>
      <c r="I1701" s="1" t="s">
        <v>35</v>
      </c>
      <c r="J1701">
        <v>4</v>
      </c>
      <c r="K1701" t="str">
        <f>IF(Tb_data[[#This Row],[previous_workers]]&lt;Tb_data[[#This Row],[workers]],"yes","no")</f>
        <v>yes</v>
      </c>
      <c r="L1701">
        <f>Tb_data[[#This Row],[workers]]-Tb_data[[#This Row],[previous_workers]]</f>
        <v>39</v>
      </c>
      <c r="M1701" s="12">
        <f>Tb_data[[#This Row],[Employees Growth]]/Tb_data[[#This Row],[previous_workers]]</f>
        <v>0.70909090909090911</v>
      </c>
    </row>
    <row r="1702" spans="1:13" x14ac:dyDescent="0.25">
      <c r="A1702" s="1" t="s">
        <v>6457</v>
      </c>
      <c r="B1702" s="1" t="s">
        <v>6458</v>
      </c>
      <c r="C1702" s="1">
        <v>2600000</v>
      </c>
      <c r="D1702" s="1" t="s">
        <v>11</v>
      </c>
      <c r="E1702">
        <v>115.1341</v>
      </c>
      <c r="F1702" s="1" t="s">
        <v>124</v>
      </c>
      <c r="G1702">
        <v>30</v>
      </c>
      <c r="H1702">
        <v>10</v>
      </c>
      <c r="I1702" s="1" t="s">
        <v>117</v>
      </c>
      <c r="J1702">
        <v>2</v>
      </c>
      <c r="K1702" t="str">
        <f>IF(Tb_data[[#This Row],[previous_workers]]&lt;Tb_data[[#This Row],[workers]],"yes","no")</f>
        <v>yes</v>
      </c>
      <c r="L1702">
        <f>Tb_data[[#This Row],[workers]]-Tb_data[[#This Row],[previous_workers]]</f>
        <v>20</v>
      </c>
      <c r="M1702" s="12">
        <f>Tb_data[[#This Row],[Employees Growth]]/Tb_data[[#This Row],[previous_workers]]</f>
        <v>2</v>
      </c>
    </row>
    <row r="1703" spans="1:13" x14ac:dyDescent="0.25">
      <c r="A1703" s="1" t="s">
        <v>6884</v>
      </c>
      <c r="B1703" s="1" t="s">
        <v>6885</v>
      </c>
      <c r="C1703" s="1">
        <v>68600000</v>
      </c>
      <c r="D1703" s="1" t="s">
        <v>61</v>
      </c>
      <c r="E1703">
        <v>104.7276</v>
      </c>
      <c r="F1703" s="1" t="s">
        <v>62</v>
      </c>
      <c r="G1703">
        <v>102</v>
      </c>
      <c r="H1703">
        <v>122</v>
      </c>
      <c r="I1703" s="1" t="s">
        <v>46</v>
      </c>
      <c r="J1703">
        <v>6</v>
      </c>
      <c r="K1703" t="str">
        <f>IF(Tb_data[[#This Row],[previous_workers]]&lt;Tb_data[[#This Row],[workers]],"yes","no")</f>
        <v>no</v>
      </c>
      <c r="L1703">
        <f>Tb_data[[#This Row],[workers]]-Tb_data[[#This Row],[previous_workers]]</f>
        <v>-20</v>
      </c>
      <c r="M1703" s="12">
        <f>Tb_data[[#This Row],[Employees Growth]]/Tb_data[[#This Row],[previous_workers]]</f>
        <v>-0.16393442622950818</v>
      </c>
    </row>
    <row r="1704" spans="1:13" x14ac:dyDescent="0.25">
      <c r="A1704" s="1" t="s">
        <v>9225</v>
      </c>
      <c r="B1704" s="1" t="s">
        <v>9226</v>
      </c>
      <c r="C1704" s="1">
        <v>54600000</v>
      </c>
      <c r="D1704" s="1" t="s">
        <v>69</v>
      </c>
      <c r="E1704">
        <v>63.826799999999999</v>
      </c>
      <c r="F1704" s="1" t="s">
        <v>12</v>
      </c>
      <c r="G1704">
        <v>105</v>
      </c>
      <c r="H1704">
        <v>98</v>
      </c>
      <c r="I1704" s="1" t="s">
        <v>194</v>
      </c>
      <c r="J1704">
        <v>10</v>
      </c>
      <c r="K1704" t="str">
        <f>IF(Tb_data[[#This Row],[previous_workers]]&lt;Tb_data[[#This Row],[workers]],"yes","no")</f>
        <v>yes</v>
      </c>
      <c r="L1704">
        <f>Tb_data[[#This Row],[workers]]-Tb_data[[#This Row],[previous_workers]]</f>
        <v>7</v>
      </c>
      <c r="M1704" s="12">
        <f>Tb_data[[#This Row],[Employees Growth]]/Tb_data[[#This Row],[previous_workers]]</f>
        <v>7.1428571428571425E-2</v>
      </c>
    </row>
    <row r="1705" spans="1:13" x14ac:dyDescent="0.25">
      <c r="A1705" s="1" t="s">
        <v>9309</v>
      </c>
      <c r="B1705" s="1" t="s">
        <v>9310</v>
      </c>
      <c r="C1705" s="1">
        <v>11500000</v>
      </c>
      <c r="D1705" s="1" t="s">
        <v>61</v>
      </c>
      <c r="E1705">
        <v>62.677999999999997</v>
      </c>
      <c r="F1705" s="1" t="s">
        <v>161</v>
      </c>
      <c r="G1705">
        <v>61</v>
      </c>
      <c r="H1705">
        <v>50</v>
      </c>
      <c r="I1705" s="1" t="s">
        <v>194</v>
      </c>
      <c r="J1705">
        <v>4</v>
      </c>
      <c r="K1705" t="str">
        <f>IF(Tb_data[[#This Row],[previous_workers]]&lt;Tb_data[[#This Row],[workers]],"yes","no")</f>
        <v>yes</v>
      </c>
      <c r="L1705">
        <f>Tb_data[[#This Row],[workers]]-Tb_data[[#This Row],[previous_workers]]</f>
        <v>11</v>
      </c>
      <c r="M1705" s="12">
        <f>Tb_data[[#This Row],[Employees Growth]]/Tb_data[[#This Row],[previous_workers]]</f>
        <v>0.22</v>
      </c>
    </row>
    <row r="1706" spans="1:13" x14ac:dyDescent="0.25">
      <c r="A1706" s="1" t="s">
        <v>2042</v>
      </c>
      <c r="B1706" s="1" t="s">
        <v>2043</v>
      </c>
      <c r="C1706" s="1">
        <v>7100000</v>
      </c>
      <c r="D1706" s="1" t="s">
        <v>33</v>
      </c>
      <c r="E1706">
        <v>438.64150000000001</v>
      </c>
      <c r="F1706" s="1" t="s">
        <v>86</v>
      </c>
      <c r="G1706">
        <v>41</v>
      </c>
      <c r="H1706">
        <v>9</v>
      </c>
      <c r="I1706" s="1" t="s">
        <v>130</v>
      </c>
      <c r="J1706">
        <v>3</v>
      </c>
      <c r="K1706" t="str">
        <f>IF(Tb_data[[#This Row],[previous_workers]]&lt;Tb_data[[#This Row],[workers]],"yes","no")</f>
        <v>yes</v>
      </c>
      <c r="L1706">
        <f>Tb_data[[#This Row],[workers]]-Tb_data[[#This Row],[previous_workers]]</f>
        <v>32</v>
      </c>
      <c r="M1706" s="12">
        <f>Tb_data[[#This Row],[Employees Growth]]/Tb_data[[#This Row],[previous_workers]]</f>
        <v>3.5555555555555554</v>
      </c>
    </row>
    <row r="1707" spans="1:13" x14ac:dyDescent="0.25">
      <c r="A1707" s="1" t="s">
        <v>9812</v>
      </c>
      <c r="B1707" s="1" t="s">
        <v>9813</v>
      </c>
      <c r="C1707" s="1">
        <v>15700000</v>
      </c>
      <c r="D1707" s="1" t="s">
        <v>20</v>
      </c>
      <c r="E1707">
        <v>56.706800000000001</v>
      </c>
      <c r="F1707" s="1" t="s">
        <v>34</v>
      </c>
      <c r="G1707">
        <v>400</v>
      </c>
      <c r="H1707">
        <v>200</v>
      </c>
      <c r="I1707" s="1" t="s">
        <v>164</v>
      </c>
      <c r="J1707">
        <v>2</v>
      </c>
      <c r="K1707" t="str">
        <f>IF(Tb_data[[#This Row],[previous_workers]]&lt;Tb_data[[#This Row],[workers]],"yes","no")</f>
        <v>yes</v>
      </c>
      <c r="L1707">
        <f>Tb_data[[#This Row],[workers]]-Tb_data[[#This Row],[previous_workers]]</f>
        <v>200</v>
      </c>
      <c r="M1707" s="12">
        <f>Tb_data[[#This Row],[Employees Growth]]/Tb_data[[#This Row],[previous_workers]]</f>
        <v>1</v>
      </c>
    </row>
    <row r="1708" spans="1:13" x14ac:dyDescent="0.25">
      <c r="A1708" s="1" t="s">
        <v>1706</v>
      </c>
      <c r="B1708" s="1" t="s">
        <v>1707</v>
      </c>
      <c r="C1708" s="1">
        <v>3500000</v>
      </c>
      <c r="D1708" s="1" t="s">
        <v>91</v>
      </c>
      <c r="E1708">
        <v>536.19759999999997</v>
      </c>
      <c r="F1708" s="1" t="s">
        <v>62</v>
      </c>
      <c r="G1708">
        <v>30</v>
      </c>
      <c r="H1708">
        <v>10</v>
      </c>
      <c r="I1708" s="1" t="s">
        <v>117</v>
      </c>
      <c r="J1708">
        <v>2</v>
      </c>
      <c r="K1708" t="str">
        <f>IF(Tb_data[[#This Row],[previous_workers]]&lt;Tb_data[[#This Row],[workers]],"yes","no")</f>
        <v>yes</v>
      </c>
      <c r="L1708">
        <f>Tb_data[[#This Row],[workers]]-Tb_data[[#This Row],[previous_workers]]</f>
        <v>20</v>
      </c>
      <c r="M1708" s="12">
        <f>Tb_data[[#This Row],[Employees Growth]]/Tb_data[[#This Row],[previous_workers]]</f>
        <v>2</v>
      </c>
    </row>
    <row r="1709" spans="1:13" x14ac:dyDescent="0.25">
      <c r="A1709" s="1" t="s">
        <v>6695</v>
      </c>
      <c r="B1709" s="1" t="s">
        <v>6696</v>
      </c>
      <c r="C1709" s="1">
        <v>5400000</v>
      </c>
      <c r="D1709" s="1" t="s">
        <v>29</v>
      </c>
      <c r="E1709">
        <v>109.3678</v>
      </c>
      <c r="F1709" s="1" t="s">
        <v>86</v>
      </c>
      <c r="G1709">
        <v>50</v>
      </c>
      <c r="H1709">
        <v>43</v>
      </c>
      <c r="I1709" s="1" t="s">
        <v>130</v>
      </c>
      <c r="J1709">
        <v>2</v>
      </c>
      <c r="K1709" t="str">
        <f>IF(Tb_data[[#This Row],[previous_workers]]&lt;Tb_data[[#This Row],[workers]],"yes","no")</f>
        <v>yes</v>
      </c>
      <c r="L1709">
        <f>Tb_data[[#This Row],[workers]]-Tb_data[[#This Row],[previous_workers]]</f>
        <v>7</v>
      </c>
      <c r="M1709" s="12">
        <f>Tb_data[[#This Row],[Employees Growth]]/Tb_data[[#This Row],[previous_workers]]</f>
        <v>0.16279069767441862</v>
      </c>
    </row>
    <row r="1710" spans="1:13" x14ac:dyDescent="0.25">
      <c r="A1710" s="1" t="s">
        <v>3349</v>
      </c>
      <c r="B1710" s="1" t="s">
        <v>3350</v>
      </c>
      <c r="C1710" s="1">
        <v>7000000</v>
      </c>
      <c r="D1710" s="1" t="s">
        <v>427</v>
      </c>
      <c r="E1710">
        <v>255.50030000000001</v>
      </c>
      <c r="F1710" s="1" t="s">
        <v>86</v>
      </c>
      <c r="G1710">
        <v>60</v>
      </c>
      <c r="H1710">
        <v>15</v>
      </c>
      <c r="I1710" s="1" t="s">
        <v>74</v>
      </c>
      <c r="J1710">
        <v>1</v>
      </c>
      <c r="K1710" t="str">
        <f>IF(Tb_data[[#This Row],[previous_workers]]&lt;Tb_data[[#This Row],[workers]],"yes","no")</f>
        <v>yes</v>
      </c>
      <c r="L1710">
        <f>Tb_data[[#This Row],[workers]]-Tb_data[[#This Row],[previous_workers]]</f>
        <v>45</v>
      </c>
      <c r="M1710" s="12">
        <f>Tb_data[[#This Row],[Employees Growth]]/Tb_data[[#This Row],[previous_workers]]</f>
        <v>3</v>
      </c>
    </row>
    <row r="1711" spans="1:13" x14ac:dyDescent="0.25">
      <c r="A1711" s="1" t="s">
        <v>2987</v>
      </c>
      <c r="B1711" s="1" t="s">
        <v>2988</v>
      </c>
      <c r="C1711" s="1">
        <v>44200000</v>
      </c>
      <c r="D1711" s="1" t="s">
        <v>123</v>
      </c>
      <c r="E1711">
        <v>288.47000000000003</v>
      </c>
      <c r="F1711" s="1" t="s">
        <v>62</v>
      </c>
      <c r="G1711">
        <v>98</v>
      </c>
      <c r="H1711">
        <v>35</v>
      </c>
      <c r="I1711" s="1" t="s">
        <v>164</v>
      </c>
      <c r="J1711">
        <v>5</v>
      </c>
      <c r="K1711" t="str">
        <f>IF(Tb_data[[#This Row],[previous_workers]]&lt;Tb_data[[#This Row],[workers]],"yes","no")</f>
        <v>yes</v>
      </c>
      <c r="L1711">
        <f>Tb_data[[#This Row],[workers]]-Tb_data[[#This Row],[previous_workers]]</f>
        <v>63</v>
      </c>
      <c r="M1711" s="12">
        <f>Tb_data[[#This Row],[Employees Growth]]/Tb_data[[#This Row],[previous_workers]]</f>
        <v>1.8</v>
      </c>
    </row>
    <row r="1712" spans="1:13" x14ac:dyDescent="0.25">
      <c r="A1712" s="1" t="s">
        <v>6801</v>
      </c>
      <c r="B1712" s="1" t="s">
        <v>6802</v>
      </c>
      <c r="C1712" s="1">
        <v>28300000</v>
      </c>
      <c r="D1712" s="1" t="s">
        <v>20</v>
      </c>
      <c r="E1712">
        <v>106.7487</v>
      </c>
      <c r="F1712" s="1" t="s">
        <v>112</v>
      </c>
      <c r="G1712">
        <v>103</v>
      </c>
      <c r="H1712">
        <v>60</v>
      </c>
      <c r="I1712" s="1" t="s">
        <v>46</v>
      </c>
      <c r="J1712">
        <v>3</v>
      </c>
      <c r="K1712" t="str">
        <f>IF(Tb_data[[#This Row],[previous_workers]]&lt;Tb_data[[#This Row],[workers]],"yes","no")</f>
        <v>yes</v>
      </c>
      <c r="L1712">
        <f>Tb_data[[#This Row],[workers]]-Tb_data[[#This Row],[previous_workers]]</f>
        <v>43</v>
      </c>
      <c r="M1712" s="12">
        <f>Tb_data[[#This Row],[Employees Growth]]/Tb_data[[#This Row],[previous_workers]]</f>
        <v>0.71666666666666667</v>
      </c>
    </row>
    <row r="1713" spans="1:13" x14ac:dyDescent="0.25">
      <c r="A1713" s="1" t="s">
        <v>8427</v>
      </c>
      <c r="B1713" s="1" t="s">
        <v>8428</v>
      </c>
      <c r="C1713" s="1">
        <v>3800000</v>
      </c>
      <c r="D1713" s="1" t="s">
        <v>20</v>
      </c>
      <c r="E1713">
        <v>75.3446</v>
      </c>
      <c r="F1713" s="1" t="s">
        <v>176</v>
      </c>
      <c r="G1713">
        <v>24</v>
      </c>
      <c r="H1713">
        <v>14</v>
      </c>
      <c r="I1713" s="1" t="s">
        <v>117</v>
      </c>
      <c r="J1713">
        <v>4</v>
      </c>
      <c r="K1713" t="str">
        <f>IF(Tb_data[[#This Row],[previous_workers]]&lt;Tb_data[[#This Row],[workers]],"yes","no")</f>
        <v>yes</v>
      </c>
      <c r="L1713">
        <f>Tb_data[[#This Row],[workers]]-Tb_data[[#This Row],[previous_workers]]</f>
        <v>10</v>
      </c>
      <c r="M1713" s="12">
        <f>Tb_data[[#This Row],[Employees Growth]]/Tb_data[[#This Row],[previous_workers]]</f>
        <v>0.7142857142857143</v>
      </c>
    </row>
    <row r="1714" spans="1:13" x14ac:dyDescent="0.25">
      <c r="A1714" s="1" t="s">
        <v>5938</v>
      </c>
      <c r="B1714" s="1" t="s">
        <v>5939</v>
      </c>
      <c r="C1714" s="1">
        <v>47900000</v>
      </c>
      <c r="D1714" s="1" t="s">
        <v>41</v>
      </c>
      <c r="E1714">
        <v>128.06049999999999</v>
      </c>
      <c r="F1714" s="1" t="s">
        <v>97</v>
      </c>
      <c r="G1714">
        <v>215</v>
      </c>
      <c r="H1714">
        <v>85</v>
      </c>
      <c r="I1714" s="1" t="s">
        <v>229</v>
      </c>
      <c r="J1714">
        <v>7</v>
      </c>
      <c r="K1714" t="str">
        <f>IF(Tb_data[[#This Row],[previous_workers]]&lt;Tb_data[[#This Row],[workers]],"yes","no")</f>
        <v>yes</v>
      </c>
      <c r="L1714">
        <f>Tb_data[[#This Row],[workers]]-Tb_data[[#This Row],[previous_workers]]</f>
        <v>130</v>
      </c>
      <c r="M1714" s="12">
        <f>Tb_data[[#This Row],[Employees Growth]]/Tb_data[[#This Row],[previous_workers]]</f>
        <v>1.5294117647058822</v>
      </c>
    </row>
    <row r="1715" spans="1:13" x14ac:dyDescent="0.25">
      <c r="A1715" s="1" t="s">
        <v>6847</v>
      </c>
      <c r="B1715" s="1" t="s">
        <v>6848</v>
      </c>
      <c r="C1715" s="1">
        <v>6000000</v>
      </c>
      <c r="D1715" s="1" t="s">
        <v>49</v>
      </c>
      <c r="E1715">
        <v>105.6058</v>
      </c>
      <c r="F1715" s="1" t="s">
        <v>161</v>
      </c>
      <c r="G1715">
        <v>32</v>
      </c>
      <c r="H1715">
        <v>15</v>
      </c>
      <c r="I1715" s="1" t="s">
        <v>164</v>
      </c>
      <c r="J1715">
        <v>2</v>
      </c>
      <c r="K1715" t="str">
        <f>IF(Tb_data[[#This Row],[previous_workers]]&lt;Tb_data[[#This Row],[workers]],"yes","no")</f>
        <v>yes</v>
      </c>
      <c r="L1715">
        <f>Tb_data[[#This Row],[workers]]-Tb_data[[#This Row],[previous_workers]]</f>
        <v>17</v>
      </c>
      <c r="M1715" s="12">
        <f>Tb_data[[#This Row],[Employees Growth]]/Tb_data[[#This Row],[previous_workers]]</f>
        <v>1.1333333333333333</v>
      </c>
    </row>
    <row r="1716" spans="1:13" x14ac:dyDescent="0.25">
      <c r="A1716" s="1" t="s">
        <v>4992</v>
      </c>
      <c r="B1716" s="1" t="s">
        <v>4993</v>
      </c>
      <c r="C1716" s="1">
        <v>39700000</v>
      </c>
      <c r="D1716" s="1" t="s">
        <v>20</v>
      </c>
      <c r="E1716">
        <v>162.12119999999999</v>
      </c>
      <c r="F1716" s="1" t="s">
        <v>124</v>
      </c>
      <c r="G1716">
        <v>45</v>
      </c>
      <c r="H1716">
        <v>30</v>
      </c>
      <c r="I1716" s="1" t="s">
        <v>295</v>
      </c>
      <c r="J1716">
        <v>1</v>
      </c>
      <c r="K1716" t="str">
        <f>IF(Tb_data[[#This Row],[previous_workers]]&lt;Tb_data[[#This Row],[workers]],"yes","no")</f>
        <v>yes</v>
      </c>
      <c r="L1716">
        <f>Tb_data[[#This Row],[workers]]-Tb_data[[#This Row],[previous_workers]]</f>
        <v>15</v>
      </c>
      <c r="M1716" s="12">
        <f>Tb_data[[#This Row],[Employees Growth]]/Tb_data[[#This Row],[previous_workers]]</f>
        <v>0.5</v>
      </c>
    </row>
    <row r="1717" spans="1:13" x14ac:dyDescent="0.25">
      <c r="A1717" s="1" t="s">
        <v>8913</v>
      </c>
      <c r="B1717" s="1" t="s">
        <v>8914</v>
      </c>
      <c r="C1717" s="1">
        <v>7900000</v>
      </c>
      <c r="D1717" s="1" t="s">
        <v>20</v>
      </c>
      <c r="E1717">
        <v>67.817700000000002</v>
      </c>
      <c r="F1717" s="1" t="s">
        <v>12</v>
      </c>
      <c r="G1717">
        <v>35</v>
      </c>
      <c r="H1717">
        <v>25</v>
      </c>
      <c r="I1717" s="1" t="s">
        <v>74</v>
      </c>
      <c r="J1717">
        <v>3</v>
      </c>
      <c r="K1717" t="str">
        <f>IF(Tb_data[[#This Row],[previous_workers]]&lt;Tb_data[[#This Row],[workers]],"yes","no")</f>
        <v>yes</v>
      </c>
      <c r="L1717">
        <f>Tb_data[[#This Row],[workers]]-Tb_data[[#This Row],[previous_workers]]</f>
        <v>10</v>
      </c>
      <c r="M1717" s="12">
        <f>Tb_data[[#This Row],[Employees Growth]]/Tb_data[[#This Row],[previous_workers]]</f>
        <v>0.4</v>
      </c>
    </row>
    <row r="1718" spans="1:13" x14ac:dyDescent="0.25">
      <c r="A1718" s="1" t="s">
        <v>4750</v>
      </c>
      <c r="B1718" s="1" t="s">
        <v>4751</v>
      </c>
      <c r="C1718" s="1">
        <v>5700000</v>
      </c>
      <c r="D1718" s="1" t="s">
        <v>627</v>
      </c>
      <c r="E1718">
        <v>172.6808</v>
      </c>
      <c r="F1718" s="1" t="s">
        <v>156</v>
      </c>
      <c r="G1718">
        <v>20</v>
      </c>
      <c r="H1718">
        <v>7</v>
      </c>
      <c r="I1718" s="1" t="s">
        <v>26</v>
      </c>
      <c r="J1718">
        <v>2</v>
      </c>
      <c r="K1718" t="str">
        <f>IF(Tb_data[[#This Row],[previous_workers]]&lt;Tb_data[[#This Row],[workers]],"yes","no")</f>
        <v>yes</v>
      </c>
      <c r="L1718">
        <f>Tb_data[[#This Row],[workers]]-Tb_data[[#This Row],[previous_workers]]</f>
        <v>13</v>
      </c>
      <c r="M1718" s="12">
        <f>Tb_data[[#This Row],[Employees Growth]]/Tb_data[[#This Row],[previous_workers]]</f>
        <v>1.8571428571428572</v>
      </c>
    </row>
    <row r="1719" spans="1:13" x14ac:dyDescent="0.25">
      <c r="A1719" s="1" t="s">
        <v>5404</v>
      </c>
      <c r="B1719" s="1" t="s">
        <v>5405</v>
      </c>
      <c r="C1719" s="1">
        <v>1200000000</v>
      </c>
      <c r="D1719" s="1" t="s">
        <v>895</v>
      </c>
      <c r="E1719">
        <v>146.42339999999999</v>
      </c>
      <c r="F1719" s="1" t="s">
        <v>124</v>
      </c>
      <c r="G1719">
        <v>330</v>
      </c>
      <c r="H1719">
        <v>180</v>
      </c>
      <c r="I1719" s="1" t="s">
        <v>948</v>
      </c>
      <c r="J1719">
        <v>11</v>
      </c>
      <c r="K1719" t="str">
        <f>IF(Tb_data[[#This Row],[previous_workers]]&lt;Tb_data[[#This Row],[workers]],"yes","no")</f>
        <v>yes</v>
      </c>
      <c r="L1719">
        <f>Tb_data[[#This Row],[workers]]-Tb_data[[#This Row],[previous_workers]]</f>
        <v>150</v>
      </c>
      <c r="M1719" s="12">
        <f>Tb_data[[#This Row],[Employees Growth]]/Tb_data[[#This Row],[previous_workers]]</f>
        <v>0.83333333333333337</v>
      </c>
    </row>
    <row r="1720" spans="1:13" x14ac:dyDescent="0.25">
      <c r="A1720" s="1" t="s">
        <v>6767</v>
      </c>
      <c r="B1720" s="1" t="s">
        <v>6768</v>
      </c>
      <c r="C1720" s="1">
        <v>18800000</v>
      </c>
      <c r="D1720" s="1" t="s">
        <v>627</v>
      </c>
      <c r="E1720">
        <v>107.3476</v>
      </c>
      <c r="F1720" s="1" t="s">
        <v>142</v>
      </c>
      <c r="G1720">
        <v>33</v>
      </c>
      <c r="H1720">
        <v>14</v>
      </c>
      <c r="I1720" s="1" t="s">
        <v>226</v>
      </c>
      <c r="J1720">
        <v>9</v>
      </c>
      <c r="K1720" t="str">
        <f>IF(Tb_data[[#This Row],[previous_workers]]&lt;Tb_data[[#This Row],[workers]],"yes","no")</f>
        <v>yes</v>
      </c>
      <c r="L1720">
        <f>Tb_data[[#This Row],[workers]]-Tb_data[[#This Row],[previous_workers]]</f>
        <v>19</v>
      </c>
      <c r="M1720" s="12">
        <f>Tb_data[[#This Row],[Employees Growth]]/Tb_data[[#This Row],[previous_workers]]</f>
        <v>1.3571428571428572</v>
      </c>
    </row>
    <row r="1721" spans="1:13" x14ac:dyDescent="0.25">
      <c r="A1721" s="1" t="s">
        <v>7511</v>
      </c>
      <c r="B1721" s="1" t="s">
        <v>7512</v>
      </c>
      <c r="C1721" s="1">
        <v>63700000</v>
      </c>
      <c r="D1721" s="1" t="s">
        <v>20</v>
      </c>
      <c r="E1721">
        <v>92.823700000000002</v>
      </c>
      <c r="F1721" s="1" t="s">
        <v>112</v>
      </c>
      <c r="G1721">
        <v>102</v>
      </c>
      <c r="H1721">
        <v>82</v>
      </c>
      <c r="I1721" s="1" t="s">
        <v>229</v>
      </c>
      <c r="J1721">
        <v>3</v>
      </c>
      <c r="K1721" t="str">
        <f>IF(Tb_data[[#This Row],[previous_workers]]&lt;Tb_data[[#This Row],[workers]],"yes","no")</f>
        <v>yes</v>
      </c>
      <c r="L1721">
        <f>Tb_data[[#This Row],[workers]]-Tb_data[[#This Row],[previous_workers]]</f>
        <v>20</v>
      </c>
      <c r="M1721" s="12">
        <f>Tb_data[[#This Row],[Employees Growth]]/Tb_data[[#This Row],[previous_workers]]</f>
        <v>0.24390243902439024</v>
      </c>
    </row>
    <row r="1722" spans="1:13" x14ac:dyDescent="0.25">
      <c r="A1722" s="1" t="s">
        <v>3773</v>
      </c>
      <c r="B1722" s="1" t="s">
        <v>3774</v>
      </c>
      <c r="C1722" s="1">
        <v>2000000</v>
      </c>
      <c r="D1722" s="1" t="s">
        <v>24</v>
      </c>
      <c r="E1722">
        <v>223.44499999999999</v>
      </c>
      <c r="F1722" s="1" t="s">
        <v>62</v>
      </c>
      <c r="G1722">
        <v>23</v>
      </c>
      <c r="H1722">
        <v>2</v>
      </c>
      <c r="I1722" s="1" t="s">
        <v>194</v>
      </c>
      <c r="J1722">
        <v>2</v>
      </c>
      <c r="K1722" t="str">
        <f>IF(Tb_data[[#This Row],[previous_workers]]&lt;Tb_data[[#This Row],[workers]],"yes","no")</f>
        <v>yes</v>
      </c>
      <c r="L1722">
        <f>Tb_data[[#This Row],[workers]]-Tb_data[[#This Row],[previous_workers]]</f>
        <v>21</v>
      </c>
      <c r="M1722" s="12">
        <f>Tb_data[[#This Row],[Employees Growth]]/Tb_data[[#This Row],[previous_workers]]</f>
        <v>10.5</v>
      </c>
    </row>
    <row r="1723" spans="1:13" x14ac:dyDescent="0.25">
      <c r="A1723" s="1" t="s">
        <v>1625</v>
      </c>
      <c r="B1723" s="1" t="s">
        <v>1626</v>
      </c>
      <c r="C1723" s="1">
        <v>75500000</v>
      </c>
      <c r="D1723" s="1" t="s">
        <v>179</v>
      </c>
      <c r="E1723">
        <v>572.80430000000001</v>
      </c>
      <c r="F1723" s="1" t="s">
        <v>62</v>
      </c>
      <c r="G1723">
        <v>163</v>
      </c>
      <c r="H1723">
        <v>60</v>
      </c>
      <c r="I1723" s="1" t="s">
        <v>130</v>
      </c>
      <c r="J1723">
        <v>3</v>
      </c>
      <c r="K1723" t="str">
        <f>IF(Tb_data[[#This Row],[previous_workers]]&lt;Tb_data[[#This Row],[workers]],"yes","no")</f>
        <v>yes</v>
      </c>
      <c r="L1723">
        <f>Tb_data[[#This Row],[workers]]-Tb_data[[#This Row],[previous_workers]]</f>
        <v>103</v>
      </c>
      <c r="M1723" s="12">
        <f>Tb_data[[#This Row],[Employees Growth]]/Tb_data[[#This Row],[previous_workers]]</f>
        <v>1.7166666666666666</v>
      </c>
    </row>
    <row r="1724" spans="1:13" x14ac:dyDescent="0.25">
      <c r="A1724" s="1" t="s">
        <v>5096</v>
      </c>
      <c r="B1724" s="1" t="s">
        <v>5097</v>
      </c>
      <c r="C1724" s="1">
        <v>2100000</v>
      </c>
      <c r="D1724" s="1" t="s">
        <v>120</v>
      </c>
      <c r="E1724">
        <v>157.37989999999999</v>
      </c>
      <c r="F1724" s="1" t="s">
        <v>34</v>
      </c>
      <c r="G1724">
        <v>8</v>
      </c>
      <c r="H1724">
        <v>2</v>
      </c>
      <c r="I1724" s="1" t="s">
        <v>130</v>
      </c>
      <c r="J1724">
        <v>1</v>
      </c>
      <c r="K1724" t="str">
        <f>IF(Tb_data[[#This Row],[previous_workers]]&lt;Tb_data[[#This Row],[workers]],"yes","no")</f>
        <v>yes</v>
      </c>
      <c r="L1724">
        <f>Tb_data[[#This Row],[workers]]-Tb_data[[#This Row],[previous_workers]]</f>
        <v>6</v>
      </c>
      <c r="M1724" s="12">
        <f>Tb_data[[#This Row],[Employees Growth]]/Tb_data[[#This Row],[previous_workers]]</f>
        <v>3</v>
      </c>
    </row>
    <row r="1725" spans="1:13" x14ac:dyDescent="0.25">
      <c r="A1725" s="1" t="s">
        <v>7070</v>
      </c>
      <c r="B1725" s="1" t="s">
        <v>7071</v>
      </c>
      <c r="C1725" s="1">
        <v>8100000</v>
      </c>
      <c r="D1725" s="1" t="s">
        <v>103</v>
      </c>
      <c r="E1725">
        <v>100.6917</v>
      </c>
      <c r="F1725" s="1" t="s">
        <v>86</v>
      </c>
      <c r="G1725">
        <v>96</v>
      </c>
      <c r="H1725">
        <v>43</v>
      </c>
      <c r="I1725" s="1" t="s">
        <v>194</v>
      </c>
      <c r="J1725">
        <v>6</v>
      </c>
      <c r="K1725" t="str">
        <f>IF(Tb_data[[#This Row],[previous_workers]]&lt;Tb_data[[#This Row],[workers]],"yes","no")</f>
        <v>yes</v>
      </c>
      <c r="L1725">
        <f>Tb_data[[#This Row],[workers]]-Tb_data[[#This Row],[previous_workers]]</f>
        <v>53</v>
      </c>
      <c r="M1725" s="12">
        <f>Tb_data[[#This Row],[Employees Growth]]/Tb_data[[#This Row],[previous_workers]]</f>
        <v>1.2325581395348837</v>
      </c>
    </row>
    <row r="1726" spans="1:13" x14ac:dyDescent="0.25">
      <c r="A1726" s="1" t="s">
        <v>1503</v>
      </c>
      <c r="B1726" s="1" t="s">
        <v>1504</v>
      </c>
      <c r="C1726" s="1">
        <v>2900000</v>
      </c>
      <c r="D1726" s="1" t="s">
        <v>52</v>
      </c>
      <c r="E1726">
        <v>623.1472</v>
      </c>
      <c r="F1726" s="1" t="s">
        <v>86</v>
      </c>
      <c r="G1726">
        <v>19</v>
      </c>
      <c r="H1726">
        <v>5</v>
      </c>
      <c r="I1726" s="1" t="s">
        <v>164</v>
      </c>
      <c r="J1726">
        <v>1</v>
      </c>
      <c r="K1726" t="str">
        <f>IF(Tb_data[[#This Row],[previous_workers]]&lt;Tb_data[[#This Row],[workers]],"yes","no")</f>
        <v>yes</v>
      </c>
      <c r="L1726">
        <f>Tb_data[[#This Row],[workers]]-Tb_data[[#This Row],[previous_workers]]</f>
        <v>14</v>
      </c>
      <c r="M1726" s="12">
        <f>Tb_data[[#This Row],[Employees Growth]]/Tb_data[[#This Row],[previous_workers]]</f>
        <v>2.8</v>
      </c>
    </row>
    <row r="1727" spans="1:13" x14ac:dyDescent="0.25">
      <c r="A1727" s="1" t="s">
        <v>2358</v>
      </c>
      <c r="B1727" s="1" t="s">
        <v>2359</v>
      </c>
      <c r="C1727" s="1">
        <v>2200000</v>
      </c>
      <c r="D1727" s="1" t="s">
        <v>61</v>
      </c>
      <c r="E1727">
        <v>371.03100000000001</v>
      </c>
      <c r="F1727" s="1" t="s">
        <v>30</v>
      </c>
      <c r="G1727">
        <v>6</v>
      </c>
      <c r="H1727">
        <v>1</v>
      </c>
      <c r="I1727" s="1" t="s">
        <v>13</v>
      </c>
      <c r="J1727">
        <v>1</v>
      </c>
      <c r="K1727" t="str">
        <f>IF(Tb_data[[#This Row],[previous_workers]]&lt;Tb_data[[#This Row],[workers]],"yes","no")</f>
        <v>yes</v>
      </c>
      <c r="L1727">
        <f>Tb_data[[#This Row],[workers]]-Tb_data[[#This Row],[previous_workers]]</f>
        <v>5</v>
      </c>
      <c r="M1727" s="12">
        <f>Tb_data[[#This Row],[Employees Growth]]/Tb_data[[#This Row],[previous_workers]]</f>
        <v>5</v>
      </c>
    </row>
    <row r="1728" spans="1:13" x14ac:dyDescent="0.25">
      <c r="A1728" s="1" t="s">
        <v>2292</v>
      </c>
      <c r="B1728" s="1" t="s">
        <v>2293</v>
      </c>
      <c r="C1728" s="1">
        <v>4500000</v>
      </c>
      <c r="D1728" s="1" t="s">
        <v>33</v>
      </c>
      <c r="E1728">
        <v>385.2364</v>
      </c>
      <c r="F1728" s="1" t="s">
        <v>62</v>
      </c>
      <c r="G1728">
        <v>12</v>
      </c>
      <c r="H1728">
        <v>4</v>
      </c>
      <c r="I1728" s="1" t="s">
        <v>13</v>
      </c>
      <c r="J1728">
        <v>1</v>
      </c>
      <c r="K1728" t="str">
        <f>IF(Tb_data[[#This Row],[previous_workers]]&lt;Tb_data[[#This Row],[workers]],"yes","no")</f>
        <v>yes</v>
      </c>
      <c r="L1728">
        <f>Tb_data[[#This Row],[workers]]-Tb_data[[#This Row],[previous_workers]]</f>
        <v>8</v>
      </c>
      <c r="M1728" s="12">
        <f>Tb_data[[#This Row],[Employees Growth]]/Tb_data[[#This Row],[previous_workers]]</f>
        <v>2</v>
      </c>
    </row>
    <row r="1729" spans="1:13" x14ac:dyDescent="0.25">
      <c r="A1729" s="1" t="s">
        <v>2611</v>
      </c>
      <c r="B1729" s="1" t="s">
        <v>4083</v>
      </c>
      <c r="C1729" s="1">
        <v>7100000</v>
      </c>
      <c r="D1729" s="1" t="s">
        <v>49</v>
      </c>
      <c r="E1729">
        <v>202.32509999999999</v>
      </c>
      <c r="F1729" s="1" t="s">
        <v>12</v>
      </c>
      <c r="G1729">
        <v>28</v>
      </c>
      <c r="H1729">
        <v>3</v>
      </c>
      <c r="I1729" s="1" t="s">
        <v>26</v>
      </c>
      <c r="J1729">
        <v>1</v>
      </c>
      <c r="K1729" t="str">
        <f>IF(Tb_data[[#This Row],[previous_workers]]&lt;Tb_data[[#This Row],[workers]],"yes","no")</f>
        <v>yes</v>
      </c>
      <c r="L1729">
        <f>Tb_data[[#This Row],[workers]]-Tb_data[[#This Row],[previous_workers]]</f>
        <v>25</v>
      </c>
      <c r="M1729" s="12">
        <f>Tb_data[[#This Row],[Employees Growth]]/Tb_data[[#This Row],[previous_workers]]</f>
        <v>8.3333333333333339</v>
      </c>
    </row>
    <row r="1730" spans="1:13" x14ac:dyDescent="0.25">
      <c r="A1730" s="1" t="s">
        <v>5930</v>
      </c>
      <c r="B1730" s="1" t="s">
        <v>5931</v>
      </c>
      <c r="C1730" s="1">
        <v>181400000</v>
      </c>
      <c r="D1730" s="1" t="s">
        <v>91</v>
      </c>
      <c r="E1730">
        <v>128.1677</v>
      </c>
      <c r="F1730" s="1" t="s">
        <v>21</v>
      </c>
      <c r="G1730">
        <v>4500</v>
      </c>
      <c r="H1730">
        <v>1000</v>
      </c>
      <c r="I1730" s="1" t="s">
        <v>35</v>
      </c>
      <c r="J1730">
        <v>8</v>
      </c>
      <c r="K1730" t="str">
        <f>IF(Tb_data[[#This Row],[previous_workers]]&lt;Tb_data[[#This Row],[workers]],"yes","no")</f>
        <v>yes</v>
      </c>
      <c r="L1730">
        <f>Tb_data[[#This Row],[workers]]-Tb_data[[#This Row],[previous_workers]]</f>
        <v>3500</v>
      </c>
      <c r="M1730" s="12">
        <f>Tb_data[[#This Row],[Employees Growth]]/Tb_data[[#This Row],[previous_workers]]</f>
        <v>3.5</v>
      </c>
    </row>
    <row r="1731" spans="1:13" x14ac:dyDescent="0.25">
      <c r="A1731" s="1" t="s">
        <v>1058</v>
      </c>
      <c r="B1731" s="1" t="s">
        <v>1059</v>
      </c>
      <c r="C1731" s="1">
        <v>22100000</v>
      </c>
      <c r="D1731" s="1" t="s">
        <v>49</v>
      </c>
      <c r="E1731">
        <v>916.09939999999995</v>
      </c>
      <c r="F1731" s="1" t="s">
        <v>12</v>
      </c>
      <c r="G1731">
        <v>65</v>
      </c>
      <c r="H1731">
        <v>5</v>
      </c>
      <c r="I1731" s="1" t="s">
        <v>55</v>
      </c>
      <c r="J1731">
        <v>2</v>
      </c>
      <c r="K1731" t="str">
        <f>IF(Tb_data[[#This Row],[previous_workers]]&lt;Tb_data[[#This Row],[workers]],"yes","no")</f>
        <v>yes</v>
      </c>
      <c r="L1731">
        <f>Tb_data[[#This Row],[workers]]-Tb_data[[#This Row],[previous_workers]]</f>
        <v>60</v>
      </c>
      <c r="M1731" s="12">
        <f>Tb_data[[#This Row],[Employees Growth]]/Tb_data[[#This Row],[previous_workers]]</f>
        <v>12</v>
      </c>
    </row>
    <row r="1732" spans="1:13" x14ac:dyDescent="0.25">
      <c r="A1732" s="1" t="s">
        <v>1551</v>
      </c>
      <c r="B1732" s="1" t="s">
        <v>1552</v>
      </c>
      <c r="C1732" s="1">
        <v>12400000</v>
      </c>
      <c r="D1732" s="1" t="s">
        <v>33</v>
      </c>
      <c r="E1732">
        <v>604.3646</v>
      </c>
      <c r="F1732" s="1" t="s">
        <v>124</v>
      </c>
      <c r="G1732">
        <v>59</v>
      </c>
      <c r="H1732">
        <v>8</v>
      </c>
      <c r="I1732" s="1" t="s">
        <v>164</v>
      </c>
      <c r="J1732">
        <v>1</v>
      </c>
      <c r="K1732" t="str">
        <f>IF(Tb_data[[#This Row],[previous_workers]]&lt;Tb_data[[#This Row],[workers]],"yes","no")</f>
        <v>yes</v>
      </c>
      <c r="L1732">
        <f>Tb_data[[#This Row],[workers]]-Tb_data[[#This Row],[previous_workers]]</f>
        <v>51</v>
      </c>
      <c r="M1732" s="12">
        <f>Tb_data[[#This Row],[Employees Growth]]/Tb_data[[#This Row],[previous_workers]]</f>
        <v>6.375</v>
      </c>
    </row>
    <row r="1733" spans="1:13" x14ac:dyDescent="0.25">
      <c r="A1733" s="1" t="s">
        <v>8133</v>
      </c>
      <c r="B1733" s="1" t="s">
        <v>8134</v>
      </c>
      <c r="C1733" s="1">
        <v>7800000</v>
      </c>
      <c r="D1733" s="1" t="s">
        <v>33</v>
      </c>
      <c r="E1733">
        <v>80.723699999999994</v>
      </c>
      <c r="F1733" s="1" t="s">
        <v>12</v>
      </c>
      <c r="G1733">
        <v>100</v>
      </c>
      <c r="H1733">
        <v>57</v>
      </c>
      <c r="I1733" s="1" t="s">
        <v>130</v>
      </c>
      <c r="J1733">
        <v>2</v>
      </c>
      <c r="K1733" t="str">
        <f>IF(Tb_data[[#This Row],[previous_workers]]&lt;Tb_data[[#This Row],[workers]],"yes","no")</f>
        <v>yes</v>
      </c>
      <c r="L1733">
        <f>Tb_data[[#This Row],[workers]]-Tb_data[[#This Row],[previous_workers]]</f>
        <v>43</v>
      </c>
      <c r="M1733" s="12">
        <f>Tb_data[[#This Row],[Employees Growth]]/Tb_data[[#This Row],[previous_workers]]</f>
        <v>0.75438596491228072</v>
      </c>
    </row>
    <row r="1734" spans="1:13" x14ac:dyDescent="0.25">
      <c r="A1734" s="1" t="s">
        <v>5744</v>
      </c>
      <c r="B1734" s="1" t="s">
        <v>5745</v>
      </c>
      <c r="C1734" s="1">
        <v>4100000</v>
      </c>
      <c r="D1734" s="1" t="s">
        <v>321</v>
      </c>
      <c r="E1734">
        <v>132.9298</v>
      </c>
      <c r="F1734" s="1" t="s">
        <v>176</v>
      </c>
      <c r="G1734">
        <v>39</v>
      </c>
      <c r="H1734">
        <v>16</v>
      </c>
      <c r="I1734" s="1" t="s">
        <v>226</v>
      </c>
      <c r="J1734">
        <v>3</v>
      </c>
      <c r="K1734" t="str">
        <f>IF(Tb_data[[#This Row],[previous_workers]]&lt;Tb_data[[#This Row],[workers]],"yes","no")</f>
        <v>yes</v>
      </c>
      <c r="L1734">
        <f>Tb_data[[#This Row],[workers]]-Tb_data[[#This Row],[previous_workers]]</f>
        <v>23</v>
      </c>
      <c r="M1734" s="12">
        <f>Tb_data[[#This Row],[Employees Growth]]/Tb_data[[#This Row],[previous_workers]]</f>
        <v>1.4375</v>
      </c>
    </row>
    <row r="1735" spans="1:13" x14ac:dyDescent="0.25">
      <c r="A1735" s="1" t="s">
        <v>6817</v>
      </c>
      <c r="B1735" s="1" t="s">
        <v>6818</v>
      </c>
      <c r="C1735" s="1">
        <v>12900000</v>
      </c>
      <c r="D1735" s="1" t="s">
        <v>20</v>
      </c>
      <c r="E1735">
        <v>106.38679999999999</v>
      </c>
      <c r="F1735" s="1" t="s">
        <v>514</v>
      </c>
      <c r="G1735">
        <v>73</v>
      </c>
      <c r="H1735">
        <v>46</v>
      </c>
      <c r="I1735" s="1" t="s">
        <v>4065</v>
      </c>
      <c r="J1735">
        <v>5</v>
      </c>
      <c r="K1735" t="str">
        <f>IF(Tb_data[[#This Row],[previous_workers]]&lt;Tb_data[[#This Row],[workers]],"yes","no")</f>
        <v>yes</v>
      </c>
      <c r="L1735">
        <f>Tb_data[[#This Row],[workers]]-Tb_data[[#This Row],[previous_workers]]</f>
        <v>27</v>
      </c>
      <c r="M1735" s="12">
        <f>Tb_data[[#This Row],[Employees Growth]]/Tb_data[[#This Row],[previous_workers]]</f>
        <v>0.58695652173913049</v>
      </c>
    </row>
    <row r="1736" spans="1:13" x14ac:dyDescent="0.25">
      <c r="A1736" s="1" t="s">
        <v>3331</v>
      </c>
      <c r="B1736" s="1" t="s">
        <v>3332</v>
      </c>
      <c r="C1736" s="1">
        <v>3400000</v>
      </c>
      <c r="D1736" s="1" t="s">
        <v>20</v>
      </c>
      <c r="E1736">
        <v>256.68849999999998</v>
      </c>
      <c r="F1736" s="1" t="s">
        <v>30</v>
      </c>
      <c r="G1736">
        <v>9</v>
      </c>
      <c r="H1736">
        <v>3</v>
      </c>
      <c r="I1736" s="1" t="s">
        <v>130</v>
      </c>
      <c r="J1736">
        <v>3</v>
      </c>
      <c r="K1736" t="str">
        <f>IF(Tb_data[[#This Row],[previous_workers]]&lt;Tb_data[[#This Row],[workers]],"yes","no")</f>
        <v>yes</v>
      </c>
      <c r="L1736">
        <f>Tb_data[[#This Row],[workers]]-Tb_data[[#This Row],[previous_workers]]</f>
        <v>6</v>
      </c>
      <c r="M1736" s="12">
        <f>Tb_data[[#This Row],[Employees Growth]]/Tb_data[[#This Row],[previous_workers]]</f>
        <v>2</v>
      </c>
    </row>
    <row r="1737" spans="1:13" x14ac:dyDescent="0.25">
      <c r="A1737" s="1" t="s">
        <v>5202</v>
      </c>
      <c r="B1737" s="1" t="s">
        <v>5203</v>
      </c>
      <c r="C1737" s="1">
        <v>2400000</v>
      </c>
      <c r="D1737" s="1" t="s">
        <v>49</v>
      </c>
      <c r="E1737">
        <v>153.3946</v>
      </c>
      <c r="F1737" s="1" t="s">
        <v>86</v>
      </c>
      <c r="G1737">
        <v>25</v>
      </c>
      <c r="H1737">
        <v>8</v>
      </c>
      <c r="I1737" s="1" t="s">
        <v>130</v>
      </c>
      <c r="J1737">
        <v>1</v>
      </c>
      <c r="K1737" t="str">
        <f>IF(Tb_data[[#This Row],[previous_workers]]&lt;Tb_data[[#This Row],[workers]],"yes","no")</f>
        <v>yes</v>
      </c>
      <c r="L1737">
        <f>Tb_data[[#This Row],[workers]]-Tb_data[[#This Row],[previous_workers]]</f>
        <v>17</v>
      </c>
      <c r="M1737" s="12">
        <f>Tb_data[[#This Row],[Employees Growth]]/Tb_data[[#This Row],[previous_workers]]</f>
        <v>2.125</v>
      </c>
    </row>
    <row r="1738" spans="1:13" x14ac:dyDescent="0.25">
      <c r="A1738" s="1" t="s">
        <v>8295</v>
      </c>
      <c r="B1738" s="1" t="s">
        <v>8296</v>
      </c>
      <c r="C1738" s="1">
        <v>474700000</v>
      </c>
      <c r="D1738" s="1" t="s">
        <v>236</v>
      </c>
      <c r="E1738">
        <v>77.752499999999998</v>
      </c>
      <c r="F1738" s="1" t="s">
        <v>21</v>
      </c>
      <c r="G1738">
        <v>13751</v>
      </c>
      <c r="H1738">
        <v>7257</v>
      </c>
      <c r="I1738" s="1" t="s">
        <v>229</v>
      </c>
      <c r="J1738">
        <v>8</v>
      </c>
      <c r="K1738" t="str">
        <f>IF(Tb_data[[#This Row],[previous_workers]]&lt;Tb_data[[#This Row],[workers]],"yes","no")</f>
        <v>yes</v>
      </c>
      <c r="L1738">
        <f>Tb_data[[#This Row],[workers]]-Tb_data[[#This Row],[previous_workers]]</f>
        <v>6494</v>
      </c>
      <c r="M1738" s="12">
        <f>Tb_data[[#This Row],[Employees Growth]]/Tb_data[[#This Row],[previous_workers]]</f>
        <v>0.89486013504202844</v>
      </c>
    </row>
    <row r="1739" spans="1:13" x14ac:dyDescent="0.25">
      <c r="A1739" s="1" t="s">
        <v>1264</v>
      </c>
      <c r="B1739" s="1" t="s">
        <v>1265</v>
      </c>
      <c r="C1739" s="1">
        <v>17100000</v>
      </c>
      <c r="D1739" s="1" t="s">
        <v>41</v>
      </c>
      <c r="E1739">
        <v>758.82360000000006</v>
      </c>
      <c r="F1739" s="1" t="s">
        <v>97</v>
      </c>
      <c r="G1739">
        <v>183</v>
      </c>
      <c r="H1739">
        <v>15</v>
      </c>
      <c r="I1739" s="1" t="s">
        <v>1051</v>
      </c>
      <c r="J1739">
        <v>3</v>
      </c>
      <c r="K1739" t="str">
        <f>IF(Tb_data[[#This Row],[previous_workers]]&lt;Tb_data[[#This Row],[workers]],"yes","no")</f>
        <v>yes</v>
      </c>
      <c r="L1739">
        <f>Tb_data[[#This Row],[workers]]-Tb_data[[#This Row],[previous_workers]]</f>
        <v>168</v>
      </c>
      <c r="M1739" s="12">
        <f>Tb_data[[#This Row],[Employees Growth]]/Tb_data[[#This Row],[previous_workers]]</f>
        <v>11.2</v>
      </c>
    </row>
    <row r="1740" spans="1:13" x14ac:dyDescent="0.25">
      <c r="A1740" s="1" t="s">
        <v>1568</v>
      </c>
      <c r="B1740" s="1" t="s">
        <v>1569</v>
      </c>
      <c r="C1740" s="1">
        <v>2000000</v>
      </c>
      <c r="D1740" s="1" t="s">
        <v>321</v>
      </c>
      <c r="E1740">
        <v>597.79399999999998</v>
      </c>
      <c r="F1740" s="1" t="s">
        <v>62</v>
      </c>
      <c r="G1740">
        <v>16</v>
      </c>
      <c r="H1740">
        <v>3</v>
      </c>
      <c r="I1740" s="1" t="s">
        <v>130</v>
      </c>
      <c r="J1740">
        <v>1</v>
      </c>
      <c r="K1740" t="str">
        <f>IF(Tb_data[[#This Row],[previous_workers]]&lt;Tb_data[[#This Row],[workers]],"yes","no")</f>
        <v>yes</v>
      </c>
      <c r="L1740">
        <f>Tb_data[[#This Row],[workers]]-Tb_data[[#This Row],[previous_workers]]</f>
        <v>13</v>
      </c>
      <c r="M1740" s="12">
        <f>Tb_data[[#This Row],[Employees Growth]]/Tb_data[[#This Row],[previous_workers]]</f>
        <v>4.333333333333333</v>
      </c>
    </row>
    <row r="1741" spans="1:13" x14ac:dyDescent="0.25">
      <c r="A1741" s="1" t="s">
        <v>10038</v>
      </c>
      <c r="B1741" s="1" t="s">
        <v>10039</v>
      </c>
      <c r="C1741" s="1">
        <v>23400000</v>
      </c>
      <c r="D1741" s="1" t="s">
        <v>33</v>
      </c>
      <c r="E1741">
        <v>52.929400000000001</v>
      </c>
      <c r="F1741" s="1" t="s">
        <v>25</v>
      </c>
      <c r="G1741">
        <v>288</v>
      </c>
      <c r="H1741">
        <v>169</v>
      </c>
      <c r="I1741" s="1" t="s">
        <v>1657</v>
      </c>
      <c r="J1741">
        <v>5</v>
      </c>
      <c r="K1741" t="str">
        <f>IF(Tb_data[[#This Row],[previous_workers]]&lt;Tb_data[[#This Row],[workers]],"yes","no")</f>
        <v>yes</v>
      </c>
      <c r="L1741">
        <f>Tb_data[[#This Row],[workers]]-Tb_data[[#This Row],[previous_workers]]</f>
        <v>119</v>
      </c>
      <c r="M1741" s="12">
        <f>Tb_data[[#This Row],[Employees Growth]]/Tb_data[[#This Row],[previous_workers]]</f>
        <v>0.70414201183431957</v>
      </c>
    </row>
    <row r="1742" spans="1:13" x14ac:dyDescent="0.25">
      <c r="A1742" s="1" t="s">
        <v>5688</v>
      </c>
      <c r="B1742" s="1" t="s">
        <v>5689</v>
      </c>
      <c r="C1742" s="1">
        <v>2300000</v>
      </c>
      <c r="D1742" s="1" t="s">
        <v>29</v>
      </c>
      <c r="E1742">
        <v>134.892</v>
      </c>
      <c r="F1742" s="1" t="s">
        <v>25</v>
      </c>
      <c r="G1742">
        <v>18</v>
      </c>
      <c r="H1742">
        <v>13</v>
      </c>
      <c r="I1742" s="1" t="s">
        <v>46</v>
      </c>
      <c r="J1742">
        <v>1</v>
      </c>
      <c r="K1742" t="str">
        <f>IF(Tb_data[[#This Row],[previous_workers]]&lt;Tb_data[[#This Row],[workers]],"yes","no")</f>
        <v>yes</v>
      </c>
      <c r="L1742">
        <f>Tb_data[[#This Row],[workers]]-Tb_data[[#This Row],[previous_workers]]</f>
        <v>5</v>
      </c>
      <c r="M1742" s="12">
        <f>Tb_data[[#This Row],[Employees Growth]]/Tb_data[[#This Row],[previous_workers]]</f>
        <v>0.38461538461538464</v>
      </c>
    </row>
    <row r="1743" spans="1:13" x14ac:dyDescent="0.25">
      <c r="A1743" s="1" t="s">
        <v>360</v>
      </c>
      <c r="B1743" s="1" t="s">
        <v>361</v>
      </c>
      <c r="C1743" s="1">
        <v>101100000</v>
      </c>
      <c r="D1743" s="1" t="s">
        <v>49</v>
      </c>
      <c r="E1743">
        <v>2603.3870999999999</v>
      </c>
      <c r="F1743" s="1" t="s">
        <v>94</v>
      </c>
      <c r="G1743">
        <v>358</v>
      </c>
      <c r="H1743">
        <v>84</v>
      </c>
      <c r="I1743" s="1" t="s">
        <v>55</v>
      </c>
      <c r="J1743">
        <v>2</v>
      </c>
      <c r="K1743" t="str">
        <f>IF(Tb_data[[#This Row],[previous_workers]]&lt;Tb_data[[#This Row],[workers]],"yes","no")</f>
        <v>yes</v>
      </c>
      <c r="L1743">
        <f>Tb_data[[#This Row],[workers]]-Tb_data[[#This Row],[previous_workers]]</f>
        <v>274</v>
      </c>
      <c r="M1743" s="12">
        <f>Tb_data[[#This Row],[Employees Growth]]/Tb_data[[#This Row],[previous_workers]]</f>
        <v>3.2619047619047619</v>
      </c>
    </row>
    <row r="1744" spans="1:13" x14ac:dyDescent="0.25">
      <c r="A1744" s="1" t="s">
        <v>3619</v>
      </c>
      <c r="B1744" s="1" t="s">
        <v>3620</v>
      </c>
      <c r="C1744" s="1">
        <v>20000000</v>
      </c>
      <c r="D1744" s="1" t="s">
        <v>52</v>
      </c>
      <c r="E1744">
        <v>232.4442</v>
      </c>
      <c r="F1744" s="1" t="s">
        <v>34</v>
      </c>
      <c r="G1744">
        <v>822</v>
      </c>
      <c r="H1744">
        <v>10</v>
      </c>
      <c r="I1744" s="1" t="s">
        <v>295</v>
      </c>
      <c r="J1744">
        <v>2</v>
      </c>
      <c r="K1744" t="str">
        <f>IF(Tb_data[[#This Row],[previous_workers]]&lt;Tb_data[[#This Row],[workers]],"yes","no")</f>
        <v>yes</v>
      </c>
      <c r="L1744">
        <f>Tb_data[[#This Row],[workers]]-Tb_data[[#This Row],[previous_workers]]</f>
        <v>812</v>
      </c>
      <c r="M1744" s="12">
        <f>Tb_data[[#This Row],[Employees Growth]]/Tb_data[[#This Row],[previous_workers]]</f>
        <v>81.2</v>
      </c>
    </row>
    <row r="1745" spans="1:13" x14ac:dyDescent="0.25">
      <c r="A1745" s="1" t="s">
        <v>9904</v>
      </c>
      <c r="B1745" s="1" t="s">
        <v>9905</v>
      </c>
      <c r="C1745" s="1">
        <v>4100000</v>
      </c>
      <c r="D1745" s="1" t="s">
        <v>33</v>
      </c>
      <c r="E1745">
        <v>55.1646</v>
      </c>
      <c r="F1745" s="1" t="s">
        <v>97</v>
      </c>
      <c r="G1745">
        <v>25</v>
      </c>
      <c r="H1745">
        <v>17</v>
      </c>
      <c r="I1745" s="1" t="s">
        <v>948</v>
      </c>
      <c r="J1745">
        <v>3</v>
      </c>
      <c r="K1745" t="str">
        <f>IF(Tb_data[[#This Row],[previous_workers]]&lt;Tb_data[[#This Row],[workers]],"yes","no")</f>
        <v>yes</v>
      </c>
      <c r="L1745">
        <f>Tb_data[[#This Row],[workers]]-Tb_data[[#This Row],[previous_workers]]</f>
        <v>8</v>
      </c>
      <c r="M1745" s="12">
        <f>Tb_data[[#This Row],[Employees Growth]]/Tb_data[[#This Row],[previous_workers]]</f>
        <v>0.47058823529411764</v>
      </c>
    </row>
    <row r="1746" spans="1:13" x14ac:dyDescent="0.25">
      <c r="A1746" s="1" t="s">
        <v>1994</v>
      </c>
      <c r="B1746" s="1" t="s">
        <v>1995</v>
      </c>
      <c r="C1746" s="1">
        <v>3700000</v>
      </c>
      <c r="D1746" s="1" t="s">
        <v>175</v>
      </c>
      <c r="E1746">
        <v>450.56049999999999</v>
      </c>
      <c r="F1746" s="1" t="s">
        <v>100</v>
      </c>
      <c r="G1746">
        <v>4</v>
      </c>
      <c r="H1746">
        <v>1</v>
      </c>
      <c r="I1746" s="1" t="s">
        <v>26</v>
      </c>
      <c r="J1746">
        <v>1</v>
      </c>
      <c r="K1746" t="str">
        <f>IF(Tb_data[[#This Row],[previous_workers]]&lt;Tb_data[[#This Row],[workers]],"yes","no")</f>
        <v>yes</v>
      </c>
      <c r="L1746">
        <f>Tb_data[[#This Row],[workers]]-Tb_data[[#This Row],[previous_workers]]</f>
        <v>3</v>
      </c>
      <c r="M1746" s="12">
        <f>Tb_data[[#This Row],[Employees Growth]]/Tb_data[[#This Row],[previous_workers]]</f>
        <v>3</v>
      </c>
    </row>
    <row r="1747" spans="1:13" x14ac:dyDescent="0.25">
      <c r="A1747" s="1" t="s">
        <v>8628</v>
      </c>
      <c r="B1747" s="1" t="s">
        <v>8629</v>
      </c>
      <c r="C1747" s="1">
        <v>3000000</v>
      </c>
      <c r="D1747" s="1" t="s">
        <v>38</v>
      </c>
      <c r="E1747">
        <v>72.091099999999997</v>
      </c>
      <c r="F1747" s="1" t="s">
        <v>176</v>
      </c>
      <c r="G1747">
        <v>70</v>
      </c>
      <c r="H1747">
        <v>15</v>
      </c>
      <c r="I1747" s="1" t="s">
        <v>2611</v>
      </c>
      <c r="J1747">
        <v>2</v>
      </c>
      <c r="K1747" t="str">
        <f>IF(Tb_data[[#This Row],[previous_workers]]&lt;Tb_data[[#This Row],[workers]],"yes","no")</f>
        <v>yes</v>
      </c>
      <c r="L1747">
        <f>Tb_data[[#This Row],[workers]]-Tb_data[[#This Row],[previous_workers]]</f>
        <v>55</v>
      </c>
      <c r="M1747" s="12">
        <f>Tb_data[[#This Row],[Employees Growth]]/Tb_data[[#This Row],[previous_workers]]</f>
        <v>3.6666666666666665</v>
      </c>
    </row>
    <row r="1748" spans="1:13" x14ac:dyDescent="0.25">
      <c r="A1748" s="1" t="s">
        <v>6655</v>
      </c>
      <c r="B1748" s="1" t="s">
        <v>6656</v>
      </c>
      <c r="C1748" s="1">
        <v>16700000</v>
      </c>
      <c r="D1748" s="1" t="s">
        <v>20</v>
      </c>
      <c r="E1748">
        <v>110.0878</v>
      </c>
      <c r="F1748" s="1" t="s">
        <v>156</v>
      </c>
      <c r="G1748">
        <v>11</v>
      </c>
      <c r="H1748">
        <v>7</v>
      </c>
      <c r="I1748" s="1" t="s">
        <v>117</v>
      </c>
      <c r="J1748">
        <v>5</v>
      </c>
      <c r="K1748" t="str">
        <f>IF(Tb_data[[#This Row],[previous_workers]]&lt;Tb_data[[#This Row],[workers]],"yes","no")</f>
        <v>yes</v>
      </c>
      <c r="L1748">
        <f>Tb_data[[#This Row],[workers]]-Tb_data[[#This Row],[previous_workers]]</f>
        <v>4</v>
      </c>
      <c r="M1748" s="12">
        <f>Tb_data[[#This Row],[Employees Growth]]/Tb_data[[#This Row],[previous_workers]]</f>
        <v>0.5714285714285714</v>
      </c>
    </row>
    <row r="1749" spans="1:13" x14ac:dyDescent="0.25">
      <c r="A1749" s="1" t="s">
        <v>9</v>
      </c>
      <c r="B1749" s="1" t="s">
        <v>10</v>
      </c>
      <c r="C1749" s="1">
        <v>36900000</v>
      </c>
      <c r="D1749" s="1" t="s">
        <v>11</v>
      </c>
      <c r="E1749">
        <v>36680.388200000001</v>
      </c>
      <c r="F1749" s="1" t="s">
        <v>12</v>
      </c>
      <c r="G1749">
        <v>40</v>
      </c>
      <c r="H1749">
        <v>5</v>
      </c>
      <c r="I1749" s="1" t="s">
        <v>13</v>
      </c>
      <c r="J1749">
        <v>1</v>
      </c>
      <c r="K1749" t="str">
        <f>IF(Tb_data[[#This Row],[previous_workers]]&lt;Tb_data[[#This Row],[workers]],"yes","no")</f>
        <v>yes</v>
      </c>
      <c r="L1749">
        <f>Tb_data[[#This Row],[workers]]-Tb_data[[#This Row],[previous_workers]]</f>
        <v>35</v>
      </c>
      <c r="M1749" s="12">
        <f>Tb_data[[#This Row],[Employees Growth]]/Tb_data[[#This Row],[previous_workers]]</f>
        <v>7</v>
      </c>
    </row>
    <row r="1750" spans="1:13" x14ac:dyDescent="0.25">
      <c r="A1750" s="1" t="s">
        <v>2324</v>
      </c>
      <c r="B1750" s="1" t="s">
        <v>2325</v>
      </c>
      <c r="C1750" s="1">
        <v>31200000</v>
      </c>
      <c r="D1750" s="1" t="s">
        <v>91</v>
      </c>
      <c r="E1750">
        <v>379.03870000000001</v>
      </c>
      <c r="F1750" s="1" t="s">
        <v>152</v>
      </c>
      <c r="G1750">
        <v>30</v>
      </c>
      <c r="H1750">
        <v>11</v>
      </c>
      <c r="I1750" s="1" t="s">
        <v>46</v>
      </c>
      <c r="J1750">
        <v>1</v>
      </c>
      <c r="K1750" t="str">
        <f>IF(Tb_data[[#This Row],[previous_workers]]&lt;Tb_data[[#This Row],[workers]],"yes","no")</f>
        <v>yes</v>
      </c>
      <c r="L1750">
        <f>Tb_data[[#This Row],[workers]]-Tb_data[[#This Row],[previous_workers]]</f>
        <v>19</v>
      </c>
      <c r="M1750" s="12">
        <f>Tb_data[[#This Row],[Employees Growth]]/Tb_data[[#This Row],[previous_workers]]</f>
        <v>1.7272727272727273</v>
      </c>
    </row>
    <row r="1751" spans="1:13" x14ac:dyDescent="0.25">
      <c r="A1751" s="1" t="s">
        <v>8538</v>
      </c>
      <c r="B1751" s="1" t="s">
        <v>8539</v>
      </c>
      <c r="C1751" s="1">
        <v>16300000</v>
      </c>
      <c r="D1751" s="1" t="s">
        <v>33</v>
      </c>
      <c r="E1751">
        <v>73.283600000000007</v>
      </c>
      <c r="F1751" s="1" t="s">
        <v>17</v>
      </c>
      <c r="G1751">
        <v>154</v>
      </c>
      <c r="H1751">
        <v>31</v>
      </c>
      <c r="I1751" s="1" t="s">
        <v>74</v>
      </c>
      <c r="J1751">
        <v>1</v>
      </c>
      <c r="K1751" t="str">
        <f>IF(Tb_data[[#This Row],[previous_workers]]&lt;Tb_data[[#This Row],[workers]],"yes","no")</f>
        <v>yes</v>
      </c>
      <c r="L1751">
        <f>Tb_data[[#This Row],[workers]]-Tb_data[[#This Row],[previous_workers]]</f>
        <v>123</v>
      </c>
      <c r="M1751" s="12">
        <f>Tb_data[[#This Row],[Employees Growth]]/Tb_data[[#This Row],[previous_workers]]</f>
        <v>3.967741935483871</v>
      </c>
    </row>
    <row r="1752" spans="1:13" x14ac:dyDescent="0.25">
      <c r="A1752" s="1" t="s">
        <v>8957</v>
      </c>
      <c r="B1752" s="1" t="s">
        <v>8958</v>
      </c>
      <c r="C1752" s="1">
        <v>4100000</v>
      </c>
      <c r="D1752" s="1" t="s">
        <v>45</v>
      </c>
      <c r="E1752">
        <v>67.205100000000002</v>
      </c>
      <c r="F1752" s="1" t="s">
        <v>17</v>
      </c>
      <c r="G1752">
        <v>9</v>
      </c>
      <c r="H1752">
        <v>3</v>
      </c>
      <c r="I1752" s="1" t="s">
        <v>130</v>
      </c>
      <c r="J1752">
        <v>1</v>
      </c>
      <c r="K1752" t="str">
        <f>IF(Tb_data[[#This Row],[previous_workers]]&lt;Tb_data[[#This Row],[workers]],"yes","no")</f>
        <v>yes</v>
      </c>
      <c r="L1752">
        <f>Tb_data[[#This Row],[workers]]-Tb_data[[#This Row],[previous_workers]]</f>
        <v>6</v>
      </c>
      <c r="M1752" s="12">
        <f>Tb_data[[#This Row],[Employees Growth]]/Tb_data[[#This Row],[previous_workers]]</f>
        <v>2</v>
      </c>
    </row>
    <row r="1753" spans="1:13" x14ac:dyDescent="0.25">
      <c r="A1753" s="1" t="s">
        <v>1795</v>
      </c>
      <c r="B1753" s="1" t="s">
        <v>1796</v>
      </c>
      <c r="C1753" s="1">
        <v>11100000</v>
      </c>
      <c r="D1753" s="1" t="s">
        <v>49</v>
      </c>
      <c r="E1753">
        <v>501.61399999999998</v>
      </c>
      <c r="F1753" s="1" t="s">
        <v>17</v>
      </c>
      <c r="G1753">
        <v>16</v>
      </c>
      <c r="H1753">
        <v>4</v>
      </c>
      <c r="I1753" s="1" t="s">
        <v>194</v>
      </c>
      <c r="J1753">
        <v>3</v>
      </c>
      <c r="K1753" t="str">
        <f>IF(Tb_data[[#This Row],[previous_workers]]&lt;Tb_data[[#This Row],[workers]],"yes","no")</f>
        <v>yes</v>
      </c>
      <c r="L1753">
        <f>Tb_data[[#This Row],[workers]]-Tb_data[[#This Row],[previous_workers]]</f>
        <v>12</v>
      </c>
      <c r="M1753" s="12">
        <f>Tb_data[[#This Row],[Employees Growth]]/Tb_data[[#This Row],[previous_workers]]</f>
        <v>3</v>
      </c>
    </row>
    <row r="1754" spans="1:13" x14ac:dyDescent="0.25">
      <c r="A1754" s="1" t="s">
        <v>14</v>
      </c>
      <c r="B1754" s="1" t="s">
        <v>15</v>
      </c>
      <c r="C1754" s="1">
        <v>33600000</v>
      </c>
      <c r="D1754" s="1" t="s">
        <v>16</v>
      </c>
      <c r="E1754">
        <v>30547.931700000001</v>
      </c>
      <c r="F1754" s="1" t="s">
        <v>17</v>
      </c>
      <c r="G1754">
        <v>39</v>
      </c>
      <c r="H1754">
        <v>8</v>
      </c>
      <c r="I1754" s="1" t="s">
        <v>13</v>
      </c>
      <c r="J1754">
        <v>1</v>
      </c>
      <c r="K1754" t="str">
        <f>IF(Tb_data[[#This Row],[previous_workers]]&lt;Tb_data[[#This Row],[workers]],"yes","no")</f>
        <v>yes</v>
      </c>
      <c r="L1754">
        <f>Tb_data[[#This Row],[workers]]-Tb_data[[#This Row],[previous_workers]]</f>
        <v>31</v>
      </c>
      <c r="M1754" s="12">
        <f>Tb_data[[#This Row],[Employees Growth]]/Tb_data[[#This Row],[previous_workers]]</f>
        <v>3.875</v>
      </c>
    </row>
    <row r="1755" spans="1:13" x14ac:dyDescent="0.25">
      <c r="A1755" s="1" t="s">
        <v>9293</v>
      </c>
      <c r="B1755" s="1" t="s">
        <v>9294</v>
      </c>
      <c r="C1755" s="1">
        <v>11500000</v>
      </c>
      <c r="D1755" s="1" t="s">
        <v>49</v>
      </c>
      <c r="E1755">
        <v>62.857300000000002</v>
      </c>
      <c r="F1755" s="1" t="s">
        <v>21</v>
      </c>
      <c r="G1755">
        <v>35</v>
      </c>
      <c r="H1755">
        <v>24</v>
      </c>
      <c r="I1755" s="1" t="s">
        <v>2407</v>
      </c>
      <c r="J1755">
        <v>2</v>
      </c>
      <c r="K1755" t="str">
        <f>IF(Tb_data[[#This Row],[previous_workers]]&lt;Tb_data[[#This Row],[workers]],"yes","no")</f>
        <v>yes</v>
      </c>
      <c r="L1755">
        <f>Tb_data[[#This Row],[workers]]-Tb_data[[#This Row],[previous_workers]]</f>
        <v>11</v>
      </c>
      <c r="M1755" s="12">
        <f>Tb_data[[#This Row],[Employees Growth]]/Tb_data[[#This Row],[previous_workers]]</f>
        <v>0.45833333333333331</v>
      </c>
    </row>
    <row r="1756" spans="1:13" x14ac:dyDescent="0.25">
      <c r="A1756" s="1" t="s">
        <v>2175</v>
      </c>
      <c r="B1756" s="1" t="s">
        <v>2176</v>
      </c>
      <c r="C1756" s="1">
        <v>32500000</v>
      </c>
      <c r="D1756" s="1" t="s">
        <v>58</v>
      </c>
      <c r="E1756">
        <v>407.77269999999999</v>
      </c>
      <c r="F1756" s="1" t="s">
        <v>176</v>
      </c>
      <c r="G1756">
        <v>194</v>
      </c>
      <c r="H1756">
        <v>54</v>
      </c>
      <c r="I1756" s="1" t="s">
        <v>194</v>
      </c>
      <c r="J1756">
        <v>7</v>
      </c>
      <c r="K1756" t="str">
        <f>IF(Tb_data[[#This Row],[previous_workers]]&lt;Tb_data[[#This Row],[workers]],"yes","no")</f>
        <v>yes</v>
      </c>
      <c r="L1756">
        <f>Tb_data[[#This Row],[workers]]-Tb_data[[#This Row],[previous_workers]]</f>
        <v>140</v>
      </c>
      <c r="M1756" s="12">
        <f>Tb_data[[#This Row],[Employees Growth]]/Tb_data[[#This Row],[previous_workers]]</f>
        <v>2.5925925925925926</v>
      </c>
    </row>
    <row r="1757" spans="1:13" x14ac:dyDescent="0.25">
      <c r="A1757" s="1" t="s">
        <v>2310</v>
      </c>
      <c r="B1757" s="1" t="s">
        <v>2311</v>
      </c>
      <c r="C1757" s="1">
        <v>6300000</v>
      </c>
      <c r="D1757" s="1" t="s">
        <v>61</v>
      </c>
      <c r="E1757">
        <v>381.93310000000002</v>
      </c>
      <c r="F1757" s="1" t="s">
        <v>25</v>
      </c>
      <c r="G1757">
        <v>45</v>
      </c>
      <c r="H1757">
        <v>4</v>
      </c>
      <c r="I1757" s="1" t="s">
        <v>35</v>
      </c>
      <c r="J1757">
        <v>3</v>
      </c>
      <c r="K1757" t="str">
        <f>IF(Tb_data[[#This Row],[previous_workers]]&lt;Tb_data[[#This Row],[workers]],"yes","no")</f>
        <v>yes</v>
      </c>
      <c r="L1757">
        <f>Tb_data[[#This Row],[workers]]-Tb_data[[#This Row],[previous_workers]]</f>
        <v>41</v>
      </c>
      <c r="M1757" s="12">
        <f>Tb_data[[#This Row],[Employees Growth]]/Tb_data[[#This Row],[previous_workers]]</f>
        <v>10.25</v>
      </c>
    </row>
    <row r="1758" spans="1:13" x14ac:dyDescent="0.25">
      <c r="A1758" s="1" t="s">
        <v>9744</v>
      </c>
      <c r="B1758" s="1" t="s">
        <v>9745</v>
      </c>
      <c r="C1758" s="1">
        <v>4100000</v>
      </c>
      <c r="D1758" s="1" t="s">
        <v>175</v>
      </c>
      <c r="E1758">
        <v>57.4938</v>
      </c>
      <c r="F1758" s="1" t="s">
        <v>3264</v>
      </c>
      <c r="G1758">
        <v>38</v>
      </c>
      <c r="H1758">
        <v>29</v>
      </c>
      <c r="I1758" s="1" t="s">
        <v>1051</v>
      </c>
      <c r="J1758">
        <v>2</v>
      </c>
      <c r="K1758" t="str">
        <f>IF(Tb_data[[#This Row],[previous_workers]]&lt;Tb_data[[#This Row],[workers]],"yes","no")</f>
        <v>yes</v>
      </c>
      <c r="L1758">
        <f>Tb_data[[#This Row],[workers]]-Tb_data[[#This Row],[previous_workers]]</f>
        <v>9</v>
      </c>
      <c r="M1758" s="12">
        <f>Tb_data[[#This Row],[Employees Growth]]/Tb_data[[#This Row],[previous_workers]]</f>
        <v>0.31034482758620691</v>
      </c>
    </row>
    <row r="1759" spans="1:13" x14ac:dyDescent="0.25">
      <c r="A1759" s="1" t="s">
        <v>4471</v>
      </c>
      <c r="B1759" s="1" t="s">
        <v>4472</v>
      </c>
      <c r="C1759" s="1">
        <v>15200000</v>
      </c>
      <c r="D1759" s="1" t="s">
        <v>254</v>
      </c>
      <c r="E1759">
        <v>183.83080000000001</v>
      </c>
      <c r="F1759" s="1" t="s">
        <v>34</v>
      </c>
      <c r="G1759">
        <v>18</v>
      </c>
      <c r="H1759">
        <v>8</v>
      </c>
      <c r="I1759" s="1" t="s">
        <v>26</v>
      </c>
      <c r="J1759">
        <v>1</v>
      </c>
      <c r="K1759" t="str">
        <f>IF(Tb_data[[#This Row],[previous_workers]]&lt;Tb_data[[#This Row],[workers]],"yes","no")</f>
        <v>yes</v>
      </c>
      <c r="L1759">
        <f>Tb_data[[#This Row],[workers]]-Tb_data[[#This Row],[previous_workers]]</f>
        <v>10</v>
      </c>
      <c r="M1759" s="12">
        <f>Tb_data[[#This Row],[Employees Growth]]/Tb_data[[#This Row],[previous_workers]]</f>
        <v>1.25</v>
      </c>
    </row>
    <row r="1760" spans="1:13" x14ac:dyDescent="0.25">
      <c r="A1760" s="1" t="s">
        <v>1931</v>
      </c>
      <c r="B1760" s="1" t="s">
        <v>1932</v>
      </c>
      <c r="C1760" s="1">
        <v>9000000</v>
      </c>
      <c r="D1760" s="1" t="s">
        <v>91</v>
      </c>
      <c r="E1760">
        <v>465.9923</v>
      </c>
      <c r="F1760" s="1" t="s">
        <v>124</v>
      </c>
      <c r="G1760">
        <v>52</v>
      </c>
      <c r="H1760">
        <v>15</v>
      </c>
      <c r="I1760" s="1" t="s">
        <v>13</v>
      </c>
      <c r="J1760">
        <v>1</v>
      </c>
      <c r="K1760" t="str">
        <f>IF(Tb_data[[#This Row],[previous_workers]]&lt;Tb_data[[#This Row],[workers]],"yes","no")</f>
        <v>yes</v>
      </c>
      <c r="L1760">
        <f>Tb_data[[#This Row],[workers]]-Tb_data[[#This Row],[previous_workers]]</f>
        <v>37</v>
      </c>
      <c r="M1760" s="12">
        <f>Tb_data[[#This Row],[Employees Growth]]/Tb_data[[#This Row],[previous_workers]]</f>
        <v>2.4666666666666668</v>
      </c>
    </row>
    <row r="1761" spans="1:13" x14ac:dyDescent="0.25">
      <c r="A1761" s="1" t="s">
        <v>9916</v>
      </c>
      <c r="B1761" s="1" t="s">
        <v>9917</v>
      </c>
      <c r="C1761" s="1">
        <v>7500000</v>
      </c>
      <c r="D1761" s="1" t="s">
        <v>20</v>
      </c>
      <c r="E1761">
        <v>54.978499999999997</v>
      </c>
      <c r="F1761" s="1" t="s">
        <v>112</v>
      </c>
      <c r="G1761">
        <v>64</v>
      </c>
      <c r="H1761">
        <v>56</v>
      </c>
      <c r="I1761" s="1" t="s">
        <v>1051</v>
      </c>
      <c r="J1761">
        <v>4</v>
      </c>
      <c r="K1761" t="str">
        <f>IF(Tb_data[[#This Row],[previous_workers]]&lt;Tb_data[[#This Row],[workers]],"yes","no")</f>
        <v>yes</v>
      </c>
      <c r="L1761">
        <f>Tb_data[[#This Row],[workers]]-Tb_data[[#This Row],[previous_workers]]</f>
        <v>8</v>
      </c>
      <c r="M1761" s="12">
        <f>Tb_data[[#This Row],[Employees Growth]]/Tb_data[[#This Row],[previous_workers]]</f>
        <v>0.14285714285714285</v>
      </c>
    </row>
    <row r="1762" spans="1:13" x14ac:dyDescent="0.25">
      <c r="A1762" s="1" t="s">
        <v>6819</v>
      </c>
      <c r="B1762" s="1" t="s">
        <v>6820</v>
      </c>
      <c r="C1762" s="1">
        <v>9900000</v>
      </c>
      <c r="D1762" s="1" t="s">
        <v>20</v>
      </c>
      <c r="E1762">
        <v>106.2123</v>
      </c>
      <c r="F1762" s="1" t="s">
        <v>161</v>
      </c>
      <c r="G1762">
        <v>22</v>
      </c>
      <c r="H1762">
        <v>15</v>
      </c>
      <c r="I1762" s="1" t="s">
        <v>147</v>
      </c>
      <c r="J1762">
        <v>4</v>
      </c>
      <c r="K1762" t="str">
        <f>IF(Tb_data[[#This Row],[previous_workers]]&lt;Tb_data[[#This Row],[workers]],"yes","no")</f>
        <v>yes</v>
      </c>
      <c r="L1762">
        <f>Tb_data[[#This Row],[workers]]-Tb_data[[#This Row],[previous_workers]]</f>
        <v>7</v>
      </c>
      <c r="M1762" s="12">
        <f>Tb_data[[#This Row],[Employees Growth]]/Tb_data[[#This Row],[previous_workers]]</f>
        <v>0.46666666666666667</v>
      </c>
    </row>
    <row r="1763" spans="1:13" x14ac:dyDescent="0.25">
      <c r="A1763" s="1" t="s">
        <v>2181</v>
      </c>
      <c r="B1763" s="1" t="s">
        <v>2182</v>
      </c>
      <c r="C1763" s="1">
        <v>4200000</v>
      </c>
      <c r="D1763" s="1" t="s">
        <v>179</v>
      </c>
      <c r="E1763">
        <v>405.69499999999999</v>
      </c>
      <c r="F1763" s="1" t="s">
        <v>86</v>
      </c>
      <c r="G1763">
        <v>16</v>
      </c>
      <c r="H1763">
        <v>9</v>
      </c>
      <c r="I1763" s="1" t="s">
        <v>117</v>
      </c>
      <c r="J1763">
        <v>1</v>
      </c>
      <c r="K1763" t="str">
        <f>IF(Tb_data[[#This Row],[previous_workers]]&lt;Tb_data[[#This Row],[workers]],"yes","no")</f>
        <v>yes</v>
      </c>
      <c r="L1763">
        <f>Tb_data[[#This Row],[workers]]-Tb_data[[#This Row],[previous_workers]]</f>
        <v>7</v>
      </c>
      <c r="M1763" s="12">
        <f>Tb_data[[#This Row],[Employees Growth]]/Tb_data[[#This Row],[previous_workers]]</f>
        <v>0.77777777777777779</v>
      </c>
    </row>
    <row r="1764" spans="1:13" x14ac:dyDescent="0.25">
      <c r="A1764" s="1" t="s">
        <v>2106</v>
      </c>
      <c r="B1764" s="1" t="s">
        <v>2107</v>
      </c>
      <c r="C1764" s="1">
        <v>5600000</v>
      </c>
      <c r="D1764" s="1" t="s">
        <v>61</v>
      </c>
      <c r="E1764">
        <v>424.60890000000001</v>
      </c>
      <c r="F1764" s="1" t="s">
        <v>30</v>
      </c>
      <c r="G1764">
        <v>5</v>
      </c>
      <c r="H1764">
        <v>1</v>
      </c>
      <c r="I1764" s="1" t="s">
        <v>13</v>
      </c>
      <c r="J1764">
        <v>1</v>
      </c>
      <c r="K1764" t="str">
        <f>IF(Tb_data[[#This Row],[previous_workers]]&lt;Tb_data[[#This Row],[workers]],"yes","no")</f>
        <v>yes</v>
      </c>
      <c r="L1764">
        <f>Tb_data[[#This Row],[workers]]-Tb_data[[#This Row],[previous_workers]]</f>
        <v>4</v>
      </c>
      <c r="M1764" s="12">
        <f>Tb_data[[#This Row],[Employees Growth]]/Tb_data[[#This Row],[previous_workers]]</f>
        <v>4</v>
      </c>
    </row>
    <row r="1765" spans="1:13" x14ac:dyDescent="0.25">
      <c r="A1765" s="1" t="s">
        <v>3669</v>
      </c>
      <c r="B1765" s="1" t="s">
        <v>3670</v>
      </c>
      <c r="C1765" s="1">
        <v>75800000</v>
      </c>
      <c r="D1765" s="1" t="s">
        <v>20</v>
      </c>
      <c r="E1765">
        <v>230.11779999999999</v>
      </c>
      <c r="F1765" s="1" t="s">
        <v>124</v>
      </c>
      <c r="G1765">
        <v>48</v>
      </c>
      <c r="H1765">
        <v>19</v>
      </c>
      <c r="I1765" s="1" t="s">
        <v>1051</v>
      </c>
      <c r="J1765">
        <v>1</v>
      </c>
      <c r="K1765" t="str">
        <f>IF(Tb_data[[#This Row],[previous_workers]]&lt;Tb_data[[#This Row],[workers]],"yes","no")</f>
        <v>yes</v>
      </c>
      <c r="L1765">
        <f>Tb_data[[#This Row],[workers]]-Tb_data[[#This Row],[previous_workers]]</f>
        <v>29</v>
      </c>
      <c r="M1765" s="12">
        <f>Tb_data[[#This Row],[Employees Growth]]/Tb_data[[#This Row],[previous_workers]]</f>
        <v>1.5263157894736843</v>
      </c>
    </row>
    <row r="1766" spans="1:13" x14ac:dyDescent="0.25">
      <c r="A1766" s="1" t="s">
        <v>7262</v>
      </c>
      <c r="B1766" s="1" t="s">
        <v>7263</v>
      </c>
      <c r="C1766" s="1">
        <v>21100000</v>
      </c>
      <c r="D1766" s="1" t="s">
        <v>58</v>
      </c>
      <c r="E1766">
        <v>97.580100000000002</v>
      </c>
      <c r="F1766" s="1" t="s">
        <v>34</v>
      </c>
      <c r="G1766">
        <v>93</v>
      </c>
      <c r="H1766">
        <v>71</v>
      </c>
      <c r="I1766" s="1" t="s">
        <v>117</v>
      </c>
      <c r="J1766">
        <v>6</v>
      </c>
      <c r="K1766" t="str">
        <f>IF(Tb_data[[#This Row],[previous_workers]]&lt;Tb_data[[#This Row],[workers]],"yes","no")</f>
        <v>yes</v>
      </c>
      <c r="L1766">
        <f>Tb_data[[#This Row],[workers]]-Tb_data[[#This Row],[previous_workers]]</f>
        <v>22</v>
      </c>
      <c r="M1766" s="12">
        <f>Tb_data[[#This Row],[Employees Growth]]/Tb_data[[#This Row],[previous_workers]]</f>
        <v>0.30985915492957744</v>
      </c>
    </row>
    <row r="1767" spans="1:13" x14ac:dyDescent="0.25">
      <c r="A1767" s="1" t="s">
        <v>9129</v>
      </c>
      <c r="B1767" s="1" t="s">
        <v>9130</v>
      </c>
      <c r="C1767" s="1">
        <v>6000000</v>
      </c>
      <c r="D1767" s="1" t="s">
        <v>58</v>
      </c>
      <c r="E1767">
        <v>65.024699999999996</v>
      </c>
      <c r="F1767" s="1" t="s">
        <v>161</v>
      </c>
      <c r="G1767">
        <v>35</v>
      </c>
      <c r="H1767">
        <v>18</v>
      </c>
      <c r="I1767" s="1" t="s">
        <v>55</v>
      </c>
      <c r="J1767">
        <v>2</v>
      </c>
      <c r="K1767" t="str">
        <f>IF(Tb_data[[#This Row],[previous_workers]]&lt;Tb_data[[#This Row],[workers]],"yes","no")</f>
        <v>yes</v>
      </c>
      <c r="L1767">
        <f>Tb_data[[#This Row],[workers]]-Tb_data[[#This Row],[previous_workers]]</f>
        <v>17</v>
      </c>
      <c r="M1767" s="12">
        <f>Tb_data[[#This Row],[Employees Growth]]/Tb_data[[#This Row],[previous_workers]]</f>
        <v>0.94444444444444442</v>
      </c>
    </row>
    <row r="1768" spans="1:13" x14ac:dyDescent="0.25">
      <c r="A1768" s="1" t="s">
        <v>3043</v>
      </c>
      <c r="B1768" s="1" t="s">
        <v>3044</v>
      </c>
      <c r="C1768" s="1">
        <v>48400000</v>
      </c>
      <c r="D1768" s="1" t="s">
        <v>175</v>
      </c>
      <c r="E1768">
        <v>283.71789999999999</v>
      </c>
      <c r="F1768" s="1" t="s">
        <v>124</v>
      </c>
      <c r="G1768">
        <v>40</v>
      </c>
      <c r="H1768">
        <v>11</v>
      </c>
      <c r="I1768" s="1" t="s">
        <v>130</v>
      </c>
      <c r="J1768">
        <v>3</v>
      </c>
      <c r="K1768" t="str">
        <f>IF(Tb_data[[#This Row],[previous_workers]]&lt;Tb_data[[#This Row],[workers]],"yes","no")</f>
        <v>yes</v>
      </c>
      <c r="L1768">
        <f>Tb_data[[#This Row],[workers]]-Tb_data[[#This Row],[previous_workers]]</f>
        <v>29</v>
      </c>
      <c r="M1768" s="12">
        <f>Tb_data[[#This Row],[Employees Growth]]/Tb_data[[#This Row],[previous_workers]]</f>
        <v>2.6363636363636362</v>
      </c>
    </row>
    <row r="1769" spans="1:13" x14ac:dyDescent="0.25">
      <c r="A1769" s="1" t="s">
        <v>7120</v>
      </c>
      <c r="B1769" s="1" t="s">
        <v>7121</v>
      </c>
      <c r="C1769" s="1">
        <v>20500000</v>
      </c>
      <c r="D1769" s="1" t="s">
        <v>38</v>
      </c>
      <c r="E1769">
        <v>99.854500000000002</v>
      </c>
      <c r="F1769" s="1" t="s">
        <v>135</v>
      </c>
      <c r="G1769">
        <v>1000</v>
      </c>
      <c r="H1769">
        <v>446</v>
      </c>
      <c r="I1769" s="1" t="s">
        <v>372</v>
      </c>
      <c r="J1769">
        <v>1</v>
      </c>
      <c r="K1769" t="str">
        <f>IF(Tb_data[[#This Row],[previous_workers]]&lt;Tb_data[[#This Row],[workers]],"yes","no")</f>
        <v>yes</v>
      </c>
      <c r="L1769">
        <f>Tb_data[[#This Row],[workers]]-Tb_data[[#This Row],[previous_workers]]</f>
        <v>554</v>
      </c>
      <c r="M1769" s="12">
        <f>Tb_data[[#This Row],[Employees Growth]]/Tb_data[[#This Row],[previous_workers]]</f>
        <v>1.242152466367713</v>
      </c>
    </row>
    <row r="1770" spans="1:13" x14ac:dyDescent="0.25">
      <c r="A1770" s="1" t="s">
        <v>1188</v>
      </c>
      <c r="B1770" s="1" t="s">
        <v>1189</v>
      </c>
      <c r="C1770" s="1">
        <v>31600000</v>
      </c>
      <c r="D1770" s="1" t="s">
        <v>61</v>
      </c>
      <c r="E1770">
        <v>810.5992</v>
      </c>
      <c r="F1770" s="1" t="s">
        <v>25</v>
      </c>
      <c r="G1770">
        <v>23</v>
      </c>
      <c r="H1770">
        <v>8</v>
      </c>
      <c r="I1770" s="1" t="s">
        <v>35</v>
      </c>
      <c r="J1770">
        <v>6</v>
      </c>
      <c r="K1770" t="str">
        <f>IF(Tb_data[[#This Row],[previous_workers]]&lt;Tb_data[[#This Row],[workers]],"yes","no")</f>
        <v>yes</v>
      </c>
      <c r="L1770">
        <f>Tb_data[[#This Row],[workers]]-Tb_data[[#This Row],[previous_workers]]</f>
        <v>15</v>
      </c>
      <c r="M1770" s="12">
        <f>Tb_data[[#This Row],[Employees Growth]]/Tb_data[[#This Row],[previous_workers]]</f>
        <v>1.875</v>
      </c>
    </row>
    <row r="1771" spans="1:13" x14ac:dyDescent="0.25">
      <c r="A1771" s="1" t="s">
        <v>4968</v>
      </c>
      <c r="B1771" s="1" t="s">
        <v>4969</v>
      </c>
      <c r="C1771" s="1">
        <v>3500000</v>
      </c>
      <c r="D1771" s="1" t="s">
        <v>129</v>
      </c>
      <c r="E1771">
        <v>163.17009999999999</v>
      </c>
      <c r="F1771" s="1" t="s">
        <v>176</v>
      </c>
      <c r="G1771">
        <v>12</v>
      </c>
      <c r="H1771">
        <v>7</v>
      </c>
      <c r="I1771" s="1" t="s">
        <v>55</v>
      </c>
      <c r="J1771">
        <v>2</v>
      </c>
      <c r="K1771" t="str">
        <f>IF(Tb_data[[#This Row],[previous_workers]]&lt;Tb_data[[#This Row],[workers]],"yes","no")</f>
        <v>yes</v>
      </c>
      <c r="L1771">
        <f>Tb_data[[#This Row],[workers]]-Tb_data[[#This Row],[previous_workers]]</f>
        <v>5</v>
      </c>
      <c r="M1771" s="12">
        <f>Tb_data[[#This Row],[Employees Growth]]/Tb_data[[#This Row],[previous_workers]]</f>
        <v>0.7142857142857143</v>
      </c>
    </row>
    <row r="1772" spans="1:13" x14ac:dyDescent="0.25">
      <c r="A1772" s="1" t="s">
        <v>9776</v>
      </c>
      <c r="B1772" s="1" t="s">
        <v>9777</v>
      </c>
      <c r="C1772" s="1">
        <v>8300000</v>
      </c>
      <c r="D1772" s="1" t="s">
        <v>41</v>
      </c>
      <c r="E1772">
        <v>57</v>
      </c>
      <c r="F1772" s="1" t="s">
        <v>97</v>
      </c>
      <c r="G1772">
        <v>49</v>
      </c>
      <c r="H1772">
        <v>26</v>
      </c>
      <c r="I1772" s="1" t="s">
        <v>74</v>
      </c>
      <c r="J1772">
        <v>6</v>
      </c>
      <c r="K1772" t="str">
        <f>IF(Tb_data[[#This Row],[previous_workers]]&lt;Tb_data[[#This Row],[workers]],"yes","no")</f>
        <v>yes</v>
      </c>
      <c r="L1772">
        <f>Tb_data[[#This Row],[workers]]-Tb_data[[#This Row],[previous_workers]]</f>
        <v>23</v>
      </c>
      <c r="M1772" s="12">
        <f>Tb_data[[#This Row],[Employees Growth]]/Tb_data[[#This Row],[previous_workers]]</f>
        <v>0.88461538461538458</v>
      </c>
    </row>
    <row r="1773" spans="1:13" x14ac:dyDescent="0.25">
      <c r="A1773" s="1" t="s">
        <v>3203</v>
      </c>
      <c r="B1773" s="1" t="s">
        <v>3204</v>
      </c>
      <c r="C1773" s="1">
        <v>18400000</v>
      </c>
      <c r="D1773" s="1" t="s">
        <v>52</v>
      </c>
      <c r="E1773">
        <v>269.14789999999999</v>
      </c>
      <c r="F1773" s="1" t="s">
        <v>176</v>
      </c>
      <c r="G1773">
        <v>168</v>
      </c>
      <c r="H1773">
        <v>75</v>
      </c>
      <c r="I1773" s="1" t="s">
        <v>117</v>
      </c>
      <c r="J1773">
        <v>2</v>
      </c>
      <c r="K1773" t="str">
        <f>IF(Tb_data[[#This Row],[previous_workers]]&lt;Tb_data[[#This Row],[workers]],"yes","no")</f>
        <v>yes</v>
      </c>
      <c r="L1773">
        <f>Tb_data[[#This Row],[workers]]-Tb_data[[#This Row],[previous_workers]]</f>
        <v>93</v>
      </c>
      <c r="M1773" s="12">
        <f>Tb_data[[#This Row],[Employees Growth]]/Tb_data[[#This Row],[previous_workers]]</f>
        <v>1.24</v>
      </c>
    </row>
    <row r="1774" spans="1:13" x14ac:dyDescent="0.25">
      <c r="A1774" s="1" t="s">
        <v>5344</v>
      </c>
      <c r="B1774" s="1" t="s">
        <v>5345</v>
      </c>
      <c r="C1774" s="1">
        <v>2300000</v>
      </c>
      <c r="D1774" s="1" t="s">
        <v>45</v>
      </c>
      <c r="E1774">
        <v>148.0873</v>
      </c>
      <c r="F1774" s="1" t="s">
        <v>62</v>
      </c>
      <c r="G1774">
        <v>30</v>
      </c>
      <c r="H1774">
        <v>20</v>
      </c>
      <c r="I1774" s="1" t="s">
        <v>26</v>
      </c>
      <c r="J1774">
        <v>1</v>
      </c>
      <c r="K1774" t="str">
        <f>IF(Tb_data[[#This Row],[previous_workers]]&lt;Tb_data[[#This Row],[workers]],"yes","no")</f>
        <v>yes</v>
      </c>
      <c r="L1774">
        <f>Tb_data[[#This Row],[workers]]-Tb_data[[#This Row],[previous_workers]]</f>
        <v>10</v>
      </c>
      <c r="M1774" s="12">
        <f>Tb_data[[#This Row],[Employees Growth]]/Tb_data[[#This Row],[previous_workers]]</f>
        <v>0.5</v>
      </c>
    </row>
    <row r="1775" spans="1:13" x14ac:dyDescent="0.25">
      <c r="A1775" s="1" t="s">
        <v>3335</v>
      </c>
      <c r="B1775" s="1" t="s">
        <v>3336</v>
      </c>
      <c r="C1775" s="1">
        <v>11500000</v>
      </c>
      <c r="D1775" s="1" t="s">
        <v>254</v>
      </c>
      <c r="E1775">
        <v>256.45929999999998</v>
      </c>
      <c r="F1775" s="1" t="s">
        <v>100</v>
      </c>
      <c r="G1775">
        <v>49</v>
      </c>
      <c r="H1775">
        <v>25</v>
      </c>
      <c r="I1775" s="1" t="s">
        <v>46</v>
      </c>
      <c r="J1775">
        <v>5</v>
      </c>
      <c r="K1775" t="str">
        <f>IF(Tb_data[[#This Row],[previous_workers]]&lt;Tb_data[[#This Row],[workers]],"yes","no")</f>
        <v>yes</v>
      </c>
      <c r="L1775">
        <f>Tb_data[[#This Row],[workers]]-Tb_data[[#This Row],[previous_workers]]</f>
        <v>24</v>
      </c>
      <c r="M1775" s="12">
        <f>Tb_data[[#This Row],[Employees Growth]]/Tb_data[[#This Row],[previous_workers]]</f>
        <v>0.96</v>
      </c>
    </row>
    <row r="1776" spans="1:13" x14ac:dyDescent="0.25">
      <c r="A1776" s="1" t="s">
        <v>138</v>
      </c>
      <c r="B1776" s="1" t="s">
        <v>139</v>
      </c>
      <c r="C1776" s="1">
        <v>6400000</v>
      </c>
      <c r="D1776" s="1" t="s">
        <v>61</v>
      </c>
      <c r="E1776">
        <v>6017.8863000000001</v>
      </c>
      <c r="F1776" s="1" t="s">
        <v>100</v>
      </c>
      <c r="G1776">
        <v>41</v>
      </c>
      <c r="H1776">
        <v>5</v>
      </c>
      <c r="I1776" s="1" t="s">
        <v>26</v>
      </c>
      <c r="J1776">
        <v>1</v>
      </c>
      <c r="K1776" t="str">
        <f>IF(Tb_data[[#This Row],[previous_workers]]&lt;Tb_data[[#This Row],[workers]],"yes","no")</f>
        <v>yes</v>
      </c>
      <c r="L1776">
        <f>Tb_data[[#This Row],[workers]]-Tb_data[[#This Row],[previous_workers]]</f>
        <v>36</v>
      </c>
      <c r="M1776" s="12">
        <f>Tb_data[[#This Row],[Employees Growth]]/Tb_data[[#This Row],[previous_workers]]</f>
        <v>7.2</v>
      </c>
    </row>
    <row r="1777" spans="1:13" x14ac:dyDescent="0.25">
      <c r="A1777" s="1" t="s">
        <v>4417</v>
      </c>
      <c r="B1777" s="1" t="s">
        <v>4418</v>
      </c>
      <c r="C1777" s="1">
        <v>7500000</v>
      </c>
      <c r="D1777" s="1" t="s">
        <v>509</v>
      </c>
      <c r="E1777">
        <v>186.08580000000001</v>
      </c>
      <c r="F1777" s="1" t="s">
        <v>62</v>
      </c>
      <c r="G1777">
        <v>29</v>
      </c>
      <c r="H1777">
        <v>15</v>
      </c>
      <c r="I1777" s="1" t="s">
        <v>194</v>
      </c>
      <c r="J1777">
        <v>4</v>
      </c>
      <c r="K1777" t="str">
        <f>IF(Tb_data[[#This Row],[previous_workers]]&lt;Tb_data[[#This Row],[workers]],"yes","no")</f>
        <v>yes</v>
      </c>
      <c r="L1777">
        <f>Tb_data[[#This Row],[workers]]-Tb_data[[#This Row],[previous_workers]]</f>
        <v>14</v>
      </c>
      <c r="M1777" s="12">
        <f>Tb_data[[#This Row],[Employees Growth]]/Tb_data[[#This Row],[previous_workers]]</f>
        <v>0.93333333333333335</v>
      </c>
    </row>
    <row r="1778" spans="1:13" x14ac:dyDescent="0.25">
      <c r="A1778" s="1" t="s">
        <v>1328</v>
      </c>
      <c r="B1778" s="1" t="s">
        <v>1329</v>
      </c>
      <c r="C1778" s="1">
        <v>15600000</v>
      </c>
      <c r="D1778" s="1" t="s">
        <v>61</v>
      </c>
      <c r="E1778">
        <v>720.47080000000005</v>
      </c>
      <c r="F1778" s="1" t="s">
        <v>62</v>
      </c>
      <c r="G1778">
        <v>96</v>
      </c>
      <c r="H1778">
        <v>38</v>
      </c>
      <c r="I1778" s="1" t="s">
        <v>55</v>
      </c>
      <c r="J1778">
        <v>2</v>
      </c>
      <c r="K1778" t="str">
        <f>IF(Tb_data[[#This Row],[previous_workers]]&lt;Tb_data[[#This Row],[workers]],"yes","no")</f>
        <v>yes</v>
      </c>
      <c r="L1778">
        <f>Tb_data[[#This Row],[workers]]-Tb_data[[#This Row],[previous_workers]]</f>
        <v>58</v>
      </c>
      <c r="M1778" s="12">
        <f>Tb_data[[#This Row],[Employees Growth]]/Tb_data[[#This Row],[previous_workers]]</f>
        <v>1.5263157894736843</v>
      </c>
    </row>
    <row r="1779" spans="1:13" x14ac:dyDescent="0.25">
      <c r="A1779" s="1" t="s">
        <v>4345</v>
      </c>
      <c r="B1779" s="1" t="s">
        <v>4346</v>
      </c>
      <c r="C1779" s="1">
        <v>7500000</v>
      </c>
      <c r="D1779" s="1" t="s">
        <v>49</v>
      </c>
      <c r="E1779">
        <v>188.9922</v>
      </c>
      <c r="F1779" s="1" t="s">
        <v>62</v>
      </c>
      <c r="G1779">
        <v>45</v>
      </c>
      <c r="H1779">
        <v>18</v>
      </c>
      <c r="I1779" s="1" t="s">
        <v>194</v>
      </c>
      <c r="J1779">
        <v>1</v>
      </c>
      <c r="K1779" t="str">
        <f>IF(Tb_data[[#This Row],[previous_workers]]&lt;Tb_data[[#This Row],[workers]],"yes","no")</f>
        <v>yes</v>
      </c>
      <c r="L1779">
        <f>Tb_data[[#This Row],[workers]]-Tb_data[[#This Row],[previous_workers]]</f>
        <v>27</v>
      </c>
      <c r="M1779" s="12">
        <f>Tb_data[[#This Row],[Employees Growth]]/Tb_data[[#This Row],[previous_workers]]</f>
        <v>1.5</v>
      </c>
    </row>
    <row r="1780" spans="1:13" x14ac:dyDescent="0.25">
      <c r="A1780" s="1" t="s">
        <v>2991</v>
      </c>
      <c r="B1780" s="1" t="s">
        <v>2992</v>
      </c>
      <c r="C1780" s="1">
        <v>20800000</v>
      </c>
      <c r="D1780" s="1" t="s">
        <v>483</v>
      </c>
      <c r="E1780">
        <v>288.2353</v>
      </c>
      <c r="F1780" s="1" t="s">
        <v>62</v>
      </c>
      <c r="G1780">
        <v>76</v>
      </c>
      <c r="H1780">
        <v>24</v>
      </c>
      <c r="I1780" s="1" t="s">
        <v>117</v>
      </c>
      <c r="J1780">
        <v>2</v>
      </c>
      <c r="K1780" t="str">
        <f>IF(Tb_data[[#This Row],[previous_workers]]&lt;Tb_data[[#This Row],[workers]],"yes","no")</f>
        <v>yes</v>
      </c>
      <c r="L1780">
        <f>Tb_data[[#This Row],[workers]]-Tb_data[[#This Row],[previous_workers]]</f>
        <v>52</v>
      </c>
      <c r="M1780" s="12">
        <f>Tb_data[[#This Row],[Employees Growth]]/Tb_data[[#This Row],[previous_workers]]</f>
        <v>2.1666666666666665</v>
      </c>
    </row>
    <row r="1781" spans="1:13" x14ac:dyDescent="0.25">
      <c r="A1781" s="1" t="s">
        <v>1527</v>
      </c>
      <c r="B1781" s="1" t="s">
        <v>1528</v>
      </c>
      <c r="C1781" s="1">
        <v>6000000</v>
      </c>
      <c r="D1781" s="1" t="s">
        <v>49</v>
      </c>
      <c r="E1781">
        <v>614.26549999999997</v>
      </c>
      <c r="F1781" s="1" t="s">
        <v>12</v>
      </c>
      <c r="G1781">
        <v>20</v>
      </c>
      <c r="H1781">
        <v>3</v>
      </c>
      <c r="I1781" s="1" t="s">
        <v>13</v>
      </c>
      <c r="J1781">
        <v>1</v>
      </c>
      <c r="K1781" t="str">
        <f>IF(Tb_data[[#This Row],[previous_workers]]&lt;Tb_data[[#This Row],[workers]],"yes","no")</f>
        <v>yes</v>
      </c>
      <c r="L1781">
        <f>Tb_data[[#This Row],[workers]]-Tb_data[[#This Row],[previous_workers]]</f>
        <v>17</v>
      </c>
      <c r="M1781" s="12">
        <f>Tb_data[[#This Row],[Employees Growth]]/Tb_data[[#This Row],[previous_workers]]</f>
        <v>5.666666666666667</v>
      </c>
    </row>
    <row r="1782" spans="1:13" x14ac:dyDescent="0.25">
      <c r="A1782" s="1" t="s">
        <v>2676</v>
      </c>
      <c r="B1782" s="1" t="s">
        <v>4078</v>
      </c>
      <c r="C1782" s="1">
        <v>2200000</v>
      </c>
      <c r="D1782" s="1" t="s">
        <v>61</v>
      </c>
      <c r="E1782">
        <v>202.97890000000001</v>
      </c>
      <c r="F1782" s="1" t="s">
        <v>30</v>
      </c>
      <c r="G1782">
        <v>6</v>
      </c>
      <c r="H1782">
        <v>3</v>
      </c>
      <c r="I1782" s="1" t="s">
        <v>55</v>
      </c>
      <c r="J1782">
        <v>1</v>
      </c>
      <c r="K1782" t="str">
        <f>IF(Tb_data[[#This Row],[previous_workers]]&lt;Tb_data[[#This Row],[workers]],"yes","no")</f>
        <v>yes</v>
      </c>
      <c r="L1782">
        <f>Tb_data[[#This Row],[workers]]-Tb_data[[#This Row],[previous_workers]]</f>
        <v>3</v>
      </c>
      <c r="M1782" s="12">
        <f>Tb_data[[#This Row],[Employees Growth]]/Tb_data[[#This Row],[previous_workers]]</f>
        <v>1</v>
      </c>
    </row>
    <row r="1783" spans="1:13" x14ac:dyDescent="0.25">
      <c r="A1783" s="1" t="s">
        <v>3809</v>
      </c>
      <c r="B1783" s="1" t="s">
        <v>3810</v>
      </c>
      <c r="C1783" s="1">
        <v>3000000</v>
      </c>
      <c r="D1783" s="1" t="s">
        <v>1021</v>
      </c>
      <c r="E1783">
        <v>220.56540000000001</v>
      </c>
      <c r="F1783" s="1" t="s">
        <v>161</v>
      </c>
      <c r="G1783">
        <v>15</v>
      </c>
      <c r="H1783">
        <v>5</v>
      </c>
      <c r="I1783" s="1" t="s">
        <v>55</v>
      </c>
      <c r="J1783">
        <v>1</v>
      </c>
      <c r="K1783" t="str">
        <f>IF(Tb_data[[#This Row],[previous_workers]]&lt;Tb_data[[#This Row],[workers]],"yes","no")</f>
        <v>yes</v>
      </c>
      <c r="L1783">
        <f>Tb_data[[#This Row],[workers]]-Tb_data[[#This Row],[previous_workers]]</f>
        <v>10</v>
      </c>
      <c r="M1783" s="12">
        <f>Tb_data[[#This Row],[Employees Growth]]/Tb_data[[#This Row],[previous_workers]]</f>
        <v>2</v>
      </c>
    </row>
    <row r="1784" spans="1:13" x14ac:dyDescent="0.25">
      <c r="A1784" s="1" t="s">
        <v>1212</v>
      </c>
      <c r="B1784" s="1" t="s">
        <v>1213</v>
      </c>
      <c r="C1784" s="1">
        <v>9200000</v>
      </c>
      <c r="D1784" s="1" t="s">
        <v>38</v>
      </c>
      <c r="E1784">
        <v>800.38570000000004</v>
      </c>
      <c r="F1784" s="1" t="s">
        <v>97</v>
      </c>
      <c r="G1784">
        <v>18</v>
      </c>
      <c r="H1784">
        <v>5</v>
      </c>
      <c r="I1784" s="1" t="s">
        <v>74</v>
      </c>
      <c r="J1784">
        <v>3</v>
      </c>
      <c r="K1784" t="str">
        <f>IF(Tb_data[[#This Row],[previous_workers]]&lt;Tb_data[[#This Row],[workers]],"yes","no")</f>
        <v>yes</v>
      </c>
      <c r="L1784">
        <f>Tb_data[[#This Row],[workers]]-Tb_data[[#This Row],[previous_workers]]</f>
        <v>13</v>
      </c>
      <c r="M1784" s="12">
        <f>Tb_data[[#This Row],[Employees Growth]]/Tb_data[[#This Row],[previous_workers]]</f>
        <v>2.6</v>
      </c>
    </row>
    <row r="1785" spans="1:13" x14ac:dyDescent="0.25">
      <c r="A1785" s="1" t="s">
        <v>3651</v>
      </c>
      <c r="B1785" s="1" t="s">
        <v>3652</v>
      </c>
      <c r="C1785" s="1">
        <v>215100000</v>
      </c>
      <c r="D1785" s="1" t="s">
        <v>500</v>
      </c>
      <c r="E1785">
        <v>230.8929</v>
      </c>
      <c r="F1785" s="1" t="s">
        <v>34</v>
      </c>
      <c r="G1785">
        <v>241</v>
      </c>
      <c r="H1785">
        <v>84</v>
      </c>
      <c r="I1785" s="1" t="s">
        <v>35</v>
      </c>
      <c r="J1785">
        <v>4</v>
      </c>
      <c r="K1785" t="str">
        <f>IF(Tb_data[[#This Row],[previous_workers]]&lt;Tb_data[[#This Row],[workers]],"yes","no")</f>
        <v>yes</v>
      </c>
      <c r="L1785">
        <f>Tb_data[[#This Row],[workers]]-Tb_data[[#This Row],[previous_workers]]</f>
        <v>157</v>
      </c>
      <c r="M1785" s="12">
        <f>Tb_data[[#This Row],[Employees Growth]]/Tb_data[[#This Row],[previous_workers]]</f>
        <v>1.8690476190476191</v>
      </c>
    </row>
    <row r="1786" spans="1:13" x14ac:dyDescent="0.25">
      <c r="A1786" s="1" t="s">
        <v>533</v>
      </c>
      <c r="B1786" s="1" t="s">
        <v>534</v>
      </c>
      <c r="C1786" s="1">
        <v>7700000</v>
      </c>
      <c r="D1786" s="1" t="s">
        <v>38</v>
      </c>
      <c r="E1786">
        <v>1851.6306</v>
      </c>
      <c r="F1786" s="1" t="s">
        <v>86</v>
      </c>
      <c r="G1786">
        <v>45</v>
      </c>
      <c r="H1786">
        <v>7</v>
      </c>
      <c r="I1786" s="1" t="s">
        <v>13</v>
      </c>
      <c r="J1786">
        <v>1</v>
      </c>
      <c r="K1786" t="str">
        <f>IF(Tb_data[[#This Row],[previous_workers]]&lt;Tb_data[[#This Row],[workers]],"yes","no")</f>
        <v>yes</v>
      </c>
      <c r="L1786">
        <f>Tb_data[[#This Row],[workers]]-Tb_data[[#This Row],[previous_workers]]</f>
        <v>38</v>
      </c>
      <c r="M1786" s="12">
        <f>Tb_data[[#This Row],[Employees Growth]]/Tb_data[[#This Row],[previous_workers]]</f>
        <v>5.4285714285714288</v>
      </c>
    </row>
    <row r="1787" spans="1:13" x14ac:dyDescent="0.25">
      <c r="A1787" s="1" t="s">
        <v>4931</v>
      </c>
      <c r="B1787" s="1" t="s">
        <v>4932</v>
      </c>
      <c r="C1787" s="1">
        <v>6100000</v>
      </c>
      <c r="D1787" s="1" t="s">
        <v>895</v>
      </c>
      <c r="E1787">
        <v>164.72970000000001</v>
      </c>
      <c r="F1787" s="1" t="s">
        <v>156</v>
      </c>
      <c r="G1787">
        <v>65</v>
      </c>
      <c r="H1787">
        <v>34</v>
      </c>
      <c r="I1787" s="1" t="s">
        <v>130</v>
      </c>
      <c r="J1787">
        <v>1</v>
      </c>
      <c r="K1787" t="str">
        <f>IF(Tb_data[[#This Row],[previous_workers]]&lt;Tb_data[[#This Row],[workers]],"yes","no")</f>
        <v>yes</v>
      </c>
      <c r="L1787">
        <f>Tb_data[[#This Row],[workers]]-Tb_data[[#This Row],[previous_workers]]</f>
        <v>31</v>
      </c>
      <c r="M1787" s="12">
        <f>Tb_data[[#This Row],[Employees Growth]]/Tb_data[[#This Row],[previous_workers]]</f>
        <v>0.91176470588235292</v>
      </c>
    </row>
    <row r="1788" spans="1:13" x14ac:dyDescent="0.25">
      <c r="A1788" s="1" t="s">
        <v>4152</v>
      </c>
      <c r="B1788" s="1" t="s">
        <v>4153</v>
      </c>
      <c r="C1788" s="1">
        <v>20100000</v>
      </c>
      <c r="D1788" s="1" t="s">
        <v>45</v>
      </c>
      <c r="E1788">
        <v>197.9247</v>
      </c>
      <c r="F1788" s="1" t="s">
        <v>86</v>
      </c>
      <c r="G1788">
        <v>55</v>
      </c>
      <c r="H1788">
        <v>38</v>
      </c>
      <c r="I1788" s="1" t="s">
        <v>35</v>
      </c>
      <c r="J1788">
        <v>6</v>
      </c>
      <c r="K1788" t="str">
        <f>IF(Tb_data[[#This Row],[previous_workers]]&lt;Tb_data[[#This Row],[workers]],"yes","no")</f>
        <v>yes</v>
      </c>
      <c r="L1788">
        <f>Tb_data[[#This Row],[workers]]-Tb_data[[#This Row],[previous_workers]]</f>
        <v>17</v>
      </c>
      <c r="M1788" s="12">
        <f>Tb_data[[#This Row],[Employees Growth]]/Tb_data[[#This Row],[previous_workers]]</f>
        <v>0.44736842105263158</v>
      </c>
    </row>
    <row r="1789" spans="1:13" x14ac:dyDescent="0.25">
      <c r="A1789" s="1" t="s">
        <v>1742</v>
      </c>
      <c r="B1789" s="1" t="s">
        <v>1743</v>
      </c>
      <c r="C1789" s="1">
        <v>3100000</v>
      </c>
      <c r="D1789" s="1" t="s">
        <v>85</v>
      </c>
      <c r="E1789">
        <v>522.5213</v>
      </c>
      <c r="F1789" s="1" t="s">
        <v>42</v>
      </c>
      <c r="G1789">
        <v>36</v>
      </c>
      <c r="H1789">
        <v>12</v>
      </c>
      <c r="I1789" s="1" t="s">
        <v>130</v>
      </c>
      <c r="J1789">
        <v>2</v>
      </c>
      <c r="K1789" t="str">
        <f>IF(Tb_data[[#This Row],[previous_workers]]&lt;Tb_data[[#This Row],[workers]],"yes","no")</f>
        <v>yes</v>
      </c>
      <c r="L1789">
        <f>Tb_data[[#This Row],[workers]]-Tb_data[[#This Row],[previous_workers]]</f>
        <v>24</v>
      </c>
      <c r="M1789" s="12">
        <f>Tb_data[[#This Row],[Employees Growth]]/Tb_data[[#This Row],[previous_workers]]</f>
        <v>2</v>
      </c>
    </row>
    <row r="1790" spans="1:13" x14ac:dyDescent="0.25">
      <c r="A1790" s="1" t="s">
        <v>2646</v>
      </c>
      <c r="B1790" s="1" t="s">
        <v>2647</v>
      </c>
      <c r="C1790" s="1">
        <v>20200000</v>
      </c>
      <c r="D1790" s="1" t="s">
        <v>33</v>
      </c>
      <c r="E1790">
        <v>326.8245</v>
      </c>
      <c r="F1790" s="1" t="s">
        <v>34</v>
      </c>
      <c r="G1790">
        <v>105</v>
      </c>
      <c r="H1790">
        <v>7</v>
      </c>
      <c r="I1790" s="1" t="s">
        <v>26</v>
      </c>
      <c r="J1790">
        <v>2</v>
      </c>
      <c r="K1790" t="str">
        <f>IF(Tb_data[[#This Row],[previous_workers]]&lt;Tb_data[[#This Row],[workers]],"yes","no")</f>
        <v>yes</v>
      </c>
      <c r="L1790">
        <f>Tb_data[[#This Row],[workers]]-Tb_data[[#This Row],[previous_workers]]</f>
        <v>98</v>
      </c>
      <c r="M1790" s="12">
        <f>Tb_data[[#This Row],[Employees Growth]]/Tb_data[[#This Row],[previous_workers]]</f>
        <v>14</v>
      </c>
    </row>
    <row r="1791" spans="1:13" x14ac:dyDescent="0.25">
      <c r="A1791" s="1" t="s">
        <v>5790</v>
      </c>
      <c r="B1791" s="1" t="s">
        <v>5791</v>
      </c>
      <c r="C1791" s="1">
        <v>92800000</v>
      </c>
      <c r="D1791" s="1" t="s">
        <v>179</v>
      </c>
      <c r="E1791">
        <v>131.60149999999999</v>
      </c>
      <c r="F1791" s="1" t="s">
        <v>142</v>
      </c>
      <c r="G1791">
        <v>650</v>
      </c>
      <c r="H1791">
        <v>491</v>
      </c>
      <c r="I1791" s="1" t="s">
        <v>3426</v>
      </c>
      <c r="J1791">
        <v>2</v>
      </c>
      <c r="K1791" t="str">
        <f>IF(Tb_data[[#This Row],[previous_workers]]&lt;Tb_data[[#This Row],[workers]],"yes","no")</f>
        <v>yes</v>
      </c>
      <c r="L1791">
        <f>Tb_data[[#This Row],[workers]]-Tb_data[[#This Row],[previous_workers]]</f>
        <v>159</v>
      </c>
      <c r="M1791" s="12">
        <f>Tb_data[[#This Row],[Employees Growth]]/Tb_data[[#This Row],[previous_workers]]</f>
        <v>0.32382892057026474</v>
      </c>
    </row>
    <row r="1792" spans="1:13" x14ac:dyDescent="0.25">
      <c r="A1792" s="1" t="s">
        <v>3898</v>
      </c>
      <c r="B1792" s="1" t="s">
        <v>3899</v>
      </c>
      <c r="C1792" s="1">
        <v>25000000</v>
      </c>
      <c r="D1792" s="1" t="s">
        <v>61</v>
      </c>
      <c r="E1792">
        <v>214.1379</v>
      </c>
      <c r="F1792" s="1" t="s">
        <v>34</v>
      </c>
      <c r="G1792">
        <v>38</v>
      </c>
      <c r="H1792">
        <v>23</v>
      </c>
      <c r="I1792" s="1" t="s">
        <v>147</v>
      </c>
      <c r="J1792">
        <v>4</v>
      </c>
      <c r="K1792" t="str">
        <f>IF(Tb_data[[#This Row],[previous_workers]]&lt;Tb_data[[#This Row],[workers]],"yes","no")</f>
        <v>yes</v>
      </c>
      <c r="L1792">
        <f>Tb_data[[#This Row],[workers]]-Tb_data[[#This Row],[previous_workers]]</f>
        <v>15</v>
      </c>
      <c r="M1792" s="12">
        <f>Tb_data[[#This Row],[Employees Growth]]/Tb_data[[#This Row],[previous_workers]]</f>
        <v>0.65217391304347827</v>
      </c>
    </row>
    <row r="1793" spans="1:13" x14ac:dyDescent="0.25">
      <c r="A1793" s="1" t="s">
        <v>8769</v>
      </c>
      <c r="B1793" s="1" t="s">
        <v>8770</v>
      </c>
      <c r="C1793" s="1">
        <v>2200000000</v>
      </c>
      <c r="D1793" s="1" t="s">
        <v>20</v>
      </c>
      <c r="E1793">
        <v>69.997299999999996</v>
      </c>
      <c r="F1793" s="1" t="s">
        <v>161</v>
      </c>
      <c r="G1793">
        <v>291</v>
      </c>
      <c r="H1793">
        <v>160</v>
      </c>
      <c r="I1793" s="1" t="s">
        <v>468</v>
      </c>
      <c r="J1793">
        <v>14</v>
      </c>
      <c r="K1793" t="str">
        <f>IF(Tb_data[[#This Row],[previous_workers]]&lt;Tb_data[[#This Row],[workers]],"yes","no")</f>
        <v>yes</v>
      </c>
      <c r="L1793">
        <f>Tb_data[[#This Row],[workers]]-Tb_data[[#This Row],[previous_workers]]</f>
        <v>131</v>
      </c>
      <c r="M1793" s="12">
        <f>Tb_data[[#This Row],[Employees Growth]]/Tb_data[[#This Row],[previous_workers]]</f>
        <v>0.81874999999999998</v>
      </c>
    </row>
    <row r="1794" spans="1:13" x14ac:dyDescent="0.25">
      <c r="A1794" s="1" t="s">
        <v>4701</v>
      </c>
      <c r="B1794" s="1" t="s">
        <v>4702</v>
      </c>
      <c r="C1794" s="1">
        <v>6300000</v>
      </c>
      <c r="D1794" s="1" t="s">
        <v>61</v>
      </c>
      <c r="E1794">
        <v>174.43770000000001</v>
      </c>
      <c r="F1794" s="1" t="s">
        <v>112</v>
      </c>
      <c r="G1794">
        <v>18</v>
      </c>
      <c r="H1794">
        <v>8</v>
      </c>
      <c r="I1794" s="1" t="s">
        <v>164</v>
      </c>
      <c r="J1794">
        <v>4</v>
      </c>
      <c r="K1794" t="str">
        <f>IF(Tb_data[[#This Row],[previous_workers]]&lt;Tb_data[[#This Row],[workers]],"yes","no")</f>
        <v>yes</v>
      </c>
      <c r="L1794">
        <f>Tb_data[[#This Row],[workers]]-Tb_data[[#This Row],[previous_workers]]</f>
        <v>10</v>
      </c>
      <c r="M1794" s="12">
        <f>Tb_data[[#This Row],[Employees Growth]]/Tb_data[[#This Row],[previous_workers]]</f>
        <v>1.25</v>
      </c>
    </row>
    <row r="1795" spans="1:13" x14ac:dyDescent="0.25">
      <c r="A1795" s="1" t="s">
        <v>7114</v>
      </c>
      <c r="B1795" s="1" t="s">
        <v>7115</v>
      </c>
      <c r="C1795" s="1">
        <v>3800000</v>
      </c>
      <c r="D1795" s="1" t="s">
        <v>179</v>
      </c>
      <c r="E1795">
        <v>99.901799999999994</v>
      </c>
      <c r="F1795" s="1" t="s">
        <v>172</v>
      </c>
      <c r="G1795">
        <v>32</v>
      </c>
      <c r="H1795">
        <v>25</v>
      </c>
      <c r="I1795" s="1" t="s">
        <v>117</v>
      </c>
      <c r="J1795">
        <v>3</v>
      </c>
      <c r="K1795" t="str">
        <f>IF(Tb_data[[#This Row],[previous_workers]]&lt;Tb_data[[#This Row],[workers]],"yes","no")</f>
        <v>yes</v>
      </c>
      <c r="L1795">
        <f>Tb_data[[#This Row],[workers]]-Tb_data[[#This Row],[previous_workers]]</f>
        <v>7</v>
      </c>
      <c r="M1795" s="12">
        <f>Tb_data[[#This Row],[Employees Growth]]/Tb_data[[#This Row],[previous_workers]]</f>
        <v>0.28000000000000003</v>
      </c>
    </row>
    <row r="1796" spans="1:13" x14ac:dyDescent="0.25">
      <c r="A1796" s="1" t="s">
        <v>908</v>
      </c>
      <c r="B1796" s="1" t="s">
        <v>909</v>
      </c>
      <c r="C1796" s="1">
        <v>21500000</v>
      </c>
      <c r="D1796" s="1" t="s">
        <v>254</v>
      </c>
      <c r="E1796">
        <v>1115.2385999999999</v>
      </c>
      <c r="F1796" s="1" t="s">
        <v>86</v>
      </c>
      <c r="G1796">
        <v>255</v>
      </c>
      <c r="H1796">
        <v>55</v>
      </c>
      <c r="I1796" s="1" t="s">
        <v>130</v>
      </c>
      <c r="J1796">
        <v>1</v>
      </c>
      <c r="K1796" t="str">
        <f>IF(Tb_data[[#This Row],[previous_workers]]&lt;Tb_data[[#This Row],[workers]],"yes","no")</f>
        <v>yes</v>
      </c>
      <c r="L1796">
        <f>Tb_data[[#This Row],[workers]]-Tb_data[[#This Row],[previous_workers]]</f>
        <v>200</v>
      </c>
      <c r="M1796" s="12">
        <f>Tb_data[[#This Row],[Employees Growth]]/Tb_data[[#This Row],[previous_workers]]</f>
        <v>3.6363636363636362</v>
      </c>
    </row>
    <row r="1797" spans="1:13" x14ac:dyDescent="0.25">
      <c r="A1797" s="1" t="s">
        <v>2426</v>
      </c>
      <c r="B1797" s="1" t="s">
        <v>2427</v>
      </c>
      <c r="C1797" s="1">
        <v>10200000</v>
      </c>
      <c r="D1797" s="1" t="s">
        <v>41</v>
      </c>
      <c r="E1797">
        <v>359.16629999999998</v>
      </c>
      <c r="F1797" s="1" t="s">
        <v>514</v>
      </c>
      <c r="G1797">
        <v>70</v>
      </c>
      <c r="H1797">
        <v>20</v>
      </c>
      <c r="I1797" s="1" t="s">
        <v>55</v>
      </c>
      <c r="J1797">
        <v>2</v>
      </c>
      <c r="K1797" t="str">
        <f>IF(Tb_data[[#This Row],[previous_workers]]&lt;Tb_data[[#This Row],[workers]],"yes","no")</f>
        <v>yes</v>
      </c>
      <c r="L1797">
        <f>Tb_data[[#This Row],[workers]]-Tb_data[[#This Row],[previous_workers]]</f>
        <v>50</v>
      </c>
      <c r="M1797" s="12">
        <f>Tb_data[[#This Row],[Employees Growth]]/Tb_data[[#This Row],[previous_workers]]</f>
        <v>2.5</v>
      </c>
    </row>
    <row r="1798" spans="1:13" x14ac:dyDescent="0.25">
      <c r="A1798" s="1" t="s">
        <v>7857</v>
      </c>
      <c r="B1798" s="1" t="s">
        <v>7858</v>
      </c>
      <c r="C1798" s="1">
        <v>17600000</v>
      </c>
      <c r="D1798" s="1" t="s">
        <v>254</v>
      </c>
      <c r="E1798">
        <v>85.315700000000007</v>
      </c>
      <c r="F1798" s="1" t="s">
        <v>169</v>
      </c>
      <c r="G1798">
        <v>55</v>
      </c>
      <c r="H1798">
        <v>39</v>
      </c>
      <c r="I1798" s="1" t="s">
        <v>46</v>
      </c>
      <c r="J1798">
        <v>7</v>
      </c>
      <c r="K1798" t="str">
        <f>IF(Tb_data[[#This Row],[previous_workers]]&lt;Tb_data[[#This Row],[workers]],"yes","no")</f>
        <v>yes</v>
      </c>
      <c r="L1798">
        <f>Tb_data[[#This Row],[workers]]-Tb_data[[#This Row],[previous_workers]]</f>
        <v>16</v>
      </c>
      <c r="M1798" s="12">
        <f>Tb_data[[#This Row],[Employees Growth]]/Tb_data[[#This Row],[previous_workers]]</f>
        <v>0.41025641025641024</v>
      </c>
    </row>
    <row r="1799" spans="1:13" x14ac:dyDescent="0.25">
      <c r="A1799" s="1" t="s">
        <v>2731</v>
      </c>
      <c r="B1799" s="1" t="s">
        <v>2732</v>
      </c>
      <c r="C1799" s="1">
        <v>13900000</v>
      </c>
      <c r="D1799" s="1" t="s">
        <v>20</v>
      </c>
      <c r="E1799">
        <v>315.41239999999999</v>
      </c>
      <c r="F1799" s="1" t="s">
        <v>97</v>
      </c>
      <c r="G1799">
        <v>84</v>
      </c>
      <c r="H1799">
        <v>28</v>
      </c>
      <c r="I1799" s="1" t="s">
        <v>35</v>
      </c>
      <c r="J1799">
        <v>2</v>
      </c>
      <c r="K1799" t="str">
        <f>IF(Tb_data[[#This Row],[previous_workers]]&lt;Tb_data[[#This Row],[workers]],"yes","no")</f>
        <v>yes</v>
      </c>
      <c r="L1799">
        <f>Tb_data[[#This Row],[workers]]-Tb_data[[#This Row],[previous_workers]]</f>
        <v>56</v>
      </c>
      <c r="M1799" s="12">
        <f>Tb_data[[#This Row],[Employees Growth]]/Tb_data[[#This Row],[previous_workers]]</f>
        <v>2</v>
      </c>
    </row>
    <row r="1800" spans="1:13" x14ac:dyDescent="0.25">
      <c r="A1800" s="1" t="s">
        <v>7721</v>
      </c>
      <c r="B1800" s="1" t="s">
        <v>7722</v>
      </c>
      <c r="C1800" s="1">
        <v>11800000</v>
      </c>
      <c r="D1800" s="1" t="s">
        <v>422</v>
      </c>
      <c r="E1800">
        <v>87.768000000000001</v>
      </c>
      <c r="F1800" s="1" t="s">
        <v>156</v>
      </c>
      <c r="G1800">
        <v>85</v>
      </c>
      <c r="H1800">
        <v>45</v>
      </c>
      <c r="I1800" s="1" t="s">
        <v>948</v>
      </c>
      <c r="J1800">
        <v>7</v>
      </c>
      <c r="K1800" t="str">
        <f>IF(Tb_data[[#This Row],[previous_workers]]&lt;Tb_data[[#This Row],[workers]],"yes","no")</f>
        <v>yes</v>
      </c>
      <c r="L1800">
        <f>Tb_data[[#This Row],[workers]]-Tb_data[[#This Row],[previous_workers]]</f>
        <v>40</v>
      </c>
      <c r="M1800" s="12">
        <f>Tb_data[[#This Row],[Employees Growth]]/Tb_data[[#This Row],[previous_workers]]</f>
        <v>0.88888888888888884</v>
      </c>
    </row>
    <row r="1801" spans="1:13" x14ac:dyDescent="0.25">
      <c r="A1801" s="1" t="s">
        <v>1007</v>
      </c>
      <c r="B1801" s="1" t="s">
        <v>1008</v>
      </c>
      <c r="C1801" s="1">
        <v>159700000</v>
      </c>
      <c r="D1801" s="1" t="s">
        <v>49</v>
      </c>
      <c r="E1801">
        <v>996.02279999999996</v>
      </c>
      <c r="F1801" s="1" t="s">
        <v>25</v>
      </c>
      <c r="G1801">
        <v>77</v>
      </c>
      <c r="H1801">
        <v>47</v>
      </c>
      <c r="I1801" s="1" t="s">
        <v>55</v>
      </c>
      <c r="J1801">
        <v>3</v>
      </c>
      <c r="K1801" t="str">
        <f>IF(Tb_data[[#This Row],[previous_workers]]&lt;Tb_data[[#This Row],[workers]],"yes","no")</f>
        <v>yes</v>
      </c>
      <c r="L1801">
        <f>Tb_data[[#This Row],[workers]]-Tb_data[[#This Row],[previous_workers]]</f>
        <v>30</v>
      </c>
      <c r="M1801" s="12">
        <f>Tb_data[[#This Row],[Employees Growth]]/Tb_data[[#This Row],[previous_workers]]</f>
        <v>0.63829787234042556</v>
      </c>
    </row>
    <row r="1802" spans="1:13" x14ac:dyDescent="0.25">
      <c r="A1802" s="1" t="s">
        <v>5858</v>
      </c>
      <c r="B1802" s="1" t="s">
        <v>5859</v>
      </c>
      <c r="C1802" s="1">
        <v>2900000</v>
      </c>
      <c r="D1802" s="1" t="s">
        <v>16</v>
      </c>
      <c r="E1802">
        <v>129.94540000000001</v>
      </c>
      <c r="F1802" s="1" t="s">
        <v>156</v>
      </c>
      <c r="G1802">
        <v>20</v>
      </c>
      <c r="H1802">
        <v>18</v>
      </c>
      <c r="I1802" s="1" t="s">
        <v>194</v>
      </c>
      <c r="J1802">
        <v>2</v>
      </c>
      <c r="K1802" t="str">
        <f>IF(Tb_data[[#This Row],[previous_workers]]&lt;Tb_data[[#This Row],[workers]],"yes","no")</f>
        <v>yes</v>
      </c>
      <c r="L1802">
        <f>Tb_data[[#This Row],[workers]]-Tb_data[[#This Row],[previous_workers]]</f>
        <v>2</v>
      </c>
      <c r="M1802" s="12">
        <f>Tb_data[[#This Row],[Employees Growth]]/Tb_data[[#This Row],[previous_workers]]</f>
        <v>0.1111111111111111</v>
      </c>
    </row>
    <row r="1803" spans="1:13" x14ac:dyDescent="0.25">
      <c r="A1803" s="1" t="s">
        <v>9752</v>
      </c>
      <c r="B1803" s="1" t="s">
        <v>9753</v>
      </c>
      <c r="C1803" s="1">
        <v>2500000</v>
      </c>
      <c r="D1803" s="1" t="s">
        <v>49</v>
      </c>
      <c r="E1803">
        <v>57.231999999999999</v>
      </c>
      <c r="F1803" s="1" t="s">
        <v>112</v>
      </c>
      <c r="G1803">
        <v>6</v>
      </c>
      <c r="H1803">
        <v>8</v>
      </c>
      <c r="I1803" s="1" t="s">
        <v>117</v>
      </c>
      <c r="J1803">
        <v>1</v>
      </c>
      <c r="K1803" t="str">
        <f>IF(Tb_data[[#This Row],[previous_workers]]&lt;Tb_data[[#This Row],[workers]],"yes","no")</f>
        <v>no</v>
      </c>
      <c r="L1803">
        <f>Tb_data[[#This Row],[workers]]-Tb_data[[#This Row],[previous_workers]]</f>
        <v>-2</v>
      </c>
      <c r="M1803" s="12">
        <f>Tb_data[[#This Row],[Employees Growth]]/Tb_data[[#This Row],[previous_workers]]</f>
        <v>-0.25</v>
      </c>
    </row>
    <row r="1804" spans="1:13" x14ac:dyDescent="0.25">
      <c r="A1804" s="1" t="s">
        <v>1600</v>
      </c>
      <c r="B1804" s="1" t="s">
        <v>1601</v>
      </c>
      <c r="C1804" s="1">
        <v>2200000</v>
      </c>
      <c r="D1804" s="1" t="s">
        <v>49</v>
      </c>
      <c r="E1804">
        <v>583.93460000000005</v>
      </c>
      <c r="F1804" s="1" t="s">
        <v>12</v>
      </c>
      <c r="G1804">
        <v>25</v>
      </c>
      <c r="H1804">
        <v>6</v>
      </c>
      <c r="I1804" s="1" t="s">
        <v>130</v>
      </c>
      <c r="J1804">
        <v>1</v>
      </c>
      <c r="K1804" t="str">
        <f>IF(Tb_data[[#This Row],[previous_workers]]&lt;Tb_data[[#This Row],[workers]],"yes","no")</f>
        <v>yes</v>
      </c>
      <c r="L1804">
        <f>Tb_data[[#This Row],[workers]]-Tb_data[[#This Row],[previous_workers]]</f>
        <v>19</v>
      </c>
      <c r="M1804" s="12">
        <f>Tb_data[[#This Row],[Employees Growth]]/Tb_data[[#This Row],[previous_workers]]</f>
        <v>3.1666666666666665</v>
      </c>
    </row>
    <row r="1805" spans="1:13" x14ac:dyDescent="0.25">
      <c r="A1805" s="1" t="s">
        <v>3260</v>
      </c>
      <c r="B1805" s="1" t="s">
        <v>3261</v>
      </c>
      <c r="C1805" s="1">
        <v>11600000</v>
      </c>
      <c r="D1805" s="1" t="s">
        <v>61</v>
      </c>
      <c r="E1805">
        <v>263.65449999999998</v>
      </c>
      <c r="F1805" s="1" t="s">
        <v>82</v>
      </c>
      <c r="G1805">
        <v>49</v>
      </c>
      <c r="H1805">
        <v>16</v>
      </c>
      <c r="I1805" s="1" t="s">
        <v>164</v>
      </c>
      <c r="J1805">
        <v>3</v>
      </c>
      <c r="K1805" t="str">
        <f>IF(Tb_data[[#This Row],[previous_workers]]&lt;Tb_data[[#This Row],[workers]],"yes","no")</f>
        <v>yes</v>
      </c>
      <c r="L1805">
        <f>Tb_data[[#This Row],[workers]]-Tb_data[[#This Row],[previous_workers]]</f>
        <v>33</v>
      </c>
      <c r="M1805" s="12">
        <f>Tb_data[[#This Row],[Employees Growth]]/Tb_data[[#This Row],[previous_workers]]</f>
        <v>2.0625</v>
      </c>
    </row>
    <row r="1806" spans="1:13" x14ac:dyDescent="0.25">
      <c r="A1806" s="1" t="s">
        <v>2873</v>
      </c>
      <c r="B1806" s="1" t="s">
        <v>2874</v>
      </c>
      <c r="C1806" s="1">
        <v>6100000</v>
      </c>
      <c r="D1806" s="1" t="s">
        <v>69</v>
      </c>
      <c r="E1806">
        <v>300.529</v>
      </c>
      <c r="F1806" s="1" t="s">
        <v>124</v>
      </c>
      <c r="G1806">
        <v>6</v>
      </c>
      <c r="H1806">
        <v>3</v>
      </c>
      <c r="I1806" s="1" t="s">
        <v>836</v>
      </c>
      <c r="J1806">
        <v>2</v>
      </c>
      <c r="K1806" t="str">
        <f>IF(Tb_data[[#This Row],[previous_workers]]&lt;Tb_data[[#This Row],[workers]],"yes","no")</f>
        <v>yes</v>
      </c>
      <c r="L1806">
        <f>Tb_data[[#This Row],[workers]]-Tb_data[[#This Row],[previous_workers]]</f>
        <v>3</v>
      </c>
      <c r="M1806" s="12">
        <f>Tb_data[[#This Row],[Employees Growth]]/Tb_data[[#This Row],[previous_workers]]</f>
        <v>1</v>
      </c>
    </row>
    <row r="1807" spans="1:13" x14ac:dyDescent="0.25">
      <c r="A1807" s="1" t="s">
        <v>8987</v>
      </c>
      <c r="B1807" s="1" t="s">
        <v>8988</v>
      </c>
      <c r="C1807" s="1">
        <v>5800000</v>
      </c>
      <c r="D1807" s="1" t="s">
        <v>49</v>
      </c>
      <c r="E1807">
        <v>66.833399999999997</v>
      </c>
      <c r="F1807" s="1" t="s">
        <v>172</v>
      </c>
      <c r="G1807">
        <v>46</v>
      </c>
      <c r="H1807">
        <v>25</v>
      </c>
      <c r="I1807" s="1" t="s">
        <v>46</v>
      </c>
      <c r="J1807">
        <v>2</v>
      </c>
      <c r="K1807" t="str">
        <f>IF(Tb_data[[#This Row],[previous_workers]]&lt;Tb_data[[#This Row],[workers]],"yes","no")</f>
        <v>yes</v>
      </c>
      <c r="L1807">
        <f>Tb_data[[#This Row],[workers]]-Tb_data[[#This Row],[previous_workers]]</f>
        <v>21</v>
      </c>
      <c r="M1807" s="12">
        <f>Tb_data[[#This Row],[Employees Growth]]/Tb_data[[#This Row],[previous_workers]]</f>
        <v>0.84</v>
      </c>
    </row>
    <row r="1808" spans="1:13" x14ac:dyDescent="0.25">
      <c r="A1808" s="1" t="s">
        <v>559</v>
      </c>
      <c r="B1808" s="1" t="s">
        <v>560</v>
      </c>
      <c r="C1808" s="1">
        <v>4300000</v>
      </c>
      <c r="D1808" s="1" t="s">
        <v>49</v>
      </c>
      <c r="E1808">
        <v>1786.4145000000001</v>
      </c>
      <c r="F1808" s="1" t="s">
        <v>34</v>
      </c>
      <c r="G1808">
        <v>19</v>
      </c>
      <c r="H1808">
        <v>10</v>
      </c>
      <c r="I1808" s="1" t="s">
        <v>26</v>
      </c>
      <c r="J1808">
        <v>1</v>
      </c>
      <c r="K1808" t="str">
        <f>IF(Tb_data[[#This Row],[previous_workers]]&lt;Tb_data[[#This Row],[workers]],"yes","no")</f>
        <v>yes</v>
      </c>
      <c r="L1808">
        <f>Tb_data[[#This Row],[workers]]-Tb_data[[#This Row],[previous_workers]]</f>
        <v>9</v>
      </c>
      <c r="M1808" s="12">
        <f>Tb_data[[#This Row],[Employees Growth]]/Tb_data[[#This Row],[previous_workers]]</f>
        <v>0.9</v>
      </c>
    </row>
    <row r="1809" spans="1:13" x14ac:dyDescent="0.25">
      <c r="A1809" s="1" t="s">
        <v>6557</v>
      </c>
      <c r="B1809" s="1" t="s">
        <v>6558</v>
      </c>
      <c r="C1809" s="1">
        <v>276700000</v>
      </c>
      <c r="D1809" s="1" t="s">
        <v>1021</v>
      </c>
      <c r="E1809">
        <v>112.4089</v>
      </c>
      <c r="F1809" s="1" t="s">
        <v>62</v>
      </c>
      <c r="G1809">
        <v>1200</v>
      </c>
      <c r="H1809">
        <v>650</v>
      </c>
      <c r="I1809" s="1" t="s">
        <v>226</v>
      </c>
      <c r="J1809">
        <v>9</v>
      </c>
      <c r="K1809" t="str">
        <f>IF(Tb_data[[#This Row],[previous_workers]]&lt;Tb_data[[#This Row],[workers]],"yes","no")</f>
        <v>yes</v>
      </c>
      <c r="L1809">
        <f>Tb_data[[#This Row],[workers]]-Tb_data[[#This Row],[previous_workers]]</f>
        <v>550</v>
      </c>
      <c r="M1809" s="12">
        <f>Tb_data[[#This Row],[Employees Growth]]/Tb_data[[#This Row],[previous_workers]]</f>
        <v>0.84615384615384615</v>
      </c>
    </row>
    <row r="1810" spans="1:13" x14ac:dyDescent="0.25">
      <c r="A1810" s="1" t="s">
        <v>3157</v>
      </c>
      <c r="B1810" s="1" t="s">
        <v>3158</v>
      </c>
      <c r="C1810" s="1">
        <v>3100000</v>
      </c>
      <c r="D1810" s="1" t="s">
        <v>254</v>
      </c>
      <c r="E1810">
        <v>272.75630000000001</v>
      </c>
      <c r="F1810" s="1" t="s">
        <v>100</v>
      </c>
      <c r="G1810">
        <v>5</v>
      </c>
      <c r="H1810">
        <v>2</v>
      </c>
      <c r="I1810" s="1" t="s">
        <v>55</v>
      </c>
      <c r="J1810">
        <v>2</v>
      </c>
      <c r="K1810" t="str">
        <f>IF(Tb_data[[#This Row],[previous_workers]]&lt;Tb_data[[#This Row],[workers]],"yes","no")</f>
        <v>yes</v>
      </c>
      <c r="L1810">
        <f>Tb_data[[#This Row],[workers]]-Tb_data[[#This Row],[previous_workers]]</f>
        <v>3</v>
      </c>
      <c r="M1810" s="12">
        <f>Tb_data[[#This Row],[Employees Growth]]/Tb_data[[#This Row],[previous_workers]]</f>
        <v>1.5</v>
      </c>
    </row>
    <row r="1811" spans="1:13" x14ac:dyDescent="0.25">
      <c r="A1811" s="1" t="s">
        <v>1547</v>
      </c>
      <c r="B1811" s="1" t="s">
        <v>1548</v>
      </c>
      <c r="C1811" s="1">
        <v>8600000</v>
      </c>
      <c r="D1811" s="1" t="s">
        <v>69</v>
      </c>
      <c r="E1811">
        <v>605.6463</v>
      </c>
      <c r="F1811" s="1" t="s">
        <v>86</v>
      </c>
      <c r="G1811">
        <v>115</v>
      </c>
      <c r="H1811">
        <v>20</v>
      </c>
      <c r="I1811" s="1" t="s">
        <v>55</v>
      </c>
      <c r="J1811">
        <v>2</v>
      </c>
      <c r="K1811" t="str">
        <f>IF(Tb_data[[#This Row],[previous_workers]]&lt;Tb_data[[#This Row],[workers]],"yes","no")</f>
        <v>yes</v>
      </c>
      <c r="L1811">
        <f>Tb_data[[#This Row],[workers]]-Tb_data[[#This Row],[previous_workers]]</f>
        <v>95</v>
      </c>
      <c r="M1811" s="12">
        <f>Tb_data[[#This Row],[Employees Growth]]/Tb_data[[#This Row],[previous_workers]]</f>
        <v>4.75</v>
      </c>
    </row>
    <row r="1812" spans="1:13" x14ac:dyDescent="0.25">
      <c r="A1812" s="1" t="s">
        <v>1533</v>
      </c>
      <c r="B1812" s="1" t="s">
        <v>1534</v>
      </c>
      <c r="C1812" s="1">
        <v>2200000</v>
      </c>
      <c r="D1812" s="1" t="s">
        <v>41</v>
      </c>
      <c r="E1812">
        <v>613.10760000000005</v>
      </c>
      <c r="F1812" s="1" t="s">
        <v>176</v>
      </c>
      <c r="G1812">
        <v>9</v>
      </c>
      <c r="H1812">
        <v>1</v>
      </c>
      <c r="I1812" s="1" t="s">
        <v>26</v>
      </c>
      <c r="J1812">
        <v>1</v>
      </c>
      <c r="K1812" t="str">
        <f>IF(Tb_data[[#This Row],[previous_workers]]&lt;Tb_data[[#This Row],[workers]],"yes","no")</f>
        <v>yes</v>
      </c>
      <c r="L1812">
        <f>Tb_data[[#This Row],[workers]]-Tb_data[[#This Row],[previous_workers]]</f>
        <v>8</v>
      </c>
      <c r="M1812" s="12">
        <f>Tb_data[[#This Row],[Employees Growth]]/Tb_data[[#This Row],[previous_workers]]</f>
        <v>8</v>
      </c>
    </row>
    <row r="1813" spans="1:13" x14ac:dyDescent="0.25">
      <c r="A1813" s="1" t="s">
        <v>4569</v>
      </c>
      <c r="B1813" s="1" t="s">
        <v>4570</v>
      </c>
      <c r="C1813" s="1">
        <v>2100000</v>
      </c>
      <c r="D1813" s="1" t="s">
        <v>49</v>
      </c>
      <c r="E1813">
        <v>179.73099999999999</v>
      </c>
      <c r="F1813" s="1" t="s">
        <v>176</v>
      </c>
      <c r="G1813">
        <v>15</v>
      </c>
      <c r="H1813">
        <v>4</v>
      </c>
      <c r="I1813" s="1" t="s">
        <v>13</v>
      </c>
      <c r="J1813">
        <v>1</v>
      </c>
      <c r="K1813" t="str">
        <f>IF(Tb_data[[#This Row],[previous_workers]]&lt;Tb_data[[#This Row],[workers]],"yes","no")</f>
        <v>yes</v>
      </c>
      <c r="L1813">
        <f>Tb_data[[#This Row],[workers]]-Tb_data[[#This Row],[previous_workers]]</f>
        <v>11</v>
      </c>
      <c r="M1813" s="12">
        <f>Tb_data[[#This Row],[Employees Growth]]/Tb_data[[#This Row],[previous_workers]]</f>
        <v>2.75</v>
      </c>
    </row>
    <row r="1814" spans="1:13" x14ac:dyDescent="0.25">
      <c r="A1814" s="1" t="s">
        <v>6399</v>
      </c>
      <c r="B1814" s="1" t="s">
        <v>6400</v>
      </c>
      <c r="C1814" s="1">
        <v>4500000</v>
      </c>
      <c r="D1814" s="1" t="s">
        <v>254</v>
      </c>
      <c r="E1814">
        <v>116.2381</v>
      </c>
      <c r="F1814" s="1" t="s">
        <v>100</v>
      </c>
      <c r="G1814">
        <v>21</v>
      </c>
      <c r="H1814">
        <v>7</v>
      </c>
      <c r="I1814" s="1" t="s">
        <v>948</v>
      </c>
      <c r="J1814">
        <v>1</v>
      </c>
      <c r="K1814" t="str">
        <f>IF(Tb_data[[#This Row],[previous_workers]]&lt;Tb_data[[#This Row],[workers]],"yes","no")</f>
        <v>yes</v>
      </c>
      <c r="L1814">
        <f>Tb_data[[#This Row],[workers]]-Tb_data[[#This Row],[previous_workers]]</f>
        <v>14</v>
      </c>
      <c r="M1814" s="12">
        <f>Tb_data[[#This Row],[Employees Growth]]/Tb_data[[#This Row],[previous_workers]]</f>
        <v>2</v>
      </c>
    </row>
    <row r="1815" spans="1:13" x14ac:dyDescent="0.25">
      <c r="A1815" s="1" t="s">
        <v>863</v>
      </c>
      <c r="B1815" s="1" t="s">
        <v>864</v>
      </c>
      <c r="C1815" s="1">
        <v>5100000</v>
      </c>
      <c r="D1815" s="1" t="s">
        <v>41</v>
      </c>
      <c r="E1815">
        <v>1191.9137000000001</v>
      </c>
      <c r="F1815" s="1" t="s">
        <v>156</v>
      </c>
      <c r="G1815">
        <v>47</v>
      </c>
      <c r="H1815">
        <v>6</v>
      </c>
      <c r="I1815" s="1" t="s">
        <v>26</v>
      </c>
      <c r="J1815">
        <v>1</v>
      </c>
      <c r="K1815" t="str">
        <f>IF(Tb_data[[#This Row],[previous_workers]]&lt;Tb_data[[#This Row],[workers]],"yes","no")</f>
        <v>yes</v>
      </c>
      <c r="L1815">
        <f>Tb_data[[#This Row],[workers]]-Tb_data[[#This Row],[previous_workers]]</f>
        <v>41</v>
      </c>
      <c r="M1815" s="12">
        <f>Tb_data[[#This Row],[Employees Growth]]/Tb_data[[#This Row],[previous_workers]]</f>
        <v>6.833333333333333</v>
      </c>
    </row>
    <row r="1816" spans="1:13" x14ac:dyDescent="0.25">
      <c r="A1816" s="1" t="s">
        <v>7429</v>
      </c>
      <c r="B1816" s="1" t="s">
        <v>7430</v>
      </c>
      <c r="C1816" s="1">
        <v>14100000</v>
      </c>
      <c r="D1816" s="1" t="s">
        <v>20</v>
      </c>
      <c r="E1816">
        <v>94.718900000000005</v>
      </c>
      <c r="F1816" s="1" t="s">
        <v>62</v>
      </c>
      <c r="G1816">
        <v>32</v>
      </c>
      <c r="H1816">
        <v>19</v>
      </c>
      <c r="I1816" s="1" t="s">
        <v>74</v>
      </c>
      <c r="J1816">
        <v>2</v>
      </c>
      <c r="K1816" t="str">
        <f>IF(Tb_data[[#This Row],[previous_workers]]&lt;Tb_data[[#This Row],[workers]],"yes","no")</f>
        <v>yes</v>
      </c>
      <c r="L1816">
        <f>Tb_data[[#This Row],[workers]]-Tb_data[[#This Row],[previous_workers]]</f>
        <v>13</v>
      </c>
      <c r="M1816" s="12">
        <f>Tb_data[[#This Row],[Employees Growth]]/Tb_data[[#This Row],[previous_workers]]</f>
        <v>0.68421052631578949</v>
      </c>
    </row>
    <row r="1817" spans="1:13" x14ac:dyDescent="0.25">
      <c r="A1817" s="1" t="s">
        <v>7495</v>
      </c>
      <c r="B1817" s="1" t="s">
        <v>7496</v>
      </c>
      <c r="C1817" s="1">
        <v>7300000</v>
      </c>
      <c r="D1817" s="1" t="s">
        <v>49</v>
      </c>
      <c r="E1817">
        <v>93.128</v>
      </c>
      <c r="F1817" s="1" t="s">
        <v>86</v>
      </c>
      <c r="G1817">
        <v>1000</v>
      </c>
      <c r="H1817">
        <v>300</v>
      </c>
      <c r="I1817" s="1" t="s">
        <v>194</v>
      </c>
      <c r="J1817">
        <v>4</v>
      </c>
      <c r="K1817" t="str">
        <f>IF(Tb_data[[#This Row],[previous_workers]]&lt;Tb_data[[#This Row],[workers]],"yes","no")</f>
        <v>yes</v>
      </c>
      <c r="L1817">
        <f>Tb_data[[#This Row],[workers]]-Tb_data[[#This Row],[previous_workers]]</f>
        <v>700</v>
      </c>
      <c r="M1817" s="12">
        <f>Tb_data[[#This Row],[Employees Growth]]/Tb_data[[#This Row],[previous_workers]]</f>
        <v>2.3333333333333335</v>
      </c>
    </row>
    <row r="1818" spans="1:13" x14ac:dyDescent="0.25">
      <c r="A1818" s="1" t="s">
        <v>5450</v>
      </c>
      <c r="B1818" s="1" t="s">
        <v>5451</v>
      </c>
      <c r="C1818" s="1">
        <v>73900000</v>
      </c>
      <c r="D1818" s="1" t="s">
        <v>49</v>
      </c>
      <c r="E1818">
        <v>144.67670000000001</v>
      </c>
      <c r="F1818" s="1" t="s">
        <v>34</v>
      </c>
      <c r="G1818">
        <v>6851</v>
      </c>
      <c r="H1818">
        <v>4000</v>
      </c>
      <c r="I1818" s="1" t="s">
        <v>295</v>
      </c>
      <c r="J1818">
        <v>11</v>
      </c>
      <c r="K1818" t="str">
        <f>IF(Tb_data[[#This Row],[previous_workers]]&lt;Tb_data[[#This Row],[workers]],"yes","no")</f>
        <v>yes</v>
      </c>
      <c r="L1818">
        <f>Tb_data[[#This Row],[workers]]-Tb_data[[#This Row],[previous_workers]]</f>
        <v>2851</v>
      </c>
      <c r="M1818" s="12">
        <f>Tb_data[[#This Row],[Employees Growth]]/Tb_data[[#This Row],[previous_workers]]</f>
        <v>0.71274999999999999</v>
      </c>
    </row>
    <row r="1819" spans="1:13" x14ac:dyDescent="0.25">
      <c r="A1819" s="1" t="s">
        <v>1420</v>
      </c>
      <c r="B1819" s="1" t="s">
        <v>1421</v>
      </c>
      <c r="C1819" s="1">
        <v>62000000</v>
      </c>
      <c r="D1819" s="1" t="s">
        <v>61</v>
      </c>
      <c r="E1819">
        <v>666.05139999999994</v>
      </c>
      <c r="F1819" s="1" t="s">
        <v>12</v>
      </c>
      <c r="G1819">
        <v>55</v>
      </c>
      <c r="H1819">
        <v>8</v>
      </c>
      <c r="I1819" s="1" t="s">
        <v>55</v>
      </c>
      <c r="J1819">
        <v>2</v>
      </c>
      <c r="K1819" t="str">
        <f>IF(Tb_data[[#This Row],[previous_workers]]&lt;Tb_data[[#This Row],[workers]],"yes","no")</f>
        <v>yes</v>
      </c>
      <c r="L1819">
        <f>Tb_data[[#This Row],[workers]]-Tb_data[[#This Row],[previous_workers]]</f>
        <v>47</v>
      </c>
      <c r="M1819" s="12">
        <f>Tb_data[[#This Row],[Employees Growth]]/Tb_data[[#This Row],[previous_workers]]</f>
        <v>5.875</v>
      </c>
    </row>
    <row r="1820" spans="1:13" x14ac:dyDescent="0.25">
      <c r="A1820" s="1" t="s">
        <v>4579</v>
      </c>
      <c r="B1820" s="1" t="s">
        <v>4580</v>
      </c>
      <c r="C1820" s="1">
        <v>10000000</v>
      </c>
      <c r="D1820" s="1" t="s">
        <v>175</v>
      </c>
      <c r="E1820">
        <v>179.33789999999999</v>
      </c>
      <c r="F1820" s="1" t="s">
        <v>112</v>
      </c>
      <c r="G1820">
        <v>42</v>
      </c>
      <c r="H1820">
        <v>18</v>
      </c>
      <c r="I1820" s="1" t="s">
        <v>74</v>
      </c>
      <c r="J1820">
        <v>1</v>
      </c>
      <c r="K1820" t="str">
        <f>IF(Tb_data[[#This Row],[previous_workers]]&lt;Tb_data[[#This Row],[workers]],"yes","no")</f>
        <v>yes</v>
      </c>
      <c r="L1820">
        <f>Tb_data[[#This Row],[workers]]-Tb_data[[#This Row],[previous_workers]]</f>
        <v>24</v>
      </c>
      <c r="M1820" s="12">
        <f>Tb_data[[#This Row],[Employees Growth]]/Tb_data[[#This Row],[previous_workers]]</f>
        <v>1.3333333333333333</v>
      </c>
    </row>
    <row r="1821" spans="1:13" x14ac:dyDescent="0.25">
      <c r="A1821" s="1" t="s">
        <v>10084</v>
      </c>
      <c r="B1821" s="1" t="s">
        <v>10085</v>
      </c>
      <c r="C1821" s="1">
        <v>93000000</v>
      </c>
      <c r="D1821" s="1" t="s">
        <v>33</v>
      </c>
      <c r="E1821">
        <v>52.43</v>
      </c>
      <c r="F1821" s="1" t="s">
        <v>42</v>
      </c>
      <c r="G1821">
        <v>35</v>
      </c>
      <c r="H1821">
        <v>20</v>
      </c>
      <c r="I1821" s="1" t="s">
        <v>226</v>
      </c>
      <c r="J1821">
        <v>1</v>
      </c>
      <c r="K1821" t="str">
        <f>IF(Tb_data[[#This Row],[previous_workers]]&lt;Tb_data[[#This Row],[workers]],"yes","no")</f>
        <v>yes</v>
      </c>
      <c r="L1821">
        <f>Tb_data[[#This Row],[workers]]-Tb_data[[#This Row],[previous_workers]]</f>
        <v>15</v>
      </c>
      <c r="M1821" s="12">
        <f>Tb_data[[#This Row],[Employees Growth]]/Tb_data[[#This Row],[previous_workers]]</f>
        <v>0.75</v>
      </c>
    </row>
    <row r="1822" spans="1:13" x14ac:dyDescent="0.25">
      <c r="A1822" s="1" t="s">
        <v>8437</v>
      </c>
      <c r="B1822" s="1" t="s">
        <v>8438</v>
      </c>
      <c r="C1822" s="1">
        <v>8400000</v>
      </c>
      <c r="D1822" s="1" t="s">
        <v>20</v>
      </c>
      <c r="E1822">
        <v>75.075299999999999</v>
      </c>
      <c r="F1822" s="1" t="s">
        <v>97</v>
      </c>
      <c r="G1822">
        <v>200</v>
      </c>
      <c r="H1822">
        <v>110</v>
      </c>
      <c r="I1822" s="1" t="s">
        <v>74</v>
      </c>
      <c r="J1822">
        <v>1</v>
      </c>
      <c r="K1822" t="str">
        <f>IF(Tb_data[[#This Row],[previous_workers]]&lt;Tb_data[[#This Row],[workers]],"yes","no")</f>
        <v>yes</v>
      </c>
      <c r="L1822">
        <f>Tb_data[[#This Row],[workers]]-Tb_data[[#This Row],[previous_workers]]</f>
        <v>90</v>
      </c>
      <c r="M1822" s="12">
        <f>Tb_data[[#This Row],[Employees Growth]]/Tb_data[[#This Row],[previous_workers]]</f>
        <v>0.81818181818181823</v>
      </c>
    </row>
    <row r="1823" spans="1:13" x14ac:dyDescent="0.25">
      <c r="A1823" s="1" t="s">
        <v>9884</v>
      </c>
      <c r="B1823" s="1" t="s">
        <v>9885</v>
      </c>
      <c r="C1823" s="1">
        <v>10200000</v>
      </c>
      <c r="D1823" s="1" t="s">
        <v>29</v>
      </c>
      <c r="E1823">
        <v>55.493099999999998</v>
      </c>
      <c r="F1823" s="1" t="s">
        <v>12</v>
      </c>
      <c r="G1823">
        <v>52</v>
      </c>
      <c r="H1823">
        <v>30</v>
      </c>
      <c r="I1823" s="1" t="s">
        <v>194</v>
      </c>
      <c r="J1823">
        <v>4</v>
      </c>
      <c r="K1823" t="str">
        <f>IF(Tb_data[[#This Row],[previous_workers]]&lt;Tb_data[[#This Row],[workers]],"yes","no")</f>
        <v>yes</v>
      </c>
      <c r="L1823">
        <f>Tb_data[[#This Row],[workers]]-Tb_data[[#This Row],[previous_workers]]</f>
        <v>22</v>
      </c>
      <c r="M1823" s="12">
        <f>Tb_data[[#This Row],[Employees Growth]]/Tb_data[[#This Row],[previous_workers]]</f>
        <v>0.73333333333333328</v>
      </c>
    </row>
    <row r="1824" spans="1:13" x14ac:dyDescent="0.25">
      <c r="A1824" s="1" t="s">
        <v>7667</v>
      </c>
      <c r="B1824" s="1" t="s">
        <v>7668</v>
      </c>
      <c r="C1824" s="1">
        <v>12800000</v>
      </c>
      <c r="D1824" s="1" t="s">
        <v>664</v>
      </c>
      <c r="E1824">
        <v>88.583500000000001</v>
      </c>
      <c r="F1824" s="1" t="s">
        <v>156</v>
      </c>
      <c r="G1824">
        <v>70</v>
      </c>
      <c r="H1824">
        <v>30</v>
      </c>
      <c r="I1824" s="1" t="s">
        <v>1051</v>
      </c>
      <c r="J1824">
        <v>6</v>
      </c>
      <c r="K1824" t="str">
        <f>IF(Tb_data[[#This Row],[previous_workers]]&lt;Tb_data[[#This Row],[workers]],"yes","no")</f>
        <v>yes</v>
      </c>
      <c r="L1824">
        <f>Tb_data[[#This Row],[workers]]-Tb_data[[#This Row],[previous_workers]]</f>
        <v>40</v>
      </c>
      <c r="M1824" s="12">
        <f>Tb_data[[#This Row],[Employees Growth]]/Tb_data[[#This Row],[previous_workers]]</f>
        <v>1.3333333333333333</v>
      </c>
    </row>
    <row r="1825" spans="1:13" x14ac:dyDescent="0.25">
      <c r="A1825" s="1" t="s">
        <v>7417</v>
      </c>
      <c r="B1825" s="1" t="s">
        <v>7418</v>
      </c>
      <c r="C1825" s="1">
        <v>6300000</v>
      </c>
      <c r="D1825" s="1" t="s">
        <v>69</v>
      </c>
      <c r="E1825">
        <v>95.021100000000004</v>
      </c>
      <c r="F1825" s="1" t="s">
        <v>176</v>
      </c>
      <c r="G1825">
        <v>7</v>
      </c>
      <c r="H1825">
        <v>4</v>
      </c>
      <c r="I1825" s="1" t="s">
        <v>117</v>
      </c>
      <c r="J1825">
        <v>4</v>
      </c>
      <c r="K1825" t="str">
        <f>IF(Tb_data[[#This Row],[previous_workers]]&lt;Tb_data[[#This Row],[workers]],"yes","no")</f>
        <v>yes</v>
      </c>
      <c r="L1825">
        <f>Tb_data[[#This Row],[workers]]-Tb_data[[#This Row],[previous_workers]]</f>
        <v>3</v>
      </c>
      <c r="M1825" s="12">
        <f>Tb_data[[#This Row],[Employees Growth]]/Tb_data[[#This Row],[previous_workers]]</f>
        <v>0.75</v>
      </c>
    </row>
    <row r="1826" spans="1:13" x14ac:dyDescent="0.25">
      <c r="A1826" s="1" t="s">
        <v>6499</v>
      </c>
      <c r="B1826" s="1" t="s">
        <v>6500</v>
      </c>
      <c r="C1826" s="1">
        <v>2100000</v>
      </c>
      <c r="D1826" s="1" t="s">
        <v>61</v>
      </c>
      <c r="E1826">
        <v>113.9</v>
      </c>
      <c r="F1826" s="1" t="s">
        <v>116</v>
      </c>
      <c r="G1826">
        <v>12</v>
      </c>
      <c r="H1826">
        <v>3</v>
      </c>
      <c r="I1826" s="1" t="s">
        <v>26</v>
      </c>
      <c r="J1826">
        <v>1</v>
      </c>
      <c r="K1826" t="str">
        <f>IF(Tb_data[[#This Row],[previous_workers]]&lt;Tb_data[[#This Row],[workers]],"yes","no")</f>
        <v>yes</v>
      </c>
      <c r="L1826">
        <f>Tb_data[[#This Row],[workers]]-Tb_data[[#This Row],[previous_workers]]</f>
        <v>9</v>
      </c>
      <c r="M1826" s="12">
        <f>Tb_data[[#This Row],[Employees Growth]]/Tb_data[[#This Row],[previous_workers]]</f>
        <v>3</v>
      </c>
    </row>
    <row r="1827" spans="1:13" x14ac:dyDescent="0.25">
      <c r="A1827" s="1" t="s">
        <v>3135</v>
      </c>
      <c r="B1827" s="1" t="s">
        <v>3136</v>
      </c>
      <c r="C1827" s="1">
        <v>16700000</v>
      </c>
      <c r="D1827" s="1" t="s">
        <v>33</v>
      </c>
      <c r="E1827">
        <v>274.47809999999998</v>
      </c>
      <c r="F1827" s="1" t="s">
        <v>25</v>
      </c>
      <c r="G1827">
        <v>54</v>
      </c>
      <c r="H1827">
        <v>22</v>
      </c>
      <c r="I1827" s="1" t="s">
        <v>295</v>
      </c>
      <c r="J1827">
        <v>1</v>
      </c>
      <c r="K1827" t="str">
        <f>IF(Tb_data[[#This Row],[previous_workers]]&lt;Tb_data[[#This Row],[workers]],"yes","no")</f>
        <v>yes</v>
      </c>
      <c r="L1827">
        <f>Tb_data[[#This Row],[workers]]-Tb_data[[#This Row],[previous_workers]]</f>
        <v>32</v>
      </c>
      <c r="M1827" s="12">
        <f>Tb_data[[#This Row],[Employees Growth]]/Tb_data[[#This Row],[previous_workers]]</f>
        <v>1.4545454545454546</v>
      </c>
    </row>
    <row r="1828" spans="1:13" x14ac:dyDescent="0.25">
      <c r="A1828" s="1" t="s">
        <v>2526</v>
      </c>
      <c r="B1828" s="1" t="s">
        <v>2527</v>
      </c>
      <c r="C1828" s="1">
        <v>4200000</v>
      </c>
      <c r="D1828" s="1" t="s">
        <v>427</v>
      </c>
      <c r="E1828">
        <v>339.95729999999998</v>
      </c>
      <c r="F1828" s="1" t="s">
        <v>97</v>
      </c>
      <c r="G1828">
        <v>42</v>
      </c>
      <c r="H1828">
        <v>11</v>
      </c>
      <c r="I1828" s="1" t="s">
        <v>295</v>
      </c>
      <c r="J1828">
        <v>2</v>
      </c>
      <c r="K1828" t="str">
        <f>IF(Tb_data[[#This Row],[previous_workers]]&lt;Tb_data[[#This Row],[workers]],"yes","no")</f>
        <v>yes</v>
      </c>
      <c r="L1828">
        <f>Tb_data[[#This Row],[workers]]-Tb_data[[#This Row],[previous_workers]]</f>
        <v>31</v>
      </c>
      <c r="M1828" s="12">
        <f>Tb_data[[#This Row],[Employees Growth]]/Tb_data[[#This Row],[previous_workers]]</f>
        <v>2.8181818181818183</v>
      </c>
    </row>
    <row r="1829" spans="1:13" x14ac:dyDescent="0.25">
      <c r="A1829" s="1" t="s">
        <v>2018</v>
      </c>
      <c r="B1829" s="1" t="s">
        <v>2019</v>
      </c>
      <c r="C1829" s="1">
        <v>5200000</v>
      </c>
      <c r="D1829" s="1" t="s">
        <v>427</v>
      </c>
      <c r="E1829">
        <v>444.32330000000002</v>
      </c>
      <c r="F1829" s="1" t="s">
        <v>112</v>
      </c>
      <c r="G1829">
        <v>10</v>
      </c>
      <c r="H1829">
        <v>2</v>
      </c>
      <c r="I1829" s="1" t="s">
        <v>130</v>
      </c>
      <c r="J1829">
        <v>2</v>
      </c>
      <c r="K1829" t="str">
        <f>IF(Tb_data[[#This Row],[previous_workers]]&lt;Tb_data[[#This Row],[workers]],"yes","no")</f>
        <v>yes</v>
      </c>
      <c r="L1829">
        <f>Tb_data[[#This Row],[workers]]-Tb_data[[#This Row],[previous_workers]]</f>
        <v>8</v>
      </c>
      <c r="M1829" s="12">
        <f>Tb_data[[#This Row],[Employees Growth]]/Tb_data[[#This Row],[previous_workers]]</f>
        <v>4</v>
      </c>
    </row>
    <row r="1830" spans="1:13" x14ac:dyDescent="0.25">
      <c r="A1830" s="1" t="s">
        <v>3145</v>
      </c>
      <c r="B1830" s="1" t="s">
        <v>3146</v>
      </c>
      <c r="C1830" s="1">
        <v>8400000</v>
      </c>
      <c r="D1830" s="1" t="s">
        <v>115</v>
      </c>
      <c r="E1830">
        <v>273.34359999999998</v>
      </c>
      <c r="F1830" s="1" t="s">
        <v>97</v>
      </c>
      <c r="G1830">
        <v>72</v>
      </c>
      <c r="H1830">
        <v>22</v>
      </c>
      <c r="I1830" s="1" t="s">
        <v>55</v>
      </c>
      <c r="J1830">
        <v>1</v>
      </c>
      <c r="K1830" t="str">
        <f>IF(Tb_data[[#This Row],[previous_workers]]&lt;Tb_data[[#This Row],[workers]],"yes","no")</f>
        <v>yes</v>
      </c>
      <c r="L1830">
        <f>Tb_data[[#This Row],[workers]]-Tb_data[[#This Row],[previous_workers]]</f>
        <v>50</v>
      </c>
      <c r="M1830" s="12">
        <f>Tb_data[[#This Row],[Employees Growth]]/Tb_data[[#This Row],[previous_workers]]</f>
        <v>2.2727272727272729</v>
      </c>
    </row>
    <row r="1831" spans="1:13" x14ac:dyDescent="0.25">
      <c r="A1831" s="1" t="s">
        <v>6745</v>
      </c>
      <c r="B1831" s="1" t="s">
        <v>6746</v>
      </c>
      <c r="C1831" s="1">
        <v>58400000</v>
      </c>
      <c r="D1831" s="1" t="s">
        <v>664</v>
      </c>
      <c r="E1831">
        <v>107.76139999999999</v>
      </c>
      <c r="F1831" s="1" t="s">
        <v>97</v>
      </c>
      <c r="G1831">
        <v>281</v>
      </c>
      <c r="H1831">
        <v>211</v>
      </c>
      <c r="I1831" s="1" t="s">
        <v>1949</v>
      </c>
      <c r="J1831">
        <v>5</v>
      </c>
      <c r="K1831" t="str">
        <f>IF(Tb_data[[#This Row],[previous_workers]]&lt;Tb_data[[#This Row],[workers]],"yes","no")</f>
        <v>yes</v>
      </c>
      <c r="L1831">
        <f>Tb_data[[#This Row],[workers]]-Tb_data[[#This Row],[previous_workers]]</f>
        <v>70</v>
      </c>
      <c r="M1831" s="12">
        <f>Tb_data[[#This Row],[Employees Growth]]/Tb_data[[#This Row],[previous_workers]]</f>
        <v>0.33175355450236965</v>
      </c>
    </row>
    <row r="1832" spans="1:13" x14ac:dyDescent="0.25">
      <c r="A1832" s="1" t="s">
        <v>3347</v>
      </c>
      <c r="B1832" s="1" t="s">
        <v>3348</v>
      </c>
      <c r="C1832" s="1">
        <v>14800000</v>
      </c>
      <c r="D1832" s="1" t="s">
        <v>49</v>
      </c>
      <c r="E1832">
        <v>255.74639999999999</v>
      </c>
      <c r="F1832" s="1" t="s">
        <v>42</v>
      </c>
      <c r="G1832">
        <v>50</v>
      </c>
      <c r="H1832">
        <v>35</v>
      </c>
      <c r="I1832" s="1" t="s">
        <v>164</v>
      </c>
      <c r="J1832">
        <v>3</v>
      </c>
      <c r="K1832" t="str">
        <f>IF(Tb_data[[#This Row],[previous_workers]]&lt;Tb_data[[#This Row],[workers]],"yes","no")</f>
        <v>yes</v>
      </c>
      <c r="L1832">
        <f>Tb_data[[#This Row],[workers]]-Tb_data[[#This Row],[previous_workers]]</f>
        <v>15</v>
      </c>
      <c r="M1832" s="12">
        <f>Tb_data[[#This Row],[Employees Growth]]/Tb_data[[#This Row],[previous_workers]]</f>
        <v>0.42857142857142855</v>
      </c>
    </row>
    <row r="1833" spans="1:13" x14ac:dyDescent="0.25">
      <c r="A1833" s="1" t="s">
        <v>5094</v>
      </c>
      <c r="B1833" s="1" t="s">
        <v>5095</v>
      </c>
      <c r="C1833" s="1">
        <v>5700000</v>
      </c>
      <c r="D1833" s="1" t="s">
        <v>483</v>
      </c>
      <c r="E1833">
        <v>157.42429999999999</v>
      </c>
      <c r="F1833" s="1" t="s">
        <v>34</v>
      </c>
      <c r="G1833">
        <v>365</v>
      </c>
      <c r="H1833">
        <v>125</v>
      </c>
      <c r="I1833" s="1" t="s">
        <v>130</v>
      </c>
      <c r="J1833">
        <v>1</v>
      </c>
      <c r="K1833" t="str">
        <f>IF(Tb_data[[#This Row],[previous_workers]]&lt;Tb_data[[#This Row],[workers]],"yes","no")</f>
        <v>yes</v>
      </c>
      <c r="L1833">
        <f>Tb_data[[#This Row],[workers]]-Tb_data[[#This Row],[previous_workers]]</f>
        <v>240</v>
      </c>
      <c r="M1833" s="12">
        <f>Tb_data[[#This Row],[Employees Growth]]/Tb_data[[#This Row],[previous_workers]]</f>
        <v>1.92</v>
      </c>
    </row>
    <row r="1834" spans="1:13" x14ac:dyDescent="0.25">
      <c r="A1834" s="1" t="s">
        <v>3852</v>
      </c>
      <c r="B1834" s="1" t="s">
        <v>3853</v>
      </c>
      <c r="C1834" s="1">
        <v>10100000</v>
      </c>
      <c r="D1834" s="1" t="s">
        <v>49</v>
      </c>
      <c r="E1834">
        <v>217.0514</v>
      </c>
      <c r="F1834" s="1" t="s">
        <v>176</v>
      </c>
      <c r="G1834">
        <v>50</v>
      </c>
      <c r="H1834">
        <v>20</v>
      </c>
      <c r="I1834" s="1" t="s">
        <v>194</v>
      </c>
      <c r="J1834">
        <v>3</v>
      </c>
      <c r="K1834" t="str">
        <f>IF(Tb_data[[#This Row],[previous_workers]]&lt;Tb_data[[#This Row],[workers]],"yes","no")</f>
        <v>yes</v>
      </c>
      <c r="L1834">
        <f>Tb_data[[#This Row],[workers]]-Tb_data[[#This Row],[previous_workers]]</f>
        <v>30</v>
      </c>
      <c r="M1834" s="12">
        <f>Tb_data[[#This Row],[Employees Growth]]/Tb_data[[#This Row],[previous_workers]]</f>
        <v>1.5</v>
      </c>
    </row>
    <row r="1835" spans="1:13" x14ac:dyDescent="0.25">
      <c r="A1835" s="1" t="s">
        <v>8113</v>
      </c>
      <c r="B1835" s="1" t="s">
        <v>8114</v>
      </c>
      <c r="C1835" s="1">
        <v>67000000</v>
      </c>
      <c r="D1835" s="1" t="s">
        <v>155</v>
      </c>
      <c r="E1835">
        <v>81.000600000000006</v>
      </c>
      <c r="F1835" s="1" t="s">
        <v>42</v>
      </c>
      <c r="G1835">
        <v>40</v>
      </c>
      <c r="H1835">
        <v>20</v>
      </c>
      <c r="I1835" s="1" t="s">
        <v>1051</v>
      </c>
      <c r="J1835">
        <v>9</v>
      </c>
      <c r="K1835" t="str">
        <f>IF(Tb_data[[#This Row],[previous_workers]]&lt;Tb_data[[#This Row],[workers]],"yes","no")</f>
        <v>yes</v>
      </c>
      <c r="L1835">
        <f>Tb_data[[#This Row],[workers]]-Tb_data[[#This Row],[previous_workers]]</f>
        <v>20</v>
      </c>
      <c r="M1835" s="12">
        <f>Tb_data[[#This Row],[Employees Growth]]/Tb_data[[#This Row],[previous_workers]]</f>
        <v>1</v>
      </c>
    </row>
    <row r="1836" spans="1:13" x14ac:dyDescent="0.25">
      <c r="A1836" s="1" t="s">
        <v>252</v>
      </c>
      <c r="B1836" s="1" t="s">
        <v>253</v>
      </c>
      <c r="C1836" s="1">
        <v>14400000</v>
      </c>
      <c r="D1836" s="1" t="s">
        <v>254</v>
      </c>
      <c r="E1836">
        <v>3531.5913</v>
      </c>
      <c r="F1836" s="1" t="s">
        <v>161</v>
      </c>
      <c r="G1836">
        <v>49</v>
      </c>
      <c r="H1836">
        <v>4</v>
      </c>
      <c r="I1836" s="1" t="s">
        <v>55</v>
      </c>
      <c r="J1836">
        <v>2</v>
      </c>
      <c r="K1836" t="str">
        <f>IF(Tb_data[[#This Row],[previous_workers]]&lt;Tb_data[[#This Row],[workers]],"yes","no")</f>
        <v>yes</v>
      </c>
      <c r="L1836">
        <f>Tb_data[[#This Row],[workers]]-Tb_data[[#This Row],[previous_workers]]</f>
        <v>45</v>
      </c>
      <c r="M1836" s="12">
        <f>Tb_data[[#This Row],[Employees Growth]]/Tb_data[[#This Row],[previous_workers]]</f>
        <v>11.25</v>
      </c>
    </row>
    <row r="1837" spans="1:13" x14ac:dyDescent="0.25">
      <c r="A1837" s="1" t="s">
        <v>3609</v>
      </c>
      <c r="B1837" s="1" t="s">
        <v>3610</v>
      </c>
      <c r="C1837" s="1">
        <v>14400000</v>
      </c>
      <c r="D1837" s="1" t="s">
        <v>422</v>
      </c>
      <c r="E1837">
        <v>232.95650000000001</v>
      </c>
      <c r="F1837" s="1" t="s">
        <v>25</v>
      </c>
      <c r="G1837">
        <v>26</v>
      </c>
      <c r="H1837">
        <v>24</v>
      </c>
      <c r="I1837" s="1" t="s">
        <v>194</v>
      </c>
      <c r="J1837">
        <v>5</v>
      </c>
      <c r="K1837" t="str">
        <f>IF(Tb_data[[#This Row],[previous_workers]]&lt;Tb_data[[#This Row],[workers]],"yes","no")</f>
        <v>yes</v>
      </c>
      <c r="L1837">
        <f>Tb_data[[#This Row],[workers]]-Tb_data[[#This Row],[previous_workers]]</f>
        <v>2</v>
      </c>
      <c r="M1837" s="12">
        <f>Tb_data[[#This Row],[Employees Growth]]/Tb_data[[#This Row],[previous_workers]]</f>
        <v>8.3333333333333329E-2</v>
      </c>
    </row>
    <row r="1838" spans="1:13" x14ac:dyDescent="0.25">
      <c r="A1838" s="1" t="s">
        <v>7937</v>
      </c>
      <c r="B1838" s="1" t="s">
        <v>7938</v>
      </c>
      <c r="C1838" s="1">
        <v>4200000</v>
      </c>
      <c r="D1838" s="1" t="s">
        <v>49</v>
      </c>
      <c r="E1838">
        <v>84.174000000000007</v>
      </c>
      <c r="F1838" s="1" t="s">
        <v>12</v>
      </c>
      <c r="G1838">
        <v>23</v>
      </c>
      <c r="H1838">
        <v>17</v>
      </c>
      <c r="I1838" s="1" t="s">
        <v>117</v>
      </c>
      <c r="J1838">
        <v>2</v>
      </c>
      <c r="K1838" t="str">
        <f>IF(Tb_data[[#This Row],[previous_workers]]&lt;Tb_data[[#This Row],[workers]],"yes","no")</f>
        <v>yes</v>
      </c>
      <c r="L1838">
        <f>Tb_data[[#This Row],[workers]]-Tb_data[[#This Row],[previous_workers]]</f>
        <v>6</v>
      </c>
      <c r="M1838" s="12">
        <f>Tb_data[[#This Row],[Employees Growth]]/Tb_data[[#This Row],[previous_workers]]</f>
        <v>0.35294117647058826</v>
      </c>
    </row>
    <row r="1839" spans="1:13" x14ac:dyDescent="0.25">
      <c r="A1839" s="1" t="s">
        <v>7791</v>
      </c>
      <c r="B1839" s="1" t="s">
        <v>7792</v>
      </c>
      <c r="C1839" s="1">
        <v>2600000</v>
      </c>
      <c r="D1839" s="1" t="s">
        <v>236</v>
      </c>
      <c r="E1839">
        <v>86.436199999999999</v>
      </c>
      <c r="F1839" s="1" t="s">
        <v>156</v>
      </c>
      <c r="G1839">
        <v>21</v>
      </c>
      <c r="H1839">
        <v>9</v>
      </c>
      <c r="I1839" s="1" t="s">
        <v>948</v>
      </c>
      <c r="J1839">
        <v>1</v>
      </c>
      <c r="K1839" t="str">
        <f>IF(Tb_data[[#This Row],[previous_workers]]&lt;Tb_data[[#This Row],[workers]],"yes","no")</f>
        <v>yes</v>
      </c>
      <c r="L1839">
        <f>Tb_data[[#This Row],[workers]]-Tb_data[[#This Row],[previous_workers]]</f>
        <v>12</v>
      </c>
      <c r="M1839" s="12">
        <f>Tb_data[[#This Row],[Employees Growth]]/Tb_data[[#This Row],[previous_workers]]</f>
        <v>1.3333333333333333</v>
      </c>
    </row>
    <row r="1840" spans="1:13" x14ac:dyDescent="0.25">
      <c r="A1840" s="1" t="s">
        <v>6551</v>
      </c>
      <c r="B1840" s="1" t="s">
        <v>6552</v>
      </c>
      <c r="C1840" s="1">
        <v>209600000</v>
      </c>
      <c r="D1840" s="1" t="s">
        <v>85</v>
      </c>
      <c r="E1840">
        <v>112.5247</v>
      </c>
      <c r="F1840" s="1" t="s">
        <v>17</v>
      </c>
      <c r="G1840">
        <v>90</v>
      </c>
      <c r="H1840">
        <v>50</v>
      </c>
      <c r="I1840" s="1" t="s">
        <v>226</v>
      </c>
      <c r="J1840">
        <v>4</v>
      </c>
      <c r="K1840" t="str">
        <f>IF(Tb_data[[#This Row],[previous_workers]]&lt;Tb_data[[#This Row],[workers]],"yes","no")</f>
        <v>yes</v>
      </c>
      <c r="L1840">
        <f>Tb_data[[#This Row],[workers]]-Tb_data[[#This Row],[previous_workers]]</f>
        <v>40</v>
      </c>
      <c r="M1840" s="12">
        <f>Tb_data[[#This Row],[Employees Growth]]/Tb_data[[#This Row],[previous_workers]]</f>
        <v>0.8</v>
      </c>
    </row>
    <row r="1841" spans="1:13" x14ac:dyDescent="0.25">
      <c r="A1841" s="1" t="s">
        <v>1845</v>
      </c>
      <c r="B1841" s="1" t="s">
        <v>1846</v>
      </c>
      <c r="C1841" s="1">
        <v>32600000</v>
      </c>
      <c r="D1841" s="1" t="s">
        <v>49</v>
      </c>
      <c r="E1841">
        <v>489.08</v>
      </c>
      <c r="F1841" s="1" t="s">
        <v>12</v>
      </c>
      <c r="G1841">
        <v>72</v>
      </c>
      <c r="H1841">
        <v>36</v>
      </c>
      <c r="I1841" s="1" t="s">
        <v>130</v>
      </c>
      <c r="J1841">
        <v>3</v>
      </c>
      <c r="K1841" t="str">
        <f>IF(Tb_data[[#This Row],[previous_workers]]&lt;Tb_data[[#This Row],[workers]],"yes","no")</f>
        <v>yes</v>
      </c>
      <c r="L1841">
        <f>Tb_data[[#This Row],[workers]]-Tb_data[[#This Row],[previous_workers]]</f>
        <v>36</v>
      </c>
      <c r="M1841" s="12">
        <f>Tb_data[[#This Row],[Employees Growth]]/Tb_data[[#This Row],[previous_workers]]</f>
        <v>1</v>
      </c>
    </row>
    <row r="1842" spans="1:13" x14ac:dyDescent="0.25">
      <c r="A1842" s="1" t="s">
        <v>621</v>
      </c>
      <c r="B1842" s="1" t="s">
        <v>622</v>
      </c>
      <c r="C1842" s="1">
        <v>71600000</v>
      </c>
      <c r="D1842" s="1" t="s">
        <v>58</v>
      </c>
      <c r="E1842">
        <v>1636.3737000000001</v>
      </c>
      <c r="F1842" s="1" t="s">
        <v>100</v>
      </c>
      <c r="G1842">
        <v>49</v>
      </c>
      <c r="H1842">
        <v>13</v>
      </c>
      <c r="I1842" s="1" t="s">
        <v>35</v>
      </c>
      <c r="J1842">
        <v>1</v>
      </c>
      <c r="K1842" t="str">
        <f>IF(Tb_data[[#This Row],[previous_workers]]&lt;Tb_data[[#This Row],[workers]],"yes","no")</f>
        <v>yes</v>
      </c>
      <c r="L1842">
        <f>Tb_data[[#This Row],[workers]]-Tb_data[[#This Row],[previous_workers]]</f>
        <v>36</v>
      </c>
      <c r="M1842" s="12">
        <f>Tb_data[[#This Row],[Employees Growth]]/Tb_data[[#This Row],[previous_workers]]</f>
        <v>2.7692307692307692</v>
      </c>
    </row>
    <row r="1843" spans="1:13" x14ac:dyDescent="0.25">
      <c r="A1843" s="1" t="s">
        <v>759</v>
      </c>
      <c r="B1843" s="1" t="s">
        <v>760</v>
      </c>
      <c r="C1843" s="1">
        <v>2800000</v>
      </c>
      <c r="D1843" s="1" t="s">
        <v>11</v>
      </c>
      <c r="E1843">
        <v>1398.2575999999999</v>
      </c>
      <c r="F1843" s="1" t="s">
        <v>156</v>
      </c>
      <c r="G1843">
        <v>140</v>
      </c>
      <c r="H1843">
        <v>35</v>
      </c>
      <c r="I1843" s="1" t="s">
        <v>13</v>
      </c>
      <c r="J1843">
        <v>1</v>
      </c>
      <c r="K1843" t="str">
        <f>IF(Tb_data[[#This Row],[previous_workers]]&lt;Tb_data[[#This Row],[workers]],"yes","no")</f>
        <v>yes</v>
      </c>
      <c r="L1843">
        <f>Tb_data[[#This Row],[workers]]-Tb_data[[#This Row],[previous_workers]]</f>
        <v>105</v>
      </c>
      <c r="M1843" s="12">
        <f>Tb_data[[#This Row],[Employees Growth]]/Tb_data[[#This Row],[previous_workers]]</f>
        <v>3</v>
      </c>
    </row>
    <row r="1844" spans="1:13" x14ac:dyDescent="0.25">
      <c r="A1844" s="1" t="s">
        <v>3319</v>
      </c>
      <c r="B1844" s="1" t="s">
        <v>3320</v>
      </c>
      <c r="C1844" s="1">
        <v>8900000</v>
      </c>
      <c r="D1844" s="1" t="s">
        <v>49</v>
      </c>
      <c r="E1844">
        <v>257.33260000000001</v>
      </c>
      <c r="F1844" s="1" t="s">
        <v>514</v>
      </c>
      <c r="G1844">
        <v>44</v>
      </c>
      <c r="H1844">
        <v>15</v>
      </c>
      <c r="I1844" s="1" t="s">
        <v>55</v>
      </c>
      <c r="J1844">
        <v>2</v>
      </c>
      <c r="K1844" t="str">
        <f>IF(Tb_data[[#This Row],[previous_workers]]&lt;Tb_data[[#This Row],[workers]],"yes","no")</f>
        <v>yes</v>
      </c>
      <c r="L1844">
        <f>Tb_data[[#This Row],[workers]]-Tb_data[[#This Row],[previous_workers]]</f>
        <v>29</v>
      </c>
      <c r="M1844" s="12">
        <f>Tb_data[[#This Row],[Employees Growth]]/Tb_data[[#This Row],[previous_workers]]</f>
        <v>1.9333333333333333</v>
      </c>
    </row>
    <row r="1845" spans="1:13" x14ac:dyDescent="0.25">
      <c r="A1845" s="1" t="s">
        <v>8522</v>
      </c>
      <c r="B1845" s="1" t="s">
        <v>8523</v>
      </c>
      <c r="C1845" s="1">
        <v>5200000</v>
      </c>
      <c r="D1845" s="1" t="s">
        <v>38</v>
      </c>
      <c r="E1845">
        <v>73.570099999999996</v>
      </c>
      <c r="F1845" s="1" t="s">
        <v>62</v>
      </c>
      <c r="G1845">
        <v>20</v>
      </c>
      <c r="H1845">
        <v>15</v>
      </c>
      <c r="I1845" s="1" t="s">
        <v>229</v>
      </c>
      <c r="J1845">
        <v>1</v>
      </c>
      <c r="K1845" t="str">
        <f>IF(Tb_data[[#This Row],[previous_workers]]&lt;Tb_data[[#This Row],[workers]],"yes","no")</f>
        <v>yes</v>
      </c>
      <c r="L1845">
        <f>Tb_data[[#This Row],[workers]]-Tb_data[[#This Row],[previous_workers]]</f>
        <v>5</v>
      </c>
      <c r="M1845" s="12">
        <f>Tb_data[[#This Row],[Employees Growth]]/Tb_data[[#This Row],[previous_workers]]</f>
        <v>0.33333333333333331</v>
      </c>
    </row>
    <row r="1846" spans="1:13" x14ac:dyDescent="0.25">
      <c r="A1846" s="1" t="s">
        <v>8079</v>
      </c>
      <c r="B1846" s="1" t="s">
        <v>8080</v>
      </c>
      <c r="C1846" s="1">
        <v>2800000</v>
      </c>
      <c r="D1846" s="1" t="s">
        <v>20</v>
      </c>
      <c r="E1846">
        <v>81.324299999999994</v>
      </c>
      <c r="F1846" s="1" t="s">
        <v>3264</v>
      </c>
      <c r="G1846">
        <v>10</v>
      </c>
      <c r="H1846">
        <v>7</v>
      </c>
      <c r="I1846" s="1" t="s">
        <v>147</v>
      </c>
      <c r="J1846">
        <v>1</v>
      </c>
      <c r="K1846" t="str">
        <f>IF(Tb_data[[#This Row],[previous_workers]]&lt;Tb_data[[#This Row],[workers]],"yes","no")</f>
        <v>yes</v>
      </c>
      <c r="L1846">
        <f>Tb_data[[#This Row],[workers]]-Tb_data[[#This Row],[previous_workers]]</f>
        <v>3</v>
      </c>
      <c r="M1846" s="12">
        <f>Tb_data[[#This Row],[Employees Growth]]/Tb_data[[#This Row],[previous_workers]]</f>
        <v>0.42857142857142855</v>
      </c>
    </row>
    <row r="1847" spans="1:13" x14ac:dyDescent="0.25">
      <c r="A1847" s="1" t="s">
        <v>3559</v>
      </c>
      <c r="B1847" s="1" t="s">
        <v>3560</v>
      </c>
      <c r="C1847" s="1">
        <v>238200000</v>
      </c>
      <c r="D1847" s="1" t="s">
        <v>627</v>
      </c>
      <c r="E1847">
        <v>237.06110000000001</v>
      </c>
      <c r="F1847" s="1" t="s">
        <v>62</v>
      </c>
      <c r="G1847">
        <v>559</v>
      </c>
      <c r="H1847">
        <v>175</v>
      </c>
      <c r="I1847" s="1" t="s">
        <v>164</v>
      </c>
      <c r="J1847">
        <v>4</v>
      </c>
      <c r="K1847" t="str">
        <f>IF(Tb_data[[#This Row],[previous_workers]]&lt;Tb_data[[#This Row],[workers]],"yes","no")</f>
        <v>yes</v>
      </c>
      <c r="L1847">
        <f>Tb_data[[#This Row],[workers]]-Tb_data[[#This Row],[previous_workers]]</f>
        <v>384</v>
      </c>
      <c r="M1847" s="12">
        <f>Tb_data[[#This Row],[Employees Growth]]/Tb_data[[#This Row],[previous_workers]]</f>
        <v>2.1942857142857144</v>
      </c>
    </row>
    <row r="1848" spans="1:13" x14ac:dyDescent="0.25">
      <c r="A1848" s="1" t="s">
        <v>1980</v>
      </c>
      <c r="B1848" s="1" t="s">
        <v>1981</v>
      </c>
      <c r="C1848" s="1">
        <v>2100000</v>
      </c>
      <c r="D1848" s="1" t="s">
        <v>236</v>
      </c>
      <c r="E1848">
        <v>455.31909999999999</v>
      </c>
      <c r="F1848" s="1" t="s">
        <v>135</v>
      </c>
      <c r="G1848">
        <v>32</v>
      </c>
      <c r="H1848">
        <v>5</v>
      </c>
      <c r="I1848" s="1" t="s">
        <v>147</v>
      </c>
      <c r="J1848">
        <v>2</v>
      </c>
      <c r="K1848" t="str">
        <f>IF(Tb_data[[#This Row],[previous_workers]]&lt;Tb_data[[#This Row],[workers]],"yes","no")</f>
        <v>yes</v>
      </c>
      <c r="L1848">
        <f>Tb_data[[#This Row],[workers]]-Tb_data[[#This Row],[previous_workers]]</f>
        <v>27</v>
      </c>
      <c r="M1848" s="12">
        <f>Tb_data[[#This Row],[Employees Growth]]/Tb_data[[#This Row],[previous_workers]]</f>
        <v>5.4</v>
      </c>
    </row>
    <row r="1849" spans="1:13" x14ac:dyDescent="0.25">
      <c r="A1849" s="1" t="s">
        <v>7845</v>
      </c>
      <c r="B1849" s="1" t="s">
        <v>7846</v>
      </c>
      <c r="C1849" s="1">
        <v>3700000</v>
      </c>
      <c r="D1849" s="1" t="s">
        <v>123</v>
      </c>
      <c r="E1849">
        <v>85.538799999999995</v>
      </c>
      <c r="F1849" s="1" t="s">
        <v>30</v>
      </c>
      <c r="G1849">
        <v>23</v>
      </c>
      <c r="H1849">
        <v>2</v>
      </c>
      <c r="I1849" s="1" t="s">
        <v>26</v>
      </c>
      <c r="J1849">
        <v>1</v>
      </c>
      <c r="K1849" t="str">
        <f>IF(Tb_data[[#This Row],[previous_workers]]&lt;Tb_data[[#This Row],[workers]],"yes","no")</f>
        <v>yes</v>
      </c>
      <c r="L1849">
        <f>Tb_data[[#This Row],[workers]]-Tb_data[[#This Row],[previous_workers]]</f>
        <v>21</v>
      </c>
      <c r="M1849" s="12">
        <f>Tb_data[[#This Row],[Employees Growth]]/Tb_data[[#This Row],[previous_workers]]</f>
        <v>10.5</v>
      </c>
    </row>
    <row r="1850" spans="1:13" x14ac:dyDescent="0.25">
      <c r="A1850" s="1" t="s">
        <v>4441</v>
      </c>
      <c r="B1850" s="1" t="s">
        <v>4442</v>
      </c>
      <c r="C1850" s="1">
        <v>6800000</v>
      </c>
      <c r="D1850" s="1" t="s">
        <v>254</v>
      </c>
      <c r="E1850">
        <v>185.2209</v>
      </c>
      <c r="F1850" s="1" t="s">
        <v>169</v>
      </c>
      <c r="G1850">
        <v>48</v>
      </c>
      <c r="H1850">
        <v>30</v>
      </c>
      <c r="I1850" s="1" t="s">
        <v>3426</v>
      </c>
      <c r="J1850">
        <v>2</v>
      </c>
      <c r="K1850" t="str">
        <f>IF(Tb_data[[#This Row],[previous_workers]]&lt;Tb_data[[#This Row],[workers]],"yes","no")</f>
        <v>yes</v>
      </c>
      <c r="L1850">
        <f>Tb_data[[#This Row],[workers]]-Tb_data[[#This Row],[previous_workers]]</f>
        <v>18</v>
      </c>
      <c r="M1850" s="12">
        <f>Tb_data[[#This Row],[Employees Growth]]/Tb_data[[#This Row],[previous_workers]]</f>
        <v>0.6</v>
      </c>
    </row>
    <row r="1851" spans="1:13" x14ac:dyDescent="0.25">
      <c r="A1851" s="1" t="s">
        <v>1262</v>
      </c>
      <c r="B1851" s="1" t="s">
        <v>1263</v>
      </c>
      <c r="C1851" s="1">
        <v>6100000</v>
      </c>
      <c r="D1851" s="1" t="s">
        <v>33</v>
      </c>
      <c r="E1851">
        <v>762.61329999999998</v>
      </c>
      <c r="F1851" s="1" t="s">
        <v>172</v>
      </c>
      <c r="G1851">
        <v>10</v>
      </c>
      <c r="H1851">
        <v>3</v>
      </c>
      <c r="I1851" s="1" t="s">
        <v>130</v>
      </c>
      <c r="J1851">
        <v>1</v>
      </c>
      <c r="K1851" t="str">
        <f>IF(Tb_data[[#This Row],[previous_workers]]&lt;Tb_data[[#This Row],[workers]],"yes","no")</f>
        <v>yes</v>
      </c>
      <c r="L1851">
        <f>Tb_data[[#This Row],[workers]]-Tb_data[[#This Row],[previous_workers]]</f>
        <v>7</v>
      </c>
      <c r="M1851" s="12">
        <f>Tb_data[[#This Row],[Employees Growth]]/Tb_data[[#This Row],[previous_workers]]</f>
        <v>2.3333333333333335</v>
      </c>
    </row>
    <row r="1852" spans="1:13" x14ac:dyDescent="0.25">
      <c r="A1852" s="1" t="s">
        <v>585</v>
      </c>
      <c r="B1852" s="1" t="s">
        <v>586</v>
      </c>
      <c r="C1852" s="1">
        <v>2300000</v>
      </c>
      <c r="D1852" s="1" t="s">
        <v>33</v>
      </c>
      <c r="E1852">
        <v>1710.2375</v>
      </c>
      <c r="F1852" s="1" t="s">
        <v>176</v>
      </c>
      <c r="G1852">
        <v>10</v>
      </c>
      <c r="H1852">
        <v>2</v>
      </c>
      <c r="I1852" s="1" t="s">
        <v>13</v>
      </c>
      <c r="J1852">
        <v>1</v>
      </c>
      <c r="K1852" t="str">
        <f>IF(Tb_data[[#This Row],[previous_workers]]&lt;Tb_data[[#This Row],[workers]],"yes","no")</f>
        <v>yes</v>
      </c>
      <c r="L1852">
        <f>Tb_data[[#This Row],[workers]]-Tb_data[[#This Row],[previous_workers]]</f>
        <v>8</v>
      </c>
      <c r="M1852" s="12">
        <f>Tb_data[[#This Row],[Employees Growth]]/Tb_data[[#This Row],[previous_workers]]</f>
        <v>4</v>
      </c>
    </row>
    <row r="1853" spans="1:13" x14ac:dyDescent="0.25">
      <c r="A1853" s="1" t="s">
        <v>5540</v>
      </c>
      <c r="B1853" s="1" t="s">
        <v>5541</v>
      </c>
      <c r="C1853" s="1">
        <v>16800000</v>
      </c>
      <c r="D1853" s="1" t="s">
        <v>29</v>
      </c>
      <c r="E1853">
        <v>141.1611</v>
      </c>
      <c r="F1853" s="1" t="s">
        <v>176</v>
      </c>
      <c r="G1853">
        <v>40</v>
      </c>
      <c r="H1853">
        <v>13</v>
      </c>
      <c r="I1853" s="1" t="s">
        <v>35</v>
      </c>
      <c r="J1853">
        <v>5</v>
      </c>
      <c r="K1853" t="str">
        <f>IF(Tb_data[[#This Row],[previous_workers]]&lt;Tb_data[[#This Row],[workers]],"yes","no")</f>
        <v>yes</v>
      </c>
      <c r="L1853">
        <f>Tb_data[[#This Row],[workers]]-Tb_data[[#This Row],[previous_workers]]</f>
        <v>27</v>
      </c>
      <c r="M1853" s="12">
        <f>Tb_data[[#This Row],[Employees Growth]]/Tb_data[[#This Row],[previous_workers]]</f>
        <v>2.0769230769230771</v>
      </c>
    </row>
    <row r="1854" spans="1:13" x14ac:dyDescent="0.25">
      <c r="A1854" s="1" t="s">
        <v>9049</v>
      </c>
      <c r="B1854" s="1" t="s">
        <v>9050</v>
      </c>
      <c r="C1854" s="1">
        <v>6200000</v>
      </c>
      <c r="D1854" s="1" t="s">
        <v>33</v>
      </c>
      <c r="E1854">
        <v>65.972300000000004</v>
      </c>
      <c r="F1854" s="1" t="s">
        <v>12</v>
      </c>
      <c r="G1854">
        <v>31</v>
      </c>
      <c r="H1854">
        <v>16</v>
      </c>
      <c r="I1854" s="1" t="s">
        <v>35</v>
      </c>
      <c r="J1854">
        <v>1</v>
      </c>
      <c r="K1854" t="str">
        <f>IF(Tb_data[[#This Row],[previous_workers]]&lt;Tb_data[[#This Row],[workers]],"yes","no")</f>
        <v>yes</v>
      </c>
      <c r="L1854">
        <f>Tb_data[[#This Row],[workers]]-Tb_data[[#This Row],[previous_workers]]</f>
        <v>15</v>
      </c>
      <c r="M1854" s="12">
        <f>Tb_data[[#This Row],[Employees Growth]]/Tb_data[[#This Row],[previous_workers]]</f>
        <v>0.9375</v>
      </c>
    </row>
    <row r="1855" spans="1:13" x14ac:dyDescent="0.25">
      <c r="A1855" s="1" t="s">
        <v>8604</v>
      </c>
      <c r="B1855" s="1" t="s">
        <v>8605</v>
      </c>
      <c r="C1855" s="1">
        <v>36000000</v>
      </c>
      <c r="D1855" s="1" t="s">
        <v>33</v>
      </c>
      <c r="E1855">
        <v>72.322400000000002</v>
      </c>
      <c r="F1855" s="1" t="s">
        <v>124</v>
      </c>
      <c r="G1855">
        <v>52</v>
      </c>
      <c r="H1855">
        <v>56</v>
      </c>
      <c r="I1855" s="1" t="s">
        <v>147</v>
      </c>
      <c r="J1855">
        <v>2</v>
      </c>
      <c r="K1855" t="str">
        <f>IF(Tb_data[[#This Row],[previous_workers]]&lt;Tb_data[[#This Row],[workers]],"yes","no")</f>
        <v>no</v>
      </c>
      <c r="L1855">
        <f>Tb_data[[#This Row],[workers]]-Tb_data[[#This Row],[previous_workers]]</f>
        <v>-4</v>
      </c>
      <c r="M1855" s="12">
        <f>Tb_data[[#This Row],[Employees Growth]]/Tb_data[[#This Row],[previous_workers]]</f>
        <v>-7.1428571428571425E-2</v>
      </c>
    </row>
    <row r="1856" spans="1:13" x14ac:dyDescent="0.25">
      <c r="A1856" s="1" t="s">
        <v>8867</v>
      </c>
      <c r="B1856" s="1" t="s">
        <v>8868</v>
      </c>
      <c r="C1856" s="1">
        <v>5100000</v>
      </c>
      <c r="D1856" s="1" t="s">
        <v>49</v>
      </c>
      <c r="E1856">
        <v>68.504300000000001</v>
      </c>
      <c r="F1856" s="1" t="s">
        <v>156</v>
      </c>
      <c r="G1856">
        <v>20</v>
      </c>
      <c r="H1856">
        <v>10</v>
      </c>
      <c r="I1856" s="1" t="s">
        <v>147</v>
      </c>
      <c r="J1856">
        <v>3</v>
      </c>
      <c r="K1856" t="str">
        <f>IF(Tb_data[[#This Row],[previous_workers]]&lt;Tb_data[[#This Row],[workers]],"yes","no")</f>
        <v>yes</v>
      </c>
      <c r="L1856">
        <f>Tb_data[[#This Row],[workers]]-Tb_data[[#This Row],[previous_workers]]</f>
        <v>10</v>
      </c>
      <c r="M1856" s="12">
        <f>Tb_data[[#This Row],[Employees Growth]]/Tb_data[[#This Row],[previous_workers]]</f>
        <v>1</v>
      </c>
    </row>
    <row r="1857" spans="1:13" x14ac:dyDescent="0.25">
      <c r="A1857" s="1" t="s">
        <v>281</v>
      </c>
      <c r="B1857" s="1" t="s">
        <v>282</v>
      </c>
      <c r="C1857" s="1">
        <v>14400000</v>
      </c>
      <c r="D1857" s="1" t="s">
        <v>20</v>
      </c>
      <c r="E1857">
        <v>3210.2557000000002</v>
      </c>
      <c r="F1857" s="1" t="s">
        <v>124</v>
      </c>
      <c r="G1857">
        <v>46</v>
      </c>
      <c r="H1857">
        <v>1</v>
      </c>
      <c r="I1857" s="1" t="s">
        <v>164</v>
      </c>
      <c r="J1857">
        <v>1</v>
      </c>
      <c r="K1857" t="str">
        <f>IF(Tb_data[[#This Row],[previous_workers]]&lt;Tb_data[[#This Row],[workers]],"yes","no")</f>
        <v>yes</v>
      </c>
      <c r="L1857">
        <f>Tb_data[[#This Row],[workers]]-Tb_data[[#This Row],[previous_workers]]</f>
        <v>45</v>
      </c>
      <c r="M1857" s="12">
        <f>Tb_data[[#This Row],[Employees Growth]]/Tb_data[[#This Row],[previous_workers]]</f>
        <v>45</v>
      </c>
    </row>
    <row r="1858" spans="1:13" x14ac:dyDescent="0.25">
      <c r="A1858" s="1" t="s">
        <v>3718</v>
      </c>
      <c r="B1858" s="1" t="s">
        <v>3719</v>
      </c>
      <c r="C1858" s="1">
        <v>5700000</v>
      </c>
      <c r="D1858" s="1" t="s">
        <v>115</v>
      </c>
      <c r="E1858">
        <v>227.2141</v>
      </c>
      <c r="F1858" s="1" t="s">
        <v>12</v>
      </c>
      <c r="G1858">
        <v>40</v>
      </c>
      <c r="H1858">
        <v>8</v>
      </c>
      <c r="I1858" s="1" t="s">
        <v>295</v>
      </c>
      <c r="J1858">
        <v>3</v>
      </c>
      <c r="K1858" t="str">
        <f>IF(Tb_data[[#This Row],[previous_workers]]&lt;Tb_data[[#This Row],[workers]],"yes","no")</f>
        <v>yes</v>
      </c>
      <c r="L1858">
        <f>Tb_data[[#This Row],[workers]]-Tb_data[[#This Row],[previous_workers]]</f>
        <v>32</v>
      </c>
      <c r="M1858" s="12">
        <f>Tb_data[[#This Row],[Employees Growth]]/Tb_data[[#This Row],[previous_workers]]</f>
        <v>4</v>
      </c>
    </row>
    <row r="1859" spans="1:13" x14ac:dyDescent="0.25">
      <c r="A1859" s="1" t="s">
        <v>4383</v>
      </c>
      <c r="B1859" s="1" t="s">
        <v>4384</v>
      </c>
      <c r="C1859" s="1">
        <v>69300000</v>
      </c>
      <c r="D1859" s="1" t="s">
        <v>375</v>
      </c>
      <c r="E1859">
        <v>187.2861</v>
      </c>
      <c r="F1859" s="1" t="s">
        <v>124</v>
      </c>
      <c r="G1859">
        <v>343</v>
      </c>
      <c r="H1859">
        <v>126</v>
      </c>
      <c r="I1859" s="1" t="s">
        <v>4006</v>
      </c>
      <c r="J1859">
        <v>2</v>
      </c>
      <c r="K1859" t="str">
        <f>IF(Tb_data[[#This Row],[previous_workers]]&lt;Tb_data[[#This Row],[workers]],"yes","no")</f>
        <v>yes</v>
      </c>
      <c r="L1859">
        <f>Tb_data[[#This Row],[workers]]-Tb_data[[#This Row],[previous_workers]]</f>
        <v>217</v>
      </c>
      <c r="M1859" s="12">
        <f>Tb_data[[#This Row],[Employees Growth]]/Tb_data[[#This Row],[previous_workers]]</f>
        <v>1.7222222222222223</v>
      </c>
    </row>
    <row r="1860" spans="1:13" x14ac:dyDescent="0.25">
      <c r="A1860" s="1" t="s">
        <v>6479</v>
      </c>
      <c r="B1860" s="1" t="s">
        <v>6480</v>
      </c>
      <c r="C1860" s="1">
        <v>6700000</v>
      </c>
      <c r="D1860" s="1" t="s">
        <v>115</v>
      </c>
      <c r="E1860">
        <v>114.6407</v>
      </c>
      <c r="F1860" s="1" t="s">
        <v>25</v>
      </c>
      <c r="G1860">
        <v>70</v>
      </c>
      <c r="H1860">
        <v>36</v>
      </c>
      <c r="I1860" s="1" t="s">
        <v>4043</v>
      </c>
      <c r="J1860">
        <v>3</v>
      </c>
      <c r="K1860" t="str">
        <f>IF(Tb_data[[#This Row],[previous_workers]]&lt;Tb_data[[#This Row],[workers]],"yes","no")</f>
        <v>yes</v>
      </c>
      <c r="L1860">
        <f>Tb_data[[#This Row],[workers]]-Tb_data[[#This Row],[previous_workers]]</f>
        <v>34</v>
      </c>
      <c r="M1860" s="12">
        <f>Tb_data[[#This Row],[Employees Growth]]/Tb_data[[#This Row],[previous_workers]]</f>
        <v>0.94444444444444442</v>
      </c>
    </row>
    <row r="1861" spans="1:13" x14ac:dyDescent="0.25">
      <c r="A1861" s="1" t="s">
        <v>7024</v>
      </c>
      <c r="B1861" s="1" t="s">
        <v>7025</v>
      </c>
      <c r="C1861" s="1">
        <v>28000000</v>
      </c>
      <c r="D1861" s="1" t="s">
        <v>45</v>
      </c>
      <c r="E1861">
        <v>101.5663</v>
      </c>
      <c r="F1861" s="1" t="s">
        <v>514</v>
      </c>
      <c r="G1861">
        <v>278</v>
      </c>
      <c r="H1861">
        <v>153</v>
      </c>
      <c r="I1861" s="1" t="s">
        <v>147</v>
      </c>
      <c r="J1861">
        <v>3</v>
      </c>
      <c r="K1861" t="str">
        <f>IF(Tb_data[[#This Row],[previous_workers]]&lt;Tb_data[[#This Row],[workers]],"yes","no")</f>
        <v>yes</v>
      </c>
      <c r="L1861">
        <f>Tb_data[[#This Row],[workers]]-Tb_data[[#This Row],[previous_workers]]</f>
        <v>125</v>
      </c>
      <c r="M1861" s="12">
        <f>Tb_data[[#This Row],[Employees Growth]]/Tb_data[[#This Row],[previous_workers]]</f>
        <v>0.81699346405228757</v>
      </c>
    </row>
    <row r="1862" spans="1:13" x14ac:dyDescent="0.25">
      <c r="A1862" s="1" t="s">
        <v>4054</v>
      </c>
      <c r="B1862" s="1" t="s">
        <v>4055</v>
      </c>
      <c r="C1862" s="1">
        <v>66500000</v>
      </c>
      <c r="D1862" s="1" t="s">
        <v>20</v>
      </c>
      <c r="E1862">
        <v>204.48840000000001</v>
      </c>
      <c r="F1862" s="1" t="s">
        <v>124</v>
      </c>
      <c r="G1862">
        <v>140</v>
      </c>
      <c r="H1862">
        <v>65</v>
      </c>
      <c r="I1862" s="1" t="s">
        <v>2628</v>
      </c>
      <c r="J1862">
        <v>1</v>
      </c>
      <c r="K1862" t="str">
        <f>IF(Tb_data[[#This Row],[previous_workers]]&lt;Tb_data[[#This Row],[workers]],"yes","no")</f>
        <v>yes</v>
      </c>
      <c r="L1862">
        <f>Tb_data[[#This Row],[workers]]-Tb_data[[#This Row],[previous_workers]]</f>
        <v>75</v>
      </c>
      <c r="M1862" s="12">
        <f>Tb_data[[#This Row],[Employees Growth]]/Tb_data[[#This Row],[previous_workers]]</f>
        <v>1.1538461538461537</v>
      </c>
    </row>
    <row r="1863" spans="1:13" x14ac:dyDescent="0.25">
      <c r="A1863" s="1" t="s">
        <v>4786</v>
      </c>
      <c r="B1863" s="1" t="s">
        <v>4787</v>
      </c>
      <c r="C1863" s="1">
        <v>2100000</v>
      </c>
      <c r="D1863" s="1" t="s">
        <v>33</v>
      </c>
      <c r="E1863">
        <v>170.51159999999999</v>
      </c>
      <c r="F1863" s="1" t="s">
        <v>62</v>
      </c>
      <c r="G1863">
        <v>25</v>
      </c>
      <c r="H1863">
        <v>3</v>
      </c>
      <c r="I1863" s="1" t="s">
        <v>147</v>
      </c>
      <c r="J1863">
        <v>1</v>
      </c>
      <c r="K1863" t="str">
        <f>IF(Tb_data[[#This Row],[previous_workers]]&lt;Tb_data[[#This Row],[workers]],"yes","no")</f>
        <v>yes</v>
      </c>
      <c r="L1863">
        <f>Tb_data[[#This Row],[workers]]-Tb_data[[#This Row],[previous_workers]]</f>
        <v>22</v>
      </c>
      <c r="M1863" s="12">
        <f>Tb_data[[#This Row],[Employees Growth]]/Tb_data[[#This Row],[previous_workers]]</f>
        <v>7.333333333333333</v>
      </c>
    </row>
    <row r="1864" spans="1:13" x14ac:dyDescent="0.25">
      <c r="A1864" s="1" t="s">
        <v>3613</v>
      </c>
      <c r="B1864" s="1" t="s">
        <v>3614</v>
      </c>
      <c r="C1864" s="1">
        <v>22700000</v>
      </c>
      <c r="D1864" s="1" t="s">
        <v>33</v>
      </c>
      <c r="E1864">
        <v>232.7989</v>
      </c>
      <c r="F1864" s="1" t="s">
        <v>176</v>
      </c>
      <c r="G1864">
        <v>9</v>
      </c>
      <c r="H1864">
        <v>4</v>
      </c>
      <c r="I1864" s="1" t="s">
        <v>74</v>
      </c>
      <c r="J1864">
        <v>4</v>
      </c>
      <c r="K1864" t="str">
        <f>IF(Tb_data[[#This Row],[previous_workers]]&lt;Tb_data[[#This Row],[workers]],"yes","no")</f>
        <v>yes</v>
      </c>
      <c r="L1864">
        <f>Tb_data[[#This Row],[workers]]-Tb_data[[#This Row],[previous_workers]]</f>
        <v>5</v>
      </c>
      <c r="M1864" s="12">
        <f>Tb_data[[#This Row],[Employees Growth]]/Tb_data[[#This Row],[previous_workers]]</f>
        <v>1.25</v>
      </c>
    </row>
    <row r="1865" spans="1:13" x14ac:dyDescent="0.25">
      <c r="A1865" s="1" t="s">
        <v>6179</v>
      </c>
      <c r="B1865" s="1" t="s">
        <v>6180</v>
      </c>
      <c r="C1865" s="1">
        <v>3500000</v>
      </c>
      <c r="D1865" s="1" t="s">
        <v>45</v>
      </c>
      <c r="E1865">
        <v>121.69799999999999</v>
      </c>
      <c r="F1865" s="1" t="s">
        <v>62</v>
      </c>
      <c r="G1865">
        <v>10</v>
      </c>
      <c r="H1865">
        <v>3</v>
      </c>
      <c r="I1865" s="1" t="s">
        <v>164</v>
      </c>
      <c r="J1865">
        <v>2</v>
      </c>
      <c r="K1865" t="str">
        <f>IF(Tb_data[[#This Row],[previous_workers]]&lt;Tb_data[[#This Row],[workers]],"yes","no")</f>
        <v>yes</v>
      </c>
      <c r="L1865">
        <f>Tb_data[[#This Row],[workers]]-Tb_data[[#This Row],[previous_workers]]</f>
        <v>7</v>
      </c>
      <c r="M1865" s="12">
        <f>Tb_data[[#This Row],[Employees Growth]]/Tb_data[[#This Row],[previous_workers]]</f>
        <v>2.3333333333333335</v>
      </c>
    </row>
    <row r="1866" spans="1:13" x14ac:dyDescent="0.25">
      <c r="A1866" s="1" t="s">
        <v>10086</v>
      </c>
      <c r="B1866" s="1" t="s">
        <v>10087</v>
      </c>
      <c r="C1866" s="1">
        <v>154400000</v>
      </c>
      <c r="D1866" s="1" t="s">
        <v>49</v>
      </c>
      <c r="E1866">
        <v>52.346699999999998</v>
      </c>
      <c r="F1866" s="1" t="s">
        <v>3264</v>
      </c>
      <c r="G1866">
        <v>99</v>
      </c>
      <c r="H1866">
        <v>70</v>
      </c>
      <c r="I1866" s="1" t="s">
        <v>980</v>
      </c>
      <c r="J1866">
        <v>5</v>
      </c>
      <c r="K1866" t="str">
        <f>IF(Tb_data[[#This Row],[previous_workers]]&lt;Tb_data[[#This Row],[workers]],"yes","no")</f>
        <v>yes</v>
      </c>
      <c r="L1866">
        <f>Tb_data[[#This Row],[workers]]-Tb_data[[#This Row],[previous_workers]]</f>
        <v>29</v>
      </c>
      <c r="M1866" s="12">
        <f>Tb_data[[#This Row],[Employees Growth]]/Tb_data[[#This Row],[previous_workers]]</f>
        <v>0.41428571428571431</v>
      </c>
    </row>
    <row r="1867" spans="1:13" x14ac:dyDescent="0.25">
      <c r="A1867" s="1" t="s">
        <v>9425</v>
      </c>
      <c r="B1867" s="1" t="s">
        <v>9426</v>
      </c>
      <c r="C1867" s="1">
        <v>3900000</v>
      </c>
      <c r="D1867" s="1" t="s">
        <v>103</v>
      </c>
      <c r="E1867">
        <v>61.131500000000003</v>
      </c>
      <c r="F1867" s="1" t="s">
        <v>86</v>
      </c>
      <c r="G1867">
        <v>18</v>
      </c>
      <c r="H1867">
        <v>18</v>
      </c>
      <c r="I1867" s="1" t="s">
        <v>1622</v>
      </c>
      <c r="J1867">
        <v>1</v>
      </c>
      <c r="K1867" t="str">
        <f>IF(Tb_data[[#This Row],[previous_workers]]&lt;Tb_data[[#This Row],[workers]],"yes","no")</f>
        <v>no</v>
      </c>
      <c r="L1867">
        <f>Tb_data[[#This Row],[workers]]-Tb_data[[#This Row],[previous_workers]]</f>
        <v>0</v>
      </c>
      <c r="M1867" s="12">
        <f>Tb_data[[#This Row],[Employees Growth]]/Tb_data[[#This Row],[previous_workers]]</f>
        <v>0</v>
      </c>
    </row>
    <row r="1868" spans="1:13" x14ac:dyDescent="0.25">
      <c r="A1868" s="1" t="s">
        <v>3295</v>
      </c>
      <c r="B1868" s="1" t="s">
        <v>3296</v>
      </c>
      <c r="C1868" s="1">
        <v>7600000</v>
      </c>
      <c r="D1868" s="1" t="s">
        <v>123</v>
      </c>
      <c r="E1868">
        <v>259.9332</v>
      </c>
      <c r="F1868" s="1" t="s">
        <v>310</v>
      </c>
      <c r="G1868">
        <v>37</v>
      </c>
      <c r="H1868">
        <v>13</v>
      </c>
      <c r="I1868" s="1" t="s">
        <v>35</v>
      </c>
      <c r="J1868">
        <v>5</v>
      </c>
      <c r="K1868" t="str">
        <f>IF(Tb_data[[#This Row],[previous_workers]]&lt;Tb_data[[#This Row],[workers]],"yes","no")</f>
        <v>yes</v>
      </c>
      <c r="L1868">
        <f>Tb_data[[#This Row],[workers]]-Tb_data[[#This Row],[previous_workers]]</f>
        <v>24</v>
      </c>
      <c r="M1868" s="12">
        <f>Tb_data[[#This Row],[Employees Growth]]/Tb_data[[#This Row],[previous_workers]]</f>
        <v>1.8461538461538463</v>
      </c>
    </row>
    <row r="1869" spans="1:13" x14ac:dyDescent="0.25">
      <c r="A1869" s="1" t="s">
        <v>8558</v>
      </c>
      <c r="B1869" s="1" t="s">
        <v>8559</v>
      </c>
      <c r="C1869" s="1">
        <v>59500000</v>
      </c>
      <c r="D1869" s="1" t="s">
        <v>52</v>
      </c>
      <c r="E1869">
        <v>72.991100000000003</v>
      </c>
      <c r="F1869" s="1" t="s">
        <v>25</v>
      </c>
      <c r="G1869">
        <v>760</v>
      </c>
      <c r="H1869">
        <v>475</v>
      </c>
      <c r="I1869" s="1" t="s">
        <v>468</v>
      </c>
      <c r="J1869">
        <v>9</v>
      </c>
      <c r="K1869" t="str">
        <f>IF(Tb_data[[#This Row],[previous_workers]]&lt;Tb_data[[#This Row],[workers]],"yes","no")</f>
        <v>yes</v>
      </c>
      <c r="L1869">
        <f>Tb_data[[#This Row],[workers]]-Tb_data[[#This Row],[previous_workers]]</f>
        <v>285</v>
      </c>
      <c r="M1869" s="12">
        <f>Tb_data[[#This Row],[Employees Growth]]/Tb_data[[#This Row],[previous_workers]]</f>
        <v>0.6</v>
      </c>
    </row>
    <row r="1870" spans="1:13" x14ac:dyDescent="0.25">
      <c r="A1870" s="1" t="s">
        <v>2564</v>
      </c>
      <c r="B1870" s="1" t="s">
        <v>2565</v>
      </c>
      <c r="C1870" s="1">
        <v>9500000</v>
      </c>
      <c r="D1870" s="1" t="s">
        <v>49</v>
      </c>
      <c r="E1870">
        <v>336.19229999999999</v>
      </c>
      <c r="F1870" s="1" t="s">
        <v>94</v>
      </c>
      <c r="G1870">
        <v>4</v>
      </c>
      <c r="H1870">
        <v>3</v>
      </c>
      <c r="I1870" s="1" t="s">
        <v>194</v>
      </c>
      <c r="J1870">
        <v>5</v>
      </c>
      <c r="K1870" t="str">
        <f>IF(Tb_data[[#This Row],[previous_workers]]&lt;Tb_data[[#This Row],[workers]],"yes","no")</f>
        <v>yes</v>
      </c>
      <c r="L1870">
        <f>Tb_data[[#This Row],[workers]]-Tb_data[[#This Row],[previous_workers]]</f>
        <v>1</v>
      </c>
      <c r="M1870" s="12">
        <f>Tb_data[[#This Row],[Employees Growth]]/Tb_data[[#This Row],[previous_workers]]</f>
        <v>0.33333333333333331</v>
      </c>
    </row>
    <row r="1871" spans="1:13" x14ac:dyDescent="0.25">
      <c r="A1871" s="1" t="s">
        <v>5076</v>
      </c>
      <c r="B1871" s="1" t="s">
        <v>5077</v>
      </c>
      <c r="C1871" s="1">
        <v>16700000</v>
      </c>
      <c r="D1871" s="1" t="s">
        <v>29</v>
      </c>
      <c r="E1871">
        <v>158.1052</v>
      </c>
      <c r="F1871" s="1" t="s">
        <v>62</v>
      </c>
      <c r="G1871">
        <v>58</v>
      </c>
      <c r="H1871">
        <v>28</v>
      </c>
      <c r="I1871" s="1" t="s">
        <v>130</v>
      </c>
      <c r="J1871">
        <v>1</v>
      </c>
      <c r="K1871" t="str">
        <f>IF(Tb_data[[#This Row],[previous_workers]]&lt;Tb_data[[#This Row],[workers]],"yes","no")</f>
        <v>yes</v>
      </c>
      <c r="L1871">
        <f>Tb_data[[#This Row],[workers]]-Tb_data[[#This Row],[previous_workers]]</f>
        <v>30</v>
      </c>
      <c r="M1871" s="12">
        <f>Tb_data[[#This Row],[Employees Growth]]/Tb_data[[#This Row],[previous_workers]]</f>
        <v>1.0714285714285714</v>
      </c>
    </row>
    <row r="1872" spans="1:13" x14ac:dyDescent="0.25">
      <c r="A1872" s="1" t="s">
        <v>7701</v>
      </c>
      <c r="B1872" s="1" t="s">
        <v>7702</v>
      </c>
      <c r="C1872" s="1">
        <v>3800000</v>
      </c>
      <c r="D1872" s="1" t="s">
        <v>41</v>
      </c>
      <c r="E1872">
        <v>88.042500000000004</v>
      </c>
      <c r="F1872" s="1" t="s">
        <v>12</v>
      </c>
      <c r="G1872">
        <v>7</v>
      </c>
      <c r="H1872">
        <v>5</v>
      </c>
      <c r="I1872" s="1" t="s">
        <v>117</v>
      </c>
      <c r="J1872">
        <v>1</v>
      </c>
      <c r="K1872" t="str">
        <f>IF(Tb_data[[#This Row],[previous_workers]]&lt;Tb_data[[#This Row],[workers]],"yes","no")</f>
        <v>yes</v>
      </c>
      <c r="L1872">
        <f>Tb_data[[#This Row],[workers]]-Tb_data[[#This Row],[previous_workers]]</f>
        <v>2</v>
      </c>
      <c r="M1872" s="12">
        <f>Tb_data[[#This Row],[Employees Growth]]/Tb_data[[#This Row],[previous_workers]]</f>
        <v>0.4</v>
      </c>
    </row>
    <row r="1873" spans="1:13" x14ac:dyDescent="0.25">
      <c r="A1873" s="1" t="s">
        <v>5754</v>
      </c>
      <c r="B1873" s="1" t="s">
        <v>5755</v>
      </c>
      <c r="C1873" s="1">
        <v>23700000</v>
      </c>
      <c r="D1873" s="1" t="s">
        <v>38</v>
      </c>
      <c r="E1873">
        <v>132.5384</v>
      </c>
      <c r="F1873" s="1" t="s">
        <v>176</v>
      </c>
      <c r="G1873">
        <v>200</v>
      </c>
      <c r="H1873">
        <v>80</v>
      </c>
      <c r="I1873" s="1" t="s">
        <v>2374</v>
      </c>
      <c r="J1873">
        <v>1</v>
      </c>
      <c r="K1873" t="str">
        <f>IF(Tb_data[[#This Row],[previous_workers]]&lt;Tb_data[[#This Row],[workers]],"yes","no")</f>
        <v>yes</v>
      </c>
      <c r="L1873">
        <f>Tb_data[[#This Row],[workers]]-Tb_data[[#This Row],[previous_workers]]</f>
        <v>120</v>
      </c>
      <c r="M1873" s="12">
        <f>Tb_data[[#This Row],[Employees Growth]]/Tb_data[[#This Row],[previous_workers]]</f>
        <v>1.5</v>
      </c>
    </row>
    <row r="1874" spans="1:13" x14ac:dyDescent="0.25">
      <c r="A1874" s="1" t="s">
        <v>7349</v>
      </c>
      <c r="B1874" s="1" t="s">
        <v>7350</v>
      </c>
      <c r="C1874" s="1">
        <v>37900000</v>
      </c>
      <c r="D1874" s="1" t="s">
        <v>52</v>
      </c>
      <c r="E1874">
        <v>96.222499999999997</v>
      </c>
      <c r="F1874" s="1" t="s">
        <v>86</v>
      </c>
      <c r="G1874">
        <v>401</v>
      </c>
      <c r="H1874">
        <v>102</v>
      </c>
      <c r="I1874" s="1" t="s">
        <v>229</v>
      </c>
      <c r="J1874">
        <v>6</v>
      </c>
      <c r="K1874" t="str">
        <f>IF(Tb_data[[#This Row],[previous_workers]]&lt;Tb_data[[#This Row],[workers]],"yes","no")</f>
        <v>yes</v>
      </c>
      <c r="L1874">
        <f>Tb_data[[#This Row],[workers]]-Tb_data[[#This Row],[previous_workers]]</f>
        <v>299</v>
      </c>
      <c r="M1874" s="12">
        <f>Tb_data[[#This Row],[Employees Growth]]/Tb_data[[#This Row],[previous_workers]]</f>
        <v>2.9313725490196076</v>
      </c>
    </row>
    <row r="1875" spans="1:13" x14ac:dyDescent="0.25">
      <c r="A1875" s="1" t="s">
        <v>642</v>
      </c>
      <c r="B1875" s="1" t="s">
        <v>643</v>
      </c>
      <c r="C1875" s="1">
        <v>8400000</v>
      </c>
      <c r="D1875" s="1" t="s">
        <v>627</v>
      </c>
      <c r="E1875">
        <v>1572.0504000000001</v>
      </c>
      <c r="F1875" s="1" t="s">
        <v>17</v>
      </c>
      <c r="G1875">
        <v>81</v>
      </c>
      <c r="H1875">
        <v>15</v>
      </c>
      <c r="I1875" s="1" t="s">
        <v>35</v>
      </c>
      <c r="J1875">
        <v>2</v>
      </c>
      <c r="K1875" t="str">
        <f>IF(Tb_data[[#This Row],[previous_workers]]&lt;Tb_data[[#This Row],[workers]],"yes","no")</f>
        <v>yes</v>
      </c>
      <c r="L1875">
        <f>Tb_data[[#This Row],[workers]]-Tb_data[[#This Row],[previous_workers]]</f>
        <v>66</v>
      </c>
      <c r="M1875" s="12">
        <f>Tb_data[[#This Row],[Employees Growth]]/Tb_data[[#This Row],[previous_workers]]</f>
        <v>4.4000000000000004</v>
      </c>
    </row>
    <row r="1876" spans="1:13" x14ac:dyDescent="0.25">
      <c r="A1876" s="1" t="s">
        <v>5484</v>
      </c>
      <c r="B1876" s="1" t="s">
        <v>5485</v>
      </c>
      <c r="C1876" s="1">
        <v>2400000</v>
      </c>
      <c r="D1876" s="1" t="s">
        <v>49</v>
      </c>
      <c r="E1876">
        <v>143.25</v>
      </c>
      <c r="F1876" s="1" t="s">
        <v>152</v>
      </c>
      <c r="G1876">
        <v>17</v>
      </c>
      <c r="H1876">
        <v>8</v>
      </c>
      <c r="I1876" s="1" t="s">
        <v>194</v>
      </c>
      <c r="J1876">
        <v>2</v>
      </c>
      <c r="K1876" t="str">
        <f>IF(Tb_data[[#This Row],[previous_workers]]&lt;Tb_data[[#This Row],[workers]],"yes","no")</f>
        <v>yes</v>
      </c>
      <c r="L1876">
        <f>Tb_data[[#This Row],[workers]]-Tb_data[[#This Row],[previous_workers]]</f>
        <v>9</v>
      </c>
      <c r="M1876" s="12">
        <f>Tb_data[[#This Row],[Employees Growth]]/Tb_data[[#This Row],[previous_workers]]</f>
        <v>1.125</v>
      </c>
    </row>
    <row r="1877" spans="1:13" x14ac:dyDescent="0.25">
      <c r="A1877" s="1" t="s">
        <v>6473</v>
      </c>
      <c r="B1877" s="1" t="s">
        <v>6474</v>
      </c>
      <c r="C1877" s="1">
        <v>45100000</v>
      </c>
      <c r="D1877" s="1" t="s">
        <v>20</v>
      </c>
      <c r="E1877">
        <v>114.7895</v>
      </c>
      <c r="F1877" s="1" t="s">
        <v>97</v>
      </c>
      <c r="G1877">
        <v>15</v>
      </c>
      <c r="H1877">
        <v>3</v>
      </c>
      <c r="I1877" s="1" t="s">
        <v>372</v>
      </c>
      <c r="J1877">
        <v>3</v>
      </c>
      <c r="K1877" t="str">
        <f>IF(Tb_data[[#This Row],[previous_workers]]&lt;Tb_data[[#This Row],[workers]],"yes","no")</f>
        <v>yes</v>
      </c>
      <c r="L1877">
        <f>Tb_data[[#This Row],[workers]]-Tb_data[[#This Row],[previous_workers]]</f>
        <v>12</v>
      </c>
      <c r="M1877" s="12">
        <f>Tb_data[[#This Row],[Employees Growth]]/Tb_data[[#This Row],[previous_workers]]</f>
        <v>4</v>
      </c>
    </row>
    <row r="1878" spans="1:13" x14ac:dyDescent="0.25">
      <c r="A1878" s="1" t="s">
        <v>1236</v>
      </c>
      <c r="B1878" s="1" t="s">
        <v>1237</v>
      </c>
      <c r="C1878" s="1">
        <v>70700000</v>
      </c>
      <c r="D1878" s="1" t="s">
        <v>483</v>
      </c>
      <c r="E1878">
        <v>775.73500000000001</v>
      </c>
      <c r="F1878" s="1" t="s">
        <v>97</v>
      </c>
      <c r="G1878">
        <v>280</v>
      </c>
      <c r="H1878">
        <v>25</v>
      </c>
      <c r="I1878" s="1" t="s">
        <v>117</v>
      </c>
      <c r="J1878">
        <v>2</v>
      </c>
      <c r="K1878" t="str">
        <f>IF(Tb_data[[#This Row],[previous_workers]]&lt;Tb_data[[#This Row],[workers]],"yes","no")</f>
        <v>yes</v>
      </c>
      <c r="L1878">
        <f>Tb_data[[#This Row],[workers]]-Tb_data[[#This Row],[previous_workers]]</f>
        <v>255</v>
      </c>
      <c r="M1878" s="12">
        <f>Tb_data[[#This Row],[Employees Growth]]/Tb_data[[#This Row],[previous_workers]]</f>
        <v>10.199999999999999</v>
      </c>
    </row>
    <row r="1879" spans="1:13" x14ac:dyDescent="0.25">
      <c r="A1879" s="1" t="s">
        <v>5118</v>
      </c>
      <c r="B1879" s="1" t="s">
        <v>5119</v>
      </c>
      <c r="C1879" s="1">
        <v>15400000</v>
      </c>
      <c r="D1879" s="1" t="s">
        <v>61</v>
      </c>
      <c r="E1879">
        <v>156.88300000000001</v>
      </c>
      <c r="F1879" s="1" t="s">
        <v>124</v>
      </c>
      <c r="G1879">
        <v>34</v>
      </c>
      <c r="H1879">
        <v>8</v>
      </c>
      <c r="I1879" s="1" t="s">
        <v>1657</v>
      </c>
      <c r="J1879">
        <v>1</v>
      </c>
      <c r="K1879" t="str">
        <f>IF(Tb_data[[#This Row],[previous_workers]]&lt;Tb_data[[#This Row],[workers]],"yes","no")</f>
        <v>yes</v>
      </c>
      <c r="L1879">
        <f>Tb_data[[#This Row],[workers]]-Tb_data[[#This Row],[previous_workers]]</f>
        <v>26</v>
      </c>
      <c r="M1879" s="12">
        <f>Tb_data[[#This Row],[Employees Growth]]/Tb_data[[#This Row],[previous_workers]]</f>
        <v>3.25</v>
      </c>
    </row>
    <row r="1880" spans="1:13" x14ac:dyDescent="0.25">
      <c r="A1880" s="1" t="s">
        <v>4080</v>
      </c>
      <c r="B1880" s="1" t="s">
        <v>4081</v>
      </c>
      <c r="C1880" s="1">
        <v>84900000</v>
      </c>
      <c r="D1880" s="1" t="s">
        <v>254</v>
      </c>
      <c r="E1880">
        <v>202.34110000000001</v>
      </c>
      <c r="F1880" s="1" t="s">
        <v>17</v>
      </c>
      <c r="G1880">
        <v>137</v>
      </c>
      <c r="H1880">
        <v>32</v>
      </c>
      <c r="I1880" s="1" t="s">
        <v>74</v>
      </c>
      <c r="J1880">
        <v>4</v>
      </c>
      <c r="K1880" t="str">
        <f>IF(Tb_data[[#This Row],[previous_workers]]&lt;Tb_data[[#This Row],[workers]],"yes","no")</f>
        <v>yes</v>
      </c>
      <c r="L1880">
        <f>Tb_data[[#This Row],[workers]]-Tb_data[[#This Row],[previous_workers]]</f>
        <v>105</v>
      </c>
      <c r="M1880" s="12">
        <f>Tb_data[[#This Row],[Employees Growth]]/Tb_data[[#This Row],[previous_workers]]</f>
        <v>3.28125</v>
      </c>
    </row>
    <row r="1881" spans="1:13" x14ac:dyDescent="0.25">
      <c r="A1881" s="1" t="s">
        <v>4726</v>
      </c>
      <c r="B1881" s="1" t="s">
        <v>4727</v>
      </c>
      <c r="C1881" s="1">
        <v>31600000</v>
      </c>
      <c r="D1881" s="1" t="s">
        <v>69</v>
      </c>
      <c r="E1881">
        <v>173.6276</v>
      </c>
      <c r="F1881" s="1" t="s">
        <v>86</v>
      </c>
      <c r="G1881">
        <v>160</v>
      </c>
      <c r="H1881">
        <v>48</v>
      </c>
      <c r="I1881" s="1" t="s">
        <v>1051</v>
      </c>
      <c r="J1881">
        <v>1</v>
      </c>
      <c r="K1881" t="str">
        <f>IF(Tb_data[[#This Row],[previous_workers]]&lt;Tb_data[[#This Row],[workers]],"yes","no")</f>
        <v>yes</v>
      </c>
      <c r="L1881">
        <f>Tb_data[[#This Row],[workers]]-Tb_data[[#This Row],[previous_workers]]</f>
        <v>112</v>
      </c>
      <c r="M1881" s="12">
        <f>Tb_data[[#This Row],[Employees Growth]]/Tb_data[[#This Row],[previous_workers]]</f>
        <v>2.3333333333333335</v>
      </c>
    </row>
    <row r="1882" spans="1:13" x14ac:dyDescent="0.25">
      <c r="A1882" s="1" t="s">
        <v>4190</v>
      </c>
      <c r="B1882" s="1" t="s">
        <v>4191</v>
      </c>
      <c r="C1882" s="1">
        <v>15100000</v>
      </c>
      <c r="D1882" s="1" t="s">
        <v>129</v>
      </c>
      <c r="E1882">
        <v>196.00649999999999</v>
      </c>
      <c r="F1882" s="1" t="s">
        <v>135</v>
      </c>
      <c r="G1882">
        <v>73</v>
      </c>
      <c r="H1882">
        <v>31</v>
      </c>
      <c r="I1882" s="1" t="s">
        <v>194</v>
      </c>
      <c r="J1882">
        <v>1</v>
      </c>
      <c r="K1882" t="str">
        <f>IF(Tb_data[[#This Row],[previous_workers]]&lt;Tb_data[[#This Row],[workers]],"yes","no")</f>
        <v>yes</v>
      </c>
      <c r="L1882">
        <f>Tb_data[[#This Row],[workers]]-Tb_data[[#This Row],[previous_workers]]</f>
        <v>42</v>
      </c>
      <c r="M1882" s="12">
        <f>Tb_data[[#This Row],[Employees Growth]]/Tb_data[[#This Row],[previous_workers]]</f>
        <v>1.3548387096774193</v>
      </c>
    </row>
    <row r="1883" spans="1:13" x14ac:dyDescent="0.25">
      <c r="A1883" s="1" t="s">
        <v>2340</v>
      </c>
      <c r="B1883" s="1" t="s">
        <v>2341</v>
      </c>
      <c r="C1883" s="1">
        <v>3000000</v>
      </c>
      <c r="D1883" s="1" t="s">
        <v>33</v>
      </c>
      <c r="E1883">
        <v>375.51409999999998</v>
      </c>
      <c r="F1883" s="1" t="s">
        <v>21</v>
      </c>
      <c r="G1883">
        <v>11</v>
      </c>
      <c r="H1883">
        <v>4</v>
      </c>
      <c r="I1883" s="1" t="s">
        <v>130</v>
      </c>
      <c r="J1883">
        <v>1</v>
      </c>
      <c r="K1883" t="str">
        <f>IF(Tb_data[[#This Row],[previous_workers]]&lt;Tb_data[[#This Row],[workers]],"yes","no")</f>
        <v>yes</v>
      </c>
      <c r="L1883">
        <f>Tb_data[[#This Row],[workers]]-Tb_data[[#This Row],[previous_workers]]</f>
        <v>7</v>
      </c>
      <c r="M1883" s="12">
        <f>Tb_data[[#This Row],[Employees Growth]]/Tb_data[[#This Row],[previous_workers]]</f>
        <v>1.75</v>
      </c>
    </row>
    <row r="1884" spans="1:13" x14ac:dyDescent="0.25">
      <c r="A1884" s="1" t="s">
        <v>1986</v>
      </c>
      <c r="B1884" s="1" t="s">
        <v>1987</v>
      </c>
      <c r="C1884" s="1">
        <v>2700000</v>
      </c>
      <c r="D1884" s="1" t="s">
        <v>11</v>
      </c>
      <c r="E1884">
        <v>453.05779999999999</v>
      </c>
      <c r="F1884" s="1" t="s">
        <v>112</v>
      </c>
      <c r="G1884">
        <v>10</v>
      </c>
      <c r="H1884">
        <v>3</v>
      </c>
      <c r="I1884" s="1" t="s">
        <v>26</v>
      </c>
      <c r="J1884">
        <v>1</v>
      </c>
      <c r="K1884" t="str">
        <f>IF(Tb_data[[#This Row],[previous_workers]]&lt;Tb_data[[#This Row],[workers]],"yes","no")</f>
        <v>yes</v>
      </c>
      <c r="L1884">
        <f>Tb_data[[#This Row],[workers]]-Tb_data[[#This Row],[previous_workers]]</f>
        <v>7</v>
      </c>
      <c r="M1884" s="12">
        <f>Tb_data[[#This Row],[Employees Growth]]/Tb_data[[#This Row],[previous_workers]]</f>
        <v>2.3333333333333335</v>
      </c>
    </row>
    <row r="1885" spans="1:13" x14ac:dyDescent="0.25">
      <c r="A1885" s="1" t="s">
        <v>4752</v>
      </c>
      <c r="B1885" s="1" t="s">
        <v>4753</v>
      </c>
      <c r="C1885" s="1">
        <v>27400000</v>
      </c>
      <c r="D1885" s="1" t="s">
        <v>123</v>
      </c>
      <c r="E1885">
        <v>172.59620000000001</v>
      </c>
      <c r="F1885" s="1" t="s">
        <v>34</v>
      </c>
      <c r="G1885">
        <v>166</v>
      </c>
      <c r="H1885">
        <v>83</v>
      </c>
      <c r="I1885" s="1" t="s">
        <v>164</v>
      </c>
      <c r="J1885">
        <v>3</v>
      </c>
      <c r="K1885" t="str">
        <f>IF(Tb_data[[#This Row],[previous_workers]]&lt;Tb_data[[#This Row],[workers]],"yes","no")</f>
        <v>yes</v>
      </c>
      <c r="L1885">
        <f>Tb_data[[#This Row],[workers]]-Tb_data[[#This Row],[previous_workers]]</f>
        <v>83</v>
      </c>
      <c r="M1885" s="12">
        <f>Tb_data[[#This Row],[Employees Growth]]/Tb_data[[#This Row],[previous_workers]]</f>
        <v>1</v>
      </c>
    </row>
    <row r="1886" spans="1:13" x14ac:dyDescent="0.25">
      <c r="A1886" s="1" t="s">
        <v>1424</v>
      </c>
      <c r="B1886" s="1" t="s">
        <v>1425</v>
      </c>
      <c r="C1886" s="1">
        <v>12100000</v>
      </c>
      <c r="D1886" s="1" t="s">
        <v>129</v>
      </c>
      <c r="E1886">
        <v>662.32460000000003</v>
      </c>
      <c r="F1886" s="1" t="s">
        <v>17</v>
      </c>
      <c r="G1886">
        <v>47</v>
      </c>
      <c r="H1886">
        <v>8</v>
      </c>
      <c r="I1886" s="1" t="s">
        <v>26</v>
      </c>
      <c r="J1886">
        <v>2</v>
      </c>
      <c r="K1886" t="str">
        <f>IF(Tb_data[[#This Row],[previous_workers]]&lt;Tb_data[[#This Row],[workers]],"yes","no")</f>
        <v>yes</v>
      </c>
      <c r="L1886">
        <f>Tb_data[[#This Row],[workers]]-Tb_data[[#This Row],[previous_workers]]</f>
        <v>39</v>
      </c>
      <c r="M1886" s="12">
        <f>Tb_data[[#This Row],[Employees Growth]]/Tb_data[[#This Row],[previous_workers]]</f>
        <v>4.875</v>
      </c>
    </row>
    <row r="1887" spans="1:13" x14ac:dyDescent="0.25">
      <c r="A1887" s="1" t="s">
        <v>3119</v>
      </c>
      <c r="B1887" s="1" t="s">
        <v>3120</v>
      </c>
      <c r="C1887" s="1">
        <v>6900000</v>
      </c>
      <c r="D1887" s="1" t="s">
        <v>155</v>
      </c>
      <c r="E1887">
        <v>275.83190000000002</v>
      </c>
      <c r="F1887" s="1" t="s">
        <v>30</v>
      </c>
      <c r="G1887">
        <v>10</v>
      </c>
      <c r="H1887">
        <v>5</v>
      </c>
      <c r="I1887" s="1" t="s">
        <v>55</v>
      </c>
      <c r="J1887">
        <v>2</v>
      </c>
      <c r="K1887" t="str">
        <f>IF(Tb_data[[#This Row],[previous_workers]]&lt;Tb_data[[#This Row],[workers]],"yes","no")</f>
        <v>yes</v>
      </c>
      <c r="L1887">
        <f>Tb_data[[#This Row],[workers]]-Tb_data[[#This Row],[previous_workers]]</f>
        <v>5</v>
      </c>
      <c r="M1887" s="12">
        <f>Tb_data[[#This Row],[Employees Growth]]/Tb_data[[#This Row],[previous_workers]]</f>
        <v>1</v>
      </c>
    </row>
    <row r="1888" spans="1:13" x14ac:dyDescent="0.25">
      <c r="A1888" s="1" t="s">
        <v>3795</v>
      </c>
      <c r="B1888" s="1" t="s">
        <v>3796</v>
      </c>
      <c r="C1888" s="1">
        <v>44300000</v>
      </c>
      <c r="D1888" s="1" t="s">
        <v>1002</v>
      </c>
      <c r="E1888">
        <v>221.78110000000001</v>
      </c>
      <c r="F1888" s="1" t="s">
        <v>34</v>
      </c>
      <c r="G1888">
        <v>3543</v>
      </c>
      <c r="H1888">
        <v>1170</v>
      </c>
      <c r="I1888" s="1" t="s">
        <v>372</v>
      </c>
      <c r="J1888">
        <v>4</v>
      </c>
      <c r="K1888" t="str">
        <f>IF(Tb_data[[#This Row],[previous_workers]]&lt;Tb_data[[#This Row],[workers]],"yes","no")</f>
        <v>yes</v>
      </c>
      <c r="L1888">
        <f>Tb_data[[#This Row],[workers]]-Tb_data[[#This Row],[previous_workers]]</f>
        <v>2373</v>
      </c>
      <c r="M1888" s="12">
        <f>Tb_data[[#This Row],[Employees Growth]]/Tb_data[[#This Row],[previous_workers]]</f>
        <v>2.0282051282051281</v>
      </c>
    </row>
    <row r="1889" spans="1:13" x14ac:dyDescent="0.25">
      <c r="A1889" s="1" t="s">
        <v>9756</v>
      </c>
      <c r="B1889" s="1" t="s">
        <v>9757</v>
      </c>
      <c r="C1889" s="1">
        <v>4800000</v>
      </c>
      <c r="D1889" s="1" t="s">
        <v>49</v>
      </c>
      <c r="E1889">
        <v>57.214500000000001</v>
      </c>
      <c r="F1889" s="1" t="s">
        <v>3264</v>
      </c>
      <c r="G1889">
        <v>33</v>
      </c>
      <c r="H1889">
        <v>28</v>
      </c>
      <c r="I1889" s="1" t="s">
        <v>35</v>
      </c>
      <c r="J1889">
        <v>3</v>
      </c>
      <c r="K1889" t="str">
        <f>IF(Tb_data[[#This Row],[previous_workers]]&lt;Tb_data[[#This Row],[workers]],"yes","no")</f>
        <v>yes</v>
      </c>
      <c r="L1889">
        <f>Tb_data[[#This Row],[workers]]-Tb_data[[#This Row],[previous_workers]]</f>
        <v>5</v>
      </c>
      <c r="M1889" s="12">
        <f>Tb_data[[#This Row],[Employees Growth]]/Tb_data[[#This Row],[previous_workers]]</f>
        <v>0.17857142857142858</v>
      </c>
    </row>
    <row r="1890" spans="1:13" x14ac:dyDescent="0.25">
      <c r="A1890" s="1" t="s">
        <v>8273</v>
      </c>
      <c r="B1890" s="1" t="s">
        <v>8274</v>
      </c>
      <c r="C1890" s="1">
        <v>6300000</v>
      </c>
      <c r="D1890" s="1" t="s">
        <v>49</v>
      </c>
      <c r="E1890">
        <v>78.09</v>
      </c>
      <c r="F1890" s="1" t="s">
        <v>30</v>
      </c>
      <c r="G1890">
        <v>30</v>
      </c>
      <c r="H1890">
        <v>19</v>
      </c>
      <c r="I1890" s="1" t="s">
        <v>46</v>
      </c>
      <c r="J1890">
        <v>6</v>
      </c>
      <c r="K1890" t="str">
        <f>IF(Tb_data[[#This Row],[previous_workers]]&lt;Tb_data[[#This Row],[workers]],"yes","no")</f>
        <v>yes</v>
      </c>
      <c r="L1890">
        <f>Tb_data[[#This Row],[workers]]-Tb_data[[#This Row],[previous_workers]]</f>
        <v>11</v>
      </c>
      <c r="M1890" s="12">
        <f>Tb_data[[#This Row],[Employees Growth]]/Tb_data[[#This Row],[previous_workers]]</f>
        <v>0.57894736842105265</v>
      </c>
    </row>
    <row r="1891" spans="1:13" x14ac:dyDescent="0.25">
      <c r="A1891" s="1" t="s">
        <v>8512</v>
      </c>
      <c r="B1891" s="1" t="s">
        <v>8513</v>
      </c>
      <c r="C1891" s="1">
        <v>6100000</v>
      </c>
      <c r="D1891" s="1" t="s">
        <v>49</v>
      </c>
      <c r="E1891">
        <v>73.932199999999995</v>
      </c>
      <c r="F1891" s="1" t="s">
        <v>86</v>
      </c>
      <c r="G1891">
        <v>43</v>
      </c>
      <c r="H1891">
        <v>35</v>
      </c>
      <c r="I1891" s="1" t="s">
        <v>1411</v>
      </c>
      <c r="J1891">
        <v>5</v>
      </c>
      <c r="K1891" t="str">
        <f>IF(Tb_data[[#This Row],[previous_workers]]&lt;Tb_data[[#This Row],[workers]],"yes","no")</f>
        <v>yes</v>
      </c>
      <c r="L1891">
        <f>Tb_data[[#This Row],[workers]]-Tb_data[[#This Row],[previous_workers]]</f>
        <v>8</v>
      </c>
      <c r="M1891" s="12">
        <f>Tb_data[[#This Row],[Employees Growth]]/Tb_data[[#This Row],[previous_workers]]</f>
        <v>0.22857142857142856</v>
      </c>
    </row>
    <row r="1892" spans="1:13" x14ac:dyDescent="0.25">
      <c r="A1892" s="1" t="s">
        <v>6173</v>
      </c>
      <c r="B1892" s="1" t="s">
        <v>6174</v>
      </c>
      <c r="C1892" s="1">
        <v>2500000</v>
      </c>
      <c r="D1892" s="1" t="s">
        <v>52</v>
      </c>
      <c r="E1892">
        <v>121.74299999999999</v>
      </c>
      <c r="F1892" s="1" t="s">
        <v>21</v>
      </c>
      <c r="G1892">
        <v>50</v>
      </c>
      <c r="H1892">
        <v>25</v>
      </c>
      <c r="I1892" s="1" t="s">
        <v>26</v>
      </c>
      <c r="J1892">
        <v>1</v>
      </c>
      <c r="K1892" t="str">
        <f>IF(Tb_data[[#This Row],[previous_workers]]&lt;Tb_data[[#This Row],[workers]],"yes","no")</f>
        <v>yes</v>
      </c>
      <c r="L1892">
        <f>Tb_data[[#This Row],[workers]]-Tb_data[[#This Row],[previous_workers]]</f>
        <v>25</v>
      </c>
      <c r="M1892" s="12">
        <f>Tb_data[[#This Row],[Employees Growth]]/Tb_data[[#This Row],[previous_workers]]</f>
        <v>1</v>
      </c>
    </row>
    <row r="1893" spans="1:13" x14ac:dyDescent="0.25">
      <c r="A1893" s="1" t="s">
        <v>693</v>
      </c>
      <c r="B1893" s="1" t="s">
        <v>694</v>
      </c>
      <c r="C1893" s="1">
        <v>2700000</v>
      </c>
      <c r="D1893" s="1" t="s">
        <v>58</v>
      </c>
      <c r="E1893">
        <v>1488.4058</v>
      </c>
      <c r="F1893" s="1" t="s">
        <v>25</v>
      </c>
      <c r="G1893">
        <v>46</v>
      </c>
      <c r="H1893">
        <v>2</v>
      </c>
      <c r="I1893" s="1" t="s">
        <v>26</v>
      </c>
      <c r="J1893">
        <v>1</v>
      </c>
      <c r="K1893" t="str">
        <f>IF(Tb_data[[#This Row],[previous_workers]]&lt;Tb_data[[#This Row],[workers]],"yes","no")</f>
        <v>yes</v>
      </c>
      <c r="L1893">
        <f>Tb_data[[#This Row],[workers]]-Tb_data[[#This Row],[previous_workers]]</f>
        <v>44</v>
      </c>
      <c r="M1893" s="12">
        <f>Tb_data[[#This Row],[Employees Growth]]/Tb_data[[#This Row],[previous_workers]]</f>
        <v>22</v>
      </c>
    </row>
    <row r="1894" spans="1:13" x14ac:dyDescent="0.25">
      <c r="A1894" s="1" t="s">
        <v>328</v>
      </c>
      <c r="B1894" s="1" t="s">
        <v>329</v>
      </c>
      <c r="C1894" s="1">
        <v>4700000</v>
      </c>
      <c r="D1894" s="1" t="s">
        <v>33</v>
      </c>
      <c r="E1894">
        <v>2773.5884000000001</v>
      </c>
      <c r="F1894" s="1" t="s">
        <v>176</v>
      </c>
      <c r="G1894">
        <v>25</v>
      </c>
      <c r="H1894">
        <v>5</v>
      </c>
      <c r="I1894" s="1" t="s">
        <v>13</v>
      </c>
      <c r="J1894">
        <v>1</v>
      </c>
      <c r="K1894" t="str">
        <f>IF(Tb_data[[#This Row],[previous_workers]]&lt;Tb_data[[#This Row],[workers]],"yes","no")</f>
        <v>yes</v>
      </c>
      <c r="L1894">
        <f>Tb_data[[#This Row],[workers]]-Tb_data[[#This Row],[previous_workers]]</f>
        <v>20</v>
      </c>
      <c r="M1894" s="12">
        <f>Tb_data[[#This Row],[Employees Growth]]/Tb_data[[#This Row],[previous_workers]]</f>
        <v>4</v>
      </c>
    </row>
    <row r="1895" spans="1:13" x14ac:dyDescent="0.25">
      <c r="A1895" s="1" t="s">
        <v>7288</v>
      </c>
      <c r="B1895" s="1" t="s">
        <v>7289</v>
      </c>
      <c r="C1895" s="1">
        <v>5900000</v>
      </c>
      <c r="D1895" s="1" t="s">
        <v>895</v>
      </c>
      <c r="E1895">
        <v>97.184399999999997</v>
      </c>
      <c r="F1895" s="1" t="s">
        <v>12</v>
      </c>
      <c r="G1895">
        <v>34</v>
      </c>
      <c r="H1895">
        <v>20</v>
      </c>
      <c r="I1895" s="1" t="s">
        <v>35</v>
      </c>
      <c r="J1895">
        <v>4</v>
      </c>
      <c r="K1895" t="str">
        <f>IF(Tb_data[[#This Row],[previous_workers]]&lt;Tb_data[[#This Row],[workers]],"yes","no")</f>
        <v>yes</v>
      </c>
      <c r="L1895">
        <f>Tb_data[[#This Row],[workers]]-Tb_data[[#This Row],[previous_workers]]</f>
        <v>14</v>
      </c>
      <c r="M1895" s="12">
        <f>Tb_data[[#This Row],[Employees Growth]]/Tb_data[[#This Row],[previous_workers]]</f>
        <v>0.7</v>
      </c>
    </row>
    <row r="1896" spans="1:13" x14ac:dyDescent="0.25">
      <c r="A1896" s="1" t="s">
        <v>4230</v>
      </c>
      <c r="B1896" s="1" t="s">
        <v>4231</v>
      </c>
      <c r="C1896" s="1">
        <v>36100000</v>
      </c>
      <c r="D1896" s="1" t="s">
        <v>29</v>
      </c>
      <c r="E1896">
        <v>194.68430000000001</v>
      </c>
      <c r="F1896" s="1" t="s">
        <v>176</v>
      </c>
      <c r="G1896">
        <v>97</v>
      </c>
      <c r="H1896">
        <v>58</v>
      </c>
      <c r="I1896" s="1" t="s">
        <v>2225</v>
      </c>
      <c r="J1896">
        <v>4</v>
      </c>
      <c r="K1896" t="str">
        <f>IF(Tb_data[[#This Row],[previous_workers]]&lt;Tb_data[[#This Row],[workers]],"yes","no")</f>
        <v>yes</v>
      </c>
      <c r="L1896">
        <f>Tb_data[[#This Row],[workers]]-Tb_data[[#This Row],[previous_workers]]</f>
        <v>39</v>
      </c>
      <c r="M1896" s="12">
        <f>Tb_data[[#This Row],[Employees Growth]]/Tb_data[[#This Row],[previous_workers]]</f>
        <v>0.67241379310344829</v>
      </c>
    </row>
    <row r="1897" spans="1:13" x14ac:dyDescent="0.25">
      <c r="A1897" s="1" t="s">
        <v>4224</v>
      </c>
      <c r="B1897" s="1" t="s">
        <v>4225</v>
      </c>
      <c r="C1897" s="1">
        <v>2700000</v>
      </c>
      <c r="D1897" s="1" t="s">
        <v>115</v>
      </c>
      <c r="E1897">
        <v>194.86500000000001</v>
      </c>
      <c r="F1897" s="1" t="s">
        <v>169</v>
      </c>
      <c r="G1897">
        <v>18</v>
      </c>
      <c r="H1897">
        <v>8</v>
      </c>
      <c r="I1897" s="1" t="s">
        <v>35</v>
      </c>
      <c r="J1897">
        <v>2</v>
      </c>
      <c r="K1897" t="str">
        <f>IF(Tb_data[[#This Row],[previous_workers]]&lt;Tb_data[[#This Row],[workers]],"yes","no")</f>
        <v>yes</v>
      </c>
      <c r="L1897">
        <f>Tb_data[[#This Row],[workers]]-Tb_data[[#This Row],[previous_workers]]</f>
        <v>10</v>
      </c>
      <c r="M1897" s="12">
        <f>Tb_data[[#This Row],[Employees Growth]]/Tb_data[[#This Row],[previous_workers]]</f>
        <v>1.25</v>
      </c>
    </row>
    <row r="1898" spans="1:13" x14ac:dyDescent="0.25">
      <c r="A1898" s="1" t="s">
        <v>5018</v>
      </c>
      <c r="B1898" s="1" t="s">
        <v>5019</v>
      </c>
      <c r="C1898" s="1">
        <v>3800000</v>
      </c>
      <c r="D1898" s="1" t="s">
        <v>52</v>
      </c>
      <c r="E1898">
        <v>161.1591</v>
      </c>
      <c r="F1898" s="1" t="s">
        <v>12</v>
      </c>
      <c r="G1898">
        <v>33</v>
      </c>
      <c r="H1898">
        <v>14</v>
      </c>
      <c r="I1898" s="1" t="s">
        <v>194</v>
      </c>
      <c r="J1898">
        <v>2</v>
      </c>
      <c r="K1898" t="str">
        <f>IF(Tb_data[[#This Row],[previous_workers]]&lt;Tb_data[[#This Row],[workers]],"yes","no")</f>
        <v>yes</v>
      </c>
      <c r="L1898">
        <f>Tb_data[[#This Row],[workers]]-Tb_data[[#This Row],[previous_workers]]</f>
        <v>19</v>
      </c>
      <c r="M1898" s="12">
        <f>Tb_data[[#This Row],[Employees Growth]]/Tb_data[[#This Row],[previous_workers]]</f>
        <v>1.3571428571428572</v>
      </c>
    </row>
    <row r="1899" spans="1:13" x14ac:dyDescent="0.25">
      <c r="A1899" s="1" t="s">
        <v>6065</v>
      </c>
      <c r="B1899" s="1" t="s">
        <v>6066</v>
      </c>
      <c r="C1899" s="1">
        <v>14200000</v>
      </c>
      <c r="D1899" s="1" t="s">
        <v>49</v>
      </c>
      <c r="E1899">
        <v>125.117</v>
      </c>
      <c r="F1899" s="1" t="s">
        <v>161</v>
      </c>
      <c r="G1899">
        <v>15</v>
      </c>
      <c r="H1899">
        <v>3</v>
      </c>
      <c r="I1899" s="1" t="s">
        <v>130</v>
      </c>
      <c r="J1899">
        <v>1</v>
      </c>
      <c r="K1899" t="str">
        <f>IF(Tb_data[[#This Row],[previous_workers]]&lt;Tb_data[[#This Row],[workers]],"yes","no")</f>
        <v>yes</v>
      </c>
      <c r="L1899">
        <f>Tb_data[[#This Row],[workers]]-Tb_data[[#This Row],[previous_workers]]</f>
        <v>12</v>
      </c>
      <c r="M1899" s="12">
        <f>Tb_data[[#This Row],[Employees Growth]]/Tb_data[[#This Row],[previous_workers]]</f>
        <v>4</v>
      </c>
    </row>
    <row r="1900" spans="1:13" x14ac:dyDescent="0.25">
      <c r="A1900" s="1" t="s">
        <v>5604</v>
      </c>
      <c r="B1900" s="1" t="s">
        <v>5605</v>
      </c>
      <c r="C1900" s="1">
        <v>9300000</v>
      </c>
      <c r="D1900" s="1" t="s">
        <v>155</v>
      </c>
      <c r="E1900">
        <v>138.1583</v>
      </c>
      <c r="F1900" s="1" t="s">
        <v>62</v>
      </c>
      <c r="G1900">
        <v>36</v>
      </c>
      <c r="H1900">
        <v>12</v>
      </c>
      <c r="I1900" s="1" t="s">
        <v>130</v>
      </c>
      <c r="J1900">
        <v>3</v>
      </c>
      <c r="K1900" t="str">
        <f>IF(Tb_data[[#This Row],[previous_workers]]&lt;Tb_data[[#This Row],[workers]],"yes","no")</f>
        <v>yes</v>
      </c>
      <c r="L1900">
        <f>Tb_data[[#This Row],[workers]]-Tb_data[[#This Row],[previous_workers]]</f>
        <v>24</v>
      </c>
      <c r="M1900" s="12">
        <f>Tb_data[[#This Row],[Employees Growth]]/Tb_data[[#This Row],[previous_workers]]</f>
        <v>2</v>
      </c>
    </row>
    <row r="1901" spans="1:13" x14ac:dyDescent="0.25">
      <c r="A1901" s="1" t="s">
        <v>1746</v>
      </c>
      <c r="B1901" s="1" t="s">
        <v>1747</v>
      </c>
      <c r="C1901" s="1">
        <v>2400000</v>
      </c>
      <c r="D1901" s="1" t="s">
        <v>49</v>
      </c>
      <c r="E1901">
        <v>521.67849999999999</v>
      </c>
      <c r="F1901" s="1" t="s">
        <v>25</v>
      </c>
      <c r="G1901">
        <v>24</v>
      </c>
      <c r="H1901">
        <v>3</v>
      </c>
      <c r="I1901" s="1" t="s">
        <v>55</v>
      </c>
      <c r="J1901">
        <v>1</v>
      </c>
      <c r="K1901" t="str">
        <f>IF(Tb_data[[#This Row],[previous_workers]]&lt;Tb_data[[#This Row],[workers]],"yes","no")</f>
        <v>yes</v>
      </c>
      <c r="L1901">
        <f>Tb_data[[#This Row],[workers]]-Tb_data[[#This Row],[previous_workers]]</f>
        <v>21</v>
      </c>
      <c r="M1901" s="12">
        <f>Tb_data[[#This Row],[Employees Growth]]/Tb_data[[#This Row],[previous_workers]]</f>
        <v>7</v>
      </c>
    </row>
    <row r="1902" spans="1:13" x14ac:dyDescent="0.25">
      <c r="A1902" s="1" t="s">
        <v>2648</v>
      </c>
      <c r="B1902" s="1" t="s">
        <v>2649</v>
      </c>
      <c r="C1902" s="1">
        <v>7600000</v>
      </c>
      <c r="D1902" s="1" t="s">
        <v>49</v>
      </c>
      <c r="E1902">
        <v>326.81119999999999</v>
      </c>
      <c r="F1902" s="1" t="s">
        <v>124</v>
      </c>
      <c r="G1902">
        <v>20</v>
      </c>
      <c r="H1902">
        <v>2</v>
      </c>
      <c r="I1902" s="1" t="s">
        <v>130</v>
      </c>
      <c r="J1902">
        <v>2</v>
      </c>
      <c r="K1902" t="str">
        <f>IF(Tb_data[[#This Row],[previous_workers]]&lt;Tb_data[[#This Row],[workers]],"yes","no")</f>
        <v>yes</v>
      </c>
      <c r="L1902">
        <f>Tb_data[[#This Row],[workers]]-Tb_data[[#This Row],[previous_workers]]</f>
        <v>18</v>
      </c>
      <c r="M1902" s="12">
        <f>Tb_data[[#This Row],[Employees Growth]]/Tb_data[[#This Row],[previous_workers]]</f>
        <v>9</v>
      </c>
    </row>
    <row r="1903" spans="1:13" x14ac:dyDescent="0.25">
      <c r="A1903" s="1" t="s">
        <v>808</v>
      </c>
      <c r="B1903" s="1" t="s">
        <v>809</v>
      </c>
      <c r="C1903" s="1">
        <v>5900000</v>
      </c>
      <c r="D1903" s="1" t="s">
        <v>49</v>
      </c>
      <c r="E1903">
        <v>1275.5934</v>
      </c>
      <c r="F1903" s="1" t="s">
        <v>86</v>
      </c>
      <c r="G1903">
        <v>80</v>
      </c>
      <c r="H1903">
        <v>5</v>
      </c>
      <c r="I1903" s="1" t="s">
        <v>26</v>
      </c>
      <c r="J1903">
        <v>1</v>
      </c>
      <c r="K1903" t="str">
        <f>IF(Tb_data[[#This Row],[previous_workers]]&lt;Tb_data[[#This Row],[workers]],"yes","no")</f>
        <v>yes</v>
      </c>
      <c r="L1903">
        <f>Tb_data[[#This Row],[workers]]-Tb_data[[#This Row],[previous_workers]]</f>
        <v>75</v>
      </c>
      <c r="M1903" s="12">
        <f>Tb_data[[#This Row],[Employees Growth]]/Tb_data[[#This Row],[previous_workers]]</f>
        <v>15</v>
      </c>
    </row>
    <row r="1904" spans="1:13" x14ac:dyDescent="0.25">
      <c r="A1904" s="1" t="s">
        <v>3866</v>
      </c>
      <c r="B1904" s="1" t="s">
        <v>3867</v>
      </c>
      <c r="C1904" s="1">
        <v>22700000</v>
      </c>
      <c r="D1904" s="1" t="s">
        <v>627</v>
      </c>
      <c r="E1904">
        <v>216.52799999999999</v>
      </c>
      <c r="F1904" s="1" t="s">
        <v>156</v>
      </c>
      <c r="G1904">
        <v>70</v>
      </c>
      <c r="H1904">
        <v>55</v>
      </c>
      <c r="I1904" s="1" t="s">
        <v>164</v>
      </c>
      <c r="J1904">
        <v>4</v>
      </c>
      <c r="K1904" t="str">
        <f>IF(Tb_data[[#This Row],[previous_workers]]&lt;Tb_data[[#This Row],[workers]],"yes","no")</f>
        <v>yes</v>
      </c>
      <c r="L1904">
        <f>Tb_data[[#This Row],[workers]]-Tb_data[[#This Row],[previous_workers]]</f>
        <v>15</v>
      </c>
      <c r="M1904" s="12">
        <f>Tb_data[[#This Row],[Employees Growth]]/Tb_data[[#This Row],[previous_workers]]</f>
        <v>0.27272727272727271</v>
      </c>
    </row>
    <row r="1905" spans="1:13" x14ac:dyDescent="0.25">
      <c r="A1905" s="1" t="s">
        <v>9980</v>
      </c>
      <c r="B1905" s="1" t="s">
        <v>9981</v>
      </c>
      <c r="C1905" s="1">
        <v>15700000</v>
      </c>
      <c r="D1905" s="1" t="s">
        <v>29</v>
      </c>
      <c r="E1905">
        <v>53.820999999999998</v>
      </c>
      <c r="F1905" s="1" t="s">
        <v>25</v>
      </c>
      <c r="G1905">
        <v>132</v>
      </c>
      <c r="H1905">
        <v>85</v>
      </c>
      <c r="I1905" s="1" t="s">
        <v>147</v>
      </c>
      <c r="J1905">
        <v>7</v>
      </c>
      <c r="K1905" t="str">
        <f>IF(Tb_data[[#This Row],[previous_workers]]&lt;Tb_data[[#This Row],[workers]],"yes","no")</f>
        <v>yes</v>
      </c>
      <c r="L1905">
        <f>Tb_data[[#This Row],[workers]]-Tb_data[[#This Row],[previous_workers]]</f>
        <v>47</v>
      </c>
      <c r="M1905" s="12">
        <f>Tb_data[[#This Row],[Employees Growth]]/Tb_data[[#This Row],[previous_workers]]</f>
        <v>0.55294117647058827</v>
      </c>
    </row>
    <row r="1906" spans="1:13" x14ac:dyDescent="0.25">
      <c r="A1906" s="1" t="s">
        <v>9958</v>
      </c>
      <c r="B1906" s="1" t="s">
        <v>9959</v>
      </c>
      <c r="C1906" s="1">
        <v>21600000</v>
      </c>
      <c r="D1906" s="1" t="s">
        <v>16</v>
      </c>
      <c r="E1906">
        <v>54.204700000000003</v>
      </c>
      <c r="F1906" s="1" t="s">
        <v>17</v>
      </c>
      <c r="G1906">
        <v>0</v>
      </c>
      <c r="H1906">
        <v>48</v>
      </c>
      <c r="I1906" s="1" t="s">
        <v>372</v>
      </c>
      <c r="J1906">
        <v>3</v>
      </c>
      <c r="K1906" t="str">
        <f>IF(Tb_data[[#This Row],[previous_workers]]&lt;Tb_data[[#This Row],[workers]],"yes","no")</f>
        <v>no</v>
      </c>
      <c r="L1906">
        <f>Tb_data[[#This Row],[workers]]-Tb_data[[#This Row],[previous_workers]]</f>
        <v>-48</v>
      </c>
      <c r="M1906" s="12">
        <f>Tb_data[[#This Row],[Employees Growth]]/Tb_data[[#This Row],[previous_workers]]</f>
        <v>-1</v>
      </c>
    </row>
    <row r="1907" spans="1:13" x14ac:dyDescent="0.25">
      <c r="A1907" s="1" t="s">
        <v>1272</v>
      </c>
      <c r="B1907" s="1" t="s">
        <v>1273</v>
      </c>
      <c r="C1907" s="1">
        <v>2500000</v>
      </c>
      <c r="D1907" s="1" t="s">
        <v>41</v>
      </c>
      <c r="E1907">
        <v>756.4864</v>
      </c>
      <c r="F1907" s="1" t="s">
        <v>514</v>
      </c>
      <c r="G1907">
        <v>14</v>
      </c>
      <c r="H1907">
        <v>2</v>
      </c>
      <c r="I1907" s="1" t="s">
        <v>117</v>
      </c>
      <c r="J1907">
        <v>2</v>
      </c>
      <c r="K1907" t="str">
        <f>IF(Tb_data[[#This Row],[previous_workers]]&lt;Tb_data[[#This Row],[workers]],"yes","no")</f>
        <v>yes</v>
      </c>
      <c r="L1907">
        <f>Tb_data[[#This Row],[workers]]-Tb_data[[#This Row],[previous_workers]]</f>
        <v>12</v>
      </c>
      <c r="M1907" s="12">
        <f>Tb_data[[#This Row],[Employees Growth]]/Tb_data[[#This Row],[previous_workers]]</f>
        <v>6</v>
      </c>
    </row>
    <row r="1908" spans="1:13" x14ac:dyDescent="0.25">
      <c r="A1908" s="1" t="s">
        <v>5098</v>
      </c>
      <c r="B1908" s="1" t="s">
        <v>5099</v>
      </c>
      <c r="C1908" s="1">
        <v>10300000</v>
      </c>
      <c r="D1908" s="1" t="s">
        <v>29</v>
      </c>
      <c r="E1908">
        <v>157.36799999999999</v>
      </c>
      <c r="F1908" s="1" t="s">
        <v>124</v>
      </c>
      <c r="G1908">
        <v>48</v>
      </c>
      <c r="H1908">
        <v>19</v>
      </c>
      <c r="I1908" s="1" t="s">
        <v>26</v>
      </c>
      <c r="J1908">
        <v>2</v>
      </c>
      <c r="K1908" t="str">
        <f>IF(Tb_data[[#This Row],[previous_workers]]&lt;Tb_data[[#This Row],[workers]],"yes","no")</f>
        <v>yes</v>
      </c>
      <c r="L1908">
        <f>Tb_data[[#This Row],[workers]]-Tb_data[[#This Row],[previous_workers]]</f>
        <v>29</v>
      </c>
      <c r="M1908" s="12">
        <f>Tb_data[[#This Row],[Employees Growth]]/Tb_data[[#This Row],[previous_workers]]</f>
        <v>1.5263157894736843</v>
      </c>
    </row>
    <row r="1909" spans="1:13" x14ac:dyDescent="0.25">
      <c r="A1909" s="1" t="s">
        <v>1340</v>
      </c>
      <c r="B1909" s="1" t="s">
        <v>1341</v>
      </c>
      <c r="C1909" s="1">
        <v>29600000</v>
      </c>
      <c r="D1909" s="1" t="s">
        <v>321</v>
      </c>
      <c r="E1909">
        <v>708.79520000000002</v>
      </c>
      <c r="F1909" s="1" t="s">
        <v>94</v>
      </c>
      <c r="G1909">
        <v>23</v>
      </c>
      <c r="H1909">
        <v>20</v>
      </c>
      <c r="I1909" s="1" t="s">
        <v>26</v>
      </c>
      <c r="J1909">
        <v>1</v>
      </c>
      <c r="K1909" t="str">
        <f>IF(Tb_data[[#This Row],[previous_workers]]&lt;Tb_data[[#This Row],[workers]],"yes","no")</f>
        <v>yes</v>
      </c>
      <c r="L1909">
        <f>Tb_data[[#This Row],[workers]]-Tb_data[[#This Row],[previous_workers]]</f>
        <v>3</v>
      </c>
      <c r="M1909" s="12">
        <f>Tb_data[[#This Row],[Employees Growth]]/Tb_data[[#This Row],[previous_workers]]</f>
        <v>0.15</v>
      </c>
    </row>
    <row r="1910" spans="1:13" x14ac:dyDescent="0.25">
      <c r="A1910" s="1" t="s">
        <v>1451</v>
      </c>
      <c r="B1910" s="1" t="s">
        <v>1452</v>
      </c>
      <c r="C1910" s="1">
        <v>2300000</v>
      </c>
      <c r="D1910" s="1" t="s">
        <v>129</v>
      </c>
      <c r="E1910">
        <v>648.04269999999997</v>
      </c>
      <c r="F1910" s="1" t="s">
        <v>135</v>
      </c>
      <c r="G1910">
        <v>11</v>
      </c>
      <c r="H1910">
        <v>6</v>
      </c>
      <c r="I1910" s="1" t="s">
        <v>26</v>
      </c>
      <c r="J1910">
        <v>1</v>
      </c>
      <c r="K1910" t="str">
        <f>IF(Tb_data[[#This Row],[previous_workers]]&lt;Tb_data[[#This Row],[workers]],"yes","no")</f>
        <v>yes</v>
      </c>
      <c r="L1910">
        <f>Tb_data[[#This Row],[workers]]-Tb_data[[#This Row],[previous_workers]]</f>
        <v>5</v>
      </c>
      <c r="M1910" s="12">
        <f>Tb_data[[#This Row],[Employees Growth]]/Tb_data[[#This Row],[previous_workers]]</f>
        <v>0.83333333333333337</v>
      </c>
    </row>
    <row r="1911" spans="1:13" x14ac:dyDescent="0.25">
      <c r="A1911" s="1" t="s">
        <v>5902</v>
      </c>
      <c r="B1911" s="1" t="s">
        <v>5903</v>
      </c>
      <c r="C1911" s="1">
        <v>6300000</v>
      </c>
      <c r="D1911" s="1" t="s">
        <v>179</v>
      </c>
      <c r="E1911">
        <v>128.8895</v>
      </c>
      <c r="F1911" s="1" t="s">
        <v>12</v>
      </c>
      <c r="G1911">
        <v>18</v>
      </c>
      <c r="H1911">
        <v>14</v>
      </c>
      <c r="I1911" s="1" t="s">
        <v>35</v>
      </c>
      <c r="J1911">
        <v>3</v>
      </c>
      <c r="K1911" t="str">
        <f>IF(Tb_data[[#This Row],[previous_workers]]&lt;Tb_data[[#This Row],[workers]],"yes","no")</f>
        <v>yes</v>
      </c>
      <c r="L1911">
        <f>Tb_data[[#This Row],[workers]]-Tb_data[[#This Row],[previous_workers]]</f>
        <v>4</v>
      </c>
      <c r="M1911" s="12">
        <f>Tb_data[[#This Row],[Employees Growth]]/Tb_data[[#This Row],[previous_workers]]</f>
        <v>0.2857142857142857</v>
      </c>
    </row>
    <row r="1912" spans="1:13" x14ac:dyDescent="0.25">
      <c r="A1912" s="1" t="s">
        <v>2193</v>
      </c>
      <c r="B1912" s="1" t="s">
        <v>2194</v>
      </c>
      <c r="C1912" s="1">
        <v>38000000</v>
      </c>
      <c r="D1912" s="1" t="s">
        <v>61</v>
      </c>
      <c r="E1912">
        <v>403.44659999999999</v>
      </c>
      <c r="F1912" s="1" t="s">
        <v>86</v>
      </c>
      <c r="G1912">
        <v>267</v>
      </c>
      <c r="H1912">
        <v>180</v>
      </c>
      <c r="I1912" s="1" t="s">
        <v>130</v>
      </c>
      <c r="J1912">
        <v>2</v>
      </c>
      <c r="K1912" t="str">
        <f>IF(Tb_data[[#This Row],[previous_workers]]&lt;Tb_data[[#This Row],[workers]],"yes","no")</f>
        <v>yes</v>
      </c>
      <c r="L1912">
        <f>Tb_data[[#This Row],[workers]]-Tb_data[[#This Row],[previous_workers]]</f>
        <v>87</v>
      </c>
      <c r="M1912" s="12">
        <f>Tb_data[[#This Row],[Employees Growth]]/Tb_data[[#This Row],[previous_workers]]</f>
        <v>0.48333333333333334</v>
      </c>
    </row>
    <row r="1913" spans="1:13" x14ac:dyDescent="0.25">
      <c r="A1913" s="1" t="s">
        <v>1815</v>
      </c>
      <c r="B1913" s="1" t="s">
        <v>1816</v>
      </c>
      <c r="C1913" s="1">
        <v>14600000</v>
      </c>
      <c r="D1913" s="1" t="s">
        <v>91</v>
      </c>
      <c r="E1913">
        <v>497.30079999999998</v>
      </c>
      <c r="F1913" s="1" t="s">
        <v>169</v>
      </c>
      <c r="G1913">
        <v>617</v>
      </c>
      <c r="H1913">
        <v>37</v>
      </c>
      <c r="I1913" s="1" t="s">
        <v>164</v>
      </c>
      <c r="J1913">
        <v>1</v>
      </c>
      <c r="K1913" t="str">
        <f>IF(Tb_data[[#This Row],[previous_workers]]&lt;Tb_data[[#This Row],[workers]],"yes","no")</f>
        <v>yes</v>
      </c>
      <c r="L1913">
        <f>Tb_data[[#This Row],[workers]]-Tb_data[[#This Row],[previous_workers]]</f>
        <v>580</v>
      </c>
      <c r="M1913" s="12">
        <f>Tb_data[[#This Row],[Employees Growth]]/Tb_data[[#This Row],[previous_workers]]</f>
        <v>15.675675675675675</v>
      </c>
    </row>
    <row r="1914" spans="1:13" x14ac:dyDescent="0.25">
      <c r="A1914" s="1" t="s">
        <v>5648</v>
      </c>
      <c r="B1914" s="1" t="s">
        <v>5649</v>
      </c>
      <c r="C1914" s="1">
        <v>188100000</v>
      </c>
      <c r="D1914" s="1" t="s">
        <v>69</v>
      </c>
      <c r="E1914">
        <v>136.0453</v>
      </c>
      <c r="F1914" s="1" t="s">
        <v>176</v>
      </c>
      <c r="G1914">
        <v>36</v>
      </c>
      <c r="H1914">
        <v>32</v>
      </c>
      <c r="I1914" s="1" t="s">
        <v>1411</v>
      </c>
      <c r="J1914">
        <v>7</v>
      </c>
      <c r="K1914" t="str">
        <f>IF(Tb_data[[#This Row],[previous_workers]]&lt;Tb_data[[#This Row],[workers]],"yes","no")</f>
        <v>yes</v>
      </c>
      <c r="L1914">
        <f>Tb_data[[#This Row],[workers]]-Tb_data[[#This Row],[previous_workers]]</f>
        <v>4</v>
      </c>
      <c r="M1914" s="12">
        <f>Tb_data[[#This Row],[Employees Growth]]/Tb_data[[#This Row],[previous_workers]]</f>
        <v>0.125</v>
      </c>
    </row>
    <row r="1915" spans="1:13" x14ac:dyDescent="0.25">
      <c r="A1915" s="1" t="s">
        <v>3467</v>
      </c>
      <c r="B1915" s="1" t="s">
        <v>3468</v>
      </c>
      <c r="C1915" s="1">
        <v>29600000</v>
      </c>
      <c r="D1915" s="1" t="s">
        <v>49</v>
      </c>
      <c r="E1915">
        <v>245.40260000000001</v>
      </c>
      <c r="F1915" s="1" t="s">
        <v>62</v>
      </c>
      <c r="G1915">
        <v>90</v>
      </c>
      <c r="H1915">
        <v>40</v>
      </c>
      <c r="I1915" s="1" t="s">
        <v>26</v>
      </c>
      <c r="J1915">
        <v>2</v>
      </c>
      <c r="K1915" t="str">
        <f>IF(Tb_data[[#This Row],[previous_workers]]&lt;Tb_data[[#This Row],[workers]],"yes","no")</f>
        <v>yes</v>
      </c>
      <c r="L1915">
        <f>Tb_data[[#This Row],[workers]]-Tb_data[[#This Row],[previous_workers]]</f>
        <v>50</v>
      </c>
      <c r="M1915" s="12">
        <f>Tb_data[[#This Row],[Employees Growth]]/Tb_data[[#This Row],[previous_workers]]</f>
        <v>1.25</v>
      </c>
    </row>
    <row r="1916" spans="1:13" x14ac:dyDescent="0.25">
      <c r="A1916" s="1" t="s">
        <v>6689</v>
      </c>
      <c r="B1916" s="1" t="s">
        <v>6690</v>
      </c>
      <c r="C1916" s="1">
        <v>31100000</v>
      </c>
      <c r="D1916" s="1" t="s">
        <v>29</v>
      </c>
      <c r="E1916">
        <v>109.46210000000001</v>
      </c>
      <c r="F1916" s="1" t="s">
        <v>86</v>
      </c>
      <c r="G1916">
        <v>150</v>
      </c>
      <c r="H1916">
        <v>86</v>
      </c>
      <c r="I1916" s="1" t="s">
        <v>46</v>
      </c>
      <c r="J1916">
        <v>7</v>
      </c>
      <c r="K1916" t="str">
        <f>IF(Tb_data[[#This Row],[previous_workers]]&lt;Tb_data[[#This Row],[workers]],"yes","no")</f>
        <v>yes</v>
      </c>
      <c r="L1916">
        <f>Tb_data[[#This Row],[workers]]-Tb_data[[#This Row],[previous_workers]]</f>
        <v>64</v>
      </c>
      <c r="M1916" s="12">
        <f>Tb_data[[#This Row],[Employees Growth]]/Tb_data[[#This Row],[previous_workers]]</f>
        <v>0.7441860465116279</v>
      </c>
    </row>
    <row r="1917" spans="1:13" x14ac:dyDescent="0.25">
      <c r="A1917" s="1" t="s">
        <v>209</v>
      </c>
      <c r="B1917" s="1" t="s">
        <v>210</v>
      </c>
      <c r="C1917" s="1">
        <v>6200000</v>
      </c>
      <c r="D1917" s="1" t="s">
        <v>69</v>
      </c>
      <c r="E1917">
        <v>4281.4016000000001</v>
      </c>
      <c r="F1917" s="1" t="s">
        <v>94</v>
      </c>
      <c r="G1917">
        <v>13</v>
      </c>
      <c r="H1917">
        <v>7</v>
      </c>
      <c r="I1917" s="1" t="s">
        <v>26</v>
      </c>
      <c r="J1917">
        <v>1</v>
      </c>
      <c r="K1917" t="str">
        <f>IF(Tb_data[[#This Row],[previous_workers]]&lt;Tb_data[[#This Row],[workers]],"yes","no")</f>
        <v>yes</v>
      </c>
      <c r="L1917">
        <f>Tb_data[[#This Row],[workers]]-Tb_data[[#This Row],[previous_workers]]</f>
        <v>6</v>
      </c>
      <c r="M1917" s="12">
        <f>Tb_data[[#This Row],[Employees Growth]]/Tb_data[[#This Row],[previous_workers]]</f>
        <v>0.8571428571428571</v>
      </c>
    </row>
    <row r="1918" spans="1:13" x14ac:dyDescent="0.25">
      <c r="A1918" s="1" t="s">
        <v>2879</v>
      </c>
      <c r="B1918" s="1" t="s">
        <v>2880</v>
      </c>
      <c r="C1918" s="1">
        <v>17000000</v>
      </c>
      <c r="D1918" s="1" t="s">
        <v>69</v>
      </c>
      <c r="E1918">
        <v>300.18599999999998</v>
      </c>
      <c r="F1918" s="1" t="s">
        <v>94</v>
      </c>
      <c r="G1918">
        <v>27</v>
      </c>
      <c r="H1918">
        <v>18</v>
      </c>
      <c r="I1918" s="1" t="s">
        <v>164</v>
      </c>
      <c r="J1918">
        <v>3</v>
      </c>
      <c r="K1918" t="str">
        <f>IF(Tb_data[[#This Row],[previous_workers]]&lt;Tb_data[[#This Row],[workers]],"yes","no")</f>
        <v>yes</v>
      </c>
      <c r="L1918">
        <f>Tb_data[[#This Row],[workers]]-Tb_data[[#This Row],[previous_workers]]</f>
        <v>9</v>
      </c>
      <c r="M1918" s="12">
        <f>Tb_data[[#This Row],[Employees Growth]]/Tb_data[[#This Row],[previous_workers]]</f>
        <v>0.5</v>
      </c>
    </row>
    <row r="1919" spans="1:13" x14ac:dyDescent="0.25">
      <c r="A1919" s="1" t="s">
        <v>6591</v>
      </c>
      <c r="B1919" s="1" t="s">
        <v>6592</v>
      </c>
      <c r="C1919" s="1">
        <v>3800000</v>
      </c>
      <c r="D1919" s="1" t="s">
        <v>1446</v>
      </c>
      <c r="E1919">
        <v>111.75879999999999</v>
      </c>
      <c r="F1919" s="1" t="s">
        <v>124</v>
      </c>
      <c r="G1919">
        <v>40</v>
      </c>
      <c r="H1919">
        <v>20</v>
      </c>
      <c r="I1919" s="1" t="s">
        <v>147</v>
      </c>
      <c r="J1919">
        <v>1</v>
      </c>
      <c r="K1919" t="str">
        <f>IF(Tb_data[[#This Row],[previous_workers]]&lt;Tb_data[[#This Row],[workers]],"yes","no")</f>
        <v>yes</v>
      </c>
      <c r="L1919">
        <f>Tb_data[[#This Row],[workers]]-Tb_data[[#This Row],[previous_workers]]</f>
        <v>20</v>
      </c>
      <c r="M1919" s="12">
        <f>Tb_data[[#This Row],[Employees Growth]]/Tb_data[[#This Row],[previous_workers]]</f>
        <v>1</v>
      </c>
    </row>
    <row r="1920" spans="1:13" x14ac:dyDescent="0.25">
      <c r="A1920" s="1" t="s">
        <v>7543</v>
      </c>
      <c r="B1920" s="1" t="s">
        <v>7544</v>
      </c>
      <c r="C1920" s="1">
        <v>3600000</v>
      </c>
      <c r="D1920" s="1" t="s">
        <v>20</v>
      </c>
      <c r="E1920">
        <v>91.8917</v>
      </c>
      <c r="F1920" s="1" t="s">
        <v>21</v>
      </c>
      <c r="G1920">
        <v>60</v>
      </c>
      <c r="H1920">
        <v>35</v>
      </c>
      <c r="I1920" s="1" t="s">
        <v>194</v>
      </c>
      <c r="J1920">
        <v>3</v>
      </c>
      <c r="K1920" t="str">
        <f>IF(Tb_data[[#This Row],[previous_workers]]&lt;Tb_data[[#This Row],[workers]],"yes","no")</f>
        <v>yes</v>
      </c>
      <c r="L1920">
        <f>Tb_data[[#This Row],[workers]]-Tb_data[[#This Row],[previous_workers]]</f>
        <v>25</v>
      </c>
      <c r="M1920" s="12">
        <f>Tb_data[[#This Row],[Employees Growth]]/Tb_data[[#This Row],[previous_workers]]</f>
        <v>0.7142857142857143</v>
      </c>
    </row>
    <row r="1921" spans="1:13" x14ac:dyDescent="0.25">
      <c r="A1921" s="1" t="s">
        <v>5488</v>
      </c>
      <c r="B1921" s="1" t="s">
        <v>5489</v>
      </c>
      <c r="C1921" s="1">
        <v>4800000</v>
      </c>
      <c r="D1921" s="1" t="s">
        <v>20</v>
      </c>
      <c r="E1921">
        <v>143.14779999999999</v>
      </c>
      <c r="F1921" s="1" t="s">
        <v>172</v>
      </c>
      <c r="G1921">
        <v>22</v>
      </c>
      <c r="H1921">
        <v>18</v>
      </c>
      <c r="I1921" s="1" t="s">
        <v>194</v>
      </c>
      <c r="J1921">
        <v>4</v>
      </c>
      <c r="K1921" t="str">
        <f>IF(Tb_data[[#This Row],[previous_workers]]&lt;Tb_data[[#This Row],[workers]],"yes","no")</f>
        <v>yes</v>
      </c>
      <c r="L1921">
        <f>Tb_data[[#This Row],[workers]]-Tb_data[[#This Row],[previous_workers]]</f>
        <v>4</v>
      </c>
      <c r="M1921" s="12">
        <f>Tb_data[[#This Row],[Employees Growth]]/Tb_data[[#This Row],[previous_workers]]</f>
        <v>0.22222222222222221</v>
      </c>
    </row>
    <row r="1922" spans="1:13" x14ac:dyDescent="0.25">
      <c r="A1922" s="1" t="s">
        <v>7202</v>
      </c>
      <c r="B1922" s="1" t="s">
        <v>7203</v>
      </c>
      <c r="C1922" s="1">
        <v>8300000</v>
      </c>
      <c r="D1922" s="1" t="s">
        <v>321</v>
      </c>
      <c r="E1922">
        <v>98.3643</v>
      </c>
      <c r="F1922" s="1" t="s">
        <v>25</v>
      </c>
      <c r="G1922">
        <v>23</v>
      </c>
      <c r="H1922">
        <v>10</v>
      </c>
      <c r="I1922" s="1" t="s">
        <v>147</v>
      </c>
      <c r="J1922">
        <v>1</v>
      </c>
      <c r="K1922" t="str">
        <f>IF(Tb_data[[#This Row],[previous_workers]]&lt;Tb_data[[#This Row],[workers]],"yes","no")</f>
        <v>yes</v>
      </c>
      <c r="L1922">
        <f>Tb_data[[#This Row],[workers]]-Tb_data[[#This Row],[previous_workers]]</f>
        <v>13</v>
      </c>
      <c r="M1922" s="12">
        <f>Tb_data[[#This Row],[Employees Growth]]/Tb_data[[#This Row],[previous_workers]]</f>
        <v>1.3</v>
      </c>
    </row>
    <row r="1923" spans="1:13" x14ac:dyDescent="0.25">
      <c r="A1923" s="1" t="s">
        <v>3315</v>
      </c>
      <c r="B1923" s="1" t="s">
        <v>3316</v>
      </c>
      <c r="C1923" s="1">
        <v>2100000</v>
      </c>
      <c r="D1923" s="1" t="s">
        <v>20</v>
      </c>
      <c r="E1923">
        <v>257.69349999999997</v>
      </c>
      <c r="F1923" s="1" t="s">
        <v>176</v>
      </c>
      <c r="G1923">
        <v>28</v>
      </c>
      <c r="H1923">
        <v>7</v>
      </c>
      <c r="I1923" s="1" t="s">
        <v>35</v>
      </c>
      <c r="J1923">
        <v>1</v>
      </c>
      <c r="K1923" t="str">
        <f>IF(Tb_data[[#This Row],[previous_workers]]&lt;Tb_data[[#This Row],[workers]],"yes","no")</f>
        <v>yes</v>
      </c>
      <c r="L1923">
        <f>Tb_data[[#This Row],[workers]]-Tb_data[[#This Row],[previous_workers]]</f>
        <v>21</v>
      </c>
      <c r="M1923" s="12">
        <f>Tb_data[[#This Row],[Employees Growth]]/Tb_data[[#This Row],[previous_workers]]</f>
        <v>3</v>
      </c>
    </row>
    <row r="1924" spans="1:13" x14ac:dyDescent="0.25">
      <c r="A1924" s="1" t="s">
        <v>3617</v>
      </c>
      <c r="B1924" s="1" t="s">
        <v>3618</v>
      </c>
      <c r="C1924" s="1">
        <v>9300000</v>
      </c>
      <c r="D1924" s="1" t="s">
        <v>33</v>
      </c>
      <c r="E1924">
        <v>232.56790000000001</v>
      </c>
      <c r="F1924" s="1" t="s">
        <v>124</v>
      </c>
      <c r="G1924">
        <v>60</v>
      </c>
      <c r="H1924">
        <v>25</v>
      </c>
      <c r="I1924" s="1" t="s">
        <v>147</v>
      </c>
      <c r="J1924">
        <v>1</v>
      </c>
      <c r="K1924" t="str">
        <f>IF(Tb_data[[#This Row],[previous_workers]]&lt;Tb_data[[#This Row],[workers]],"yes","no")</f>
        <v>yes</v>
      </c>
      <c r="L1924">
        <f>Tb_data[[#This Row],[workers]]-Tb_data[[#This Row],[previous_workers]]</f>
        <v>35</v>
      </c>
      <c r="M1924" s="12">
        <f>Tb_data[[#This Row],[Employees Growth]]/Tb_data[[#This Row],[previous_workers]]</f>
        <v>1.4</v>
      </c>
    </row>
    <row r="1925" spans="1:13" x14ac:dyDescent="0.25">
      <c r="A1925" s="1" t="s">
        <v>2219</v>
      </c>
      <c r="B1925" s="1" t="s">
        <v>2220</v>
      </c>
      <c r="C1925" s="1">
        <v>9200000</v>
      </c>
      <c r="D1925" s="1" t="s">
        <v>61</v>
      </c>
      <c r="E1925">
        <v>398.24650000000003</v>
      </c>
      <c r="F1925" s="1" t="s">
        <v>152</v>
      </c>
      <c r="G1925">
        <v>62</v>
      </c>
      <c r="H1925">
        <v>10</v>
      </c>
      <c r="I1925" s="1" t="s">
        <v>164</v>
      </c>
      <c r="J1925">
        <v>3</v>
      </c>
      <c r="K1925" t="str">
        <f>IF(Tb_data[[#This Row],[previous_workers]]&lt;Tb_data[[#This Row],[workers]],"yes","no")</f>
        <v>yes</v>
      </c>
      <c r="L1925">
        <f>Tb_data[[#This Row],[workers]]-Tb_data[[#This Row],[previous_workers]]</f>
        <v>52</v>
      </c>
      <c r="M1925" s="12">
        <f>Tb_data[[#This Row],[Employees Growth]]/Tb_data[[#This Row],[previous_workers]]</f>
        <v>5.2</v>
      </c>
    </row>
    <row r="1926" spans="1:13" x14ac:dyDescent="0.25">
      <c r="A1926" s="1" t="s">
        <v>1216</v>
      </c>
      <c r="B1926" s="1" t="s">
        <v>1217</v>
      </c>
      <c r="C1926" s="1">
        <v>12600000</v>
      </c>
      <c r="D1926" s="1" t="s">
        <v>49</v>
      </c>
      <c r="E1926">
        <v>797.08590000000004</v>
      </c>
      <c r="F1926" s="1" t="s">
        <v>86</v>
      </c>
      <c r="G1926">
        <v>134</v>
      </c>
      <c r="H1926">
        <v>95</v>
      </c>
      <c r="I1926" s="1" t="s">
        <v>194</v>
      </c>
      <c r="J1926">
        <v>3</v>
      </c>
      <c r="K1926" t="str">
        <f>IF(Tb_data[[#This Row],[previous_workers]]&lt;Tb_data[[#This Row],[workers]],"yes","no")</f>
        <v>yes</v>
      </c>
      <c r="L1926">
        <f>Tb_data[[#This Row],[workers]]-Tb_data[[#This Row],[previous_workers]]</f>
        <v>39</v>
      </c>
      <c r="M1926" s="12">
        <f>Tb_data[[#This Row],[Employees Growth]]/Tb_data[[#This Row],[previous_workers]]</f>
        <v>0.41052631578947368</v>
      </c>
    </row>
    <row r="1927" spans="1:13" x14ac:dyDescent="0.25">
      <c r="A1927" s="1" t="s">
        <v>1728</v>
      </c>
      <c r="B1927" s="1" t="s">
        <v>1729</v>
      </c>
      <c r="C1927" s="1">
        <v>2700000</v>
      </c>
      <c r="D1927" s="1" t="s">
        <v>422</v>
      </c>
      <c r="E1927">
        <v>527.20259999999996</v>
      </c>
      <c r="F1927" s="1" t="s">
        <v>30</v>
      </c>
      <c r="G1927">
        <v>3</v>
      </c>
      <c r="H1927">
        <v>2</v>
      </c>
      <c r="I1927" s="1" t="s">
        <v>26</v>
      </c>
      <c r="J1927">
        <v>1</v>
      </c>
      <c r="K1927" t="str">
        <f>IF(Tb_data[[#This Row],[previous_workers]]&lt;Tb_data[[#This Row],[workers]],"yes","no")</f>
        <v>yes</v>
      </c>
      <c r="L1927">
        <f>Tb_data[[#This Row],[workers]]-Tb_data[[#This Row],[previous_workers]]</f>
        <v>1</v>
      </c>
      <c r="M1927" s="12">
        <f>Tb_data[[#This Row],[Employees Growth]]/Tb_data[[#This Row],[previous_workers]]</f>
        <v>0.5</v>
      </c>
    </row>
    <row r="1928" spans="1:13" x14ac:dyDescent="0.25">
      <c r="A1928" s="1" t="s">
        <v>4527</v>
      </c>
      <c r="B1928" s="1" t="s">
        <v>4528</v>
      </c>
      <c r="C1928" s="1">
        <v>3600000</v>
      </c>
      <c r="D1928" s="1" t="s">
        <v>123</v>
      </c>
      <c r="E1928">
        <v>181.3528</v>
      </c>
      <c r="F1928" s="1" t="s">
        <v>156</v>
      </c>
      <c r="G1928">
        <v>23</v>
      </c>
      <c r="H1928">
        <v>8</v>
      </c>
      <c r="I1928" s="1" t="s">
        <v>46</v>
      </c>
      <c r="J1928">
        <v>2</v>
      </c>
      <c r="K1928" t="str">
        <f>IF(Tb_data[[#This Row],[previous_workers]]&lt;Tb_data[[#This Row],[workers]],"yes","no")</f>
        <v>yes</v>
      </c>
      <c r="L1928">
        <f>Tb_data[[#This Row],[workers]]-Tb_data[[#This Row],[previous_workers]]</f>
        <v>15</v>
      </c>
      <c r="M1928" s="12">
        <f>Tb_data[[#This Row],[Employees Growth]]/Tb_data[[#This Row],[previous_workers]]</f>
        <v>1.875</v>
      </c>
    </row>
    <row r="1929" spans="1:13" x14ac:dyDescent="0.25">
      <c r="A1929" s="1" t="s">
        <v>9471</v>
      </c>
      <c r="B1929" s="1" t="s">
        <v>9472</v>
      </c>
      <c r="C1929" s="1">
        <v>9400000</v>
      </c>
      <c r="D1929" s="1" t="s">
        <v>49</v>
      </c>
      <c r="E1929">
        <v>60.6282</v>
      </c>
      <c r="F1929" s="1" t="s">
        <v>62</v>
      </c>
      <c r="G1929">
        <v>38</v>
      </c>
      <c r="H1929">
        <v>24</v>
      </c>
      <c r="I1929" s="1" t="s">
        <v>130</v>
      </c>
      <c r="J1929">
        <v>1</v>
      </c>
      <c r="K1929" t="str">
        <f>IF(Tb_data[[#This Row],[previous_workers]]&lt;Tb_data[[#This Row],[workers]],"yes","no")</f>
        <v>yes</v>
      </c>
      <c r="L1929">
        <f>Tb_data[[#This Row],[workers]]-Tb_data[[#This Row],[previous_workers]]</f>
        <v>14</v>
      </c>
      <c r="M1929" s="12">
        <f>Tb_data[[#This Row],[Employees Growth]]/Tb_data[[#This Row],[previous_workers]]</f>
        <v>0.58333333333333337</v>
      </c>
    </row>
    <row r="1930" spans="1:13" x14ac:dyDescent="0.25">
      <c r="A1930" s="1" t="s">
        <v>8937</v>
      </c>
      <c r="B1930" s="1" t="s">
        <v>8938</v>
      </c>
      <c r="C1930" s="1">
        <v>4300000</v>
      </c>
      <c r="D1930" s="1" t="s">
        <v>20</v>
      </c>
      <c r="E1930">
        <v>67.428299999999993</v>
      </c>
      <c r="F1930" s="1" t="s">
        <v>176</v>
      </c>
      <c r="G1930">
        <v>40</v>
      </c>
      <c r="H1930">
        <v>28</v>
      </c>
      <c r="I1930" s="1" t="s">
        <v>226</v>
      </c>
      <c r="J1930">
        <v>1</v>
      </c>
      <c r="K1930" t="str">
        <f>IF(Tb_data[[#This Row],[previous_workers]]&lt;Tb_data[[#This Row],[workers]],"yes","no")</f>
        <v>yes</v>
      </c>
      <c r="L1930">
        <f>Tb_data[[#This Row],[workers]]-Tb_data[[#This Row],[previous_workers]]</f>
        <v>12</v>
      </c>
      <c r="M1930" s="12">
        <f>Tb_data[[#This Row],[Employees Growth]]/Tb_data[[#This Row],[previous_workers]]</f>
        <v>0.42857142857142855</v>
      </c>
    </row>
    <row r="1931" spans="1:13" x14ac:dyDescent="0.25">
      <c r="A1931" s="1" t="s">
        <v>906</v>
      </c>
      <c r="B1931" s="1" t="s">
        <v>907</v>
      </c>
      <c r="C1931" s="1">
        <v>3600000</v>
      </c>
      <c r="D1931" s="1" t="s">
        <v>49</v>
      </c>
      <c r="E1931">
        <v>1120.9253000000001</v>
      </c>
      <c r="F1931" s="1" t="s">
        <v>86</v>
      </c>
      <c r="G1931">
        <v>32</v>
      </c>
      <c r="H1931">
        <v>6</v>
      </c>
      <c r="I1931" s="1" t="s">
        <v>26</v>
      </c>
      <c r="J1931">
        <v>1</v>
      </c>
      <c r="K1931" t="str">
        <f>IF(Tb_data[[#This Row],[previous_workers]]&lt;Tb_data[[#This Row],[workers]],"yes","no")</f>
        <v>yes</v>
      </c>
      <c r="L1931">
        <f>Tb_data[[#This Row],[workers]]-Tb_data[[#This Row],[previous_workers]]</f>
        <v>26</v>
      </c>
      <c r="M1931" s="12">
        <f>Tb_data[[#This Row],[Employees Growth]]/Tb_data[[#This Row],[previous_workers]]</f>
        <v>4.333333333333333</v>
      </c>
    </row>
    <row r="1932" spans="1:13" x14ac:dyDescent="0.25">
      <c r="A1932" s="1" t="s">
        <v>8955</v>
      </c>
      <c r="B1932" s="1" t="s">
        <v>8956</v>
      </c>
      <c r="C1932" s="1">
        <v>2800000</v>
      </c>
      <c r="D1932" s="1" t="s">
        <v>52</v>
      </c>
      <c r="E1932">
        <v>67.217200000000005</v>
      </c>
      <c r="F1932" s="1" t="s">
        <v>310</v>
      </c>
      <c r="G1932">
        <v>13</v>
      </c>
      <c r="H1932">
        <v>8</v>
      </c>
      <c r="I1932" s="1" t="s">
        <v>117</v>
      </c>
      <c r="J1932">
        <v>1</v>
      </c>
      <c r="K1932" t="str">
        <f>IF(Tb_data[[#This Row],[previous_workers]]&lt;Tb_data[[#This Row],[workers]],"yes","no")</f>
        <v>yes</v>
      </c>
      <c r="L1932">
        <f>Tb_data[[#This Row],[workers]]-Tb_data[[#This Row],[previous_workers]]</f>
        <v>5</v>
      </c>
      <c r="M1932" s="12">
        <f>Tb_data[[#This Row],[Employees Growth]]/Tb_data[[#This Row],[previous_workers]]</f>
        <v>0.625</v>
      </c>
    </row>
    <row r="1933" spans="1:13" x14ac:dyDescent="0.25">
      <c r="A1933" s="1" t="s">
        <v>4543</v>
      </c>
      <c r="B1933" s="1" t="s">
        <v>4544</v>
      </c>
      <c r="C1933" s="1">
        <v>92000000</v>
      </c>
      <c r="D1933" s="1" t="s">
        <v>41</v>
      </c>
      <c r="E1933">
        <v>180.63419999999999</v>
      </c>
      <c r="F1933" s="1" t="s">
        <v>124</v>
      </c>
      <c r="G1933">
        <v>800</v>
      </c>
      <c r="H1933">
        <v>235</v>
      </c>
      <c r="I1933" s="1" t="s">
        <v>3843</v>
      </c>
      <c r="J1933">
        <v>2</v>
      </c>
      <c r="K1933" t="str">
        <f>IF(Tb_data[[#This Row],[previous_workers]]&lt;Tb_data[[#This Row],[workers]],"yes","no")</f>
        <v>yes</v>
      </c>
      <c r="L1933">
        <f>Tb_data[[#This Row],[workers]]-Tb_data[[#This Row],[previous_workers]]</f>
        <v>565</v>
      </c>
      <c r="M1933" s="12">
        <f>Tb_data[[#This Row],[Employees Growth]]/Tb_data[[#This Row],[previous_workers]]</f>
        <v>2.4042553191489362</v>
      </c>
    </row>
    <row r="1934" spans="1:13" x14ac:dyDescent="0.25">
      <c r="A1934" s="1" t="s">
        <v>711</v>
      </c>
      <c r="B1934" s="1" t="s">
        <v>712</v>
      </c>
      <c r="C1934" s="1">
        <v>5800000</v>
      </c>
      <c r="D1934" s="1" t="s">
        <v>33</v>
      </c>
      <c r="E1934">
        <v>1464.4640999999999</v>
      </c>
      <c r="F1934" s="1" t="s">
        <v>100</v>
      </c>
      <c r="G1934">
        <v>6</v>
      </c>
      <c r="H1934">
        <v>2</v>
      </c>
      <c r="I1934" s="1" t="s">
        <v>26</v>
      </c>
      <c r="J1934">
        <v>1</v>
      </c>
      <c r="K1934" t="str">
        <f>IF(Tb_data[[#This Row],[previous_workers]]&lt;Tb_data[[#This Row],[workers]],"yes","no")</f>
        <v>yes</v>
      </c>
      <c r="L1934">
        <f>Tb_data[[#This Row],[workers]]-Tb_data[[#This Row],[previous_workers]]</f>
        <v>4</v>
      </c>
      <c r="M1934" s="12">
        <f>Tb_data[[#This Row],[Employees Growth]]/Tb_data[[#This Row],[previous_workers]]</f>
        <v>2</v>
      </c>
    </row>
    <row r="1935" spans="1:13" x14ac:dyDescent="0.25">
      <c r="A1935" s="1" t="s">
        <v>7313</v>
      </c>
      <c r="B1935" s="1" t="s">
        <v>7314</v>
      </c>
      <c r="C1935" s="1">
        <v>3900000</v>
      </c>
      <c r="D1935" s="1" t="s">
        <v>422</v>
      </c>
      <c r="E1935">
        <v>96.791499999999999</v>
      </c>
      <c r="F1935" s="1" t="s">
        <v>172</v>
      </c>
      <c r="G1935">
        <v>32</v>
      </c>
      <c r="H1935">
        <v>25</v>
      </c>
      <c r="I1935" s="1" t="s">
        <v>1949</v>
      </c>
      <c r="J1935">
        <v>7</v>
      </c>
      <c r="K1935" t="str">
        <f>IF(Tb_data[[#This Row],[previous_workers]]&lt;Tb_data[[#This Row],[workers]],"yes","no")</f>
        <v>yes</v>
      </c>
      <c r="L1935">
        <f>Tb_data[[#This Row],[workers]]-Tb_data[[#This Row],[previous_workers]]</f>
        <v>7</v>
      </c>
      <c r="M1935" s="12">
        <f>Tb_data[[#This Row],[Employees Growth]]/Tb_data[[#This Row],[previous_workers]]</f>
        <v>0.28000000000000003</v>
      </c>
    </row>
    <row r="1936" spans="1:13" x14ac:dyDescent="0.25">
      <c r="A1936" s="1" t="s">
        <v>7481</v>
      </c>
      <c r="B1936" s="1" t="s">
        <v>7482</v>
      </c>
      <c r="C1936" s="1">
        <v>78500000</v>
      </c>
      <c r="D1936" s="1" t="s">
        <v>45</v>
      </c>
      <c r="E1936">
        <v>93.572999999999993</v>
      </c>
      <c r="F1936" s="1" t="s">
        <v>161</v>
      </c>
      <c r="G1936">
        <v>275</v>
      </c>
      <c r="H1936">
        <v>150</v>
      </c>
      <c r="I1936" s="1" t="s">
        <v>1411</v>
      </c>
      <c r="J1936">
        <v>2</v>
      </c>
      <c r="K1936" t="str">
        <f>IF(Tb_data[[#This Row],[previous_workers]]&lt;Tb_data[[#This Row],[workers]],"yes","no")</f>
        <v>yes</v>
      </c>
      <c r="L1936">
        <f>Tb_data[[#This Row],[workers]]-Tb_data[[#This Row],[previous_workers]]</f>
        <v>125</v>
      </c>
      <c r="M1936" s="12">
        <f>Tb_data[[#This Row],[Employees Growth]]/Tb_data[[#This Row],[previous_workers]]</f>
        <v>0.83333333333333337</v>
      </c>
    </row>
    <row r="1937" spans="1:13" x14ac:dyDescent="0.25">
      <c r="A1937" s="1" t="s">
        <v>246</v>
      </c>
      <c r="B1937" s="1" t="s">
        <v>247</v>
      </c>
      <c r="C1937" s="1">
        <v>104100000</v>
      </c>
      <c r="D1937" s="1" t="s">
        <v>49</v>
      </c>
      <c r="E1937">
        <v>3665.0612000000001</v>
      </c>
      <c r="F1937" s="1" t="s">
        <v>25</v>
      </c>
      <c r="G1937">
        <v>1200</v>
      </c>
      <c r="H1937">
        <v>30</v>
      </c>
      <c r="I1937" s="1" t="s">
        <v>130</v>
      </c>
      <c r="J1937">
        <v>2</v>
      </c>
      <c r="K1937" t="str">
        <f>IF(Tb_data[[#This Row],[previous_workers]]&lt;Tb_data[[#This Row],[workers]],"yes","no")</f>
        <v>yes</v>
      </c>
      <c r="L1937">
        <f>Tb_data[[#This Row],[workers]]-Tb_data[[#This Row],[previous_workers]]</f>
        <v>1170</v>
      </c>
      <c r="M1937" s="12">
        <f>Tb_data[[#This Row],[Employees Growth]]/Tb_data[[#This Row],[previous_workers]]</f>
        <v>39</v>
      </c>
    </row>
    <row r="1938" spans="1:13" x14ac:dyDescent="0.25">
      <c r="A1938" s="1" t="s">
        <v>5412</v>
      </c>
      <c r="B1938" s="1" t="s">
        <v>5413</v>
      </c>
      <c r="C1938" s="1">
        <v>22000000</v>
      </c>
      <c r="D1938" s="1" t="s">
        <v>115</v>
      </c>
      <c r="E1938">
        <v>145.89709999999999</v>
      </c>
      <c r="F1938" s="1" t="s">
        <v>86</v>
      </c>
      <c r="G1938">
        <v>140</v>
      </c>
      <c r="H1938">
        <v>63</v>
      </c>
      <c r="I1938" s="1" t="s">
        <v>55</v>
      </c>
      <c r="J1938">
        <v>1</v>
      </c>
      <c r="K1938" t="str">
        <f>IF(Tb_data[[#This Row],[previous_workers]]&lt;Tb_data[[#This Row],[workers]],"yes","no")</f>
        <v>yes</v>
      </c>
      <c r="L1938">
        <f>Tb_data[[#This Row],[workers]]-Tb_data[[#This Row],[previous_workers]]</f>
        <v>77</v>
      </c>
      <c r="M1938" s="12">
        <f>Tb_data[[#This Row],[Employees Growth]]/Tb_data[[#This Row],[previous_workers]]</f>
        <v>1.2222222222222223</v>
      </c>
    </row>
    <row r="1939" spans="1:13" x14ac:dyDescent="0.25">
      <c r="A1939" s="1" t="s">
        <v>3551</v>
      </c>
      <c r="B1939" s="1" t="s">
        <v>3552</v>
      </c>
      <c r="C1939" s="1">
        <v>33300000</v>
      </c>
      <c r="D1939" s="1" t="s">
        <v>58</v>
      </c>
      <c r="E1939">
        <v>237.81890000000001</v>
      </c>
      <c r="F1939" s="1" t="s">
        <v>25</v>
      </c>
      <c r="G1939">
        <v>420</v>
      </c>
      <c r="H1939">
        <v>90</v>
      </c>
      <c r="I1939" s="1" t="s">
        <v>26</v>
      </c>
      <c r="J1939">
        <v>1</v>
      </c>
      <c r="K1939" t="str">
        <f>IF(Tb_data[[#This Row],[previous_workers]]&lt;Tb_data[[#This Row],[workers]],"yes","no")</f>
        <v>yes</v>
      </c>
      <c r="L1939">
        <f>Tb_data[[#This Row],[workers]]-Tb_data[[#This Row],[previous_workers]]</f>
        <v>330</v>
      </c>
      <c r="M1939" s="12">
        <f>Tb_data[[#This Row],[Employees Growth]]/Tb_data[[#This Row],[previous_workers]]</f>
        <v>3.6666666666666665</v>
      </c>
    </row>
    <row r="1940" spans="1:13" x14ac:dyDescent="0.25">
      <c r="A1940" s="1" t="s">
        <v>6956</v>
      </c>
      <c r="B1940" s="1" t="s">
        <v>6957</v>
      </c>
      <c r="C1940" s="1">
        <v>8400000</v>
      </c>
      <c r="D1940" s="1" t="s">
        <v>11</v>
      </c>
      <c r="E1940">
        <v>102.693</v>
      </c>
      <c r="F1940" s="1" t="s">
        <v>310</v>
      </c>
      <c r="G1940">
        <v>79</v>
      </c>
      <c r="H1940">
        <v>11</v>
      </c>
      <c r="I1940" s="1" t="s">
        <v>26</v>
      </c>
      <c r="J1940">
        <v>1</v>
      </c>
      <c r="K1940" t="str">
        <f>IF(Tb_data[[#This Row],[previous_workers]]&lt;Tb_data[[#This Row],[workers]],"yes","no")</f>
        <v>yes</v>
      </c>
      <c r="L1940">
        <f>Tb_data[[#This Row],[workers]]-Tb_data[[#This Row],[previous_workers]]</f>
        <v>68</v>
      </c>
      <c r="M1940" s="12">
        <f>Tb_data[[#This Row],[Employees Growth]]/Tb_data[[#This Row],[previous_workers]]</f>
        <v>6.1818181818181817</v>
      </c>
    </row>
    <row r="1941" spans="1:13" x14ac:dyDescent="0.25">
      <c r="A1941" s="1" t="s">
        <v>4591</v>
      </c>
      <c r="B1941" s="1" t="s">
        <v>4592</v>
      </c>
      <c r="C1941" s="1">
        <v>2500000</v>
      </c>
      <c r="D1941" s="1" t="s">
        <v>20</v>
      </c>
      <c r="E1941">
        <v>179.0592</v>
      </c>
      <c r="F1941" s="1" t="s">
        <v>310</v>
      </c>
      <c r="G1941">
        <v>25</v>
      </c>
      <c r="H1941">
        <v>12</v>
      </c>
      <c r="I1941" s="1" t="s">
        <v>130</v>
      </c>
      <c r="J1941">
        <v>2</v>
      </c>
      <c r="K1941" t="str">
        <f>IF(Tb_data[[#This Row],[previous_workers]]&lt;Tb_data[[#This Row],[workers]],"yes","no")</f>
        <v>yes</v>
      </c>
      <c r="L1941">
        <f>Tb_data[[#This Row],[workers]]-Tb_data[[#This Row],[previous_workers]]</f>
        <v>13</v>
      </c>
      <c r="M1941" s="12">
        <f>Tb_data[[#This Row],[Employees Growth]]/Tb_data[[#This Row],[previous_workers]]</f>
        <v>1.0833333333333333</v>
      </c>
    </row>
    <row r="1942" spans="1:13" x14ac:dyDescent="0.25">
      <c r="A1942" s="1" t="s">
        <v>7873</v>
      </c>
      <c r="B1942" s="1" t="s">
        <v>7874</v>
      </c>
      <c r="C1942" s="1">
        <v>5800000</v>
      </c>
      <c r="D1942" s="1" t="s">
        <v>20</v>
      </c>
      <c r="E1942">
        <v>85.101799999999997</v>
      </c>
      <c r="F1942" s="1" t="s">
        <v>176</v>
      </c>
      <c r="G1942">
        <v>54</v>
      </c>
      <c r="H1942">
        <v>40</v>
      </c>
      <c r="I1942" s="1" t="s">
        <v>147</v>
      </c>
      <c r="J1942">
        <v>4</v>
      </c>
      <c r="K1942" t="str">
        <f>IF(Tb_data[[#This Row],[previous_workers]]&lt;Tb_data[[#This Row],[workers]],"yes","no")</f>
        <v>yes</v>
      </c>
      <c r="L1942">
        <f>Tb_data[[#This Row],[workers]]-Tb_data[[#This Row],[previous_workers]]</f>
        <v>14</v>
      </c>
      <c r="M1942" s="12">
        <f>Tb_data[[#This Row],[Employees Growth]]/Tb_data[[#This Row],[previous_workers]]</f>
        <v>0.35</v>
      </c>
    </row>
    <row r="1943" spans="1:13" x14ac:dyDescent="0.25">
      <c r="A1943" s="1" t="s">
        <v>5196</v>
      </c>
      <c r="B1943" s="1" t="s">
        <v>5197</v>
      </c>
      <c r="C1943" s="1">
        <v>53400000</v>
      </c>
      <c r="D1943" s="1" t="s">
        <v>129</v>
      </c>
      <c r="E1943">
        <v>153.50389999999999</v>
      </c>
      <c r="F1943" s="1" t="s">
        <v>97</v>
      </c>
      <c r="G1943">
        <v>479</v>
      </c>
      <c r="H1943">
        <v>240</v>
      </c>
      <c r="I1943" s="1" t="s">
        <v>226</v>
      </c>
      <c r="J1943">
        <v>5</v>
      </c>
      <c r="K1943" t="str">
        <f>IF(Tb_data[[#This Row],[previous_workers]]&lt;Tb_data[[#This Row],[workers]],"yes","no")</f>
        <v>yes</v>
      </c>
      <c r="L1943">
        <f>Tb_data[[#This Row],[workers]]-Tb_data[[#This Row],[previous_workers]]</f>
        <v>239</v>
      </c>
      <c r="M1943" s="12">
        <f>Tb_data[[#This Row],[Employees Growth]]/Tb_data[[#This Row],[previous_workers]]</f>
        <v>0.99583333333333335</v>
      </c>
    </row>
    <row r="1944" spans="1:13" x14ac:dyDescent="0.25">
      <c r="A1944" s="1" t="s">
        <v>8067</v>
      </c>
      <c r="B1944" s="1" t="s">
        <v>8068</v>
      </c>
      <c r="C1944" s="1">
        <v>11500000</v>
      </c>
      <c r="D1944" s="1" t="s">
        <v>29</v>
      </c>
      <c r="E1944">
        <v>81.572500000000005</v>
      </c>
      <c r="F1944" s="1" t="s">
        <v>34</v>
      </c>
      <c r="G1944">
        <v>36</v>
      </c>
      <c r="H1944">
        <v>41</v>
      </c>
      <c r="I1944" s="1" t="s">
        <v>948</v>
      </c>
      <c r="J1944">
        <v>3</v>
      </c>
      <c r="K1944" t="str">
        <f>IF(Tb_data[[#This Row],[previous_workers]]&lt;Tb_data[[#This Row],[workers]],"yes","no")</f>
        <v>no</v>
      </c>
      <c r="L1944">
        <f>Tb_data[[#This Row],[workers]]-Tb_data[[#This Row],[previous_workers]]</f>
        <v>-5</v>
      </c>
      <c r="M1944" s="12">
        <f>Tb_data[[#This Row],[Employees Growth]]/Tb_data[[#This Row],[previous_workers]]</f>
        <v>-0.12195121951219512</v>
      </c>
    </row>
    <row r="1945" spans="1:13" x14ac:dyDescent="0.25">
      <c r="A1945" s="1" t="s">
        <v>2245</v>
      </c>
      <c r="B1945" s="1" t="s">
        <v>4018</v>
      </c>
      <c r="C1945" s="1">
        <v>4200000</v>
      </c>
      <c r="D1945" s="1" t="s">
        <v>29</v>
      </c>
      <c r="E1945">
        <v>206.01509999999999</v>
      </c>
      <c r="F1945" s="1" t="s">
        <v>62</v>
      </c>
      <c r="G1945">
        <v>28</v>
      </c>
      <c r="H1945">
        <v>9</v>
      </c>
      <c r="I1945" s="1" t="s">
        <v>130</v>
      </c>
      <c r="J1945">
        <v>3</v>
      </c>
      <c r="K1945" t="str">
        <f>IF(Tb_data[[#This Row],[previous_workers]]&lt;Tb_data[[#This Row],[workers]],"yes","no")</f>
        <v>yes</v>
      </c>
      <c r="L1945">
        <f>Tb_data[[#This Row],[workers]]-Tb_data[[#This Row],[previous_workers]]</f>
        <v>19</v>
      </c>
      <c r="M1945" s="12">
        <f>Tb_data[[#This Row],[Employees Growth]]/Tb_data[[#This Row],[previous_workers]]</f>
        <v>2.1111111111111112</v>
      </c>
    </row>
    <row r="1946" spans="1:13" x14ac:dyDescent="0.25">
      <c r="A1946" s="1" t="s">
        <v>2871</v>
      </c>
      <c r="B1946" s="1" t="s">
        <v>2872</v>
      </c>
      <c r="C1946" s="1">
        <v>2200000</v>
      </c>
      <c r="D1946" s="1" t="s">
        <v>49</v>
      </c>
      <c r="E1946">
        <v>300.83580000000001</v>
      </c>
      <c r="F1946" s="1" t="s">
        <v>12</v>
      </c>
      <c r="G1946">
        <v>18</v>
      </c>
      <c r="H1946">
        <v>6</v>
      </c>
      <c r="I1946" s="1" t="s">
        <v>26</v>
      </c>
      <c r="J1946">
        <v>1</v>
      </c>
      <c r="K1946" t="str">
        <f>IF(Tb_data[[#This Row],[previous_workers]]&lt;Tb_data[[#This Row],[workers]],"yes","no")</f>
        <v>yes</v>
      </c>
      <c r="L1946">
        <f>Tb_data[[#This Row],[workers]]-Tb_data[[#This Row],[previous_workers]]</f>
        <v>12</v>
      </c>
      <c r="M1946" s="12">
        <f>Tb_data[[#This Row],[Employees Growth]]/Tb_data[[#This Row],[previous_workers]]</f>
        <v>2</v>
      </c>
    </row>
    <row r="1947" spans="1:13" x14ac:dyDescent="0.25">
      <c r="A1947" s="1" t="s">
        <v>9121</v>
      </c>
      <c r="B1947" s="1" t="s">
        <v>9122</v>
      </c>
      <c r="C1947" s="1">
        <v>802600000</v>
      </c>
      <c r="D1947" s="1" t="s">
        <v>254</v>
      </c>
      <c r="E1947">
        <v>65.186400000000006</v>
      </c>
      <c r="F1947" s="1" t="s">
        <v>62</v>
      </c>
      <c r="G1947">
        <v>4642</v>
      </c>
      <c r="H1947">
        <v>2885</v>
      </c>
      <c r="I1947" s="1" t="s">
        <v>226</v>
      </c>
      <c r="J1947">
        <v>10</v>
      </c>
      <c r="K1947" t="str">
        <f>IF(Tb_data[[#This Row],[previous_workers]]&lt;Tb_data[[#This Row],[workers]],"yes","no")</f>
        <v>yes</v>
      </c>
      <c r="L1947">
        <f>Tb_data[[#This Row],[workers]]-Tb_data[[#This Row],[previous_workers]]</f>
        <v>1757</v>
      </c>
      <c r="M1947" s="12">
        <f>Tb_data[[#This Row],[Employees Growth]]/Tb_data[[#This Row],[previous_workers]]</f>
        <v>0.60901213171577118</v>
      </c>
    </row>
    <row r="1948" spans="1:13" x14ac:dyDescent="0.25">
      <c r="A1948" s="1" t="s">
        <v>7317</v>
      </c>
      <c r="B1948" s="1" t="s">
        <v>7318</v>
      </c>
      <c r="C1948" s="1">
        <v>3300000</v>
      </c>
      <c r="D1948" s="1" t="s">
        <v>20</v>
      </c>
      <c r="E1948">
        <v>96.764200000000002</v>
      </c>
      <c r="F1948" s="1" t="s">
        <v>176</v>
      </c>
      <c r="G1948">
        <v>48</v>
      </c>
      <c r="H1948">
        <v>18</v>
      </c>
      <c r="I1948" s="1" t="s">
        <v>2245</v>
      </c>
      <c r="J1948">
        <v>3</v>
      </c>
      <c r="K1948" t="str">
        <f>IF(Tb_data[[#This Row],[previous_workers]]&lt;Tb_data[[#This Row],[workers]],"yes","no")</f>
        <v>yes</v>
      </c>
      <c r="L1948">
        <f>Tb_data[[#This Row],[workers]]-Tb_data[[#This Row],[previous_workers]]</f>
        <v>30</v>
      </c>
      <c r="M1948" s="12">
        <f>Tb_data[[#This Row],[Employees Growth]]/Tb_data[[#This Row],[previous_workers]]</f>
        <v>1.6666666666666667</v>
      </c>
    </row>
    <row r="1949" spans="1:13" x14ac:dyDescent="0.25">
      <c r="A1949" s="1" t="s">
        <v>4341</v>
      </c>
      <c r="B1949" s="1" t="s">
        <v>4342</v>
      </c>
      <c r="C1949" s="1">
        <v>321400000</v>
      </c>
      <c r="D1949" s="1" t="s">
        <v>41</v>
      </c>
      <c r="E1949">
        <v>189.18690000000001</v>
      </c>
      <c r="F1949" s="1" t="s">
        <v>152</v>
      </c>
      <c r="G1949">
        <v>246</v>
      </c>
      <c r="H1949">
        <v>139</v>
      </c>
      <c r="I1949" s="1" t="s">
        <v>164</v>
      </c>
      <c r="J1949">
        <v>4</v>
      </c>
      <c r="K1949" t="str">
        <f>IF(Tb_data[[#This Row],[previous_workers]]&lt;Tb_data[[#This Row],[workers]],"yes","no")</f>
        <v>yes</v>
      </c>
      <c r="L1949">
        <f>Tb_data[[#This Row],[workers]]-Tb_data[[#This Row],[previous_workers]]</f>
        <v>107</v>
      </c>
      <c r="M1949" s="12">
        <f>Tb_data[[#This Row],[Employees Growth]]/Tb_data[[#This Row],[previous_workers]]</f>
        <v>0.76978417266187049</v>
      </c>
    </row>
    <row r="1950" spans="1:13" x14ac:dyDescent="0.25">
      <c r="A1950" s="1" t="s">
        <v>3645</v>
      </c>
      <c r="B1950" s="1" t="s">
        <v>3646</v>
      </c>
      <c r="C1950" s="1">
        <v>11100000</v>
      </c>
      <c r="D1950" s="1" t="s">
        <v>20</v>
      </c>
      <c r="E1950">
        <v>231.16679999999999</v>
      </c>
      <c r="F1950" s="1" t="s">
        <v>176</v>
      </c>
      <c r="G1950">
        <v>114</v>
      </c>
      <c r="H1950">
        <v>51</v>
      </c>
      <c r="I1950" s="1" t="s">
        <v>55</v>
      </c>
      <c r="J1950">
        <v>3</v>
      </c>
      <c r="K1950" t="str">
        <f>IF(Tb_data[[#This Row],[previous_workers]]&lt;Tb_data[[#This Row],[workers]],"yes","no")</f>
        <v>yes</v>
      </c>
      <c r="L1950">
        <f>Tb_data[[#This Row],[workers]]-Tb_data[[#This Row],[previous_workers]]</f>
        <v>63</v>
      </c>
      <c r="M1950" s="12">
        <f>Tb_data[[#This Row],[Employees Growth]]/Tb_data[[#This Row],[previous_workers]]</f>
        <v>1.2352941176470589</v>
      </c>
    </row>
    <row r="1951" spans="1:13" x14ac:dyDescent="0.25">
      <c r="A1951" s="1" t="s">
        <v>9664</v>
      </c>
      <c r="B1951" s="1" t="s">
        <v>9665</v>
      </c>
      <c r="C1951" s="1">
        <v>4500000</v>
      </c>
      <c r="D1951" s="1" t="s">
        <v>20</v>
      </c>
      <c r="E1951">
        <v>58.434199999999997</v>
      </c>
      <c r="F1951" s="1" t="s">
        <v>3264</v>
      </c>
      <c r="G1951">
        <v>16</v>
      </c>
      <c r="H1951">
        <v>17</v>
      </c>
      <c r="I1951" s="1" t="s">
        <v>147</v>
      </c>
      <c r="J1951">
        <v>2</v>
      </c>
      <c r="K1951" t="str">
        <f>IF(Tb_data[[#This Row],[previous_workers]]&lt;Tb_data[[#This Row],[workers]],"yes","no")</f>
        <v>no</v>
      </c>
      <c r="L1951">
        <f>Tb_data[[#This Row],[workers]]-Tb_data[[#This Row],[previous_workers]]</f>
        <v>-1</v>
      </c>
      <c r="M1951" s="12">
        <f>Tb_data[[#This Row],[Employees Growth]]/Tb_data[[#This Row],[previous_workers]]</f>
        <v>-5.8823529411764705E-2</v>
      </c>
    </row>
    <row r="1952" spans="1:13" x14ac:dyDescent="0.25">
      <c r="A1952" s="1" t="s">
        <v>1208</v>
      </c>
      <c r="B1952" s="1" t="s">
        <v>1209</v>
      </c>
      <c r="C1952" s="1">
        <v>6000000</v>
      </c>
      <c r="D1952" s="1" t="s">
        <v>61</v>
      </c>
      <c r="E1952">
        <v>801.44830000000002</v>
      </c>
      <c r="F1952" s="1" t="s">
        <v>25</v>
      </c>
      <c r="G1952">
        <v>9</v>
      </c>
      <c r="H1952">
        <v>2</v>
      </c>
      <c r="I1952" s="1" t="s">
        <v>46</v>
      </c>
      <c r="J1952">
        <v>2</v>
      </c>
      <c r="K1952" t="str">
        <f>IF(Tb_data[[#This Row],[previous_workers]]&lt;Tb_data[[#This Row],[workers]],"yes","no")</f>
        <v>yes</v>
      </c>
      <c r="L1952">
        <f>Tb_data[[#This Row],[workers]]-Tb_data[[#This Row],[previous_workers]]</f>
        <v>7</v>
      </c>
      <c r="M1952" s="12">
        <f>Tb_data[[#This Row],[Employees Growth]]/Tb_data[[#This Row],[previous_workers]]</f>
        <v>3.5</v>
      </c>
    </row>
    <row r="1953" spans="1:13" x14ac:dyDescent="0.25">
      <c r="A1953" s="1" t="s">
        <v>125</v>
      </c>
      <c r="B1953" s="1" t="s">
        <v>126</v>
      </c>
      <c r="C1953" s="1">
        <v>24000000</v>
      </c>
      <c r="D1953" s="1" t="s">
        <v>52</v>
      </c>
      <c r="E1953">
        <v>6287.4646000000002</v>
      </c>
      <c r="F1953" s="1" t="s">
        <v>25</v>
      </c>
      <c r="G1953">
        <v>11</v>
      </c>
      <c r="H1953">
        <v>5</v>
      </c>
      <c r="I1953" s="1" t="s">
        <v>55</v>
      </c>
      <c r="J1953">
        <v>1</v>
      </c>
      <c r="K1953" t="str">
        <f>IF(Tb_data[[#This Row],[previous_workers]]&lt;Tb_data[[#This Row],[workers]],"yes","no")</f>
        <v>yes</v>
      </c>
      <c r="L1953">
        <f>Tb_data[[#This Row],[workers]]-Tb_data[[#This Row],[previous_workers]]</f>
        <v>6</v>
      </c>
      <c r="M1953" s="12">
        <f>Tb_data[[#This Row],[Employees Growth]]/Tb_data[[#This Row],[previous_workers]]</f>
        <v>1.2</v>
      </c>
    </row>
    <row r="1954" spans="1:13" x14ac:dyDescent="0.25">
      <c r="A1954" s="1" t="s">
        <v>378</v>
      </c>
      <c r="B1954" s="1" t="s">
        <v>379</v>
      </c>
      <c r="C1954" s="1">
        <v>5500000</v>
      </c>
      <c r="D1954" s="1" t="s">
        <v>380</v>
      </c>
      <c r="E1954">
        <v>2506.9261999999999</v>
      </c>
      <c r="F1954" s="1" t="s">
        <v>62</v>
      </c>
      <c r="G1954">
        <v>55</v>
      </c>
      <c r="H1954">
        <v>1</v>
      </c>
      <c r="I1954" s="1" t="s">
        <v>74</v>
      </c>
      <c r="J1954">
        <v>2</v>
      </c>
      <c r="K1954" t="str">
        <f>IF(Tb_data[[#This Row],[previous_workers]]&lt;Tb_data[[#This Row],[workers]],"yes","no")</f>
        <v>yes</v>
      </c>
      <c r="L1954">
        <f>Tb_data[[#This Row],[workers]]-Tb_data[[#This Row],[previous_workers]]</f>
        <v>54</v>
      </c>
      <c r="M1954" s="12">
        <f>Tb_data[[#This Row],[Employees Growth]]/Tb_data[[#This Row],[previous_workers]]</f>
        <v>54</v>
      </c>
    </row>
    <row r="1955" spans="1:13" x14ac:dyDescent="0.25">
      <c r="A1955" s="1" t="s">
        <v>6233</v>
      </c>
      <c r="B1955" s="1" t="s">
        <v>6234</v>
      </c>
      <c r="C1955" s="1">
        <v>2800000</v>
      </c>
      <c r="D1955" s="1" t="s">
        <v>49</v>
      </c>
      <c r="E1955">
        <v>120.6893</v>
      </c>
      <c r="F1955" s="1" t="s">
        <v>176</v>
      </c>
      <c r="G1955">
        <v>18</v>
      </c>
      <c r="H1955">
        <v>9</v>
      </c>
      <c r="I1955" s="1" t="s">
        <v>2840</v>
      </c>
      <c r="J1955">
        <v>2</v>
      </c>
      <c r="K1955" t="str">
        <f>IF(Tb_data[[#This Row],[previous_workers]]&lt;Tb_data[[#This Row],[workers]],"yes","no")</f>
        <v>yes</v>
      </c>
      <c r="L1955">
        <f>Tb_data[[#This Row],[workers]]-Tb_data[[#This Row],[previous_workers]]</f>
        <v>9</v>
      </c>
      <c r="M1955" s="12">
        <f>Tb_data[[#This Row],[Employees Growth]]/Tb_data[[#This Row],[previous_workers]]</f>
        <v>1</v>
      </c>
    </row>
    <row r="1956" spans="1:13" x14ac:dyDescent="0.25">
      <c r="A1956" s="1" t="s">
        <v>3706</v>
      </c>
      <c r="B1956" s="1" t="s">
        <v>3707</v>
      </c>
      <c r="C1956" s="1">
        <v>8400000</v>
      </c>
      <c r="D1956" s="1" t="s">
        <v>387</v>
      </c>
      <c r="E1956">
        <v>228.26920000000001</v>
      </c>
      <c r="F1956" s="1" t="s">
        <v>152</v>
      </c>
      <c r="G1956">
        <v>14</v>
      </c>
      <c r="H1956">
        <v>15</v>
      </c>
      <c r="I1956" s="1" t="s">
        <v>46</v>
      </c>
      <c r="J1956">
        <v>1</v>
      </c>
      <c r="K1956" t="str">
        <f>IF(Tb_data[[#This Row],[previous_workers]]&lt;Tb_data[[#This Row],[workers]],"yes","no")</f>
        <v>no</v>
      </c>
      <c r="L1956">
        <f>Tb_data[[#This Row],[workers]]-Tb_data[[#This Row],[previous_workers]]</f>
        <v>-1</v>
      </c>
      <c r="M1956" s="12">
        <f>Tb_data[[#This Row],[Employees Growth]]/Tb_data[[#This Row],[previous_workers]]</f>
        <v>-6.6666666666666666E-2</v>
      </c>
    </row>
    <row r="1957" spans="1:13" x14ac:dyDescent="0.25">
      <c r="A1957" s="1" t="s">
        <v>7741</v>
      </c>
      <c r="B1957" s="1" t="s">
        <v>7742</v>
      </c>
      <c r="C1957" s="1">
        <v>8600000</v>
      </c>
      <c r="D1957" s="1" t="s">
        <v>427</v>
      </c>
      <c r="E1957">
        <v>87.287999999999997</v>
      </c>
      <c r="F1957" s="1" t="s">
        <v>12</v>
      </c>
      <c r="G1957">
        <v>66</v>
      </c>
      <c r="H1957">
        <v>42</v>
      </c>
      <c r="I1957" s="1" t="s">
        <v>147</v>
      </c>
      <c r="J1957">
        <v>6</v>
      </c>
      <c r="K1957" t="str">
        <f>IF(Tb_data[[#This Row],[previous_workers]]&lt;Tb_data[[#This Row],[workers]],"yes","no")</f>
        <v>yes</v>
      </c>
      <c r="L1957">
        <f>Tb_data[[#This Row],[workers]]-Tb_data[[#This Row],[previous_workers]]</f>
        <v>24</v>
      </c>
      <c r="M1957" s="12">
        <f>Tb_data[[#This Row],[Employees Growth]]/Tb_data[[#This Row],[previous_workers]]</f>
        <v>0.5714285714285714</v>
      </c>
    </row>
    <row r="1958" spans="1:13" x14ac:dyDescent="0.25">
      <c r="A1958" s="1" t="s">
        <v>4986</v>
      </c>
      <c r="B1958" s="1" t="s">
        <v>4987</v>
      </c>
      <c r="C1958" s="1">
        <v>47500000</v>
      </c>
      <c r="D1958" s="1" t="s">
        <v>69</v>
      </c>
      <c r="E1958">
        <v>162.37119999999999</v>
      </c>
      <c r="F1958" s="1" t="s">
        <v>172</v>
      </c>
      <c r="G1958">
        <v>125</v>
      </c>
      <c r="H1958">
        <v>35</v>
      </c>
      <c r="I1958" s="1" t="s">
        <v>948</v>
      </c>
      <c r="J1958">
        <v>2</v>
      </c>
      <c r="K1958" t="str">
        <f>IF(Tb_data[[#This Row],[previous_workers]]&lt;Tb_data[[#This Row],[workers]],"yes","no")</f>
        <v>yes</v>
      </c>
      <c r="L1958">
        <f>Tb_data[[#This Row],[workers]]-Tb_data[[#This Row],[previous_workers]]</f>
        <v>90</v>
      </c>
      <c r="M1958" s="12">
        <f>Tb_data[[#This Row],[Employees Growth]]/Tb_data[[#This Row],[previous_workers]]</f>
        <v>2.5714285714285716</v>
      </c>
    </row>
    <row r="1959" spans="1:13" x14ac:dyDescent="0.25">
      <c r="A1959" s="1" t="s">
        <v>723</v>
      </c>
      <c r="B1959" s="1" t="s">
        <v>724</v>
      </c>
      <c r="C1959" s="1">
        <v>2300000</v>
      </c>
      <c r="D1959" s="1" t="s">
        <v>79</v>
      </c>
      <c r="E1959">
        <v>1447.5148999999999</v>
      </c>
      <c r="F1959" s="1" t="s">
        <v>34</v>
      </c>
      <c r="G1959">
        <v>20</v>
      </c>
      <c r="H1959">
        <v>5</v>
      </c>
      <c r="I1959" s="1" t="s">
        <v>13</v>
      </c>
      <c r="J1959">
        <v>1</v>
      </c>
      <c r="K1959" t="str">
        <f>IF(Tb_data[[#This Row],[previous_workers]]&lt;Tb_data[[#This Row],[workers]],"yes","no")</f>
        <v>yes</v>
      </c>
      <c r="L1959">
        <f>Tb_data[[#This Row],[workers]]-Tb_data[[#This Row],[previous_workers]]</f>
        <v>15</v>
      </c>
      <c r="M1959" s="12">
        <f>Tb_data[[#This Row],[Employees Growth]]/Tb_data[[#This Row],[previous_workers]]</f>
        <v>3</v>
      </c>
    </row>
    <row r="1960" spans="1:13" x14ac:dyDescent="0.25">
      <c r="A1960" s="1" t="s">
        <v>8319</v>
      </c>
      <c r="B1960" s="1" t="s">
        <v>8320</v>
      </c>
      <c r="C1960" s="1">
        <v>9000000</v>
      </c>
      <c r="D1960" s="1" t="s">
        <v>61</v>
      </c>
      <c r="E1960">
        <v>77.505700000000004</v>
      </c>
      <c r="F1960" s="1" t="s">
        <v>100</v>
      </c>
      <c r="G1960">
        <v>28</v>
      </c>
      <c r="H1960">
        <v>22</v>
      </c>
      <c r="I1960" s="1" t="s">
        <v>164</v>
      </c>
      <c r="J1960">
        <v>4</v>
      </c>
      <c r="K1960" t="str">
        <f>IF(Tb_data[[#This Row],[previous_workers]]&lt;Tb_data[[#This Row],[workers]],"yes","no")</f>
        <v>yes</v>
      </c>
      <c r="L1960">
        <f>Tb_data[[#This Row],[workers]]-Tb_data[[#This Row],[previous_workers]]</f>
        <v>6</v>
      </c>
      <c r="M1960" s="12">
        <f>Tb_data[[#This Row],[Employees Growth]]/Tb_data[[#This Row],[previous_workers]]</f>
        <v>0.27272727272727271</v>
      </c>
    </row>
    <row r="1961" spans="1:13" x14ac:dyDescent="0.25">
      <c r="A1961" s="1" t="s">
        <v>5436</v>
      </c>
      <c r="B1961" s="1" t="s">
        <v>5437</v>
      </c>
      <c r="C1961" s="1">
        <v>23200000</v>
      </c>
      <c r="D1961" s="1" t="s">
        <v>20</v>
      </c>
      <c r="E1961">
        <v>145.06569999999999</v>
      </c>
      <c r="F1961" s="1" t="s">
        <v>30</v>
      </c>
      <c r="G1961">
        <v>23</v>
      </c>
      <c r="H1961">
        <v>9</v>
      </c>
      <c r="I1961" s="1" t="s">
        <v>55</v>
      </c>
      <c r="J1961">
        <v>2</v>
      </c>
      <c r="K1961" t="str">
        <f>IF(Tb_data[[#This Row],[previous_workers]]&lt;Tb_data[[#This Row],[workers]],"yes","no")</f>
        <v>yes</v>
      </c>
      <c r="L1961">
        <f>Tb_data[[#This Row],[workers]]-Tb_data[[#This Row],[previous_workers]]</f>
        <v>14</v>
      </c>
      <c r="M1961" s="12">
        <f>Tb_data[[#This Row],[Employees Growth]]/Tb_data[[#This Row],[previous_workers]]</f>
        <v>1.5555555555555556</v>
      </c>
    </row>
    <row r="1962" spans="1:13" x14ac:dyDescent="0.25">
      <c r="A1962" s="1" t="s">
        <v>1190</v>
      </c>
      <c r="B1962" s="1" t="s">
        <v>1191</v>
      </c>
      <c r="C1962" s="1">
        <v>8200000</v>
      </c>
      <c r="D1962" s="1" t="s">
        <v>29</v>
      </c>
      <c r="E1962">
        <v>810.34349999999995</v>
      </c>
      <c r="F1962" s="1" t="s">
        <v>86</v>
      </c>
      <c r="G1962">
        <v>46</v>
      </c>
      <c r="H1962">
        <v>8</v>
      </c>
      <c r="I1962" s="1" t="s">
        <v>130</v>
      </c>
      <c r="J1962">
        <v>2</v>
      </c>
      <c r="K1962" t="str">
        <f>IF(Tb_data[[#This Row],[previous_workers]]&lt;Tb_data[[#This Row],[workers]],"yes","no")</f>
        <v>yes</v>
      </c>
      <c r="L1962">
        <f>Tb_data[[#This Row],[workers]]-Tb_data[[#This Row],[previous_workers]]</f>
        <v>38</v>
      </c>
      <c r="M1962" s="12">
        <f>Tb_data[[#This Row],[Employees Growth]]/Tb_data[[#This Row],[previous_workers]]</f>
        <v>4.75</v>
      </c>
    </row>
    <row r="1963" spans="1:13" x14ac:dyDescent="0.25">
      <c r="A1963" s="1" t="s">
        <v>1112</v>
      </c>
      <c r="B1963" s="1" t="s">
        <v>1113</v>
      </c>
      <c r="C1963" s="1">
        <v>9000000</v>
      </c>
      <c r="D1963" s="1" t="s">
        <v>49</v>
      </c>
      <c r="E1963">
        <v>863.23569999999995</v>
      </c>
      <c r="F1963" s="1" t="s">
        <v>34</v>
      </c>
      <c r="G1963">
        <v>150</v>
      </c>
      <c r="H1963">
        <v>25</v>
      </c>
      <c r="I1963" s="1" t="s">
        <v>194</v>
      </c>
      <c r="J1963">
        <v>3</v>
      </c>
      <c r="K1963" t="str">
        <f>IF(Tb_data[[#This Row],[previous_workers]]&lt;Tb_data[[#This Row],[workers]],"yes","no")</f>
        <v>yes</v>
      </c>
      <c r="L1963">
        <f>Tb_data[[#This Row],[workers]]-Tb_data[[#This Row],[previous_workers]]</f>
        <v>125</v>
      </c>
      <c r="M1963" s="12">
        <f>Tb_data[[#This Row],[Employees Growth]]/Tb_data[[#This Row],[previous_workers]]</f>
        <v>5</v>
      </c>
    </row>
    <row r="1964" spans="1:13" x14ac:dyDescent="0.25">
      <c r="A1964" s="1" t="s">
        <v>7048</v>
      </c>
      <c r="B1964" s="1" t="s">
        <v>7049</v>
      </c>
      <c r="C1964" s="1">
        <v>355300000</v>
      </c>
      <c r="D1964" s="1" t="s">
        <v>175</v>
      </c>
      <c r="E1964">
        <v>101.02419999999999</v>
      </c>
      <c r="F1964" s="1" t="s">
        <v>514</v>
      </c>
      <c r="G1964">
        <v>2103</v>
      </c>
      <c r="H1964">
        <v>1203</v>
      </c>
      <c r="I1964" s="1" t="s">
        <v>468</v>
      </c>
      <c r="J1964">
        <v>12</v>
      </c>
      <c r="K1964" t="str">
        <f>IF(Tb_data[[#This Row],[previous_workers]]&lt;Tb_data[[#This Row],[workers]],"yes","no")</f>
        <v>yes</v>
      </c>
      <c r="L1964">
        <f>Tb_data[[#This Row],[workers]]-Tb_data[[#This Row],[previous_workers]]</f>
        <v>900</v>
      </c>
      <c r="M1964" s="12">
        <f>Tb_data[[#This Row],[Employees Growth]]/Tb_data[[#This Row],[previous_workers]]</f>
        <v>0.74812967581047385</v>
      </c>
    </row>
    <row r="1965" spans="1:13" x14ac:dyDescent="0.25">
      <c r="A1965" s="1" t="s">
        <v>9604</v>
      </c>
      <c r="B1965" s="1" t="s">
        <v>9605</v>
      </c>
      <c r="C1965" s="1">
        <v>4500000</v>
      </c>
      <c r="D1965" s="1" t="s">
        <v>41</v>
      </c>
      <c r="E1965">
        <v>59.1462</v>
      </c>
      <c r="F1965" s="1" t="s">
        <v>97</v>
      </c>
      <c r="G1965">
        <v>20</v>
      </c>
      <c r="H1965">
        <v>12</v>
      </c>
      <c r="I1965" s="1" t="s">
        <v>55</v>
      </c>
      <c r="J1965">
        <v>1</v>
      </c>
      <c r="K1965" t="str">
        <f>IF(Tb_data[[#This Row],[previous_workers]]&lt;Tb_data[[#This Row],[workers]],"yes","no")</f>
        <v>yes</v>
      </c>
      <c r="L1965">
        <f>Tb_data[[#This Row],[workers]]-Tb_data[[#This Row],[previous_workers]]</f>
        <v>8</v>
      </c>
      <c r="M1965" s="12">
        <f>Tb_data[[#This Row],[Employees Growth]]/Tb_data[[#This Row],[previous_workers]]</f>
        <v>0.66666666666666663</v>
      </c>
    </row>
    <row r="1966" spans="1:13" x14ac:dyDescent="0.25">
      <c r="A1966" s="1" t="s">
        <v>1876</v>
      </c>
      <c r="B1966" s="1" t="s">
        <v>1877</v>
      </c>
      <c r="C1966" s="1">
        <v>24200000</v>
      </c>
      <c r="D1966" s="1" t="s">
        <v>61</v>
      </c>
      <c r="E1966">
        <v>480.63909999999998</v>
      </c>
      <c r="F1966" s="1" t="s">
        <v>112</v>
      </c>
      <c r="G1966">
        <v>32</v>
      </c>
      <c r="H1966">
        <v>4</v>
      </c>
      <c r="I1966" s="1" t="s">
        <v>26</v>
      </c>
      <c r="J1966">
        <v>2</v>
      </c>
      <c r="K1966" t="str">
        <f>IF(Tb_data[[#This Row],[previous_workers]]&lt;Tb_data[[#This Row],[workers]],"yes","no")</f>
        <v>yes</v>
      </c>
      <c r="L1966">
        <f>Tb_data[[#This Row],[workers]]-Tb_data[[#This Row],[previous_workers]]</f>
        <v>28</v>
      </c>
      <c r="M1966" s="12">
        <f>Tb_data[[#This Row],[Employees Growth]]/Tb_data[[#This Row],[previous_workers]]</f>
        <v>7</v>
      </c>
    </row>
    <row r="1967" spans="1:13" x14ac:dyDescent="0.25">
      <c r="A1967" s="1" t="s">
        <v>2062</v>
      </c>
      <c r="B1967" s="1" t="s">
        <v>2063</v>
      </c>
      <c r="C1967" s="1">
        <v>4000000</v>
      </c>
      <c r="D1967" s="1" t="s">
        <v>58</v>
      </c>
      <c r="E1967">
        <v>434.37610000000001</v>
      </c>
      <c r="F1967" s="1" t="s">
        <v>124</v>
      </c>
      <c r="G1967">
        <v>34</v>
      </c>
      <c r="H1967">
        <v>6</v>
      </c>
      <c r="I1967" s="1" t="s">
        <v>55</v>
      </c>
      <c r="J1967">
        <v>1</v>
      </c>
      <c r="K1967" t="str">
        <f>IF(Tb_data[[#This Row],[previous_workers]]&lt;Tb_data[[#This Row],[workers]],"yes","no")</f>
        <v>yes</v>
      </c>
      <c r="L1967">
        <f>Tb_data[[#This Row],[workers]]-Tb_data[[#This Row],[previous_workers]]</f>
        <v>28</v>
      </c>
      <c r="M1967" s="12">
        <f>Tb_data[[#This Row],[Employees Growth]]/Tb_data[[#This Row],[previous_workers]]</f>
        <v>4.666666666666667</v>
      </c>
    </row>
    <row r="1968" spans="1:13" x14ac:dyDescent="0.25">
      <c r="A1968" s="1" t="s">
        <v>9886</v>
      </c>
      <c r="B1968" s="1" t="s">
        <v>9887</v>
      </c>
      <c r="C1968" s="1">
        <v>2100000</v>
      </c>
      <c r="D1968" s="1" t="s">
        <v>33</v>
      </c>
      <c r="E1968">
        <v>55.476199999999999</v>
      </c>
      <c r="F1968" s="1" t="s">
        <v>135</v>
      </c>
      <c r="G1968">
        <v>16</v>
      </c>
      <c r="H1968">
        <v>11</v>
      </c>
      <c r="I1968" s="1" t="s">
        <v>147</v>
      </c>
      <c r="J1968">
        <v>2</v>
      </c>
      <c r="K1968" t="str">
        <f>IF(Tb_data[[#This Row],[previous_workers]]&lt;Tb_data[[#This Row],[workers]],"yes","no")</f>
        <v>yes</v>
      </c>
      <c r="L1968">
        <f>Tb_data[[#This Row],[workers]]-Tb_data[[#This Row],[previous_workers]]</f>
        <v>5</v>
      </c>
      <c r="M1968" s="12">
        <f>Tb_data[[#This Row],[Employees Growth]]/Tb_data[[#This Row],[previous_workers]]</f>
        <v>0.45454545454545453</v>
      </c>
    </row>
    <row r="1969" spans="1:13" x14ac:dyDescent="0.25">
      <c r="A1969" s="1" t="s">
        <v>8953</v>
      </c>
      <c r="B1969" s="1" t="s">
        <v>8954</v>
      </c>
      <c r="C1969" s="1">
        <v>4900000</v>
      </c>
      <c r="D1969" s="1" t="s">
        <v>49</v>
      </c>
      <c r="E1969">
        <v>67.242199999999997</v>
      </c>
      <c r="F1969" s="1" t="s">
        <v>112</v>
      </c>
      <c r="G1969">
        <v>22</v>
      </c>
      <c r="H1969">
        <v>46</v>
      </c>
      <c r="I1969" s="1" t="s">
        <v>26</v>
      </c>
      <c r="J1969">
        <v>1</v>
      </c>
      <c r="K1969" t="str">
        <f>IF(Tb_data[[#This Row],[previous_workers]]&lt;Tb_data[[#This Row],[workers]],"yes","no")</f>
        <v>no</v>
      </c>
      <c r="L1969">
        <f>Tb_data[[#This Row],[workers]]-Tb_data[[#This Row],[previous_workers]]</f>
        <v>-24</v>
      </c>
      <c r="M1969" s="12">
        <f>Tb_data[[#This Row],[Employees Growth]]/Tb_data[[#This Row],[previous_workers]]</f>
        <v>-0.52173913043478259</v>
      </c>
    </row>
    <row r="1970" spans="1:13" x14ac:dyDescent="0.25">
      <c r="A1970" s="1" t="s">
        <v>1894</v>
      </c>
      <c r="B1970" s="1" t="s">
        <v>1895</v>
      </c>
      <c r="C1970" s="1">
        <v>14000000</v>
      </c>
      <c r="D1970" s="1" t="s">
        <v>49</v>
      </c>
      <c r="E1970">
        <v>475.45080000000002</v>
      </c>
      <c r="F1970" s="1" t="s">
        <v>12</v>
      </c>
      <c r="G1970">
        <v>130</v>
      </c>
      <c r="H1970">
        <v>35</v>
      </c>
      <c r="I1970" s="1" t="s">
        <v>26</v>
      </c>
      <c r="J1970">
        <v>2</v>
      </c>
      <c r="K1970" t="str">
        <f>IF(Tb_data[[#This Row],[previous_workers]]&lt;Tb_data[[#This Row],[workers]],"yes","no")</f>
        <v>yes</v>
      </c>
      <c r="L1970">
        <f>Tb_data[[#This Row],[workers]]-Tb_data[[#This Row],[previous_workers]]</f>
        <v>95</v>
      </c>
      <c r="M1970" s="12">
        <f>Tb_data[[#This Row],[Employees Growth]]/Tb_data[[#This Row],[previous_workers]]</f>
        <v>2.7142857142857144</v>
      </c>
    </row>
    <row r="1971" spans="1:13" x14ac:dyDescent="0.25">
      <c r="A1971" s="1" t="s">
        <v>4299</v>
      </c>
      <c r="B1971" s="1" t="s">
        <v>4300</v>
      </c>
      <c r="C1971" s="1">
        <v>17600000</v>
      </c>
      <c r="D1971" s="1" t="s">
        <v>33</v>
      </c>
      <c r="E1971">
        <v>191.14529999999999</v>
      </c>
      <c r="F1971" s="1" t="s">
        <v>21</v>
      </c>
      <c r="G1971">
        <v>375</v>
      </c>
      <c r="H1971">
        <v>140</v>
      </c>
      <c r="I1971" s="1" t="s">
        <v>164</v>
      </c>
      <c r="J1971">
        <v>4</v>
      </c>
      <c r="K1971" t="str">
        <f>IF(Tb_data[[#This Row],[previous_workers]]&lt;Tb_data[[#This Row],[workers]],"yes","no")</f>
        <v>yes</v>
      </c>
      <c r="L1971">
        <f>Tb_data[[#This Row],[workers]]-Tb_data[[#This Row],[previous_workers]]</f>
        <v>235</v>
      </c>
      <c r="M1971" s="12">
        <f>Tb_data[[#This Row],[Employees Growth]]/Tb_data[[#This Row],[previous_workers]]</f>
        <v>1.6785714285714286</v>
      </c>
    </row>
    <row r="1972" spans="1:13" x14ac:dyDescent="0.25">
      <c r="A1972" s="1" t="s">
        <v>4794</v>
      </c>
      <c r="B1972" s="1" t="s">
        <v>4795</v>
      </c>
      <c r="C1972" s="1">
        <v>4200000</v>
      </c>
      <c r="D1972" s="1" t="s">
        <v>254</v>
      </c>
      <c r="E1972">
        <v>170.37950000000001</v>
      </c>
      <c r="F1972" s="1" t="s">
        <v>86</v>
      </c>
      <c r="G1972">
        <v>16</v>
      </c>
      <c r="H1972">
        <v>4</v>
      </c>
      <c r="I1972" s="1" t="s">
        <v>130</v>
      </c>
      <c r="J1972">
        <v>2</v>
      </c>
      <c r="K1972" t="str">
        <f>IF(Tb_data[[#This Row],[previous_workers]]&lt;Tb_data[[#This Row],[workers]],"yes","no")</f>
        <v>yes</v>
      </c>
      <c r="L1972">
        <f>Tb_data[[#This Row],[workers]]-Tb_data[[#This Row],[previous_workers]]</f>
        <v>12</v>
      </c>
      <c r="M1972" s="12">
        <f>Tb_data[[#This Row],[Employees Growth]]/Tb_data[[#This Row],[previous_workers]]</f>
        <v>3</v>
      </c>
    </row>
    <row r="1973" spans="1:13" x14ac:dyDescent="0.25">
      <c r="A1973" s="1" t="s">
        <v>7134</v>
      </c>
      <c r="B1973" s="1" t="s">
        <v>7135</v>
      </c>
      <c r="C1973" s="1">
        <v>8700000</v>
      </c>
      <c r="D1973" s="1" t="s">
        <v>52</v>
      </c>
      <c r="E1973">
        <v>99.631500000000003</v>
      </c>
      <c r="F1973" s="1" t="s">
        <v>100</v>
      </c>
      <c r="G1973">
        <v>85</v>
      </c>
      <c r="H1973">
        <v>35</v>
      </c>
      <c r="I1973" s="1" t="s">
        <v>2840</v>
      </c>
      <c r="J1973">
        <v>1</v>
      </c>
      <c r="K1973" t="str">
        <f>IF(Tb_data[[#This Row],[previous_workers]]&lt;Tb_data[[#This Row],[workers]],"yes","no")</f>
        <v>yes</v>
      </c>
      <c r="L1973">
        <f>Tb_data[[#This Row],[workers]]-Tb_data[[#This Row],[previous_workers]]</f>
        <v>50</v>
      </c>
      <c r="M1973" s="12">
        <f>Tb_data[[#This Row],[Employees Growth]]/Tb_data[[#This Row],[previous_workers]]</f>
        <v>1.4285714285714286</v>
      </c>
    </row>
    <row r="1974" spans="1:13" x14ac:dyDescent="0.25">
      <c r="A1974" s="1" t="s">
        <v>3117</v>
      </c>
      <c r="B1974" s="1" t="s">
        <v>3118</v>
      </c>
      <c r="C1974" s="1">
        <v>120400000</v>
      </c>
      <c r="D1974" s="1" t="s">
        <v>33</v>
      </c>
      <c r="E1974">
        <v>275.96480000000003</v>
      </c>
      <c r="F1974" s="1" t="s">
        <v>34</v>
      </c>
      <c r="G1974">
        <v>199</v>
      </c>
      <c r="H1974">
        <v>58</v>
      </c>
      <c r="I1974" s="1" t="s">
        <v>130</v>
      </c>
      <c r="J1974">
        <v>2</v>
      </c>
      <c r="K1974" t="str">
        <f>IF(Tb_data[[#This Row],[previous_workers]]&lt;Tb_data[[#This Row],[workers]],"yes","no")</f>
        <v>yes</v>
      </c>
      <c r="L1974">
        <f>Tb_data[[#This Row],[workers]]-Tb_data[[#This Row],[previous_workers]]</f>
        <v>141</v>
      </c>
      <c r="M1974" s="12">
        <f>Tb_data[[#This Row],[Employees Growth]]/Tb_data[[#This Row],[previous_workers]]</f>
        <v>2.4310344827586206</v>
      </c>
    </row>
    <row r="1975" spans="1:13" x14ac:dyDescent="0.25">
      <c r="A1975" s="1" t="s">
        <v>9357</v>
      </c>
      <c r="B1975" s="1" t="s">
        <v>9358</v>
      </c>
      <c r="C1975" s="1">
        <v>27100000</v>
      </c>
      <c r="D1975" s="1" t="s">
        <v>38</v>
      </c>
      <c r="E1975">
        <v>62.036200000000001</v>
      </c>
      <c r="F1975" s="1" t="s">
        <v>176</v>
      </c>
      <c r="G1975">
        <v>210</v>
      </c>
      <c r="H1975">
        <v>140</v>
      </c>
      <c r="I1975" s="1" t="s">
        <v>2628</v>
      </c>
      <c r="J1975">
        <v>6</v>
      </c>
      <c r="K1975" t="str">
        <f>IF(Tb_data[[#This Row],[previous_workers]]&lt;Tb_data[[#This Row],[workers]],"yes","no")</f>
        <v>yes</v>
      </c>
      <c r="L1975">
        <f>Tb_data[[#This Row],[workers]]-Tb_data[[#This Row],[previous_workers]]</f>
        <v>70</v>
      </c>
      <c r="M1975" s="12">
        <f>Tb_data[[#This Row],[Employees Growth]]/Tb_data[[#This Row],[previous_workers]]</f>
        <v>0.5</v>
      </c>
    </row>
    <row r="1976" spans="1:13" x14ac:dyDescent="0.25">
      <c r="A1976" s="1" t="s">
        <v>5102</v>
      </c>
      <c r="B1976" s="1" t="s">
        <v>5103</v>
      </c>
      <c r="C1976" s="1">
        <v>70800000</v>
      </c>
      <c r="D1976" s="1" t="s">
        <v>254</v>
      </c>
      <c r="E1976">
        <v>157.24639999999999</v>
      </c>
      <c r="F1976" s="1" t="s">
        <v>176</v>
      </c>
      <c r="G1976">
        <v>300</v>
      </c>
      <c r="H1976">
        <v>120</v>
      </c>
      <c r="I1976" s="1" t="s">
        <v>164</v>
      </c>
      <c r="J1976">
        <v>1</v>
      </c>
      <c r="K1976" t="str">
        <f>IF(Tb_data[[#This Row],[previous_workers]]&lt;Tb_data[[#This Row],[workers]],"yes","no")</f>
        <v>yes</v>
      </c>
      <c r="L1976">
        <f>Tb_data[[#This Row],[workers]]-Tb_data[[#This Row],[previous_workers]]</f>
        <v>180</v>
      </c>
      <c r="M1976" s="12">
        <f>Tb_data[[#This Row],[Employees Growth]]/Tb_data[[#This Row],[previous_workers]]</f>
        <v>1.5</v>
      </c>
    </row>
    <row r="1977" spans="1:13" x14ac:dyDescent="0.25">
      <c r="A1977" s="1" t="s">
        <v>7176</v>
      </c>
      <c r="B1977" s="1" t="s">
        <v>7177</v>
      </c>
      <c r="C1977" s="1">
        <v>3000000</v>
      </c>
      <c r="D1977" s="1" t="s">
        <v>103</v>
      </c>
      <c r="E1977">
        <v>98.968400000000003</v>
      </c>
      <c r="F1977" s="1" t="s">
        <v>34</v>
      </c>
      <c r="G1977">
        <v>28</v>
      </c>
      <c r="H1977">
        <v>19</v>
      </c>
      <c r="I1977" s="1" t="s">
        <v>130</v>
      </c>
      <c r="J1977">
        <v>3</v>
      </c>
      <c r="K1977" t="str">
        <f>IF(Tb_data[[#This Row],[previous_workers]]&lt;Tb_data[[#This Row],[workers]],"yes","no")</f>
        <v>yes</v>
      </c>
      <c r="L1977">
        <f>Tb_data[[#This Row],[workers]]-Tb_data[[#This Row],[previous_workers]]</f>
        <v>9</v>
      </c>
      <c r="M1977" s="12">
        <f>Tb_data[[#This Row],[Employees Growth]]/Tb_data[[#This Row],[previous_workers]]</f>
        <v>0.47368421052631576</v>
      </c>
    </row>
    <row r="1978" spans="1:13" x14ac:dyDescent="0.25">
      <c r="A1978" s="1" t="s">
        <v>1722</v>
      </c>
      <c r="B1978" s="1" t="s">
        <v>1723</v>
      </c>
      <c r="C1978" s="1">
        <v>4300000</v>
      </c>
      <c r="D1978" s="1" t="s">
        <v>49</v>
      </c>
      <c r="E1978">
        <v>531.00450000000001</v>
      </c>
      <c r="F1978" s="1" t="s">
        <v>12</v>
      </c>
      <c r="G1978">
        <v>16</v>
      </c>
      <c r="H1978">
        <v>2</v>
      </c>
      <c r="I1978" s="1" t="s">
        <v>13</v>
      </c>
      <c r="J1978">
        <v>1</v>
      </c>
      <c r="K1978" t="str">
        <f>IF(Tb_data[[#This Row],[previous_workers]]&lt;Tb_data[[#This Row],[workers]],"yes","no")</f>
        <v>yes</v>
      </c>
      <c r="L1978">
        <f>Tb_data[[#This Row],[workers]]-Tb_data[[#This Row],[previous_workers]]</f>
        <v>14</v>
      </c>
      <c r="M1978" s="12">
        <f>Tb_data[[#This Row],[Employees Growth]]/Tb_data[[#This Row],[previous_workers]]</f>
        <v>7</v>
      </c>
    </row>
    <row r="1979" spans="1:13" x14ac:dyDescent="0.25">
      <c r="A1979" s="1" t="s">
        <v>5178</v>
      </c>
      <c r="B1979" s="1" t="s">
        <v>5179</v>
      </c>
      <c r="C1979" s="1">
        <v>214100000</v>
      </c>
      <c r="D1979" s="1" t="s">
        <v>45</v>
      </c>
      <c r="E1979">
        <v>154.26779999999999</v>
      </c>
      <c r="F1979" s="1" t="s">
        <v>34</v>
      </c>
      <c r="G1979">
        <v>386</v>
      </c>
      <c r="H1979">
        <v>102</v>
      </c>
      <c r="I1979" s="1" t="s">
        <v>147</v>
      </c>
      <c r="J1979">
        <v>4</v>
      </c>
      <c r="K1979" t="str">
        <f>IF(Tb_data[[#This Row],[previous_workers]]&lt;Tb_data[[#This Row],[workers]],"yes","no")</f>
        <v>yes</v>
      </c>
      <c r="L1979">
        <f>Tb_data[[#This Row],[workers]]-Tb_data[[#This Row],[previous_workers]]</f>
        <v>284</v>
      </c>
      <c r="M1979" s="12">
        <f>Tb_data[[#This Row],[Employees Growth]]/Tb_data[[#This Row],[previous_workers]]</f>
        <v>2.784313725490196</v>
      </c>
    </row>
    <row r="1980" spans="1:13" x14ac:dyDescent="0.25">
      <c r="A1980" s="1" t="s">
        <v>4691</v>
      </c>
      <c r="B1980" s="1" t="s">
        <v>4692</v>
      </c>
      <c r="C1980" s="1">
        <v>112600000</v>
      </c>
      <c r="D1980" s="1" t="s">
        <v>91</v>
      </c>
      <c r="E1980">
        <v>174.73159999999999</v>
      </c>
      <c r="F1980" s="1" t="s">
        <v>34</v>
      </c>
      <c r="G1980">
        <v>734</v>
      </c>
      <c r="H1980">
        <v>411</v>
      </c>
      <c r="I1980" s="1" t="s">
        <v>46</v>
      </c>
      <c r="J1980">
        <v>7</v>
      </c>
      <c r="K1980" t="str">
        <f>IF(Tb_data[[#This Row],[previous_workers]]&lt;Tb_data[[#This Row],[workers]],"yes","no")</f>
        <v>yes</v>
      </c>
      <c r="L1980">
        <f>Tb_data[[#This Row],[workers]]-Tb_data[[#This Row],[previous_workers]]</f>
        <v>323</v>
      </c>
      <c r="M1980" s="12">
        <f>Tb_data[[#This Row],[Employees Growth]]/Tb_data[[#This Row],[previous_workers]]</f>
        <v>0.78588807785888082</v>
      </c>
    </row>
    <row r="1981" spans="1:13" x14ac:dyDescent="0.25">
      <c r="A1981" s="1" t="s">
        <v>8697</v>
      </c>
      <c r="B1981" s="1" t="s">
        <v>8698</v>
      </c>
      <c r="C1981" s="1">
        <v>23400000</v>
      </c>
      <c r="D1981" s="1" t="s">
        <v>58</v>
      </c>
      <c r="E1981">
        <v>71.088999999999999</v>
      </c>
      <c r="F1981" s="1" t="s">
        <v>12</v>
      </c>
      <c r="G1981">
        <v>108</v>
      </c>
      <c r="H1981">
        <v>70</v>
      </c>
      <c r="I1981" s="1" t="s">
        <v>229</v>
      </c>
      <c r="J1981">
        <v>3</v>
      </c>
      <c r="K1981" t="str">
        <f>IF(Tb_data[[#This Row],[previous_workers]]&lt;Tb_data[[#This Row],[workers]],"yes","no")</f>
        <v>yes</v>
      </c>
      <c r="L1981">
        <f>Tb_data[[#This Row],[workers]]-Tb_data[[#This Row],[previous_workers]]</f>
        <v>38</v>
      </c>
      <c r="M1981" s="12">
        <f>Tb_data[[#This Row],[Employees Growth]]/Tb_data[[#This Row],[previous_workers]]</f>
        <v>0.54285714285714282</v>
      </c>
    </row>
    <row r="1982" spans="1:13" x14ac:dyDescent="0.25">
      <c r="A1982" s="1" t="s">
        <v>3904</v>
      </c>
      <c r="B1982" s="1" t="s">
        <v>3905</v>
      </c>
      <c r="C1982" s="1">
        <v>14700000</v>
      </c>
      <c r="D1982" s="1" t="s">
        <v>321</v>
      </c>
      <c r="E1982">
        <v>213.2499</v>
      </c>
      <c r="F1982" s="1" t="s">
        <v>34</v>
      </c>
      <c r="G1982">
        <v>45</v>
      </c>
      <c r="H1982">
        <v>20</v>
      </c>
      <c r="I1982" s="1" t="s">
        <v>229</v>
      </c>
      <c r="J1982">
        <v>2</v>
      </c>
      <c r="K1982" t="str">
        <f>IF(Tb_data[[#This Row],[previous_workers]]&lt;Tb_data[[#This Row],[workers]],"yes","no")</f>
        <v>yes</v>
      </c>
      <c r="L1982">
        <f>Tb_data[[#This Row],[workers]]-Tb_data[[#This Row],[previous_workers]]</f>
        <v>25</v>
      </c>
      <c r="M1982" s="12">
        <f>Tb_data[[#This Row],[Employees Growth]]/Tb_data[[#This Row],[previous_workers]]</f>
        <v>1.25</v>
      </c>
    </row>
    <row r="1983" spans="1:13" x14ac:dyDescent="0.25">
      <c r="A1983" s="1" t="s">
        <v>1704</v>
      </c>
      <c r="B1983" s="1" t="s">
        <v>1705</v>
      </c>
      <c r="C1983" s="1">
        <v>6300000</v>
      </c>
      <c r="D1983" s="1" t="s">
        <v>38</v>
      </c>
      <c r="E1983">
        <v>537.79510000000005</v>
      </c>
      <c r="F1983" s="1" t="s">
        <v>34</v>
      </c>
      <c r="G1983">
        <v>46</v>
      </c>
      <c r="H1983">
        <v>6</v>
      </c>
      <c r="I1983" s="1" t="s">
        <v>130</v>
      </c>
      <c r="J1983">
        <v>2</v>
      </c>
      <c r="K1983" t="str">
        <f>IF(Tb_data[[#This Row],[previous_workers]]&lt;Tb_data[[#This Row],[workers]],"yes","no")</f>
        <v>yes</v>
      </c>
      <c r="L1983">
        <f>Tb_data[[#This Row],[workers]]-Tb_data[[#This Row],[previous_workers]]</f>
        <v>40</v>
      </c>
      <c r="M1983" s="12">
        <f>Tb_data[[#This Row],[Employees Growth]]/Tb_data[[#This Row],[previous_workers]]</f>
        <v>6.666666666666667</v>
      </c>
    </row>
    <row r="1984" spans="1:13" x14ac:dyDescent="0.25">
      <c r="A1984" s="1" t="s">
        <v>1921</v>
      </c>
      <c r="B1984" s="1" t="s">
        <v>1922</v>
      </c>
      <c r="C1984" s="1">
        <v>29600000</v>
      </c>
      <c r="D1984" s="1" t="s">
        <v>29</v>
      </c>
      <c r="E1984">
        <v>468.96769999999998</v>
      </c>
      <c r="F1984" s="1" t="s">
        <v>34</v>
      </c>
      <c r="G1984">
        <v>126</v>
      </c>
      <c r="H1984">
        <v>20</v>
      </c>
      <c r="I1984" s="1" t="s">
        <v>117</v>
      </c>
      <c r="J1984">
        <v>2</v>
      </c>
      <c r="K1984" t="str">
        <f>IF(Tb_data[[#This Row],[previous_workers]]&lt;Tb_data[[#This Row],[workers]],"yes","no")</f>
        <v>yes</v>
      </c>
      <c r="L1984">
        <f>Tb_data[[#This Row],[workers]]-Tb_data[[#This Row],[previous_workers]]</f>
        <v>106</v>
      </c>
      <c r="M1984" s="12">
        <f>Tb_data[[#This Row],[Employees Growth]]/Tb_data[[#This Row],[previous_workers]]</f>
        <v>5.3</v>
      </c>
    </row>
    <row r="1985" spans="1:13" x14ac:dyDescent="0.25">
      <c r="A1985" s="1" t="s">
        <v>3209</v>
      </c>
      <c r="B1985" s="1" t="s">
        <v>3210</v>
      </c>
      <c r="C1985" s="1">
        <v>5200000</v>
      </c>
      <c r="D1985" s="1" t="s">
        <v>33</v>
      </c>
      <c r="E1985">
        <v>268.87259999999998</v>
      </c>
      <c r="F1985" s="1" t="s">
        <v>34</v>
      </c>
      <c r="G1985">
        <v>10</v>
      </c>
      <c r="H1985">
        <v>2</v>
      </c>
      <c r="I1985" s="1" t="s">
        <v>55</v>
      </c>
      <c r="J1985">
        <v>2</v>
      </c>
      <c r="K1985" t="str">
        <f>IF(Tb_data[[#This Row],[previous_workers]]&lt;Tb_data[[#This Row],[workers]],"yes","no")</f>
        <v>yes</v>
      </c>
      <c r="L1985">
        <f>Tb_data[[#This Row],[workers]]-Tb_data[[#This Row],[previous_workers]]</f>
        <v>8</v>
      </c>
      <c r="M1985" s="12">
        <f>Tb_data[[#This Row],[Employees Growth]]/Tb_data[[#This Row],[previous_workers]]</f>
        <v>4</v>
      </c>
    </row>
    <row r="1986" spans="1:13" x14ac:dyDescent="0.25">
      <c r="A1986" s="1" t="s">
        <v>5708</v>
      </c>
      <c r="B1986" s="1" t="s">
        <v>5709</v>
      </c>
      <c r="C1986" s="1">
        <v>78300000</v>
      </c>
      <c r="D1986" s="1" t="s">
        <v>69</v>
      </c>
      <c r="E1986">
        <v>134.10650000000001</v>
      </c>
      <c r="F1986" s="1" t="s">
        <v>34</v>
      </c>
      <c r="G1986">
        <v>170</v>
      </c>
      <c r="H1986">
        <v>40</v>
      </c>
      <c r="I1986" s="1" t="s">
        <v>164</v>
      </c>
      <c r="J1986">
        <v>5</v>
      </c>
      <c r="K1986" t="str">
        <f>IF(Tb_data[[#This Row],[previous_workers]]&lt;Tb_data[[#This Row],[workers]],"yes","no")</f>
        <v>yes</v>
      </c>
      <c r="L1986">
        <f>Tb_data[[#This Row],[workers]]-Tb_data[[#This Row],[previous_workers]]</f>
        <v>130</v>
      </c>
      <c r="M1986" s="12">
        <f>Tb_data[[#This Row],[Employees Growth]]/Tb_data[[#This Row],[previous_workers]]</f>
        <v>3.25</v>
      </c>
    </row>
    <row r="1987" spans="1:13" x14ac:dyDescent="0.25">
      <c r="A1987" s="1" t="s">
        <v>3422</v>
      </c>
      <c r="B1987" s="1" t="s">
        <v>3423</v>
      </c>
      <c r="C1987" s="1">
        <v>2700000</v>
      </c>
      <c r="D1987" s="1" t="s">
        <v>33</v>
      </c>
      <c r="E1987">
        <v>249.88679999999999</v>
      </c>
      <c r="F1987" s="1" t="s">
        <v>172</v>
      </c>
      <c r="G1987">
        <v>23</v>
      </c>
      <c r="H1987">
        <v>12</v>
      </c>
      <c r="I1987" s="1" t="s">
        <v>26</v>
      </c>
      <c r="J1987">
        <v>1</v>
      </c>
      <c r="K1987" t="str">
        <f>IF(Tb_data[[#This Row],[previous_workers]]&lt;Tb_data[[#This Row],[workers]],"yes","no")</f>
        <v>yes</v>
      </c>
      <c r="L1987">
        <f>Tb_data[[#This Row],[workers]]-Tb_data[[#This Row],[previous_workers]]</f>
        <v>11</v>
      </c>
      <c r="M1987" s="12">
        <f>Tb_data[[#This Row],[Employees Growth]]/Tb_data[[#This Row],[previous_workers]]</f>
        <v>0.91666666666666663</v>
      </c>
    </row>
    <row r="1988" spans="1:13" x14ac:dyDescent="0.25">
      <c r="A1988" s="1" t="s">
        <v>1266</v>
      </c>
      <c r="B1988" s="1" t="s">
        <v>1267</v>
      </c>
      <c r="C1988" s="1">
        <v>45500000</v>
      </c>
      <c r="D1988" s="1" t="s">
        <v>33</v>
      </c>
      <c r="E1988">
        <v>758.55470000000003</v>
      </c>
      <c r="F1988" s="1" t="s">
        <v>172</v>
      </c>
      <c r="G1988">
        <v>70</v>
      </c>
      <c r="H1988">
        <v>27</v>
      </c>
      <c r="I1988" s="1" t="s">
        <v>164</v>
      </c>
      <c r="J1988">
        <v>4</v>
      </c>
      <c r="K1988" t="str">
        <f>IF(Tb_data[[#This Row],[previous_workers]]&lt;Tb_data[[#This Row],[workers]],"yes","no")</f>
        <v>yes</v>
      </c>
      <c r="L1988">
        <f>Tb_data[[#This Row],[workers]]-Tb_data[[#This Row],[previous_workers]]</f>
        <v>43</v>
      </c>
      <c r="M1988" s="12">
        <f>Tb_data[[#This Row],[Employees Growth]]/Tb_data[[#This Row],[previous_workers]]</f>
        <v>1.5925925925925926</v>
      </c>
    </row>
    <row r="1989" spans="1:13" x14ac:dyDescent="0.25">
      <c r="A1989" s="1" t="s">
        <v>1306</v>
      </c>
      <c r="B1989" s="1" t="s">
        <v>1307</v>
      </c>
      <c r="C1989" s="1">
        <v>10900000</v>
      </c>
      <c r="D1989" s="1" t="s">
        <v>49</v>
      </c>
      <c r="E1989">
        <v>736.06029999999998</v>
      </c>
      <c r="F1989" s="1" t="s">
        <v>34</v>
      </c>
      <c r="G1989">
        <v>202</v>
      </c>
      <c r="H1989">
        <v>43</v>
      </c>
      <c r="I1989" s="1" t="s">
        <v>130</v>
      </c>
      <c r="J1989">
        <v>2</v>
      </c>
      <c r="K1989" t="str">
        <f>IF(Tb_data[[#This Row],[previous_workers]]&lt;Tb_data[[#This Row],[workers]],"yes","no")</f>
        <v>yes</v>
      </c>
      <c r="L1989">
        <f>Tb_data[[#This Row],[workers]]-Tb_data[[#This Row],[previous_workers]]</f>
        <v>159</v>
      </c>
      <c r="M1989" s="12">
        <f>Tb_data[[#This Row],[Employees Growth]]/Tb_data[[#This Row],[previous_workers]]</f>
        <v>3.6976744186046511</v>
      </c>
    </row>
    <row r="1990" spans="1:13" x14ac:dyDescent="0.25">
      <c r="A1990" s="1" t="s">
        <v>3801</v>
      </c>
      <c r="B1990" s="1" t="s">
        <v>3802</v>
      </c>
      <c r="C1990" s="1">
        <v>8900000</v>
      </c>
      <c r="D1990" s="1" t="s">
        <v>20</v>
      </c>
      <c r="E1990">
        <v>221.4819</v>
      </c>
      <c r="F1990" s="1" t="s">
        <v>34</v>
      </c>
      <c r="G1990">
        <v>70</v>
      </c>
      <c r="H1990">
        <v>24</v>
      </c>
      <c r="I1990" s="1" t="s">
        <v>74</v>
      </c>
      <c r="J1990">
        <v>5</v>
      </c>
      <c r="K1990" t="str">
        <f>IF(Tb_data[[#This Row],[previous_workers]]&lt;Tb_data[[#This Row],[workers]],"yes","no")</f>
        <v>yes</v>
      </c>
      <c r="L1990">
        <f>Tb_data[[#This Row],[workers]]-Tb_data[[#This Row],[previous_workers]]</f>
        <v>46</v>
      </c>
      <c r="M1990" s="12">
        <f>Tb_data[[#This Row],[Employees Growth]]/Tb_data[[#This Row],[previous_workers]]</f>
        <v>1.9166666666666667</v>
      </c>
    </row>
    <row r="1991" spans="1:13" x14ac:dyDescent="0.25">
      <c r="A1991" s="1" t="s">
        <v>832</v>
      </c>
      <c r="B1991" s="1" t="s">
        <v>833</v>
      </c>
      <c r="C1991" s="1">
        <v>2700000</v>
      </c>
      <c r="D1991" s="1" t="s">
        <v>627</v>
      </c>
      <c r="E1991">
        <v>1232.4509</v>
      </c>
      <c r="F1991" s="1" t="s">
        <v>30</v>
      </c>
      <c r="G1991">
        <v>6</v>
      </c>
      <c r="H1991">
        <v>3</v>
      </c>
      <c r="I1991" s="1" t="s">
        <v>13</v>
      </c>
      <c r="J1991">
        <v>1</v>
      </c>
      <c r="K1991" t="str">
        <f>IF(Tb_data[[#This Row],[previous_workers]]&lt;Tb_data[[#This Row],[workers]],"yes","no")</f>
        <v>yes</v>
      </c>
      <c r="L1991">
        <f>Tb_data[[#This Row],[workers]]-Tb_data[[#This Row],[previous_workers]]</f>
        <v>3</v>
      </c>
      <c r="M1991" s="12">
        <f>Tb_data[[#This Row],[Employees Growth]]/Tb_data[[#This Row],[previous_workers]]</f>
        <v>1</v>
      </c>
    </row>
    <row r="1992" spans="1:13" x14ac:dyDescent="0.25">
      <c r="A1992" s="1" t="s">
        <v>6539</v>
      </c>
      <c r="B1992" s="1" t="s">
        <v>6540</v>
      </c>
      <c r="C1992" s="1">
        <v>24000000</v>
      </c>
      <c r="D1992" s="1" t="s">
        <v>49</v>
      </c>
      <c r="E1992">
        <v>112.88039999999999</v>
      </c>
      <c r="F1992" s="1" t="s">
        <v>30</v>
      </c>
      <c r="G1992">
        <v>322</v>
      </c>
      <c r="H1992">
        <v>185</v>
      </c>
      <c r="I1992" s="1" t="s">
        <v>46</v>
      </c>
      <c r="J1992">
        <v>1</v>
      </c>
      <c r="K1992" t="str">
        <f>IF(Tb_data[[#This Row],[previous_workers]]&lt;Tb_data[[#This Row],[workers]],"yes","no")</f>
        <v>yes</v>
      </c>
      <c r="L1992">
        <f>Tb_data[[#This Row],[workers]]-Tb_data[[#This Row],[previous_workers]]</f>
        <v>137</v>
      </c>
      <c r="M1992" s="12">
        <f>Tb_data[[#This Row],[Employees Growth]]/Tb_data[[#This Row],[previous_workers]]</f>
        <v>0.74054054054054053</v>
      </c>
    </row>
    <row r="1993" spans="1:13" x14ac:dyDescent="0.25">
      <c r="A1993" s="1" t="s">
        <v>4252</v>
      </c>
      <c r="B1993" s="1" t="s">
        <v>4253</v>
      </c>
      <c r="C1993" s="1">
        <v>5100000</v>
      </c>
      <c r="D1993" s="1" t="s">
        <v>49</v>
      </c>
      <c r="E1993">
        <v>193.83959999999999</v>
      </c>
      <c r="F1993" s="1" t="s">
        <v>176</v>
      </c>
      <c r="G1993">
        <v>23</v>
      </c>
      <c r="H1993">
        <v>4</v>
      </c>
      <c r="I1993" s="1" t="s">
        <v>130</v>
      </c>
      <c r="J1993">
        <v>1</v>
      </c>
      <c r="K1993" t="str">
        <f>IF(Tb_data[[#This Row],[previous_workers]]&lt;Tb_data[[#This Row],[workers]],"yes","no")</f>
        <v>yes</v>
      </c>
      <c r="L1993">
        <f>Tb_data[[#This Row],[workers]]-Tb_data[[#This Row],[previous_workers]]</f>
        <v>19</v>
      </c>
      <c r="M1993" s="12">
        <f>Tb_data[[#This Row],[Employees Growth]]/Tb_data[[#This Row],[previous_workers]]</f>
        <v>4.75</v>
      </c>
    </row>
    <row r="1994" spans="1:13" x14ac:dyDescent="0.25">
      <c r="A1994" s="1" t="s">
        <v>6043</v>
      </c>
      <c r="B1994" s="1" t="s">
        <v>6044</v>
      </c>
      <c r="C1994" s="1">
        <v>28900000</v>
      </c>
      <c r="D1994" s="1" t="s">
        <v>321</v>
      </c>
      <c r="E1994">
        <v>125.6991</v>
      </c>
      <c r="F1994" s="1" t="s">
        <v>34</v>
      </c>
      <c r="G1994">
        <v>16</v>
      </c>
      <c r="H1994">
        <v>9</v>
      </c>
      <c r="I1994" s="1" t="s">
        <v>117</v>
      </c>
      <c r="J1994">
        <v>4</v>
      </c>
      <c r="K1994" t="str">
        <f>IF(Tb_data[[#This Row],[previous_workers]]&lt;Tb_data[[#This Row],[workers]],"yes","no")</f>
        <v>yes</v>
      </c>
      <c r="L1994">
        <f>Tb_data[[#This Row],[workers]]-Tb_data[[#This Row],[previous_workers]]</f>
        <v>7</v>
      </c>
      <c r="M1994" s="12">
        <f>Tb_data[[#This Row],[Employees Growth]]/Tb_data[[#This Row],[previous_workers]]</f>
        <v>0.77777777777777779</v>
      </c>
    </row>
    <row r="1995" spans="1:13" x14ac:dyDescent="0.25">
      <c r="A1995" s="1" t="s">
        <v>3311</v>
      </c>
      <c r="B1995" s="1" t="s">
        <v>3312</v>
      </c>
      <c r="C1995" s="1">
        <v>6600000</v>
      </c>
      <c r="D1995" s="1" t="s">
        <v>58</v>
      </c>
      <c r="E1995">
        <v>257.98899999999998</v>
      </c>
      <c r="F1995" s="1" t="s">
        <v>100</v>
      </c>
      <c r="G1995">
        <v>21</v>
      </c>
      <c r="H1995">
        <v>19</v>
      </c>
      <c r="I1995" s="1" t="s">
        <v>117</v>
      </c>
      <c r="J1995">
        <v>4</v>
      </c>
      <c r="K1995" t="str">
        <f>IF(Tb_data[[#This Row],[previous_workers]]&lt;Tb_data[[#This Row],[workers]],"yes","no")</f>
        <v>yes</v>
      </c>
      <c r="L1995">
        <f>Tb_data[[#This Row],[workers]]-Tb_data[[#This Row],[previous_workers]]</f>
        <v>2</v>
      </c>
      <c r="M1995" s="12">
        <f>Tb_data[[#This Row],[Employees Growth]]/Tb_data[[#This Row],[previous_workers]]</f>
        <v>0.10526315789473684</v>
      </c>
    </row>
    <row r="1996" spans="1:13" x14ac:dyDescent="0.25">
      <c r="A1996" s="1" t="s">
        <v>6725</v>
      </c>
      <c r="B1996" s="1" t="s">
        <v>6726</v>
      </c>
      <c r="C1996" s="1">
        <v>15000000</v>
      </c>
      <c r="D1996" s="1" t="s">
        <v>375</v>
      </c>
      <c r="E1996">
        <v>108.5993</v>
      </c>
      <c r="F1996" s="1" t="s">
        <v>310</v>
      </c>
      <c r="G1996">
        <v>64</v>
      </c>
      <c r="H1996">
        <v>44</v>
      </c>
      <c r="I1996" s="1" t="s">
        <v>74</v>
      </c>
      <c r="J1996">
        <v>4</v>
      </c>
      <c r="K1996" t="str">
        <f>IF(Tb_data[[#This Row],[previous_workers]]&lt;Tb_data[[#This Row],[workers]],"yes","no")</f>
        <v>yes</v>
      </c>
      <c r="L1996">
        <f>Tb_data[[#This Row],[workers]]-Tb_data[[#This Row],[previous_workers]]</f>
        <v>20</v>
      </c>
      <c r="M1996" s="12">
        <f>Tb_data[[#This Row],[Employees Growth]]/Tb_data[[#This Row],[previous_workers]]</f>
        <v>0.45454545454545453</v>
      </c>
    </row>
    <row r="1997" spans="1:13" x14ac:dyDescent="0.25">
      <c r="A1997" s="1" t="s">
        <v>615</v>
      </c>
      <c r="B1997" s="1" t="s">
        <v>616</v>
      </c>
      <c r="C1997" s="1">
        <v>4500000</v>
      </c>
      <c r="D1997" s="1" t="s">
        <v>61</v>
      </c>
      <c r="E1997">
        <v>1650.6419000000001</v>
      </c>
      <c r="F1997" s="1" t="s">
        <v>25</v>
      </c>
      <c r="G1997">
        <v>18</v>
      </c>
      <c r="H1997">
        <v>3</v>
      </c>
      <c r="I1997" s="1" t="s">
        <v>13</v>
      </c>
      <c r="J1997">
        <v>1</v>
      </c>
      <c r="K1997" t="str">
        <f>IF(Tb_data[[#This Row],[previous_workers]]&lt;Tb_data[[#This Row],[workers]],"yes","no")</f>
        <v>yes</v>
      </c>
      <c r="L1997">
        <f>Tb_data[[#This Row],[workers]]-Tb_data[[#This Row],[previous_workers]]</f>
        <v>15</v>
      </c>
      <c r="M1997" s="12">
        <f>Tb_data[[#This Row],[Employees Growth]]/Tb_data[[#This Row],[previous_workers]]</f>
        <v>5</v>
      </c>
    </row>
    <row r="1998" spans="1:13" x14ac:dyDescent="0.25">
      <c r="A1998" s="1" t="s">
        <v>669</v>
      </c>
      <c r="B1998" s="1" t="s">
        <v>670</v>
      </c>
      <c r="C1998" s="1">
        <v>2600000</v>
      </c>
      <c r="D1998" s="1" t="s">
        <v>49</v>
      </c>
      <c r="E1998">
        <v>1521.8605</v>
      </c>
      <c r="F1998" s="1" t="s">
        <v>12</v>
      </c>
      <c r="G1998">
        <v>15</v>
      </c>
      <c r="H1998">
        <v>2</v>
      </c>
      <c r="I1998" s="1" t="s">
        <v>13</v>
      </c>
      <c r="J1998">
        <v>1</v>
      </c>
      <c r="K1998" t="str">
        <f>IF(Tb_data[[#This Row],[previous_workers]]&lt;Tb_data[[#This Row],[workers]],"yes","no")</f>
        <v>yes</v>
      </c>
      <c r="L1998">
        <f>Tb_data[[#This Row],[workers]]-Tb_data[[#This Row],[previous_workers]]</f>
        <v>13</v>
      </c>
      <c r="M1998" s="12">
        <f>Tb_data[[#This Row],[Employees Growth]]/Tb_data[[#This Row],[previous_workers]]</f>
        <v>6.5</v>
      </c>
    </row>
    <row r="1999" spans="1:13" x14ac:dyDescent="0.25">
      <c r="A1999" s="1" t="s">
        <v>4924</v>
      </c>
      <c r="B1999" s="1" t="s">
        <v>4926</v>
      </c>
      <c r="C1999" s="1">
        <v>6900000</v>
      </c>
      <c r="D1999" s="1" t="s">
        <v>1002</v>
      </c>
      <c r="E1999">
        <v>164.8108</v>
      </c>
      <c r="F1999" s="1" t="s">
        <v>169</v>
      </c>
      <c r="G1999">
        <v>280</v>
      </c>
      <c r="H1999">
        <v>210</v>
      </c>
      <c r="I1999" s="1" t="s">
        <v>164</v>
      </c>
      <c r="J1999">
        <v>4</v>
      </c>
      <c r="K1999" t="str">
        <f>IF(Tb_data[[#This Row],[previous_workers]]&lt;Tb_data[[#This Row],[workers]],"yes","no")</f>
        <v>yes</v>
      </c>
      <c r="L1999">
        <f>Tb_data[[#This Row],[workers]]-Tb_data[[#This Row],[previous_workers]]</f>
        <v>70</v>
      </c>
      <c r="M1999" s="12">
        <f>Tb_data[[#This Row],[Employees Growth]]/Tb_data[[#This Row],[previous_workers]]</f>
        <v>0.33333333333333331</v>
      </c>
    </row>
    <row r="2000" spans="1:13" x14ac:dyDescent="0.25">
      <c r="A2000" s="1" t="s">
        <v>7228</v>
      </c>
      <c r="B2000" s="1" t="s">
        <v>7229</v>
      </c>
      <c r="C2000" s="1">
        <v>54800000</v>
      </c>
      <c r="D2000" s="1" t="s">
        <v>33</v>
      </c>
      <c r="E2000">
        <v>98.036199999999994</v>
      </c>
      <c r="F2000" s="1" t="s">
        <v>124</v>
      </c>
      <c r="G2000">
        <v>30</v>
      </c>
      <c r="H2000">
        <v>30</v>
      </c>
      <c r="I2000" s="1" t="s">
        <v>229</v>
      </c>
      <c r="J2000">
        <v>1</v>
      </c>
      <c r="K2000" t="str">
        <f>IF(Tb_data[[#This Row],[previous_workers]]&lt;Tb_data[[#This Row],[workers]],"yes","no")</f>
        <v>no</v>
      </c>
      <c r="L2000">
        <f>Tb_data[[#This Row],[workers]]-Tb_data[[#This Row],[previous_workers]]</f>
        <v>0</v>
      </c>
      <c r="M2000" s="12">
        <f>Tb_data[[#This Row],[Employees Growth]]/Tb_data[[#This Row],[previous_workers]]</f>
        <v>0</v>
      </c>
    </row>
    <row r="2001" spans="1:13" x14ac:dyDescent="0.25">
      <c r="A2001" s="1" t="s">
        <v>6900</v>
      </c>
      <c r="B2001" s="1" t="s">
        <v>6901</v>
      </c>
      <c r="C2001" s="1">
        <v>13200000</v>
      </c>
      <c r="D2001" s="1" t="s">
        <v>33</v>
      </c>
      <c r="E2001">
        <v>104.1345</v>
      </c>
      <c r="F2001" s="1" t="s">
        <v>112</v>
      </c>
      <c r="G2001">
        <v>77</v>
      </c>
      <c r="H2001">
        <v>43</v>
      </c>
      <c r="I2001" s="1" t="s">
        <v>2676</v>
      </c>
      <c r="J2001">
        <v>1</v>
      </c>
      <c r="K2001" t="str">
        <f>IF(Tb_data[[#This Row],[previous_workers]]&lt;Tb_data[[#This Row],[workers]],"yes","no")</f>
        <v>yes</v>
      </c>
      <c r="L2001">
        <f>Tb_data[[#This Row],[workers]]-Tb_data[[#This Row],[previous_workers]]</f>
        <v>34</v>
      </c>
      <c r="M2001" s="12">
        <f>Tb_data[[#This Row],[Employees Growth]]/Tb_data[[#This Row],[previous_workers]]</f>
        <v>0.79069767441860461</v>
      </c>
    </row>
    <row r="2002" spans="1:13" x14ac:dyDescent="0.25">
      <c r="A2002" s="1" t="s">
        <v>3275</v>
      </c>
      <c r="B2002" s="1" t="s">
        <v>3276</v>
      </c>
      <c r="C2002" s="1">
        <v>48500000</v>
      </c>
      <c r="D2002" s="1" t="s">
        <v>49</v>
      </c>
      <c r="E2002">
        <v>262.34030000000001</v>
      </c>
      <c r="F2002" s="1" t="s">
        <v>12</v>
      </c>
      <c r="G2002">
        <v>221</v>
      </c>
      <c r="H2002">
        <v>37</v>
      </c>
      <c r="I2002" s="1" t="s">
        <v>26</v>
      </c>
      <c r="J2002">
        <v>2</v>
      </c>
      <c r="K2002" t="str">
        <f>IF(Tb_data[[#This Row],[previous_workers]]&lt;Tb_data[[#This Row],[workers]],"yes","no")</f>
        <v>yes</v>
      </c>
      <c r="L2002">
        <f>Tb_data[[#This Row],[workers]]-Tb_data[[#This Row],[previous_workers]]</f>
        <v>184</v>
      </c>
      <c r="M2002" s="12">
        <f>Tb_data[[#This Row],[Employees Growth]]/Tb_data[[#This Row],[previous_workers]]</f>
        <v>4.9729729729729728</v>
      </c>
    </row>
    <row r="2003" spans="1:13" x14ac:dyDescent="0.25">
      <c r="A2003" s="1" t="s">
        <v>5780</v>
      </c>
      <c r="B2003" s="1" t="s">
        <v>5781</v>
      </c>
      <c r="C2003" s="1">
        <v>25000000</v>
      </c>
      <c r="D2003" s="1" t="s">
        <v>61</v>
      </c>
      <c r="E2003">
        <v>131.77780000000001</v>
      </c>
      <c r="F2003" s="1" t="s">
        <v>34</v>
      </c>
      <c r="G2003">
        <v>289</v>
      </c>
      <c r="H2003">
        <v>150</v>
      </c>
      <c r="I2003" s="1" t="s">
        <v>46</v>
      </c>
      <c r="J2003">
        <v>5</v>
      </c>
      <c r="K2003" t="str">
        <f>IF(Tb_data[[#This Row],[previous_workers]]&lt;Tb_data[[#This Row],[workers]],"yes","no")</f>
        <v>yes</v>
      </c>
      <c r="L2003">
        <f>Tb_data[[#This Row],[workers]]-Tb_data[[#This Row],[previous_workers]]</f>
        <v>139</v>
      </c>
      <c r="M2003" s="12">
        <f>Tb_data[[#This Row],[Employees Growth]]/Tb_data[[#This Row],[previous_workers]]</f>
        <v>0.92666666666666664</v>
      </c>
    </row>
    <row r="2004" spans="1:13" x14ac:dyDescent="0.25">
      <c r="A2004" s="1" t="s">
        <v>8451</v>
      </c>
      <c r="B2004" s="1" t="s">
        <v>8452</v>
      </c>
      <c r="C2004" s="1">
        <v>9400000</v>
      </c>
      <c r="D2004" s="1" t="s">
        <v>20</v>
      </c>
      <c r="E2004">
        <v>74.920699999999997</v>
      </c>
      <c r="F2004" s="1" t="s">
        <v>25</v>
      </c>
      <c r="G2004">
        <v>211</v>
      </c>
      <c r="H2004">
        <v>110</v>
      </c>
      <c r="I2004" s="1" t="s">
        <v>74</v>
      </c>
      <c r="J2004">
        <v>7</v>
      </c>
      <c r="K2004" t="str">
        <f>IF(Tb_data[[#This Row],[previous_workers]]&lt;Tb_data[[#This Row],[workers]],"yes","no")</f>
        <v>yes</v>
      </c>
      <c r="L2004">
        <f>Tb_data[[#This Row],[workers]]-Tb_data[[#This Row],[previous_workers]]</f>
        <v>101</v>
      </c>
      <c r="M2004" s="12">
        <f>Tb_data[[#This Row],[Employees Growth]]/Tb_data[[#This Row],[previous_workers]]</f>
        <v>0.91818181818181821</v>
      </c>
    </row>
    <row r="2005" spans="1:13" x14ac:dyDescent="0.25">
      <c r="A2005" s="1" t="s">
        <v>2498</v>
      </c>
      <c r="B2005" s="1" t="s">
        <v>2499</v>
      </c>
      <c r="C2005" s="1">
        <v>2900000</v>
      </c>
      <c r="D2005" s="1" t="s">
        <v>375</v>
      </c>
      <c r="E2005">
        <v>348.40010000000001</v>
      </c>
      <c r="F2005" s="1" t="s">
        <v>25</v>
      </c>
      <c r="G2005">
        <v>14</v>
      </c>
      <c r="H2005">
        <v>4</v>
      </c>
      <c r="I2005" s="1" t="s">
        <v>130</v>
      </c>
      <c r="J2005">
        <v>2</v>
      </c>
      <c r="K2005" t="str">
        <f>IF(Tb_data[[#This Row],[previous_workers]]&lt;Tb_data[[#This Row],[workers]],"yes","no")</f>
        <v>yes</v>
      </c>
      <c r="L2005">
        <f>Tb_data[[#This Row],[workers]]-Tb_data[[#This Row],[previous_workers]]</f>
        <v>10</v>
      </c>
      <c r="M2005" s="12">
        <f>Tb_data[[#This Row],[Employees Growth]]/Tb_data[[#This Row],[previous_workers]]</f>
        <v>2.5</v>
      </c>
    </row>
    <row r="2006" spans="1:13" x14ac:dyDescent="0.25">
      <c r="A2006" s="1" t="s">
        <v>4415</v>
      </c>
      <c r="B2006" s="1" t="s">
        <v>4416</v>
      </c>
      <c r="C2006" s="1">
        <v>3100000</v>
      </c>
      <c r="D2006" s="1" t="s">
        <v>20</v>
      </c>
      <c r="E2006">
        <v>186.0986</v>
      </c>
      <c r="F2006" s="1" t="s">
        <v>176</v>
      </c>
      <c r="G2006">
        <v>10</v>
      </c>
      <c r="H2006">
        <v>6</v>
      </c>
      <c r="I2006" s="1" t="s">
        <v>948</v>
      </c>
      <c r="J2006">
        <v>1</v>
      </c>
      <c r="K2006" t="str">
        <f>IF(Tb_data[[#This Row],[previous_workers]]&lt;Tb_data[[#This Row],[workers]],"yes","no")</f>
        <v>yes</v>
      </c>
      <c r="L2006">
        <f>Tb_data[[#This Row],[workers]]-Tb_data[[#This Row],[previous_workers]]</f>
        <v>4</v>
      </c>
      <c r="M2006" s="12">
        <f>Tb_data[[#This Row],[Employees Growth]]/Tb_data[[#This Row],[previous_workers]]</f>
        <v>0.66666666666666663</v>
      </c>
    </row>
    <row r="2007" spans="1:13" x14ac:dyDescent="0.25">
      <c r="A2007" s="1" t="s">
        <v>9854</v>
      </c>
      <c r="B2007" s="1" t="s">
        <v>9855</v>
      </c>
      <c r="C2007" s="1">
        <v>5200000</v>
      </c>
      <c r="D2007" s="1" t="s">
        <v>123</v>
      </c>
      <c r="E2007">
        <v>55.954000000000001</v>
      </c>
      <c r="F2007" s="1" t="s">
        <v>12</v>
      </c>
      <c r="G2007">
        <v>45</v>
      </c>
      <c r="H2007">
        <v>20</v>
      </c>
      <c r="I2007" s="1" t="s">
        <v>35</v>
      </c>
      <c r="J2007">
        <v>3</v>
      </c>
      <c r="K2007" t="str">
        <f>IF(Tb_data[[#This Row],[previous_workers]]&lt;Tb_data[[#This Row],[workers]],"yes","no")</f>
        <v>yes</v>
      </c>
      <c r="L2007">
        <f>Tb_data[[#This Row],[workers]]-Tb_data[[#This Row],[previous_workers]]</f>
        <v>25</v>
      </c>
      <c r="M2007" s="12">
        <f>Tb_data[[#This Row],[Employees Growth]]/Tb_data[[#This Row],[previous_workers]]</f>
        <v>1.25</v>
      </c>
    </row>
    <row r="2008" spans="1:13" x14ac:dyDescent="0.25">
      <c r="A2008" s="1" t="s">
        <v>2207</v>
      </c>
      <c r="B2008" s="1" t="s">
        <v>2208</v>
      </c>
      <c r="C2008" s="1">
        <v>15300000</v>
      </c>
      <c r="D2008" s="1" t="s">
        <v>69</v>
      </c>
      <c r="E2008">
        <v>399.17590000000001</v>
      </c>
      <c r="F2008" s="1" t="s">
        <v>21</v>
      </c>
      <c r="G2008">
        <v>45</v>
      </c>
      <c r="H2008">
        <v>30</v>
      </c>
      <c r="I2008" s="1" t="s">
        <v>117</v>
      </c>
      <c r="J2008">
        <v>4</v>
      </c>
      <c r="K2008" t="str">
        <f>IF(Tb_data[[#This Row],[previous_workers]]&lt;Tb_data[[#This Row],[workers]],"yes","no")</f>
        <v>yes</v>
      </c>
      <c r="L2008">
        <f>Tb_data[[#This Row],[workers]]-Tb_data[[#This Row],[previous_workers]]</f>
        <v>15</v>
      </c>
      <c r="M2008" s="12">
        <f>Tb_data[[#This Row],[Employees Growth]]/Tb_data[[#This Row],[previous_workers]]</f>
        <v>0.5</v>
      </c>
    </row>
    <row r="2009" spans="1:13" x14ac:dyDescent="0.25">
      <c r="A2009" s="1" t="s">
        <v>3961</v>
      </c>
      <c r="B2009" s="1" t="s">
        <v>3962</v>
      </c>
      <c r="C2009" s="1">
        <v>59600000</v>
      </c>
      <c r="D2009" s="1" t="s">
        <v>41</v>
      </c>
      <c r="E2009">
        <v>209.03059999999999</v>
      </c>
      <c r="F2009" s="1" t="s">
        <v>86</v>
      </c>
      <c r="G2009">
        <v>335</v>
      </c>
      <c r="H2009">
        <v>84</v>
      </c>
      <c r="I2009" s="1" t="s">
        <v>194</v>
      </c>
      <c r="J2009">
        <v>7</v>
      </c>
      <c r="K2009" t="str">
        <f>IF(Tb_data[[#This Row],[previous_workers]]&lt;Tb_data[[#This Row],[workers]],"yes","no")</f>
        <v>yes</v>
      </c>
      <c r="L2009">
        <f>Tb_data[[#This Row],[workers]]-Tb_data[[#This Row],[previous_workers]]</f>
        <v>251</v>
      </c>
      <c r="M2009" s="12">
        <f>Tb_data[[#This Row],[Employees Growth]]/Tb_data[[#This Row],[previous_workers]]</f>
        <v>2.9880952380952381</v>
      </c>
    </row>
    <row r="2010" spans="1:13" x14ac:dyDescent="0.25">
      <c r="A2010" s="1" t="s">
        <v>6189</v>
      </c>
      <c r="B2010" s="1" t="s">
        <v>6190</v>
      </c>
      <c r="C2010" s="1">
        <v>4600000</v>
      </c>
      <c r="D2010" s="1" t="s">
        <v>254</v>
      </c>
      <c r="E2010">
        <v>121.59690000000001</v>
      </c>
      <c r="F2010" s="1" t="s">
        <v>156</v>
      </c>
      <c r="G2010">
        <v>30</v>
      </c>
      <c r="H2010">
        <v>4</v>
      </c>
      <c r="I2010" s="1" t="s">
        <v>147</v>
      </c>
      <c r="J2010">
        <v>1</v>
      </c>
      <c r="K2010" t="str">
        <f>IF(Tb_data[[#This Row],[previous_workers]]&lt;Tb_data[[#This Row],[workers]],"yes","no")</f>
        <v>yes</v>
      </c>
      <c r="L2010">
        <f>Tb_data[[#This Row],[workers]]-Tb_data[[#This Row],[previous_workers]]</f>
        <v>26</v>
      </c>
      <c r="M2010" s="12">
        <f>Tb_data[[#This Row],[Employees Growth]]/Tb_data[[#This Row],[previous_workers]]</f>
        <v>6.5</v>
      </c>
    </row>
    <row r="2011" spans="1:13" x14ac:dyDescent="0.25">
      <c r="A2011" s="1" t="s">
        <v>9111</v>
      </c>
      <c r="B2011" s="1" t="s">
        <v>9112</v>
      </c>
      <c r="C2011" s="1">
        <v>69300000</v>
      </c>
      <c r="D2011" s="1" t="s">
        <v>20</v>
      </c>
      <c r="E2011">
        <v>65.265799999999999</v>
      </c>
      <c r="F2011" s="1" t="s">
        <v>62</v>
      </c>
      <c r="G2011">
        <v>356</v>
      </c>
      <c r="H2011">
        <v>215</v>
      </c>
      <c r="I2011" s="1" t="s">
        <v>117</v>
      </c>
      <c r="J2011">
        <v>3</v>
      </c>
      <c r="K2011" t="str">
        <f>IF(Tb_data[[#This Row],[previous_workers]]&lt;Tb_data[[#This Row],[workers]],"yes","no")</f>
        <v>yes</v>
      </c>
      <c r="L2011">
        <f>Tb_data[[#This Row],[workers]]-Tb_data[[#This Row],[previous_workers]]</f>
        <v>141</v>
      </c>
      <c r="M2011" s="12">
        <f>Tb_data[[#This Row],[Employees Growth]]/Tb_data[[#This Row],[previous_workers]]</f>
        <v>0.65581395348837213</v>
      </c>
    </row>
    <row r="2012" spans="1:13" x14ac:dyDescent="0.25">
      <c r="A2012" s="1" t="s">
        <v>7733</v>
      </c>
      <c r="B2012" s="1" t="s">
        <v>7734</v>
      </c>
      <c r="C2012" s="1">
        <v>434300000</v>
      </c>
      <c r="D2012" s="1" t="s">
        <v>45</v>
      </c>
      <c r="E2012">
        <v>87.479299999999995</v>
      </c>
      <c r="F2012" s="1" t="s">
        <v>94</v>
      </c>
      <c r="G2012">
        <v>46</v>
      </c>
      <c r="H2012">
        <v>30</v>
      </c>
      <c r="I2012" s="1" t="s">
        <v>980</v>
      </c>
      <c r="J2012">
        <v>6</v>
      </c>
      <c r="K2012" t="str">
        <f>IF(Tb_data[[#This Row],[previous_workers]]&lt;Tb_data[[#This Row],[workers]],"yes","no")</f>
        <v>yes</v>
      </c>
      <c r="L2012">
        <f>Tb_data[[#This Row],[workers]]-Tb_data[[#This Row],[previous_workers]]</f>
        <v>16</v>
      </c>
      <c r="M2012" s="12">
        <f>Tb_data[[#This Row],[Employees Growth]]/Tb_data[[#This Row],[previous_workers]]</f>
        <v>0.53333333333333333</v>
      </c>
    </row>
    <row r="2013" spans="1:13" x14ac:dyDescent="0.25">
      <c r="A2013" s="1" t="s">
        <v>9295</v>
      </c>
      <c r="B2013" s="1" t="s">
        <v>9296</v>
      </c>
      <c r="C2013" s="1">
        <v>17900000</v>
      </c>
      <c r="D2013" s="1" t="s">
        <v>49</v>
      </c>
      <c r="E2013">
        <v>62.8264</v>
      </c>
      <c r="F2013" s="1" t="s">
        <v>12</v>
      </c>
      <c r="G2013">
        <v>74</v>
      </c>
      <c r="H2013">
        <v>55</v>
      </c>
      <c r="I2013" s="1" t="s">
        <v>46</v>
      </c>
      <c r="J2013">
        <v>7</v>
      </c>
      <c r="K2013" t="str">
        <f>IF(Tb_data[[#This Row],[previous_workers]]&lt;Tb_data[[#This Row],[workers]],"yes","no")</f>
        <v>yes</v>
      </c>
      <c r="L2013">
        <f>Tb_data[[#This Row],[workers]]-Tb_data[[#This Row],[previous_workers]]</f>
        <v>19</v>
      </c>
      <c r="M2013" s="12">
        <f>Tb_data[[#This Row],[Employees Growth]]/Tb_data[[#This Row],[previous_workers]]</f>
        <v>0.34545454545454546</v>
      </c>
    </row>
    <row r="2014" spans="1:13" x14ac:dyDescent="0.25">
      <c r="A2014" s="1" t="s">
        <v>35</v>
      </c>
      <c r="B2014" s="1" t="s">
        <v>4111</v>
      </c>
      <c r="C2014" s="1">
        <v>3100000</v>
      </c>
      <c r="D2014" s="1" t="s">
        <v>500</v>
      </c>
      <c r="E2014">
        <v>199.77099999999999</v>
      </c>
      <c r="F2014" s="1" t="s">
        <v>176</v>
      </c>
      <c r="G2014">
        <v>29</v>
      </c>
      <c r="H2014">
        <v>8</v>
      </c>
      <c r="I2014" s="1" t="s">
        <v>164</v>
      </c>
      <c r="J2014">
        <v>3</v>
      </c>
      <c r="K2014" t="str">
        <f>IF(Tb_data[[#This Row],[previous_workers]]&lt;Tb_data[[#This Row],[workers]],"yes","no")</f>
        <v>yes</v>
      </c>
      <c r="L2014">
        <f>Tb_data[[#This Row],[workers]]-Tb_data[[#This Row],[previous_workers]]</f>
        <v>21</v>
      </c>
      <c r="M2014" s="12">
        <f>Tb_data[[#This Row],[Employees Growth]]/Tb_data[[#This Row],[previous_workers]]</f>
        <v>2.625</v>
      </c>
    </row>
    <row r="2015" spans="1:13" x14ac:dyDescent="0.25">
      <c r="A2015" s="1" t="s">
        <v>4429</v>
      </c>
      <c r="B2015" s="1" t="s">
        <v>4430</v>
      </c>
      <c r="C2015" s="1">
        <v>9900000</v>
      </c>
      <c r="D2015" s="1" t="s">
        <v>175</v>
      </c>
      <c r="E2015">
        <v>185.61760000000001</v>
      </c>
      <c r="F2015" s="1" t="s">
        <v>97</v>
      </c>
      <c r="G2015">
        <v>79</v>
      </c>
      <c r="H2015">
        <v>23</v>
      </c>
      <c r="I2015" s="1" t="s">
        <v>117</v>
      </c>
      <c r="J2015">
        <v>3</v>
      </c>
      <c r="K2015" t="str">
        <f>IF(Tb_data[[#This Row],[previous_workers]]&lt;Tb_data[[#This Row],[workers]],"yes","no")</f>
        <v>yes</v>
      </c>
      <c r="L2015">
        <f>Tb_data[[#This Row],[workers]]-Tb_data[[#This Row],[previous_workers]]</f>
        <v>56</v>
      </c>
      <c r="M2015" s="12">
        <f>Tb_data[[#This Row],[Employees Growth]]/Tb_data[[#This Row],[previous_workers]]</f>
        <v>2.4347826086956523</v>
      </c>
    </row>
    <row r="2016" spans="1:13" x14ac:dyDescent="0.25">
      <c r="A2016" s="1" t="s">
        <v>8819</v>
      </c>
      <c r="B2016" s="1" t="s">
        <v>8820</v>
      </c>
      <c r="C2016" s="1">
        <v>29300000</v>
      </c>
      <c r="D2016" s="1" t="s">
        <v>38</v>
      </c>
      <c r="E2016">
        <v>69.155600000000007</v>
      </c>
      <c r="F2016" s="1" t="s">
        <v>169</v>
      </c>
      <c r="G2016">
        <v>154</v>
      </c>
      <c r="H2016">
        <v>112</v>
      </c>
      <c r="I2016" s="1" t="s">
        <v>980</v>
      </c>
      <c r="J2016">
        <v>1</v>
      </c>
      <c r="K2016" t="str">
        <f>IF(Tb_data[[#This Row],[previous_workers]]&lt;Tb_data[[#This Row],[workers]],"yes","no")</f>
        <v>yes</v>
      </c>
      <c r="L2016">
        <f>Tb_data[[#This Row],[workers]]-Tb_data[[#This Row],[previous_workers]]</f>
        <v>42</v>
      </c>
      <c r="M2016" s="12">
        <f>Tb_data[[#This Row],[Employees Growth]]/Tb_data[[#This Row],[previous_workers]]</f>
        <v>0.375</v>
      </c>
    </row>
    <row r="2017" spans="1:13" x14ac:dyDescent="0.25">
      <c r="A2017" s="1" t="s">
        <v>4045</v>
      </c>
      <c r="B2017" s="1" t="s">
        <v>4046</v>
      </c>
      <c r="C2017" s="1">
        <v>5300000</v>
      </c>
      <c r="D2017" s="1" t="s">
        <v>20</v>
      </c>
      <c r="E2017">
        <v>205.036</v>
      </c>
      <c r="F2017" s="1" t="s">
        <v>86</v>
      </c>
      <c r="G2017">
        <v>46</v>
      </c>
      <c r="H2017">
        <v>22</v>
      </c>
      <c r="I2017" s="1" t="s">
        <v>55</v>
      </c>
      <c r="J2017">
        <v>3</v>
      </c>
      <c r="K2017" t="str">
        <f>IF(Tb_data[[#This Row],[previous_workers]]&lt;Tb_data[[#This Row],[workers]],"yes","no")</f>
        <v>yes</v>
      </c>
      <c r="L2017">
        <f>Tb_data[[#This Row],[workers]]-Tb_data[[#This Row],[previous_workers]]</f>
        <v>24</v>
      </c>
      <c r="M2017" s="12">
        <f>Tb_data[[#This Row],[Employees Growth]]/Tb_data[[#This Row],[previous_workers]]</f>
        <v>1.0909090909090908</v>
      </c>
    </row>
    <row r="2018" spans="1:13" x14ac:dyDescent="0.25">
      <c r="A2018" s="1" t="s">
        <v>6623</v>
      </c>
      <c r="B2018" s="1" t="s">
        <v>6624</v>
      </c>
      <c r="C2018" s="1">
        <v>219600000</v>
      </c>
      <c r="D2018" s="1" t="s">
        <v>69</v>
      </c>
      <c r="E2018">
        <v>110.9224</v>
      </c>
      <c r="F2018" s="1" t="s">
        <v>161</v>
      </c>
      <c r="G2018">
        <v>258</v>
      </c>
      <c r="H2018">
        <v>131</v>
      </c>
      <c r="I2018" s="1" t="s">
        <v>1051</v>
      </c>
      <c r="J2018">
        <v>9</v>
      </c>
      <c r="K2018" t="str">
        <f>IF(Tb_data[[#This Row],[previous_workers]]&lt;Tb_data[[#This Row],[workers]],"yes","no")</f>
        <v>yes</v>
      </c>
      <c r="L2018">
        <f>Tb_data[[#This Row],[workers]]-Tb_data[[#This Row],[previous_workers]]</f>
        <v>127</v>
      </c>
      <c r="M2018" s="12">
        <f>Tb_data[[#This Row],[Employees Growth]]/Tb_data[[#This Row],[previous_workers]]</f>
        <v>0.96946564885496178</v>
      </c>
    </row>
    <row r="2019" spans="1:13" x14ac:dyDescent="0.25">
      <c r="A2019" s="1" t="s">
        <v>1833</v>
      </c>
      <c r="B2019" s="1" t="s">
        <v>1834</v>
      </c>
      <c r="C2019" s="1">
        <v>21400000</v>
      </c>
      <c r="D2019" s="1" t="s">
        <v>254</v>
      </c>
      <c r="E2019">
        <v>493.11799999999999</v>
      </c>
      <c r="F2019" s="1" t="s">
        <v>176</v>
      </c>
      <c r="G2019">
        <v>182</v>
      </c>
      <c r="H2019">
        <v>92</v>
      </c>
      <c r="I2019" s="1" t="s">
        <v>164</v>
      </c>
      <c r="J2019">
        <v>4</v>
      </c>
      <c r="K2019" t="str">
        <f>IF(Tb_data[[#This Row],[previous_workers]]&lt;Tb_data[[#This Row],[workers]],"yes","no")</f>
        <v>yes</v>
      </c>
      <c r="L2019">
        <f>Tb_data[[#This Row],[workers]]-Tb_data[[#This Row],[previous_workers]]</f>
        <v>90</v>
      </c>
      <c r="M2019" s="12">
        <f>Tb_data[[#This Row],[Employees Growth]]/Tb_data[[#This Row],[previous_workers]]</f>
        <v>0.97826086956521741</v>
      </c>
    </row>
    <row r="2020" spans="1:13" x14ac:dyDescent="0.25">
      <c r="A2020" s="1" t="s">
        <v>9900</v>
      </c>
      <c r="B2020" s="1" t="s">
        <v>9901</v>
      </c>
      <c r="C2020" s="1">
        <v>15200000</v>
      </c>
      <c r="D2020" s="1" t="s">
        <v>254</v>
      </c>
      <c r="E2020">
        <v>55.257800000000003</v>
      </c>
      <c r="F2020" s="1" t="s">
        <v>161</v>
      </c>
      <c r="G2020">
        <v>110</v>
      </c>
      <c r="H2020">
        <v>50</v>
      </c>
      <c r="I2020" s="1" t="s">
        <v>1051</v>
      </c>
      <c r="J2020">
        <v>7</v>
      </c>
      <c r="K2020" t="str">
        <f>IF(Tb_data[[#This Row],[previous_workers]]&lt;Tb_data[[#This Row],[workers]],"yes","no")</f>
        <v>yes</v>
      </c>
      <c r="L2020">
        <f>Tb_data[[#This Row],[workers]]-Tb_data[[#This Row],[previous_workers]]</f>
        <v>60</v>
      </c>
      <c r="M2020" s="12">
        <f>Tb_data[[#This Row],[Employees Growth]]/Tb_data[[#This Row],[previous_workers]]</f>
        <v>1.2</v>
      </c>
    </row>
    <row r="2021" spans="1:13" x14ac:dyDescent="0.25">
      <c r="A2021" s="1" t="s">
        <v>6183</v>
      </c>
      <c r="B2021" s="1" t="s">
        <v>6184</v>
      </c>
      <c r="C2021" s="1">
        <v>3300000</v>
      </c>
      <c r="D2021" s="1" t="s">
        <v>49</v>
      </c>
      <c r="E2021">
        <v>121.6191</v>
      </c>
      <c r="F2021" s="1" t="s">
        <v>12</v>
      </c>
      <c r="G2021">
        <v>15</v>
      </c>
      <c r="H2021">
        <v>7</v>
      </c>
      <c r="I2021" s="1" t="s">
        <v>164</v>
      </c>
      <c r="J2021">
        <v>1</v>
      </c>
      <c r="K2021" t="str">
        <f>IF(Tb_data[[#This Row],[previous_workers]]&lt;Tb_data[[#This Row],[workers]],"yes","no")</f>
        <v>yes</v>
      </c>
      <c r="L2021">
        <f>Tb_data[[#This Row],[workers]]-Tb_data[[#This Row],[previous_workers]]</f>
        <v>8</v>
      </c>
      <c r="M2021" s="12">
        <f>Tb_data[[#This Row],[Employees Growth]]/Tb_data[[#This Row],[previous_workers]]</f>
        <v>1.1428571428571428</v>
      </c>
    </row>
    <row r="2022" spans="1:13" x14ac:dyDescent="0.25">
      <c r="A2022" s="1" t="s">
        <v>3807</v>
      </c>
      <c r="B2022" s="1" t="s">
        <v>3808</v>
      </c>
      <c r="C2022" s="1">
        <v>10600000</v>
      </c>
      <c r="D2022" s="1" t="s">
        <v>11</v>
      </c>
      <c r="E2022">
        <v>220.56890000000001</v>
      </c>
      <c r="F2022" s="1" t="s">
        <v>176</v>
      </c>
      <c r="G2022">
        <v>412</v>
      </c>
      <c r="H2022">
        <v>95</v>
      </c>
      <c r="I2022" s="1" t="s">
        <v>130</v>
      </c>
      <c r="J2022">
        <v>3</v>
      </c>
      <c r="K2022" t="str">
        <f>IF(Tb_data[[#This Row],[previous_workers]]&lt;Tb_data[[#This Row],[workers]],"yes","no")</f>
        <v>yes</v>
      </c>
      <c r="L2022">
        <f>Tb_data[[#This Row],[workers]]-Tb_data[[#This Row],[previous_workers]]</f>
        <v>317</v>
      </c>
      <c r="M2022" s="12">
        <f>Tb_data[[#This Row],[Employees Growth]]/Tb_data[[#This Row],[previous_workers]]</f>
        <v>3.3368421052631581</v>
      </c>
    </row>
    <row r="2023" spans="1:13" x14ac:dyDescent="0.25">
      <c r="A2023" s="1" t="s">
        <v>4507</v>
      </c>
      <c r="B2023" s="1" t="s">
        <v>4508</v>
      </c>
      <c r="C2023" s="1">
        <v>13900000</v>
      </c>
      <c r="D2023" s="1" t="s">
        <v>254</v>
      </c>
      <c r="E2023">
        <v>182.10550000000001</v>
      </c>
      <c r="F2023" s="1" t="s">
        <v>17</v>
      </c>
      <c r="G2023">
        <v>30</v>
      </c>
      <c r="H2023">
        <v>5</v>
      </c>
      <c r="I2023" s="1" t="s">
        <v>147</v>
      </c>
      <c r="J2023">
        <v>1</v>
      </c>
      <c r="K2023" t="str">
        <f>IF(Tb_data[[#This Row],[previous_workers]]&lt;Tb_data[[#This Row],[workers]],"yes","no")</f>
        <v>yes</v>
      </c>
      <c r="L2023">
        <f>Tb_data[[#This Row],[workers]]-Tb_data[[#This Row],[previous_workers]]</f>
        <v>25</v>
      </c>
      <c r="M2023" s="12">
        <f>Tb_data[[#This Row],[Employees Growth]]/Tb_data[[#This Row],[previous_workers]]</f>
        <v>5</v>
      </c>
    </row>
    <row r="2024" spans="1:13" x14ac:dyDescent="0.25">
      <c r="A2024" s="1" t="s">
        <v>9005</v>
      </c>
      <c r="B2024" s="1" t="s">
        <v>9006</v>
      </c>
      <c r="C2024" s="1">
        <v>125700000</v>
      </c>
      <c r="D2024" s="1" t="s">
        <v>427</v>
      </c>
      <c r="E2024">
        <v>66.569900000000004</v>
      </c>
      <c r="F2024" s="1" t="s">
        <v>142</v>
      </c>
      <c r="G2024">
        <v>517</v>
      </c>
      <c r="H2024">
        <v>430</v>
      </c>
      <c r="I2024" s="1" t="s">
        <v>164</v>
      </c>
      <c r="J2024">
        <v>1</v>
      </c>
      <c r="K2024" t="str">
        <f>IF(Tb_data[[#This Row],[previous_workers]]&lt;Tb_data[[#This Row],[workers]],"yes","no")</f>
        <v>yes</v>
      </c>
      <c r="L2024">
        <f>Tb_data[[#This Row],[workers]]-Tb_data[[#This Row],[previous_workers]]</f>
        <v>87</v>
      </c>
      <c r="M2024" s="12">
        <f>Tb_data[[#This Row],[Employees Growth]]/Tb_data[[#This Row],[previous_workers]]</f>
        <v>0.20232558139534884</v>
      </c>
    </row>
    <row r="2025" spans="1:13" x14ac:dyDescent="0.25">
      <c r="A2025" s="1" t="s">
        <v>5942</v>
      </c>
      <c r="B2025" s="1" t="s">
        <v>5943</v>
      </c>
      <c r="C2025" s="1">
        <v>9600000</v>
      </c>
      <c r="D2025" s="1" t="s">
        <v>45</v>
      </c>
      <c r="E2025">
        <v>127.9469</v>
      </c>
      <c r="F2025" s="1" t="s">
        <v>12</v>
      </c>
      <c r="G2025">
        <v>54</v>
      </c>
      <c r="H2025">
        <v>32</v>
      </c>
      <c r="I2025" s="1" t="s">
        <v>229</v>
      </c>
      <c r="J2025">
        <v>2</v>
      </c>
      <c r="K2025" t="str">
        <f>IF(Tb_data[[#This Row],[previous_workers]]&lt;Tb_data[[#This Row],[workers]],"yes","no")</f>
        <v>yes</v>
      </c>
      <c r="L2025">
        <f>Tb_data[[#This Row],[workers]]-Tb_data[[#This Row],[previous_workers]]</f>
        <v>22</v>
      </c>
      <c r="M2025" s="12">
        <f>Tb_data[[#This Row],[Employees Growth]]/Tb_data[[#This Row],[previous_workers]]</f>
        <v>0.6875</v>
      </c>
    </row>
    <row r="2026" spans="1:13" x14ac:dyDescent="0.25">
      <c r="A2026" s="1" t="s">
        <v>9009</v>
      </c>
      <c r="B2026" s="1" t="s">
        <v>9010</v>
      </c>
      <c r="C2026" s="1">
        <v>2300000</v>
      </c>
      <c r="D2026" s="1" t="s">
        <v>20</v>
      </c>
      <c r="E2026">
        <v>66.564099999999996</v>
      </c>
      <c r="F2026" s="1" t="s">
        <v>30</v>
      </c>
      <c r="G2026">
        <v>7</v>
      </c>
      <c r="H2026">
        <v>7</v>
      </c>
      <c r="I2026" s="1" t="s">
        <v>35</v>
      </c>
      <c r="J2026">
        <v>1</v>
      </c>
      <c r="K2026" t="str">
        <f>IF(Tb_data[[#This Row],[previous_workers]]&lt;Tb_data[[#This Row],[workers]],"yes","no")</f>
        <v>no</v>
      </c>
      <c r="L2026">
        <f>Tb_data[[#This Row],[workers]]-Tb_data[[#This Row],[previous_workers]]</f>
        <v>0</v>
      </c>
      <c r="M2026" s="12">
        <f>Tb_data[[#This Row],[Employees Growth]]/Tb_data[[#This Row],[previous_workers]]</f>
        <v>0</v>
      </c>
    </row>
    <row r="2027" spans="1:13" x14ac:dyDescent="0.25">
      <c r="A2027" s="1" t="s">
        <v>10094</v>
      </c>
      <c r="B2027" s="1" t="s">
        <v>10095</v>
      </c>
      <c r="C2027" s="1">
        <v>8800000</v>
      </c>
      <c r="D2027" s="1" t="s">
        <v>49</v>
      </c>
      <c r="E2027">
        <v>52.191899999999997</v>
      </c>
      <c r="F2027" s="1" t="s">
        <v>42</v>
      </c>
      <c r="G2027">
        <v>132</v>
      </c>
      <c r="H2027">
        <v>47</v>
      </c>
      <c r="I2027" s="1" t="s">
        <v>164</v>
      </c>
      <c r="J2027">
        <v>1</v>
      </c>
      <c r="K2027" t="str">
        <f>IF(Tb_data[[#This Row],[previous_workers]]&lt;Tb_data[[#This Row],[workers]],"yes","no")</f>
        <v>yes</v>
      </c>
      <c r="L2027">
        <f>Tb_data[[#This Row],[workers]]-Tb_data[[#This Row],[previous_workers]]</f>
        <v>85</v>
      </c>
      <c r="M2027" s="12">
        <f>Tb_data[[#This Row],[Employees Growth]]/Tb_data[[#This Row],[previous_workers]]</f>
        <v>1.8085106382978724</v>
      </c>
    </row>
    <row r="2028" spans="1:13" x14ac:dyDescent="0.25">
      <c r="A2028" s="1" t="s">
        <v>8005</v>
      </c>
      <c r="B2028" s="1" t="s">
        <v>8006</v>
      </c>
      <c r="C2028" s="1">
        <v>292100000</v>
      </c>
      <c r="D2028" s="1" t="s">
        <v>38</v>
      </c>
      <c r="E2028">
        <v>82.605199999999996</v>
      </c>
      <c r="F2028" s="1" t="s">
        <v>124</v>
      </c>
      <c r="G2028">
        <v>150</v>
      </c>
      <c r="H2028">
        <v>94</v>
      </c>
      <c r="I2028" s="1" t="s">
        <v>147</v>
      </c>
      <c r="J2028">
        <v>7</v>
      </c>
      <c r="K2028" t="str">
        <f>IF(Tb_data[[#This Row],[previous_workers]]&lt;Tb_data[[#This Row],[workers]],"yes","no")</f>
        <v>yes</v>
      </c>
      <c r="L2028">
        <f>Tb_data[[#This Row],[workers]]-Tb_data[[#This Row],[previous_workers]]</f>
        <v>56</v>
      </c>
      <c r="M2028" s="12">
        <f>Tb_data[[#This Row],[Employees Growth]]/Tb_data[[#This Row],[previous_workers]]</f>
        <v>0.5957446808510638</v>
      </c>
    </row>
    <row r="2029" spans="1:13" x14ac:dyDescent="0.25">
      <c r="A2029" s="1" t="s">
        <v>4423</v>
      </c>
      <c r="B2029" s="1" t="s">
        <v>4424</v>
      </c>
      <c r="C2029" s="1">
        <v>65800000</v>
      </c>
      <c r="D2029" s="1" t="s">
        <v>58</v>
      </c>
      <c r="E2029">
        <v>185.87960000000001</v>
      </c>
      <c r="F2029" s="1" t="s">
        <v>25</v>
      </c>
      <c r="G2029">
        <v>240</v>
      </c>
      <c r="H2029">
        <v>200</v>
      </c>
      <c r="I2029" s="1" t="s">
        <v>4024</v>
      </c>
      <c r="J2029">
        <v>1</v>
      </c>
      <c r="K2029" t="str">
        <f>IF(Tb_data[[#This Row],[previous_workers]]&lt;Tb_data[[#This Row],[workers]],"yes","no")</f>
        <v>yes</v>
      </c>
      <c r="L2029">
        <f>Tb_data[[#This Row],[workers]]-Tb_data[[#This Row],[previous_workers]]</f>
        <v>40</v>
      </c>
      <c r="M2029" s="12">
        <f>Tb_data[[#This Row],[Employees Growth]]/Tb_data[[#This Row],[previous_workers]]</f>
        <v>0.2</v>
      </c>
    </row>
    <row r="2030" spans="1:13" x14ac:dyDescent="0.25">
      <c r="A2030" s="1" t="s">
        <v>3329</v>
      </c>
      <c r="B2030" s="1" t="s">
        <v>3330</v>
      </c>
      <c r="C2030" s="1">
        <v>3700000</v>
      </c>
      <c r="D2030" s="1" t="s">
        <v>49</v>
      </c>
      <c r="E2030">
        <v>256.8116</v>
      </c>
      <c r="F2030" s="1" t="s">
        <v>34</v>
      </c>
      <c r="G2030">
        <v>7</v>
      </c>
      <c r="H2030">
        <v>5</v>
      </c>
      <c r="I2030" s="1" t="s">
        <v>229</v>
      </c>
      <c r="J2030">
        <v>2</v>
      </c>
      <c r="K2030" t="str">
        <f>IF(Tb_data[[#This Row],[previous_workers]]&lt;Tb_data[[#This Row],[workers]],"yes","no")</f>
        <v>yes</v>
      </c>
      <c r="L2030">
        <f>Tb_data[[#This Row],[workers]]-Tb_data[[#This Row],[previous_workers]]</f>
        <v>2</v>
      </c>
      <c r="M2030" s="12">
        <f>Tb_data[[#This Row],[Employees Growth]]/Tb_data[[#This Row],[previous_workers]]</f>
        <v>0.4</v>
      </c>
    </row>
    <row r="2031" spans="1:13" x14ac:dyDescent="0.25">
      <c r="A2031" s="1" t="s">
        <v>1941</v>
      </c>
      <c r="B2031" s="1" t="s">
        <v>1942</v>
      </c>
      <c r="C2031" s="1">
        <v>4400000</v>
      </c>
      <c r="D2031" s="1" t="s">
        <v>29</v>
      </c>
      <c r="E2031">
        <v>464.38459999999998</v>
      </c>
      <c r="F2031" s="1" t="s">
        <v>124</v>
      </c>
      <c r="G2031">
        <v>25</v>
      </c>
      <c r="H2031">
        <v>4</v>
      </c>
      <c r="I2031" s="1" t="s">
        <v>74</v>
      </c>
      <c r="J2031">
        <v>1</v>
      </c>
      <c r="K2031" t="str">
        <f>IF(Tb_data[[#This Row],[previous_workers]]&lt;Tb_data[[#This Row],[workers]],"yes","no")</f>
        <v>yes</v>
      </c>
      <c r="L2031">
        <f>Tb_data[[#This Row],[workers]]-Tb_data[[#This Row],[previous_workers]]</f>
        <v>21</v>
      </c>
      <c r="M2031" s="12">
        <f>Tb_data[[#This Row],[Employees Growth]]/Tb_data[[#This Row],[previous_workers]]</f>
        <v>5.25</v>
      </c>
    </row>
    <row r="2032" spans="1:13" x14ac:dyDescent="0.25">
      <c r="A2032" s="1" t="s">
        <v>6685</v>
      </c>
      <c r="B2032" s="1" t="s">
        <v>6686</v>
      </c>
      <c r="C2032" s="1">
        <v>3100000</v>
      </c>
      <c r="D2032" s="1" t="s">
        <v>20</v>
      </c>
      <c r="E2032">
        <v>109.6049</v>
      </c>
      <c r="F2032" s="1" t="s">
        <v>34</v>
      </c>
      <c r="G2032">
        <v>91</v>
      </c>
      <c r="H2032">
        <v>40</v>
      </c>
      <c r="I2032" s="1" t="s">
        <v>130</v>
      </c>
      <c r="J2032">
        <v>1</v>
      </c>
      <c r="K2032" t="str">
        <f>IF(Tb_data[[#This Row],[previous_workers]]&lt;Tb_data[[#This Row],[workers]],"yes","no")</f>
        <v>yes</v>
      </c>
      <c r="L2032">
        <f>Tb_data[[#This Row],[workers]]-Tb_data[[#This Row],[previous_workers]]</f>
        <v>51</v>
      </c>
      <c r="M2032" s="12">
        <f>Tb_data[[#This Row],[Employees Growth]]/Tb_data[[#This Row],[previous_workers]]</f>
        <v>1.2749999999999999</v>
      </c>
    </row>
    <row r="2033" spans="1:13" x14ac:dyDescent="0.25">
      <c r="A2033" s="1" t="s">
        <v>7014</v>
      </c>
      <c r="B2033" s="1" t="s">
        <v>7015</v>
      </c>
      <c r="C2033" s="1">
        <v>4000000</v>
      </c>
      <c r="D2033" s="1" t="s">
        <v>175</v>
      </c>
      <c r="E2033">
        <v>101.72969999999999</v>
      </c>
      <c r="F2033" s="1" t="s">
        <v>34</v>
      </c>
      <c r="G2033">
        <v>17</v>
      </c>
      <c r="H2033">
        <v>7</v>
      </c>
      <c r="I2033" s="1" t="s">
        <v>130</v>
      </c>
      <c r="J2033">
        <v>2</v>
      </c>
      <c r="K2033" t="str">
        <f>IF(Tb_data[[#This Row],[previous_workers]]&lt;Tb_data[[#This Row],[workers]],"yes","no")</f>
        <v>yes</v>
      </c>
      <c r="L2033">
        <f>Tb_data[[#This Row],[workers]]-Tb_data[[#This Row],[previous_workers]]</f>
        <v>10</v>
      </c>
      <c r="M2033" s="12">
        <f>Tb_data[[#This Row],[Employees Growth]]/Tb_data[[#This Row],[previous_workers]]</f>
        <v>1.4285714285714286</v>
      </c>
    </row>
    <row r="2034" spans="1:13" x14ac:dyDescent="0.25">
      <c r="A2034" s="1" t="s">
        <v>2571</v>
      </c>
      <c r="B2034" s="1" t="s">
        <v>2572</v>
      </c>
      <c r="C2034" s="1">
        <v>3000000</v>
      </c>
      <c r="D2034" s="1" t="s">
        <v>49</v>
      </c>
      <c r="E2034">
        <v>334.99759999999998</v>
      </c>
      <c r="F2034" s="1" t="s">
        <v>124</v>
      </c>
      <c r="G2034">
        <v>24</v>
      </c>
      <c r="H2034">
        <v>6</v>
      </c>
      <c r="I2034" s="1" t="s">
        <v>130</v>
      </c>
      <c r="J2034">
        <v>1</v>
      </c>
      <c r="K2034" t="str">
        <f>IF(Tb_data[[#This Row],[previous_workers]]&lt;Tb_data[[#This Row],[workers]],"yes","no")</f>
        <v>yes</v>
      </c>
      <c r="L2034">
        <f>Tb_data[[#This Row],[workers]]-Tb_data[[#This Row],[previous_workers]]</f>
        <v>18</v>
      </c>
      <c r="M2034" s="12">
        <f>Tb_data[[#This Row],[Employees Growth]]/Tb_data[[#This Row],[previous_workers]]</f>
        <v>3</v>
      </c>
    </row>
    <row r="2035" spans="1:13" x14ac:dyDescent="0.25">
      <c r="A2035" s="1" t="s">
        <v>2973</v>
      </c>
      <c r="B2035" s="1" t="s">
        <v>2974</v>
      </c>
      <c r="C2035" s="1">
        <v>2500000</v>
      </c>
      <c r="D2035" s="1" t="s">
        <v>49</v>
      </c>
      <c r="E2035">
        <v>289.99130000000002</v>
      </c>
      <c r="F2035" s="1" t="s">
        <v>124</v>
      </c>
      <c r="G2035">
        <v>21</v>
      </c>
      <c r="H2035">
        <v>3</v>
      </c>
      <c r="I2035" s="1" t="s">
        <v>1051</v>
      </c>
      <c r="J2035">
        <v>1</v>
      </c>
      <c r="K2035" t="str">
        <f>IF(Tb_data[[#This Row],[previous_workers]]&lt;Tb_data[[#This Row],[workers]],"yes","no")</f>
        <v>yes</v>
      </c>
      <c r="L2035">
        <f>Tb_data[[#This Row],[workers]]-Tb_data[[#This Row],[previous_workers]]</f>
        <v>18</v>
      </c>
      <c r="M2035" s="12">
        <f>Tb_data[[#This Row],[Employees Growth]]/Tb_data[[#This Row],[previous_workers]]</f>
        <v>6</v>
      </c>
    </row>
    <row r="2036" spans="1:13" x14ac:dyDescent="0.25">
      <c r="A2036" s="1" t="s">
        <v>145</v>
      </c>
      <c r="B2036" s="1" t="s">
        <v>146</v>
      </c>
      <c r="C2036" s="1">
        <v>6200000</v>
      </c>
      <c r="D2036" s="1" t="s">
        <v>49</v>
      </c>
      <c r="E2036">
        <v>5835.3894</v>
      </c>
      <c r="F2036" s="1" t="s">
        <v>124</v>
      </c>
      <c r="G2036">
        <v>10</v>
      </c>
      <c r="H2036">
        <v>2</v>
      </c>
      <c r="I2036" s="1" t="s">
        <v>147</v>
      </c>
      <c r="J2036">
        <v>1</v>
      </c>
      <c r="K2036" t="str">
        <f>IF(Tb_data[[#This Row],[previous_workers]]&lt;Tb_data[[#This Row],[workers]],"yes","no")</f>
        <v>yes</v>
      </c>
      <c r="L2036">
        <f>Tb_data[[#This Row],[workers]]-Tb_data[[#This Row],[previous_workers]]</f>
        <v>8</v>
      </c>
      <c r="M2036" s="12">
        <f>Tb_data[[#This Row],[Employees Growth]]/Tb_data[[#This Row],[previous_workers]]</f>
        <v>4</v>
      </c>
    </row>
    <row r="2037" spans="1:13" x14ac:dyDescent="0.25">
      <c r="A2037" s="1" t="s">
        <v>2110</v>
      </c>
      <c r="B2037" s="1" t="s">
        <v>2111</v>
      </c>
      <c r="C2037" s="1">
        <v>16500000</v>
      </c>
      <c r="D2037" s="1" t="s">
        <v>91</v>
      </c>
      <c r="E2037">
        <v>424.01650000000001</v>
      </c>
      <c r="F2037" s="1" t="s">
        <v>152</v>
      </c>
      <c r="G2037">
        <v>110</v>
      </c>
      <c r="H2037">
        <v>30</v>
      </c>
      <c r="I2037" s="1" t="s">
        <v>295</v>
      </c>
      <c r="J2037">
        <v>1</v>
      </c>
      <c r="K2037" t="str">
        <f>IF(Tb_data[[#This Row],[previous_workers]]&lt;Tb_data[[#This Row],[workers]],"yes","no")</f>
        <v>yes</v>
      </c>
      <c r="L2037">
        <f>Tb_data[[#This Row],[workers]]-Tb_data[[#This Row],[previous_workers]]</f>
        <v>80</v>
      </c>
      <c r="M2037" s="12">
        <f>Tb_data[[#This Row],[Employees Growth]]/Tb_data[[#This Row],[previous_workers]]</f>
        <v>2.6666666666666665</v>
      </c>
    </row>
    <row r="2038" spans="1:13" x14ac:dyDescent="0.25">
      <c r="A2038" s="1" t="s">
        <v>5834</v>
      </c>
      <c r="B2038" s="1" t="s">
        <v>5835</v>
      </c>
      <c r="C2038" s="1">
        <v>33100000</v>
      </c>
      <c r="D2038" s="1" t="s">
        <v>33</v>
      </c>
      <c r="E2038">
        <v>130.40180000000001</v>
      </c>
      <c r="F2038" s="1" t="s">
        <v>172</v>
      </c>
      <c r="G2038">
        <v>58</v>
      </c>
      <c r="H2038">
        <v>25</v>
      </c>
      <c r="I2038" s="1" t="s">
        <v>164</v>
      </c>
      <c r="J2038">
        <v>2</v>
      </c>
      <c r="K2038" t="str">
        <f>IF(Tb_data[[#This Row],[previous_workers]]&lt;Tb_data[[#This Row],[workers]],"yes","no")</f>
        <v>yes</v>
      </c>
      <c r="L2038">
        <f>Tb_data[[#This Row],[workers]]-Tb_data[[#This Row],[previous_workers]]</f>
        <v>33</v>
      </c>
      <c r="M2038" s="12">
        <f>Tb_data[[#This Row],[Employees Growth]]/Tb_data[[#This Row],[previous_workers]]</f>
        <v>1.32</v>
      </c>
    </row>
    <row r="2039" spans="1:13" x14ac:dyDescent="0.25">
      <c r="A2039" s="1" t="s">
        <v>5512</v>
      </c>
      <c r="B2039" s="1" t="s">
        <v>5513</v>
      </c>
      <c r="C2039" s="1">
        <v>3200000</v>
      </c>
      <c r="D2039" s="1" t="s">
        <v>29</v>
      </c>
      <c r="E2039">
        <v>142.13480000000001</v>
      </c>
      <c r="F2039" s="1" t="s">
        <v>112</v>
      </c>
      <c r="G2039">
        <v>25</v>
      </c>
      <c r="H2039">
        <v>15</v>
      </c>
      <c r="I2039" s="1" t="s">
        <v>164</v>
      </c>
      <c r="J2039">
        <v>3</v>
      </c>
      <c r="K2039" t="str">
        <f>IF(Tb_data[[#This Row],[previous_workers]]&lt;Tb_data[[#This Row],[workers]],"yes","no")</f>
        <v>yes</v>
      </c>
      <c r="L2039">
        <f>Tb_data[[#This Row],[workers]]-Tb_data[[#This Row],[previous_workers]]</f>
        <v>10</v>
      </c>
      <c r="M2039" s="12">
        <f>Tb_data[[#This Row],[Employees Growth]]/Tb_data[[#This Row],[previous_workers]]</f>
        <v>0.66666666666666663</v>
      </c>
    </row>
    <row r="2040" spans="1:13" x14ac:dyDescent="0.25">
      <c r="A2040" s="1" t="s">
        <v>8496</v>
      </c>
      <c r="B2040" s="1" t="s">
        <v>8497</v>
      </c>
      <c r="C2040" s="1">
        <v>5400000</v>
      </c>
      <c r="D2040" s="1" t="s">
        <v>69</v>
      </c>
      <c r="E2040">
        <v>74.155699999999996</v>
      </c>
      <c r="F2040" s="1" t="s">
        <v>25</v>
      </c>
      <c r="G2040">
        <v>25</v>
      </c>
      <c r="H2040">
        <v>5</v>
      </c>
      <c r="I2040" s="1" t="s">
        <v>164</v>
      </c>
      <c r="J2040">
        <v>5</v>
      </c>
      <c r="K2040" t="str">
        <f>IF(Tb_data[[#This Row],[previous_workers]]&lt;Tb_data[[#This Row],[workers]],"yes","no")</f>
        <v>yes</v>
      </c>
      <c r="L2040">
        <f>Tb_data[[#This Row],[workers]]-Tb_data[[#This Row],[previous_workers]]</f>
        <v>20</v>
      </c>
      <c r="M2040" s="12">
        <f>Tb_data[[#This Row],[Employees Growth]]/Tb_data[[#This Row],[previous_workers]]</f>
        <v>4</v>
      </c>
    </row>
    <row r="2041" spans="1:13" x14ac:dyDescent="0.25">
      <c r="A2041" s="1" t="s">
        <v>8566</v>
      </c>
      <c r="B2041" s="1" t="s">
        <v>8567</v>
      </c>
      <c r="C2041" s="1">
        <v>69900000</v>
      </c>
      <c r="D2041" s="1" t="s">
        <v>129</v>
      </c>
      <c r="E2041">
        <v>72.892399999999995</v>
      </c>
      <c r="F2041" s="1" t="s">
        <v>62</v>
      </c>
      <c r="G2041">
        <v>418</v>
      </c>
      <c r="H2041">
        <v>288</v>
      </c>
      <c r="I2041" s="1" t="s">
        <v>26</v>
      </c>
      <c r="J2041">
        <v>2</v>
      </c>
      <c r="K2041" t="str">
        <f>IF(Tb_data[[#This Row],[previous_workers]]&lt;Tb_data[[#This Row],[workers]],"yes","no")</f>
        <v>yes</v>
      </c>
      <c r="L2041">
        <f>Tb_data[[#This Row],[workers]]-Tb_data[[#This Row],[previous_workers]]</f>
        <v>130</v>
      </c>
      <c r="M2041" s="12">
        <f>Tb_data[[#This Row],[Employees Growth]]/Tb_data[[#This Row],[previous_workers]]</f>
        <v>0.4513888888888889</v>
      </c>
    </row>
    <row r="2042" spans="1:13" x14ac:dyDescent="0.25">
      <c r="A2042" s="1" t="s">
        <v>6960</v>
      </c>
      <c r="B2042" s="1" t="s">
        <v>6961</v>
      </c>
      <c r="C2042" s="1">
        <v>9600000</v>
      </c>
      <c r="D2042" s="1" t="s">
        <v>11</v>
      </c>
      <c r="E2042">
        <v>102.68210000000001</v>
      </c>
      <c r="F2042" s="1" t="s">
        <v>100</v>
      </c>
      <c r="G2042">
        <v>109</v>
      </c>
      <c r="H2042">
        <v>48</v>
      </c>
      <c r="I2042" s="1" t="s">
        <v>226</v>
      </c>
      <c r="J2042">
        <v>7</v>
      </c>
      <c r="K2042" t="str">
        <f>IF(Tb_data[[#This Row],[previous_workers]]&lt;Tb_data[[#This Row],[workers]],"yes","no")</f>
        <v>yes</v>
      </c>
      <c r="L2042">
        <f>Tb_data[[#This Row],[workers]]-Tb_data[[#This Row],[previous_workers]]</f>
        <v>61</v>
      </c>
      <c r="M2042" s="12">
        <f>Tb_data[[#This Row],[Employees Growth]]/Tb_data[[#This Row],[previous_workers]]</f>
        <v>1.2708333333333333</v>
      </c>
    </row>
    <row r="2043" spans="1:13" x14ac:dyDescent="0.25">
      <c r="A2043" s="1" t="s">
        <v>127</v>
      </c>
      <c r="B2043" s="1" t="s">
        <v>128</v>
      </c>
      <c r="C2043" s="1">
        <v>17500000</v>
      </c>
      <c r="D2043" s="1" t="s">
        <v>129</v>
      </c>
      <c r="E2043">
        <v>6176.6895999999997</v>
      </c>
      <c r="F2043" s="1" t="s">
        <v>100</v>
      </c>
      <c r="G2043">
        <v>85</v>
      </c>
      <c r="H2043">
        <v>25</v>
      </c>
      <c r="I2043" s="1" t="s">
        <v>130</v>
      </c>
      <c r="J2043">
        <v>2</v>
      </c>
      <c r="K2043" t="str">
        <f>IF(Tb_data[[#This Row],[previous_workers]]&lt;Tb_data[[#This Row],[workers]],"yes","no")</f>
        <v>yes</v>
      </c>
      <c r="L2043">
        <f>Tb_data[[#This Row],[workers]]-Tb_data[[#This Row],[previous_workers]]</f>
        <v>60</v>
      </c>
      <c r="M2043" s="12">
        <f>Tb_data[[#This Row],[Employees Growth]]/Tb_data[[#This Row],[previous_workers]]</f>
        <v>2.4</v>
      </c>
    </row>
    <row r="2044" spans="1:13" x14ac:dyDescent="0.25">
      <c r="A2044" s="1" t="s">
        <v>8137</v>
      </c>
      <c r="B2044" s="1" t="s">
        <v>8138</v>
      </c>
      <c r="C2044" s="1">
        <v>6200000</v>
      </c>
      <c r="D2044" s="1" t="s">
        <v>123</v>
      </c>
      <c r="E2044">
        <v>80.657600000000002</v>
      </c>
      <c r="F2044" s="1" t="s">
        <v>124</v>
      </c>
      <c r="G2044">
        <v>56</v>
      </c>
      <c r="H2044">
        <v>40</v>
      </c>
      <c r="I2044" s="1" t="s">
        <v>836</v>
      </c>
      <c r="J2044">
        <v>3</v>
      </c>
      <c r="K2044" t="str">
        <f>IF(Tb_data[[#This Row],[previous_workers]]&lt;Tb_data[[#This Row],[workers]],"yes","no")</f>
        <v>yes</v>
      </c>
      <c r="L2044">
        <f>Tb_data[[#This Row],[workers]]-Tb_data[[#This Row],[previous_workers]]</f>
        <v>16</v>
      </c>
      <c r="M2044" s="12">
        <f>Tb_data[[#This Row],[Employees Growth]]/Tb_data[[#This Row],[previous_workers]]</f>
        <v>0.4</v>
      </c>
    </row>
    <row r="2045" spans="1:13" x14ac:dyDescent="0.25">
      <c r="A2045" s="1" t="s">
        <v>4856</v>
      </c>
      <c r="B2045" s="1" t="s">
        <v>4857</v>
      </c>
      <c r="C2045" s="1">
        <v>34200000</v>
      </c>
      <c r="D2045" s="1" t="s">
        <v>129</v>
      </c>
      <c r="E2045">
        <v>167.67850000000001</v>
      </c>
      <c r="F2045" s="1" t="s">
        <v>62</v>
      </c>
      <c r="G2045">
        <v>225</v>
      </c>
      <c r="H2045">
        <v>40</v>
      </c>
      <c r="I2045" s="1" t="s">
        <v>74</v>
      </c>
      <c r="J2045">
        <v>3</v>
      </c>
      <c r="K2045" t="str">
        <f>IF(Tb_data[[#This Row],[previous_workers]]&lt;Tb_data[[#This Row],[workers]],"yes","no")</f>
        <v>yes</v>
      </c>
      <c r="L2045">
        <f>Tb_data[[#This Row],[workers]]-Tb_data[[#This Row],[previous_workers]]</f>
        <v>185</v>
      </c>
      <c r="M2045" s="12">
        <f>Tb_data[[#This Row],[Employees Growth]]/Tb_data[[#This Row],[previous_workers]]</f>
        <v>4.625</v>
      </c>
    </row>
    <row r="2046" spans="1:13" x14ac:dyDescent="0.25">
      <c r="A2046" s="1" t="s">
        <v>7260</v>
      </c>
      <c r="B2046" s="1" t="s">
        <v>7261</v>
      </c>
      <c r="C2046" s="1">
        <v>92700000</v>
      </c>
      <c r="D2046" s="1" t="s">
        <v>69</v>
      </c>
      <c r="E2046">
        <v>97.602699999999999</v>
      </c>
      <c r="F2046" s="1" t="s">
        <v>62</v>
      </c>
      <c r="G2046">
        <v>569</v>
      </c>
      <c r="H2046">
        <v>414</v>
      </c>
      <c r="I2046" s="1" t="s">
        <v>1051</v>
      </c>
      <c r="J2046">
        <v>4</v>
      </c>
      <c r="K2046" t="str">
        <f>IF(Tb_data[[#This Row],[previous_workers]]&lt;Tb_data[[#This Row],[workers]],"yes","no")</f>
        <v>yes</v>
      </c>
      <c r="L2046">
        <f>Tb_data[[#This Row],[workers]]-Tb_data[[#This Row],[previous_workers]]</f>
        <v>155</v>
      </c>
      <c r="M2046" s="12">
        <f>Tb_data[[#This Row],[Employees Growth]]/Tb_data[[#This Row],[previous_workers]]</f>
        <v>0.37439613526570048</v>
      </c>
    </row>
    <row r="2047" spans="1:13" x14ac:dyDescent="0.25">
      <c r="A2047" s="1" t="s">
        <v>2723</v>
      </c>
      <c r="B2047" s="1" t="s">
        <v>2724</v>
      </c>
      <c r="C2047" s="1">
        <v>6900000</v>
      </c>
      <c r="D2047" s="1" t="s">
        <v>1557</v>
      </c>
      <c r="E2047">
        <v>316.65699999999998</v>
      </c>
      <c r="F2047" s="1" t="s">
        <v>124</v>
      </c>
      <c r="G2047">
        <v>50</v>
      </c>
      <c r="H2047">
        <v>20</v>
      </c>
      <c r="I2047" s="1" t="s">
        <v>55</v>
      </c>
      <c r="J2047">
        <v>3</v>
      </c>
      <c r="K2047" t="str">
        <f>IF(Tb_data[[#This Row],[previous_workers]]&lt;Tb_data[[#This Row],[workers]],"yes","no")</f>
        <v>yes</v>
      </c>
      <c r="L2047">
        <f>Tb_data[[#This Row],[workers]]-Tb_data[[#This Row],[previous_workers]]</f>
        <v>30</v>
      </c>
      <c r="M2047" s="12">
        <f>Tb_data[[#This Row],[Employees Growth]]/Tb_data[[#This Row],[previous_workers]]</f>
        <v>1.5</v>
      </c>
    </row>
    <row r="2048" spans="1:13" x14ac:dyDescent="0.25">
      <c r="A2048" s="1" t="s">
        <v>6669</v>
      </c>
      <c r="B2048" s="1" t="s">
        <v>6670</v>
      </c>
      <c r="C2048" s="1">
        <v>43200000</v>
      </c>
      <c r="D2048" s="1" t="s">
        <v>20</v>
      </c>
      <c r="E2048">
        <v>109.83629999999999</v>
      </c>
      <c r="F2048" s="1" t="s">
        <v>100</v>
      </c>
      <c r="G2048">
        <v>43</v>
      </c>
      <c r="H2048">
        <v>22</v>
      </c>
      <c r="I2048" s="1" t="s">
        <v>1411</v>
      </c>
      <c r="J2048">
        <v>5</v>
      </c>
      <c r="K2048" t="str">
        <f>IF(Tb_data[[#This Row],[previous_workers]]&lt;Tb_data[[#This Row],[workers]],"yes","no")</f>
        <v>yes</v>
      </c>
      <c r="L2048">
        <f>Tb_data[[#This Row],[workers]]-Tb_data[[#This Row],[previous_workers]]</f>
        <v>21</v>
      </c>
      <c r="M2048" s="12">
        <f>Tb_data[[#This Row],[Employees Growth]]/Tb_data[[#This Row],[previous_workers]]</f>
        <v>0.95454545454545459</v>
      </c>
    </row>
    <row r="2049" spans="1:13" x14ac:dyDescent="0.25">
      <c r="A2049" s="1" t="s">
        <v>1829</v>
      </c>
      <c r="B2049" s="1" t="s">
        <v>1830</v>
      </c>
      <c r="C2049" s="1">
        <v>59900000</v>
      </c>
      <c r="D2049" s="1" t="s">
        <v>179</v>
      </c>
      <c r="E2049">
        <v>494.31319999999999</v>
      </c>
      <c r="F2049" s="1" t="s">
        <v>94</v>
      </c>
      <c r="G2049">
        <v>366</v>
      </c>
      <c r="H2049">
        <v>149</v>
      </c>
      <c r="I2049" s="1" t="s">
        <v>130</v>
      </c>
      <c r="J2049">
        <v>4</v>
      </c>
      <c r="K2049" t="str">
        <f>IF(Tb_data[[#This Row],[previous_workers]]&lt;Tb_data[[#This Row],[workers]],"yes","no")</f>
        <v>yes</v>
      </c>
      <c r="L2049">
        <f>Tb_data[[#This Row],[workers]]-Tb_data[[#This Row],[previous_workers]]</f>
        <v>217</v>
      </c>
      <c r="M2049" s="12">
        <f>Tb_data[[#This Row],[Employees Growth]]/Tb_data[[#This Row],[previous_workers]]</f>
        <v>1.4563758389261745</v>
      </c>
    </row>
    <row r="2050" spans="1:13" x14ac:dyDescent="0.25">
      <c r="A2050" s="1" t="s">
        <v>1622</v>
      </c>
      <c r="B2050" s="1" t="s">
        <v>4100</v>
      </c>
      <c r="C2050" s="1">
        <v>10400000</v>
      </c>
      <c r="D2050" s="1" t="s">
        <v>427</v>
      </c>
      <c r="E2050">
        <v>201.12620000000001</v>
      </c>
      <c r="F2050" s="1" t="s">
        <v>124</v>
      </c>
      <c r="G2050">
        <v>24</v>
      </c>
      <c r="H2050">
        <v>5</v>
      </c>
      <c r="I2050" s="1" t="s">
        <v>194</v>
      </c>
      <c r="J2050">
        <v>2</v>
      </c>
      <c r="K2050" t="str">
        <f>IF(Tb_data[[#This Row],[previous_workers]]&lt;Tb_data[[#This Row],[workers]],"yes","no")</f>
        <v>yes</v>
      </c>
      <c r="L2050">
        <f>Tb_data[[#This Row],[workers]]-Tb_data[[#This Row],[previous_workers]]</f>
        <v>19</v>
      </c>
      <c r="M2050" s="12">
        <f>Tb_data[[#This Row],[Employees Growth]]/Tb_data[[#This Row],[previous_workers]]</f>
        <v>3.8</v>
      </c>
    </row>
    <row r="2051" spans="1:13" x14ac:dyDescent="0.25">
      <c r="A2051" s="1" t="s">
        <v>1586</v>
      </c>
      <c r="B2051" s="1" t="s">
        <v>1587</v>
      </c>
      <c r="C2051" s="1">
        <v>2500000</v>
      </c>
      <c r="D2051" s="1" t="s">
        <v>20</v>
      </c>
      <c r="E2051">
        <v>590.38160000000005</v>
      </c>
      <c r="F2051" s="1" t="s">
        <v>86</v>
      </c>
      <c r="G2051">
        <v>14</v>
      </c>
      <c r="H2051">
        <v>3</v>
      </c>
      <c r="I2051" s="1" t="s">
        <v>130</v>
      </c>
      <c r="J2051">
        <v>2</v>
      </c>
      <c r="K2051" t="str">
        <f>IF(Tb_data[[#This Row],[previous_workers]]&lt;Tb_data[[#This Row],[workers]],"yes","no")</f>
        <v>yes</v>
      </c>
      <c r="L2051">
        <f>Tb_data[[#This Row],[workers]]-Tb_data[[#This Row],[previous_workers]]</f>
        <v>11</v>
      </c>
      <c r="M2051" s="12">
        <f>Tb_data[[#This Row],[Employees Growth]]/Tb_data[[#This Row],[previous_workers]]</f>
        <v>3.6666666666666665</v>
      </c>
    </row>
    <row r="2052" spans="1:13" x14ac:dyDescent="0.25">
      <c r="A2052" s="1" t="s">
        <v>9217</v>
      </c>
      <c r="B2052" s="1" t="s">
        <v>9218</v>
      </c>
      <c r="C2052" s="1">
        <v>22100000</v>
      </c>
      <c r="D2052" s="1" t="s">
        <v>129</v>
      </c>
      <c r="E2052">
        <v>63.921700000000001</v>
      </c>
      <c r="F2052" s="1" t="s">
        <v>124</v>
      </c>
      <c r="G2052">
        <v>20</v>
      </c>
      <c r="H2052">
        <v>7</v>
      </c>
      <c r="I2052" s="1" t="s">
        <v>26</v>
      </c>
      <c r="J2052">
        <v>1</v>
      </c>
      <c r="K2052" t="str">
        <f>IF(Tb_data[[#This Row],[previous_workers]]&lt;Tb_data[[#This Row],[workers]],"yes","no")</f>
        <v>yes</v>
      </c>
      <c r="L2052">
        <f>Tb_data[[#This Row],[workers]]-Tb_data[[#This Row],[previous_workers]]</f>
        <v>13</v>
      </c>
      <c r="M2052" s="12">
        <f>Tb_data[[#This Row],[Employees Growth]]/Tb_data[[#This Row],[previous_workers]]</f>
        <v>1.8571428571428572</v>
      </c>
    </row>
    <row r="2053" spans="1:13" x14ac:dyDescent="0.25">
      <c r="A2053" s="1" t="s">
        <v>9892</v>
      </c>
      <c r="B2053" s="1" t="s">
        <v>9893</v>
      </c>
      <c r="C2053" s="1">
        <v>101600000</v>
      </c>
      <c r="D2053" s="1" t="s">
        <v>155</v>
      </c>
      <c r="E2053">
        <v>55.395299999999999</v>
      </c>
      <c r="F2053" s="1" t="s">
        <v>156</v>
      </c>
      <c r="G2053">
        <v>710</v>
      </c>
      <c r="H2053">
        <v>403</v>
      </c>
      <c r="I2053" s="1" t="s">
        <v>948</v>
      </c>
      <c r="J2053">
        <v>11</v>
      </c>
      <c r="K2053" t="str">
        <f>IF(Tb_data[[#This Row],[previous_workers]]&lt;Tb_data[[#This Row],[workers]],"yes","no")</f>
        <v>yes</v>
      </c>
      <c r="L2053">
        <f>Tb_data[[#This Row],[workers]]-Tb_data[[#This Row],[previous_workers]]</f>
        <v>307</v>
      </c>
      <c r="M2053" s="12">
        <f>Tb_data[[#This Row],[Employees Growth]]/Tb_data[[#This Row],[previous_workers]]</f>
        <v>0.76178660049627789</v>
      </c>
    </row>
    <row r="2054" spans="1:13" x14ac:dyDescent="0.25">
      <c r="A2054" s="1" t="s">
        <v>5706</v>
      </c>
      <c r="B2054" s="1" t="s">
        <v>5707</v>
      </c>
      <c r="C2054" s="1">
        <v>2600000</v>
      </c>
      <c r="D2054" s="1" t="s">
        <v>664</v>
      </c>
      <c r="E2054">
        <v>134.18819999999999</v>
      </c>
      <c r="F2054" s="1" t="s">
        <v>176</v>
      </c>
      <c r="G2054">
        <v>21</v>
      </c>
      <c r="H2054">
        <v>13</v>
      </c>
      <c r="I2054" s="1" t="s">
        <v>26</v>
      </c>
      <c r="J2054">
        <v>1</v>
      </c>
      <c r="K2054" t="str">
        <f>IF(Tb_data[[#This Row],[previous_workers]]&lt;Tb_data[[#This Row],[workers]],"yes","no")</f>
        <v>yes</v>
      </c>
      <c r="L2054">
        <f>Tb_data[[#This Row],[workers]]-Tb_data[[#This Row],[previous_workers]]</f>
        <v>8</v>
      </c>
      <c r="M2054" s="12">
        <f>Tb_data[[#This Row],[Employees Growth]]/Tb_data[[#This Row],[previous_workers]]</f>
        <v>0.61538461538461542</v>
      </c>
    </row>
    <row r="2055" spans="1:13" x14ac:dyDescent="0.25">
      <c r="A2055" s="1" t="s">
        <v>4695</v>
      </c>
      <c r="B2055" s="1" t="s">
        <v>4696</v>
      </c>
      <c r="C2055" s="1">
        <v>35200000</v>
      </c>
      <c r="D2055" s="1" t="s">
        <v>49</v>
      </c>
      <c r="E2055">
        <v>174.69130000000001</v>
      </c>
      <c r="F2055" s="1" t="s">
        <v>34</v>
      </c>
      <c r="G2055">
        <v>70</v>
      </c>
      <c r="H2055">
        <v>30</v>
      </c>
      <c r="I2055" s="1" t="s">
        <v>130</v>
      </c>
      <c r="J2055">
        <v>3</v>
      </c>
      <c r="K2055" t="str">
        <f>IF(Tb_data[[#This Row],[previous_workers]]&lt;Tb_data[[#This Row],[workers]],"yes","no")</f>
        <v>yes</v>
      </c>
      <c r="L2055">
        <f>Tb_data[[#This Row],[workers]]-Tb_data[[#This Row],[previous_workers]]</f>
        <v>40</v>
      </c>
      <c r="M2055" s="12">
        <f>Tb_data[[#This Row],[Employees Growth]]/Tb_data[[#This Row],[previous_workers]]</f>
        <v>1.3333333333333333</v>
      </c>
    </row>
    <row r="2056" spans="1:13" x14ac:dyDescent="0.25">
      <c r="A2056" s="1" t="s">
        <v>8153</v>
      </c>
      <c r="B2056" s="1" t="s">
        <v>8154</v>
      </c>
      <c r="C2056" s="1">
        <v>7500000</v>
      </c>
      <c r="D2056" s="1" t="s">
        <v>1021</v>
      </c>
      <c r="E2056">
        <v>80.454999999999998</v>
      </c>
      <c r="F2056" s="1" t="s">
        <v>156</v>
      </c>
      <c r="G2056">
        <v>46</v>
      </c>
      <c r="H2056">
        <v>33</v>
      </c>
      <c r="I2056" s="1" t="s">
        <v>1622</v>
      </c>
      <c r="J2056">
        <v>2</v>
      </c>
      <c r="K2056" t="str">
        <f>IF(Tb_data[[#This Row],[previous_workers]]&lt;Tb_data[[#This Row],[workers]],"yes","no")</f>
        <v>yes</v>
      </c>
      <c r="L2056">
        <f>Tb_data[[#This Row],[workers]]-Tb_data[[#This Row],[previous_workers]]</f>
        <v>13</v>
      </c>
      <c r="M2056" s="12">
        <f>Tb_data[[#This Row],[Employees Growth]]/Tb_data[[#This Row],[previous_workers]]</f>
        <v>0.39393939393939392</v>
      </c>
    </row>
    <row r="2057" spans="1:13" x14ac:dyDescent="0.25">
      <c r="A2057" s="1" t="s">
        <v>1499</v>
      </c>
      <c r="B2057" s="1" t="s">
        <v>1500</v>
      </c>
      <c r="C2057" s="1">
        <v>13900000</v>
      </c>
      <c r="D2057" s="1" t="s">
        <v>254</v>
      </c>
      <c r="E2057">
        <v>623.84789999999998</v>
      </c>
      <c r="F2057" s="1" t="s">
        <v>124</v>
      </c>
      <c r="G2057">
        <v>24</v>
      </c>
      <c r="H2057">
        <v>7</v>
      </c>
      <c r="I2057" s="1" t="s">
        <v>117</v>
      </c>
      <c r="J2057">
        <v>2</v>
      </c>
      <c r="K2057" t="str">
        <f>IF(Tb_data[[#This Row],[previous_workers]]&lt;Tb_data[[#This Row],[workers]],"yes","no")</f>
        <v>yes</v>
      </c>
      <c r="L2057">
        <f>Tb_data[[#This Row],[workers]]-Tb_data[[#This Row],[previous_workers]]</f>
        <v>17</v>
      </c>
      <c r="M2057" s="12">
        <f>Tb_data[[#This Row],[Employees Growth]]/Tb_data[[#This Row],[previous_workers]]</f>
        <v>2.4285714285714284</v>
      </c>
    </row>
    <row r="2058" spans="1:13" x14ac:dyDescent="0.25">
      <c r="A2058" s="1" t="s">
        <v>3029</v>
      </c>
      <c r="B2058" s="1" t="s">
        <v>3030</v>
      </c>
      <c r="C2058" s="1">
        <v>27000000</v>
      </c>
      <c r="D2058" s="1" t="s">
        <v>375</v>
      </c>
      <c r="E2058">
        <v>284.6191</v>
      </c>
      <c r="F2058" s="1" t="s">
        <v>86</v>
      </c>
      <c r="G2058">
        <v>74</v>
      </c>
      <c r="H2058">
        <v>59</v>
      </c>
      <c r="I2058" s="1" t="s">
        <v>147</v>
      </c>
      <c r="J2058">
        <v>1</v>
      </c>
      <c r="K2058" t="str">
        <f>IF(Tb_data[[#This Row],[previous_workers]]&lt;Tb_data[[#This Row],[workers]],"yes","no")</f>
        <v>yes</v>
      </c>
      <c r="L2058">
        <f>Tb_data[[#This Row],[workers]]-Tb_data[[#This Row],[previous_workers]]</f>
        <v>15</v>
      </c>
      <c r="M2058" s="12">
        <f>Tb_data[[#This Row],[Employees Growth]]/Tb_data[[#This Row],[previous_workers]]</f>
        <v>0.25423728813559321</v>
      </c>
    </row>
    <row r="2059" spans="1:13" x14ac:dyDescent="0.25">
      <c r="A2059" s="1" t="s">
        <v>2808</v>
      </c>
      <c r="B2059" s="1" t="s">
        <v>2809</v>
      </c>
      <c r="C2059" s="1">
        <v>24000000</v>
      </c>
      <c r="D2059" s="1" t="s">
        <v>33</v>
      </c>
      <c r="E2059">
        <v>307.505</v>
      </c>
      <c r="F2059" s="1" t="s">
        <v>100</v>
      </c>
      <c r="G2059">
        <v>101</v>
      </c>
      <c r="H2059">
        <v>36</v>
      </c>
      <c r="I2059" s="1" t="s">
        <v>2628</v>
      </c>
      <c r="J2059">
        <v>2</v>
      </c>
      <c r="K2059" t="str">
        <f>IF(Tb_data[[#This Row],[previous_workers]]&lt;Tb_data[[#This Row],[workers]],"yes","no")</f>
        <v>yes</v>
      </c>
      <c r="L2059">
        <f>Tb_data[[#This Row],[workers]]-Tb_data[[#This Row],[previous_workers]]</f>
        <v>65</v>
      </c>
      <c r="M2059" s="12">
        <f>Tb_data[[#This Row],[Employees Growth]]/Tb_data[[#This Row],[previous_workers]]</f>
        <v>1.8055555555555556</v>
      </c>
    </row>
    <row r="2060" spans="1:13" x14ac:dyDescent="0.25">
      <c r="A2060" s="1" t="s">
        <v>5882</v>
      </c>
      <c r="B2060" s="1" t="s">
        <v>5883</v>
      </c>
      <c r="C2060" s="1">
        <v>11000000</v>
      </c>
      <c r="D2060" s="1" t="s">
        <v>33</v>
      </c>
      <c r="E2060">
        <v>129.3639</v>
      </c>
      <c r="F2060" s="1" t="s">
        <v>176</v>
      </c>
      <c r="G2060">
        <v>32</v>
      </c>
      <c r="H2060">
        <v>18</v>
      </c>
      <c r="I2060" s="1" t="s">
        <v>35</v>
      </c>
      <c r="J2060">
        <v>5</v>
      </c>
      <c r="K2060" t="str">
        <f>IF(Tb_data[[#This Row],[previous_workers]]&lt;Tb_data[[#This Row],[workers]],"yes","no")</f>
        <v>yes</v>
      </c>
      <c r="L2060">
        <f>Tb_data[[#This Row],[workers]]-Tb_data[[#This Row],[previous_workers]]</f>
        <v>14</v>
      </c>
      <c r="M2060" s="12">
        <f>Tb_data[[#This Row],[Employees Growth]]/Tb_data[[#This Row],[previous_workers]]</f>
        <v>0.77777777777777779</v>
      </c>
    </row>
    <row r="2061" spans="1:13" x14ac:dyDescent="0.25">
      <c r="A2061" s="1" t="s">
        <v>7170</v>
      </c>
      <c r="B2061" s="1" t="s">
        <v>7171</v>
      </c>
      <c r="C2061" s="1">
        <v>2500000</v>
      </c>
      <c r="D2061" s="1" t="s">
        <v>120</v>
      </c>
      <c r="E2061">
        <v>99.010800000000003</v>
      </c>
      <c r="F2061" s="1" t="s">
        <v>42</v>
      </c>
      <c r="G2061">
        <v>7</v>
      </c>
      <c r="H2061">
        <v>3</v>
      </c>
      <c r="I2061" s="1" t="s">
        <v>117</v>
      </c>
      <c r="J2061">
        <v>1</v>
      </c>
      <c r="K2061" t="str">
        <f>IF(Tb_data[[#This Row],[previous_workers]]&lt;Tb_data[[#This Row],[workers]],"yes","no")</f>
        <v>yes</v>
      </c>
      <c r="L2061">
        <f>Tb_data[[#This Row],[workers]]-Tb_data[[#This Row],[previous_workers]]</f>
        <v>4</v>
      </c>
      <c r="M2061" s="12">
        <f>Tb_data[[#This Row],[Employees Growth]]/Tb_data[[#This Row],[previous_workers]]</f>
        <v>1.3333333333333333</v>
      </c>
    </row>
    <row r="2062" spans="1:13" x14ac:dyDescent="0.25">
      <c r="A2062" s="1" t="s">
        <v>1797</v>
      </c>
      <c r="B2062" s="1" t="s">
        <v>1798</v>
      </c>
      <c r="C2062" s="1">
        <v>3000000</v>
      </c>
      <c r="D2062" s="1" t="s">
        <v>61</v>
      </c>
      <c r="E2062">
        <v>501.399</v>
      </c>
      <c r="F2062" s="1" t="s">
        <v>86</v>
      </c>
      <c r="G2062">
        <v>90</v>
      </c>
      <c r="H2062">
        <v>30</v>
      </c>
      <c r="I2062" s="1" t="s">
        <v>1051</v>
      </c>
      <c r="J2062">
        <v>2</v>
      </c>
      <c r="K2062" t="str">
        <f>IF(Tb_data[[#This Row],[previous_workers]]&lt;Tb_data[[#This Row],[workers]],"yes","no")</f>
        <v>yes</v>
      </c>
      <c r="L2062">
        <f>Tb_data[[#This Row],[workers]]-Tb_data[[#This Row],[previous_workers]]</f>
        <v>60</v>
      </c>
      <c r="M2062" s="12">
        <f>Tb_data[[#This Row],[Employees Growth]]/Tb_data[[#This Row],[previous_workers]]</f>
        <v>2</v>
      </c>
    </row>
    <row r="2063" spans="1:13" x14ac:dyDescent="0.25">
      <c r="A2063" s="1" t="s">
        <v>7411</v>
      </c>
      <c r="B2063" s="1" t="s">
        <v>7412</v>
      </c>
      <c r="C2063" s="1">
        <v>2200000</v>
      </c>
      <c r="D2063" s="1" t="s">
        <v>123</v>
      </c>
      <c r="E2063">
        <v>95.141199999999998</v>
      </c>
      <c r="F2063" s="1" t="s">
        <v>161</v>
      </c>
      <c r="G2063">
        <v>25</v>
      </c>
      <c r="H2063">
        <v>12</v>
      </c>
      <c r="I2063" s="1" t="s">
        <v>55</v>
      </c>
      <c r="J2063">
        <v>1</v>
      </c>
      <c r="K2063" t="str">
        <f>IF(Tb_data[[#This Row],[previous_workers]]&lt;Tb_data[[#This Row],[workers]],"yes","no")</f>
        <v>yes</v>
      </c>
      <c r="L2063">
        <f>Tb_data[[#This Row],[workers]]-Tb_data[[#This Row],[previous_workers]]</f>
        <v>13</v>
      </c>
      <c r="M2063" s="12">
        <f>Tb_data[[#This Row],[Employees Growth]]/Tb_data[[#This Row],[previous_workers]]</f>
        <v>1.0833333333333333</v>
      </c>
    </row>
    <row r="2064" spans="1:13" x14ac:dyDescent="0.25">
      <c r="A2064" s="1" t="s">
        <v>9684</v>
      </c>
      <c r="B2064" s="1" t="s">
        <v>9685</v>
      </c>
      <c r="C2064" s="1">
        <v>15800000</v>
      </c>
      <c r="D2064" s="1" t="s">
        <v>52</v>
      </c>
      <c r="E2064">
        <v>58.2087</v>
      </c>
      <c r="F2064" s="1" t="s">
        <v>161</v>
      </c>
      <c r="G2064">
        <v>34</v>
      </c>
      <c r="H2064">
        <v>24</v>
      </c>
      <c r="I2064" s="1" t="s">
        <v>1622</v>
      </c>
      <c r="J2064">
        <v>8</v>
      </c>
      <c r="K2064" t="str">
        <f>IF(Tb_data[[#This Row],[previous_workers]]&lt;Tb_data[[#This Row],[workers]],"yes","no")</f>
        <v>yes</v>
      </c>
      <c r="L2064">
        <f>Tb_data[[#This Row],[workers]]-Tb_data[[#This Row],[previous_workers]]</f>
        <v>10</v>
      </c>
      <c r="M2064" s="12">
        <f>Tb_data[[#This Row],[Employees Growth]]/Tb_data[[#This Row],[previous_workers]]</f>
        <v>0.41666666666666669</v>
      </c>
    </row>
    <row r="2065" spans="1:13" x14ac:dyDescent="0.25">
      <c r="A2065" s="1" t="s">
        <v>5672</v>
      </c>
      <c r="B2065" s="1" t="s">
        <v>5673</v>
      </c>
      <c r="C2065" s="1">
        <v>14400000</v>
      </c>
      <c r="D2065" s="1" t="s">
        <v>49</v>
      </c>
      <c r="E2065">
        <v>135.22309999999999</v>
      </c>
      <c r="F2065" s="1" t="s">
        <v>86</v>
      </c>
      <c r="G2065">
        <v>73</v>
      </c>
      <c r="H2065">
        <v>30</v>
      </c>
      <c r="I2065" s="1" t="s">
        <v>295</v>
      </c>
      <c r="J2065">
        <v>1</v>
      </c>
      <c r="K2065" t="str">
        <f>IF(Tb_data[[#This Row],[previous_workers]]&lt;Tb_data[[#This Row],[workers]],"yes","no")</f>
        <v>yes</v>
      </c>
      <c r="L2065">
        <f>Tb_data[[#This Row],[workers]]-Tb_data[[#This Row],[previous_workers]]</f>
        <v>43</v>
      </c>
      <c r="M2065" s="12">
        <f>Tb_data[[#This Row],[Employees Growth]]/Tb_data[[#This Row],[previous_workers]]</f>
        <v>1.4333333333333333</v>
      </c>
    </row>
    <row r="2066" spans="1:13" x14ac:dyDescent="0.25">
      <c r="A2066" s="1" t="s">
        <v>1758</v>
      </c>
      <c r="B2066" s="1" t="s">
        <v>1759</v>
      </c>
      <c r="C2066" s="1">
        <v>4000000</v>
      </c>
      <c r="D2066" s="1" t="s">
        <v>58</v>
      </c>
      <c r="E2066">
        <v>516.48059999999998</v>
      </c>
      <c r="F2066" s="1" t="s">
        <v>176</v>
      </c>
      <c r="G2066">
        <v>50</v>
      </c>
      <c r="H2066">
        <v>13</v>
      </c>
      <c r="I2066" s="1" t="s">
        <v>13</v>
      </c>
      <c r="J2066">
        <v>1</v>
      </c>
      <c r="K2066" t="str">
        <f>IF(Tb_data[[#This Row],[previous_workers]]&lt;Tb_data[[#This Row],[workers]],"yes","no")</f>
        <v>yes</v>
      </c>
      <c r="L2066">
        <f>Tb_data[[#This Row],[workers]]-Tb_data[[#This Row],[previous_workers]]</f>
        <v>37</v>
      </c>
      <c r="M2066" s="12">
        <f>Tb_data[[#This Row],[Employees Growth]]/Tb_data[[#This Row],[previous_workers]]</f>
        <v>2.8461538461538463</v>
      </c>
    </row>
    <row r="2067" spans="1:13" x14ac:dyDescent="0.25">
      <c r="A2067" s="1" t="s">
        <v>1811</v>
      </c>
      <c r="B2067" s="1" t="s">
        <v>1812</v>
      </c>
      <c r="C2067" s="1">
        <v>4100000</v>
      </c>
      <c r="D2067" s="1" t="s">
        <v>427</v>
      </c>
      <c r="E2067">
        <v>498.2928</v>
      </c>
      <c r="F2067" s="1" t="s">
        <v>86</v>
      </c>
      <c r="G2067">
        <v>45</v>
      </c>
      <c r="H2067">
        <v>15</v>
      </c>
      <c r="I2067" s="1" t="s">
        <v>130</v>
      </c>
      <c r="J2067">
        <v>2</v>
      </c>
      <c r="K2067" t="str">
        <f>IF(Tb_data[[#This Row],[previous_workers]]&lt;Tb_data[[#This Row],[workers]],"yes","no")</f>
        <v>yes</v>
      </c>
      <c r="L2067">
        <f>Tb_data[[#This Row],[workers]]-Tb_data[[#This Row],[previous_workers]]</f>
        <v>30</v>
      </c>
      <c r="M2067" s="12">
        <f>Tb_data[[#This Row],[Employees Growth]]/Tb_data[[#This Row],[previous_workers]]</f>
        <v>2</v>
      </c>
    </row>
    <row r="2068" spans="1:13" x14ac:dyDescent="0.25">
      <c r="A2068" s="1" t="s">
        <v>9644</v>
      </c>
      <c r="B2068" s="1" t="s">
        <v>9645</v>
      </c>
      <c r="C2068" s="1">
        <v>3700000</v>
      </c>
      <c r="D2068" s="1" t="s">
        <v>79</v>
      </c>
      <c r="E2068">
        <v>58.7288</v>
      </c>
      <c r="F2068" s="1" t="s">
        <v>169</v>
      </c>
      <c r="G2068">
        <v>37</v>
      </c>
      <c r="H2068">
        <v>25</v>
      </c>
      <c r="I2068" s="1" t="s">
        <v>295</v>
      </c>
      <c r="J2068">
        <v>3</v>
      </c>
      <c r="K2068" t="str">
        <f>IF(Tb_data[[#This Row],[previous_workers]]&lt;Tb_data[[#This Row],[workers]],"yes","no")</f>
        <v>yes</v>
      </c>
      <c r="L2068">
        <f>Tb_data[[#This Row],[workers]]-Tb_data[[#This Row],[previous_workers]]</f>
        <v>12</v>
      </c>
      <c r="M2068" s="12">
        <f>Tb_data[[#This Row],[Employees Growth]]/Tb_data[[#This Row],[previous_workers]]</f>
        <v>0.48</v>
      </c>
    </row>
    <row r="2069" spans="1:13" x14ac:dyDescent="0.25">
      <c r="A2069" s="1" t="s">
        <v>5210</v>
      </c>
      <c r="B2069" s="1" t="s">
        <v>5211</v>
      </c>
      <c r="C2069" s="1">
        <v>4700000</v>
      </c>
      <c r="D2069" s="1" t="s">
        <v>123</v>
      </c>
      <c r="E2069">
        <v>153.0821</v>
      </c>
      <c r="F2069" s="1" t="s">
        <v>135</v>
      </c>
      <c r="G2069">
        <v>38</v>
      </c>
      <c r="H2069">
        <v>15</v>
      </c>
      <c r="I2069" s="1" t="s">
        <v>295</v>
      </c>
      <c r="J2069">
        <v>3</v>
      </c>
      <c r="K2069" t="str">
        <f>IF(Tb_data[[#This Row],[previous_workers]]&lt;Tb_data[[#This Row],[workers]],"yes","no")</f>
        <v>yes</v>
      </c>
      <c r="L2069">
        <f>Tb_data[[#This Row],[workers]]-Tb_data[[#This Row],[previous_workers]]</f>
        <v>23</v>
      </c>
      <c r="M2069" s="12">
        <f>Tb_data[[#This Row],[Employees Growth]]/Tb_data[[#This Row],[previous_workers]]</f>
        <v>1.5333333333333334</v>
      </c>
    </row>
    <row r="2070" spans="1:13" x14ac:dyDescent="0.25">
      <c r="A2070" s="1" t="s">
        <v>5418</v>
      </c>
      <c r="B2070" s="1" t="s">
        <v>5419</v>
      </c>
      <c r="C2070" s="1">
        <v>43300000</v>
      </c>
      <c r="D2070" s="1" t="s">
        <v>20</v>
      </c>
      <c r="E2070">
        <v>145.51419999999999</v>
      </c>
      <c r="F2070" s="1" t="s">
        <v>34</v>
      </c>
      <c r="G2070">
        <v>34</v>
      </c>
      <c r="H2070">
        <v>17</v>
      </c>
      <c r="I2070" s="1" t="s">
        <v>117</v>
      </c>
      <c r="J2070">
        <v>5</v>
      </c>
      <c r="K2070" t="str">
        <f>IF(Tb_data[[#This Row],[previous_workers]]&lt;Tb_data[[#This Row],[workers]],"yes","no")</f>
        <v>yes</v>
      </c>
      <c r="L2070">
        <f>Tb_data[[#This Row],[workers]]-Tb_data[[#This Row],[previous_workers]]</f>
        <v>17</v>
      </c>
      <c r="M2070" s="12">
        <f>Tb_data[[#This Row],[Employees Growth]]/Tb_data[[#This Row],[previous_workers]]</f>
        <v>1</v>
      </c>
    </row>
    <row r="2071" spans="1:13" x14ac:dyDescent="0.25">
      <c r="A2071" s="1" t="s">
        <v>7010</v>
      </c>
      <c r="B2071" s="1" t="s">
        <v>7011</v>
      </c>
      <c r="C2071" s="1">
        <v>3300000</v>
      </c>
      <c r="D2071" s="1" t="s">
        <v>123</v>
      </c>
      <c r="E2071">
        <v>101.7693</v>
      </c>
      <c r="F2071" s="1" t="s">
        <v>156</v>
      </c>
      <c r="G2071">
        <v>17</v>
      </c>
      <c r="H2071">
        <v>15</v>
      </c>
      <c r="I2071" s="1" t="s">
        <v>372</v>
      </c>
      <c r="J2071">
        <v>1</v>
      </c>
      <c r="K2071" t="str">
        <f>IF(Tb_data[[#This Row],[previous_workers]]&lt;Tb_data[[#This Row],[workers]],"yes","no")</f>
        <v>yes</v>
      </c>
      <c r="L2071">
        <f>Tb_data[[#This Row],[workers]]-Tb_data[[#This Row],[previous_workers]]</f>
        <v>2</v>
      </c>
      <c r="M2071" s="12">
        <f>Tb_data[[#This Row],[Employees Growth]]/Tb_data[[#This Row],[previous_workers]]</f>
        <v>0.13333333333333333</v>
      </c>
    </row>
    <row r="2072" spans="1:13" x14ac:dyDescent="0.25">
      <c r="A2072" s="1" t="s">
        <v>6964</v>
      </c>
      <c r="B2072" s="1" t="s">
        <v>6965</v>
      </c>
      <c r="C2072" s="1">
        <v>2100000</v>
      </c>
      <c r="D2072" s="1" t="s">
        <v>33</v>
      </c>
      <c r="E2072">
        <v>102.572</v>
      </c>
      <c r="F2072" s="1" t="s">
        <v>176</v>
      </c>
      <c r="G2072">
        <v>9</v>
      </c>
      <c r="H2072">
        <v>4</v>
      </c>
      <c r="I2072" s="1" t="s">
        <v>55</v>
      </c>
      <c r="J2072">
        <v>1</v>
      </c>
      <c r="K2072" t="str">
        <f>IF(Tb_data[[#This Row],[previous_workers]]&lt;Tb_data[[#This Row],[workers]],"yes","no")</f>
        <v>yes</v>
      </c>
      <c r="L2072">
        <f>Tb_data[[#This Row],[workers]]-Tb_data[[#This Row],[previous_workers]]</f>
        <v>5</v>
      </c>
      <c r="M2072" s="12">
        <f>Tb_data[[#This Row],[Employees Growth]]/Tb_data[[#This Row],[previous_workers]]</f>
        <v>1.25</v>
      </c>
    </row>
    <row r="2073" spans="1:13" x14ac:dyDescent="0.25">
      <c r="A2073" s="1" t="s">
        <v>4228</v>
      </c>
      <c r="B2073" s="1" t="s">
        <v>4229</v>
      </c>
      <c r="C2073" s="1">
        <v>5000000</v>
      </c>
      <c r="D2073" s="1" t="s">
        <v>11</v>
      </c>
      <c r="E2073">
        <v>194.82749999999999</v>
      </c>
      <c r="F2073" s="1" t="s">
        <v>21</v>
      </c>
      <c r="G2073">
        <v>26</v>
      </c>
      <c r="H2073">
        <v>10</v>
      </c>
      <c r="I2073" s="1" t="s">
        <v>55</v>
      </c>
      <c r="J2073">
        <v>1</v>
      </c>
      <c r="K2073" t="str">
        <f>IF(Tb_data[[#This Row],[previous_workers]]&lt;Tb_data[[#This Row],[workers]],"yes","no")</f>
        <v>yes</v>
      </c>
      <c r="L2073">
        <f>Tb_data[[#This Row],[workers]]-Tb_data[[#This Row],[previous_workers]]</f>
        <v>16</v>
      </c>
      <c r="M2073" s="12">
        <f>Tb_data[[#This Row],[Employees Growth]]/Tb_data[[#This Row],[previous_workers]]</f>
        <v>1.6</v>
      </c>
    </row>
    <row r="2074" spans="1:13" x14ac:dyDescent="0.25">
      <c r="A2074" s="1" t="s">
        <v>6607</v>
      </c>
      <c r="B2074" s="1" t="s">
        <v>6608</v>
      </c>
      <c r="C2074" s="1">
        <v>20100000</v>
      </c>
      <c r="D2074" s="1" t="s">
        <v>155</v>
      </c>
      <c r="E2074">
        <v>111.28100000000001</v>
      </c>
      <c r="F2074" s="1" t="s">
        <v>112</v>
      </c>
      <c r="G2074">
        <v>66</v>
      </c>
      <c r="H2074">
        <v>33</v>
      </c>
      <c r="I2074" s="1" t="s">
        <v>229</v>
      </c>
      <c r="J2074">
        <v>6</v>
      </c>
      <c r="K2074" t="str">
        <f>IF(Tb_data[[#This Row],[previous_workers]]&lt;Tb_data[[#This Row],[workers]],"yes","no")</f>
        <v>yes</v>
      </c>
      <c r="L2074">
        <f>Tb_data[[#This Row],[workers]]-Tb_data[[#This Row],[previous_workers]]</f>
        <v>33</v>
      </c>
      <c r="M2074" s="12">
        <f>Tb_data[[#This Row],[Employees Growth]]/Tb_data[[#This Row],[previous_workers]]</f>
        <v>1</v>
      </c>
    </row>
    <row r="2075" spans="1:13" x14ac:dyDescent="0.25">
      <c r="A2075" s="1" t="s">
        <v>5334</v>
      </c>
      <c r="B2075" s="1" t="s">
        <v>5335</v>
      </c>
      <c r="C2075" s="1">
        <v>4000000</v>
      </c>
      <c r="D2075" s="1" t="s">
        <v>254</v>
      </c>
      <c r="E2075">
        <v>148.46350000000001</v>
      </c>
      <c r="F2075" s="1" t="s">
        <v>112</v>
      </c>
      <c r="G2075">
        <v>4</v>
      </c>
      <c r="H2075">
        <v>14</v>
      </c>
      <c r="I2075" s="1" t="s">
        <v>1657</v>
      </c>
      <c r="J2075">
        <v>1</v>
      </c>
      <c r="K2075" t="str">
        <f>IF(Tb_data[[#This Row],[previous_workers]]&lt;Tb_data[[#This Row],[workers]],"yes","no")</f>
        <v>no</v>
      </c>
      <c r="L2075">
        <f>Tb_data[[#This Row],[workers]]-Tb_data[[#This Row],[previous_workers]]</f>
        <v>-10</v>
      </c>
      <c r="M2075" s="12">
        <f>Tb_data[[#This Row],[Employees Growth]]/Tb_data[[#This Row],[previous_workers]]</f>
        <v>-0.7142857142857143</v>
      </c>
    </row>
    <row r="2076" spans="1:13" x14ac:dyDescent="0.25">
      <c r="A2076" s="1" t="s">
        <v>1178</v>
      </c>
      <c r="B2076" s="1" t="s">
        <v>1179</v>
      </c>
      <c r="C2076" s="1">
        <v>4700000</v>
      </c>
      <c r="D2076" s="1" t="s">
        <v>375</v>
      </c>
      <c r="E2076">
        <v>815.15150000000006</v>
      </c>
      <c r="F2076" s="1" t="s">
        <v>156</v>
      </c>
      <c r="G2076">
        <v>13</v>
      </c>
      <c r="H2076">
        <v>3</v>
      </c>
      <c r="I2076" s="1" t="s">
        <v>26</v>
      </c>
      <c r="J2076">
        <v>1</v>
      </c>
      <c r="K2076" t="str">
        <f>IF(Tb_data[[#This Row],[previous_workers]]&lt;Tb_data[[#This Row],[workers]],"yes","no")</f>
        <v>yes</v>
      </c>
      <c r="L2076">
        <f>Tb_data[[#This Row],[workers]]-Tb_data[[#This Row],[previous_workers]]</f>
        <v>10</v>
      </c>
      <c r="M2076" s="12">
        <f>Tb_data[[#This Row],[Employees Growth]]/Tb_data[[#This Row],[previous_workers]]</f>
        <v>3.3333333333333335</v>
      </c>
    </row>
    <row r="2077" spans="1:13" x14ac:dyDescent="0.25">
      <c r="A2077" s="1" t="s">
        <v>782</v>
      </c>
      <c r="B2077" s="1" t="s">
        <v>783</v>
      </c>
      <c r="C2077" s="1">
        <v>64300000</v>
      </c>
      <c r="D2077" s="1" t="s">
        <v>49</v>
      </c>
      <c r="E2077">
        <v>1327.8114</v>
      </c>
      <c r="F2077" s="1" t="s">
        <v>25</v>
      </c>
      <c r="G2077">
        <v>21</v>
      </c>
      <c r="H2077">
        <v>8</v>
      </c>
      <c r="I2077" s="1" t="s">
        <v>117</v>
      </c>
      <c r="J2077">
        <v>4</v>
      </c>
      <c r="K2077" t="str">
        <f>IF(Tb_data[[#This Row],[previous_workers]]&lt;Tb_data[[#This Row],[workers]],"yes","no")</f>
        <v>yes</v>
      </c>
      <c r="L2077">
        <f>Tb_data[[#This Row],[workers]]-Tb_data[[#This Row],[previous_workers]]</f>
        <v>13</v>
      </c>
      <c r="M2077" s="12">
        <f>Tb_data[[#This Row],[Employees Growth]]/Tb_data[[#This Row],[previous_workers]]</f>
        <v>1.625</v>
      </c>
    </row>
    <row r="2078" spans="1:13" x14ac:dyDescent="0.25">
      <c r="A2078" s="1" t="s">
        <v>373</v>
      </c>
      <c r="B2078" s="1" t="s">
        <v>374</v>
      </c>
      <c r="C2078" s="1">
        <v>18500000</v>
      </c>
      <c r="D2078" s="1" t="s">
        <v>375</v>
      </c>
      <c r="E2078">
        <v>2525.5636</v>
      </c>
      <c r="F2078" s="1" t="s">
        <v>42</v>
      </c>
      <c r="G2078">
        <v>36</v>
      </c>
      <c r="H2078">
        <v>3</v>
      </c>
      <c r="I2078" s="1" t="s">
        <v>130</v>
      </c>
      <c r="J2078">
        <v>2</v>
      </c>
      <c r="K2078" t="str">
        <f>IF(Tb_data[[#This Row],[previous_workers]]&lt;Tb_data[[#This Row],[workers]],"yes","no")</f>
        <v>yes</v>
      </c>
      <c r="L2078">
        <f>Tb_data[[#This Row],[workers]]-Tb_data[[#This Row],[previous_workers]]</f>
        <v>33</v>
      </c>
      <c r="M2078" s="12">
        <f>Tb_data[[#This Row],[Employees Growth]]/Tb_data[[#This Row],[previous_workers]]</f>
        <v>11</v>
      </c>
    </row>
    <row r="2079" spans="1:13" x14ac:dyDescent="0.25">
      <c r="A2079" s="1" t="s">
        <v>3841</v>
      </c>
      <c r="B2079" s="1" t="s">
        <v>3842</v>
      </c>
      <c r="C2079" s="1">
        <v>13600000</v>
      </c>
      <c r="D2079" s="1" t="s">
        <v>45</v>
      </c>
      <c r="E2079">
        <v>217.95410000000001</v>
      </c>
      <c r="F2079" s="1" t="s">
        <v>12</v>
      </c>
      <c r="G2079">
        <v>45</v>
      </c>
      <c r="H2079">
        <v>25</v>
      </c>
      <c r="I2079" s="1" t="s">
        <v>3843</v>
      </c>
      <c r="J2079">
        <v>2</v>
      </c>
      <c r="K2079" t="str">
        <f>IF(Tb_data[[#This Row],[previous_workers]]&lt;Tb_data[[#This Row],[workers]],"yes","no")</f>
        <v>yes</v>
      </c>
      <c r="L2079">
        <f>Tb_data[[#This Row],[workers]]-Tb_data[[#This Row],[previous_workers]]</f>
        <v>20</v>
      </c>
      <c r="M2079" s="12">
        <f>Tb_data[[#This Row],[Employees Growth]]/Tb_data[[#This Row],[previous_workers]]</f>
        <v>0.8</v>
      </c>
    </row>
    <row r="2080" spans="1:13" x14ac:dyDescent="0.25">
      <c r="A2080" s="1" t="s">
        <v>3686</v>
      </c>
      <c r="B2080" s="1" t="s">
        <v>3687</v>
      </c>
      <c r="C2080" s="1">
        <v>14200000</v>
      </c>
      <c r="D2080" s="1" t="s">
        <v>69</v>
      </c>
      <c r="E2080">
        <v>229.03960000000001</v>
      </c>
      <c r="F2080" s="1" t="s">
        <v>176</v>
      </c>
      <c r="G2080">
        <v>35</v>
      </c>
      <c r="H2080">
        <v>11</v>
      </c>
      <c r="I2080" s="1" t="s">
        <v>55</v>
      </c>
      <c r="J2080">
        <v>2</v>
      </c>
      <c r="K2080" t="str">
        <f>IF(Tb_data[[#This Row],[previous_workers]]&lt;Tb_data[[#This Row],[workers]],"yes","no")</f>
        <v>yes</v>
      </c>
      <c r="L2080">
        <f>Tb_data[[#This Row],[workers]]-Tb_data[[#This Row],[previous_workers]]</f>
        <v>24</v>
      </c>
      <c r="M2080" s="12">
        <f>Tb_data[[#This Row],[Employees Growth]]/Tb_data[[#This Row],[previous_workers]]</f>
        <v>2.1818181818181817</v>
      </c>
    </row>
    <row r="2081" spans="1:13" x14ac:dyDescent="0.25">
      <c r="A2081" s="1" t="s">
        <v>5728</v>
      </c>
      <c r="B2081" s="1" t="s">
        <v>5729</v>
      </c>
      <c r="C2081" s="1">
        <v>69800000</v>
      </c>
      <c r="D2081" s="1" t="s">
        <v>175</v>
      </c>
      <c r="E2081">
        <v>133.7182</v>
      </c>
      <c r="F2081" s="1" t="s">
        <v>97</v>
      </c>
      <c r="G2081">
        <v>451</v>
      </c>
      <c r="H2081">
        <v>219</v>
      </c>
      <c r="I2081" s="1" t="s">
        <v>194</v>
      </c>
      <c r="J2081">
        <v>2</v>
      </c>
      <c r="K2081" t="str">
        <f>IF(Tb_data[[#This Row],[previous_workers]]&lt;Tb_data[[#This Row],[workers]],"yes","no")</f>
        <v>yes</v>
      </c>
      <c r="L2081">
        <f>Tb_data[[#This Row],[workers]]-Tb_data[[#This Row],[previous_workers]]</f>
        <v>232</v>
      </c>
      <c r="M2081" s="12">
        <f>Tb_data[[#This Row],[Employees Growth]]/Tb_data[[#This Row],[previous_workers]]</f>
        <v>1.0593607305936072</v>
      </c>
    </row>
    <row r="2082" spans="1:13" x14ac:dyDescent="0.25">
      <c r="A2082" s="1" t="s">
        <v>2614</v>
      </c>
      <c r="B2082" s="1" t="s">
        <v>2615</v>
      </c>
      <c r="C2082" s="1">
        <v>2100000</v>
      </c>
      <c r="D2082" s="1" t="s">
        <v>321</v>
      </c>
      <c r="E2082">
        <v>331.1737</v>
      </c>
      <c r="F2082" s="1" t="s">
        <v>156</v>
      </c>
      <c r="G2082">
        <v>7</v>
      </c>
      <c r="H2082">
        <v>2</v>
      </c>
      <c r="I2082" s="1" t="s">
        <v>55</v>
      </c>
      <c r="J2082">
        <v>1</v>
      </c>
      <c r="K2082" t="str">
        <f>IF(Tb_data[[#This Row],[previous_workers]]&lt;Tb_data[[#This Row],[workers]],"yes","no")</f>
        <v>yes</v>
      </c>
      <c r="L2082">
        <f>Tb_data[[#This Row],[workers]]-Tb_data[[#This Row],[previous_workers]]</f>
        <v>5</v>
      </c>
      <c r="M2082" s="12">
        <f>Tb_data[[#This Row],[Employees Growth]]/Tb_data[[#This Row],[previous_workers]]</f>
        <v>2.5</v>
      </c>
    </row>
    <row r="2083" spans="1:13" x14ac:dyDescent="0.25">
      <c r="A2083" s="1" t="s">
        <v>1718</v>
      </c>
      <c r="B2083" s="1" t="s">
        <v>1719</v>
      </c>
      <c r="C2083" s="1">
        <v>5800000</v>
      </c>
      <c r="D2083" s="1" t="s">
        <v>69</v>
      </c>
      <c r="E2083">
        <v>531.15859999999998</v>
      </c>
      <c r="F2083" s="1" t="s">
        <v>97</v>
      </c>
      <c r="G2083">
        <v>80</v>
      </c>
      <c r="H2083">
        <v>20</v>
      </c>
      <c r="I2083" s="1" t="s">
        <v>130</v>
      </c>
      <c r="J2083">
        <v>2</v>
      </c>
      <c r="K2083" t="str">
        <f>IF(Tb_data[[#This Row],[previous_workers]]&lt;Tb_data[[#This Row],[workers]],"yes","no")</f>
        <v>yes</v>
      </c>
      <c r="L2083">
        <f>Tb_data[[#This Row],[workers]]-Tb_data[[#This Row],[previous_workers]]</f>
        <v>60</v>
      </c>
      <c r="M2083" s="12">
        <f>Tb_data[[#This Row],[Employees Growth]]/Tb_data[[#This Row],[previous_workers]]</f>
        <v>3</v>
      </c>
    </row>
    <row r="2084" spans="1:13" x14ac:dyDescent="0.25">
      <c r="A2084" s="1" t="s">
        <v>1501</v>
      </c>
      <c r="B2084" s="1" t="s">
        <v>1502</v>
      </c>
      <c r="C2084" s="1">
        <v>157100000</v>
      </c>
      <c r="D2084" s="1" t="s">
        <v>52</v>
      </c>
      <c r="E2084">
        <v>623.298</v>
      </c>
      <c r="F2084" s="1" t="s">
        <v>25</v>
      </c>
      <c r="G2084">
        <v>516</v>
      </c>
      <c r="H2084">
        <v>171</v>
      </c>
      <c r="I2084" s="1" t="s">
        <v>130</v>
      </c>
      <c r="J2084">
        <v>2</v>
      </c>
      <c r="K2084" t="str">
        <f>IF(Tb_data[[#This Row],[previous_workers]]&lt;Tb_data[[#This Row],[workers]],"yes","no")</f>
        <v>yes</v>
      </c>
      <c r="L2084">
        <f>Tb_data[[#This Row],[workers]]-Tb_data[[#This Row],[previous_workers]]</f>
        <v>345</v>
      </c>
      <c r="M2084" s="12">
        <f>Tb_data[[#This Row],[Employees Growth]]/Tb_data[[#This Row],[previous_workers]]</f>
        <v>2.0175438596491229</v>
      </c>
    </row>
    <row r="2085" spans="1:13" x14ac:dyDescent="0.25">
      <c r="A2085" s="1" t="s">
        <v>7154</v>
      </c>
      <c r="B2085" s="1" t="s">
        <v>7155</v>
      </c>
      <c r="C2085" s="1">
        <v>4300000</v>
      </c>
      <c r="D2085" s="1" t="s">
        <v>11</v>
      </c>
      <c r="E2085">
        <v>99.251300000000001</v>
      </c>
      <c r="F2085" s="1" t="s">
        <v>112</v>
      </c>
      <c r="G2085">
        <v>28</v>
      </c>
      <c r="H2085">
        <v>15</v>
      </c>
      <c r="I2085" s="1" t="s">
        <v>35</v>
      </c>
      <c r="J2085">
        <v>3</v>
      </c>
      <c r="K2085" t="str">
        <f>IF(Tb_data[[#This Row],[previous_workers]]&lt;Tb_data[[#This Row],[workers]],"yes","no")</f>
        <v>yes</v>
      </c>
      <c r="L2085">
        <f>Tb_data[[#This Row],[workers]]-Tb_data[[#This Row],[previous_workers]]</f>
        <v>13</v>
      </c>
      <c r="M2085" s="12">
        <f>Tb_data[[#This Row],[Employees Growth]]/Tb_data[[#This Row],[previous_workers]]</f>
        <v>0.8666666666666667</v>
      </c>
    </row>
    <row r="2086" spans="1:13" x14ac:dyDescent="0.25">
      <c r="A2086" s="1" t="s">
        <v>8267</v>
      </c>
      <c r="B2086" s="1" t="s">
        <v>8268</v>
      </c>
      <c r="C2086" s="1">
        <v>3600000</v>
      </c>
      <c r="D2086" s="1" t="s">
        <v>33</v>
      </c>
      <c r="E2086">
        <v>78.199799999999996</v>
      </c>
      <c r="F2086" s="1" t="s">
        <v>12</v>
      </c>
      <c r="G2086">
        <v>17</v>
      </c>
      <c r="H2086">
        <v>14</v>
      </c>
      <c r="I2086" s="1" t="s">
        <v>147</v>
      </c>
      <c r="J2086">
        <v>1</v>
      </c>
      <c r="K2086" t="str">
        <f>IF(Tb_data[[#This Row],[previous_workers]]&lt;Tb_data[[#This Row],[workers]],"yes","no")</f>
        <v>yes</v>
      </c>
      <c r="L2086">
        <f>Tb_data[[#This Row],[workers]]-Tb_data[[#This Row],[previous_workers]]</f>
        <v>3</v>
      </c>
      <c r="M2086" s="12">
        <f>Tb_data[[#This Row],[Employees Growth]]/Tb_data[[#This Row],[previous_workers]]</f>
        <v>0.21428571428571427</v>
      </c>
    </row>
    <row r="2087" spans="1:13" x14ac:dyDescent="0.25">
      <c r="A2087" s="1" t="s">
        <v>6625</v>
      </c>
      <c r="B2087" s="1" t="s">
        <v>6626</v>
      </c>
      <c r="C2087" s="1">
        <v>178700000</v>
      </c>
      <c r="D2087" s="1" t="s">
        <v>38</v>
      </c>
      <c r="E2087">
        <v>110.8883</v>
      </c>
      <c r="F2087" s="1" t="s">
        <v>86</v>
      </c>
      <c r="G2087">
        <v>800</v>
      </c>
      <c r="H2087">
        <v>535</v>
      </c>
      <c r="I2087" s="1" t="s">
        <v>226</v>
      </c>
      <c r="J2087">
        <v>13</v>
      </c>
      <c r="K2087" t="str">
        <f>IF(Tb_data[[#This Row],[previous_workers]]&lt;Tb_data[[#This Row],[workers]],"yes","no")</f>
        <v>yes</v>
      </c>
      <c r="L2087">
        <f>Tb_data[[#This Row],[workers]]-Tb_data[[#This Row],[previous_workers]]</f>
        <v>265</v>
      </c>
      <c r="M2087" s="12">
        <f>Tb_data[[#This Row],[Employees Growth]]/Tb_data[[#This Row],[previous_workers]]</f>
        <v>0.49532710280373832</v>
      </c>
    </row>
    <row r="2088" spans="1:13" x14ac:dyDescent="0.25">
      <c r="A2088" s="1" t="s">
        <v>2532</v>
      </c>
      <c r="B2088" s="1" t="s">
        <v>2533</v>
      </c>
      <c r="C2088" s="1">
        <v>68000000</v>
      </c>
      <c r="D2088" s="1" t="s">
        <v>58</v>
      </c>
      <c r="E2088">
        <v>339.00630000000001</v>
      </c>
      <c r="F2088" s="1" t="s">
        <v>176</v>
      </c>
      <c r="G2088">
        <v>139</v>
      </c>
      <c r="H2088">
        <v>51</v>
      </c>
      <c r="I2088" s="1" t="s">
        <v>1051</v>
      </c>
      <c r="J2088">
        <v>4</v>
      </c>
      <c r="K2088" t="str">
        <f>IF(Tb_data[[#This Row],[previous_workers]]&lt;Tb_data[[#This Row],[workers]],"yes","no")</f>
        <v>yes</v>
      </c>
      <c r="L2088">
        <f>Tb_data[[#This Row],[workers]]-Tb_data[[#This Row],[previous_workers]]</f>
        <v>88</v>
      </c>
      <c r="M2088" s="12">
        <f>Tb_data[[#This Row],[Employees Growth]]/Tb_data[[#This Row],[previous_workers]]</f>
        <v>1.7254901960784315</v>
      </c>
    </row>
    <row r="2089" spans="1:13" x14ac:dyDescent="0.25">
      <c r="A2089" s="1" t="s">
        <v>1174</v>
      </c>
      <c r="B2089" s="1" t="s">
        <v>1175</v>
      </c>
      <c r="C2089" s="1">
        <v>13600000</v>
      </c>
      <c r="D2089" s="1" t="s">
        <v>49</v>
      </c>
      <c r="E2089">
        <v>816.39229999999998</v>
      </c>
      <c r="F2089" s="1" t="s">
        <v>17</v>
      </c>
      <c r="G2089">
        <v>39</v>
      </c>
      <c r="H2089">
        <v>11</v>
      </c>
      <c r="I2089" s="1" t="s">
        <v>55</v>
      </c>
      <c r="J2089">
        <v>1</v>
      </c>
      <c r="K2089" t="str">
        <f>IF(Tb_data[[#This Row],[previous_workers]]&lt;Tb_data[[#This Row],[workers]],"yes","no")</f>
        <v>yes</v>
      </c>
      <c r="L2089">
        <f>Tb_data[[#This Row],[workers]]-Tb_data[[#This Row],[previous_workers]]</f>
        <v>28</v>
      </c>
      <c r="M2089" s="12">
        <f>Tb_data[[#This Row],[Employees Growth]]/Tb_data[[#This Row],[previous_workers]]</f>
        <v>2.5454545454545454</v>
      </c>
    </row>
    <row r="2090" spans="1:13" x14ac:dyDescent="0.25">
      <c r="A2090" s="1" t="s">
        <v>9982</v>
      </c>
      <c r="B2090" s="1" t="s">
        <v>9983</v>
      </c>
      <c r="C2090" s="1">
        <v>4500000</v>
      </c>
      <c r="D2090" s="1" t="s">
        <v>33</v>
      </c>
      <c r="E2090">
        <v>53.695</v>
      </c>
      <c r="F2090" s="1" t="s">
        <v>3264</v>
      </c>
      <c r="G2090">
        <v>25</v>
      </c>
      <c r="H2090">
        <v>24</v>
      </c>
      <c r="I2090" s="1" t="s">
        <v>2628</v>
      </c>
      <c r="J2090">
        <v>4</v>
      </c>
      <c r="K2090" t="str">
        <f>IF(Tb_data[[#This Row],[previous_workers]]&lt;Tb_data[[#This Row],[workers]],"yes","no")</f>
        <v>yes</v>
      </c>
      <c r="L2090">
        <f>Tb_data[[#This Row],[workers]]-Tb_data[[#This Row],[previous_workers]]</f>
        <v>1</v>
      </c>
      <c r="M2090" s="12">
        <f>Tb_data[[#This Row],[Employees Growth]]/Tb_data[[#This Row],[previous_workers]]</f>
        <v>4.1666666666666664E-2</v>
      </c>
    </row>
    <row r="2091" spans="1:13" x14ac:dyDescent="0.25">
      <c r="A2091" s="1" t="s">
        <v>1447</v>
      </c>
      <c r="B2091" s="1" t="s">
        <v>1448</v>
      </c>
      <c r="C2091" s="1">
        <v>14100000</v>
      </c>
      <c r="D2091" s="1" t="s">
        <v>29</v>
      </c>
      <c r="E2091">
        <v>650.61779999999999</v>
      </c>
      <c r="F2091" s="1" t="s">
        <v>172</v>
      </c>
      <c r="G2091">
        <v>60</v>
      </c>
      <c r="H2091">
        <v>23</v>
      </c>
      <c r="I2091" s="1" t="s">
        <v>295</v>
      </c>
      <c r="J2091">
        <v>3</v>
      </c>
      <c r="K2091" t="str">
        <f>IF(Tb_data[[#This Row],[previous_workers]]&lt;Tb_data[[#This Row],[workers]],"yes","no")</f>
        <v>yes</v>
      </c>
      <c r="L2091">
        <f>Tb_data[[#This Row],[workers]]-Tb_data[[#This Row],[previous_workers]]</f>
        <v>37</v>
      </c>
      <c r="M2091" s="12">
        <f>Tb_data[[#This Row],[Employees Growth]]/Tb_data[[#This Row],[previous_workers]]</f>
        <v>1.6086956521739131</v>
      </c>
    </row>
    <row r="2092" spans="1:13" x14ac:dyDescent="0.25">
      <c r="A2092" s="1" t="s">
        <v>3133</v>
      </c>
      <c r="B2092" s="1" t="s">
        <v>3134</v>
      </c>
      <c r="C2092" s="1">
        <v>3200000</v>
      </c>
      <c r="D2092" s="1" t="s">
        <v>375</v>
      </c>
      <c r="E2092">
        <v>274.8519</v>
      </c>
      <c r="F2092" s="1" t="s">
        <v>30</v>
      </c>
      <c r="G2092">
        <v>1</v>
      </c>
      <c r="H2092">
        <v>1</v>
      </c>
      <c r="I2092" s="1" t="s">
        <v>2611</v>
      </c>
      <c r="J2092">
        <v>2</v>
      </c>
      <c r="K2092" t="str">
        <f>IF(Tb_data[[#This Row],[previous_workers]]&lt;Tb_data[[#This Row],[workers]],"yes","no")</f>
        <v>no</v>
      </c>
      <c r="L2092">
        <f>Tb_data[[#This Row],[workers]]-Tb_data[[#This Row],[previous_workers]]</f>
        <v>0</v>
      </c>
      <c r="M2092" s="12">
        <f>Tb_data[[#This Row],[Employees Growth]]/Tb_data[[#This Row],[previous_workers]]</f>
        <v>0</v>
      </c>
    </row>
    <row r="2093" spans="1:13" x14ac:dyDescent="0.25">
      <c r="A2093" s="1" t="s">
        <v>7841</v>
      </c>
      <c r="B2093" s="1" t="s">
        <v>7842</v>
      </c>
      <c r="C2093" s="1">
        <v>3500000</v>
      </c>
      <c r="D2093" s="1" t="s">
        <v>236</v>
      </c>
      <c r="E2093">
        <v>85.631299999999996</v>
      </c>
      <c r="F2093" s="1" t="s">
        <v>42</v>
      </c>
      <c r="G2093">
        <v>25</v>
      </c>
      <c r="H2093">
        <v>20</v>
      </c>
      <c r="I2093" s="1" t="s">
        <v>372</v>
      </c>
      <c r="J2093">
        <v>6</v>
      </c>
      <c r="K2093" t="str">
        <f>IF(Tb_data[[#This Row],[previous_workers]]&lt;Tb_data[[#This Row],[workers]],"yes","no")</f>
        <v>yes</v>
      </c>
      <c r="L2093">
        <f>Tb_data[[#This Row],[workers]]-Tb_data[[#This Row],[previous_workers]]</f>
        <v>5</v>
      </c>
      <c r="M2093" s="12">
        <f>Tb_data[[#This Row],[Employees Growth]]/Tb_data[[#This Row],[previous_workers]]</f>
        <v>0.25</v>
      </c>
    </row>
    <row r="2094" spans="1:13" x14ac:dyDescent="0.25">
      <c r="A2094" s="1" t="s">
        <v>9207</v>
      </c>
      <c r="B2094" s="1" t="s">
        <v>9208</v>
      </c>
      <c r="C2094" s="1">
        <v>44700000</v>
      </c>
      <c r="D2094" s="1" t="s">
        <v>41</v>
      </c>
      <c r="E2094">
        <v>64.043599999999998</v>
      </c>
      <c r="F2094" s="1" t="s">
        <v>97</v>
      </c>
      <c r="G2094">
        <v>0</v>
      </c>
      <c r="H2094">
        <v>682</v>
      </c>
      <c r="I2094" s="1" t="s">
        <v>74</v>
      </c>
      <c r="J2094">
        <v>3</v>
      </c>
      <c r="K2094" t="str">
        <f>IF(Tb_data[[#This Row],[previous_workers]]&lt;Tb_data[[#This Row],[workers]],"yes","no")</f>
        <v>no</v>
      </c>
      <c r="L2094">
        <f>Tb_data[[#This Row],[workers]]-Tb_data[[#This Row],[previous_workers]]</f>
        <v>-682</v>
      </c>
      <c r="M2094" s="12">
        <f>Tb_data[[#This Row],[Employees Growth]]/Tb_data[[#This Row],[previous_workers]]</f>
        <v>-1</v>
      </c>
    </row>
    <row r="2095" spans="1:13" x14ac:dyDescent="0.25">
      <c r="A2095" s="1" t="s">
        <v>1637</v>
      </c>
      <c r="B2095" s="1" t="s">
        <v>1638</v>
      </c>
      <c r="C2095" s="1">
        <v>40900000</v>
      </c>
      <c r="D2095" s="1" t="s">
        <v>33</v>
      </c>
      <c r="E2095">
        <v>566.64009999999996</v>
      </c>
      <c r="F2095" s="1" t="s">
        <v>25</v>
      </c>
      <c r="G2095">
        <v>88</v>
      </c>
      <c r="H2095">
        <v>9</v>
      </c>
      <c r="I2095" s="1" t="s">
        <v>164</v>
      </c>
      <c r="J2095">
        <v>1</v>
      </c>
      <c r="K2095" t="str">
        <f>IF(Tb_data[[#This Row],[previous_workers]]&lt;Tb_data[[#This Row],[workers]],"yes","no")</f>
        <v>yes</v>
      </c>
      <c r="L2095">
        <f>Tb_data[[#This Row],[workers]]-Tb_data[[#This Row],[previous_workers]]</f>
        <v>79</v>
      </c>
      <c r="M2095" s="12">
        <f>Tb_data[[#This Row],[Employees Growth]]/Tb_data[[#This Row],[previous_workers]]</f>
        <v>8.7777777777777786</v>
      </c>
    </row>
    <row r="2096" spans="1:13" x14ac:dyDescent="0.25">
      <c r="A2096" s="1" t="s">
        <v>579</v>
      </c>
      <c r="B2096" s="1" t="s">
        <v>580</v>
      </c>
      <c r="C2096" s="1">
        <v>13400000</v>
      </c>
      <c r="D2096" s="1" t="s">
        <v>52</v>
      </c>
      <c r="E2096">
        <v>1726.7615000000001</v>
      </c>
      <c r="F2096" s="1" t="s">
        <v>112</v>
      </c>
      <c r="G2096">
        <v>25</v>
      </c>
      <c r="H2096">
        <v>4</v>
      </c>
      <c r="I2096" s="1" t="s">
        <v>26</v>
      </c>
      <c r="J2096">
        <v>1</v>
      </c>
      <c r="K2096" t="str">
        <f>IF(Tb_data[[#This Row],[previous_workers]]&lt;Tb_data[[#This Row],[workers]],"yes","no")</f>
        <v>yes</v>
      </c>
      <c r="L2096">
        <f>Tb_data[[#This Row],[workers]]-Tb_data[[#This Row],[previous_workers]]</f>
        <v>21</v>
      </c>
      <c r="M2096" s="12">
        <f>Tb_data[[#This Row],[Employees Growth]]/Tb_data[[#This Row],[previous_workers]]</f>
        <v>5.25</v>
      </c>
    </row>
    <row r="2097" spans="1:13" x14ac:dyDescent="0.25">
      <c r="A2097" s="1" t="s">
        <v>2320</v>
      </c>
      <c r="B2097" s="1" t="s">
        <v>2321</v>
      </c>
      <c r="C2097" s="1">
        <v>9400000</v>
      </c>
      <c r="D2097" s="1" t="s">
        <v>49</v>
      </c>
      <c r="E2097">
        <v>379.84070000000003</v>
      </c>
      <c r="F2097" s="1" t="s">
        <v>12</v>
      </c>
      <c r="G2097">
        <v>55</v>
      </c>
      <c r="H2097">
        <v>20</v>
      </c>
      <c r="I2097" s="1" t="s">
        <v>130</v>
      </c>
      <c r="J2097">
        <v>3</v>
      </c>
      <c r="K2097" t="str">
        <f>IF(Tb_data[[#This Row],[previous_workers]]&lt;Tb_data[[#This Row],[workers]],"yes","no")</f>
        <v>yes</v>
      </c>
      <c r="L2097">
        <f>Tb_data[[#This Row],[workers]]-Tb_data[[#This Row],[previous_workers]]</f>
        <v>35</v>
      </c>
      <c r="M2097" s="12">
        <f>Tb_data[[#This Row],[Employees Growth]]/Tb_data[[#This Row],[previous_workers]]</f>
        <v>1.75</v>
      </c>
    </row>
    <row r="2098" spans="1:13" x14ac:dyDescent="0.25">
      <c r="A2098" s="1" t="s">
        <v>6821</v>
      </c>
      <c r="B2098" s="1" t="s">
        <v>6822</v>
      </c>
      <c r="C2098" s="1">
        <v>18200000</v>
      </c>
      <c r="D2098" s="1" t="s">
        <v>895</v>
      </c>
      <c r="E2098">
        <v>106.2046</v>
      </c>
      <c r="F2098" s="1" t="s">
        <v>86</v>
      </c>
      <c r="G2098">
        <v>145</v>
      </c>
      <c r="H2098">
        <v>60</v>
      </c>
      <c r="I2098" s="1" t="s">
        <v>13</v>
      </c>
      <c r="J2098">
        <v>1</v>
      </c>
      <c r="K2098" t="str">
        <f>IF(Tb_data[[#This Row],[previous_workers]]&lt;Tb_data[[#This Row],[workers]],"yes","no")</f>
        <v>yes</v>
      </c>
      <c r="L2098">
        <f>Tb_data[[#This Row],[workers]]-Tb_data[[#This Row],[previous_workers]]</f>
        <v>85</v>
      </c>
      <c r="M2098" s="12">
        <f>Tb_data[[#This Row],[Employees Growth]]/Tb_data[[#This Row],[previous_workers]]</f>
        <v>1.4166666666666667</v>
      </c>
    </row>
    <row r="2099" spans="1:13" x14ac:dyDescent="0.25">
      <c r="A2099" s="1" t="s">
        <v>5820</v>
      </c>
      <c r="B2099" s="1" t="s">
        <v>5821</v>
      </c>
      <c r="C2099" s="1">
        <v>66800000</v>
      </c>
      <c r="D2099" s="1" t="s">
        <v>79</v>
      </c>
      <c r="E2099">
        <v>130.732</v>
      </c>
      <c r="F2099" s="1" t="s">
        <v>112</v>
      </c>
      <c r="G2099">
        <v>425</v>
      </c>
      <c r="H2099">
        <v>203</v>
      </c>
      <c r="I2099" s="1" t="s">
        <v>229</v>
      </c>
      <c r="J2099">
        <v>4</v>
      </c>
      <c r="K2099" t="str">
        <f>IF(Tb_data[[#This Row],[previous_workers]]&lt;Tb_data[[#This Row],[workers]],"yes","no")</f>
        <v>yes</v>
      </c>
      <c r="L2099">
        <f>Tb_data[[#This Row],[workers]]-Tb_data[[#This Row],[previous_workers]]</f>
        <v>222</v>
      </c>
      <c r="M2099" s="12">
        <f>Tb_data[[#This Row],[Employees Growth]]/Tb_data[[#This Row],[previous_workers]]</f>
        <v>1.0935960591133005</v>
      </c>
    </row>
    <row r="2100" spans="1:13" x14ac:dyDescent="0.25">
      <c r="A2100" s="1" t="s">
        <v>8921</v>
      </c>
      <c r="B2100" s="1" t="s">
        <v>8922</v>
      </c>
      <c r="C2100" s="1">
        <v>28300000</v>
      </c>
      <c r="D2100" s="1" t="s">
        <v>52</v>
      </c>
      <c r="E2100">
        <v>67.699700000000007</v>
      </c>
      <c r="F2100" s="1" t="s">
        <v>21</v>
      </c>
      <c r="G2100">
        <v>396</v>
      </c>
      <c r="H2100">
        <v>295</v>
      </c>
      <c r="I2100" s="1" t="s">
        <v>468</v>
      </c>
      <c r="J2100">
        <v>2</v>
      </c>
      <c r="K2100" t="str">
        <f>IF(Tb_data[[#This Row],[previous_workers]]&lt;Tb_data[[#This Row],[workers]],"yes","no")</f>
        <v>yes</v>
      </c>
      <c r="L2100">
        <f>Tb_data[[#This Row],[workers]]-Tb_data[[#This Row],[previous_workers]]</f>
        <v>101</v>
      </c>
      <c r="M2100" s="12">
        <f>Tb_data[[#This Row],[Employees Growth]]/Tb_data[[#This Row],[previous_workers]]</f>
        <v>0.34237288135593219</v>
      </c>
    </row>
    <row r="2101" spans="1:13" x14ac:dyDescent="0.25">
      <c r="A2101" s="1" t="s">
        <v>9043</v>
      </c>
      <c r="B2101" s="1" t="s">
        <v>9044</v>
      </c>
      <c r="C2101" s="1">
        <v>4500000</v>
      </c>
      <c r="D2101" s="1" t="s">
        <v>179</v>
      </c>
      <c r="E2101">
        <v>65.996300000000005</v>
      </c>
      <c r="F2101" s="1" t="s">
        <v>176</v>
      </c>
      <c r="G2101">
        <v>20</v>
      </c>
      <c r="H2101">
        <v>10</v>
      </c>
      <c r="I2101" s="1" t="s">
        <v>147</v>
      </c>
      <c r="J2101">
        <v>1</v>
      </c>
      <c r="K2101" t="str">
        <f>IF(Tb_data[[#This Row],[previous_workers]]&lt;Tb_data[[#This Row],[workers]],"yes","no")</f>
        <v>yes</v>
      </c>
      <c r="L2101">
        <f>Tb_data[[#This Row],[workers]]-Tb_data[[#This Row],[previous_workers]]</f>
        <v>10</v>
      </c>
      <c r="M2101" s="12">
        <f>Tb_data[[#This Row],[Employees Growth]]/Tb_data[[#This Row],[previous_workers]]</f>
        <v>1</v>
      </c>
    </row>
    <row r="2102" spans="1:13" x14ac:dyDescent="0.25">
      <c r="A2102" s="1" t="s">
        <v>7008</v>
      </c>
      <c r="B2102" s="1" t="s">
        <v>7009</v>
      </c>
      <c r="C2102" s="1">
        <v>6500000</v>
      </c>
      <c r="D2102" s="1" t="s">
        <v>33</v>
      </c>
      <c r="E2102">
        <v>101.7719</v>
      </c>
      <c r="F2102" s="1" t="s">
        <v>12</v>
      </c>
      <c r="G2102">
        <v>28</v>
      </c>
      <c r="H2102">
        <v>17</v>
      </c>
      <c r="I2102" s="1" t="s">
        <v>1051</v>
      </c>
      <c r="J2102">
        <v>1</v>
      </c>
      <c r="K2102" t="str">
        <f>IF(Tb_data[[#This Row],[previous_workers]]&lt;Tb_data[[#This Row],[workers]],"yes","no")</f>
        <v>yes</v>
      </c>
      <c r="L2102">
        <f>Tb_data[[#This Row],[workers]]-Tb_data[[#This Row],[previous_workers]]</f>
        <v>11</v>
      </c>
      <c r="M2102" s="12">
        <f>Tb_data[[#This Row],[Employees Growth]]/Tb_data[[#This Row],[previous_workers]]</f>
        <v>0.6470588235294118</v>
      </c>
    </row>
    <row r="2103" spans="1:13" x14ac:dyDescent="0.25">
      <c r="A2103" s="1" t="s">
        <v>8498</v>
      </c>
      <c r="B2103" s="1" t="s">
        <v>8499</v>
      </c>
      <c r="C2103" s="1">
        <v>15300000</v>
      </c>
      <c r="D2103" s="1" t="s">
        <v>41</v>
      </c>
      <c r="E2103">
        <v>74.064400000000006</v>
      </c>
      <c r="F2103" s="1" t="s">
        <v>176</v>
      </c>
      <c r="G2103">
        <v>21</v>
      </c>
      <c r="H2103">
        <v>16</v>
      </c>
      <c r="I2103" s="1" t="s">
        <v>74</v>
      </c>
      <c r="J2103">
        <v>7</v>
      </c>
      <c r="K2103" t="str">
        <f>IF(Tb_data[[#This Row],[previous_workers]]&lt;Tb_data[[#This Row],[workers]],"yes","no")</f>
        <v>yes</v>
      </c>
      <c r="L2103">
        <f>Tb_data[[#This Row],[workers]]-Tb_data[[#This Row],[previous_workers]]</f>
        <v>5</v>
      </c>
      <c r="M2103" s="12">
        <f>Tb_data[[#This Row],[Employees Growth]]/Tb_data[[#This Row],[previous_workers]]</f>
        <v>0.3125</v>
      </c>
    </row>
    <row r="2104" spans="1:13" x14ac:dyDescent="0.25">
      <c r="A2104" s="1" t="s">
        <v>9612</v>
      </c>
      <c r="B2104" s="1" t="s">
        <v>9613</v>
      </c>
      <c r="C2104" s="1">
        <v>9700000</v>
      </c>
      <c r="D2104" s="1" t="s">
        <v>254</v>
      </c>
      <c r="E2104">
        <v>59.040100000000002</v>
      </c>
      <c r="F2104" s="1" t="s">
        <v>176</v>
      </c>
      <c r="G2104">
        <v>60</v>
      </c>
      <c r="H2104">
        <v>30</v>
      </c>
      <c r="I2104" s="1" t="s">
        <v>295</v>
      </c>
      <c r="J2104">
        <v>2</v>
      </c>
      <c r="K2104" t="str">
        <f>IF(Tb_data[[#This Row],[previous_workers]]&lt;Tb_data[[#This Row],[workers]],"yes","no")</f>
        <v>yes</v>
      </c>
      <c r="L2104">
        <f>Tb_data[[#This Row],[workers]]-Tb_data[[#This Row],[previous_workers]]</f>
        <v>30</v>
      </c>
      <c r="M2104" s="12">
        <f>Tb_data[[#This Row],[Employees Growth]]/Tb_data[[#This Row],[previous_workers]]</f>
        <v>1</v>
      </c>
    </row>
    <row r="2105" spans="1:13" x14ac:dyDescent="0.25">
      <c r="A2105" s="1" t="s">
        <v>8017</v>
      </c>
      <c r="B2105" s="1" t="s">
        <v>8018</v>
      </c>
      <c r="C2105" s="1">
        <v>2700000</v>
      </c>
      <c r="D2105" s="1" t="s">
        <v>321</v>
      </c>
      <c r="E2105">
        <v>82.429699999999997</v>
      </c>
      <c r="F2105" s="1" t="s">
        <v>12</v>
      </c>
      <c r="G2105">
        <v>12</v>
      </c>
      <c r="H2105">
        <v>6</v>
      </c>
      <c r="I2105" s="1" t="s">
        <v>2628</v>
      </c>
      <c r="J2105">
        <v>1</v>
      </c>
      <c r="K2105" t="str">
        <f>IF(Tb_data[[#This Row],[previous_workers]]&lt;Tb_data[[#This Row],[workers]],"yes","no")</f>
        <v>yes</v>
      </c>
      <c r="L2105">
        <f>Tb_data[[#This Row],[workers]]-Tb_data[[#This Row],[previous_workers]]</f>
        <v>6</v>
      </c>
      <c r="M2105" s="12">
        <f>Tb_data[[#This Row],[Employees Growth]]/Tb_data[[#This Row],[previous_workers]]</f>
        <v>1</v>
      </c>
    </row>
    <row r="2106" spans="1:13" x14ac:dyDescent="0.25">
      <c r="A2106" s="1" t="s">
        <v>6319</v>
      </c>
      <c r="B2106" s="1" t="s">
        <v>6320</v>
      </c>
      <c r="C2106" s="1">
        <v>34200000</v>
      </c>
      <c r="D2106" s="1" t="s">
        <v>115</v>
      </c>
      <c r="E2106">
        <v>117.9777</v>
      </c>
      <c r="F2106" s="1" t="s">
        <v>34</v>
      </c>
      <c r="G2106">
        <v>140</v>
      </c>
      <c r="H2106">
        <v>75</v>
      </c>
      <c r="I2106" s="1" t="s">
        <v>226</v>
      </c>
      <c r="J2106">
        <v>9</v>
      </c>
      <c r="K2106" t="str">
        <f>IF(Tb_data[[#This Row],[previous_workers]]&lt;Tb_data[[#This Row],[workers]],"yes","no")</f>
        <v>yes</v>
      </c>
      <c r="L2106">
        <f>Tb_data[[#This Row],[workers]]-Tb_data[[#This Row],[previous_workers]]</f>
        <v>65</v>
      </c>
      <c r="M2106" s="12">
        <f>Tb_data[[#This Row],[Employees Growth]]/Tb_data[[#This Row],[previous_workers]]</f>
        <v>0.8666666666666667</v>
      </c>
    </row>
    <row r="2107" spans="1:13" x14ac:dyDescent="0.25">
      <c r="A2107" s="1" t="s">
        <v>4337</v>
      </c>
      <c r="B2107" s="1" t="s">
        <v>4338</v>
      </c>
      <c r="C2107" s="1">
        <v>76800000</v>
      </c>
      <c r="D2107" s="1" t="s">
        <v>20</v>
      </c>
      <c r="E2107">
        <v>189.4074</v>
      </c>
      <c r="F2107" s="1" t="s">
        <v>12</v>
      </c>
      <c r="G2107">
        <v>102</v>
      </c>
      <c r="H2107">
        <v>30</v>
      </c>
      <c r="I2107" s="1" t="s">
        <v>1051</v>
      </c>
      <c r="J2107">
        <v>1</v>
      </c>
      <c r="K2107" t="str">
        <f>IF(Tb_data[[#This Row],[previous_workers]]&lt;Tb_data[[#This Row],[workers]],"yes","no")</f>
        <v>yes</v>
      </c>
      <c r="L2107">
        <f>Tb_data[[#This Row],[workers]]-Tb_data[[#This Row],[previous_workers]]</f>
        <v>72</v>
      </c>
      <c r="M2107" s="12">
        <f>Tb_data[[#This Row],[Employees Growth]]/Tb_data[[#This Row],[previous_workers]]</f>
        <v>2.4</v>
      </c>
    </row>
    <row r="2108" spans="1:13" x14ac:dyDescent="0.25">
      <c r="A2108" s="1" t="s">
        <v>10070</v>
      </c>
      <c r="B2108" s="1" t="s">
        <v>10071</v>
      </c>
      <c r="C2108" s="1">
        <v>4800000</v>
      </c>
      <c r="D2108" s="1" t="s">
        <v>4064</v>
      </c>
      <c r="E2108">
        <v>52.569699999999997</v>
      </c>
      <c r="F2108" s="1" t="s">
        <v>12</v>
      </c>
      <c r="G2108">
        <v>40</v>
      </c>
      <c r="H2108">
        <v>23</v>
      </c>
      <c r="I2108" s="1" t="s">
        <v>117</v>
      </c>
      <c r="J2108">
        <v>5</v>
      </c>
      <c r="K2108" t="str">
        <f>IF(Tb_data[[#This Row],[previous_workers]]&lt;Tb_data[[#This Row],[workers]],"yes","no")</f>
        <v>yes</v>
      </c>
      <c r="L2108">
        <f>Tb_data[[#This Row],[workers]]-Tb_data[[#This Row],[previous_workers]]</f>
        <v>17</v>
      </c>
      <c r="M2108" s="12">
        <f>Tb_data[[#This Row],[Employees Growth]]/Tb_data[[#This Row],[previous_workers]]</f>
        <v>0.73913043478260865</v>
      </c>
    </row>
    <row r="2109" spans="1:13" x14ac:dyDescent="0.25">
      <c r="A2109" s="1" t="s">
        <v>8853</v>
      </c>
      <c r="B2109" s="1" t="s">
        <v>8854</v>
      </c>
      <c r="C2109" s="1">
        <v>4700000</v>
      </c>
      <c r="D2109" s="1" t="s">
        <v>129</v>
      </c>
      <c r="E2109">
        <v>68.624099999999999</v>
      </c>
      <c r="F2109" s="1" t="s">
        <v>12</v>
      </c>
      <c r="G2109">
        <v>27</v>
      </c>
      <c r="H2109">
        <v>16</v>
      </c>
      <c r="I2109" s="1" t="s">
        <v>1622</v>
      </c>
      <c r="J2109">
        <v>2</v>
      </c>
      <c r="K2109" t="str">
        <f>IF(Tb_data[[#This Row],[previous_workers]]&lt;Tb_data[[#This Row],[workers]],"yes","no")</f>
        <v>yes</v>
      </c>
      <c r="L2109">
        <f>Tb_data[[#This Row],[workers]]-Tb_data[[#This Row],[previous_workers]]</f>
        <v>11</v>
      </c>
      <c r="M2109" s="12">
        <f>Tb_data[[#This Row],[Employees Growth]]/Tb_data[[#This Row],[previous_workers]]</f>
        <v>0.6875</v>
      </c>
    </row>
    <row r="2110" spans="1:13" x14ac:dyDescent="0.25">
      <c r="A2110" s="1" t="s">
        <v>8643</v>
      </c>
      <c r="B2110" s="1" t="s">
        <v>8644</v>
      </c>
      <c r="C2110" s="1">
        <v>319500000</v>
      </c>
      <c r="D2110" s="1" t="s">
        <v>61</v>
      </c>
      <c r="E2110">
        <v>71.837199999999996</v>
      </c>
      <c r="F2110" s="1" t="s">
        <v>42</v>
      </c>
      <c r="G2110">
        <v>1500</v>
      </c>
      <c r="H2110">
        <v>650</v>
      </c>
      <c r="I2110" s="1" t="s">
        <v>74</v>
      </c>
      <c r="J2110">
        <v>1</v>
      </c>
      <c r="K2110" t="str">
        <f>IF(Tb_data[[#This Row],[previous_workers]]&lt;Tb_data[[#This Row],[workers]],"yes","no")</f>
        <v>yes</v>
      </c>
      <c r="L2110">
        <f>Tb_data[[#This Row],[workers]]-Tb_data[[#This Row],[previous_workers]]</f>
        <v>850</v>
      </c>
      <c r="M2110" s="12">
        <f>Tb_data[[#This Row],[Employees Growth]]/Tb_data[[#This Row],[previous_workers]]</f>
        <v>1.3076923076923077</v>
      </c>
    </row>
    <row r="2111" spans="1:13" x14ac:dyDescent="0.25">
      <c r="A2111" s="1" t="s">
        <v>8963</v>
      </c>
      <c r="B2111" s="1" t="s">
        <v>8964</v>
      </c>
      <c r="C2111" s="1">
        <v>84800000</v>
      </c>
      <c r="D2111" s="1" t="s">
        <v>254</v>
      </c>
      <c r="E2111">
        <v>67.084500000000006</v>
      </c>
      <c r="F2111" s="1" t="s">
        <v>34</v>
      </c>
      <c r="G2111">
        <v>223</v>
      </c>
      <c r="H2111">
        <v>162</v>
      </c>
      <c r="I2111" s="1" t="s">
        <v>194</v>
      </c>
      <c r="J2111">
        <v>5</v>
      </c>
      <c r="K2111" t="str">
        <f>IF(Tb_data[[#This Row],[previous_workers]]&lt;Tb_data[[#This Row],[workers]],"yes","no")</f>
        <v>yes</v>
      </c>
      <c r="L2111">
        <f>Tb_data[[#This Row],[workers]]-Tb_data[[#This Row],[previous_workers]]</f>
        <v>61</v>
      </c>
      <c r="M2111" s="12">
        <f>Tb_data[[#This Row],[Employees Growth]]/Tb_data[[#This Row],[previous_workers]]</f>
        <v>0.37654320987654322</v>
      </c>
    </row>
    <row r="2112" spans="1:13" x14ac:dyDescent="0.25">
      <c r="A2112" s="1" t="s">
        <v>613</v>
      </c>
      <c r="B2112" s="1" t="s">
        <v>614</v>
      </c>
      <c r="C2112" s="1">
        <v>4700000</v>
      </c>
      <c r="D2112" s="1" t="s">
        <v>129</v>
      </c>
      <c r="E2112">
        <v>1651.5508</v>
      </c>
      <c r="F2112" s="1" t="s">
        <v>176</v>
      </c>
      <c r="G2112">
        <v>175</v>
      </c>
      <c r="H2112">
        <v>20</v>
      </c>
      <c r="I2112" s="1" t="s">
        <v>26</v>
      </c>
      <c r="J2112">
        <v>2</v>
      </c>
      <c r="K2112" t="str">
        <f>IF(Tb_data[[#This Row],[previous_workers]]&lt;Tb_data[[#This Row],[workers]],"yes","no")</f>
        <v>yes</v>
      </c>
      <c r="L2112">
        <f>Tb_data[[#This Row],[workers]]-Tb_data[[#This Row],[previous_workers]]</f>
        <v>155</v>
      </c>
      <c r="M2112" s="12">
        <f>Tb_data[[#This Row],[Employees Growth]]/Tb_data[[#This Row],[previous_workers]]</f>
        <v>7.75</v>
      </c>
    </row>
    <row r="2113" spans="1:13" x14ac:dyDescent="0.25">
      <c r="A2113" s="1" t="s">
        <v>3641</v>
      </c>
      <c r="B2113" s="1" t="s">
        <v>3642</v>
      </c>
      <c r="C2113" s="1">
        <v>6800000</v>
      </c>
      <c r="D2113" s="1" t="s">
        <v>321</v>
      </c>
      <c r="E2113">
        <v>231.21379999999999</v>
      </c>
      <c r="F2113" s="1" t="s">
        <v>12</v>
      </c>
      <c r="G2113">
        <v>60</v>
      </c>
      <c r="H2113">
        <v>23</v>
      </c>
      <c r="I2113" s="1" t="s">
        <v>35</v>
      </c>
      <c r="J2113">
        <v>2</v>
      </c>
      <c r="K2113" t="str">
        <f>IF(Tb_data[[#This Row],[previous_workers]]&lt;Tb_data[[#This Row],[workers]],"yes","no")</f>
        <v>yes</v>
      </c>
      <c r="L2113">
        <f>Tb_data[[#This Row],[workers]]-Tb_data[[#This Row],[previous_workers]]</f>
        <v>37</v>
      </c>
      <c r="M2113" s="12">
        <f>Tb_data[[#This Row],[Employees Growth]]/Tb_data[[#This Row],[previous_workers]]</f>
        <v>1.6086956521739131</v>
      </c>
    </row>
    <row r="2114" spans="1:13" x14ac:dyDescent="0.25">
      <c r="A2114" s="1" t="s">
        <v>6922</v>
      </c>
      <c r="B2114" s="1" t="s">
        <v>6923</v>
      </c>
      <c r="C2114" s="1">
        <v>114600000</v>
      </c>
      <c r="D2114" s="1" t="s">
        <v>254</v>
      </c>
      <c r="E2114">
        <v>103.596</v>
      </c>
      <c r="F2114" s="1" t="s">
        <v>176</v>
      </c>
      <c r="G2114">
        <v>551</v>
      </c>
      <c r="H2114">
        <v>222</v>
      </c>
      <c r="I2114" s="1" t="s">
        <v>372</v>
      </c>
      <c r="J2114">
        <v>10</v>
      </c>
      <c r="K2114" t="str">
        <f>IF(Tb_data[[#This Row],[previous_workers]]&lt;Tb_data[[#This Row],[workers]],"yes","no")</f>
        <v>yes</v>
      </c>
      <c r="L2114">
        <f>Tb_data[[#This Row],[workers]]-Tb_data[[#This Row],[previous_workers]]</f>
        <v>329</v>
      </c>
      <c r="M2114" s="12">
        <f>Tb_data[[#This Row],[Employees Growth]]/Tb_data[[#This Row],[previous_workers]]</f>
        <v>1.4819819819819819</v>
      </c>
    </row>
    <row r="2115" spans="1:13" x14ac:dyDescent="0.25">
      <c r="A2115" s="1" t="s">
        <v>8105</v>
      </c>
      <c r="B2115" s="1" t="s">
        <v>8106</v>
      </c>
      <c r="C2115" s="1">
        <v>2600000</v>
      </c>
      <c r="D2115" s="1" t="s">
        <v>49</v>
      </c>
      <c r="E2115">
        <v>81.057100000000005</v>
      </c>
      <c r="F2115" s="1" t="s">
        <v>86</v>
      </c>
      <c r="G2115">
        <v>35</v>
      </c>
      <c r="H2115">
        <v>17</v>
      </c>
      <c r="I2115" s="1" t="s">
        <v>130</v>
      </c>
      <c r="J2115">
        <v>2</v>
      </c>
      <c r="K2115" t="str">
        <f>IF(Tb_data[[#This Row],[previous_workers]]&lt;Tb_data[[#This Row],[workers]],"yes","no")</f>
        <v>yes</v>
      </c>
      <c r="L2115">
        <f>Tb_data[[#This Row],[workers]]-Tb_data[[#This Row],[previous_workers]]</f>
        <v>18</v>
      </c>
      <c r="M2115" s="12">
        <f>Tb_data[[#This Row],[Employees Growth]]/Tb_data[[#This Row],[previous_workers]]</f>
        <v>1.0588235294117647</v>
      </c>
    </row>
    <row r="2116" spans="1:13" x14ac:dyDescent="0.25">
      <c r="A2116" s="1" t="s">
        <v>9584</v>
      </c>
      <c r="B2116" s="1" t="s">
        <v>9585</v>
      </c>
      <c r="C2116" s="1">
        <v>12500000</v>
      </c>
      <c r="D2116" s="1" t="s">
        <v>254</v>
      </c>
      <c r="E2116">
        <v>59.353099999999998</v>
      </c>
      <c r="F2116" s="1" t="s">
        <v>176</v>
      </c>
      <c r="G2116">
        <v>52</v>
      </c>
      <c r="H2116">
        <v>35</v>
      </c>
      <c r="I2116" s="1" t="s">
        <v>4071</v>
      </c>
      <c r="J2116">
        <v>1</v>
      </c>
      <c r="K2116" t="str">
        <f>IF(Tb_data[[#This Row],[previous_workers]]&lt;Tb_data[[#This Row],[workers]],"yes","no")</f>
        <v>yes</v>
      </c>
      <c r="L2116">
        <f>Tb_data[[#This Row],[workers]]-Tb_data[[#This Row],[previous_workers]]</f>
        <v>17</v>
      </c>
      <c r="M2116" s="12">
        <f>Tb_data[[#This Row],[Employees Growth]]/Tb_data[[#This Row],[previous_workers]]</f>
        <v>0.48571428571428571</v>
      </c>
    </row>
    <row r="2117" spans="1:13" x14ac:dyDescent="0.25">
      <c r="A2117" s="1" t="s">
        <v>8849</v>
      </c>
      <c r="B2117" s="1" t="s">
        <v>8850</v>
      </c>
      <c r="C2117" s="1">
        <v>8500000</v>
      </c>
      <c r="D2117" s="1" t="s">
        <v>20</v>
      </c>
      <c r="E2117">
        <v>68.742900000000006</v>
      </c>
      <c r="F2117" s="1" t="s">
        <v>86</v>
      </c>
      <c r="G2117">
        <v>358</v>
      </c>
      <c r="H2117">
        <v>264</v>
      </c>
      <c r="I2117" s="1" t="s">
        <v>147</v>
      </c>
      <c r="J2117">
        <v>4</v>
      </c>
      <c r="K2117" t="str">
        <f>IF(Tb_data[[#This Row],[previous_workers]]&lt;Tb_data[[#This Row],[workers]],"yes","no")</f>
        <v>yes</v>
      </c>
      <c r="L2117">
        <f>Tb_data[[#This Row],[workers]]-Tb_data[[#This Row],[previous_workers]]</f>
        <v>94</v>
      </c>
      <c r="M2117" s="12">
        <f>Tb_data[[#This Row],[Employees Growth]]/Tb_data[[#This Row],[previous_workers]]</f>
        <v>0.35606060606060608</v>
      </c>
    </row>
    <row r="2118" spans="1:13" x14ac:dyDescent="0.25">
      <c r="A2118" s="1" t="s">
        <v>9491</v>
      </c>
      <c r="B2118" s="1" t="s">
        <v>9492</v>
      </c>
      <c r="C2118" s="1">
        <v>68300000</v>
      </c>
      <c r="D2118" s="1" t="s">
        <v>20</v>
      </c>
      <c r="E2118">
        <v>60.432299999999998</v>
      </c>
      <c r="F2118" s="1" t="s">
        <v>156</v>
      </c>
      <c r="G2118">
        <v>390</v>
      </c>
      <c r="H2118">
        <v>286</v>
      </c>
      <c r="I2118" s="1" t="s">
        <v>194</v>
      </c>
      <c r="J2118">
        <v>10</v>
      </c>
      <c r="K2118" t="str">
        <f>IF(Tb_data[[#This Row],[previous_workers]]&lt;Tb_data[[#This Row],[workers]],"yes","no")</f>
        <v>yes</v>
      </c>
      <c r="L2118">
        <f>Tb_data[[#This Row],[workers]]-Tb_data[[#This Row],[previous_workers]]</f>
        <v>104</v>
      </c>
      <c r="M2118" s="12">
        <f>Tb_data[[#This Row],[Employees Growth]]/Tb_data[[#This Row],[previous_workers]]</f>
        <v>0.36363636363636365</v>
      </c>
    </row>
    <row r="2119" spans="1:13" x14ac:dyDescent="0.25">
      <c r="A2119" s="1" t="s">
        <v>7975</v>
      </c>
      <c r="B2119" s="1" t="s">
        <v>7976</v>
      </c>
      <c r="C2119" s="1">
        <v>38000000</v>
      </c>
      <c r="D2119" s="1" t="s">
        <v>29</v>
      </c>
      <c r="E2119">
        <v>83.36</v>
      </c>
      <c r="F2119" s="1" t="s">
        <v>176</v>
      </c>
      <c r="G2119">
        <v>112</v>
      </c>
      <c r="H2119">
        <v>85</v>
      </c>
      <c r="I2119" s="1" t="s">
        <v>836</v>
      </c>
      <c r="J2119">
        <v>7</v>
      </c>
      <c r="K2119" t="str">
        <f>IF(Tb_data[[#This Row],[previous_workers]]&lt;Tb_data[[#This Row],[workers]],"yes","no")</f>
        <v>yes</v>
      </c>
      <c r="L2119">
        <f>Tb_data[[#This Row],[workers]]-Tb_data[[#This Row],[previous_workers]]</f>
        <v>27</v>
      </c>
      <c r="M2119" s="12">
        <f>Tb_data[[#This Row],[Employees Growth]]/Tb_data[[#This Row],[previous_workers]]</f>
        <v>0.31764705882352939</v>
      </c>
    </row>
    <row r="2120" spans="1:13" x14ac:dyDescent="0.25">
      <c r="A2120" s="1" t="s">
        <v>9906</v>
      </c>
      <c r="B2120" s="1" t="s">
        <v>9907</v>
      </c>
      <c r="C2120" s="1">
        <v>7400000</v>
      </c>
      <c r="D2120" s="1" t="s">
        <v>321</v>
      </c>
      <c r="E2120">
        <v>55.155799999999999</v>
      </c>
      <c r="F2120" s="1" t="s">
        <v>12</v>
      </c>
      <c r="G2120">
        <v>25</v>
      </c>
      <c r="H2120">
        <v>8</v>
      </c>
      <c r="I2120" s="1" t="s">
        <v>74</v>
      </c>
      <c r="J2120">
        <v>1</v>
      </c>
      <c r="K2120" t="str">
        <f>IF(Tb_data[[#This Row],[previous_workers]]&lt;Tb_data[[#This Row],[workers]],"yes","no")</f>
        <v>yes</v>
      </c>
      <c r="L2120">
        <f>Tb_data[[#This Row],[workers]]-Tb_data[[#This Row],[previous_workers]]</f>
        <v>17</v>
      </c>
      <c r="M2120" s="12">
        <f>Tb_data[[#This Row],[Employees Growth]]/Tb_data[[#This Row],[previous_workers]]</f>
        <v>2.125</v>
      </c>
    </row>
    <row r="2121" spans="1:13" x14ac:dyDescent="0.25">
      <c r="A2121" s="1" t="s">
        <v>7717</v>
      </c>
      <c r="B2121" s="1" t="s">
        <v>7718</v>
      </c>
      <c r="C2121" s="1">
        <v>9000000</v>
      </c>
      <c r="D2121" s="1" t="s">
        <v>85</v>
      </c>
      <c r="E2121">
        <v>87.819900000000004</v>
      </c>
      <c r="F2121" s="1" t="s">
        <v>86</v>
      </c>
      <c r="G2121">
        <v>37</v>
      </c>
      <c r="H2121">
        <v>15</v>
      </c>
      <c r="I2121" s="1" t="s">
        <v>35</v>
      </c>
      <c r="J2121">
        <v>4</v>
      </c>
      <c r="K2121" t="str">
        <f>IF(Tb_data[[#This Row],[previous_workers]]&lt;Tb_data[[#This Row],[workers]],"yes","no")</f>
        <v>yes</v>
      </c>
      <c r="L2121">
        <f>Tb_data[[#This Row],[workers]]-Tb_data[[#This Row],[previous_workers]]</f>
        <v>22</v>
      </c>
      <c r="M2121" s="12">
        <f>Tb_data[[#This Row],[Employees Growth]]/Tb_data[[#This Row],[previous_workers]]</f>
        <v>1.4666666666666666</v>
      </c>
    </row>
    <row r="2122" spans="1:13" x14ac:dyDescent="0.25">
      <c r="A2122" s="1" t="s">
        <v>4240</v>
      </c>
      <c r="B2122" s="1" t="s">
        <v>4241</v>
      </c>
      <c r="C2122" s="1">
        <v>14800000</v>
      </c>
      <c r="D2122" s="1" t="s">
        <v>49</v>
      </c>
      <c r="E2122">
        <v>194.2851</v>
      </c>
      <c r="F2122" s="1" t="s">
        <v>86</v>
      </c>
      <c r="G2122">
        <v>165</v>
      </c>
      <c r="H2122">
        <v>87</v>
      </c>
      <c r="I2122" s="1" t="s">
        <v>295</v>
      </c>
      <c r="J2122">
        <v>1</v>
      </c>
      <c r="K2122" t="str">
        <f>IF(Tb_data[[#This Row],[previous_workers]]&lt;Tb_data[[#This Row],[workers]],"yes","no")</f>
        <v>yes</v>
      </c>
      <c r="L2122">
        <f>Tb_data[[#This Row],[workers]]-Tb_data[[#This Row],[previous_workers]]</f>
        <v>78</v>
      </c>
      <c r="M2122" s="12">
        <f>Tb_data[[#This Row],[Employees Growth]]/Tb_data[[#This Row],[previous_workers]]</f>
        <v>0.89655172413793105</v>
      </c>
    </row>
    <row r="2123" spans="1:13" x14ac:dyDescent="0.25">
      <c r="A2123" s="1" t="s">
        <v>8945</v>
      </c>
      <c r="B2123" s="1" t="s">
        <v>8946</v>
      </c>
      <c r="C2123" s="1">
        <v>3000000</v>
      </c>
      <c r="D2123" s="1" t="s">
        <v>49</v>
      </c>
      <c r="E2123">
        <v>67.353499999999997</v>
      </c>
      <c r="F2123" s="1" t="s">
        <v>12</v>
      </c>
      <c r="G2123">
        <v>4</v>
      </c>
      <c r="H2123">
        <v>2</v>
      </c>
      <c r="I2123" s="1" t="s">
        <v>948</v>
      </c>
      <c r="J2123">
        <v>2</v>
      </c>
      <c r="K2123" t="str">
        <f>IF(Tb_data[[#This Row],[previous_workers]]&lt;Tb_data[[#This Row],[workers]],"yes","no")</f>
        <v>yes</v>
      </c>
      <c r="L2123">
        <f>Tb_data[[#This Row],[workers]]-Tb_data[[#This Row],[previous_workers]]</f>
        <v>2</v>
      </c>
      <c r="M2123" s="12">
        <f>Tb_data[[#This Row],[Employees Growth]]/Tb_data[[#This Row],[previous_workers]]</f>
        <v>1</v>
      </c>
    </row>
    <row r="2124" spans="1:13" x14ac:dyDescent="0.25">
      <c r="A2124" s="1" t="s">
        <v>6649</v>
      </c>
      <c r="B2124" s="1" t="s">
        <v>6650</v>
      </c>
      <c r="C2124" s="1">
        <v>15600000</v>
      </c>
      <c r="D2124" s="1" t="s">
        <v>483</v>
      </c>
      <c r="E2124">
        <v>110.2749</v>
      </c>
      <c r="F2124" s="1" t="s">
        <v>156</v>
      </c>
      <c r="G2124">
        <v>158</v>
      </c>
      <c r="H2124">
        <v>28</v>
      </c>
      <c r="I2124" s="1" t="s">
        <v>46</v>
      </c>
      <c r="J2124">
        <v>1</v>
      </c>
      <c r="K2124" t="str">
        <f>IF(Tb_data[[#This Row],[previous_workers]]&lt;Tb_data[[#This Row],[workers]],"yes","no")</f>
        <v>yes</v>
      </c>
      <c r="L2124">
        <f>Tb_data[[#This Row],[workers]]-Tb_data[[#This Row],[previous_workers]]</f>
        <v>130</v>
      </c>
      <c r="M2124" s="12">
        <f>Tb_data[[#This Row],[Employees Growth]]/Tb_data[[#This Row],[previous_workers]]</f>
        <v>4.6428571428571432</v>
      </c>
    </row>
    <row r="2125" spans="1:13" x14ac:dyDescent="0.25">
      <c r="A2125" s="1" t="s">
        <v>6703</v>
      </c>
      <c r="B2125" s="1" t="s">
        <v>6704</v>
      </c>
      <c r="C2125" s="1">
        <v>7100000</v>
      </c>
      <c r="D2125" s="1" t="s">
        <v>41</v>
      </c>
      <c r="E2125">
        <v>109.2418</v>
      </c>
      <c r="F2125" s="1" t="s">
        <v>135</v>
      </c>
      <c r="G2125">
        <v>34</v>
      </c>
      <c r="H2125">
        <v>18</v>
      </c>
      <c r="I2125" s="1" t="s">
        <v>194</v>
      </c>
      <c r="J2125">
        <v>1</v>
      </c>
      <c r="K2125" t="str">
        <f>IF(Tb_data[[#This Row],[previous_workers]]&lt;Tb_data[[#This Row],[workers]],"yes","no")</f>
        <v>yes</v>
      </c>
      <c r="L2125">
        <f>Tb_data[[#This Row],[workers]]-Tb_data[[#This Row],[previous_workers]]</f>
        <v>16</v>
      </c>
      <c r="M2125" s="12">
        <f>Tb_data[[#This Row],[Employees Growth]]/Tb_data[[#This Row],[previous_workers]]</f>
        <v>0.88888888888888884</v>
      </c>
    </row>
    <row r="2126" spans="1:13" x14ac:dyDescent="0.25">
      <c r="A2126" s="1" t="s">
        <v>5356</v>
      </c>
      <c r="B2126" s="1" t="s">
        <v>5357</v>
      </c>
      <c r="C2126" s="1">
        <v>68400000</v>
      </c>
      <c r="D2126" s="1" t="s">
        <v>49</v>
      </c>
      <c r="E2126">
        <v>147.91200000000001</v>
      </c>
      <c r="F2126" s="1" t="s">
        <v>156</v>
      </c>
      <c r="G2126">
        <v>1500</v>
      </c>
      <c r="H2126">
        <v>1500</v>
      </c>
      <c r="I2126" s="1" t="s">
        <v>164</v>
      </c>
      <c r="J2126">
        <v>4</v>
      </c>
      <c r="K2126" t="str">
        <f>IF(Tb_data[[#This Row],[previous_workers]]&lt;Tb_data[[#This Row],[workers]],"yes","no")</f>
        <v>no</v>
      </c>
      <c r="L2126">
        <f>Tb_data[[#This Row],[workers]]-Tb_data[[#This Row],[previous_workers]]</f>
        <v>0</v>
      </c>
      <c r="M2126" s="12">
        <f>Tb_data[[#This Row],[Employees Growth]]/Tb_data[[#This Row],[previous_workers]]</f>
        <v>0</v>
      </c>
    </row>
    <row r="2127" spans="1:13" x14ac:dyDescent="0.25">
      <c r="A2127" s="1" t="s">
        <v>2266</v>
      </c>
      <c r="B2127" s="1" t="s">
        <v>2267</v>
      </c>
      <c r="C2127" s="1">
        <v>50700000</v>
      </c>
      <c r="D2127" s="1" t="s">
        <v>29</v>
      </c>
      <c r="E2127">
        <v>389.38529999999997</v>
      </c>
      <c r="F2127" s="1" t="s">
        <v>12</v>
      </c>
      <c r="G2127">
        <v>120</v>
      </c>
      <c r="H2127">
        <v>35</v>
      </c>
      <c r="I2127" s="1" t="s">
        <v>35</v>
      </c>
      <c r="J2127">
        <v>6</v>
      </c>
      <c r="K2127" t="str">
        <f>IF(Tb_data[[#This Row],[previous_workers]]&lt;Tb_data[[#This Row],[workers]],"yes","no")</f>
        <v>yes</v>
      </c>
      <c r="L2127">
        <f>Tb_data[[#This Row],[workers]]-Tb_data[[#This Row],[previous_workers]]</f>
        <v>85</v>
      </c>
      <c r="M2127" s="12">
        <f>Tb_data[[#This Row],[Employees Growth]]/Tb_data[[#This Row],[previous_workers]]</f>
        <v>2.4285714285714284</v>
      </c>
    </row>
    <row r="2128" spans="1:13" x14ac:dyDescent="0.25">
      <c r="A2128" s="1" t="s">
        <v>1459</v>
      </c>
      <c r="B2128" s="1" t="s">
        <v>1460</v>
      </c>
      <c r="C2128" s="1">
        <v>2500000</v>
      </c>
      <c r="D2128" s="1" t="s">
        <v>91</v>
      </c>
      <c r="E2128">
        <v>643.5607</v>
      </c>
      <c r="F2128" s="1" t="s">
        <v>176</v>
      </c>
      <c r="G2128">
        <v>1024</v>
      </c>
      <c r="H2128">
        <v>36</v>
      </c>
      <c r="I2128" s="1" t="s">
        <v>26</v>
      </c>
      <c r="J2128">
        <v>1</v>
      </c>
      <c r="K2128" t="str">
        <f>IF(Tb_data[[#This Row],[previous_workers]]&lt;Tb_data[[#This Row],[workers]],"yes","no")</f>
        <v>yes</v>
      </c>
      <c r="L2128">
        <f>Tb_data[[#This Row],[workers]]-Tb_data[[#This Row],[previous_workers]]</f>
        <v>988</v>
      </c>
      <c r="M2128" s="12">
        <f>Tb_data[[#This Row],[Employees Growth]]/Tb_data[[#This Row],[previous_workers]]</f>
        <v>27.444444444444443</v>
      </c>
    </row>
    <row r="2129" spans="1:13" x14ac:dyDescent="0.25">
      <c r="A2129" s="1" t="s">
        <v>4297</v>
      </c>
      <c r="B2129" s="1" t="s">
        <v>4298</v>
      </c>
      <c r="C2129" s="1">
        <v>113000000</v>
      </c>
      <c r="D2129" s="1" t="s">
        <v>254</v>
      </c>
      <c r="E2129">
        <v>191.15690000000001</v>
      </c>
      <c r="F2129" s="1" t="s">
        <v>112</v>
      </c>
      <c r="G2129">
        <v>240</v>
      </c>
      <c r="H2129">
        <v>138</v>
      </c>
      <c r="I2129" s="1" t="s">
        <v>980</v>
      </c>
      <c r="J2129">
        <v>2</v>
      </c>
      <c r="K2129" t="str">
        <f>IF(Tb_data[[#This Row],[previous_workers]]&lt;Tb_data[[#This Row],[workers]],"yes","no")</f>
        <v>yes</v>
      </c>
      <c r="L2129">
        <f>Tb_data[[#This Row],[workers]]-Tb_data[[#This Row],[previous_workers]]</f>
        <v>102</v>
      </c>
      <c r="M2129" s="12">
        <f>Tb_data[[#This Row],[Employees Growth]]/Tb_data[[#This Row],[previous_workers]]</f>
        <v>0.73913043478260865</v>
      </c>
    </row>
    <row r="2130" spans="1:13" x14ac:dyDescent="0.25">
      <c r="A2130" s="1" t="s">
        <v>7311</v>
      </c>
      <c r="B2130" s="1" t="s">
        <v>7312</v>
      </c>
      <c r="C2130" s="1">
        <v>33200000</v>
      </c>
      <c r="D2130" s="1" t="s">
        <v>61</v>
      </c>
      <c r="E2130">
        <v>96.805700000000002</v>
      </c>
      <c r="F2130" s="1" t="s">
        <v>142</v>
      </c>
      <c r="G2130">
        <v>76</v>
      </c>
      <c r="H2130">
        <v>39</v>
      </c>
      <c r="I2130" s="1" t="s">
        <v>194</v>
      </c>
      <c r="J2130">
        <v>3</v>
      </c>
      <c r="K2130" t="str">
        <f>IF(Tb_data[[#This Row],[previous_workers]]&lt;Tb_data[[#This Row],[workers]],"yes","no")</f>
        <v>yes</v>
      </c>
      <c r="L2130">
        <f>Tb_data[[#This Row],[workers]]-Tb_data[[#This Row],[previous_workers]]</f>
        <v>37</v>
      </c>
      <c r="M2130" s="12">
        <f>Tb_data[[#This Row],[Employees Growth]]/Tb_data[[#This Row],[previous_workers]]</f>
        <v>0.94871794871794868</v>
      </c>
    </row>
    <row r="2131" spans="1:13" x14ac:dyDescent="0.25">
      <c r="A2131" s="1" t="s">
        <v>5022</v>
      </c>
      <c r="B2131" s="1" t="s">
        <v>5023</v>
      </c>
      <c r="C2131" s="1">
        <v>5100000</v>
      </c>
      <c r="D2131" s="1" t="s">
        <v>1853</v>
      </c>
      <c r="E2131">
        <v>160.82470000000001</v>
      </c>
      <c r="F2131" s="1" t="s">
        <v>62</v>
      </c>
      <c r="G2131">
        <v>28</v>
      </c>
      <c r="H2131">
        <v>17</v>
      </c>
      <c r="I2131" s="1" t="s">
        <v>2628</v>
      </c>
      <c r="J2131">
        <v>1</v>
      </c>
      <c r="K2131" t="str">
        <f>IF(Tb_data[[#This Row],[previous_workers]]&lt;Tb_data[[#This Row],[workers]],"yes","no")</f>
        <v>yes</v>
      </c>
      <c r="L2131">
        <f>Tb_data[[#This Row],[workers]]-Tb_data[[#This Row],[previous_workers]]</f>
        <v>11</v>
      </c>
      <c r="M2131" s="12">
        <f>Tb_data[[#This Row],[Employees Growth]]/Tb_data[[#This Row],[previous_workers]]</f>
        <v>0.6470588235294118</v>
      </c>
    </row>
    <row r="2132" spans="1:13" x14ac:dyDescent="0.25">
      <c r="A2132" s="1" t="s">
        <v>1698</v>
      </c>
      <c r="B2132" s="1" t="s">
        <v>1699</v>
      </c>
      <c r="C2132" s="1">
        <v>11300000</v>
      </c>
      <c r="D2132" s="1" t="s">
        <v>41</v>
      </c>
      <c r="E2132">
        <v>538.82320000000004</v>
      </c>
      <c r="F2132" s="1" t="s">
        <v>97</v>
      </c>
      <c r="G2132">
        <v>150</v>
      </c>
      <c r="H2132">
        <v>8</v>
      </c>
      <c r="I2132" s="1" t="s">
        <v>55</v>
      </c>
      <c r="J2132">
        <v>2</v>
      </c>
      <c r="K2132" t="str">
        <f>IF(Tb_data[[#This Row],[previous_workers]]&lt;Tb_data[[#This Row],[workers]],"yes","no")</f>
        <v>yes</v>
      </c>
      <c r="L2132">
        <f>Tb_data[[#This Row],[workers]]-Tb_data[[#This Row],[previous_workers]]</f>
        <v>142</v>
      </c>
      <c r="M2132" s="12">
        <f>Tb_data[[#This Row],[Employees Growth]]/Tb_data[[#This Row],[previous_workers]]</f>
        <v>17.75</v>
      </c>
    </row>
    <row r="2133" spans="1:13" x14ac:dyDescent="0.25">
      <c r="A2133" s="1" t="s">
        <v>2418</v>
      </c>
      <c r="B2133" s="1" t="s">
        <v>2419</v>
      </c>
      <c r="C2133" s="1">
        <v>9800000</v>
      </c>
      <c r="D2133" s="1" t="s">
        <v>129</v>
      </c>
      <c r="E2133">
        <v>360.00220000000002</v>
      </c>
      <c r="F2133" s="1" t="s">
        <v>97</v>
      </c>
      <c r="G2133">
        <v>52</v>
      </c>
      <c r="H2133">
        <v>10</v>
      </c>
      <c r="I2133" s="1" t="s">
        <v>130</v>
      </c>
      <c r="J2133">
        <v>2</v>
      </c>
      <c r="K2133" t="str">
        <f>IF(Tb_data[[#This Row],[previous_workers]]&lt;Tb_data[[#This Row],[workers]],"yes","no")</f>
        <v>yes</v>
      </c>
      <c r="L2133">
        <f>Tb_data[[#This Row],[workers]]-Tb_data[[#This Row],[previous_workers]]</f>
        <v>42</v>
      </c>
      <c r="M2133" s="12">
        <f>Tb_data[[#This Row],[Employees Growth]]/Tb_data[[#This Row],[previous_workers]]</f>
        <v>4.2</v>
      </c>
    </row>
    <row r="2134" spans="1:13" x14ac:dyDescent="0.25">
      <c r="A2134" s="1" t="s">
        <v>2891</v>
      </c>
      <c r="B2134" s="1" t="s">
        <v>2892</v>
      </c>
      <c r="C2134" s="1">
        <v>127400000</v>
      </c>
      <c r="D2134" s="1" t="s">
        <v>61</v>
      </c>
      <c r="E2134">
        <v>299.16359999999997</v>
      </c>
      <c r="F2134" s="1" t="s">
        <v>12</v>
      </c>
      <c r="G2134">
        <v>433</v>
      </c>
      <c r="H2134">
        <v>172</v>
      </c>
      <c r="I2134" s="1" t="s">
        <v>164</v>
      </c>
      <c r="J2134">
        <v>1</v>
      </c>
      <c r="K2134" t="str">
        <f>IF(Tb_data[[#This Row],[previous_workers]]&lt;Tb_data[[#This Row],[workers]],"yes","no")</f>
        <v>yes</v>
      </c>
      <c r="L2134">
        <f>Tb_data[[#This Row],[workers]]-Tb_data[[#This Row],[previous_workers]]</f>
        <v>261</v>
      </c>
      <c r="M2134" s="12">
        <f>Tb_data[[#This Row],[Employees Growth]]/Tb_data[[#This Row],[previous_workers]]</f>
        <v>1.5174418604651163</v>
      </c>
    </row>
    <row r="2135" spans="1:13" x14ac:dyDescent="0.25">
      <c r="A2135" s="1" t="s">
        <v>8259</v>
      </c>
      <c r="B2135" s="1" t="s">
        <v>8260</v>
      </c>
      <c r="C2135" s="1">
        <v>42300000</v>
      </c>
      <c r="D2135" s="1" t="s">
        <v>49</v>
      </c>
      <c r="E2135">
        <v>78.307699999999997</v>
      </c>
      <c r="F2135" s="1" t="s">
        <v>30</v>
      </c>
      <c r="G2135">
        <v>18</v>
      </c>
      <c r="H2135">
        <v>10</v>
      </c>
      <c r="I2135" s="1" t="s">
        <v>1051</v>
      </c>
      <c r="J2135">
        <v>2</v>
      </c>
      <c r="K2135" t="str">
        <f>IF(Tb_data[[#This Row],[previous_workers]]&lt;Tb_data[[#This Row],[workers]],"yes","no")</f>
        <v>yes</v>
      </c>
      <c r="L2135">
        <f>Tb_data[[#This Row],[workers]]-Tb_data[[#This Row],[previous_workers]]</f>
        <v>8</v>
      </c>
      <c r="M2135" s="12">
        <f>Tb_data[[#This Row],[Employees Growth]]/Tb_data[[#This Row],[previous_workers]]</f>
        <v>0.8</v>
      </c>
    </row>
    <row r="2136" spans="1:13" x14ac:dyDescent="0.25">
      <c r="A2136" s="1" t="s">
        <v>2875</v>
      </c>
      <c r="B2136" s="1" t="s">
        <v>2876</v>
      </c>
      <c r="C2136" s="1">
        <v>5700000</v>
      </c>
      <c r="D2136" s="1" t="s">
        <v>41</v>
      </c>
      <c r="E2136">
        <v>300.50839999999999</v>
      </c>
      <c r="F2136" s="1" t="s">
        <v>97</v>
      </c>
      <c r="G2136">
        <v>41</v>
      </c>
      <c r="H2136">
        <v>8</v>
      </c>
      <c r="I2136" s="1" t="s">
        <v>117</v>
      </c>
      <c r="J2136">
        <v>2</v>
      </c>
      <c r="K2136" t="str">
        <f>IF(Tb_data[[#This Row],[previous_workers]]&lt;Tb_data[[#This Row],[workers]],"yes","no")</f>
        <v>yes</v>
      </c>
      <c r="L2136">
        <f>Tb_data[[#This Row],[workers]]-Tb_data[[#This Row],[previous_workers]]</f>
        <v>33</v>
      </c>
      <c r="M2136" s="12">
        <f>Tb_data[[#This Row],[Employees Growth]]/Tb_data[[#This Row],[previous_workers]]</f>
        <v>4.125</v>
      </c>
    </row>
    <row r="2137" spans="1:13" x14ac:dyDescent="0.25">
      <c r="A2137" s="1" t="s">
        <v>2496</v>
      </c>
      <c r="B2137" s="1" t="s">
        <v>2497</v>
      </c>
      <c r="C2137" s="1">
        <v>22300000</v>
      </c>
      <c r="D2137" s="1" t="s">
        <v>483</v>
      </c>
      <c r="E2137">
        <v>348.45659999999998</v>
      </c>
      <c r="F2137" s="1" t="s">
        <v>116</v>
      </c>
      <c r="G2137">
        <v>119</v>
      </c>
      <c r="H2137">
        <v>45</v>
      </c>
      <c r="I2137" s="1" t="s">
        <v>130</v>
      </c>
      <c r="J2137">
        <v>2</v>
      </c>
      <c r="K2137" t="str">
        <f>IF(Tb_data[[#This Row],[previous_workers]]&lt;Tb_data[[#This Row],[workers]],"yes","no")</f>
        <v>yes</v>
      </c>
      <c r="L2137">
        <f>Tb_data[[#This Row],[workers]]-Tb_data[[#This Row],[previous_workers]]</f>
        <v>74</v>
      </c>
      <c r="M2137" s="12">
        <f>Tb_data[[#This Row],[Employees Growth]]/Tb_data[[#This Row],[previous_workers]]</f>
        <v>1.6444444444444444</v>
      </c>
    </row>
    <row r="2138" spans="1:13" x14ac:dyDescent="0.25">
      <c r="A2138" s="1" t="s">
        <v>3362</v>
      </c>
      <c r="B2138" s="1" t="s">
        <v>3363</v>
      </c>
      <c r="C2138" s="1">
        <v>10000000</v>
      </c>
      <c r="D2138" s="1" t="s">
        <v>41</v>
      </c>
      <c r="E2138">
        <v>254.81319999999999</v>
      </c>
      <c r="F2138" s="1" t="s">
        <v>97</v>
      </c>
      <c r="G2138">
        <v>140</v>
      </c>
      <c r="H2138">
        <v>60</v>
      </c>
      <c r="I2138" s="1" t="s">
        <v>46</v>
      </c>
      <c r="J2138">
        <v>2</v>
      </c>
      <c r="K2138" t="str">
        <f>IF(Tb_data[[#This Row],[previous_workers]]&lt;Tb_data[[#This Row],[workers]],"yes","no")</f>
        <v>yes</v>
      </c>
      <c r="L2138">
        <f>Tb_data[[#This Row],[workers]]-Tb_data[[#This Row],[previous_workers]]</f>
        <v>80</v>
      </c>
      <c r="M2138" s="12">
        <f>Tb_data[[#This Row],[Employees Growth]]/Tb_data[[#This Row],[previous_workers]]</f>
        <v>1.3333333333333333</v>
      </c>
    </row>
    <row r="2139" spans="1:13" x14ac:dyDescent="0.25">
      <c r="A2139" s="1" t="s">
        <v>3083</v>
      </c>
      <c r="B2139" s="1" t="s">
        <v>3084</v>
      </c>
      <c r="C2139" s="1">
        <v>6200000</v>
      </c>
      <c r="D2139" s="1" t="s">
        <v>380</v>
      </c>
      <c r="E2139">
        <v>278.73410000000001</v>
      </c>
      <c r="F2139" s="1" t="s">
        <v>156</v>
      </c>
      <c r="G2139">
        <v>31</v>
      </c>
      <c r="H2139">
        <v>10</v>
      </c>
      <c r="I2139" s="1" t="s">
        <v>164</v>
      </c>
      <c r="J2139">
        <v>1</v>
      </c>
      <c r="K2139" t="str">
        <f>IF(Tb_data[[#This Row],[previous_workers]]&lt;Tb_data[[#This Row],[workers]],"yes","no")</f>
        <v>yes</v>
      </c>
      <c r="L2139">
        <f>Tb_data[[#This Row],[workers]]-Tb_data[[#This Row],[previous_workers]]</f>
        <v>21</v>
      </c>
      <c r="M2139" s="12">
        <f>Tb_data[[#This Row],[Employees Growth]]/Tb_data[[#This Row],[previous_workers]]</f>
        <v>2.1</v>
      </c>
    </row>
    <row r="2140" spans="1:13" x14ac:dyDescent="0.25">
      <c r="A2140" s="1" t="s">
        <v>2981</v>
      </c>
      <c r="B2140" s="1" t="s">
        <v>2982</v>
      </c>
      <c r="C2140" s="1">
        <v>10500000</v>
      </c>
      <c r="D2140" s="1" t="s">
        <v>33</v>
      </c>
      <c r="E2140">
        <v>288.84840000000003</v>
      </c>
      <c r="F2140" s="1" t="s">
        <v>124</v>
      </c>
      <c r="G2140">
        <v>96</v>
      </c>
      <c r="H2140">
        <v>26</v>
      </c>
      <c r="I2140" s="1" t="s">
        <v>26</v>
      </c>
      <c r="J2140">
        <v>1</v>
      </c>
      <c r="K2140" t="str">
        <f>IF(Tb_data[[#This Row],[previous_workers]]&lt;Tb_data[[#This Row],[workers]],"yes","no")</f>
        <v>yes</v>
      </c>
      <c r="L2140">
        <f>Tb_data[[#This Row],[workers]]-Tb_data[[#This Row],[previous_workers]]</f>
        <v>70</v>
      </c>
      <c r="M2140" s="12">
        <f>Tb_data[[#This Row],[Employees Growth]]/Tb_data[[#This Row],[previous_workers]]</f>
        <v>2.6923076923076925</v>
      </c>
    </row>
    <row r="2141" spans="1:13" x14ac:dyDescent="0.25">
      <c r="A2141" s="1" t="s">
        <v>7919</v>
      </c>
      <c r="B2141" s="1" t="s">
        <v>7920</v>
      </c>
      <c r="C2141" s="1">
        <v>9300000</v>
      </c>
      <c r="D2141" s="1" t="s">
        <v>41</v>
      </c>
      <c r="E2141">
        <v>84.389200000000002</v>
      </c>
      <c r="F2141" s="1" t="s">
        <v>156</v>
      </c>
      <c r="G2141">
        <v>64</v>
      </c>
      <c r="H2141">
        <v>60</v>
      </c>
      <c r="I2141" s="1" t="s">
        <v>55</v>
      </c>
      <c r="J2141">
        <v>2</v>
      </c>
      <c r="K2141" t="str">
        <f>IF(Tb_data[[#This Row],[previous_workers]]&lt;Tb_data[[#This Row],[workers]],"yes","no")</f>
        <v>yes</v>
      </c>
      <c r="L2141">
        <f>Tb_data[[#This Row],[workers]]-Tb_data[[#This Row],[previous_workers]]</f>
        <v>4</v>
      </c>
      <c r="M2141" s="12">
        <f>Tb_data[[#This Row],[Employees Growth]]/Tb_data[[#This Row],[previous_workers]]</f>
        <v>6.6666666666666666E-2</v>
      </c>
    </row>
    <row r="2142" spans="1:13" x14ac:dyDescent="0.25">
      <c r="A2142" s="1" t="s">
        <v>9337</v>
      </c>
      <c r="B2142" s="1" t="s">
        <v>9338</v>
      </c>
      <c r="C2142" s="1">
        <v>10800000</v>
      </c>
      <c r="D2142" s="1" t="s">
        <v>33</v>
      </c>
      <c r="E2142">
        <v>62.369500000000002</v>
      </c>
      <c r="F2142" s="1" t="s">
        <v>124</v>
      </c>
      <c r="G2142">
        <v>81</v>
      </c>
      <c r="H2142">
        <v>27</v>
      </c>
      <c r="I2142" s="1" t="s">
        <v>46</v>
      </c>
      <c r="J2142">
        <v>2</v>
      </c>
      <c r="K2142" t="str">
        <f>IF(Tb_data[[#This Row],[previous_workers]]&lt;Tb_data[[#This Row],[workers]],"yes","no")</f>
        <v>yes</v>
      </c>
      <c r="L2142">
        <f>Tb_data[[#This Row],[workers]]-Tb_data[[#This Row],[previous_workers]]</f>
        <v>54</v>
      </c>
      <c r="M2142" s="12">
        <f>Tb_data[[#This Row],[Employees Growth]]/Tb_data[[#This Row],[previous_workers]]</f>
        <v>2</v>
      </c>
    </row>
    <row r="2143" spans="1:13" x14ac:dyDescent="0.25">
      <c r="A2143" s="1" t="s">
        <v>6882</v>
      </c>
      <c r="B2143" s="1" t="s">
        <v>6883</v>
      </c>
      <c r="C2143" s="1">
        <v>458000000</v>
      </c>
      <c r="D2143" s="1" t="s">
        <v>129</v>
      </c>
      <c r="E2143">
        <v>104.7641</v>
      </c>
      <c r="F2143" s="1" t="s">
        <v>161</v>
      </c>
      <c r="G2143">
        <v>58145</v>
      </c>
      <c r="H2143">
        <v>21000</v>
      </c>
      <c r="I2143" s="1" t="s">
        <v>46</v>
      </c>
      <c r="J2143">
        <v>7</v>
      </c>
      <c r="K2143" t="str">
        <f>IF(Tb_data[[#This Row],[previous_workers]]&lt;Tb_data[[#This Row],[workers]],"yes","no")</f>
        <v>yes</v>
      </c>
      <c r="L2143">
        <f>Tb_data[[#This Row],[workers]]-Tb_data[[#This Row],[previous_workers]]</f>
        <v>37145</v>
      </c>
      <c r="M2143" s="12">
        <f>Tb_data[[#This Row],[Employees Growth]]/Tb_data[[#This Row],[previous_workers]]</f>
        <v>1.7688095238095238</v>
      </c>
    </row>
    <row r="2144" spans="1:13" x14ac:dyDescent="0.25">
      <c r="A2144" s="1" t="s">
        <v>523</v>
      </c>
      <c r="B2144" s="1" t="s">
        <v>524</v>
      </c>
      <c r="C2144" s="1">
        <v>3500000</v>
      </c>
      <c r="D2144" s="1" t="s">
        <v>49</v>
      </c>
      <c r="E2144">
        <v>1905.462</v>
      </c>
      <c r="F2144" s="1" t="s">
        <v>161</v>
      </c>
      <c r="G2144">
        <v>8</v>
      </c>
      <c r="H2144">
        <v>3</v>
      </c>
      <c r="I2144" s="1" t="s">
        <v>26</v>
      </c>
      <c r="J2144">
        <v>1</v>
      </c>
      <c r="K2144" t="str">
        <f>IF(Tb_data[[#This Row],[previous_workers]]&lt;Tb_data[[#This Row],[workers]],"yes","no")</f>
        <v>yes</v>
      </c>
      <c r="L2144">
        <f>Tb_data[[#This Row],[workers]]-Tb_data[[#This Row],[previous_workers]]</f>
        <v>5</v>
      </c>
      <c r="M2144" s="12">
        <f>Tb_data[[#This Row],[Employees Growth]]/Tb_data[[#This Row],[previous_workers]]</f>
        <v>1.6666666666666667</v>
      </c>
    </row>
    <row r="2145" spans="1:13" x14ac:dyDescent="0.25">
      <c r="A2145" s="1" t="s">
        <v>763</v>
      </c>
      <c r="B2145" s="1" t="s">
        <v>764</v>
      </c>
      <c r="C2145" s="1">
        <v>3700000</v>
      </c>
      <c r="D2145" s="1" t="s">
        <v>20</v>
      </c>
      <c r="E2145">
        <v>1385.4507000000001</v>
      </c>
      <c r="F2145" s="1" t="s">
        <v>97</v>
      </c>
      <c r="G2145">
        <v>41</v>
      </c>
      <c r="H2145">
        <v>7</v>
      </c>
      <c r="I2145" s="1" t="s">
        <v>26</v>
      </c>
      <c r="J2145">
        <v>1</v>
      </c>
      <c r="K2145" t="str">
        <f>IF(Tb_data[[#This Row],[previous_workers]]&lt;Tb_data[[#This Row],[workers]],"yes","no")</f>
        <v>yes</v>
      </c>
      <c r="L2145">
        <f>Tb_data[[#This Row],[workers]]-Tb_data[[#This Row],[previous_workers]]</f>
        <v>34</v>
      </c>
      <c r="M2145" s="12">
        <f>Tb_data[[#This Row],[Employees Growth]]/Tb_data[[#This Row],[previous_workers]]</f>
        <v>4.8571428571428568</v>
      </c>
    </row>
    <row r="2146" spans="1:13" x14ac:dyDescent="0.25">
      <c r="A2146" s="1" t="s">
        <v>8929</v>
      </c>
      <c r="B2146" s="1" t="s">
        <v>8930</v>
      </c>
      <c r="C2146" s="1">
        <v>7300000</v>
      </c>
      <c r="D2146" s="1" t="s">
        <v>422</v>
      </c>
      <c r="E2146">
        <v>67.518100000000004</v>
      </c>
      <c r="F2146" s="1" t="s">
        <v>12</v>
      </c>
      <c r="G2146">
        <v>82</v>
      </c>
      <c r="H2146">
        <v>68</v>
      </c>
      <c r="I2146" s="1" t="s">
        <v>164</v>
      </c>
      <c r="J2146">
        <v>4</v>
      </c>
      <c r="K2146" t="str">
        <f>IF(Tb_data[[#This Row],[previous_workers]]&lt;Tb_data[[#This Row],[workers]],"yes","no")</f>
        <v>yes</v>
      </c>
      <c r="L2146">
        <f>Tb_data[[#This Row],[workers]]-Tb_data[[#This Row],[previous_workers]]</f>
        <v>14</v>
      </c>
      <c r="M2146" s="12">
        <f>Tb_data[[#This Row],[Employees Growth]]/Tb_data[[#This Row],[previous_workers]]</f>
        <v>0.20588235294117646</v>
      </c>
    </row>
    <row r="2147" spans="1:13" x14ac:dyDescent="0.25">
      <c r="A2147" s="1" t="s">
        <v>5614</v>
      </c>
      <c r="B2147" s="1" t="s">
        <v>5615</v>
      </c>
      <c r="C2147" s="1">
        <v>7500000</v>
      </c>
      <c r="D2147" s="1" t="s">
        <v>49</v>
      </c>
      <c r="E2147">
        <v>137.47929999999999</v>
      </c>
      <c r="F2147" s="1" t="s">
        <v>161</v>
      </c>
      <c r="G2147">
        <v>120</v>
      </c>
      <c r="H2147">
        <v>70</v>
      </c>
      <c r="I2147" s="1" t="s">
        <v>130</v>
      </c>
      <c r="J2147">
        <v>1</v>
      </c>
      <c r="K2147" t="str">
        <f>IF(Tb_data[[#This Row],[previous_workers]]&lt;Tb_data[[#This Row],[workers]],"yes","no")</f>
        <v>yes</v>
      </c>
      <c r="L2147">
        <f>Tb_data[[#This Row],[workers]]-Tb_data[[#This Row],[previous_workers]]</f>
        <v>50</v>
      </c>
      <c r="M2147" s="12">
        <f>Tb_data[[#This Row],[Employees Growth]]/Tb_data[[#This Row],[previous_workers]]</f>
        <v>0.7142857142857143</v>
      </c>
    </row>
    <row r="2148" spans="1:13" x14ac:dyDescent="0.25">
      <c r="A2148" s="1" t="s">
        <v>8117</v>
      </c>
      <c r="B2148" s="1" t="s">
        <v>8118</v>
      </c>
      <c r="C2148" s="1">
        <v>3700000</v>
      </c>
      <c r="D2148" s="1" t="s">
        <v>500</v>
      </c>
      <c r="E2148">
        <v>80.959800000000001</v>
      </c>
      <c r="F2148" s="1" t="s">
        <v>152</v>
      </c>
      <c r="G2148">
        <v>25</v>
      </c>
      <c r="H2148">
        <v>14</v>
      </c>
      <c r="I2148" s="1" t="s">
        <v>74</v>
      </c>
      <c r="J2148">
        <v>3</v>
      </c>
      <c r="K2148" t="str">
        <f>IF(Tb_data[[#This Row],[previous_workers]]&lt;Tb_data[[#This Row],[workers]],"yes","no")</f>
        <v>yes</v>
      </c>
      <c r="L2148">
        <f>Tb_data[[#This Row],[workers]]-Tb_data[[#This Row],[previous_workers]]</f>
        <v>11</v>
      </c>
      <c r="M2148" s="12">
        <f>Tb_data[[#This Row],[Employees Growth]]/Tb_data[[#This Row],[previous_workers]]</f>
        <v>0.7857142857142857</v>
      </c>
    </row>
    <row r="2149" spans="1:13" x14ac:dyDescent="0.25">
      <c r="A2149" s="1" t="s">
        <v>7663</v>
      </c>
      <c r="B2149" s="1" t="s">
        <v>7664</v>
      </c>
      <c r="C2149" s="1">
        <v>12500000</v>
      </c>
      <c r="D2149" s="1" t="s">
        <v>123</v>
      </c>
      <c r="E2149">
        <v>88.651600000000002</v>
      </c>
      <c r="F2149" s="1" t="s">
        <v>156</v>
      </c>
      <c r="G2149">
        <v>160</v>
      </c>
      <c r="H2149">
        <v>70</v>
      </c>
      <c r="I2149" s="1" t="s">
        <v>1622</v>
      </c>
      <c r="J2149">
        <v>8</v>
      </c>
      <c r="K2149" t="str">
        <f>IF(Tb_data[[#This Row],[previous_workers]]&lt;Tb_data[[#This Row],[workers]],"yes","no")</f>
        <v>yes</v>
      </c>
      <c r="L2149">
        <f>Tb_data[[#This Row],[workers]]-Tb_data[[#This Row],[previous_workers]]</f>
        <v>90</v>
      </c>
      <c r="M2149" s="12">
        <f>Tb_data[[#This Row],[Employees Growth]]/Tb_data[[#This Row],[previous_workers]]</f>
        <v>1.2857142857142858</v>
      </c>
    </row>
    <row r="2150" spans="1:13" x14ac:dyDescent="0.25">
      <c r="A2150" s="1" t="s">
        <v>7665</v>
      </c>
      <c r="B2150" s="1" t="s">
        <v>7666</v>
      </c>
      <c r="C2150" s="1">
        <v>3100000</v>
      </c>
      <c r="D2150" s="1" t="s">
        <v>123</v>
      </c>
      <c r="E2150">
        <v>88.645600000000002</v>
      </c>
      <c r="F2150" s="1" t="s">
        <v>86</v>
      </c>
      <c r="G2150">
        <v>24</v>
      </c>
      <c r="H2150">
        <v>12</v>
      </c>
      <c r="I2150" s="1" t="s">
        <v>117</v>
      </c>
      <c r="J2150">
        <v>3</v>
      </c>
      <c r="K2150" t="str">
        <f>IF(Tb_data[[#This Row],[previous_workers]]&lt;Tb_data[[#This Row],[workers]],"yes","no")</f>
        <v>yes</v>
      </c>
      <c r="L2150">
        <f>Tb_data[[#This Row],[workers]]-Tb_data[[#This Row],[previous_workers]]</f>
        <v>12</v>
      </c>
      <c r="M2150" s="12">
        <f>Tb_data[[#This Row],[Employees Growth]]/Tb_data[[#This Row],[previous_workers]]</f>
        <v>1</v>
      </c>
    </row>
    <row r="2151" spans="1:13" x14ac:dyDescent="0.25">
      <c r="A2151" s="1" t="s">
        <v>6940</v>
      </c>
      <c r="B2151" s="1" t="s">
        <v>6941</v>
      </c>
      <c r="C2151" s="1">
        <v>9500000</v>
      </c>
      <c r="D2151" s="1" t="s">
        <v>120</v>
      </c>
      <c r="E2151">
        <v>103.0304</v>
      </c>
      <c r="F2151" s="1" t="s">
        <v>156</v>
      </c>
      <c r="G2151">
        <v>56</v>
      </c>
      <c r="H2151">
        <v>10</v>
      </c>
      <c r="I2151" s="1" t="s">
        <v>948</v>
      </c>
      <c r="J2151">
        <v>5</v>
      </c>
      <c r="K2151" t="str">
        <f>IF(Tb_data[[#This Row],[previous_workers]]&lt;Tb_data[[#This Row],[workers]],"yes","no")</f>
        <v>yes</v>
      </c>
      <c r="L2151">
        <f>Tb_data[[#This Row],[workers]]-Tb_data[[#This Row],[previous_workers]]</f>
        <v>46</v>
      </c>
      <c r="M2151" s="12">
        <f>Tb_data[[#This Row],[Employees Growth]]/Tb_data[[#This Row],[previous_workers]]</f>
        <v>4.5999999999999996</v>
      </c>
    </row>
    <row r="2152" spans="1:13" x14ac:dyDescent="0.25">
      <c r="A2152" s="1" t="s">
        <v>3839</v>
      </c>
      <c r="B2152" s="1" t="s">
        <v>3840</v>
      </c>
      <c r="C2152" s="1">
        <v>8700000</v>
      </c>
      <c r="D2152" s="1" t="s">
        <v>45</v>
      </c>
      <c r="E2152">
        <v>218.10050000000001</v>
      </c>
      <c r="F2152" s="1" t="s">
        <v>12</v>
      </c>
      <c r="G2152">
        <v>39</v>
      </c>
      <c r="H2152">
        <v>17</v>
      </c>
      <c r="I2152" s="1" t="s">
        <v>74</v>
      </c>
      <c r="J2152">
        <v>5</v>
      </c>
      <c r="K2152" t="str">
        <f>IF(Tb_data[[#This Row],[previous_workers]]&lt;Tb_data[[#This Row],[workers]],"yes","no")</f>
        <v>yes</v>
      </c>
      <c r="L2152">
        <f>Tb_data[[#This Row],[workers]]-Tb_data[[#This Row],[previous_workers]]</f>
        <v>22</v>
      </c>
      <c r="M2152" s="12">
        <f>Tb_data[[#This Row],[Employees Growth]]/Tb_data[[#This Row],[previous_workers]]</f>
        <v>1.2941176470588236</v>
      </c>
    </row>
    <row r="2153" spans="1:13" x14ac:dyDescent="0.25">
      <c r="A2153" s="1" t="s">
        <v>4135</v>
      </c>
      <c r="B2153" s="1" t="s">
        <v>4136</v>
      </c>
      <c r="C2153" s="1">
        <v>19100000</v>
      </c>
      <c r="D2153" s="1" t="s">
        <v>45</v>
      </c>
      <c r="E2153">
        <v>198.45330000000001</v>
      </c>
      <c r="F2153" s="1" t="s">
        <v>156</v>
      </c>
      <c r="G2153">
        <v>88</v>
      </c>
      <c r="H2153">
        <v>33</v>
      </c>
      <c r="I2153" s="1" t="s">
        <v>164</v>
      </c>
      <c r="J2153">
        <v>2</v>
      </c>
      <c r="K2153" t="str">
        <f>IF(Tb_data[[#This Row],[previous_workers]]&lt;Tb_data[[#This Row],[workers]],"yes","no")</f>
        <v>yes</v>
      </c>
      <c r="L2153">
        <f>Tb_data[[#This Row],[workers]]-Tb_data[[#This Row],[previous_workers]]</f>
        <v>55</v>
      </c>
      <c r="M2153" s="12">
        <f>Tb_data[[#This Row],[Employees Growth]]/Tb_data[[#This Row],[previous_workers]]</f>
        <v>1.6666666666666667</v>
      </c>
    </row>
    <row r="2154" spans="1:13" x14ac:dyDescent="0.25">
      <c r="A2154" s="1" t="s">
        <v>9427</v>
      </c>
      <c r="B2154" s="1" t="s">
        <v>9428</v>
      </c>
      <c r="C2154" s="1">
        <v>22900000</v>
      </c>
      <c r="D2154" s="1" t="s">
        <v>16</v>
      </c>
      <c r="E2154">
        <v>61.099800000000002</v>
      </c>
      <c r="F2154" s="1" t="s">
        <v>135</v>
      </c>
      <c r="G2154">
        <v>109</v>
      </c>
      <c r="H2154">
        <v>88</v>
      </c>
      <c r="I2154" s="1" t="s">
        <v>2628</v>
      </c>
      <c r="J2154">
        <v>4</v>
      </c>
      <c r="K2154" t="str">
        <f>IF(Tb_data[[#This Row],[previous_workers]]&lt;Tb_data[[#This Row],[workers]],"yes","no")</f>
        <v>yes</v>
      </c>
      <c r="L2154">
        <f>Tb_data[[#This Row],[workers]]-Tb_data[[#This Row],[previous_workers]]</f>
        <v>21</v>
      </c>
      <c r="M2154" s="12">
        <f>Tb_data[[#This Row],[Employees Growth]]/Tb_data[[#This Row],[previous_workers]]</f>
        <v>0.23863636363636365</v>
      </c>
    </row>
    <row r="2155" spans="1:13" x14ac:dyDescent="0.25">
      <c r="A2155" s="1" t="s">
        <v>6073</v>
      </c>
      <c r="B2155" s="1" t="s">
        <v>6074</v>
      </c>
      <c r="C2155" s="1">
        <v>12200000</v>
      </c>
      <c r="D2155" s="1" t="s">
        <v>427</v>
      </c>
      <c r="E2155">
        <v>124.7431</v>
      </c>
      <c r="F2155" s="1" t="s">
        <v>86</v>
      </c>
      <c r="G2155">
        <v>117</v>
      </c>
      <c r="H2155">
        <v>73</v>
      </c>
      <c r="I2155" s="1" t="s">
        <v>948</v>
      </c>
      <c r="J2155">
        <v>3</v>
      </c>
      <c r="K2155" t="str">
        <f>IF(Tb_data[[#This Row],[previous_workers]]&lt;Tb_data[[#This Row],[workers]],"yes","no")</f>
        <v>yes</v>
      </c>
      <c r="L2155">
        <f>Tb_data[[#This Row],[workers]]-Tb_data[[#This Row],[previous_workers]]</f>
        <v>44</v>
      </c>
      <c r="M2155" s="12">
        <f>Tb_data[[#This Row],[Employees Growth]]/Tb_data[[#This Row],[previous_workers]]</f>
        <v>0.60273972602739723</v>
      </c>
    </row>
    <row r="2156" spans="1:13" x14ac:dyDescent="0.25">
      <c r="A2156" s="1" t="s">
        <v>632</v>
      </c>
      <c r="B2156" s="1" t="s">
        <v>633</v>
      </c>
      <c r="C2156" s="1">
        <v>8600000</v>
      </c>
      <c r="D2156" s="1" t="s">
        <v>179</v>
      </c>
      <c r="E2156">
        <v>1609.4897000000001</v>
      </c>
      <c r="F2156" s="1" t="s">
        <v>12</v>
      </c>
      <c r="G2156">
        <v>375</v>
      </c>
      <c r="H2156">
        <v>65</v>
      </c>
      <c r="I2156" s="1" t="s">
        <v>130</v>
      </c>
      <c r="J2156">
        <v>2</v>
      </c>
      <c r="K2156" t="str">
        <f>IF(Tb_data[[#This Row],[previous_workers]]&lt;Tb_data[[#This Row],[workers]],"yes","no")</f>
        <v>yes</v>
      </c>
      <c r="L2156">
        <f>Tb_data[[#This Row],[workers]]-Tb_data[[#This Row],[previous_workers]]</f>
        <v>310</v>
      </c>
      <c r="M2156" s="12">
        <f>Tb_data[[#This Row],[Employees Growth]]/Tb_data[[#This Row],[previous_workers]]</f>
        <v>4.7692307692307692</v>
      </c>
    </row>
    <row r="2157" spans="1:13" x14ac:dyDescent="0.25">
      <c r="A2157" s="1" t="s">
        <v>9714</v>
      </c>
      <c r="B2157" s="1" t="s">
        <v>9715</v>
      </c>
      <c r="C2157" s="1">
        <v>32300000</v>
      </c>
      <c r="D2157" s="1" t="s">
        <v>254</v>
      </c>
      <c r="E2157">
        <v>57.8917</v>
      </c>
      <c r="F2157" s="1" t="s">
        <v>176</v>
      </c>
      <c r="G2157">
        <v>124</v>
      </c>
      <c r="H2157">
        <v>27</v>
      </c>
      <c r="I2157" s="1" t="s">
        <v>948</v>
      </c>
      <c r="J2157">
        <v>4</v>
      </c>
      <c r="K2157" t="str">
        <f>IF(Tb_data[[#This Row],[previous_workers]]&lt;Tb_data[[#This Row],[workers]],"yes","no")</f>
        <v>yes</v>
      </c>
      <c r="L2157">
        <f>Tb_data[[#This Row],[workers]]-Tb_data[[#This Row],[previous_workers]]</f>
        <v>97</v>
      </c>
      <c r="M2157" s="12">
        <f>Tb_data[[#This Row],[Employees Growth]]/Tb_data[[#This Row],[previous_workers]]</f>
        <v>3.5925925925925926</v>
      </c>
    </row>
    <row r="2158" spans="1:13" x14ac:dyDescent="0.25">
      <c r="A2158" s="1" t="s">
        <v>957</v>
      </c>
      <c r="B2158" s="1" t="s">
        <v>958</v>
      </c>
      <c r="C2158" s="1">
        <v>8600000</v>
      </c>
      <c r="D2158" s="1" t="s">
        <v>321</v>
      </c>
      <c r="E2158">
        <v>1046.8096</v>
      </c>
      <c r="F2158" s="1" t="s">
        <v>310</v>
      </c>
      <c r="G2158">
        <v>120</v>
      </c>
      <c r="H2158">
        <v>15</v>
      </c>
      <c r="I2158" s="1" t="s">
        <v>55</v>
      </c>
      <c r="J2158">
        <v>2</v>
      </c>
      <c r="K2158" t="str">
        <f>IF(Tb_data[[#This Row],[previous_workers]]&lt;Tb_data[[#This Row],[workers]],"yes","no")</f>
        <v>yes</v>
      </c>
      <c r="L2158">
        <f>Tb_data[[#This Row],[workers]]-Tb_data[[#This Row],[previous_workers]]</f>
        <v>105</v>
      </c>
      <c r="M2158" s="12">
        <f>Tb_data[[#This Row],[Employees Growth]]/Tb_data[[#This Row],[previous_workers]]</f>
        <v>7</v>
      </c>
    </row>
    <row r="2159" spans="1:13" x14ac:dyDescent="0.25">
      <c r="A2159" s="1" t="s">
        <v>9093</v>
      </c>
      <c r="B2159" s="1" t="s">
        <v>9094</v>
      </c>
      <c r="C2159" s="1">
        <v>28300000</v>
      </c>
      <c r="D2159" s="1" t="s">
        <v>69</v>
      </c>
      <c r="E2159">
        <v>65.508099999999999</v>
      </c>
      <c r="F2159" s="1" t="s">
        <v>62</v>
      </c>
      <c r="G2159">
        <v>185</v>
      </c>
      <c r="H2159">
        <v>161</v>
      </c>
      <c r="I2159" s="1" t="s">
        <v>1051</v>
      </c>
      <c r="J2159">
        <v>3</v>
      </c>
      <c r="K2159" t="str">
        <f>IF(Tb_data[[#This Row],[previous_workers]]&lt;Tb_data[[#This Row],[workers]],"yes","no")</f>
        <v>yes</v>
      </c>
      <c r="L2159">
        <f>Tb_data[[#This Row],[workers]]-Tb_data[[#This Row],[previous_workers]]</f>
        <v>24</v>
      </c>
      <c r="M2159" s="12">
        <f>Tb_data[[#This Row],[Employees Growth]]/Tb_data[[#This Row],[previous_workers]]</f>
        <v>0.14906832298136646</v>
      </c>
    </row>
    <row r="2160" spans="1:13" x14ac:dyDescent="0.25">
      <c r="A2160" s="1" t="s">
        <v>1316</v>
      </c>
      <c r="B2160" s="1" t="s">
        <v>1317</v>
      </c>
      <c r="C2160" s="1">
        <v>2900000</v>
      </c>
      <c r="D2160" s="1" t="s">
        <v>29</v>
      </c>
      <c r="E2160">
        <v>732.84460000000001</v>
      </c>
      <c r="F2160" s="1" t="s">
        <v>124</v>
      </c>
      <c r="G2160">
        <v>9</v>
      </c>
      <c r="H2160">
        <v>5</v>
      </c>
      <c r="I2160" s="1" t="s">
        <v>130</v>
      </c>
      <c r="J2160">
        <v>2</v>
      </c>
      <c r="K2160" t="str">
        <f>IF(Tb_data[[#This Row],[previous_workers]]&lt;Tb_data[[#This Row],[workers]],"yes","no")</f>
        <v>yes</v>
      </c>
      <c r="L2160">
        <f>Tb_data[[#This Row],[workers]]-Tb_data[[#This Row],[previous_workers]]</f>
        <v>4</v>
      </c>
      <c r="M2160" s="12">
        <f>Tb_data[[#This Row],[Employees Growth]]/Tb_data[[#This Row],[previous_workers]]</f>
        <v>0.8</v>
      </c>
    </row>
    <row r="2161" spans="1:13" x14ac:dyDescent="0.25">
      <c r="A2161" s="1" t="s">
        <v>1708</v>
      </c>
      <c r="B2161" s="1" t="s">
        <v>1709</v>
      </c>
      <c r="C2161" s="1">
        <v>3200000</v>
      </c>
      <c r="D2161" s="1" t="s">
        <v>49</v>
      </c>
      <c r="E2161">
        <v>535.48469999999998</v>
      </c>
      <c r="F2161" s="1" t="s">
        <v>124</v>
      </c>
      <c r="G2161">
        <v>13</v>
      </c>
      <c r="H2161">
        <v>3</v>
      </c>
      <c r="I2161" s="1" t="s">
        <v>55</v>
      </c>
      <c r="J2161">
        <v>1</v>
      </c>
      <c r="K2161" t="str">
        <f>IF(Tb_data[[#This Row],[previous_workers]]&lt;Tb_data[[#This Row],[workers]],"yes","no")</f>
        <v>yes</v>
      </c>
      <c r="L2161">
        <f>Tb_data[[#This Row],[workers]]-Tb_data[[#This Row],[previous_workers]]</f>
        <v>10</v>
      </c>
      <c r="M2161" s="12">
        <f>Tb_data[[#This Row],[Employees Growth]]/Tb_data[[#This Row],[previous_workers]]</f>
        <v>3.3333333333333335</v>
      </c>
    </row>
    <row r="2162" spans="1:13" x14ac:dyDescent="0.25">
      <c r="A2162" s="1" t="s">
        <v>5072</v>
      </c>
      <c r="B2162" s="1" t="s">
        <v>5073</v>
      </c>
      <c r="C2162" s="1">
        <v>23400000</v>
      </c>
      <c r="D2162" s="1" t="s">
        <v>69</v>
      </c>
      <c r="E2162">
        <v>158.33459999999999</v>
      </c>
      <c r="F2162" s="1" t="s">
        <v>176</v>
      </c>
      <c r="G2162">
        <v>34</v>
      </c>
      <c r="H2162">
        <v>10</v>
      </c>
      <c r="I2162" s="1" t="s">
        <v>35</v>
      </c>
      <c r="J2162">
        <v>2</v>
      </c>
      <c r="K2162" t="str">
        <f>IF(Tb_data[[#This Row],[previous_workers]]&lt;Tb_data[[#This Row],[workers]],"yes","no")</f>
        <v>yes</v>
      </c>
      <c r="L2162">
        <f>Tb_data[[#This Row],[workers]]-Tb_data[[#This Row],[previous_workers]]</f>
        <v>24</v>
      </c>
      <c r="M2162" s="12">
        <f>Tb_data[[#This Row],[Employees Growth]]/Tb_data[[#This Row],[previous_workers]]</f>
        <v>2.4</v>
      </c>
    </row>
    <row r="2163" spans="1:13" x14ac:dyDescent="0.25">
      <c r="A2163" s="1" t="s">
        <v>3513</v>
      </c>
      <c r="B2163" s="1" t="s">
        <v>3514</v>
      </c>
      <c r="C2163" s="1">
        <v>4000000</v>
      </c>
      <c r="D2163" s="1" t="s">
        <v>49</v>
      </c>
      <c r="E2163">
        <v>241.21780000000001</v>
      </c>
      <c r="F2163" s="1" t="s">
        <v>310</v>
      </c>
      <c r="G2163">
        <v>21</v>
      </c>
      <c r="H2163">
        <v>6</v>
      </c>
      <c r="I2163" s="1" t="s">
        <v>194</v>
      </c>
      <c r="J2163">
        <v>2</v>
      </c>
      <c r="K2163" t="str">
        <f>IF(Tb_data[[#This Row],[previous_workers]]&lt;Tb_data[[#This Row],[workers]],"yes","no")</f>
        <v>yes</v>
      </c>
      <c r="L2163">
        <f>Tb_data[[#This Row],[workers]]-Tb_data[[#This Row],[previous_workers]]</f>
        <v>15</v>
      </c>
      <c r="M2163" s="12">
        <f>Tb_data[[#This Row],[Employees Growth]]/Tb_data[[#This Row],[previous_workers]]</f>
        <v>2.5</v>
      </c>
    </row>
    <row r="2164" spans="1:13" x14ac:dyDescent="0.25">
      <c r="A2164" s="1" t="s">
        <v>3337</v>
      </c>
      <c r="B2164" s="1" t="s">
        <v>3338</v>
      </c>
      <c r="C2164" s="1">
        <v>4000000</v>
      </c>
      <c r="D2164" s="1" t="s">
        <v>427</v>
      </c>
      <c r="E2164">
        <v>256.41649999999998</v>
      </c>
      <c r="F2164" s="1" t="s">
        <v>176</v>
      </c>
      <c r="G2164">
        <v>21</v>
      </c>
      <c r="H2164">
        <v>7</v>
      </c>
      <c r="I2164" s="1" t="s">
        <v>26</v>
      </c>
      <c r="J2164">
        <v>2</v>
      </c>
      <c r="K2164" t="str">
        <f>IF(Tb_data[[#This Row],[previous_workers]]&lt;Tb_data[[#This Row],[workers]],"yes","no")</f>
        <v>yes</v>
      </c>
      <c r="L2164">
        <f>Tb_data[[#This Row],[workers]]-Tb_data[[#This Row],[previous_workers]]</f>
        <v>14</v>
      </c>
      <c r="M2164" s="12">
        <f>Tb_data[[#This Row],[Employees Growth]]/Tb_data[[#This Row],[previous_workers]]</f>
        <v>2</v>
      </c>
    </row>
    <row r="2165" spans="1:13" x14ac:dyDescent="0.25">
      <c r="A2165" s="1" t="s">
        <v>7651</v>
      </c>
      <c r="B2165" s="1" t="s">
        <v>7652</v>
      </c>
      <c r="C2165" s="1">
        <v>8600000</v>
      </c>
      <c r="D2165" s="1" t="s">
        <v>52</v>
      </c>
      <c r="E2165">
        <v>88.952500000000001</v>
      </c>
      <c r="F2165" s="1" t="s">
        <v>42</v>
      </c>
      <c r="G2165">
        <v>15</v>
      </c>
      <c r="H2165">
        <v>8</v>
      </c>
      <c r="I2165" s="1" t="s">
        <v>74</v>
      </c>
      <c r="J2165">
        <v>4</v>
      </c>
      <c r="K2165" t="str">
        <f>IF(Tb_data[[#This Row],[previous_workers]]&lt;Tb_data[[#This Row],[workers]],"yes","no")</f>
        <v>yes</v>
      </c>
      <c r="L2165">
        <f>Tb_data[[#This Row],[workers]]-Tb_data[[#This Row],[previous_workers]]</f>
        <v>7</v>
      </c>
      <c r="M2165" s="12">
        <f>Tb_data[[#This Row],[Employees Growth]]/Tb_data[[#This Row],[previous_workers]]</f>
        <v>0.875</v>
      </c>
    </row>
    <row r="2166" spans="1:13" x14ac:dyDescent="0.25">
      <c r="A2166" s="1" t="s">
        <v>3797</v>
      </c>
      <c r="B2166" s="1" t="s">
        <v>3798</v>
      </c>
      <c r="C2166" s="1">
        <v>5600000</v>
      </c>
      <c r="D2166" s="1" t="s">
        <v>33</v>
      </c>
      <c r="E2166">
        <v>221.5085</v>
      </c>
      <c r="F2166" s="1" t="s">
        <v>176</v>
      </c>
      <c r="G2166">
        <v>15</v>
      </c>
      <c r="H2166">
        <v>6</v>
      </c>
      <c r="I2166" s="1" t="s">
        <v>26</v>
      </c>
      <c r="J2166">
        <v>1</v>
      </c>
      <c r="K2166" t="str">
        <f>IF(Tb_data[[#This Row],[previous_workers]]&lt;Tb_data[[#This Row],[workers]],"yes","no")</f>
        <v>yes</v>
      </c>
      <c r="L2166">
        <f>Tb_data[[#This Row],[workers]]-Tb_data[[#This Row],[previous_workers]]</f>
        <v>9</v>
      </c>
      <c r="M2166" s="12">
        <f>Tb_data[[#This Row],[Employees Growth]]/Tb_data[[#This Row],[previous_workers]]</f>
        <v>1.5</v>
      </c>
    </row>
    <row r="2167" spans="1:13" x14ac:dyDescent="0.25">
      <c r="A2167" s="1" t="s">
        <v>8175</v>
      </c>
      <c r="B2167" s="1" t="s">
        <v>8176</v>
      </c>
      <c r="C2167" s="1">
        <v>10300000</v>
      </c>
      <c r="D2167" s="1" t="s">
        <v>49</v>
      </c>
      <c r="E2167">
        <v>80.050299999999993</v>
      </c>
      <c r="F2167" s="1" t="s">
        <v>176</v>
      </c>
      <c r="G2167">
        <v>22</v>
      </c>
      <c r="H2167">
        <v>11</v>
      </c>
      <c r="I2167" s="1" t="s">
        <v>74</v>
      </c>
      <c r="J2167">
        <v>6</v>
      </c>
      <c r="K2167" t="str">
        <f>IF(Tb_data[[#This Row],[previous_workers]]&lt;Tb_data[[#This Row],[workers]],"yes","no")</f>
        <v>yes</v>
      </c>
      <c r="L2167">
        <f>Tb_data[[#This Row],[workers]]-Tb_data[[#This Row],[previous_workers]]</f>
        <v>11</v>
      </c>
      <c r="M2167" s="12">
        <f>Tb_data[[#This Row],[Employees Growth]]/Tb_data[[#This Row],[previous_workers]]</f>
        <v>1</v>
      </c>
    </row>
    <row r="2168" spans="1:13" x14ac:dyDescent="0.25">
      <c r="A2168" s="1" t="s">
        <v>8865</v>
      </c>
      <c r="B2168" s="1" t="s">
        <v>8866</v>
      </c>
      <c r="C2168" s="1">
        <v>19700000</v>
      </c>
      <c r="D2168" s="1" t="s">
        <v>41</v>
      </c>
      <c r="E2168">
        <v>68.549599999999998</v>
      </c>
      <c r="F2168" s="1" t="s">
        <v>176</v>
      </c>
      <c r="G2168">
        <v>55</v>
      </c>
      <c r="H2168">
        <v>35</v>
      </c>
      <c r="I2168" s="1" t="s">
        <v>1411</v>
      </c>
      <c r="J2168">
        <v>7</v>
      </c>
      <c r="K2168" t="str">
        <f>IF(Tb_data[[#This Row],[previous_workers]]&lt;Tb_data[[#This Row],[workers]],"yes","no")</f>
        <v>yes</v>
      </c>
      <c r="L2168">
        <f>Tb_data[[#This Row],[workers]]-Tb_data[[#This Row],[previous_workers]]</f>
        <v>20</v>
      </c>
      <c r="M2168" s="12">
        <f>Tb_data[[#This Row],[Employees Growth]]/Tb_data[[#This Row],[previous_workers]]</f>
        <v>0.5714285714285714</v>
      </c>
    </row>
    <row r="2169" spans="1:13" x14ac:dyDescent="0.25">
      <c r="A2169" s="1" t="s">
        <v>9375</v>
      </c>
      <c r="B2169" s="1" t="s">
        <v>9376</v>
      </c>
      <c r="C2169" s="1">
        <v>141400000</v>
      </c>
      <c r="D2169" s="1" t="s">
        <v>155</v>
      </c>
      <c r="E2169">
        <v>61.823799999999999</v>
      </c>
      <c r="F2169" s="1" t="s">
        <v>176</v>
      </c>
      <c r="G2169">
        <v>285</v>
      </c>
      <c r="H2169">
        <v>175</v>
      </c>
      <c r="I2169" s="1" t="s">
        <v>1051</v>
      </c>
      <c r="J2169">
        <v>11</v>
      </c>
      <c r="K2169" t="str">
        <f>IF(Tb_data[[#This Row],[previous_workers]]&lt;Tb_data[[#This Row],[workers]],"yes","no")</f>
        <v>yes</v>
      </c>
      <c r="L2169">
        <f>Tb_data[[#This Row],[workers]]-Tb_data[[#This Row],[previous_workers]]</f>
        <v>110</v>
      </c>
      <c r="M2169" s="12">
        <f>Tb_data[[#This Row],[Employees Growth]]/Tb_data[[#This Row],[previous_workers]]</f>
        <v>0.62857142857142856</v>
      </c>
    </row>
    <row r="2170" spans="1:13" x14ac:dyDescent="0.25">
      <c r="A2170" s="1" t="s">
        <v>4447</v>
      </c>
      <c r="B2170" s="1" t="s">
        <v>4448</v>
      </c>
      <c r="C2170" s="1">
        <v>19800000</v>
      </c>
      <c r="D2170" s="1" t="s">
        <v>61</v>
      </c>
      <c r="E2170">
        <v>185.08869999999999</v>
      </c>
      <c r="F2170" s="1" t="s">
        <v>86</v>
      </c>
      <c r="G2170">
        <v>600</v>
      </c>
      <c r="H2170">
        <v>300</v>
      </c>
      <c r="I2170" s="1" t="s">
        <v>164</v>
      </c>
      <c r="J2170">
        <v>3</v>
      </c>
      <c r="K2170" t="str">
        <f>IF(Tb_data[[#This Row],[previous_workers]]&lt;Tb_data[[#This Row],[workers]],"yes","no")</f>
        <v>yes</v>
      </c>
      <c r="L2170">
        <f>Tb_data[[#This Row],[workers]]-Tb_data[[#This Row],[previous_workers]]</f>
        <v>300</v>
      </c>
      <c r="M2170" s="12">
        <f>Tb_data[[#This Row],[Employees Growth]]/Tb_data[[#This Row],[previous_workers]]</f>
        <v>1</v>
      </c>
    </row>
    <row r="2171" spans="1:13" x14ac:dyDescent="0.25">
      <c r="A2171" s="1" t="s">
        <v>2472</v>
      </c>
      <c r="B2171" s="1" t="s">
        <v>2473</v>
      </c>
      <c r="C2171" s="1">
        <v>29200000</v>
      </c>
      <c r="D2171" s="1" t="s">
        <v>20</v>
      </c>
      <c r="E2171">
        <v>352.47289999999998</v>
      </c>
      <c r="F2171" s="1" t="s">
        <v>34</v>
      </c>
      <c r="G2171">
        <v>302</v>
      </c>
      <c r="H2171">
        <v>87</v>
      </c>
      <c r="I2171" s="1" t="s">
        <v>13</v>
      </c>
      <c r="J2171">
        <v>1</v>
      </c>
      <c r="K2171" t="str">
        <f>IF(Tb_data[[#This Row],[previous_workers]]&lt;Tb_data[[#This Row],[workers]],"yes","no")</f>
        <v>yes</v>
      </c>
      <c r="L2171">
        <f>Tb_data[[#This Row],[workers]]-Tb_data[[#This Row],[previous_workers]]</f>
        <v>215</v>
      </c>
      <c r="M2171" s="12">
        <f>Tb_data[[#This Row],[Employees Growth]]/Tb_data[[#This Row],[previous_workers]]</f>
        <v>2.4712643678160919</v>
      </c>
    </row>
    <row r="2172" spans="1:13" x14ac:dyDescent="0.25">
      <c r="A2172" s="1" t="s">
        <v>7000</v>
      </c>
      <c r="B2172" s="1" t="s">
        <v>7001</v>
      </c>
      <c r="C2172" s="1">
        <v>5400000</v>
      </c>
      <c r="D2172" s="1" t="s">
        <v>20</v>
      </c>
      <c r="E2172">
        <v>101.8222</v>
      </c>
      <c r="F2172" s="1" t="s">
        <v>176</v>
      </c>
      <c r="G2172">
        <v>12</v>
      </c>
      <c r="H2172">
        <v>7</v>
      </c>
      <c r="I2172" s="1" t="s">
        <v>130</v>
      </c>
      <c r="J2172">
        <v>3</v>
      </c>
      <c r="K2172" t="str">
        <f>IF(Tb_data[[#This Row],[previous_workers]]&lt;Tb_data[[#This Row],[workers]],"yes","no")</f>
        <v>yes</v>
      </c>
      <c r="L2172">
        <f>Tb_data[[#This Row],[workers]]-Tb_data[[#This Row],[previous_workers]]</f>
        <v>5</v>
      </c>
      <c r="M2172" s="12">
        <f>Tb_data[[#This Row],[Employees Growth]]/Tb_data[[#This Row],[previous_workers]]</f>
        <v>0.7142857142857143</v>
      </c>
    </row>
    <row r="2173" spans="1:13" x14ac:dyDescent="0.25">
      <c r="A2173" s="1" t="s">
        <v>1373</v>
      </c>
      <c r="B2173" s="1" t="s">
        <v>1374</v>
      </c>
      <c r="C2173" s="1">
        <v>9500000</v>
      </c>
      <c r="D2173" s="1" t="s">
        <v>49</v>
      </c>
      <c r="E2173">
        <v>695.05349999999999</v>
      </c>
      <c r="F2173" s="1" t="s">
        <v>176</v>
      </c>
      <c r="G2173">
        <v>21</v>
      </c>
      <c r="H2173">
        <v>4</v>
      </c>
      <c r="I2173" s="1" t="s">
        <v>130</v>
      </c>
      <c r="J2173">
        <v>2</v>
      </c>
      <c r="K2173" t="str">
        <f>IF(Tb_data[[#This Row],[previous_workers]]&lt;Tb_data[[#This Row],[workers]],"yes","no")</f>
        <v>yes</v>
      </c>
      <c r="L2173">
        <f>Tb_data[[#This Row],[workers]]-Tb_data[[#This Row],[previous_workers]]</f>
        <v>17</v>
      </c>
      <c r="M2173" s="12">
        <f>Tb_data[[#This Row],[Employees Growth]]/Tb_data[[#This Row],[previous_workers]]</f>
        <v>4.25</v>
      </c>
    </row>
    <row r="2174" spans="1:13" x14ac:dyDescent="0.25">
      <c r="A2174" s="1" t="s">
        <v>8027</v>
      </c>
      <c r="B2174" s="1" t="s">
        <v>8028</v>
      </c>
      <c r="C2174" s="1">
        <v>14900000</v>
      </c>
      <c r="D2174" s="1" t="s">
        <v>16</v>
      </c>
      <c r="E2174">
        <v>82.360900000000001</v>
      </c>
      <c r="F2174" s="1" t="s">
        <v>161</v>
      </c>
      <c r="G2174">
        <v>128</v>
      </c>
      <c r="H2174">
        <v>78</v>
      </c>
      <c r="I2174" s="1" t="s">
        <v>164</v>
      </c>
      <c r="J2174">
        <v>4</v>
      </c>
      <c r="K2174" t="str">
        <f>IF(Tb_data[[#This Row],[previous_workers]]&lt;Tb_data[[#This Row],[workers]],"yes","no")</f>
        <v>yes</v>
      </c>
      <c r="L2174">
        <f>Tb_data[[#This Row],[workers]]-Tb_data[[#This Row],[previous_workers]]</f>
        <v>50</v>
      </c>
      <c r="M2174" s="12">
        <f>Tb_data[[#This Row],[Employees Growth]]/Tb_data[[#This Row],[previous_workers]]</f>
        <v>0.64102564102564108</v>
      </c>
    </row>
    <row r="2175" spans="1:13" x14ac:dyDescent="0.25">
      <c r="A2175" s="1" t="s">
        <v>3965</v>
      </c>
      <c r="B2175" s="1" t="s">
        <v>3966</v>
      </c>
      <c r="C2175" s="1">
        <v>26100000</v>
      </c>
      <c r="D2175" s="1" t="s">
        <v>61</v>
      </c>
      <c r="E2175">
        <v>208.76079999999999</v>
      </c>
      <c r="F2175" s="1" t="s">
        <v>86</v>
      </c>
      <c r="G2175">
        <v>113</v>
      </c>
      <c r="H2175">
        <v>35</v>
      </c>
      <c r="I2175" s="1" t="s">
        <v>229</v>
      </c>
      <c r="J2175">
        <v>7</v>
      </c>
      <c r="K2175" t="str">
        <f>IF(Tb_data[[#This Row],[previous_workers]]&lt;Tb_data[[#This Row],[workers]],"yes","no")</f>
        <v>yes</v>
      </c>
      <c r="L2175">
        <f>Tb_data[[#This Row],[workers]]-Tb_data[[#This Row],[previous_workers]]</f>
        <v>78</v>
      </c>
      <c r="M2175" s="12">
        <f>Tb_data[[#This Row],[Employees Growth]]/Tb_data[[#This Row],[previous_workers]]</f>
        <v>2.2285714285714286</v>
      </c>
    </row>
    <row r="2176" spans="1:13" x14ac:dyDescent="0.25">
      <c r="A2176" s="1" t="s">
        <v>8417</v>
      </c>
      <c r="B2176" s="1" t="s">
        <v>8418</v>
      </c>
      <c r="C2176" s="1">
        <v>2800000</v>
      </c>
      <c r="D2176" s="1" t="s">
        <v>20</v>
      </c>
      <c r="E2176">
        <v>75.706199999999995</v>
      </c>
      <c r="F2176" s="1" t="s">
        <v>176</v>
      </c>
      <c r="G2176">
        <v>21</v>
      </c>
      <c r="H2176">
        <v>14</v>
      </c>
      <c r="I2176" s="1" t="s">
        <v>295</v>
      </c>
      <c r="J2176">
        <v>2</v>
      </c>
      <c r="K2176" t="str">
        <f>IF(Tb_data[[#This Row],[previous_workers]]&lt;Tb_data[[#This Row],[workers]],"yes","no")</f>
        <v>yes</v>
      </c>
      <c r="L2176">
        <f>Tb_data[[#This Row],[workers]]-Tb_data[[#This Row],[previous_workers]]</f>
        <v>7</v>
      </c>
      <c r="M2176" s="12">
        <f>Tb_data[[#This Row],[Employees Growth]]/Tb_data[[#This Row],[previous_workers]]</f>
        <v>0.5</v>
      </c>
    </row>
    <row r="2177" spans="1:13" x14ac:dyDescent="0.25">
      <c r="A2177" s="1" t="s">
        <v>2157</v>
      </c>
      <c r="B2177" s="1" t="s">
        <v>2158</v>
      </c>
      <c r="C2177" s="1">
        <v>3800000</v>
      </c>
      <c r="D2177" s="1" t="s">
        <v>49</v>
      </c>
      <c r="E2177">
        <v>410.80360000000002</v>
      </c>
      <c r="F2177" s="1" t="s">
        <v>12</v>
      </c>
      <c r="G2177">
        <v>37</v>
      </c>
      <c r="H2177">
        <v>4</v>
      </c>
      <c r="I2177" s="1" t="s">
        <v>55</v>
      </c>
      <c r="J2177">
        <v>2</v>
      </c>
      <c r="K2177" t="str">
        <f>IF(Tb_data[[#This Row],[previous_workers]]&lt;Tb_data[[#This Row],[workers]],"yes","no")</f>
        <v>yes</v>
      </c>
      <c r="L2177">
        <f>Tb_data[[#This Row],[workers]]-Tb_data[[#This Row],[previous_workers]]</f>
        <v>33</v>
      </c>
      <c r="M2177" s="12">
        <f>Tb_data[[#This Row],[Employees Growth]]/Tb_data[[#This Row],[previous_workers]]</f>
        <v>8.25</v>
      </c>
    </row>
    <row r="2178" spans="1:13" x14ac:dyDescent="0.25">
      <c r="A2178" s="1" t="s">
        <v>7779</v>
      </c>
      <c r="B2178" s="1" t="s">
        <v>7780</v>
      </c>
      <c r="C2178" s="1">
        <v>14100000</v>
      </c>
      <c r="D2178" s="1" t="s">
        <v>29</v>
      </c>
      <c r="E2178">
        <v>86.631100000000004</v>
      </c>
      <c r="F2178" s="1" t="s">
        <v>176</v>
      </c>
      <c r="G2178">
        <v>72</v>
      </c>
      <c r="H2178">
        <v>32</v>
      </c>
      <c r="I2178" s="1" t="s">
        <v>164</v>
      </c>
      <c r="J2178">
        <v>1</v>
      </c>
      <c r="K2178" t="str">
        <f>IF(Tb_data[[#This Row],[previous_workers]]&lt;Tb_data[[#This Row],[workers]],"yes","no")</f>
        <v>yes</v>
      </c>
      <c r="L2178">
        <f>Tb_data[[#This Row],[workers]]-Tb_data[[#This Row],[previous_workers]]</f>
        <v>40</v>
      </c>
      <c r="M2178" s="12">
        <f>Tb_data[[#This Row],[Employees Growth]]/Tb_data[[#This Row],[previous_workers]]</f>
        <v>1.25</v>
      </c>
    </row>
    <row r="2179" spans="1:13" x14ac:dyDescent="0.25">
      <c r="A2179" s="1" t="s">
        <v>3929</v>
      </c>
      <c r="B2179" s="1" t="s">
        <v>3930</v>
      </c>
      <c r="C2179" s="1">
        <v>20700000</v>
      </c>
      <c r="D2179" s="1" t="s">
        <v>236</v>
      </c>
      <c r="E2179">
        <v>211.4075</v>
      </c>
      <c r="F2179" s="1" t="s">
        <v>12</v>
      </c>
      <c r="G2179">
        <v>150</v>
      </c>
      <c r="H2179">
        <v>22</v>
      </c>
      <c r="I2179" s="1" t="s">
        <v>117</v>
      </c>
      <c r="J2179">
        <v>1</v>
      </c>
      <c r="K2179" t="str">
        <f>IF(Tb_data[[#This Row],[previous_workers]]&lt;Tb_data[[#This Row],[workers]],"yes","no")</f>
        <v>yes</v>
      </c>
      <c r="L2179">
        <f>Tb_data[[#This Row],[workers]]-Tb_data[[#This Row],[previous_workers]]</f>
        <v>128</v>
      </c>
      <c r="M2179" s="12">
        <f>Tb_data[[#This Row],[Employees Growth]]/Tb_data[[#This Row],[previous_workers]]</f>
        <v>5.8181818181818183</v>
      </c>
    </row>
    <row r="2180" spans="1:13" x14ac:dyDescent="0.25">
      <c r="A2180" s="1" t="s">
        <v>8293</v>
      </c>
      <c r="B2180" s="1" t="s">
        <v>8294</v>
      </c>
      <c r="C2180" s="1">
        <v>16800000</v>
      </c>
      <c r="D2180" s="1" t="s">
        <v>49</v>
      </c>
      <c r="E2180">
        <v>77.8048</v>
      </c>
      <c r="F2180" s="1" t="s">
        <v>12</v>
      </c>
      <c r="G2180">
        <v>24</v>
      </c>
      <c r="H2180">
        <v>20</v>
      </c>
      <c r="I2180" s="1" t="s">
        <v>194</v>
      </c>
      <c r="J2180">
        <v>6</v>
      </c>
      <c r="K2180" t="str">
        <f>IF(Tb_data[[#This Row],[previous_workers]]&lt;Tb_data[[#This Row],[workers]],"yes","no")</f>
        <v>yes</v>
      </c>
      <c r="L2180">
        <f>Tb_data[[#This Row],[workers]]-Tb_data[[#This Row],[previous_workers]]</f>
        <v>4</v>
      </c>
      <c r="M2180" s="12">
        <f>Tb_data[[#This Row],[Employees Growth]]/Tb_data[[#This Row],[previous_workers]]</f>
        <v>0.2</v>
      </c>
    </row>
    <row r="2181" spans="1:13" x14ac:dyDescent="0.25">
      <c r="A2181" s="1" t="s">
        <v>6353</v>
      </c>
      <c r="B2181" s="1" t="s">
        <v>6354</v>
      </c>
      <c r="C2181" s="1">
        <v>43500000</v>
      </c>
      <c r="D2181" s="1" t="s">
        <v>69</v>
      </c>
      <c r="E2181">
        <v>117.4898</v>
      </c>
      <c r="F2181" s="1" t="s">
        <v>176</v>
      </c>
      <c r="G2181">
        <v>131</v>
      </c>
      <c r="H2181">
        <v>78</v>
      </c>
      <c r="I2181" s="1" t="s">
        <v>229</v>
      </c>
      <c r="J2181">
        <v>12</v>
      </c>
      <c r="K2181" t="str">
        <f>IF(Tb_data[[#This Row],[previous_workers]]&lt;Tb_data[[#This Row],[workers]],"yes","no")</f>
        <v>yes</v>
      </c>
      <c r="L2181">
        <f>Tb_data[[#This Row],[workers]]-Tb_data[[#This Row],[previous_workers]]</f>
        <v>53</v>
      </c>
      <c r="M2181" s="12">
        <f>Tb_data[[#This Row],[Employees Growth]]/Tb_data[[#This Row],[previous_workers]]</f>
        <v>0.67948717948717952</v>
      </c>
    </row>
    <row r="2182" spans="1:13" x14ac:dyDescent="0.25">
      <c r="A2182" s="1" t="s">
        <v>9211</v>
      </c>
      <c r="B2182" s="1" t="s">
        <v>9212</v>
      </c>
      <c r="C2182" s="1">
        <v>26700000</v>
      </c>
      <c r="D2182" s="1" t="s">
        <v>129</v>
      </c>
      <c r="E2182">
        <v>63.9893</v>
      </c>
      <c r="F2182" s="1" t="s">
        <v>97</v>
      </c>
      <c r="G2182">
        <v>140</v>
      </c>
      <c r="H2182">
        <v>110</v>
      </c>
      <c r="I2182" s="1" t="s">
        <v>372</v>
      </c>
      <c r="J2182">
        <v>5</v>
      </c>
      <c r="K2182" t="str">
        <f>IF(Tb_data[[#This Row],[previous_workers]]&lt;Tb_data[[#This Row],[workers]],"yes","no")</f>
        <v>yes</v>
      </c>
      <c r="L2182">
        <f>Tb_data[[#This Row],[workers]]-Tb_data[[#This Row],[previous_workers]]</f>
        <v>30</v>
      </c>
      <c r="M2182" s="12">
        <f>Tb_data[[#This Row],[Employees Growth]]/Tb_data[[#This Row],[previous_workers]]</f>
        <v>0.27272727272727271</v>
      </c>
    </row>
    <row r="2183" spans="1:13" x14ac:dyDescent="0.25">
      <c r="A2183" s="1" t="s">
        <v>7214</v>
      </c>
      <c r="B2183" s="1" t="s">
        <v>7215</v>
      </c>
      <c r="C2183" s="1">
        <v>30000000</v>
      </c>
      <c r="D2183" s="1" t="s">
        <v>45</v>
      </c>
      <c r="E2183">
        <v>98.182299999999998</v>
      </c>
      <c r="F2183" s="1" t="s">
        <v>176</v>
      </c>
      <c r="G2183">
        <v>101</v>
      </c>
      <c r="H2183">
        <v>57</v>
      </c>
      <c r="I2183" s="1" t="s">
        <v>74</v>
      </c>
      <c r="J2183">
        <v>8</v>
      </c>
      <c r="K2183" t="str">
        <f>IF(Tb_data[[#This Row],[previous_workers]]&lt;Tb_data[[#This Row],[workers]],"yes","no")</f>
        <v>yes</v>
      </c>
      <c r="L2183">
        <f>Tb_data[[#This Row],[workers]]-Tb_data[[#This Row],[previous_workers]]</f>
        <v>44</v>
      </c>
      <c r="M2183" s="12">
        <f>Tb_data[[#This Row],[Employees Growth]]/Tb_data[[#This Row],[previous_workers]]</f>
        <v>0.77192982456140347</v>
      </c>
    </row>
    <row r="2184" spans="1:13" x14ac:dyDescent="0.25">
      <c r="A2184" s="1" t="s">
        <v>7593</v>
      </c>
      <c r="B2184" s="1" t="s">
        <v>7594</v>
      </c>
      <c r="C2184" s="1">
        <v>70500000</v>
      </c>
      <c r="D2184" s="1" t="s">
        <v>321</v>
      </c>
      <c r="E2184">
        <v>90.552000000000007</v>
      </c>
      <c r="F2184" s="1" t="s">
        <v>12</v>
      </c>
      <c r="G2184">
        <v>334</v>
      </c>
      <c r="H2184">
        <v>320</v>
      </c>
      <c r="I2184" s="1" t="s">
        <v>46</v>
      </c>
      <c r="J2184">
        <v>7</v>
      </c>
      <c r="K2184" t="str">
        <f>IF(Tb_data[[#This Row],[previous_workers]]&lt;Tb_data[[#This Row],[workers]],"yes","no")</f>
        <v>yes</v>
      </c>
      <c r="L2184">
        <f>Tb_data[[#This Row],[workers]]-Tb_data[[#This Row],[previous_workers]]</f>
        <v>14</v>
      </c>
      <c r="M2184" s="12">
        <f>Tb_data[[#This Row],[Employees Growth]]/Tb_data[[#This Row],[previous_workers]]</f>
        <v>4.3749999999999997E-2</v>
      </c>
    </row>
    <row r="2185" spans="1:13" x14ac:dyDescent="0.25">
      <c r="A2185" s="1" t="s">
        <v>293</v>
      </c>
      <c r="B2185" s="1" t="s">
        <v>294</v>
      </c>
      <c r="C2185" s="1">
        <v>4700000</v>
      </c>
      <c r="D2185" s="1" t="s">
        <v>254</v>
      </c>
      <c r="E2185">
        <v>3099.3348000000001</v>
      </c>
      <c r="F2185" s="1" t="s">
        <v>30</v>
      </c>
      <c r="G2185">
        <v>10</v>
      </c>
      <c r="H2185">
        <v>2</v>
      </c>
      <c r="I2185" s="1" t="s">
        <v>295</v>
      </c>
      <c r="J2185">
        <v>2</v>
      </c>
      <c r="K2185" t="str">
        <f>IF(Tb_data[[#This Row],[previous_workers]]&lt;Tb_data[[#This Row],[workers]],"yes","no")</f>
        <v>yes</v>
      </c>
      <c r="L2185">
        <f>Tb_data[[#This Row],[workers]]-Tb_data[[#This Row],[previous_workers]]</f>
        <v>8</v>
      </c>
      <c r="M2185" s="12">
        <f>Tb_data[[#This Row],[Employees Growth]]/Tb_data[[#This Row],[previous_workers]]</f>
        <v>4</v>
      </c>
    </row>
    <row r="2186" spans="1:13" x14ac:dyDescent="0.25">
      <c r="A2186" s="1" t="s">
        <v>8339</v>
      </c>
      <c r="B2186" s="1" t="s">
        <v>8340</v>
      </c>
      <c r="C2186" s="1">
        <v>14000000</v>
      </c>
      <c r="D2186" s="1" t="s">
        <v>20</v>
      </c>
      <c r="E2186">
        <v>77.333200000000005</v>
      </c>
      <c r="F2186" s="1" t="s">
        <v>310</v>
      </c>
      <c r="G2186">
        <v>103</v>
      </c>
      <c r="H2186">
        <v>58</v>
      </c>
      <c r="I2186" s="1" t="s">
        <v>948</v>
      </c>
      <c r="J2186">
        <v>7</v>
      </c>
      <c r="K2186" t="str">
        <f>IF(Tb_data[[#This Row],[previous_workers]]&lt;Tb_data[[#This Row],[workers]],"yes","no")</f>
        <v>yes</v>
      </c>
      <c r="L2186">
        <f>Tb_data[[#This Row],[workers]]-Tb_data[[#This Row],[previous_workers]]</f>
        <v>45</v>
      </c>
      <c r="M2186" s="12">
        <f>Tb_data[[#This Row],[Employees Growth]]/Tb_data[[#This Row],[previous_workers]]</f>
        <v>0.77586206896551724</v>
      </c>
    </row>
    <row r="2187" spans="1:13" x14ac:dyDescent="0.25">
      <c r="A2187" s="1" t="s">
        <v>4387</v>
      </c>
      <c r="B2187" s="1" t="s">
        <v>4388</v>
      </c>
      <c r="C2187" s="1">
        <v>3600000</v>
      </c>
      <c r="D2187" s="1" t="s">
        <v>422</v>
      </c>
      <c r="E2187">
        <v>187.12010000000001</v>
      </c>
      <c r="F2187" s="1" t="s">
        <v>135</v>
      </c>
      <c r="G2187">
        <v>34</v>
      </c>
      <c r="H2187">
        <v>8</v>
      </c>
      <c r="I2187" s="1" t="s">
        <v>194</v>
      </c>
      <c r="J2187">
        <v>1</v>
      </c>
      <c r="K2187" t="str">
        <f>IF(Tb_data[[#This Row],[previous_workers]]&lt;Tb_data[[#This Row],[workers]],"yes","no")</f>
        <v>yes</v>
      </c>
      <c r="L2187">
        <f>Tb_data[[#This Row],[workers]]-Tb_data[[#This Row],[previous_workers]]</f>
        <v>26</v>
      </c>
      <c r="M2187" s="12">
        <f>Tb_data[[#This Row],[Employees Growth]]/Tb_data[[#This Row],[previous_workers]]</f>
        <v>3.25</v>
      </c>
    </row>
    <row r="2188" spans="1:13" x14ac:dyDescent="0.25">
      <c r="A2188" s="1" t="s">
        <v>5520</v>
      </c>
      <c r="B2188" s="1" t="s">
        <v>5521</v>
      </c>
      <c r="C2188" s="1">
        <v>14400000</v>
      </c>
      <c r="D2188" s="1" t="s">
        <v>91</v>
      </c>
      <c r="E2188">
        <v>141.8587</v>
      </c>
      <c r="F2188" s="1" t="s">
        <v>86</v>
      </c>
      <c r="G2188">
        <v>42</v>
      </c>
      <c r="H2188">
        <v>15</v>
      </c>
      <c r="I2188" s="1" t="s">
        <v>130</v>
      </c>
      <c r="J2188">
        <v>1</v>
      </c>
      <c r="K2188" t="str">
        <f>IF(Tb_data[[#This Row],[previous_workers]]&lt;Tb_data[[#This Row],[workers]],"yes","no")</f>
        <v>yes</v>
      </c>
      <c r="L2188">
        <f>Tb_data[[#This Row],[workers]]-Tb_data[[#This Row],[previous_workers]]</f>
        <v>27</v>
      </c>
      <c r="M2188" s="12">
        <f>Tb_data[[#This Row],[Employees Growth]]/Tb_data[[#This Row],[previous_workers]]</f>
        <v>1.8</v>
      </c>
    </row>
    <row r="2189" spans="1:13" x14ac:dyDescent="0.25">
      <c r="A2189" s="1" t="s">
        <v>1463</v>
      </c>
      <c r="B2189" s="1" t="s">
        <v>1464</v>
      </c>
      <c r="C2189" s="1">
        <v>8900000</v>
      </c>
      <c r="D2189" s="1" t="s">
        <v>61</v>
      </c>
      <c r="E2189">
        <v>642.60339999999997</v>
      </c>
      <c r="F2189" s="1" t="s">
        <v>12</v>
      </c>
      <c r="G2189">
        <v>31</v>
      </c>
      <c r="H2189">
        <v>5</v>
      </c>
      <c r="I2189" s="1" t="s">
        <v>130</v>
      </c>
      <c r="J2189">
        <v>2</v>
      </c>
      <c r="K2189" t="str">
        <f>IF(Tb_data[[#This Row],[previous_workers]]&lt;Tb_data[[#This Row],[workers]],"yes","no")</f>
        <v>yes</v>
      </c>
      <c r="L2189">
        <f>Tb_data[[#This Row],[workers]]-Tb_data[[#This Row],[previous_workers]]</f>
        <v>26</v>
      </c>
      <c r="M2189" s="12">
        <f>Tb_data[[#This Row],[Employees Growth]]/Tb_data[[#This Row],[previous_workers]]</f>
        <v>5.2</v>
      </c>
    </row>
    <row r="2190" spans="1:13" x14ac:dyDescent="0.25">
      <c r="A2190" s="1" t="s">
        <v>3333</v>
      </c>
      <c r="B2190" s="1" t="s">
        <v>3334</v>
      </c>
      <c r="C2190" s="1">
        <v>2200000</v>
      </c>
      <c r="D2190" s="1" t="s">
        <v>61</v>
      </c>
      <c r="E2190">
        <v>256.54309999999998</v>
      </c>
      <c r="F2190" s="1" t="s">
        <v>25</v>
      </c>
      <c r="G2190">
        <v>25</v>
      </c>
      <c r="H2190">
        <v>10</v>
      </c>
      <c r="I2190" s="1" t="s">
        <v>35</v>
      </c>
      <c r="J2190">
        <v>1</v>
      </c>
      <c r="K2190" t="str">
        <f>IF(Tb_data[[#This Row],[previous_workers]]&lt;Tb_data[[#This Row],[workers]],"yes","no")</f>
        <v>yes</v>
      </c>
      <c r="L2190">
        <f>Tb_data[[#This Row],[workers]]-Tb_data[[#This Row],[previous_workers]]</f>
        <v>15</v>
      </c>
      <c r="M2190" s="12">
        <f>Tb_data[[#This Row],[Employees Growth]]/Tb_data[[#This Row],[previous_workers]]</f>
        <v>1.5</v>
      </c>
    </row>
    <row r="2191" spans="1:13" x14ac:dyDescent="0.25">
      <c r="A2191" s="1" t="s">
        <v>8925</v>
      </c>
      <c r="B2191" s="1" t="s">
        <v>8926</v>
      </c>
      <c r="C2191" s="1">
        <v>2200000</v>
      </c>
      <c r="D2191" s="1" t="s">
        <v>49</v>
      </c>
      <c r="E2191">
        <v>67.568200000000004</v>
      </c>
      <c r="F2191" s="1" t="s">
        <v>172</v>
      </c>
      <c r="G2191">
        <v>9</v>
      </c>
      <c r="H2191">
        <v>5</v>
      </c>
      <c r="I2191" s="1" t="s">
        <v>46</v>
      </c>
      <c r="J2191">
        <v>1</v>
      </c>
      <c r="K2191" t="str">
        <f>IF(Tb_data[[#This Row],[previous_workers]]&lt;Tb_data[[#This Row],[workers]],"yes","no")</f>
        <v>yes</v>
      </c>
      <c r="L2191">
        <f>Tb_data[[#This Row],[workers]]-Tb_data[[#This Row],[previous_workers]]</f>
        <v>4</v>
      </c>
      <c r="M2191" s="12">
        <f>Tb_data[[#This Row],[Employees Growth]]/Tb_data[[#This Row],[previous_workers]]</f>
        <v>0.8</v>
      </c>
    </row>
    <row r="2192" spans="1:13" x14ac:dyDescent="0.25">
      <c r="A2192" s="1" t="s">
        <v>8773</v>
      </c>
      <c r="B2192" s="1" t="s">
        <v>8774</v>
      </c>
      <c r="C2192" s="1">
        <v>2700000</v>
      </c>
      <c r="D2192" s="1" t="s">
        <v>33</v>
      </c>
      <c r="E2192">
        <v>69.953199999999995</v>
      </c>
      <c r="F2192" s="1" t="s">
        <v>172</v>
      </c>
      <c r="G2192">
        <v>65</v>
      </c>
      <c r="H2192">
        <v>50</v>
      </c>
      <c r="I2192" s="1" t="s">
        <v>194</v>
      </c>
      <c r="J2192">
        <v>3</v>
      </c>
      <c r="K2192" t="str">
        <f>IF(Tb_data[[#This Row],[previous_workers]]&lt;Tb_data[[#This Row],[workers]],"yes","no")</f>
        <v>yes</v>
      </c>
      <c r="L2192">
        <f>Tb_data[[#This Row],[workers]]-Tb_data[[#This Row],[previous_workers]]</f>
        <v>15</v>
      </c>
      <c r="M2192" s="12">
        <f>Tb_data[[#This Row],[Employees Growth]]/Tb_data[[#This Row],[previous_workers]]</f>
        <v>0.3</v>
      </c>
    </row>
    <row r="2193" spans="1:13" x14ac:dyDescent="0.25">
      <c r="A2193" s="1" t="s">
        <v>5796</v>
      </c>
      <c r="B2193" s="1" t="s">
        <v>5797</v>
      </c>
      <c r="C2193" s="1">
        <v>4900000</v>
      </c>
      <c r="D2193" s="1" t="s">
        <v>38</v>
      </c>
      <c r="E2193">
        <v>131.51580000000001</v>
      </c>
      <c r="F2193" s="1" t="s">
        <v>172</v>
      </c>
      <c r="G2193">
        <v>24</v>
      </c>
      <c r="H2193">
        <v>17</v>
      </c>
      <c r="I2193" s="1" t="s">
        <v>1051</v>
      </c>
      <c r="J2193">
        <v>1</v>
      </c>
      <c r="K2193" t="str">
        <f>IF(Tb_data[[#This Row],[previous_workers]]&lt;Tb_data[[#This Row],[workers]],"yes","no")</f>
        <v>yes</v>
      </c>
      <c r="L2193">
        <f>Tb_data[[#This Row],[workers]]-Tb_data[[#This Row],[previous_workers]]</f>
        <v>7</v>
      </c>
      <c r="M2193" s="12">
        <f>Tb_data[[#This Row],[Employees Growth]]/Tb_data[[#This Row],[previous_workers]]</f>
        <v>0.41176470588235292</v>
      </c>
    </row>
    <row r="2194" spans="1:13" x14ac:dyDescent="0.25">
      <c r="A2194" s="1" t="s">
        <v>7949</v>
      </c>
      <c r="B2194" s="1" t="s">
        <v>7950</v>
      </c>
      <c r="C2194" s="1">
        <v>46100000</v>
      </c>
      <c r="D2194" s="1" t="s">
        <v>129</v>
      </c>
      <c r="E2194">
        <v>84.119299999999996</v>
      </c>
      <c r="F2194" s="1" t="s">
        <v>156</v>
      </c>
      <c r="G2194">
        <v>95</v>
      </c>
      <c r="H2194">
        <v>78</v>
      </c>
      <c r="I2194" s="1" t="s">
        <v>836</v>
      </c>
      <c r="J2194">
        <v>4</v>
      </c>
      <c r="K2194" t="str">
        <f>IF(Tb_data[[#This Row],[previous_workers]]&lt;Tb_data[[#This Row],[workers]],"yes","no")</f>
        <v>yes</v>
      </c>
      <c r="L2194">
        <f>Tb_data[[#This Row],[workers]]-Tb_data[[#This Row],[previous_workers]]</f>
        <v>17</v>
      </c>
      <c r="M2194" s="12">
        <f>Tb_data[[#This Row],[Employees Growth]]/Tb_data[[#This Row],[previous_workers]]</f>
        <v>0.21794871794871795</v>
      </c>
    </row>
    <row r="2195" spans="1:13" x14ac:dyDescent="0.25">
      <c r="A2195" s="1" t="s">
        <v>5514</v>
      </c>
      <c r="B2195" s="1" t="s">
        <v>5515</v>
      </c>
      <c r="C2195" s="1">
        <v>35300000</v>
      </c>
      <c r="D2195" s="1" t="s">
        <v>427</v>
      </c>
      <c r="E2195">
        <v>142.1181</v>
      </c>
      <c r="F2195" s="1" t="s">
        <v>112</v>
      </c>
      <c r="G2195">
        <v>138</v>
      </c>
      <c r="H2195">
        <v>68</v>
      </c>
      <c r="I2195" s="1" t="s">
        <v>117</v>
      </c>
      <c r="J2195">
        <v>1</v>
      </c>
      <c r="K2195" t="str">
        <f>IF(Tb_data[[#This Row],[previous_workers]]&lt;Tb_data[[#This Row],[workers]],"yes","no")</f>
        <v>yes</v>
      </c>
      <c r="L2195">
        <f>Tb_data[[#This Row],[workers]]-Tb_data[[#This Row],[previous_workers]]</f>
        <v>70</v>
      </c>
      <c r="M2195" s="12">
        <f>Tb_data[[#This Row],[Employees Growth]]/Tb_data[[#This Row],[previous_workers]]</f>
        <v>1.0294117647058822</v>
      </c>
    </row>
    <row r="2196" spans="1:13" x14ac:dyDescent="0.25">
      <c r="A2196" s="1" t="s">
        <v>4766</v>
      </c>
      <c r="B2196" s="1" t="s">
        <v>4767</v>
      </c>
      <c r="C2196" s="1">
        <v>15400000</v>
      </c>
      <c r="D2196" s="1" t="s">
        <v>627</v>
      </c>
      <c r="E2196">
        <v>171.785</v>
      </c>
      <c r="F2196" s="1" t="s">
        <v>152</v>
      </c>
      <c r="G2196">
        <v>50</v>
      </c>
      <c r="H2196">
        <v>33</v>
      </c>
      <c r="I2196" s="1" t="s">
        <v>35</v>
      </c>
      <c r="J2196">
        <v>4</v>
      </c>
      <c r="K2196" t="str">
        <f>IF(Tb_data[[#This Row],[previous_workers]]&lt;Tb_data[[#This Row],[workers]],"yes","no")</f>
        <v>yes</v>
      </c>
      <c r="L2196">
        <f>Tb_data[[#This Row],[workers]]-Tb_data[[#This Row],[previous_workers]]</f>
        <v>17</v>
      </c>
      <c r="M2196" s="12">
        <f>Tb_data[[#This Row],[Employees Growth]]/Tb_data[[#This Row],[previous_workers]]</f>
        <v>0.51515151515151514</v>
      </c>
    </row>
    <row r="2197" spans="1:13" x14ac:dyDescent="0.25">
      <c r="A2197" s="1" t="s">
        <v>8781</v>
      </c>
      <c r="B2197" s="1" t="s">
        <v>8782</v>
      </c>
      <c r="C2197" s="1">
        <v>8600000</v>
      </c>
      <c r="D2197" s="1" t="s">
        <v>422</v>
      </c>
      <c r="E2197">
        <v>69.770099999999999</v>
      </c>
      <c r="F2197" s="1" t="s">
        <v>62</v>
      </c>
      <c r="G2197">
        <v>42</v>
      </c>
      <c r="H2197">
        <v>28</v>
      </c>
      <c r="I2197" s="1" t="s">
        <v>295</v>
      </c>
      <c r="J2197">
        <v>7</v>
      </c>
      <c r="K2197" t="str">
        <f>IF(Tb_data[[#This Row],[previous_workers]]&lt;Tb_data[[#This Row],[workers]],"yes","no")</f>
        <v>yes</v>
      </c>
      <c r="L2197">
        <f>Tb_data[[#This Row],[workers]]-Tb_data[[#This Row],[previous_workers]]</f>
        <v>14</v>
      </c>
      <c r="M2197" s="12">
        <f>Tb_data[[#This Row],[Employees Growth]]/Tb_data[[#This Row],[previous_workers]]</f>
        <v>0.5</v>
      </c>
    </row>
    <row r="2198" spans="1:13" x14ac:dyDescent="0.25">
      <c r="A2198" s="1" t="s">
        <v>1773</v>
      </c>
      <c r="B2198" s="1" t="s">
        <v>1774</v>
      </c>
      <c r="C2198" s="1">
        <v>5100000</v>
      </c>
      <c r="D2198" s="1" t="s">
        <v>49</v>
      </c>
      <c r="E2198">
        <v>510.36430000000001</v>
      </c>
      <c r="F2198" s="1" t="s">
        <v>34</v>
      </c>
      <c r="G2198">
        <v>46</v>
      </c>
      <c r="H2198">
        <v>2</v>
      </c>
      <c r="I2198" s="1" t="s">
        <v>26</v>
      </c>
      <c r="J2198">
        <v>1</v>
      </c>
      <c r="K2198" t="str">
        <f>IF(Tb_data[[#This Row],[previous_workers]]&lt;Tb_data[[#This Row],[workers]],"yes","no")</f>
        <v>yes</v>
      </c>
      <c r="L2198">
        <f>Tb_data[[#This Row],[workers]]-Tb_data[[#This Row],[previous_workers]]</f>
        <v>44</v>
      </c>
      <c r="M2198" s="12">
        <f>Tb_data[[#This Row],[Employees Growth]]/Tb_data[[#This Row],[previous_workers]]</f>
        <v>22</v>
      </c>
    </row>
    <row r="2199" spans="1:13" x14ac:dyDescent="0.25">
      <c r="A2199" s="1" t="s">
        <v>5212</v>
      </c>
      <c r="B2199" s="1" t="s">
        <v>5213</v>
      </c>
      <c r="C2199" s="1">
        <v>8300000</v>
      </c>
      <c r="D2199" s="1" t="s">
        <v>155</v>
      </c>
      <c r="E2199">
        <v>153.00700000000001</v>
      </c>
      <c r="F2199" s="1" t="s">
        <v>156</v>
      </c>
      <c r="G2199">
        <v>85</v>
      </c>
      <c r="H2199">
        <v>25</v>
      </c>
      <c r="I2199" s="1" t="s">
        <v>164</v>
      </c>
      <c r="J2199">
        <v>3</v>
      </c>
      <c r="K2199" t="str">
        <f>IF(Tb_data[[#This Row],[previous_workers]]&lt;Tb_data[[#This Row],[workers]],"yes","no")</f>
        <v>yes</v>
      </c>
      <c r="L2199">
        <f>Tb_data[[#This Row],[workers]]-Tb_data[[#This Row],[previous_workers]]</f>
        <v>60</v>
      </c>
      <c r="M2199" s="12">
        <f>Tb_data[[#This Row],[Employees Growth]]/Tb_data[[#This Row],[previous_workers]]</f>
        <v>2.4</v>
      </c>
    </row>
    <row r="2200" spans="1:13" x14ac:dyDescent="0.25">
      <c r="A2200" s="1" t="s">
        <v>920</v>
      </c>
      <c r="B2200" s="1" t="s">
        <v>921</v>
      </c>
      <c r="C2200" s="1">
        <v>5500000</v>
      </c>
      <c r="D2200" s="1" t="s">
        <v>49</v>
      </c>
      <c r="E2200">
        <v>1106.5666000000001</v>
      </c>
      <c r="F2200" s="1" t="s">
        <v>17</v>
      </c>
      <c r="G2200">
        <v>5</v>
      </c>
      <c r="H2200">
        <v>4</v>
      </c>
      <c r="I2200" s="1" t="s">
        <v>130</v>
      </c>
      <c r="J2200">
        <v>1</v>
      </c>
      <c r="K2200" t="str">
        <f>IF(Tb_data[[#This Row],[previous_workers]]&lt;Tb_data[[#This Row],[workers]],"yes","no")</f>
        <v>yes</v>
      </c>
      <c r="L2200">
        <f>Tb_data[[#This Row],[workers]]-Tb_data[[#This Row],[previous_workers]]</f>
        <v>1</v>
      </c>
      <c r="M2200" s="12">
        <f>Tb_data[[#This Row],[Employees Growth]]/Tb_data[[#This Row],[previous_workers]]</f>
        <v>0.25</v>
      </c>
    </row>
    <row r="2201" spans="1:13" x14ac:dyDescent="0.25">
      <c r="A2201" s="1" t="s">
        <v>3519</v>
      </c>
      <c r="B2201" s="1" t="s">
        <v>3520</v>
      </c>
      <c r="C2201" s="1">
        <v>411900000</v>
      </c>
      <c r="D2201" s="1" t="s">
        <v>45</v>
      </c>
      <c r="E2201">
        <v>240.59139999999999</v>
      </c>
      <c r="F2201" s="1" t="s">
        <v>17</v>
      </c>
      <c r="G2201">
        <v>579</v>
      </c>
      <c r="H2201">
        <v>181</v>
      </c>
      <c r="I2201" s="1" t="s">
        <v>194</v>
      </c>
      <c r="J2201">
        <v>8</v>
      </c>
      <c r="K2201" t="str">
        <f>IF(Tb_data[[#This Row],[previous_workers]]&lt;Tb_data[[#This Row],[workers]],"yes","no")</f>
        <v>yes</v>
      </c>
      <c r="L2201">
        <f>Tb_data[[#This Row],[workers]]-Tb_data[[#This Row],[previous_workers]]</f>
        <v>398</v>
      </c>
      <c r="M2201" s="12">
        <f>Tb_data[[#This Row],[Employees Growth]]/Tb_data[[#This Row],[previous_workers]]</f>
        <v>2.1988950276243093</v>
      </c>
    </row>
    <row r="2202" spans="1:13" x14ac:dyDescent="0.25">
      <c r="A2202" s="1" t="s">
        <v>8614</v>
      </c>
      <c r="B2202" s="1" t="s">
        <v>8615</v>
      </c>
      <c r="C2202" s="1">
        <v>19300000</v>
      </c>
      <c r="D2202" s="1" t="s">
        <v>179</v>
      </c>
      <c r="E2202">
        <v>72.240600000000001</v>
      </c>
      <c r="F2202" s="1" t="s">
        <v>176</v>
      </c>
      <c r="G2202">
        <v>100</v>
      </c>
      <c r="H2202">
        <v>250</v>
      </c>
      <c r="I2202" s="1" t="s">
        <v>46</v>
      </c>
      <c r="J2202">
        <v>6</v>
      </c>
      <c r="K2202" t="str">
        <f>IF(Tb_data[[#This Row],[previous_workers]]&lt;Tb_data[[#This Row],[workers]],"yes","no")</f>
        <v>no</v>
      </c>
      <c r="L2202">
        <f>Tb_data[[#This Row],[workers]]-Tb_data[[#This Row],[previous_workers]]</f>
        <v>-150</v>
      </c>
      <c r="M2202" s="12">
        <f>Tb_data[[#This Row],[Employees Growth]]/Tb_data[[#This Row],[previous_workers]]</f>
        <v>-0.6</v>
      </c>
    </row>
    <row r="2203" spans="1:13" x14ac:dyDescent="0.25">
      <c r="A2203" s="1" t="s">
        <v>7687</v>
      </c>
      <c r="B2203" s="1" t="s">
        <v>7688</v>
      </c>
      <c r="C2203" s="1">
        <v>2600000</v>
      </c>
      <c r="D2203" s="1" t="s">
        <v>33</v>
      </c>
      <c r="E2203">
        <v>88.250500000000002</v>
      </c>
      <c r="F2203" s="1" t="s">
        <v>156</v>
      </c>
      <c r="G2203">
        <v>25</v>
      </c>
      <c r="H2203">
        <v>8</v>
      </c>
      <c r="I2203" s="1" t="s">
        <v>164</v>
      </c>
      <c r="J2203">
        <v>2</v>
      </c>
      <c r="K2203" t="str">
        <f>IF(Tb_data[[#This Row],[previous_workers]]&lt;Tb_data[[#This Row],[workers]],"yes","no")</f>
        <v>yes</v>
      </c>
      <c r="L2203">
        <f>Tb_data[[#This Row],[workers]]-Tb_data[[#This Row],[previous_workers]]</f>
        <v>17</v>
      </c>
      <c r="M2203" s="12">
        <f>Tb_data[[#This Row],[Employees Growth]]/Tb_data[[#This Row],[previous_workers]]</f>
        <v>2.125</v>
      </c>
    </row>
    <row r="2204" spans="1:13" x14ac:dyDescent="0.25">
      <c r="A2204" s="1" t="s">
        <v>9027</v>
      </c>
      <c r="B2204" s="1" t="s">
        <v>9028</v>
      </c>
      <c r="C2204" s="1">
        <v>13900000</v>
      </c>
      <c r="D2204" s="1" t="s">
        <v>41</v>
      </c>
      <c r="E2204">
        <v>66.302400000000006</v>
      </c>
      <c r="F2204" s="1" t="s">
        <v>97</v>
      </c>
      <c r="G2204">
        <v>85</v>
      </c>
      <c r="H2204">
        <v>45</v>
      </c>
      <c r="I2204" s="1" t="s">
        <v>229</v>
      </c>
      <c r="J2204">
        <v>1</v>
      </c>
      <c r="K2204" t="str">
        <f>IF(Tb_data[[#This Row],[previous_workers]]&lt;Tb_data[[#This Row],[workers]],"yes","no")</f>
        <v>yes</v>
      </c>
      <c r="L2204">
        <f>Tb_data[[#This Row],[workers]]-Tb_data[[#This Row],[previous_workers]]</f>
        <v>40</v>
      </c>
      <c r="M2204" s="12">
        <f>Tb_data[[#This Row],[Employees Growth]]/Tb_data[[#This Row],[previous_workers]]</f>
        <v>0.88888888888888884</v>
      </c>
    </row>
    <row r="2205" spans="1:13" x14ac:dyDescent="0.25">
      <c r="A2205" s="1" t="s">
        <v>1643</v>
      </c>
      <c r="B2205" s="1" t="s">
        <v>1644</v>
      </c>
      <c r="C2205" s="1">
        <v>13800000</v>
      </c>
      <c r="D2205" s="1" t="s">
        <v>49</v>
      </c>
      <c r="E2205">
        <v>563.08190000000002</v>
      </c>
      <c r="F2205" s="1" t="s">
        <v>135</v>
      </c>
      <c r="G2205">
        <v>255</v>
      </c>
      <c r="H2205">
        <v>110</v>
      </c>
      <c r="I2205" s="1" t="s">
        <v>194</v>
      </c>
      <c r="J2205">
        <v>3</v>
      </c>
      <c r="K2205" t="str">
        <f>IF(Tb_data[[#This Row],[previous_workers]]&lt;Tb_data[[#This Row],[workers]],"yes","no")</f>
        <v>yes</v>
      </c>
      <c r="L2205">
        <f>Tb_data[[#This Row],[workers]]-Tb_data[[#This Row],[previous_workers]]</f>
        <v>145</v>
      </c>
      <c r="M2205" s="12">
        <f>Tb_data[[#This Row],[Employees Growth]]/Tb_data[[#This Row],[previous_workers]]</f>
        <v>1.3181818181818181</v>
      </c>
    </row>
    <row r="2206" spans="1:13" x14ac:dyDescent="0.25">
      <c r="A2206" s="1" t="s">
        <v>6379</v>
      </c>
      <c r="B2206" s="1" t="s">
        <v>6380</v>
      </c>
      <c r="C2206" s="1">
        <v>6100000</v>
      </c>
      <c r="D2206" s="1" t="s">
        <v>627</v>
      </c>
      <c r="E2206">
        <v>116.7017</v>
      </c>
      <c r="F2206" s="1" t="s">
        <v>135</v>
      </c>
      <c r="G2206">
        <v>55</v>
      </c>
      <c r="H2206">
        <v>16</v>
      </c>
      <c r="I2206" s="1" t="s">
        <v>948</v>
      </c>
      <c r="J2206">
        <v>5</v>
      </c>
      <c r="K2206" t="str">
        <f>IF(Tb_data[[#This Row],[previous_workers]]&lt;Tb_data[[#This Row],[workers]],"yes","no")</f>
        <v>yes</v>
      </c>
      <c r="L2206">
        <f>Tb_data[[#This Row],[workers]]-Tb_data[[#This Row],[previous_workers]]</f>
        <v>39</v>
      </c>
      <c r="M2206" s="12">
        <f>Tb_data[[#This Row],[Employees Growth]]/Tb_data[[#This Row],[previous_workers]]</f>
        <v>2.4375</v>
      </c>
    </row>
    <row r="2207" spans="1:13" x14ac:dyDescent="0.25">
      <c r="A2207" s="1" t="s">
        <v>9552</v>
      </c>
      <c r="B2207" s="1" t="s">
        <v>9553</v>
      </c>
      <c r="C2207" s="1">
        <v>13500000</v>
      </c>
      <c r="D2207" s="1" t="s">
        <v>422</v>
      </c>
      <c r="E2207">
        <v>59.690600000000003</v>
      </c>
      <c r="F2207" s="1" t="s">
        <v>514</v>
      </c>
      <c r="G2207">
        <v>70</v>
      </c>
      <c r="H2207">
        <v>55</v>
      </c>
      <c r="I2207" s="1" t="s">
        <v>46</v>
      </c>
      <c r="J2207">
        <v>5</v>
      </c>
      <c r="K2207" t="str">
        <f>IF(Tb_data[[#This Row],[previous_workers]]&lt;Tb_data[[#This Row],[workers]],"yes","no")</f>
        <v>yes</v>
      </c>
      <c r="L2207">
        <f>Tb_data[[#This Row],[workers]]-Tb_data[[#This Row],[previous_workers]]</f>
        <v>15</v>
      </c>
      <c r="M2207" s="12">
        <f>Tb_data[[#This Row],[Employees Growth]]/Tb_data[[#This Row],[previous_workers]]</f>
        <v>0.27272727272727271</v>
      </c>
    </row>
    <row r="2208" spans="1:13" x14ac:dyDescent="0.25">
      <c r="A2208" s="1" t="s">
        <v>3850</v>
      </c>
      <c r="B2208" s="1" t="s">
        <v>3851</v>
      </c>
      <c r="C2208" s="1">
        <v>6400000</v>
      </c>
      <c r="D2208" s="1" t="s">
        <v>129</v>
      </c>
      <c r="E2208">
        <v>217.41220000000001</v>
      </c>
      <c r="F2208" s="1" t="s">
        <v>97</v>
      </c>
      <c r="G2208">
        <v>32</v>
      </c>
      <c r="H2208">
        <v>10</v>
      </c>
      <c r="I2208" s="1" t="s">
        <v>130</v>
      </c>
      <c r="J2208">
        <v>3</v>
      </c>
      <c r="K2208" t="str">
        <f>IF(Tb_data[[#This Row],[previous_workers]]&lt;Tb_data[[#This Row],[workers]],"yes","no")</f>
        <v>yes</v>
      </c>
      <c r="L2208">
        <f>Tb_data[[#This Row],[workers]]-Tb_data[[#This Row],[previous_workers]]</f>
        <v>22</v>
      </c>
      <c r="M2208" s="12">
        <f>Tb_data[[#This Row],[Employees Growth]]/Tb_data[[#This Row],[previous_workers]]</f>
        <v>2.2000000000000002</v>
      </c>
    </row>
    <row r="2209" spans="1:13" x14ac:dyDescent="0.25">
      <c r="A2209" s="1" t="s">
        <v>9538</v>
      </c>
      <c r="B2209" s="1" t="s">
        <v>9539</v>
      </c>
      <c r="C2209" s="1">
        <v>29200000</v>
      </c>
      <c r="D2209" s="1" t="s">
        <v>20</v>
      </c>
      <c r="E2209">
        <v>59.7791</v>
      </c>
      <c r="F2209" s="1" t="s">
        <v>17</v>
      </c>
      <c r="G2209">
        <v>76</v>
      </c>
      <c r="H2209">
        <v>55</v>
      </c>
      <c r="I2209" s="1" t="s">
        <v>229</v>
      </c>
      <c r="J2209">
        <v>11</v>
      </c>
      <c r="K2209" t="str">
        <f>IF(Tb_data[[#This Row],[previous_workers]]&lt;Tb_data[[#This Row],[workers]],"yes","no")</f>
        <v>yes</v>
      </c>
      <c r="L2209">
        <f>Tb_data[[#This Row],[workers]]-Tb_data[[#This Row],[previous_workers]]</f>
        <v>21</v>
      </c>
      <c r="M2209" s="12">
        <f>Tb_data[[#This Row],[Employees Growth]]/Tb_data[[#This Row],[previous_workers]]</f>
        <v>0.38181818181818183</v>
      </c>
    </row>
    <row r="2210" spans="1:13" x14ac:dyDescent="0.25">
      <c r="A2210" s="1" t="s">
        <v>4593</v>
      </c>
      <c r="B2210" s="1" t="s">
        <v>4594</v>
      </c>
      <c r="C2210" s="1">
        <v>6800000</v>
      </c>
      <c r="D2210" s="1" t="s">
        <v>120</v>
      </c>
      <c r="E2210">
        <v>178.97790000000001</v>
      </c>
      <c r="F2210" s="1" t="s">
        <v>86</v>
      </c>
      <c r="G2210">
        <v>27</v>
      </c>
      <c r="H2210">
        <v>6</v>
      </c>
      <c r="I2210" s="1" t="s">
        <v>26</v>
      </c>
      <c r="J2210">
        <v>3</v>
      </c>
      <c r="K2210" t="str">
        <f>IF(Tb_data[[#This Row],[previous_workers]]&lt;Tb_data[[#This Row],[workers]],"yes","no")</f>
        <v>yes</v>
      </c>
      <c r="L2210">
        <f>Tb_data[[#This Row],[workers]]-Tb_data[[#This Row],[previous_workers]]</f>
        <v>21</v>
      </c>
      <c r="M2210" s="12">
        <f>Tb_data[[#This Row],[Employees Growth]]/Tb_data[[#This Row],[previous_workers]]</f>
        <v>3.5</v>
      </c>
    </row>
    <row r="2211" spans="1:13" x14ac:dyDescent="0.25">
      <c r="A2211" s="1" t="s">
        <v>2771</v>
      </c>
      <c r="B2211" s="1" t="s">
        <v>2772</v>
      </c>
      <c r="C2211" s="1">
        <v>38900000</v>
      </c>
      <c r="D2211" s="1" t="s">
        <v>41</v>
      </c>
      <c r="E2211">
        <v>310.63920000000002</v>
      </c>
      <c r="F2211" s="1" t="s">
        <v>135</v>
      </c>
      <c r="G2211">
        <v>191</v>
      </c>
      <c r="H2211">
        <v>48</v>
      </c>
      <c r="I2211" s="1" t="s">
        <v>74</v>
      </c>
      <c r="J2211">
        <v>1</v>
      </c>
      <c r="K2211" t="str">
        <f>IF(Tb_data[[#This Row],[previous_workers]]&lt;Tb_data[[#This Row],[workers]],"yes","no")</f>
        <v>yes</v>
      </c>
      <c r="L2211">
        <f>Tb_data[[#This Row],[workers]]-Tb_data[[#This Row],[previous_workers]]</f>
        <v>143</v>
      </c>
      <c r="M2211" s="12">
        <f>Tb_data[[#This Row],[Employees Growth]]/Tb_data[[#This Row],[previous_workers]]</f>
        <v>2.9791666666666665</v>
      </c>
    </row>
    <row r="2212" spans="1:13" x14ac:dyDescent="0.25">
      <c r="A2212" s="1" t="s">
        <v>8149</v>
      </c>
      <c r="B2212" s="1" t="s">
        <v>8150</v>
      </c>
      <c r="C2212" s="1">
        <v>34000000</v>
      </c>
      <c r="D2212" s="1" t="s">
        <v>41</v>
      </c>
      <c r="E2212">
        <v>80.5137</v>
      </c>
      <c r="F2212" s="1" t="s">
        <v>97</v>
      </c>
      <c r="G2212">
        <v>221</v>
      </c>
      <c r="H2212">
        <v>122</v>
      </c>
      <c r="I2212" s="1" t="s">
        <v>295</v>
      </c>
      <c r="J2212">
        <v>3</v>
      </c>
      <c r="K2212" t="str">
        <f>IF(Tb_data[[#This Row],[previous_workers]]&lt;Tb_data[[#This Row],[workers]],"yes","no")</f>
        <v>yes</v>
      </c>
      <c r="L2212">
        <f>Tb_data[[#This Row],[workers]]-Tb_data[[#This Row],[previous_workers]]</f>
        <v>99</v>
      </c>
      <c r="M2212" s="12">
        <f>Tb_data[[#This Row],[Employees Growth]]/Tb_data[[#This Row],[previous_workers]]</f>
        <v>0.81147540983606559</v>
      </c>
    </row>
    <row r="2213" spans="1:13" x14ac:dyDescent="0.25">
      <c r="A2213" s="1" t="s">
        <v>4804</v>
      </c>
      <c r="B2213" s="1" t="s">
        <v>4805</v>
      </c>
      <c r="C2213" s="1">
        <v>2200000</v>
      </c>
      <c r="D2213" s="1" t="s">
        <v>254</v>
      </c>
      <c r="E2213">
        <v>169.5958</v>
      </c>
      <c r="F2213" s="1" t="s">
        <v>42</v>
      </c>
      <c r="G2213">
        <v>6</v>
      </c>
      <c r="H2213">
        <v>3</v>
      </c>
      <c r="I2213" s="1" t="s">
        <v>117</v>
      </c>
      <c r="J2213">
        <v>2</v>
      </c>
      <c r="K2213" t="str">
        <f>IF(Tb_data[[#This Row],[previous_workers]]&lt;Tb_data[[#This Row],[workers]],"yes","no")</f>
        <v>yes</v>
      </c>
      <c r="L2213">
        <f>Tb_data[[#This Row],[workers]]-Tb_data[[#This Row],[previous_workers]]</f>
        <v>3</v>
      </c>
      <c r="M2213" s="12">
        <f>Tb_data[[#This Row],[Employees Growth]]/Tb_data[[#This Row],[previous_workers]]</f>
        <v>1</v>
      </c>
    </row>
    <row r="2214" spans="1:13" x14ac:dyDescent="0.25">
      <c r="A2214" s="1" t="s">
        <v>6757</v>
      </c>
      <c r="B2214" s="1" t="s">
        <v>6758</v>
      </c>
      <c r="C2214" s="1">
        <v>98900000</v>
      </c>
      <c r="D2214" s="1" t="s">
        <v>179</v>
      </c>
      <c r="E2214">
        <v>107.5645</v>
      </c>
      <c r="F2214" s="1" t="s">
        <v>176</v>
      </c>
      <c r="G2214">
        <v>400</v>
      </c>
      <c r="H2214">
        <v>300</v>
      </c>
      <c r="I2214" s="1" t="s">
        <v>147</v>
      </c>
      <c r="J2214">
        <v>2</v>
      </c>
      <c r="K2214" t="str">
        <f>IF(Tb_data[[#This Row],[previous_workers]]&lt;Tb_data[[#This Row],[workers]],"yes","no")</f>
        <v>yes</v>
      </c>
      <c r="L2214">
        <f>Tb_data[[#This Row],[workers]]-Tb_data[[#This Row],[previous_workers]]</f>
        <v>100</v>
      </c>
      <c r="M2214" s="12">
        <f>Tb_data[[#This Row],[Employees Growth]]/Tb_data[[#This Row],[previous_workers]]</f>
        <v>0.33333333333333331</v>
      </c>
    </row>
    <row r="2215" spans="1:13" x14ac:dyDescent="0.25">
      <c r="A2215" s="1" t="s">
        <v>6605</v>
      </c>
      <c r="B2215" s="1" t="s">
        <v>6606</v>
      </c>
      <c r="C2215" s="1">
        <v>3800000</v>
      </c>
      <c r="D2215" s="1" t="s">
        <v>61</v>
      </c>
      <c r="E2215">
        <v>111.34010000000001</v>
      </c>
      <c r="F2215" s="1" t="s">
        <v>176</v>
      </c>
      <c r="G2215">
        <v>45</v>
      </c>
      <c r="H2215">
        <v>20</v>
      </c>
      <c r="I2215" s="1" t="s">
        <v>164</v>
      </c>
      <c r="J2215">
        <v>2</v>
      </c>
      <c r="K2215" t="str">
        <f>IF(Tb_data[[#This Row],[previous_workers]]&lt;Tb_data[[#This Row],[workers]],"yes","no")</f>
        <v>yes</v>
      </c>
      <c r="L2215">
        <f>Tb_data[[#This Row],[workers]]-Tb_data[[#This Row],[previous_workers]]</f>
        <v>25</v>
      </c>
      <c r="M2215" s="12">
        <f>Tb_data[[#This Row],[Employees Growth]]/Tb_data[[#This Row],[previous_workers]]</f>
        <v>1.25</v>
      </c>
    </row>
    <row r="2216" spans="1:13" x14ac:dyDescent="0.25">
      <c r="A2216" s="1" t="s">
        <v>9986</v>
      </c>
      <c r="B2216" s="1" t="s">
        <v>9987</v>
      </c>
      <c r="C2216" s="1">
        <v>46800000</v>
      </c>
      <c r="D2216" s="1" t="s">
        <v>427</v>
      </c>
      <c r="E2216">
        <v>53.624600000000001</v>
      </c>
      <c r="F2216" s="1" t="s">
        <v>62</v>
      </c>
      <c r="G2216">
        <v>90</v>
      </c>
      <c r="H2216">
        <v>70</v>
      </c>
      <c r="I2216" s="1" t="s">
        <v>372</v>
      </c>
      <c r="J2216">
        <v>3</v>
      </c>
      <c r="K2216" t="str">
        <f>IF(Tb_data[[#This Row],[previous_workers]]&lt;Tb_data[[#This Row],[workers]],"yes","no")</f>
        <v>yes</v>
      </c>
      <c r="L2216">
        <f>Tb_data[[#This Row],[workers]]-Tb_data[[#This Row],[previous_workers]]</f>
        <v>20</v>
      </c>
      <c r="M2216" s="12">
        <f>Tb_data[[#This Row],[Employees Growth]]/Tb_data[[#This Row],[previous_workers]]</f>
        <v>0.2857142857142857</v>
      </c>
    </row>
    <row r="2217" spans="1:13" x14ac:dyDescent="0.25">
      <c r="A2217" s="1" t="s">
        <v>9135</v>
      </c>
      <c r="B2217" s="1" t="s">
        <v>9136</v>
      </c>
      <c r="C2217" s="1">
        <v>23000000</v>
      </c>
      <c r="D2217" s="1" t="s">
        <v>49</v>
      </c>
      <c r="E2217">
        <v>64.9542</v>
      </c>
      <c r="F2217" s="1" t="s">
        <v>34</v>
      </c>
      <c r="G2217">
        <v>680</v>
      </c>
      <c r="H2217">
        <v>500</v>
      </c>
      <c r="I2217" s="1" t="s">
        <v>2374</v>
      </c>
      <c r="J2217">
        <v>3</v>
      </c>
      <c r="K2217" t="str">
        <f>IF(Tb_data[[#This Row],[previous_workers]]&lt;Tb_data[[#This Row],[workers]],"yes","no")</f>
        <v>yes</v>
      </c>
      <c r="L2217">
        <f>Tb_data[[#This Row],[workers]]-Tb_data[[#This Row],[previous_workers]]</f>
        <v>180</v>
      </c>
      <c r="M2217" s="12">
        <f>Tb_data[[#This Row],[Employees Growth]]/Tb_data[[#This Row],[previous_workers]]</f>
        <v>0.36</v>
      </c>
    </row>
    <row r="2218" spans="1:13" x14ac:dyDescent="0.25">
      <c r="A2218" s="1" t="s">
        <v>6661</v>
      </c>
      <c r="B2218" s="1" t="s">
        <v>6662</v>
      </c>
      <c r="C2218" s="1">
        <v>69500000</v>
      </c>
      <c r="D2218" s="1" t="s">
        <v>61</v>
      </c>
      <c r="E2218">
        <v>110.0264</v>
      </c>
      <c r="F2218" s="1" t="s">
        <v>62</v>
      </c>
      <c r="G2218">
        <v>400</v>
      </c>
      <c r="H2218">
        <v>240</v>
      </c>
      <c r="I2218" s="1" t="s">
        <v>295</v>
      </c>
      <c r="J2218">
        <v>1</v>
      </c>
      <c r="K2218" t="str">
        <f>IF(Tb_data[[#This Row],[previous_workers]]&lt;Tb_data[[#This Row],[workers]],"yes","no")</f>
        <v>yes</v>
      </c>
      <c r="L2218">
        <f>Tb_data[[#This Row],[workers]]-Tb_data[[#This Row],[previous_workers]]</f>
        <v>160</v>
      </c>
      <c r="M2218" s="12">
        <f>Tb_data[[#This Row],[Employees Growth]]/Tb_data[[#This Row],[previous_workers]]</f>
        <v>0.66666666666666663</v>
      </c>
    </row>
    <row r="2219" spans="1:13" x14ac:dyDescent="0.25">
      <c r="A2219" s="1" t="s">
        <v>8329</v>
      </c>
      <c r="B2219" s="1" t="s">
        <v>8330</v>
      </c>
      <c r="C2219" s="1">
        <v>11300000</v>
      </c>
      <c r="D2219" s="1" t="s">
        <v>69</v>
      </c>
      <c r="E2219">
        <v>77.403800000000004</v>
      </c>
      <c r="F2219" s="1" t="s">
        <v>156</v>
      </c>
      <c r="G2219">
        <v>85</v>
      </c>
      <c r="H2219">
        <v>28</v>
      </c>
      <c r="I2219" s="1" t="s">
        <v>4080</v>
      </c>
      <c r="J2219">
        <v>2</v>
      </c>
      <c r="K2219" t="str">
        <f>IF(Tb_data[[#This Row],[previous_workers]]&lt;Tb_data[[#This Row],[workers]],"yes","no")</f>
        <v>yes</v>
      </c>
      <c r="L2219">
        <f>Tb_data[[#This Row],[workers]]-Tb_data[[#This Row],[previous_workers]]</f>
        <v>57</v>
      </c>
      <c r="M2219" s="12">
        <f>Tb_data[[#This Row],[Employees Growth]]/Tb_data[[#This Row],[previous_workers]]</f>
        <v>2.0357142857142856</v>
      </c>
    </row>
    <row r="2220" spans="1:13" x14ac:dyDescent="0.25">
      <c r="A2220" s="1" t="s">
        <v>8961</v>
      </c>
      <c r="B2220" s="1" t="s">
        <v>8962</v>
      </c>
      <c r="C2220" s="1">
        <v>25300000</v>
      </c>
      <c r="D2220" s="1" t="s">
        <v>33</v>
      </c>
      <c r="E2220">
        <v>67.118300000000005</v>
      </c>
      <c r="F2220" s="1" t="s">
        <v>112</v>
      </c>
      <c r="G2220">
        <v>72</v>
      </c>
      <c r="H2220">
        <v>49</v>
      </c>
      <c r="I2220" s="1" t="s">
        <v>147</v>
      </c>
      <c r="J2220">
        <v>1</v>
      </c>
      <c r="K2220" t="str">
        <f>IF(Tb_data[[#This Row],[previous_workers]]&lt;Tb_data[[#This Row],[workers]],"yes","no")</f>
        <v>yes</v>
      </c>
      <c r="L2220">
        <f>Tb_data[[#This Row],[workers]]-Tb_data[[#This Row],[previous_workers]]</f>
        <v>23</v>
      </c>
      <c r="M2220" s="12">
        <f>Tb_data[[#This Row],[Employees Growth]]/Tb_data[[#This Row],[previous_workers]]</f>
        <v>0.46938775510204084</v>
      </c>
    </row>
    <row r="2221" spans="1:13" x14ac:dyDescent="0.25">
      <c r="A2221" s="1" t="s">
        <v>1326</v>
      </c>
      <c r="B2221" s="1" t="s">
        <v>1327</v>
      </c>
      <c r="C2221" s="1">
        <v>2200000</v>
      </c>
      <c r="D2221" s="1" t="s">
        <v>91</v>
      </c>
      <c r="E2221">
        <v>722.20240000000001</v>
      </c>
      <c r="F2221" s="1" t="s">
        <v>34</v>
      </c>
      <c r="G2221">
        <v>69</v>
      </c>
      <c r="H2221">
        <v>18</v>
      </c>
      <c r="I2221" s="1" t="s">
        <v>26</v>
      </c>
      <c r="J2221">
        <v>1</v>
      </c>
      <c r="K2221" t="str">
        <f>IF(Tb_data[[#This Row],[previous_workers]]&lt;Tb_data[[#This Row],[workers]],"yes","no")</f>
        <v>yes</v>
      </c>
      <c r="L2221">
        <f>Tb_data[[#This Row],[workers]]-Tb_data[[#This Row],[previous_workers]]</f>
        <v>51</v>
      </c>
      <c r="M2221" s="12">
        <f>Tb_data[[#This Row],[Employees Growth]]/Tb_data[[#This Row],[previous_workers]]</f>
        <v>2.8333333333333335</v>
      </c>
    </row>
    <row r="2222" spans="1:13" x14ac:dyDescent="0.25">
      <c r="A2222" s="1" t="s">
        <v>5616</v>
      </c>
      <c r="B2222" s="1" t="s">
        <v>5617</v>
      </c>
      <c r="C2222" s="1">
        <v>24700000</v>
      </c>
      <c r="D2222" s="1" t="s">
        <v>41</v>
      </c>
      <c r="E2222">
        <v>137.23509999999999</v>
      </c>
      <c r="F2222" s="1" t="s">
        <v>97</v>
      </c>
      <c r="G2222">
        <v>112</v>
      </c>
      <c r="H2222">
        <v>72</v>
      </c>
      <c r="I2222" s="1" t="s">
        <v>1411</v>
      </c>
      <c r="J2222">
        <v>1</v>
      </c>
      <c r="K2222" t="str">
        <f>IF(Tb_data[[#This Row],[previous_workers]]&lt;Tb_data[[#This Row],[workers]],"yes","no")</f>
        <v>yes</v>
      </c>
      <c r="L2222">
        <f>Tb_data[[#This Row],[workers]]-Tb_data[[#This Row],[previous_workers]]</f>
        <v>40</v>
      </c>
      <c r="M2222" s="12">
        <f>Tb_data[[#This Row],[Employees Growth]]/Tb_data[[#This Row],[previous_workers]]</f>
        <v>0.55555555555555558</v>
      </c>
    </row>
    <row r="2223" spans="1:13" x14ac:dyDescent="0.25">
      <c r="A2223" s="1" t="s">
        <v>8401</v>
      </c>
      <c r="B2223" s="1" t="s">
        <v>8402</v>
      </c>
      <c r="C2223" s="1">
        <v>6400000</v>
      </c>
      <c r="D2223" s="1" t="s">
        <v>45</v>
      </c>
      <c r="E2223">
        <v>75.994500000000002</v>
      </c>
      <c r="F2223" s="1" t="s">
        <v>3264</v>
      </c>
      <c r="G2223">
        <v>25</v>
      </c>
      <c r="H2223">
        <v>15</v>
      </c>
      <c r="I2223" s="1" t="s">
        <v>164</v>
      </c>
      <c r="J2223">
        <v>1</v>
      </c>
      <c r="K2223" t="str">
        <f>IF(Tb_data[[#This Row],[previous_workers]]&lt;Tb_data[[#This Row],[workers]],"yes","no")</f>
        <v>yes</v>
      </c>
      <c r="L2223">
        <f>Tb_data[[#This Row],[workers]]-Tb_data[[#This Row],[previous_workers]]</f>
        <v>10</v>
      </c>
      <c r="M2223" s="12">
        <f>Tb_data[[#This Row],[Employees Growth]]/Tb_data[[#This Row],[previous_workers]]</f>
        <v>0.66666666666666663</v>
      </c>
    </row>
    <row r="2224" spans="1:13" x14ac:dyDescent="0.25">
      <c r="A2224" s="1" t="s">
        <v>617</v>
      </c>
      <c r="B2224" s="1" t="s">
        <v>618</v>
      </c>
      <c r="C2224" s="1">
        <v>2600000</v>
      </c>
      <c r="D2224" s="1" t="s">
        <v>49</v>
      </c>
      <c r="E2224">
        <v>1650.1407999999999</v>
      </c>
      <c r="F2224" s="1" t="s">
        <v>142</v>
      </c>
      <c r="G2224">
        <v>18</v>
      </c>
      <c r="H2224">
        <v>3</v>
      </c>
      <c r="I2224" s="1" t="s">
        <v>13</v>
      </c>
      <c r="J2224">
        <v>1</v>
      </c>
      <c r="K2224" t="str">
        <f>IF(Tb_data[[#This Row],[previous_workers]]&lt;Tb_data[[#This Row],[workers]],"yes","no")</f>
        <v>yes</v>
      </c>
      <c r="L2224">
        <f>Tb_data[[#This Row],[workers]]-Tb_data[[#This Row],[previous_workers]]</f>
        <v>15</v>
      </c>
      <c r="M2224" s="12">
        <f>Tb_data[[#This Row],[Employees Growth]]/Tb_data[[#This Row],[previous_workers]]</f>
        <v>5</v>
      </c>
    </row>
    <row r="2225" spans="1:13" x14ac:dyDescent="0.25">
      <c r="A2225" s="1" t="s">
        <v>6525</v>
      </c>
      <c r="B2225" s="1" t="s">
        <v>6526</v>
      </c>
      <c r="C2225" s="1">
        <v>6500000</v>
      </c>
      <c r="D2225" s="1" t="s">
        <v>91</v>
      </c>
      <c r="E2225">
        <v>113.173</v>
      </c>
      <c r="F2225" s="1" t="s">
        <v>34</v>
      </c>
      <c r="G2225">
        <v>21</v>
      </c>
      <c r="H2225">
        <v>8</v>
      </c>
      <c r="I2225" s="1" t="s">
        <v>26</v>
      </c>
      <c r="J2225">
        <v>2</v>
      </c>
      <c r="K2225" t="str">
        <f>IF(Tb_data[[#This Row],[previous_workers]]&lt;Tb_data[[#This Row],[workers]],"yes","no")</f>
        <v>yes</v>
      </c>
      <c r="L2225">
        <f>Tb_data[[#This Row],[workers]]-Tb_data[[#This Row],[previous_workers]]</f>
        <v>13</v>
      </c>
      <c r="M2225" s="12">
        <f>Tb_data[[#This Row],[Employees Growth]]/Tb_data[[#This Row],[previous_workers]]</f>
        <v>1.625</v>
      </c>
    </row>
    <row r="2226" spans="1:13" x14ac:dyDescent="0.25">
      <c r="A2226" s="1" t="s">
        <v>2699</v>
      </c>
      <c r="B2226" s="1" t="s">
        <v>2700</v>
      </c>
      <c r="C2226" s="1">
        <v>26600000</v>
      </c>
      <c r="D2226" s="1" t="s">
        <v>115</v>
      </c>
      <c r="E2226">
        <v>318.97230000000002</v>
      </c>
      <c r="F2226" s="1" t="s">
        <v>124</v>
      </c>
      <c r="G2226">
        <v>75</v>
      </c>
      <c r="H2226">
        <v>23</v>
      </c>
      <c r="I2226" s="1" t="s">
        <v>295</v>
      </c>
      <c r="J2226">
        <v>1</v>
      </c>
      <c r="K2226" t="str">
        <f>IF(Tb_data[[#This Row],[previous_workers]]&lt;Tb_data[[#This Row],[workers]],"yes","no")</f>
        <v>yes</v>
      </c>
      <c r="L2226">
        <f>Tb_data[[#This Row],[workers]]-Tb_data[[#This Row],[previous_workers]]</f>
        <v>52</v>
      </c>
      <c r="M2226" s="12">
        <f>Tb_data[[#This Row],[Employees Growth]]/Tb_data[[#This Row],[previous_workers]]</f>
        <v>2.2608695652173911</v>
      </c>
    </row>
    <row r="2227" spans="1:13" x14ac:dyDescent="0.25">
      <c r="A2227" s="1" t="s">
        <v>8359</v>
      </c>
      <c r="B2227" s="1" t="s">
        <v>8360</v>
      </c>
      <c r="C2227" s="1">
        <v>6200000</v>
      </c>
      <c r="D2227" s="1" t="s">
        <v>254</v>
      </c>
      <c r="E2227">
        <v>76.857900000000001</v>
      </c>
      <c r="F2227" s="1" t="s">
        <v>310</v>
      </c>
      <c r="G2227">
        <v>40</v>
      </c>
      <c r="H2227">
        <v>18</v>
      </c>
      <c r="I2227" s="1" t="s">
        <v>117</v>
      </c>
      <c r="J2227">
        <v>2</v>
      </c>
      <c r="K2227" t="str">
        <f>IF(Tb_data[[#This Row],[previous_workers]]&lt;Tb_data[[#This Row],[workers]],"yes","no")</f>
        <v>yes</v>
      </c>
      <c r="L2227">
        <f>Tb_data[[#This Row],[workers]]-Tb_data[[#This Row],[previous_workers]]</f>
        <v>22</v>
      </c>
      <c r="M2227" s="12">
        <f>Tb_data[[#This Row],[Employees Growth]]/Tb_data[[#This Row],[previous_workers]]</f>
        <v>1.2222222222222223</v>
      </c>
    </row>
    <row r="2228" spans="1:13" x14ac:dyDescent="0.25">
      <c r="A2228" s="1" t="s">
        <v>9283</v>
      </c>
      <c r="B2228" s="1" t="s">
        <v>9284</v>
      </c>
      <c r="C2228" s="1">
        <v>8600000</v>
      </c>
      <c r="D2228" s="1" t="s">
        <v>33</v>
      </c>
      <c r="E2228">
        <v>63.017000000000003</v>
      </c>
      <c r="F2228" s="1" t="s">
        <v>17</v>
      </c>
      <c r="G2228">
        <v>30</v>
      </c>
      <c r="H2228">
        <v>8</v>
      </c>
      <c r="I2228" s="1" t="s">
        <v>194</v>
      </c>
      <c r="J2228">
        <v>1</v>
      </c>
      <c r="K2228" t="str">
        <f>IF(Tb_data[[#This Row],[previous_workers]]&lt;Tb_data[[#This Row],[workers]],"yes","no")</f>
        <v>yes</v>
      </c>
      <c r="L2228">
        <f>Tb_data[[#This Row],[workers]]-Tb_data[[#This Row],[previous_workers]]</f>
        <v>22</v>
      </c>
      <c r="M2228" s="12">
        <f>Tb_data[[#This Row],[Employees Growth]]/Tb_data[[#This Row],[previous_workers]]</f>
        <v>2.75</v>
      </c>
    </row>
    <row r="2229" spans="1:13" x14ac:dyDescent="0.25">
      <c r="A2229" s="1" t="s">
        <v>7989</v>
      </c>
      <c r="B2229" s="1" t="s">
        <v>7990</v>
      </c>
      <c r="C2229" s="1">
        <v>4400000</v>
      </c>
      <c r="D2229" s="1" t="s">
        <v>38</v>
      </c>
      <c r="E2229">
        <v>82.997500000000002</v>
      </c>
      <c r="F2229" s="1" t="s">
        <v>142</v>
      </c>
      <c r="G2229">
        <v>28</v>
      </c>
      <c r="H2229">
        <v>19</v>
      </c>
      <c r="I2229" s="1" t="s">
        <v>229</v>
      </c>
      <c r="J2229">
        <v>4</v>
      </c>
      <c r="K2229" t="str">
        <f>IF(Tb_data[[#This Row],[previous_workers]]&lt;Tb_data[[#This Row],[workers]],"yes","no")</f>
        <v>yes</v>
      </c>
      <c r="L2229">
        <f>Tb_data[[#This Row],[workers]]-Tb_data[[#This Row],[previous_workers]]</f>
        <v>9</v>
      </c>
      <c r="M2229" s="12">
        <f>Tb_data[[#This Row],[Employees Growth]]/Tb_data[[#This Row],[previous_workers]]</f>
        <v>0.47368421052631576</v>
      </c>
    </row>
    <row r="2230" spans="1:13" x14ac:dyDescent="0.25">
      <c r="A2230" s="1" t="s">
        <v>9421</v>
      </c>
      <c r="B2230" s="1" t="s">
        <v>9422</v>
      </c>
      <c r="C2230" s="1">
        <v>7900000</v>
      </c>
      <c r="D2230" s="1" t="s">
        <v>38</v>
      </c>
      <c r="E2230">
        <v>61.234200000000001</v>
      </c>
      <c r="F2230" s="1" t="s">
        <v>86</v>
      </c>
      <c r="G2230">
        <v>45</v>
      </c>
      <c r="H2230">
        <v>30</v>
      </c>
      <c r="I2230" s="1" t="s">
        <v>1411</v>
      </c>
      <c r="J2230">
        <v>7</v>
      </c>
      <c r="K2230" t="str">
        <f>IF(Tb_data[[#This Row],[previous_workers]]&lt;Tb_data[[#This Row],[workers]],"yes","no")</f>
        <v>yes</v>
      </c>
      <c r="L2230">
        <f>Tb_data[[#This Row],[workers]]-Tb_data[[#This Row],[previous_workers]]</f>
        <v>15</v>
      </c>
      <c r="M2230" s="12">
        <f>Tb_data[[#This Row],[Employees Growth]]/Tb_data[[#This Row],[previous_workers]]</f>
        <v>0.5</v>
      </c>
    </row>
    <row r="2231" spans="1:13" x14ac:dyDescent="0.25">
      <c r="A2231" s="1" t="s">
        <v>10052</v>
      </c>
      <c r="B2231" s="1" t="s">
        <v>10053</v>
      </c>
      <c r="C2231" s="1">
        <v>6500000</v>
      </c>
      <c r="D2231" s="1" t="s">
        <v>16</v>
      </c>
      <c r="E2231">
        <v>52.795499999999997</v>
      </c>
      <c r="F2231" s="1" t="s">
        <v>142</v>
      </c>
      <c r="G2231">
        <v>17</v>
      </c>
      <c r="H2231">
        <v>9</v>
      </c>
      <c r="I2231" s="1" t="s">
        <v>117</v>
      </c>
      <c r="J2231">
        <v>6</v>
      </c>
      <c r="K2231" t="str">
        <f>IF(Tb_data[[#This Row],[previous_workers]]&lt;Tb_data[[#This Row],[workers]],"yes","no")</f>
        <v>yes</v>
      </c>
      <c r="L2231">
        <f>Tb_data[[#This Row],[workers]]-Tb_data[[#This Row],[previous_workers]]</f>
        <v>8</v>
      </c>
      <c r="M2231" s="12">
        <f>Tb_data[[#This Row],[Employees Growth]]/Tb_data[[#This Row],[previous_workers]]</f>
        <v>0.88888888888888884</v>
      </c>
    </row>
    <row r="2232" spans="1:13" x14ac:dyDescent="0.25">
      <c r="A2232" s="1" t="s">
        <v>6365</v>
      </c>
      <c r="B2232" s="1" t="s">
        <v>6366</v>
      </c>
      <c r="C2232" s="1">
        <v>33100000</v>
      </c>
      <c r="D2232" s="1" t="s">
        <v>49</v>
      </c>
      <c r="E2232">
        <v>117.01860000000001</v>
      </c>
      <c r="F2232" s="1" t="s">
        <v>100</v>
      </c>
      <c r="G2232">
        <v>44</v>
      </c>
      <c r="H2232">
        <v>11</v>
      </c>
      <c r="I2232" s="1" t="s">
        <v>130</v>
      </c>
      <c r="J2232">
        <v>4</v>
      </c>
      <c r="K2232" t="str">
        <f>IF(Tb_data[[#This Row],[previous_workers]]&lt;Tb_data[[#This Row],[workers]],"yes","no")</f>
        <v>yes</v>
      </c>
      <c r="L2232">
        <f>Tb_data[[#This Row],[workers]]-Tb_data[[#This Row],[previous_workers]]</f>
        <v>33</v>
      </c>
      <c r="M2232" s="12">
        <f>Tb_data[[#This Row],[Employees Growth]]/Tb_data[[#This Row],[previous_workers]]</f>
        <v>3</v>
      </c>
    </row>
    <row r="2233" spans="1:13" x14ac:dyDescent="0.25">
      <c r="A2233" s="1" t="s">
        <v>2010</v>
      </c>
      <c r="B2233" s="1" t="s">
        <v>2011</v>
      </c>
      <c r="C2233" s="1">
        <v>5100000</v>
      </c>
      <c r="D2233" s="1" t="s">
        <v>41</v>
      </c>
      <c r="E2233">
        <v>447.84589999999997</v>
      </c>
      <c r="F2233" s="1" t="s">
        <v>156</v>
      </c>
      <c r="G2233">
        <v>52</v>
      </c>
      <c r="H2233">
        <v>15</v>
      </c>
      <c r="I2233" s="1" t="s">
        <v>147</v>
      </c>
      <c r="J2233">
        <v>2</v>
      </c>
      <c r="K2233" t="str">
        <f>IF(Tb_data[[#This Row],[previous_workers]]&lt;Tb_data[[#This Row],[workers]],"yes","no")</f>
        <v>yes</v>
      </c>
      <c r="L2233">
        <f>Tb_data[[#This Row],[workers]]-Tb_data[[#This Row],[previous_workers]]</f>
        <v>37</v>
      </c>
      <c r="M2233" s="12">
        <f>Tb_data[[#This Row],[Employees Growth]]/Tb_data[[#This Row],[previous_workers]]</f>
        <v>2.4666666666666668</v>
      </c>
    </row>
    <row r="2234" spans="1:13" x14ac:dyDescent="0.25">
      <c r="A2234" s="1" t="s">
        <v>8435</v>
      </c>
      <c r="B2234" s="1" t="s">
        <v>8436</v>
      </c>
      <c r="C2234" s="1">
        <v>57300000</v>
      </c>
      <c r="D2234" s="1" t="s">
        <v>1021</v>
      </c>
      <c r="E2234">
        <v>75.091300000000004</v>
      </c>
      <c r="F2234" s="1" t="s">
        <v>156</v>
      </c>
      <c r="G2234">
        <v>188</v>
      </c>
      <c r="H2234">
        <v>138</v>
      </c>
      <c r="I2234" s="1" t="s">
        <v>1411</v>
      </c>
      <c r="J2234">
        <v>11</v>
      </c>
      <c r="K2234" t="str">
        <f>IF(Tb_data[[#This Row],[previous_workers]]&lt;Tb_data[[#This Row],[workers]],"yes","no")</f>
        <v>yes</v>
      </c>
      <c r="L2234">
        <f>Tb_data[[#This Row],[workers]]-Tb_data[[#This Row],[previous_workers]]</f>
        <v>50</v>
      </c>
      <c r="M2234" s="12">
        <f>Tb_data[[#This Row],[Employees Growth]]/Tb_data[[#This Row],[previous_workers]]</f>
        <v>0.36231884057971014</v>
      </c>
    </row>
    <row r="2235" spans="1:13" x14ac:dyDescent="0.25">
      <c r="A2235" s="1" t="s">
        <v>6875</v>
      </c>
      <c r="B2235" s="1" t="s">
        <v>6877</v>
      </c>
      <c r="C2235" s="1">
        <v>6000000</v>
      </c>
      <c r="D2235" s="1" t="s">
        <v>49</v>
      </c>
      <c r="E2235">
        <v>104.96469999999999</v>
      </c>
      <c r="F2235" s="1" t="s">
        <v>156</v>
      </c>
      <c r="G2235">
        <v>22</v>
      </c>
      <c r="H2235">
        <v>15</v>
      </c>
      <c r="I2235" s="1" t="s">
        <v>1411</v>
      </c>
      <c r="J2235">
        <v>2</v>
      </c>
      <c r="K2235" t="str">
        <f>IF(Tb_data[[#This Row],[previous_workers]]&lt;Tb_data[[#This Row],[workers]],"yes","no")</f>
        <v>yes</v>
      </c>
      <c r="L2235">
        <f>Tb_data[[#This Row],[workers]]-Tb_data[[#This Row],[previous_workers]]</f>
        <v>7</v>
      </c>
      <c r="M2235" s="12">
        <f>Tb_data[[#This Row],[Employees Growth]]/Tb_data[[#This Row],[previous_workers]]</f>
        <v>0.46666666666666667</v>
      </c>
    </row>
    <row r="2236" spans="1:13" x14ac:dyDescent="0.25">
      <c r="A2236" s="1" t="s">
        <v>3515</v>
      </c>
      <c r="B2236" s="1" t="s">
        <v>3516</v>
      </c>
      <c r="C2236" s="1">
        <v>3100000</v>
      </c>
      <c r="D2236" s="1" t="s">
        <v>179</v>
      </c>
      <c r="E2236">
        <v>240.85409999999999</v>
      </c>
      <c r="F2236" s="1" t="s">
        <v>42</v>
      </c>
      <c r="G2236">
        <v>12</v>
      </c>
      <c r="H2236">
        <v>2</v>
      </c>
      <c r="I2236" s="1" t="s">
        <v>13</v>
      </c>
      <c r="J2236">
        <v>1</v>
      </c>
      <c r="K2236" t="str">
        <f>IF(Tb_data[[#This Row],[previous_workers]]&lt;Tb_data[[#This Row],[workers]],"yes","no")</f>
        <v>yes</v>
      </c>
      <c r="L2236">
        <f>Tb_data[[#This Row],[workers]]-Tb_data[[#This Row],[previous_workers]]</f>
        <v>10</v>
      </c>
      <c r="M2236" s="12">
        <f>Tb_data[[#This Row],[Employees Growth]]/Tb_data[[#This Row],[previous_workers]]</f>
        <v>5</v>
      </c>
    </row>
    <row r="2237" spans="1:13" x14ac:dyDescent="0.25">
      <c r="A2237" s="1" t="s">
        <v>9303</v>
      </c>
      <c r="B2237" s="1" t="s">
        <v>9304</v>
      </c>
      <c r="C2237" s="1">
        <v>14100000</v>
      </c>
      <c r="D2237" s="1" t="s">
        <v>61</v>
      </c>
      <c r="E2237">
        <v>62.752800000000001</v>
      </c>
      <c r="F2237" s="1" t="s">
        <v>152</v>
      </c>
      <c r="G2237">
        <v>60</v>
      </c>
      <c r="H2237">
        <v>55</v>
      </c>
      <c r="I2237" s="1" t="s">
        <v>147</v>
      </c>
      <c r="J2237">
        <v>7</v>
      </c>
      <c r="K2237" t="str">
        <f>IF(Tb_data[[#This Row],[previous_workers]]&lt;Tb_data[[#This Row],[workers]],"yes","no")</f>
        <v>yes</v>
      </c>
      <c r="L2237">
        <f>Tb_data[[#This Row],[workers]]-Tb_data[[#This Row],[previous_workers]]</f>
        <v>5</v>
      </c>
      <c r="M2237" s="12">
        <f>Tb_data[[#This Row],[Employees Growth]]/Tb_data[[#This Row],[previous_workers]]</f>
        <v>9.0909090909090912E-2</v>
      </c>
    </row>
    <row r="2238" spans="1:13" x14ac:dyDescent="0.25">
      <c r="A2238" s="1" t="s">
        <v>6427</v>
      </c>
      <c r="B2238" s="1" t="s">
        <v>6428</v>
      </c>
      <c r="C2238" s="1">
        <v>8100000</v>
      </c>
      <c r="D2238" s="1" t="s">
        <v>58</v>
      </c>
      <c r="E2238">
        <v>115.6165</v>
      </c>
      <c r="F2238" s="1" t="s">
        <v>62</v>
      </c>
      <c r="G2238">
        <v>6</v>
      </c>
      <c r="H2238">
        <v>1</v>
      </c>
      <c r="I2238" s="1" t="s">
        <v>35</v>
      </c>
      <c r="J2238">
        <v>5</v>
      </c>
      <c r="K2238" t="str">
        <f>IF(Tb_data[[#This Row],[previous_workers]]&lt;Tb_data[[#This Row],[workers]],"yes","no")</f>
        <v>yes</v>
      </c>
      <c r="L2238">
        <f>Tb_data[[#This Row],[workers]]-Tb_data[[#This Row],[previous_workers]]</f>
        <v>5</v>
      </c>
      <c r="M2238" s="12">
        <f>Tb_data[[#This Row],[Employees Growth]]/Tb_data[[#This Row],[previous_workers]]</f>
        <v>5</v>
      </c>
    </row>
    <row r="2239" spans="1:13" x14ac:dyDescent="0.25">
      <c r="A2239" s="1" t="s">
        <v>3240</v>
      </c>
      <c r="B2239" s="1" t="s">
        <v>3241</v>
      </c>
      <c r="C2239" s="1">
        <v>13500000</v>
      </c>
      <c r="D2239" s="1" t="s">
        <v>422</v>
      </c>
      <c r="E2239">
        <v>266.54000000000002</v>
      </c>
      <c r="F2239" s="1" t="s">
        <v>86</v>
      </c>
      <c r="G2239">
        <v>220</v>
      </c>
      <c r="H2239">
        <v>30</v>
      </c>
      <c r="I2239" s="1" t="s">
        <v>147</v>
      </c>
      <c r="J2239">
        <v>3</v>
      </c>
      <c r="K2239" t="str">
        <f>IF(Tb_data[[#This Row],[previous_workers]]&lt;Tb_data[[#This Row],[workers]],"yes","no")</f>
        <v>yes</v>
      </c>
      <c r="L2239">
        <f>Tb_data[[#This Row],[workers]]-Tb_data[[#This Row],[previous_workers]]</f>
        <v>190</v>
      </c>
      <c r="M2239" s="12">
        <f>Tb_data[[#This Row],[Employees Growth]]/Tb_data[[#This Row],[previous_workers]]</f>
        <v>6.333333333333333</v>
      </c>
    </row>
    <row r="2240" spans="1:13" x14ac:dyDescent="0.25">
      <c r="A2240" s="1" t="s">
        <v>9305</v>
      </c>
      <c r="B2240" s="1" t="s">
        <v>9306</v>
      </c>
      <c r="C2240" s="1">
        <v>12100000</v>
      </c>
      <c r="D2240" s="1" t="s">
        <v>483</v>
      </c>
      <c r="E2240">
        <v>62.713099999999997</v>
      </c>
      <c r="F2240" s="1" t="s">
        <v>176</v>
      </c>
      <c r="G2240">
        <v>19</v>
      </c>
      <c r="H2240">
        <v>13</v>
      </c>
      <c r="I2240" s="1" t="s">
        <v>194</v>
      </c>
      <c r="J2240">
        <v>1</v>
      </c>
      <c r="K2240" t="str">
        <f>IF(Tb_data[[#This Row],[previous_workers]]&lt;Tb_data[[#This Row],[workers]],"yes","no")</f>
        <v>yes</v>
      </c>
      <c r="L2240">
        <f>Tb_data[[#This Row],[workers]]-Tb_data[[#This Row],[previous_workers]]</f>
        <v>6</v>
      </c>
      <c r="M2240" s="12">
        <f>Tb_data[[#This Row],[Employees Growth]]/Tb_data[[#This Row],[previous_workers]]</f>
        <v>0.46153846153846156</v>
      </c>
    </row>
    <row r="2241" spans="1:13" x14ac:dyDescent="0.25">
      <c r="A2241" s="1" t="s">
        <v>8582</v>
      </c>
      <c r="B2241" s="1" t="s">
        <v>8583</v>
      </c>
      <c r="C2241" s="1">
        <v>2600000</v>
      </c>
      <c r="D2241" s="1" t="s">
        <v>38</v>
      </c>
      <c r="E2241">
        <v>72.617699999999999</v>
      </c>
      <c r="F2241" s="1" t="s">
        <v>176</v>
      </c>
      <c r="G2241">
        <v>28</v>
      </c>
      <c r="H2241">
        <v>15</v>
      </c>
      <c r="I2241" s="1" t="s">
        <v>74</v>
      </c>
      <c r="J2241">
        <v>1</v>
      </c>
      <c r="K2241" t="str">
        <f>IF(Tb_data[[#This Row],[previous_workers]]&lt;Tb_data[[#This Row],[workers]],"yes","no")</f>
        <v>yes</v>
      </c>
      <c r="L2241">
        <f>Tb_data[[#This Row],[workers]]-Tb_data[[#This Row],[previous_workers]]</f>
        <v>13</v>
      </c>
      <c r="M2241" s="12">
        <f>Tb_data[[#This Row],[Employees Growth]]/Tb_data[[#This Row],[previous_workers]]</f>
        <v>0.8666666666666667</v>
      </c>
    </row>
    <row r="2242" spans="1:13" x14ac:dyDescent="0.25">
      <c r="A2242" s="1" t="s">
        <v>2713</v>
      </c>
      <c r="B2242" s="1" t="s">
        <v>2714</v>
      </c>
      <c r="C2242" s="1">
        <v>4000000</v>
      </c>
      <c r="D2242" s="1" t="s">
        <v>91</v>
      </c>
      <c r="E2242">
        <v>317.54309999999998</v>
      </c>
      <c r="F2242" s="1" t="s">
        <v>310</v>
      </c>
      <c r="G2242">
        <v>13</v>
      </c>
      <c r="H2242">
        <v>5</v>
      </c>
      <c r="I2242" s="1" t="s">
        <v>26</v>
      </c>
      <c r="J2242">
        <v>2</v>
      </c>
      <c r="K2242" t="str">
        <f>IF(Tb_data[[#This Row],[previous_workers]]&lt;Tb_data[[#This Row],[workers]],"yes","no")</f>
        <v>yes</v>
      </c>
      <c r="L2242">
        <f>Tb_data[[#This Row],[workers]]-Tb_data[[#This Row],[previous_workers]]</f>
        <v>8</v>
      </c>
      <c r="M2242" s="12">
        <f>Tb_data[[#This Row],[Employees Growth]]/Tb_data[[#This Row],[previous_workers]]</f>
        <v>1.6</v>
      </c>
    </row>
    <row r="2243" spans="1:13" x14ac:dyDescent="0.25">
      <c r="A2243" s="1" t="s">
        <v>802</v>
      </c>
      <c r="B2243" s="1" t="s">
        <v>803</v>
      </c>
      <c r="C2243" s="1">
        <v>2300000</v>
      </c>
      <c r="D2243" s="1" t="s">
        <v>49</v>
      </c>
      <c r="E2243">
        <v>1281.6939</v>
      </c>
      <c r="F2243" s="1" t="s">
        <v>176</v>
      </c>
      <c r="G2243">
        <v>8</v>
      </c>
      <c r="H2243">
        <v>3</v>
      </c>
      <c r="I2243" s="1" t="s">
        <v>55</v>
      </c>
      <c r="J2243">
        <v>1</v>
      </c>
      <c r="K2243" t="str">
        <f>IF(Tb_data[[#This Row],[previous_workers]]&lt;Tb_data[[#This Row],[workers]],"yes","no")</f>
        <v>yes</v>
      </c>
      <c r="L2243">
        <f>Tb_data[[#This Row],[workers]]-Tb_data[[#This Row],[previous_workers]]</f>
        <v>5</v>
      </c>
      <c r="M2243" s="12">
        <f>Tb_data[[#This Row],[Employees Growth]]/Tb_data[[#This Row],[previous_workers]]</f>
        <v>1.6666666666666667</v>
      </c>
    </row>
    <row r="2244" spans="1:13" x14ac:dyDescent="0.25">
      <c r="A2244" s="1" t="s">
        <v>279</v>
      </c>
      <c r="B2244" s="1" t="s">
        <v>280</v>
      </c>
      <c r="C2244" s="1">
        <v>33000000</v>
      </c>
      <c r="D2244" s="1" t="s">
        <v>41</v>
      </c>
      <c r="E2244">
        <v>3215.1140999999998</v>
      </c>
      <c r="F2244" s="1" t="s">
        <v>97</v>
      </c>
      <c r="G2244">
        <v>151</v>
      </c>
      <c r="H2244">
        <v>24</v>
      </c>
      <c r="I2244" s="1" t="s">
        <v>26</v>
      </c>
      <c r="J2244">
        <v>1</v>
      </c>
      <c r="K2244" t="str">
        <f>IF(Tb_data[[#This Row],[previous_workers]]&lt;Tb_data[[#This Row],[workers]],"yes","no")</f>
        <v>yes</v>
      </c>
      <c r="L2244">
        <f>Tb_data[[#This Row],[workers]]-Tb_data[[#This Row],[previous_workers]]</f>
        <v>127</v>
      </c>
      <c r="M2244" s="12">
        <f>Tb_data[[#This Row],[Employees Growth]]/Tb_data[[#This Row],[previous_workers]]</f>
        <v>5.291666666666667</v>
      </c>
    </row>
    <row r="2245" spans="1:13" x14ac:dyDescent="0.25">
      <c r="A2245" s="1" t="s">
        <v>8689</v>
      </c>
      <c r="B2245" s="1" t="s">
        <v>8690</v>
      </c>
      <c r="C2245" s="1">
        <v>10800000</v>
      </c>
      <c r="D2245" s="1" t="s">
        <v>29</v>
      </c>
      <c r="E2245">
        <v>71.173599999999993</v>
      </c>
      <c r="F2245" s="1" t="s">
        <v>152</v>
      </c>
      <c r="G2245">
        <v>28</v>
      </c>
      <c r="H2245">
        <v>14</v>
      </c>
      <c r="I2245" s="1" t="s">
        <v>117</v>
      </c>
      <c r="J2245">
        <v>3</v>
      </c>
      <c r="K2245" t="str">
        <f>IF(Tb_data[[#This Row],[previous_workers]]&lt;Tb_data[[#This Row],[workers]],"yes","no")</f>
        <v>yes</v>
      </c>
      <c r="L2245">
        <f>Tb_data[[#This Row],[workers]]-Tb_data[[#This Row],[previous_workers]]</f>
        <v>14</v>
      </c>
      <c r="M2245" s="12">
        <f>Tb_data[[#This Row],[Employees Growth]]/Tb_data[[#This Row],[previous_workers]]</f>
        <v>1</v>
      </c>
    </row>
    <row r="2246" spans="1:13" x14ac:dyDescent="0.25">
      <c r="A2246" s="1" t="s">
        <v>9167</v>
      </c>
      <c r="B2246" s="1" t="s">
        <v>9168</v>
      </c>
      <c r="C2246" s="1">
        <v>52600000</v>
      </c>
      <c r="D2246" s="1" t="s">
        <v>1002</v>
      </c>
      <c r="E2246">
        <v>64.596199999999996</v>
      </c>
      <c r="F2246" s="1" t="s">
        <v>156</v>
      </c>
      <c r="G2246">
        <v>245</v>
      </c>
      <c r="H2246">
        <v>185</v>
      </c>
      <c r="I2246" s="1" t="s">
        <v>194</v>
      </c>
      <c r="J2246">
        <v>7</v>
      </c>
      <c r="K2246" t="str">
        <f>IF(Tb_data[[#This Row],[previous_workers]]&lt;Tb_data[[#This Row],[workers]],"yes","no")</f>
        <v>yes</v>
      </c>
      <c r="L2246">
        <f>Tb_data[[#This Row],[workers]]-Tb_data[[#This Row],[previous_workers]]</f>
        <v>60</v>
      </c>
      <c r="M2246" s="12">
        <f>Tb_data[[#This Row],[Employees Growth]]/Tb_data[[#This Row],[previous_workers]]</f>
        <v>0.32432432432432434</v>
      </c>
    </row>
    <row r="2247" spans="1:13" x14ac:dyDescent="0.25">
      <c r="A2247" s="1" t="s">
        <v>7871</v>
      </c>
      <c r="B2247" s="1" t="s">
        <v>7872</v>
      </c>
      <c r="C2247" s="1">
        <v>3600000</v>
      </c>
      <c r="D2247" s="1" t="s">
        <v>91</v>
      </c>
      <c r="E2247">
        <v>85.138800000000003</v>
      </c>
      <c r="F2247" s="1" t="s">
        <v>86</v>
      </c>
      <c r="G2247">
        <v>23</v>
      </c>
      <c r="H2247">
        <v>11</v>
      </c>
      <c r="I2247" s="1" t="s">
        <v>164</v>
      </c>
      <c r="J2247">
        <v>2</v>
      </c>
      <c r="K2247" t="str">
        <f>IF(Tb_data[[#This Row],[previous_workers]]&lt;Tb_data[[#This Row],[workers]],"yes","no")</f>
        <v>yes</v>
      </c>
      <c r="L2247">
        <f>Tb_data[[#This Row],[workers]]-Tb_data[[#This Row],[previous_workers]]</f>
        <v>12</v>
      </c>
      <c r="M2247" s="12">
        <f>Tb_data[[#This Row],[Employees Growth]]/Tb_data[[#This Row],[previous_workers]]</f>
        <v>1.0909090909090908</v>
      </c>
    </row>
    <row r="2248" spans="1:13" x14ac:dyDescent="0.25">
      <c r="A2248" s="1" t="s">
        <v>9862</v>
      </c>
      <c r="B2248" s="1" t="s">
        <v>9863</v>
      </c>
      <c r="C2248" s="1">
        <v>9400000</v>
      </c>
      <c r="D2248" s="1" t="s">
        <v>254</v>
      </c>
      <c r="E2248">
        <v>55.7941</v>
      </c>
      <c r="F2248" s="1" t="s">
        <v>12</v>
      </c>
      <c r="G2248">
        <v>41</v>
      </c>
      <c r="H2248">
        <v>38</v>
      </c>
      <c r="I2248" s="1" t="s">
        <v>13</v>
      </c>
      <c r="J2248">
        <v>1</v>
      </c>
      <c r="K2248" t="str">
        <f>IF(Tb_data[[#This Row],[previous_workers]]&lt;Tb_data[[#This Row],[workers]],"yes","no")</f>
        <v>yes</v>
      </c>
      <c r="L2248">
        <f>Tb_data[[#This Row],[workers]]-Tb_data[[#This Row],[previous_workers]]</f>
        <v>3</v>
      </c>
      <c r="M2248" s="12">
        <f>Tb_data[[#This Row],[Employees Growth]]/Tb_data[[#This Row],[previous_workers]]</f>
        <v>7.8947368421052627E-2</v>
      </c>
    </row>
    <row r="2249" spans="1:13" x14ac:dyDescent="0.25">
      <c r="A2249" s="1" t="s">
        <v>8257</v>
      </c>
      <c r="B2249" s="1" t="s">
        <v>8258</v>
      </c>
      <c r="C2249" s="1">
        <v>72900000</v>
      </c>
      <c r="D2249" s="1" t="s">
        <v>91</v>
      </c>
      <c r="E2249">
        <v>78.382900000000006</v>
      </c>
      <c r="F2249" s="1" t="s">
        <v>94</v>
      </c>
      <c r="G2249">
        <v>420</v>
      </c>
      <c r="H2249">
        <v>220</v>
      </c>
      <c r="I2249" s="1" t="s">
        <v>55</v>
      </c>
      <c r="J2249">
        <v>3</v>
      </c>
      <c r="K2249" t="str">
        <f>IF(Tb_data[[#This Row],[previous_workers]]&lt;Tb_data[[#This Row],[workers]],"yes","no")</f>
        <v>yes</v>
      </c>
      <c r="L2249">
        <f>Tb_data[[#This Row],[workers]]-Tb_data[[#This Row],[previous_workers]]</f>
        <v>200</v>
      </c>
      <c r="M2249" s="12">
        <f>Tb_data[[#This Row],[Employees Growth]]/Tb_data[[#This Row],[previous_workers]]</f>
        <v>0.90909090909090906</v>
      </c>
    </row>
    <row r="2250" spans="1:13" x14ac:dyDescent="0.25">
      <c r="A2250" s="1" t="s">
        <v>1775</v>
      </c>
      <c r="B2250" s="1" t="s">
        <v>1776</v>
      </c>
      <c r="C2250" s="1">
        <v>4800000</v>
      </c>
      <c r="D2250" s="1" t="s">
        <v>49</v>
      </c>
      <c r="E2250">
        <v>509.71449999999999</v>
      </c>
      <c r="F2250" s="1" t="s">
        <v>86</v>
      </c>
      <c r="G2250">
        <v>30</v>
      </c>
      <c r="H2250">
        <v>7</v>
      </c>
      <c r="I2250" s="1" t="s">
        <v>130</v>
      </c>
      <c r="J2250">
        <v>2</v>
      </c>
      <c r="K2250" t="str">
        <f>IF(Tb_data[[#This Row],[previous_workers]]&lt;Tb_data[[#This Row],[workers]],"yes","no")</f>
        <v>yes</v>
      </c>
      <c r="L2250">
        <f>Tb_data[[#This Row],[workers]]-Tb_data[[#This Row],[previous_workers]]</f>
        <v>23</v>
      </c>
      <c r="M2250" s="12">
        <f>Tb_data[[#This Row],[Employees Growth]]/Tb_data[[#This Row],[previous_workers]]</f>
        <v>3.2857142857142856</v>
      </c>
    </row>
    <row r="2251" spans="1:13" x14ac:dyDescent="0.25">
      <c r="A2251" s="1" t="s">
        <v>9706</v>
      </c>
      <c r="B2251" s="1" t="s">
        <v>9707</v>
      </c>
      <c r="C2251" s="1">
        <v>157500000</v>
      </c>
      <c r="D2251" s="1" t="s">
        <v>29</v>
      </c>
      <c r="E2251">
        <v>57.963799999999999</v>
      </c>
      <c r="F2251" s="1" t="s">
        <v>86</v>
      </c>
      <c r="G2251">
        <v>700</v>
      </c>
      <c r="H2251">
        <v>475</v>
      </c>
      <c r="I2251" s="1" t="s">
        <v>468</v>
      </c>
      <c r="J2251">
        <v>11</v>
      </c>
      <c r="K2251" t="str">
        <f>IF(Tb_data[[#This Row],[previous_workers]]&lt;Tb_data[[#This Row],[workers]],"yes","no")</f>
        <v>yes</v>
      </c>
      <c r="L2251">
        <f>Tb_data[[#This Row],[workers]]-Tb_data[[#This Row],[previous_workers]]</f>
        <v>225</v>
      </c>
      <c r="M2251" s="12">
        <f>Tb_data[[#This Row],[Employees Growth]]/Tb_data[[#This Row],[previous_workers]]</f>
        <v>0.47368421052631576</v>
      </c>
    </row>
    <row r="2252" spans="1:13" x14ac:dyDescent="0.25">
      <c r="A2252" s="1" t="s">
        <v>7623</v>
      </c>
      <c r="B2252" s="1" t="s">
        <v>7624</v>
      </c>
      <c r="C2252" s="1">
        <v>6800000</v>
      </c>
      <c r="D2252" s="1" t="s">
        <v>33</v>
      </c>
      <c r="E2252">
        <v>89.482600000000005</v>
      </c>
      <c r="F2252" s="1" t="s">
        <v>156</v>
      </c>
      <c r="G2252">
        <v>18</v>
      </c>
      <c r="H2252">
        <v>12</v>
      </c>
      <c r="I2252" s="1" t="s">
        <v>35</v>
      </c>
      <c r="J2252">
        <v>3</v>
      </c>
      <c r="K2252" t="str">
        <f>IF(Tb_data[[#This Row],[previous_workers]]&lt;Tb_data[[#This Row],[workers]],"yes","no")</f>
        <v>yes</v>
      </c>
      <c r="L2252">
        <f>Tb_data[[#This Row],[workers]]-Tb_data[[#This Row],[previous_workers]]</f>
        <v>6</v>
      </c>
      <c r="M2252" s="12">
        <f>Tb_data[[#This Row],[Employees Growth]]/Tb_data[[#This Row],[previous_workers]]</f>
        <v>0.5</v>
      </c>
    </row>
    <row r="2253" spans="1:13" x14ac:dyDescent="0.25">
      <c r="A2253" s="1" t="s">
        <v>143</v>
      </c>
      <c r="B2253" s="1" t="s">
        <v>144</v>
      </c>
      <c r="C2253" s="1">
        <v>8800000</v>
      </c>
      <c r="D2253" s="1" t="s">
        <v>61</v>
      </c>
      <c r="E2253">
        <v>5852.2148999999999</v>
      </c>
      <c r="F2253" s="1" t="s">
        <v>12</v>
      </c>
      <c r="G2253">
        <v>40</v>
      </c>
      <c r="H2253">
        <v>12</v>
      </c>
      <c r="I2253" s="1" t="s">
        <v>26</v>
      </c>
      <c r="J2253">
        <v>1</v>
      </c>
      <c r="K2253" t="str">
        <f>IF(Tb_data[[#This Row],[previous_workers]]&lt;Tb_data[[#This Row],[workers]],"yes","no")</f>
        <v>yes</v>
      </c>
      <c r="L2253">
        <f>Tb_data[[#This Row],[workers]]-Tb_data[[#This Row],[previous_workers]]</f>
        <v>28</v>
      </c>
      <c r="M2253" s="12">
        <f>Tb_data[[#This Row],[Employees Growth]]/Tb_data[[#This Row],[previous_workers]]</f>
        <v>2.3333333333333335</v>
      </c>
    </row>
    <row r="2254" spans="1:13" x14ac:dyDescent="0.25">
      <c r="A2254" s="1" t="s">
        <v>5282</v>
      </c>
      <c r="B2254" s="1" t="s">
        <v>5283</v>
      </c>
      <c r="C2254" s="1">
        <v>14600000</v>
      </c>
      <c r="D2254" s="1" t="s">
        <v>38</v>
      </c>
      <c r="E2254">
        <v>150.5882</v>
      </c>
      <c r="F2254" s="1" t="s">
        <v>12</v>
      </c>
      <c r="G2254">
        <v>197</v>
      </c>
      <c r="H2254">
        <v>162</v>
      </c>
      <c r="I2254" s="1" t="s">
        <v>46</v>
      </c>
      <c r="J2254">
        <v>5</v>
      </c>
      <c r="K2254" t="str">
        <f>IF(Tb_data[[#This Row],[previous_workers]]&lt;Tb_data[[#This Row],[workers]],"yes","no")</f>
        <v>yes</v>
      </c>
      <c r="L2254">
        <f>Tb_data[[#This Row],[workers]]-Tb_data[[#This Row],[previous_workers]]</f>
        <v>35</v>
      </c>
      <c r="M2254" s="12">
        <f>Tb_data[[#This Row],[Employees Growth]]/Tb_data[[#This Row],[previous_workers]]</f>
        <v>0.21604938271604937</v>
      </c>
    </row>
    <row r="2255" spans="1:13" x14ac:dyDescent="0.25">
      <c r="A2255" s="1" t="s">
        <v>3994</v>
      </c>
      <c r="B2255" s="1" t="s">
        <v>3995</v>
      </c>
      <c r="C2255" s="1">
        <v>8000000</v>
      </c>
      <c r="D2255" s="1" t="s">
        <v>41</v>
      </c>
      <c r="E2255">
        <v>207.25129999999999</v>
      </c>
      <c r="F2255" s="1" t="s">
        <v>135</v>
      </c>
      <c r="G2255">
        <v>43</v>
      </c>
      <c r="H2255">
        <v>23</v>
      </c>
      <c r="I2255" s="1" t="s">
        <v>55</v>
      </c>
      <c r="J2255">
        <v>2</v>
      </c>
      <c r="K2255" t="str">
        <f>IF(Tb_data[[#This Row],[previous_workers]]&lt;Tb_data[[#This Row],[workers]],"yes","no")</f>
        <v>yes</v>
      </c>
      <c r="L2255">
        <f>Tb_data[[#This Row],[workers]]-Tb_data[[#This Row],[previous_workers]]</f>
        <v>20</v>
      </c>
      <c r="M2255" s="12">
        <f>Tb_data[[#This Row],[Employees Growth]]/Tb_data[[#This Row],[previous_workers]]</f>
        <v>0.86956521739130432</v>
      </c>
    </row>
    <row r="2256" spans="1:13" x14ac:dyDescent="0.25">
      <c r="A2256" s="1" t="s">
        <v>8681</v>
      </c>
      <c r="B2256" s="1" t="s">
        <v>8682</v>
      </c>
      <c r="C2256" s="1">
        <v>7800000</v>
      </c>
      <c r="D2256" s="1" t="s">
        <v>20</v>
      </c>
      <c r="E2256">
        <v>71.345500000000001</v>
      </c>
      <c r="F2256" s="1" t="s">
        <v>156</v>
      </c>
      <c r="G2256">
        <v>44</v>
      </c>
      <c r="H2256">
        <v>27</v>
      </c>
      <c r="I2256" s="1" t="s">
        <v>295</v>
      </c>
      <c r="J2256">
        <v>3</v>
      </c>
      <c r="K2256" t="str">
        <f>IF(Tb_data[[#This Row],[previous_workers]]&lt;Tb_data[[#This Row],[workers]],"yes","no")</f>
        <v>yes</v>
      </c>
      <c r="L2256">
        <f>Tb_data[[#This Row],[workers]]-Tb_data[[#This Row],[previous_workers]]</f>
        <v>17</v>
      </c>
      <c r="M2256" s="12">
        <f>Tb_data[[#This Row],[Employees Growth]]/Tb_data[[#This Row],[previous_workers]]</f>
        <v>0.62962962962962965</v>
      </c>
    </row>
    <row r="2257" spans="1:13" x14ac:dyDescent="0.25">
      <c r="A2257" s="1" t="s">
        <v>4996</v>
      </c>
      <c r="B2257" s="1" t="s">
        <v>4997</v>
      </c>
      <c r="C2257" s="1">
        <v>42100000</v>
      </c>
      <c r="D2257" s="1" t="s">
        <v>175</v>
      </c>
      <c r="E2257">
        <v>161.96279999999999</v>
      </c>
      <c r="F2257" s="1" t="s">
        <v>97</v>
      </c>
      <c r="G2257">
        <v>195</v>
      </c>
      <c r="H2257">
        <v>97</v>
      </c>
      <c r="I2257" s="1" t="s">
        <v>46</v>
      </c>
      <c r="J2257">
        <v>7</v>
      </c>
      <c r="K2257" t="str">
        <f>IF(Tb_data[[#This Row],[previous_workers]]&lt;Tb_data[[#This Row],[workers]],"yes","no")</f>
        <v>yes</v>
      </c>
      <c r="L2257">
        <f>Tb_data[[#This Row],[workers]]-Tb_data[[#This Row],[previous_workers]]</f>
        <v>98</v>
      </c>
      <c r="M2257" s="12">
        <f>Tb_data[[#This Row],[Employees Growth]]/Tb_data[[#This Row],[previous_workers]]</f>
        <v>1.0103092783505154</v>
      </c>
    </row>
    <row r="2258" spans="1:13" x14ac:dyDescent="0.25">
      <c r="A2258" s="1" t="s">
        <v>4218</v>
      </c>
      <c r="B2258" s="1" t="s">
        <v>4219</v>
      </c>
      <c r="C2258" s="1">
        <v>2700000</v>
      </c>
      <c r="D2258" s="1" t="s">
        <v>20</v>
      </c>
      <c r="E2258">
        <v>195.0805</v>
      </c>
      <c r="F2258" s="1" t="s">
        <v>112</v>
      </c>
      <c r="G2258">
        <v>8</v>
      </c>
      <c r="H2258">
        <v>5</v>
      </c>
      <c r="I2258" s="1" t="s">
        <v>164</v>
      </c>
      <c r="J2258">
        <v>1</v>
      </c>
      <c r="K2258" t="str">
        <f>IF(Tb_data[[#This Row],[previous_workers]]&lt;Tb_data[[#This Row],[workers]],"yes","no")</f>
        <v>yes</v>
      </c>
      <c r="L2258">
        <f>Tb_data[[#This Row],[workers]]-Tb_data[[#This Row],[previous_workers]]</f>
        <v>3</v>
      </c>
      <c r="M2258" s="12">
        <f>Tb_data[[#This Row],[Employees Growth]]/Tb_data[[#This Row],[previous_workers]]</f>
        <v>0.6</v>
      </c>
    </row>
    <row r="2259" spans="1:13" x14ac:dyDescent="0.25">
      <c r="A2259" s="1" t="s">
        <v>6946</v>
      </c>
      <c r="B2259" s="1" t="s">
        <v>6947</v>
      </c>
      <c r="C2259" s="1">
        <v>52300000</v>
      </c>
      <c r="D2259" s="1" t="s">
        <v>155</v>
      </c>
      <c r="E2259">
        <v>102.8775</v>
      </c>
      <c r="F2259" s="1" t="s">
        <v>514</v>
      </c>
      <c r="G2259">
        <v>300</v>
      </c>
      <c r="H2259">
        <v>175</v>
      </c>
      <c r="I2259" s="1" t="s">
        <v>4071</v>
      </c>
      <c r="J2259">
        <v>2</v>
      </c>
      <c r="K2259" t="str">
        <f>IF(Tb_data[[#This Row],[previous_workers]]&lt;Tb_data[[#This Row],[workers]],"yes","no")</f>
        <v>yes</v>
      </c>
      <c r="L2259">
        <f>Tb_data[[#This Row],[workers]]-Tb_data[[#This Row],[previous_workers]]</f>
        <v>125</v>
      </c>
      <c r="M2259" s="12">
        <f>Tb_data[[#This Row],[Employees Growth]]/Tb_data[[#This Row],[previous_workers]]</f>
        <v>0.7142857142857143</v>
      </c>
    </row>
    <row r="2260" spans="1:13" x14ac:dyDescent="0.25">
      <c r="A2260" s="1" t="s">
        <v>7315</v>
      </c>
      <c r="B2260" s="1" t="s">
        <v>7316</v>
      </c>
      <c r="C2260" s="1">
        <v>2500000</v>
      </c>
      <c r="D2260" s="1" t="s">
        <v>20</v>
      </c>
      <c r="E2260">
        <v>96.768199999999993</v>
      </c>
      <c r="F2260" s="1" t="s">
        <v>135</v>
      </c>
      <c r="G2260">
        <v>48</v>
      </c>
      <c r="H2260">
        <v>35</v>
      </c>
      <c r="I2260" s="1" t="s">
        <v>372</v>
      </c>
      <c r="J2260">
        <v>2</v>
      </c>
      <c r="K2260" t="str">
        <f>IF(Tb_data[[#This Row],[previous_workers]]&lt;Tb_data[[#This Row],[workers]],"yes","no")</f>
        <v>yes</v>
      </c>
      <c r="L2260">
        <f>Tb_data[[#This Row],[workers]]-Tb_data[[#This Row],[previous_workers]]</f>
        <v>13</v>
      </c>
      <c r="M2260" s="12">
        <f>Tb_data[[#This Row],[Employees Growth]]/Tb_data[[#This Row],[previous_workers]]</f>
        <v>0.37142857142857144</v>
      </c>
    </row>
    <row r="2261" spans="1:13" x14ac:dyDescent="0.25">
      <c r="A2261" s="1" t="s">
        <v>4826</v>
      </c>
      <c r="B2261" s="1" t="s">
        <v>4827</v>
      </c>
      <c r="C2261" s="1">
        <v>9900000</v>
      </c>
      <c r="D2261" s="1" t="s">
        <v>41</v>
      </c>
      <c r="E2261">
        <v>168.92840000000001</v>
      </c>
      <c r="F2261" s="1" t="s">
        <v>97</v>
      </c>
      <c r="G2261">
        <v>42</v>
      </c>
      <c r="H2261">
        <v>22</v>
      </c>
      <c r="I2261" s="1" t="s">
        <v>2225</v>
      </c>
      <c r="J2261">
        <v>2</v>
      </c>
      <c r="K2261" t="str">
        <f>IF(Tb_data[[#This Row],[previous_workers]]&lt;Tb_data[[#This Row],[workers]],"yes","no")</f>
        <v>yes</v>
      </c>
      <c r="L2261">
        <f>Tb_data[[#This Row],[workers]]-Tb_data[[#This Row],[previous_workers]]</f>
        <v>20</v>
      </c>
      <c r="M2261" s="12">
        <f>Tb_data[[#This Row],[Employees Growth]]/Tb_data[[#This Row],[previous_workers]]</f>
        <v>0.90909090909090906</v>
      </c>
    </row>
    <row r="2262" spans="1:13" x14ac:dyDescent="0.25">
      <c r="A2262" s="1" t="s">
        <v>4385</v>
      </c>
      <c r="B2262" s="1" t="s">
        <v>4386</v>
      </c>
      <c r="C2262" s="1">
        <v>60000000</v>
      </c>
      <c r="D2262" s="1" t="s">
        <v>129</v>
      </c>
      <c r="E2262">
        <v>187.2439</v>
      </c>
      <c r="F2262" s="1" t="s">
        <v>97</v>
      </c>
      <c r="G2262">
        <v>475</v>
      </c>
      <c r="H2262">
        <v>118</v>
      </c>
      <c r="I2262" s="1" t="s">
        <v>4080</v>
      </c>
      <c r="J2262">
        <v>9</v>
      </c>
      <c r="K2262" t="str">
        <f>IF(Tb_data[[#This Row],[previous_workers]]&lt;Tb_data[[#This Row],[workers]],"yes","no")</f>
        <v>yes</v>
      </c>
      <c r="L2262">
        <f>Tb_data[[#This Row],[workers]]-Tb_data[[#This Row],[previous_workers]]</f>
        <v>357</v>
      </c>
      <c r="M2262" s="12">
        <f>Tb_data[[#This Row],[Employees Growth]]/Tb_data[[#This Row],[previous_workers]]</f>
        <v>3.0254237288135593</v>
      </c>
    </row>
    <row r="2263" spans="1:13" x14ac:dyDescent="0.25">
      <c r="A2263" s="1" t="s">
        <v>8249</v>
      </c>
      <c r="B2263" s="1" t="s">
        <v>8250</v>
      </c>
      <c r="C2263" s="1">
        <v>7800000</v>
      </c>
      <c r="D2263" s="1" t="s">
        <v>11</v>
      </c>
      <c r="E2263">
        <v>78.421300000000002</v>
      </c>
      <c r="F2263" s="1" t="s">
        <v>3264</v>
      </c>
      <c r="G2263">
        <v>27</v>
      </c>
      <c r="H2263">
        <v>20</v>
      </c>
      <c r="I2263" s="1" t="s">
        <v>295</v>
      </c>
      <c r="J2263">
        <v>5</v>
      </c>
      <c r="K2263" t="str">
        <f>IF(Tb_data[[#This Row],[previous_workers]]&lt;Tb_data[[#This Row],[workers]],"yes","no")</f>
        <v>yes</v>
      </c>
      <c r="L2263">
        <f>Tb_data[[#This Row],[workers]]-Tb_data[[#This Row],[previous_workers]]</f>
        <v>7</v>
      </c>
      <c r="M2263" s="12">
        <f>Tb_data[[#This Row],[Employees Growth]]/Tb_data[[#This Row],[previous_workers]]</f>
        <v>0.35</v>
      </c>
    </row>
    <row r="2264" spans="1:13" x14ac:dyDescent="0.25">
      <c r="A2264" s="1" t="s">
        <v>4515</v>
      </c>
      <c r="B2264" s="1" t="s">
        <v>4516</v>
      </c>
      <c r="C2264" s="1">
        <v>13900000</v>
      </c>
      <c r="D2264" s="1" t="s">
        <v>49</v>
      </c>
      <c r="E2264">
        <v>181.82820000000001</v>
      </c>
      <c r="F2264" s="1" t="s">
        <v>156</v>
      </c>
      <c r="G2264">
        <v>140</v>
      </c>
      <c r="H2264">
        <v>80</v>
      </c>
      <c r="I2264" s="1" t="s">
        <v>117</v>
      </c>
      <c r="J2264">
        <v>5</v>
      </c>
      <c r="K2264" t="str">
        <f>IF(Tb_data[[#This Row],[previous_workers]]&lt;Tb_data[[#This Row],[workers]],"yes","no")</f>
        <v>yes</v>
      </c>
      <c r="L2264">
        <f>Tb_data[[#This Row],[workers]]-Tb_data[[#This Row],[previous_workers]]</f>
        <v>60</v>
      </c>
      <c r="M2264" s="12">
        <f>Tb_data[[#This Row],[Employees Growth]]/Tb_data[[#This Row],[previous_workers]]</f>
        <v>0.75</v>
      </c>
    </row>
    <row r="2265" spans="1:13" x14ac:dyDescent="0.25">
      <c r="A2265" s="1" t="s">
        <v>3461</v>
      </c>
      <c r="B2265" s="1" t="s">
        <v>3462</v>
      </c>
      <c r="C2265" s="1">
        <v>33700000</v>
      </c>
      <c r="D2265" s="1" t="s">
        <v>33</v>
      </c>
      <c r="E2265">
        <v>245.9999</v>
      </c>
      <c r="F2265" s="1" t="s">
        <v>156</v>
      </c>
      <c r="G2265">
        <v>105</v>
      </c>
      <c r="H2265">
        <v>115</v>
      </c>
      <c r="I2265" s="1" t="s">
        <v>74</v>
      </c>
      <c r="J2265">
        <v>7</v>
      </c>
      <c r="K2265" t="str">
        <f>IF(Tb_data[[#This Row],[previous_workers]]&lt;Tb_data[[#This Row],[workers]],"yes","no")</f>
        <v>no</v>
      </c>
      <c r="L2265">
        <f>Tb_data[[#This Row],[workers]]-Tb_data[[#This Row],[previous_workers]]</f>
        <v>-10</v>
      </c>
      <c r="M2265" s="12">
        <f>Tb_data[[#This Row],[Employees Growth]]/Tb_data[[#This Row],[previous_workers]]</f>
        <v>-8.6956521739130432E-2</v>
      </c>
    </row>
    <row r="2266" spans="1:13" x14ac:dyDescent="0.25">
      <c r="A2266" s="1" t="s">
        <v>8504</v>
      </c>
      <c r="B2266" s="1" t="s">
        <v>8505</v>
      </c>
      <c r="C2266" s="1">
        <v>7200000</v>
      </c>
      <c r="D2266" s="1" t="s">
        <v>321</v>
      </c>
      <c r="E2266">
        <v>73.987700000000004</v>
      </c>
      <c r="F2266" s="1" t="s">
        <v>3264</v>
      </c>
      <c r="G2266">
        <v>33</v>
      </c>
      <c r="H2266">
        <v>22</v>
      </c>
      <c r="I2266" s="1" t="s">
        <v>229</v>
      </c>
      <c r="J2266">
        <v>6</v>
      </c>
      <c r="K2266" t="str">
        <f>IF(Tb_data[[#This Row],[previous_workers]]&lt;Tb_data[[#This Row],[workers]],"yes","no")</f>
        <v>yes</v>
      </c>
      <c r="L2266">
        <f>Tb_data[[#This Row],[workers]]-Tb_data[[#This Row],[previous_workers]]</f>
        <v>11</v>
      </c>
      <c r="M2266" s="12">
        <f>Tb_data[[#This Row],[Employees Growth]]/Tb_data[[#This Row],[previous_workers]]</f>
        <v>0.5</v>
      </c>
    </row>
    <row r="2267" spans="1:13" x14ac:dyDescent="0.25">
      <c r="A2267" s="1" t="s">
        <v>6277</v>
      </c>
      <c r="B2267" s="1" t="s">
        <v>6278</v>
      </c>
      <c r="C2267" s="1">
        <v>9200000</v>
      </c>
      <c r="D2267" s="1" t="s">
        <v>49</v>
      </c>
      <c r="E2267">
        <v>119.6088</v>
      </c>
      <c r="F2267" s="1" t="s">
        <v>156</v>
      </c>
      <c r="G2267">
        <v>22</v>
      </c>
      <c r="H2267">
        <v>12</v>
      </c>
      <c r="I2267" s="1" t="s">
        <v>35</v>
      </c>
      <c r="J2267">
        <v>1</v>
      </c>
      <c r="K2267" t="str">
        <f>IF(Tb_data[[#This Row],[previous_workers]]&lt;Tb_data[[#This Row],[workers]],"yes","no")</f>
        <v>yes</v>
      </c>
      <c r="L2267">
        <f>Tb_data[[#This Row],[workers]]-Tb_data[[#This Row],[previous_workers]]</f>
        <v>10</v>
      </c>
      <c r="M2267" s="12">
        <f>Tb_data[[#This Row],[Employees Growth]]/Tb_data[[#This Row],[previous_workers]]</f>
        <v>0.83333333333333337</v>
      </c>
    </row>
    <row r="2268" spans="1:13" x14ac:dyDescent="0.25">
      <c r="A2268" s="1" t="s">
        <v>6269</v>
      </c>
      <c r="B2268" s="1" t="s">
        <v>6270</v>
      </c>
      <c r="C2268" s="1">
        <v>8500000</v>
      </c>
      <c r="D2268" s="1" t="s">
        <v>41</v>
      </c>
      <c r="E2268">
        <v>119.8532</v>
      </c>
      <c r="F2268" s="1" t="s">
        <v>176</v>
      </c>
      <c r="G2268">
        <v>45</v>
      </c>
      <c r="H2268">
        <v>24</v>
      </c>
      <c r="I2268" s="1" t="s">
        <v>836</v>
      </c>
      <c r="J2268">
        <v>6</v>
      </c>
      <c r="K2268" t="str">
        <f>IF(Tb_data[[#This Row],[previous_workers]]&lt;Tb_data[[#This Row],[workers]],"yes","no")</f>
        <v>yes</v>
      </c>
      <c r="L2268">
        <f>Tb_data[[#This Row],[workers]]-Tb_data[[#This Row],[previous_workers]]</f>
        <v>21</v>
      </c>
      <c r="M2268" s="12">
        <f>Tb_data[[#This Row],[Employees Growth]]/Tb_data[[#This Row],[previous_workers]]</f>
        <v>0.875</v>
      </c>
    </row>
    <row r="2269" spans="1:13" x14ac:dyDescent="0.25">
      <c r="A2269" s="1" t="s">
        <v>5970</v>
      </c>
      <c r="B2269" s="1" t="s">
        <v>5971</v>
      </c>
      <c r="C2269" s="1">
        <v>2300000</v>
      </c>
      <c r="D2269" s="1" t="s">
        <v>5972</v>
      </c>
      <c r="E2269">
        <v>127.2938</v>
      </c>
      <c r="F2269" s="1" t="s">
        <v>156</v>
      </c>
      <c r="G2269">
        <v>16</v>
      </c>
      <c r="H2269">
        <v>13</v>
      </c>
      <c r="I2269" s="1" t="s">
        <v>229</v>
      </c>
      <c r="J2269">
        <v>1</v>
      </c>
      <c r="K2269" t="str">
        <f>IF(Tb_data[[#This Row],[previous_workers]]&lt;Tb_data[[#This Row],[workers]],"yes","no")</f>
        <v>yes</v>
      </c>
      <c r="L2269">
        <f>Tb_data[[#This Row],[workers]]-Tb_data[[#This Row],[previous_workers]]</f>
        <v>3</v>
      </c>
      <c r="M2269" s="12">
        <f>Tb_data[[#This Row],[Employees Growth]]/Tb_data[[#This Row],[previous_workers]]</f>
        <v>0.23076923076923078</v>
      </c>
    </row>
    <row r="2270" spans="1:13" x14ac:dyDescent="0.25">
      <c r="A2270" s="1" t="s">
        <v>3996</v>
      </c>
      <c r="B2270" s="1" t="s">
        <v>3997</v>
      </c>
      <c r="C2270" s="1">
        <v>7900000</v>
      </c>
      <c r="D2270" s="1" t="s">
        <v>41</v>
      </c>
      <c r="E2270">
        <v>207.18299999999999</v>
      </c>
      <c r="F2270" s="1" t="s">
        <v>97</v>
      </c>
      <c r="G2270">
        <v>34</v>
      </c>
      <c r="H2270">
        <v>18</v>
      </c>
      <c r="I2270" s="1" t="s">
        <v>35</v>
      </c>
      <c r="J2270">
        <v>2</v>
      </c>
      <c r="K2270" t="str">
        <f>IF(Tb_data[[#This Row],[previous_workers]]&lt;Tb_data[[#This Row],[workers]],"yes","no")</f>
        <v>yes</v>
      </c>
      <c r="L2270">
        <f>Tb_data[[#This Row],[workers]]-Tb_data[[#This Row],[previous_workers]]</f>
        <v>16</v>
      </c>
      <c r="M2270" s="12">
        <f>Tb_data[[#This Row],[Employees Growth]]/Tb_data[[#This Row],[previous_workers]]</f>
        <v>0.88888888888888884</v>
      </c>
    </row>
    <row r="2271" spans="1:13" x14ac:dyDescent="0.25">
      <c r="A2271" s="1" t="s">
        <v>3107</v>
      </c>
      <c r="B2271" s="1" t="s">
        <v>3108</v>
      </c>
      <c r="C2271" s="1">
        <v>62400000</v>
      </c>
      <c r="D2271" s="1" t="s">
        <v>41</v>
      </c>
      <c r="E2271">
        <v>276.72120000000001</v>
      </c>
      <c r="F2271" s="1" t="s">
        <v>97</v>
      </c>
      <c r="G2271">
        <v>352</v>
      </c>
      <c r="H2271">
        <v>200</v>
      </c>
      <c r="I2271" s="1" t="s">
        <v>226</v>
      </c>
      <c r="J2271">
        <v>7</v>
      </c>
      <c r="K2271" t="str">
        <f>IF(Tb_data[[#This Row],[previous_workers]]&lt;Tb_data[[#This Row],[workers]],"yes","no")</f>
        <v>yes</v>
      </c>
      <c r="L2271">
        <f>Tb_data[[#This Row],[workers]]-Tb_data[[#This Row],[previous_workers]]</f>
        <v>152</v>
      </c>
      <c r="M2271" s="12">
        <f>Tb_data[[#This Row],[Employees Growth]]/Tb_data[[#This Row],[previous_workers]]</f>
        <v>0.76</v>
      </c>
    </row>
    <row r="2272" spans="1:13" x14ac:dyDescent="0.25">
      <c r="A2272" s="1" t="s">
        <v>3539</v>
      </c>
      <c r="B2272" s="1" t="s">
        <v>3540</v>
      </c>
      <c r="C2272" s="1">
        <v>49000000</v>
      </c>
      <c r="D2272" s="1" t="s">
        <v>61</v>
      </c>
      <c r="E2272">
        <v>239.0772</v>
      </c>
      <c r="F2272" s="1" t="s">
        <v>86</v>
      </c>
      <c r="G2272">
        <v>1267</v>
      </c>
      <c r="H2272">
        <v>473</v>
      </c>
      <c r="I2272" s="1" t="s">
        <v>229</v>
      </c>
      <c r="J2272">
        <v>2</v>
      </c>
      <c r="K2272" t="str">
        <f>IF(Tb_data[[#This Row],[previous_workers]]&lt;Tb_data[[#This Row],[workers]],"yes","no")</f>
        <v>yes</v>
      </c>
      <c r="L2272">
        <f>Tb_data[[#This Row],[workers]]-Tb_data[[#This Row],[previous_workers]]</f>
        <v>794</v>
      </c>
      <c r="M2272" s="12">
        <f>Tb_data[[#This Row],[Employees Growth]]/Tb_data[[#This Row],[previous_workers]]</f>
        <v>1.6786469344608879</v>
      </c>
    </row>
    <row r="2273" spans="1:13" x14ac:dyDescent="0.25">
      <c r="A2273" s="1" t="s">
        <v>8765</v>
      </c>
      <c r="B2273" s="1" t="s">
        <v>8766</v>
      </c>
      <c r="C2273" s="1">
        <v>3500000</v>
      </c>
      <c r="D2273" s="1" t="s">
        <v>254</v>
      </c>
      <c r="E2273">
        <v>70.043800000000005</v>
      </c>
      <c r="F2273" s="1" t="s">
        <v>156</v>
      </c>
      <c r="G2273">
        <v>21</v>
      </c>
      <c r="H2273">
        <v>11</v>
      </c>
      <c r="I2273" s="1" t="s">
        <v>194</v>
      </c>
      <c r="J2273">
        <v>4</v>
      </c>
      <c r="K2273" t="str">
        <f>IF(Tb_data[[#This Row],[previous_workers]]&lt;Tb_data[[#This Row],[workers]],"yes","no")</f>
        <v>yes</v>
      </c>
      <c r="L2273">
        <f>Tb_data[[#This Row],[workers]]-Tb_data[[#This Row],[previous_workers]]</f>
        <v>10</v>
      </c>
      <c r="M2273" s="12">
        <f>Tb_data[[#This Row],[Employees Growth]]/Tb_data[[#This Row],[previous_workers]]</f>
        <v>0.90909090909090906</v>
      </c>
    </row>
    <row r="2274" spans="1:13" x14ac:dyDescent="0.25">
      <c r="A2274" s="1" t="s">
        <v>6898</v>
      </c>
      <c r="B2274" s="1" t="s">
        <v>6899</v>
      </c>
      <c r="C2274" s="1">
        <v>9800000</v>
      </c>
      <c r="D2274" s="1" t="s">
        <v>20</v>
      </c>
      <c r="E2274">
        <v>104.246</v>
      </c>
      <c r="F2274" s="1" t="s">
        <v>135</v>
      </c>
      <c r="G2274">
        <v>322</v>
      </c>
      <c r="H2274">
        <v>119</v>
      </c>
      <c r="I2274" s="1" t="s">
        <v>130</v>
      </c>
      <c r="J2274">
        <v>4</v>
      </c>
      <c r="K2274" t="str">
        <f>IF(Tb_data[[#This Row],[previous_workers]]&lt;Tb_data[[#This Row],[workers]],"yes","no")</f>
        <v>yes</v>
      </c>
      <c r="L2274">
        <f>Tb_data[[#This Row],[workers]]-Tb_data[[#This Row],[previous_workers]]</f>
        <v>203</v>
      </c>
      <c r="M2274" s="12">
        <f>Tb_data[[#This Row],[Employees Growth]]/Tb_data[[#This Row],[previous_workers]]</f>
        <v>1.7058823529411764</v>
      </c>
    </row>
    <row r="2275" spans="1:13" x14ac:dyDescent="0.25">
      <c r="A2275" s="1" t="s">
        <v>4619</v>
      </c>
      <c r="B2275" s="1" t="s">
        <v>4620</v>
      </c>
      <c r="C2275" s="1">
        <v>13800000</v>
      </c>
      <c r="D2275" s="1" t="s">
        <v>115</v>
      </c>
      <c r="E2275">
        <v>177.26070000000001</v>
      </c>
      <c r="F2275" s="1" t="s">
        <v>135</v>
      </c>
      <c r="G2275">
        <v>12</v>
      </c>
      <c r="H2275">
        <v>9</v>
      </c>
      <c r="I2275" s="1" t="s">
        <v>117</v>
      </c>
      <c r="J2275">
        <v>4</v>
      </c>
      <c r="K2275" t="str">
        <f>IF(Tb_data[[#This Row],[previous_workers]]&lt;Tb_data[[#This Row],[workers]],"yes","no")</f>
        <v>yes</v>
      </c>
      <c r="L2275">
        <f>Tb_data[[#This Row],[workers]]-Tb_data[[#This Row],[previous_workers]]</f>
        <v>3</v>
      </c>
      <c r="M2275" s="12">
        <f>Tb_data[[#This Row],[Employees Growth]]/Tb_data[[#This Row],[previous_workers]]</f>
        <v>0.33333333333333331</v>
      </c>
    </row>
    <row r="2276" spans="1:13" x14ac:dyDescent="0.25">
      <c r="A2276" s="1" t="s">
        <v>8695</v>
      </c>
      <c r="B2276" s="1" t="s">
        <v>8696</v>
      </c>
      <c r="C2276" s="1">
        <v>44800000</v>
      </c>
      <c r="D2276" s="1" t="s">
        <v>41</v>
      </c>
      <c r="E2276">
        <v>71.115899999999996</v>
      </c>
      <c r="F2276" s="1" t="s">
        <v>97</v>
      </c>
      <c r="G2276">
        <v>259</v>
      </c>
      <c r="H2276">
        <v>180</v>
      </c>
      <c r="I2276" s="1" t="s">
        <v>1051</v>
      </c>
      <c r="J2276">
        <v>4</v>
      </c>
      <c r="K2276" t="str">
        <f>IF(Tb_data[[#This Row],[previous_workers]]&lt;Tb_data[[#This Row],[workers]],"yes","no")</f>
        <v>yes</v>
      </c>
      <c r="L2276">
        <f>Tb_data[[#This Row],[workers]]-Tb_data[[#This Row],[previous_workers]]</f>
        <v>79</v>
      </c>
      <c r="M2276" s="12">
        <f>Tb_data[[#This Row],[Employees Growth]]/Tb_data[[#This Row],[previous_workers]]</f>
        <v>0.43888888888888888</v>
      </c>
    </row>
    <row r="2277" spans="1:13" x14ac:dyDescent="0.25">
      <c r="A2277" s="1" t="s">
        <v>5644</v>
      </c>
      <c r="B2277" s="1" t="s">
        <v>5645</v>
      </c>
      <c r="C2277" s="1">
        <v>14600000</v>
      </c>
      <c r="D2277" s="1" t="s">
        <v>49</v>
      </c>
      <c r="E2277">
        <v>136.2679</v>
      </c>
      <c r="F2277" s="1" t="s">
        <v>25</v>
      </c>
      <c r="G2277">
        <v>25</v>
      </c>
      <c r="H2277">
        <v>21</v>
      </c>
      <c r="I2277" s="1" t="s">
        <v>147</v>
      </c>
      <c r="J2277">
        <v>1</v>
      </c>
      <c r="K2277" t="str">
        <f>IF(Tb_data[[#This Row],[previous_workers]]&lt;Tb_data[[#This Row],[workers]],"yes","no")</f>
        <v>yes</v>
      </c>
      <c r="L2277">
        <f>Tb_data[[#This Row],[workers]]-Tb_data[[#This Row],[previous_workers]]</f>
        <v>4</v>
      </c>
      <c r="M2277" s="12">
        <f>Tb_data[[#This Row],[Employees Growth]]/Tb_data[[#This Row],[previous_workers]]</f>
        <v>0.19047619047619047</v>
      </c>
    </row>
    <row r="2278" spans="1:13" x14ac:dyDescent="0.25">
      <c r="A2278" s="1" t="s">
        <v>2907</v>
      </c>
      <c r="B2278" s="1" t="s">
        <v>2908</v>
      </c>
      <c r="C2278" s="1">
        <v>9000000</v>
      </c>
      <c r="D2278" s="1" t="s">
        <v>33</v>
      </c>
      <c r="E2278">
        <v>296.86340000000001</v>
      </c>
      <c r="F2278" s="1" t="s">
        <v>310</v>
      </c>
      <c r="G2278">
        <v>68</v>
      </c>
      <c r="H2278">
        <v>20</v>
      </c>
      <c r="I2278" s="1" t="s">
        <v>55</v>
      </c>
      <c r="J2278">
        <v>2</v>
      </c>
      <c r="K2278" t="str">
        <f>IF(Tb_data[[#This Row],[previous_workers]]&lt;Tb_data[[#This Row],[workers]],"yes","no")</f>
        <v>yes</v>
      </c>
      <c r="L2278">
        <f>Tb_data[[#This Row],[workers]]-Tb_data[[#This Row],[previous_workers]]</f>
        <v>48</v>
      </c>
      <c r="M2278" s="12">
        <f>Tb_data[[#This Row],[Employees Growth]]/Tb_data[[#This Row],[previous_workers]]</f>
        <v>2.4</v>
      </c>
    </row>
    <row r="2279" spans="1:13" x14ac:dyDescent="0.25">
      <c r="A2279" s="1" t="s">
        <v>8488</v>
      </c>
      <c r="B2279" s="1" t="s">
        <v>8489</v>
      </c>
      <c r="C2279" s="1">
        <v>31400000</v>
      </c>
      <c r="D2279" s="1" t="s">
        <v>52</v>
      </c>
      <c r="E2279">
        <v>74.215199999999996</v>
      </c>
      <c r="F2279" s="1" t="s">
        <v>156</v>
      </c>
      <c r="G2279">
        <v>2000</v>
      </c>
      <c r="H2279">
        <v>1600</v>
      </c>
      <c r="I2279" s="1" t="s">
        <v>1622</v>
      </c>
      <c r="J2279">
        <v>4</v>
      </c>
      <c r="K2279" t="str">
        <f>IF(Tb_data[[#This Row],[previous_workers]]&lt;Tb_data[[#This Row],[workers]],"yes","no")</f>
        <v>yes</v>
      </c>
      <c r="L2279">
        <f>Tb_data[[#This Row],[workers]]-Tb_data[[#This Row],[previous_workers]]</f>
        <v>400</v>
      </c>
      <c r="M2279" s="12">
        <f>Tb_data[[#This Row],[Employees Growth]]/Tb_data[[#This Row],[previous_workers]]</f>
        <v>0.25</v>
      </c>
    </row>
    <row r="2280" spans="1:13" x14ac:dyDescent="0.25">
      <c r="A2280" s="1" t="s">
        <v>7527</v>
      </c>
      <c r="B2280" s="1" t="s">
        <v>7528</v>
      </c>
      <c r="C2280" s="1">
        <v>55700000</v>
      </c>
      <c r="D2280" s="1" t="s">
        <v>11</v>
      </c>
      <c r="E2280">
        <v>92.249200000000002</v>
      </c>
      <c r="F2280" s="1" t="s">
        <v>17</v>
      </c>
      <c r="G2280">
        <v>87</v>
      </c>
      <c r="H2280">
        <v>51</v>
      </c>
      <c r="I2280" s="1" t="s">
        <v>229</v>
      </c>
      <c r="J2280">
        <v>11</v>
      </c>
      <c r="K2280" t="str">
        <f>IF(Tb_data[[#This Row],[previous_workers]]&lt;Tb_data[[#This Row],[workers]],"yes","no")</f>
        <v>yes</v>
      </c>
      <c r="L2280">
        <f>Tb_data[[#This Row],[workers]]-Tb_data[[#This Row],[previous_workers]]</f>
        <v>36</v>
      </c>
      <c r="M2280" s="12">
        <f>Tb_data[[#This Row],[Employees Growth]]/Tb_data[[#This Row],[previous_workers]]</f>
        <v>0.70588235294117652</v>
      </c>
    </row>
    <row r="2281" spans="1:13" x14ac:dyDescent="0.25">
      <c r="A2281" s="1" t="s">
        <v>709</v>
      </c>
      <c r="B2281" s="1" t="s">
        <v>710</v>
      </c>
      <c r="C2281" s="1">
        <v>3400000</v>
      </c>
      <c r="D2281" s="1" t="s">
        <v>45</v>
      </c>
      <c r="E2281">
        <v>1467.1741</v>
      </c>
      <c r="F2281" s="1" t="s">
        <v>17</v>
      </c>
      <c r="G2281">
        <v>23</v>
      </c>
      <c r="H2281">
        <v>2</v>
      </c>
      <c r="I2281" s="1" t="s">
        <v>130</v>
      </c>
      <c r="J2281">
        <v>1</v>
      </c>
      <c r="K2281" t="str">
        <f>IF(Tb_data[[#This Row],[previous_workers]]&lt;Tb_data[[#This Row],[workers]],"yes","no")</f>
        <v>yes</v>
      </c>
      <c r="L2281">
        <f>Tb_data[[#This Row],[workers]]-Tb_data[[#This Row],[previous_workers]]</f>
        <v>21</v>
      </c>
      <c r="M2281" s="12">
        <f>Tb_data[[#This Row],[Employees Growth]]/Tb_data[[#This Row],[previous_workers]]</f>
        <v>10.5</v>
      </c>
    </row>
    <row r="2282" spans="1:13" x14ac:dyDescent="0.25">
      <c r="A2282" s="1" t="s">
        <v>7373</v>
      </c>
      <c r="B2282" s="1" t="s">
        <v>7374</v>
      </c>
      <c r="C2282" s="1">
        <v>5700000</v>
      </c>
      <c r="D2282" s="1" t="s">
        <v>179</v>
      </c>
      <c r="E2282">
        <v>95.737399999999994</v>
      </c>
      <c r="F2282" s="1" t="s">
        <v>156</v>
      </c>
      <c r="G2282">
        <v>22</v>
      </c>
      <c r="H2282">
        <v>15</v>
      </c>
      <c r="I2282" s="1" t="s">
        <v>194</v>
      </c>
      <c r="J2282">
        <v>5</v>
      </c>
      <c r="K2282" t="str">
        <f>IF(Tb_data[[#This Row],[previous_workers]]&lt;Tb_data[[#This Row],[workers]],"yes","no")</f>
        <v>yes</v>
      </c>
      <c r="L2282">
        <f>Tb_data[[#This Row],[workers]]-Tb_data[[#This Row],[previous_workers]]</f>
        <v>7</v>
      </c>
      <c r="M2282" s="12">
        <f>Tb_data[[#This Row],[Employees Growth]]/Tb_data[[#This Row],[previous_workers]]</f>
        <v>0.46666666666666667</v>
      </c>
    </row>
    <row r="2283" spans="1:13" x14ac:dyDescent="0.25">
      <c r="A2283" s="1" t="s">
        <v>4052</v>
      </c>
      <c r="B2283" s="1" t="s">
        <v>4053</v>
      </c>
      <c r="C2283" s="1">
        <v>73500000</v>
      </c>
      <c r="D2283" s="1" t="s">
        <v>49</v>
      </c>
      <c r="E2283">
        <v>204.68279999999999</v>
      </c>
      <c r="F2283" s="1" t="s">
        <v>86</v>
      </c>
      <c r="G2283">
        <v>374</v>
      </c>
      <c r="H2283">
        <v>164</v>
      </c>
      <c r="I2283" s="1" t="s">
        <v>226</v>
      </c>
      <c r="J2283">
        <v>1</v>
      </c>
      <c r="K2283" t="str">
        <f>IF(Tb_data[[#This Row],[previous_workers]]&lt;Tb_data[[#This Row],[workers]],"yes","no")</f>
        <v>yes</v>
      </c>
      <c r="L2283">
        <f>Tb_data[[#This Row],[workers]]-Tb_data[[#This Row],[previous_workers]]</f>
        <v>210</v>
      </c>
      <c r="M2283" s="12">
        <f>Tb_data[[#This Row],[Employees Growth]]/Tb_data[[#This Row],[previous_workers]]</f>
        <v>1.2804878048780488</v>
      </c>
    </row>
    <row r="2284" spans="1:13" x14ac:dyDescent="0.25">
      <c r="A2284" s="1" t="s">
        <v>7723</v>
      </c>
      <c r="B2284" s="1" t="s">
        <v>7724</v>
      </c>
      <c r="C2284" s="1">
        <v>20600000</v>
      </c>
      <c r="D2284" s="1" t="s">
        <v>33</v>
      </c>
      <c r="E2284">
        <v>87.749399999999994</v>
      </c>
      <c r="F2284" s="1" t="s">
        <v>156</v>
      </c>
      <c r="G2284">
        <v>120</v>
      </c>
      <c r="H2284">
        <v>48</v>
      </c>
      <c r="I2284" s="1" t="s">
        <v>226</v>
      </c>
      <c r="J2284">
        <v>10</v>
      </c>
      <c r="K2284" t="str">
        <f>IF(Tb_data[[#This Row],[previous_workers]]&lt;Tb_data[[#This Row],[workers]],"yes","no")</f>
        <v>yes</v>
      </c>
      <c r="L2284">
        <f>Tb_data[[#This Row],[workers]]-Tb_data[[#This Row],[previous_workers]]</f>
        <v>72</v>
      </c>
      <c r="M2284" s="12">
        <f>Tb_data[[#This Row],[Employees Growth]]/Tb_data[[#This Row],[previous_workers]]</f>
        <v>1.5</v>
      </c>
    </row>
    <row r="2285" spans="1:13" x14ac:dyDescent="0.25">
      <c r="A2285" s="1" t="s">
        <v>8935</v>
      </c>
      <c r="B2285" s="1" t="s">
        <v>8936</v>
      </c>
      <c r="C2285" s="1">
        <v>66000000</v>
      </c>
      <c r="D2285" s="1" t="s">
        <v>69</v>
      </c>
      <c r="E2285">
        <v>67.429299999999998</v>
      </c>
      <c r="F2285" s="1" t="s">
        <v>156</v>
      </c>
      <c r="G2285">
        <v>127</v>
      </c>
      <c r="H2285">
        <v>99</v>
      </c>
      <c r="I2285" s="1" t="s">
        <v>147</v>
      </c>
      <c r="J2285">
        <v>9</v>
      </c>
      <c r="K2285" t="str">
        <f>IF(Tb_data[[#This Row],[previous_workers]]&lt;Tb_data[[#This Row],[workers]],"yes","no")</f>
        <v>yes</v>
      </c>
      <c r="L2285">
        <f>Tb_data[[#This Row],[workers]]-Tb_data[[#This Row],[previous_workers]]</f>
        <v>28</v>
      </c>
      <c r="M2285" s="12">
        <f>Tb_data[[#This Row],[Employees Growth]]/Tb_data[[#This Row],[previous_workers]]</f>
        <v>0.28282828282828282</v>
      </c>
    </row>
    <row r="2286" spans="1:13" x14ac:dyDescent="0.25">
      <c r="A2286" s="1" t="s">
        <v>3573</v>
      </c>
      <c r="B2286" s="1" t="s">
        <v>3574</v>
      </c>
      <c r="C2286" s="1">
        <v>24700000</v>
      </c>
      <c r="D2286" s="1" t="s">
        <v>1002</v>
      </c>
      <c r="E2286">
        <v>236.33840000000001</v>
      </c>
      <c r="F2286" s="1" t="s">
        <v>30</v>
      </c>
      <c r="G2286">
        <v>284</v>
      </c>
      <c r="H2286">
        <v>216</v>
      </c>
      <c r="I2286" s="1" t="s">
        <v>130</v>
      </c>
      <c r="J2286">
        <v>3</v>
      </c>
      <c r="K2286" t="str">
        <f>IF(Tb_data[[#This Row],[previous_workers]]&lt;Tb_data[[#This Row],[workers]],"yes","no")</f>
        <v>yes</v>
      </c>
      <c r="L2286">
        <f>Tb_data[[#This Row],[workers]]-Tb_data[[#This Row],[previous_workers]]</f>
        <v>68</v>
      </c>
      <c r="M2286" s="12">
        <f>Tb_data[[#This Row],[Employees Growth]]/Tb_data[[#This Row],[previous_workers]]</f>
        <v>0.31481481481481483</v>
      </c>
    </row>
    <row r="2287" spans="1:13" x14ac:dyDescent="0.25">
      <c r="A2287" s="1" t="s">
        <v>6371</v>
      </c>
      <c r="B2287" s="1" t="s">
        <v>6372</v>
      </c>
      <c r="C2287" s="1">
        <v>26800000</v>
      </c>
      <c r="D2287" s="1" t="s">
        <v>155</v>
      </c>
      <c r="E2287">
        <v>116.9237</v>
      </c>
      <c r="F2287" s="1" t="s">
        <v>112</v>
      </c>
      <c r="G2287">
        <v>147</v>
      </c>
      <c r="H2287">
        <v>69</v>
      </c>
      <c r="I2287" s="1" t="s">
        <v>3426</v>
      </c>
      <c r="J2287">
        <v>1</v>
      </c>
      <c r="K2287" t="str">
        <f>IF(Tb_data[[#This Row],[previous_workers]]&lt;Tb_data[[#This Row],[workers]],"yes","no")</f>
        <v>yes</v>
      </c>
      <c r="L2287">
        <f>Tb_data[[#This Row],[workers]]-Tb_data[[#This Row],[previous_workers]]</f>
        <v>78</v>
      </c>
      <c r="M2287" s="12">
        <f>Tb_data[[#This Row],[Employees Growth]]/Tb_data[[#This Row],[previous_workers]]</f>
        <v>1.1304347826086956</v>
      </c>
    </row>
    <row r="2288" spans="1:13" x14ac:dyDescent="0.25">
      <c r="A2288" s="1" t="s">
        <v>4563</v>
      </c>
      <c r="B2288" s="1" t="s">
        <v>4564</v>
      </c>
      <c r="C2288" s="1">
        <v>84900000</v>
      </c>
      <c r="D2288" s="1" t="s">
        <v>61</v>
      </c>
      <c r="E2288">
        <v>180.0317</v>
      </c>
      <c r="F2288" s="1" t="s">
        <v>25</v>
      </c>
      <c r="G2288">
        <v>89</v>
      </c>
      <c r="H2288">
        <v>32</v>
      </c>
      <c r="I2288" s="1" t="s">
        <v>3673</v>
      </c>
      <c r="J2288">
        <v>1</v>
      </c>
      <c r="K2288" t="str">
        <f>IF(Tb_data[[#This Row],[previous_workers]]&lt;Tb_data[[#This Row],[workers]],"yes","no")</f>
        <v>yes</v>
      </c>
      <c r="L2288">
        <f>Tb_data[[#This Row],[workers]]-Tb_data[[#This Row],[previous_workers]]</f>
        <v>57</v>
      </c>
      <c r="M2288" s="12">
        <f>Tb_data[[#This Row],[Employees Growth]]/Tb_data[[#This Row],[previous_workers]]</f>
        <v>1.78125</v>
      </c>
    </row>
    <row r="2289" spans="1:13" x14ac:dyDescent="0.25">
      <c r="A2289" s="1" t="s">
        <v>9475</v>
      </c>
      <c r="B2289" s="1" t="s">
        <v>9476</v>
      </c>
      <c r="C2289" s="1">
        <v>5800000</v>
      </c>
      <c r="D2289" s="1" t="s">
        <v>427</v>
      </c>
      <c r="E2289">
        <v>60.552399999999999</v>
      </c>
      <c r="F2289" s="1" t="s">
        <v>112</v>
      </c>
      <c r="G2289">
        <v>54</v>
      </c>
      <c r="H2289">
        <v>43</v>
      </c>
      <c r="I2289" s="1" t="s">
        <v>3426</v>
      </c>
      <c r="J2289">
        <v>1</v>
      </c>
      <c r="K2289" t="str">
        <f>IF(Tb_data[[#This Row],[previous_workers]]&lt;Tb_data[[#This Row],[workers]],"yes","no")</f>
        <v>yes</v>
      </c>
      <c r="L2289">
        <f>Tb_data[[#This Row],[workers]]-Tb_data[[#This Row],[previous_workers]]</f>
        <v>11</v>
      </c>
      <c r="M2289" s="12">
        <f>Tb_data[[#This Row],[Employees Growth]]/Tb_data[[#This Row],[previous_workers]]</f>
        <v>0.2558139534883721</v>
      </c>
    </row>
    <row r="2290" spans="1:13" x14ac:dyDescent="0.25">
      <c r="A2290" s="1" t="s">
        <v>9363</v>
      </c>
      <c r="B2290" s="1" t="s">
        <v>9364</v>
      </c>
      <c r="C2290" s="1">
        <v>21200000</v>
      </c>
      <c r="D2290" s="1" t="s">
        <v>254</v>
      </c>
      <c r="E2290">
        <v>61.954999999999998</v>
      </c>
      <c r="F2290" s="1" t="s">
        <v>124</v>
      </c>
      <c r="G2290">
        <v>100</v>
      </c>
      <c r="H2290">
        <v>85</v>
      </c>
      <c r="I2290" s="1" t="s">
        <v>2611</v>
      </c>
      <c r="J2290">
        <v>3</v>
      </c>
      <c r="K2290" t="str">
        <f>IF(Tb_data[[#This Row],[previous_workers]]&lt;Tb_data[[#This Row],[workers]],"yes","no")</f>
        <v>yes</v>
      </c>
      <c r="L2290">
        <f>Tb_data[[#This Row],[workers]]-Tb_data[[#This Row],[previous_workers]]</f>
        <v>15</v>
      </c>
      <c r="M2290" s="12">
        <f>Tb_data[[#This Row],[Employees Growth]]/Tb_data[[#This Row],[previous_workers]]</f>
        <v>0.17647058823529413</v>
      </c>
    </row>
    <row r="2291" spans="1:13" x14ac:dyDescent="0.25">
      <c r="A2291" s="1" t="s">
        <v>7236</v>
      </c>
      <c r="B2291" s="1" t="s">
        <v>7237</v>
      </c>
      <c r="C2291" s="1">
        <v>2300000</v>
      </c>
      <c r="D2291" s="1" t="s">
        <v>254</v>
      </c>
      <c r="E2291">
        <v>97.8596</v>
      </c>
      <c r="F2291" s="1" t="s">
        <v>124</v>
      </c>
      <c r="G2291">
        <v>15</v>
      </c>
      <c r="H2291">
        <v>8</v>
      </c>
      <c r="I2291" s="1" t="s">
        <v>1356</v>
      </c>
      <c r="J2291">
        <v>1</v>
      </c>
      <c r="K2291" t="str">
        <f>IF(Tb_data[[#This Row],[previous_workers]]&lt;Tb_data[[#This Row],[workers]],"yes","no")</f>
        <v>yes</v>
      </c>
      <c r="L2291">
        <f>Tb_data[[#This Row],[workers]]-Tb_data[[#This Row],[previous_workers]]</f>
        <v>7</v>
      </c>
      <c r="M2291" s="12">
        <f>Tb_data[[#This Row],[Employees Growth]]/Tb_data[[#This Row],[previous_workers]]</f>
        <v>0.875</v>
      </c>
    </row>
    <row r="2292" spans="1:13" x14ac:dyDescent="0.25">
      <c r="A2292" s="1" t="s">
        <v>4168</v>
      </c>
      <c r="B2292" s="1" t="s">
        <v>4169</v>
      </c>
      <c r="C2292" s="1">
        <v>314300000</v>
      </c>
      <c r="D2292" s="1" t="s">
        <v>20</v>
      </c>
      <c r="E2292">
        <v>196.886</v>
      </c>
      <c r="F2292" s="1" t="s">
        <v>17</v>
      </c>
      <c r="G2292">
        <v>347</v>
      </c>
      <c r="H2292">
        <v>204</v>
      </c>
      <c r="I2292" s="1" t="s">
        <v>164</v>
      </c>
      <c r="J2292">
        <v>5</v>
      </c>
      <c r="K2292" t="str">
        <f>IF(Tb_data[[#This Row],[previous_workers]]&lt;Tb_data[[#This Row],[workers]],"yes","no")</f>
        <v>yes</v>
      </c>
      <c r="L2292">
        <f>Tb_data[[#This Row],[workers]]-Tb_data[[#This Row],[previous_workers]]</f>
        <v>143</v>
      </c>
      <c r="M2292" s="12">
        <f>Tb_data[[#This Row],[Employees Growth]]/Tb_data[[#This Row],[previous_workers]]</f>
        <v>0.7009803921568627</v>
      </c>
    </row>
    <row r="2293" spans="1:13" x14ac:dyDescent="0.25">
      <c r="A2293" s="1" t="s">
        <v>4232</v>
      </c>
      <c r="B2293" s="1" t="s">
        <v>4233</v>
      </c>
      <c r="C2293" s="1">
        <v>19600000</v>
      </c>
      <c r="D2293" s="1" t="s">
        <v>33</v>
      </c>
      <c r="E2293">
        <v>194.63810000000001</v>
      </c>
      <c r="F2293" s="1" t="s">
        <v>124</v>
      </c>
      <c r="G2293">
        <v>45</v>
      </c>
      <c r="H2293">
        <v>25</v>
      </c>
      <c r="I2293" s="1" t="s">
        <v>229</v>
      </c>
      <c r="J2293">
        <v>2</v>
      </c>
      <c r="K2293" t="str">
        <f>IF(Tb_data[[#This Row],[previous_workers]]&lt;Tb_data[[#This Row],[workers]],"yes","no")</f>
        <v>yes</v>
      </c>
      <c r="L2293">
        <f>Tb_data[[#This Row],[workers]]-Tb_data[[#This Row],[previous_workers]]</f>
        <v>20</v>
      </c>
      <c r="M2293" s="12">
        <f>Tb_data[[#This Row],[Employees Growth]]/Tb_data[[#This Row],[previous_workers]]</f>
        <v>0.8</v>
      </c>
    </row>
    <row r="2294" spans="1:13" x14ac:dyDescent="0.25">
      <c r="A2294" s="1" t="s">
        <v>2504</v>
      </c>
      <c r="B2294" s="1" t="s">
        <v>2505</v>
      </c>
      <c r="C2294" s="1">
        <v>12300000</v>
      </c>
      <c r="D2294" s="1" t="s">
        <v>20</v>
      </c>
      <c r="E2294">
        <v>346.72210000000001</v>
      </c>
      <c r="F2294" s="1" t="s">
        <v>142</v>
      </c>
      <c r="G2294">
        <v>128</v>
      </c>
      <c r="H2294">
        <v>5</v>
      </c>
      <c r="I2294" s="1" t="s">
        <v>46</v>
      </c>
      <c r="J2294">
        <v>3</v>
      </c>
      <c r="K2294" t="str">
        <f>IF(Tb_data[[#This Row],[previous_workers]]&lt;Tb_data[[#This Row],[workers]],"yes","no")</f>
        <v>yes</v>
      </c>
      <c r="L2294">
        <f>Tb_data[[#This Row],[workers]]-Tb_data[[#This Row],[previous_workers]]</f>
        <v>123</v>
      </c>
      <c r="M2294" s="12">
        <f>Tb_data[[#This Row],[Employees Growth]]/Tb_data[[#This Row],[previous_workers]]</f>
        <v>24.6</v>
      </c>
    </row>
    <row r="2295" spans="1:13" x14ac:dyDescent="0.25">
      <c r="A2295" s="1" t="s">
        <v>6011</v>
      </c>
      <c r="B2295" s="1" t="s">
        <v>6012</v>
      </c>
      <c r="C2295" s="1">
        <v>16100000</v>
      </c>
      <c r="D2295" s="1" t="s">
        <v>175</v>
      </c>
      <c r="E2295">
        <v>126.31659999999999</v>
      </c>
      <c r="F2295" s="1" t="s">
        <v>21</v>
      </c>
      <c r="G2295">
        <v>325</v>
      </c>
      <c r="H2295">
        <v>100</v>
      </c>
      <c r="I2295" s="1" t="s">
        <v>35</v>
      </c>
      <c r="J2295">
        <v>1</v>
      </c>
      <c r="K2295" t="str">
        <f>IF(Tb_data[[#This Row],[previous_workers]]&lt;Tb_data[[#This Row],[workers]],"yes","no")</f>
        <v>yes</v>
      </c>
      <c r="L2295">
        <f>Tb_data[[#This Row],[workers]]-Tb_data[[#This Row],[previous_workers]]</f>
        <v>225</v>
      </c>
      <c r="M2295" s="12">
        <f>Tb_data[[#This Row],[Employees Growth]]/Tb_data[[#This Row],[previous_workers]]</f>
        <v>2.25</v>
      </c>
    </row>
    <row r="2296" spans="1:13" x14ac:dyDescent="0.25">
      <c r="A2296" s="1" t="s">
        <v>8536</v>
      </c>
      <c r="B2296" s="1" t="s">
        <v>8537</v>
      </c>
      <c r="C2296" s="1">
        <v>13500000</v>
      </c>
      <c r="D2296" s="1" t="s">
        <v>115</v>
      </c>
      <c r="E2296">
        <v>73.290499999999994</v>
      </c>
      <c r="F2296" s="1" t="s">
        <v>86</v>
      </c>
      <c r="G2296">
        <v>63</v>
      </c>
      <c r="H2296">
        <v>39</v>
      </c>
      <c r="I2296" s="1" t="s">
        <v>147</v>
      </c>
      <c r="J2296">
        <v>9</v>
      </c>
      <c r="K2296" t="str">
        <f>IF(Tb_data[[#This Row],[previous_workers]]&lt;Tb_data[[#This Row],[workers]],"yes","no")</f>
        <v>yes</v>
      </c>
      <c r="L2296">
        <f>Tb_data[[#This Row],[workers]]-Tb_data[[#This Row],[previous_workers]]</f>
        <v>24</v>
      </c>
      <c r="M2296" s="12">
        <f>Tb_data[[#This Row],[Employees Growth]]/Tb_data[[#This Row],[previous_workers]]</f>
        <v>0.61538461538461542</v>
      </c>
    </row>
    <row r="2297" spans="1:13" x14ac:dyDescent="0.25">
      <c r="A2297" s="1" t="s">
        <v>10054</v>
      </c>
      <c r="B2297" s="1" t="s">
        <v>10055</v>
      </c>
      <c r="C2297" s="1">
        <v>21300000</v>
      </c>
      <c r="D2297" s="1" t="s">
        <v>49</v>
      </c>
      <c r="E2297">
        <v>52.7881</v>
      </c>
      <c r="F2297" s="1" t="s">
        <v>124</v>
      </c>
      <c r="G2297">
        <v>62</v>
      </c>
      <c r="H2297">
        <v>48</v>
      </c>
      <c r="I2297" s="1" t="s">
        <v>1657</v>
      </c>
      <c r="J2297">
        <v>10</v>
      </c>
      <c r="K2297" t="str">
        <f>IF(Tb_data[[#This Row],[previous_workers]]&lt;Tb_data[[#This Row],[workers]],"yes","no")</f>
        <v>yes</v>
      </c>
      <c r="L2297">
        <f>Tb_data[[#This Row],[workers]]-Tb_data[[#This Row],[previous_workers]]</f>
        <v>14</v>
      </c>
      <c r="M2297" s="12">
        <f>Tb_data[[#This Row],[Employees Growth]]/Tb_data[[#This Row],[previous_workers]]</f>
        <v>0.29166666666666669</v>
      </c>
    </row>
    <row r="2298" spans="1:13" x14ac:dyDescent="0.25">
      <c r="A2298" s="1" t="s">
        <v>8035</v>
      </c>
      <c r="B2298" s="1" t="s">
        <v>8036</v>
      </c>
      <c r="C2298" s="1">
        <v>2700000</v>
      </c>
      <c r="D2298" s="1" t="s">
        <v>29</v>
      </c>
      <c r="E2298">
        <v>82.137900000000002</v>
      </c>
      <c r="F2298" s="1" t="s">
        <v>12</v>
      </c>
      <c r="G2298">
        <v>48</v>
      </c>
      <c r="H2298">
        <v>25</v>
      </c>
      <c r="I2298" s="1" t="s">
        <v>117</v>
      </c>
      <c r="J2298">
        <v>3</v>
      </c>
      <c r="K2298" t="str">
        <f>IF(Tb_data[[#This Row],[previous_workers]]&lt;Tb_data[[#This Row],[workers]],"yes","no")</f>
        <v>yes</v>
      </c>
      <c r="L2298">
        <f>Tb_data[[#This Row],[workers]]-Tb_data[[#This Row],[previous_workers]]</f>
        <v>23</v>
      </c>
      <c r="M2298" s="12">
        <f>Tb_data[[#This Row],[Employees Growth]]/Tb_data[[#This Row],[previous_workers]]</f>
        <v>0.92</v>
      </c>
    </row>
    <row r="2299" spans="1:13" x14ac:dyDescent="0.25">
      <c r="A2299" s="1" t="s">
        <v>7903</v>
      </c>
      <c r="B2299" s="1" t="s">
        <v>7904</v>
      </c>
      <c r="C2299" s="1">
        <v>36500000</v>
      </c>
      <c r="D2299" s="1" t="s">
        <v>49</v>
      </c>
      <c r="E2299">
        <v>84.672200000000004</v>
      </c>
      <c r="F2299" s="1" t="s">
        <v>156</v>
      </c>
      <c r="G2299">
        <v>703</v>
      </c>
      <c r="H2299">
        <v>217</v>
      </c>
      <c r="I2299" s="1" t="s">
        <v>948</v>
      </c>
      <c r="J2299">
        <v>9</v>
      </c>
      <c r="K2299" t="str">
        <f>IF(Tb_data[[#This Row],[previous_workers]]&lt;Tb_data[[#This Row],[workers]],"yes","no")</f>
        <v>yes</v>
      </c>
      <c r="L2299">
        <f>Tb_data[[#This Row],[workers]]-Tb_data[[#This Row],[previous_workers]]</f>
        <v>486</v>
      </c>
      <c r="M2299" s="12">
        <f>Tb_data[[#This Row],[Employees Growth]]/Tb_data[[#This Row],[previous_workers]]</f>
        <v>2.2396313364055298</v>
      </c>
    </row>
    <row r="2300" spans="1:13" x14ac:dyDescent="0.25">
      <c r="A2300" s="1" t="s">
        <v>4559</v>
      </c>
      <c r="B2300" s="1" t="s">
        <v>4560</v>
      </c>
      <c r="C2300" s="1">
        <v>25000000</v>
      </c>
      <c r="D2300" s="1" t="s">
        <v>20</v>
      </c>
      <c r="E2300">
        <v>180.16650000000001</v>
      </c>
      <c r="F2300" s="1" t="s">
        <v>94</v>
      </c>
      <c r="G2300">
        <v>33</v>
      </c>
      <c r="H2300">
        <v>8</v>
      </c>
      <c r="I2300" s="1" t="s">
        <v>26</v>
      </c>
      <c r="J2300">
        <v>1</v>
      </c>
      <c r="K2300" t="str">
        <f>IF(Tb_data[[#This Row],[previous_workers]]&lt;Tb_data[[#This Row],[workers]],"yes","no")</f>
        <v>yes</v>
      </c>
      <c r="L2300">
        <f>Tb_data[[#This Row],[workers]]-Tb_data[[#This Row],[previous_workers]]</f>
        <v>25</v>
      </c>
      <c r="M2300" s="12">
        <f>Tb_data[[#This Row],[Employees Growth]]/Tb_data[[#This Row],[previous_workers]]</f>
        <v>3.125</v>
      </c>
    </row>
    <row r="2301" spans="1:13" x14ac:dyDescent="0.25">
      <c r="A2301" s="1" t="s">
        <v>4649</v>
      </c>
      <c r="B2301" s="1" t="s">
        <v>4650</v>
      </c>
      <c r="C2301" s="1">
        <v>5200000</v>
      </c>
      <c r="D2301" s="1" t="s">
        <v>61</v>
      </c>
      <c r="E2301">
        <v>176.09800000000001</v>
      </c>
      <c r="F2301" s="1" t="s">
        <v>86</v>
      </c>
      <c r="G2301">
        <v>65</v>
      </c>
      <c r="H2301">
        <v>26</v>
      </c>
      <c r="I2301" s="1" t="s">
        <v>35</v>
      </c>
      <c r="J2301">
        <v>3</v>
      </c>
      <c r="K2301" t="str">
        <f>IF(Tb_data[[#This Row],[previous_workers]]&lt;Tb_data[[#This Row],[workers]],"yes","no")</f>
        <v>yes</v>
      </c>
      <c r="L2301">
        <f>Tb_data[[#This Row],[workers]]-Tb_data[[#This Row],[previous_workers]]</f>
        <v>39</v>
      </c>
      <c r="M2301" s="12">
        <f>Tb_data[[#This Row],[Employees Growth]]/Tb_data[[#This Row],[previous_workers]]</f>
        <v>1.5</v>
      </c>
    </row>
    <row r="2302" spans="1:13" x14ac:dyDescent="0.25">
      <c r="A2302" s="1" t="s">
        <v>7325</v>
      </c>
      <c r="B2302" s="1" t="s">
        <v>7326</v>
      </c>
      <c r="C2302" s="1">
        <v>3000000</v>
      </c>
      <c r="D2302" s="1" t="s">
        <v>427</v>
      </c>
      <c r="E2302">
        <v>96.552300000000002</v>
      </c>
      <c r="F2302" s="1" t="s">
        <v>124</v>
      </c>
      <c r="G2302">
        <v>24</v>
      </c>
      <c r="H2302">
        <v>13</v>
      </c>
      <c r="I2302" s="1" t="s">
        <v>194</v>
      </c>
      <c r="J2302">
        <v>1</v>
      </c>
      <c r="K2302" t="str">
        <f>IF(Tb_data[[#This Row],[previous_workers]]&lt;Tb_data[[#This Row],[workers]],"yes","no")</f>
        <v>yes</v>
      </c>
      <c r="L2302">
        <f>Tb_data[[#This Row],[workers]]-Tb_data[[#This Row],[previous_workers]]</f>
        <v>11</v>
      </c>
      <c r="M2302" s="12">
        <f>Tb_data[[#This Row],[Employees Growth]]/Tb_data[[#This Row],[previous_workers]]</f>
        <v>0.84615384615384615</v>
      </c>
    </row>
    <row r="2303" spans="1:13" x14ac:dyDescent="0.25">
      <c r="A2303" s="1" t="s">
        <v>7088</v>
      </c>
      <c r="B2303" s="1" t="s">
        <v>7089</v>
      </c>
      <c r="C2303" s="1">
        <v>3900000</v>
      </c>
      <c r="D2303" s="1" t="s">
        <v>61</v>
      </c>
      <c r="E2303">
        <v>100.4776</v>
      </c>
      <c r="F2303" s="1" t="s">
        <v>135</v>
      </c>
      <c r="G2303">
        <v>27</v>
      </c>
      <c r="H2303">
        <v>13</v>
      </c>
      <c r="I2303" s="1" t="s">
        <v>130</v>
      </c>
      <c r="J2303">
        <v>1</v>
      </c>
      <c r="K2303" t="str">
        <f>IF(Tb_data[[#This Row],[previous_workers]]&lt;Tb_data[[#This Row],[workers]],"yes","no")</f>
        <v>yes</v>
      </c>
      <c r="L2303">
        <f>Tb_data[[#This Row],[workers]]-Tb_data[[#This Row],[previous_workers]]</f>
        <v>14</v>
      </c>
      <c r="M2303" s="12">
        <f>Tb_data[[#This Row],[Employees Growth]]/Tb_data[[#This Row],[previous_workers]]</f>
        <v>1.0769230769230769</v>
      </c>
    </row>
    <row r="2304" spans="1:13" x14ac:dyDescent="0.25">
      <c r="A2304" s="1" t="s">
        <v>6904</v>
      </c>
      <c r="B2304" s="1" t="s">
        <v>6905</v>
      </c>
      <c r="C2304" s="1">
        <v>5100000</v>
      </c>
      <c r="D2304" s="1" t="s">
        <v>4064</v>
      </c>
      <c r="E2304">
        <v>103.9819</v>
      </c>
      <c r="F2304" s="1" t="s">
        <v>112</v>
      </c>
      <c r="G2304">
        <v>50</v>
      </c>
      <c r="H2304">
        <v>30</v>
      </c>
      <c r="I2304" s="1" t="s">
        <v>468</v>
      </c>
      <c r="J2304">
        <v>2</v>
      </c>
      <c r="K2304" t="str">
        <f>IF(Tb_data[[#This Row],[previous_workers]]&lt;Tb_data[[#This Row],[workers]],"yes","no")</f>
        <v>yes</v>
      </c>
      <c r="L2304">
        <f>Tb_data[[#This Row],[workers]]-Tb_data[[#This Row],[previous_workers]]</f>
        <v>20</v>
      </c>
      <c r="M2304" s="12">
        <f>Tb_data[[#This Row],[Employees Growth]]/Tb_data[[#This Row],[previous_workers]]</f>
        <v>0.66666666666666663</v>
      </c>
    </row>
    <row r="2305" spans="1:13" x14ac:dyDescent="0.25">
      <c r="A2305" s="1" t="s">
        <v>6213</v>
      </c>
      <c r="B2305" s="1" t="s">
        <v>6214</v>
      </c>
      <c r="C2305" s="1">
        <v>185400000</v>
      </c>
      <c r="D2305" s="1" t="s">
        <v>91</v>
      </c>
      <c r="E2305">
        <v>121.0827</v>
      </c>
      <c r="F2305" s="1" t="s">
        <v>25</v>
      </c>
      <c r="G2305">
        <v>175</v>
      </c>
      <c r="H2305">
        <v>60</v>
      </c>
      <c r="I2305" s="1" t="s">
        <v>164</v>
      </c>
      <c r="J2305">
        <v>5</v>
      </c>
      <c r="K2305" t="str">
        <f>IF(Tb_data[[#This Row],[previous_workers]]&lt;Tb_data[[#This Row],[workers]],"yes","no")</f>
        <v>yes</v>
      </c>
      <c r="L2305">
        <f>Tb_data[[#This Row],[workers]]-Tb_data[[#This Row],[previous_workers]]</f>
        <v>115</v>
      </c>
      <c r="M2305" s="12">
        <f>Tb_data[[#This Row],[Employees Growth]]/Tb_data[[#This Row],[previous_workers]]</f>
        <v>1.9166666666666667</v>
      </c>
    </row>
    <row r="2306" spans="1:13" x14ac:dyDescent="0.25">
      <c r="A2306" s="1" t="s">
        <v>4910</v>
      </c>
      <c r="B2306" s="1" t="s">
        <v>4911</v>
      </c>
      <c r="C2306" s="1">
        <v>5700000</v>
      </c>
      <c r="D2306" s="1" t="s">
        <v>20</v>
      </c>
      <c r="E2306">
        <v>165.22880000000001</v>
      </c>
      <c r="F2306" s="1" t="s">
        <v>12</v>
      </c>
      <c r="G2306">
        <v>38</v>
      </c>
      <c r="H2306">
        <v>18</v>
      </c>
      <c r="I2306" s="1" t="s">
        <v>130</v>
      </c>
      <c r="J2306">
        <v>3</v>
      </c>
      <c r="K2306" t="str">
        <f>IF(Tb_data[[#This Row],[previous_workers]]&lt;Tb_data[[#This Row],[workers]],"yes","no")</f>
        <v>yes</v>
      </c>
      <c r="L2306">
        <f>Tb_data[[#This Row],[workers]]-Tb_data[[#This Row],[previous_workers]]</f>
        <v>20</v>
      </c>
      <c r="M2306" s="12">
        <f>Tb_data[[#This Row],[Employees Growth]]/Tb_data[[#This Row],[previous_workers]]</f>
        <v>1.1111111111111112</v>
      </c>
    </row>
    <row r="2307" spans="1:13" x14ac:dyDescent="0.25">
      <c r="A2307" s="1" t="s">
        <v>6019</v>
      </c>
      <c r="B2307" s="1" t="s">
        <v>6020</v>
      </c>
      <c r="C2307" s="1">
        <v>484000000</v>
      </c>
      <c r="D2307" s="1" t="s">
        <v>69</v>
      </c>
      <c r="E2307">
        <v>126.1486</v>
      </c>
      <c r="F2307" s="1" t="s">
        <v>112</v>
      </c>
      <c r="G2307">
        <v>1098</v>
      </c>
      <c r="H2307">
        <v>597</v>
      </c>
      <c r="I2307" s="1" t="s">
        <v>229</v>
      </c>
      <c r="J2307">
        <v>6</v>
      </c>
      <c r="K2307" t="str">
        <f>IF(Tb_data[[#This Row],[previous_workers]]&lt;Tb_data[[#This Row],[workers]],"yes","no")</f>
        <v>yes</v>
      </c>
      <c r="L2307">
        <f>Tb_data[[#This Row],[workers]]-Tb_data[[#This Row],[previous_workers]]</f>
        <v>501</v>
      </c>
      <c r="M2307" s="12">
        <f>Tb_data[[#This Row],[Employees Growth]]/Tb_data[[#This Row],[previous_workers]]</f>
        <v>0.83919597989949746</v>
      </c>
    </row>
    <row r="2308" spans="1:13" x14ac:dyDescent="0.25">
      <c r="A2308" s="1" t="s">
        <v>8157</v>
      </c>
      <c r="B2308" s="1" t="s">
        <v>8158</v>
      </c>
      <c r="C2308" s="1">
        <v>119400000</v>
      </c>
      <c r="D2308" s="1" t="s">
        <v>45</v>
      </c>
      <c r="E2308">
        <v>80.310699999999997</v>
      </c>
      <c r="F2308" s="1" t="s">
        <v>17</v>
      </c>
      <c r="G2308">
        <v>131</v>
      </c>
      <c r="H2308">
        <v>77</v>
      </c>
      <c r="I2308" s="1" t="s">
        <v>372</v>
      </c>
      <c r="J2308">
        <v>14</v>
      </c>
      <c r="K2308" t="str">
        <f>IF(Tb_data[[#This Row],[previous_workers]]&lt;Tb_data[[#This Row],[workers]],"yes","no")</f>
        <v>yes</v>
      </c>
      <c r="L2308">
        <f>Tb_data[[#This Row],[workers]]-Tb_data[[#This Row],[previous_workers]]</f>
        <v>54</v>
      </c>
      <c r="M2308" s="12">
        <f>Tb_data[[#This Row],[Employees Growth]]/Tb_data[[#This Row],[previous_workers]]</f>
        <v>0.70129870129870131</v>
      </c>
    </row>
    <row r="2309" spans="1:13" x14ac:dyDescent="0.25">
      <c r="A2309" s="1" t="s">
        <v>6813</v>
      </c>
      <c r="B2309" s="1" t="s">
        <v>6814</v>
      </c>
      <c r="C2309" s="1">
        <v>3700000</v>
      </c>
      <c r="D2309" s="1" t="s">
        <v>20</v>
      </c>
      <c r="E2309">
        <v>106.4825</v>
      </c>
      <c r="F2309" s="1" t="s">
        <v>112</v>
      </c>
      <c r="G2309">
        <v>8</v>
      </c>
      <c r="H2309">
        <v>5</v>
      </c>
      <c r="I2309" s="1" t="s">
        <v>46</v>
      </c>
      <c r="J2309">
        <v>2</v>
      </c>
      <c r="K2309" t="str">
        <f>IF(Tb_data[[#This Row],[previous_workers]]&lt;Tb_data[[#This Row],[workers]],"yes","no")</f>
        <v>yes</v>
      </c>
      <c r="L2309">
        <f>Tb_data[[#This Row],[workers]]-Tb_data[[#This Row],[previous_workers]]</f>
        <v>3</v>
      </c>
      <c r="M2309" s="12">
        <f>Tb_data[[#This Row],[Employees Growth]]/Tb_data[[#This Row],[previous_workers]]</f>
        <v>0.6</v>
      </c>
    </row>
    <row r="2310" spans="1:13" x14ac:dyDescent="0.25">
      <c r="A2310" s="1" t="s">
        <v>2410</v>
      </c>
      <c r="B2310" s="1" t="s">
        <v>2411</v>
      </c>
      <c r="C2310" s="1">
        <v>10400000</v>
      </c>
      <c r="D2310" s="1" t="s">
        <v>41</v>
      </c>
      <c r="E2310">
        <v>361.67930000000001</v>
      </c>
      <c r="F2310" s="1" t="s">
        <v>116</v>
      </c>
      <c r="G2310">
        <v>12</v>
      </c>
      <c r="H2310">
        <v>5</v>
      </c>
      <c r="I2310" s="1" t="s">
        <v>130</v>
      </c>
      <c r="J2310">
        <v>1</v>
      </c>
      <c r="K2310" t="str">
        <f>IF(Tb_data[[#This Row],[previous_workers]]&lt;Tb_data[[#This Row],[workers]],"yes","no")</f>
        <v>yes</v>
      </c>
      <c r="L2310">
        <f>Tb_data[[#This Row],[workers]]-Tb_data[[#This Row],[previous_workers]]</f>
        <v>7</v>
      </c>
      <c r="M2310" s="12">
        <f>Tb_data[[#This Row],[Employees Growth]]/Tb_data[[#This Row],[previous_workers]]</f>
        <v>1.4</v>
      </c>
    </row>
    <row r="2311" spans="1:13" x14ac:dyDescent="0.25">
      <c r="A2311" s="1" t="s">
        <v>5206</v>
      </c>
      <c r="B2311" s="1" t="s">
        <v>5207</v>
      </c>
      <c r="C2311" s="1">
        <v>82000000</v>
      </c>
      <c r="D2311" s="1" t="s">
        <v>33</v>
      </c>
      <c r="E2311">
        <v>153.3169</v>
      </c>
      <c r="F2311" s="1" t="s">
        <v>124</v>
      </c>
      <c r="G2311">
        <v>187</v>
      </c>
      <c r="H2311">
        <v>110</v>
      </c>
      <c r="I2311" s="1" t="s">
        <v>117</v>
      </c>
      <c r="J2311">
        <v>3</v>
      </c>
      <c r="K2311" t="str">
        <f>IF(Tb_data[[#This Row],[previous_workers]]&lt;Tb_data[[#This Row],[workers]],"yes","no")</f>
        <v>yes</v>
      </c>
      <c r="L2311">
        <f>Tb_data[[#This Row],[workers]]-Tb_data[[#This Row],[previous_workers]]</f>
        <v>77</v>
      </c>
      <c r="M2311" s="12">
        <f>Tb_data[[#This Row],[Employees Growth]]/Tb_data[[#This Row],[previous_workers]]</f>
        <v>0.7</v>
      </c>
    </row>
    <row r="2312" spans="1:13" x14ac:dyDescent="0.25">
      <c r="A2312" s="1" t="s">
        <v>1276</v>
      </c>
      <c r="B2312" s="1" t="s">
        <v>1277</v>
      </c>
      <c r="C2312" s="1">
        <v>3700000</v>
      </c>
      <c r="D2312" s="1" t="s">
        <v>69</v>
      </c>
      <c r="E2312">
        <v>754.65539999999999</v>
      </c>
      <c r="F2312" s="1" t="s">
        <v>310</v>
      </c>
      <c r="G2312">
        <v>25</v>
      </c>
      <c r="H2312">
        <v>3</v>
      </c>
      <c r="I2312" s="1" t="s">
        <v>26</v>
      </c>
      <c r="J2312">
        <v>2</v>
      </c>
      <c r="K2312" t="str">
        <f>IF(Tb_data[[#This Row],[previous_workers]]&lt;Tb_data[[#This Row],[workers]],"yes","no")</f>
        <v>yes</v>
      </c>
      <c r="L2312">
        <f>Tb_data[[#This Row],[workers]]-Tb_data[[#This Row],[previous_workers]]</f>
        <v>22</v>
      </c>
      <c r="M2312" s="12">
        <f>Tb_data[[#This Row],[Employees Growth]]/Tb_data[[#This Row],[previous_workers]]</f>
        <v>7.333333333333333</v>
      </c>
    </row>
    <row r="2313" spans="1:13" x14ac:dyDescent="0.25">
      <c r="A2313" s="1" t="s">
        <v>8653</v>
      </c>
      <c r="B2313" s="1" t="s">
        <v>8654</v>
      </c>
      <c r="C2313" s="1">
        <v>9100000</v>
      </c>
      <c r="D2313" s="1" t="s">
        <v>29</v>
      </c>
      <c r="E2313">
        <v>71.651499999999999</v>
      </c>
      <c r="F2313" s="1" t="s">
        <v>86</v>
      </c>
      <c r="G2313">
        <v>62</v>
      </c>
      <c r="H2313">
        <v>70</v>
      </c>
      <c r="I2313" s="1" t="s">
        <v>35</v>
      </c>
      <c r="J2313">
        <v>3</v>
      </c>
      <c r="K2313" t="str">
        <f>IF(Tb_data[[#This Row],[previous_workers]]&lt;Tb_data[[#This Row],[workers]],"yes","no")</f>
        <v>no</v>
      </c>
      <c r="L2313">
        <f>Tb_data[[#This Row],[workers]]-Tb_data[[#This Row],[previous_workers]]</f>
        <v>-8</v>
      </c>
      <c r="M2313" s="12">
        <f>Tb_data[[#This Row],[Employees Growth]]/Tb_data[[#This Row],[previous_workers]]</f>
        <v>-0.11428571428571428</v>
      </c>
    </row>
    <row r="2314" spans="1:13" x14ac:dyDescent="0.25">
      <c r="A2314" s="1" t="s">
        <v>3063</v>
      </c>
      <c r="B2314" s="1" t="s">
        <v>3064</v>
      </c>
      <c r="C2314" s="1">
        <v>2900000</v>
      </c>
      <c r="D2314" s="1" t="s">
        <v>49</v>
      </c>
      <c r="E2314">
        <v>281.83769999999998</v>
      </c>
      <c r="F2314" s="1" t="s">
        <v>176</v>
      </c>
      <c r="G2314">
        <v>10</v>
      </c>
      <c r="H2314">
        <v>6</v>
      </c>
      <c r="I2314" s="1" t="s">
        <v>130</v>
      </c>
      <c r="J2314">
        <v>2</v>
      </c>
      <c r="K2314" t="str">
        <f>IF(Tb_data[[#This Row],[previous_workers]]&lt;Tb_data[[#This Row],[workers]],"yes","no")</f>
        <v>yes</v>
      </c>
      <c r="L2314">
        <f>Tb_data[[#This Row],[workers]]-Tb_data[[#This Row],[previous_workers]]</f>
        <v>4</v>
      </c>
      <c r="M2314" s="12">
        <f>Tb_data[[#This Row],[Employees Growth]]/Tb_data[[#This Row],[previous_workers]]</f>
        <v>0.66666666666666663</v>
      </c>
    </row>
    <row r="2315" spans="1:13" x14ac:dyDescent="0.25">
      <c r="A2315" s="1" t="s">
        <v>3095</v>
      </c>
      <c r="B2315" s="1" t="s">
        <v>3096</v>
      </c>
      <c r="C2315" s="1">
        <v>5100000</v>
      </c>
      <c r="D2315" s="1" t="s">
        <v>20</v>
      </c>
      <c r="E2315">
        <v>277.34210000000002</v>
      </c>
      <c r="F2315" s="1" t="s">
        <v>176</v>
      </c>
      <c r="G2315">
        <v>60</v>
      </c>
      <c r="H2315">
        <v>6</v>
      </c>
      <c r="I2315" s="1" t="s">
        <v>147</v>
      </c>
      <c r="J2315">
        <v>1</v>
      </c>
      <c r="K2315" t="str">
        <f>IF(Tb_data[[#This Row],[previous_workers]]&lt;Tb_data[[#This Row],[workers]],"yes","no")</f>
        <v>yes</v>
      </c>
      <c r="L2315">
        <f>Tb_data[[#This Row],[workers]]-Tb_data[[#This Row],[previous_workers]]</f>
        <v>54</v>
      </c>
      <c r="M2315" s="12">
        <f>Tb_data[[#This Row],[Employees Growth]]/Tb_data[[#This Row],[previous_workers]]</f>
        <v>9</v>
      </c>
    </row>
    <row r="2316" spans="1:13" x14ac:dyDescent="0.25">
      <c r="A2316" s="1" t="s">
        <v>1288</v>
      </c>
      <c r="B2316" s="1" t="s">
        <v>1289</v>
      </c>
      <c r="C2316" s="1">
        <v>5000000</v>
      </c>
      <c r="D2316" s="1" t="s">
        <v>49</v>
      </c>
      <c r="E2316">
        <v>749.8904</v>
      </c>
      <c r="F2316" s="1" t="s">
        <v>112</v>
      </c>
      <c r="G2316">
        <v>14</v>
      </c>
      <c r="H2316">
        <v>2</v>
      </c>
      <c r="I2316" s="1" t="s">
        <v>130</v>
      </c>
      <c r="J2316">
        <v>1</v>
      </c>
      <c r="K2316" t="str">
        <f>IF(Tb_data[[#This Row],[previous_workers]]&lt;Tb_data[[#This Row],[workers]],"yes","no")</f>
        <v>yes</v>
      </c>
      <c r="L2316">
        <f>Tb_data[[#This Row],[workers]]-Tb_data[[#This Row],[previous_workers]]</f>
        <v>12</v>
      </c>
      <c r="M2316" s="12">
        <f>Tb_data[[#This Row],[Employees Growth]]/Tb_data[[#This Row],[previous_workers]]</f>
        <v>6</v>
      </c>
    </row>
    <row r="2317" spans="1:13" x14ac:dyDescent="0.25">
      <c r="A2317" s="1" t="s">
        <v>2727</v>
      </c>
      <c r="B2317" s="1" t="s">
        <v>2728</v>
      </c>
      <c r="C2317" s="1">
        <v>9400000</v>
      </c>
      <c r="D2317" s="1" t="s">
        <v>422</v>
      </c>
      <c r="E2317">
        <v>315.83780000000002</v>
      </c>
      <c r="F2317" s="1" t="s">
        <v>30</v>
      </c>
      <c r="G2317">
        <v>34</v>
      </c>
      <c r="H2317">
        <v>8</v>
      </c>
      <c r="I2317" s="1" t="s">
        <v>55</v>
      </c>
      <c r="J2317">
        <v>3</v>
      </c>
      <c r="K2317" t="str">
        <f>IF(Tb_data[[#This Row],[previous_workers]]&lt;Tb_data[[#This Row],[workers]],"yes","no")</f>
        <v>yes</v>
      </c>
      <c r="L2317">
        <f>Tb_data[[#This Row],[workers]]-Tb_data[[#This Row],[previous_workers]]</f>
        <v>26</v>
      </c>
      <c r="M2317" s="12">
        <f>Tb_data[[#This Row],[Employees Growth]]/Tb_data[[#This Row],[previous_workers]]</f>
        <v>3.25</v>
      </c>
    </row>
    <row r="2318" spans="1:13" x14ac:dyDescent="0.25">
      <c r="A2318" s="1" t="s">
        <v>7194</v>
      </c>
      <c r="B2318" s="1" t="s">
        <v>7195</v>
      </c>
      <c r="C2318" s="1">
        <v>2300000</v>
      </c>
      <c r="D2318" s="1" t="s">
        <v>33</v>
      </c>
      <c r="E2318">
        <v>98.574799999999996</v>
      </c>
      <c r="F2318" s="1" t="s">
        <v>25</v>
      </c>
      <c r="G2318">
        <v>48</v>
      </c>
      <c r="H2318">
        <v>21</v>
      </c>
      <c r="I2318" s="1" t="s">
        <v>117</v>
      </c>
      <c r="J2318">
        <v>10</v>
      </c>
      <c r="K2318" t="str">
        <f>IF(Tb_data[[#This Row],[previous_workers]]&lt;Tb_data[[#This Row],[workers]],"yes","no")</f>
        <v>yes</v>
      </c>
      <c r="L2318">
        <f>Tb_data[[#This Row],[workers]]-Tb_data[[#This Row],[previous_workers]]</f>
        <v>27</v>
      </c>
      <c r="M2318" s="12">
        <f>Tb_data[[#This Row],[Employees Growth]]/Tb_data[[#This Row],[previous_workers]]</f>
        <v>1.2857142857142858</v>
      </c>
    </row>
    <row r="2319" spans="1:13" x14ac:dyDescent="0.25">
      <c r="A2319" s="1" t="s">
        <v>4712</v>
      </c>
      <c r="B2319" s="1" t="s">
        <v>4713</v>
      </c>
      <c r="C2319" s="1">
        <v>3400000</v>
      </c>
      <c r="D2319" s="1" t="s">
        <v>49</v>
      </c>
      <c r="E2319">
        <v>174.06120000000001</v>
      </c>
      <c r="F2319" s="1" t="s">
        <v>100</v>
      </c>
      <c r="G2319">
        <v>5</v>
      </c>
      <c r="H2319">
        <v>1</v>
      </c>
      <c r="I2319" s="1" t="s">
        <v>130</v>
      </c>
      <c r="J2319">
        <v>2</v>
      </c>
      <c r="K2319" t="str">
        <f>IF(Tb_data[[#This Row],[previous_workers]]&lt;Tb_data[[#This Row],[workers]],"yes","no")</f>
        <v>yes</v>
      </c>
      <c r="L2319">
        <f>Tb_data[[#This Row],[workers]]-Tb_data[[#This Row],[previous_workers]]</f>
        <v>4</v>
      </c>
      <c r="M2319" s="12">
        <f>Tb_data[[#This Row],[Employees Growth]]/Tb_data[[#This Row],[previous_workers]]</f>
        <v>4</v>
      </c>
    </row>
    <row r="2320" spans="1:13" x14ac:dyDescent="0.25">
      <c r="A2320" s="1" t="s">
        <v>3065</v>
      </c>
      <c r="B2320" s="1" t="s">
        <v>3066</v>
      </c>
      <c r="C2320" s="1">
        <v>5900000</v>
      </c>
      <c r="D2320" s="1" t="s">
        <v>61</v>
      </c>
      <c r="E2320">
        <v>281.20139999999998</v>
      </c>
      <c r="F2320" s="1" t="s">
        <v>161</v>
      </c>
      <c r="G2320">
        <v>27</v>
      </c>
      <c r="H2320">
        <v>19</v>
      </c>
      <c r="I2320" s="1" t="s">
        <v>164</v>
      </c>
      <c r="J2320">
        <v>2</v>
      </c>
      <c r="K2320" t="str">
        <f>IF(Tb_data[[#This Row],[previous_workers]]&lt;Tb_data[[#This Row],[workers]],"yes","no")</f>
        <v>yes</v>
      </c>
      <c r="L2320">
        <f>Tb_data[[#This Row],[workers]]-Tb_data[[#This Row],[previous_workers]]</f>
        <v>8</v>
      </c>
      <c r="M2320" s="12">
        <f>Tb_data[[#This Row],[Employees Growth]]/Tb_data[[#This Row],[previous_workers]]</f>
        <v>0.42105263157894735</v>
      </c>
    </row>
    <row r="2321" spans="1:13" x14ac:dyDescent="0.25">
      <c r="A2321" s="1" t="s">
        <v>3473</v>
      </c>
      <c r="B2321" s="1" t="s">
        <v>3474</v>
      </c>
      <c r="C2321" s="1">
        <v>3900000</v>
      </c>
      <c r="D2321" s="1" t="s">
        <v>20</v>
      </c>
      <c r="E2321">
        <v>244.8468</v>
      </c>
      <c r="F2321" s="1" t="s">
        <v>124</v>
      </c>
      <c r="G2321">
        <v>34</v>
      </c>
      <c r="H2321">
        <v>15</v>
      </c>
      <c r="I2321" s="1" t="s">
        <v>117</v>
      </c>
      <c r="J2321">
        <v>2</v>
      </c>
      <c r="K2321" t="str">
        <f>IF(Tb_data[[#This Row],[previous_workers]]&lt;Tb_data[[#This Row],[workers]],"yes","no")</f>
        <v>yes</v>
      </c>
      <c r="L2321">
        <f>Tb_data[[#This Row],[workers]]-Tb_data[[#This Row],[previous_workers]]</f>
        <v>19</v>
      </c>
      <c r="M2321" s="12">
        <f>Tb_data[[#This Row],[Employees Growth]]/Tb_data[[#This Row],[previous_workers]]</f>
        <v>1.2666666666666666</v>
      </c>
    </row>
    <row r="2322" spans="1:13" x14ac:dyDescent="0.25">
      <c r="A2322" s="1" t="s">
        <v>2534</v>
      </c>
      <c r="B2322" s="1" t="s">
        <v>2535</v>
      </c>
      <c r="C2322" s="1">
        <v>24600000</v>
      </c>
      <c r="D2322" s="1" t="s">
        <v>427</v>
      </c>
      <c r="E2322">
        <v>338.93509999999998</v>
      </c>
      <c r="F2322" s="1" t="s">
        <v>12</v>
      </c>
      <c r="G2322">
        <v>37</v>
      </c>
      <c r="H2322">
        <v>43</v>
      </c>
      <c r="I2322" s="1" t="s">
        <v>948</v>
      </c>
      <c r="J2322">
        <v>4</v>
      </c>
      <c r="K2322" t="str">
        <f>IF(Tb_data[[#This Row],[previous_workers]]&lt;Tb_data[[#This Row],[workers]],"yes","no")</f>
        <v>no</v>
      </c>
      <c r="L2322">
        <f>Tb_data[[#This Row],[workers]]-Tb_data[[#This Row],[previous_workers]]</f>
        <v>-6</v>
      </c>
      <c r="M2322" s="12">
        <f>Tb_data[[#This Row],[Employees Growth]]/Tb_data[[#This Row],[previous_workers]]</f>
        <v>-0.13953488372093023</v>
      </c>
    </row>
    <row r="2323" spans="1:13" x14ac:dyDescent="0.25">
      <c r="A2323" s="1" t="s">
        <v>5242</v>
      </c>
      <c r="B2323" s="1" t="s">
        <v>5243</v>
      </c>
      <c r="C2323" s="1">
        <v>107800000</v>
      </c>
      <c r="D2323" s="1" t="s">
        <v>627</v>
      </c>
      <c r="E2323">
        <v>151.98509999999999</v>
      </c>
      <c r="F2323" s="1" t="s">
        <v>17</v>
      </c>
      <c r="G2323">
        <v>98</v>
      </c>
      <c r="H2323">
        <v>64</v>
      </c>
      <c r="I2323" s="1" t="s">
        <v>194</v>
      </c>
      <c r="J2323">
        <v>6</v>
      </c>
      <c r="K2323" t="str">
        <f>IF(Tb_data[[#This Row],[previous_workers]]&lt;Tb_data[[#This Row],[workers]],"yes","no")</f>
        <v>yes</v>
      </c>
      <c r="L2323">
        <f>Tb_data[[#This Row],[workers]]-Tb_data[[#This Row],[previous_workers]]</f>
        <v>34</v>
      </c>
      <c r="M2323" s="12">
        <f>Tb_data[[#This Row],[Employees Growth]]/Tb_data[[#This Row],[previous_workers]]</f>
        <v>0.53125</v>
      </c>
    </row>
    <row r="2324" spans="1:13" x14ac:dyDescent="0.25">
      <c r="A2324" s="1" t="s">
        <v>2775</v>
      </c>
      <c r="B2324" s="1" t="s">
        <v>2776</v>
      </c>
      <c r="C2324" s="1">
        <v>22300000</v>
      </c>
      <c r="D2324" s="1" t="s">
        <v>380</v>
      </c>
      <c r="E2324">
        <v>310.54480000000001</v>
      </c>
      <c r="F2324" s="1" t="s">
        <v>100</v>
      </c>
      <c r="G2324">
        <v>33</v>
      </c>
      <c r="H2324">
        <v>10</v>
      </c>
      <c r="I2324" s="1" t="s">
        <v>74</v>
      </c>
      <c r="J2324">
        <v>1</v>
      </c>
      <c r="K2324" t="str">
        <f>IF(Tb_data[[#This Row],[previous_workers]]&lt;Tb_data[[#This Row],[workers]],"yes","no")</f>
        <v>yes</v>
      </c>
      <c r="L2324">
        <f>Tb_data[[#This Row],[workers]]-Tb_data[[#This Row],[previous_workers]]</f>
        <v>23</v>
      </c>
      <c r="M2324" s="12">
        <f>Tb_data[[#This Row],[Employees Growth]]/Tb_data[[#This Row],[previous_workers]]</f>
        <v>2.2999999999999998</v>
      </c>
    </row>
    <row r="2325" spans="1:13" x14ac:dyDescent="0.25">
      <c r="A2325" s="1" t="s">
        <v>4748</v>
      </c>
      <c r="B2325" s="1" t="s">
        <v>4749</v>
      </c>
      <c r="C2325" s="1">
        <v>42400000</v>
      </c>
      <c r="D2325" s="1" t="s">
        <v>45</v>
      </c>
      <c r="E2325">
        <v>172.7303</v>
      </c>
      <c r="F2325" s="1" t="s">
        <v>21</v>
      </c>
      <c r="G2325">
        <v>727</v>
      </c>
      <c r="H2325">
        <v>524</v>
      </c>
      <c r="I2325" s="1" t="s">
        <v>229</v>
      </c>
      <c r="J2325">
        <v>1</v>
      </c>
      <c r="K2325" t="str">
        <f>IF(Tb_data[[#This Row],[previous_workers]]&lt;Tb_data[[#This Row],[workers]],"yes","no")</f>
        <v>yes</v>
      </c>
      <c r="L2325">
        <f>Tb_data[[#This Row],[workers]]-Tb_data[[#This Row],[previous_workers]]</f>
        <v>203</v>
      </c>
      <c r="M2325" s="12">
        <f>Tb_data[[#This Row],[Employees Growth]]/Tb_data[[#This Row],[previous_workers]]</f>
        <v>0.38740458015267176</v>
      </c>
    </row>
    <row r="2326" spans="1:13" x14ac:dyDescent="0.25">
      <c r="A2326" s="1" t="s">
        <v>2737</v>
      </c>
      <c r="B2326" s="1" t="s">
        <v>2738</v>
      </c>
      <c r="C2326" s="1">
        <v>3100000</v>
      </c>
      <c r="D2326" s="1" t="s">
        <v>175</v>
      </c>
      <c r="E2326">
        <v>314.7663</v>
      </c>
      <c r="F2326" s="1" t="s">
        <v>30</v>
      </c>
      <c r="G2326">
        <v>25</v>
      </c>
      <c r="H2326">
        <v>15</v>
      </c>
      <c r="I2326" s="1" t="s">
        <v>55</v>
      </c>
      <c r="J2326">
        <v>2</v>
      </c>
      <c r="K2326" t="str">
        <f>IF(Tb_data[[#This Row],[previous_workers]]&lt;Tb_data[[#This Row],[workers]],"yes","no")</f>
        <v>yes</v>
      </c>
      <c r="L2326">
        <f>Tb_data[[#This Row],[workers]]-Tb_data[[#This Row],[previous_workers]]</f>
        <v>10</v>
      </c>
      <c r="M2326" s="12">
        <f>Tb_data[[#This Row],[Employees Growth]]/Tb_data[[#This Row],[previous_workers]]</f>
        <v>0.66666666666666663</v>
      </c>
    </row>
    <row r="2327" spans="1:13" x14ac:dyDescent="0.25">
      <c r="A2327" s="1" t="s">
        <v>10050</v>
      </c>
      <c r="B2327" s="1" t="s">
        <v>10051</v>
      </c>
      <c r="C2327" s="1">
        <v>48300000</v>
      </c>
      <c r="D2327" s="1" t="s">
        <v>20</v>
      </c>
      <c r="E2327">
        <v>52.842199999999998</v>
      </c>
      <c r="F2327" s="1" t="s">
        <v>17</v>
      </c>
      <c r="G2327">
        <v>225</v>
      </c>
      <c r="H2327">
        <v>150</v>
      </c>
      <c r="I2327" s="1" t="s">
        <v>74</v>
      </c>
      <c r="J2327">
        <v>3</v>
      </c>
      <c r="K2327" t="str">
        <f>IF(Tb_data[[#This Row],[previous_workers]]&lt;Tb_data[[#This Row],[workers]],"yes","no")</f>
        <v>yes</v>
      </c>
      <c r="L2327">
        <f>Tb_data[[#This Row],[workers]]-Tb_data[[#This Row],[previous_workers]]</f>
        <v>75</v>
      </c>
      <c r="M2327" s="12">
        <f>Tb_data[[#This Row],[Employees Growth]]/Tb_data[[#This Row],[previous_workers]]</f>
        <v>0.5</v>
      </c>
    </row>
    <row r="2328" spans="1:13" x14ac:dyDescent="0.25">
      <c r="A2328" s="1" t="s">
        <v>8683</v>
      </c>
      <c r="B2328" s="1" t="s">
        <v>8684</v>
      </c>
      <c r="C2328" s="1">
        <v>2300000</v>
      </c>
      <c r="D2328" s="1" t="s">
        <v>69</v>
      </c>
      <c r="E2328">
        <v>71.317800000000005</v>
      </c>
      <c r="F2328" s="1" t="s">
        <v>12</v>
      </c>
      <c r="G2328">
        <v>10</v>
      </c>
      <c r="H2328">
        <v>2</v>
      </c>
      <c r="I2328" s="1" t="s">
        <v>46</v>
      </c>
      <c r="J2328">
        <v>1</v>
      </c>
      <c r="K2328" t="str">
        <f>IF(Tb_data[[#This Row],[previous_workers]]&lt;Tb_data[[#This Row],[workers]],"yes","no")</f>
        <v>yes</v>
      </c>
      <c r="L2328">
        <f>Tb_data[[#This Row],[workers]]-Tb_data[[#This Row],[previous_workers]]</f>
        <v>8</v>
      </c>
      <c r="M2328" s="12">
        <f>Tb_data[[#This Row],[Employees Growth]]/Tb_data[[#This Row],[previous_workers]]</f>
        <v>4</v>
      </c>
    </row>
    <row r="2329" spans="1:13" x14ac:dyDescent="0.25">
      <c r="A2329" s="1" t="s">
        <v>9646</v>
      </c>
      <c r="B2329" s="1" t="s">
        <v>9647</v>
      </c>
      <c r="C2329" s="1">
        <v>2400000</v>
      </c>
      <c r="D2329" s="1" t="s">
        <v>11</v>
      </c>
      <c r="E2329">
        <v>58.720999999999997</v>
      </c>
      <c r="F2329" s="1" t="s">
        <v>30</v>
      </c>
      <c r="G2329">
        <v>3</v>
      </c>
      <c r="H2329">
        <v>2</v>
      </c>
      <c r="I2329" s="1" t="s">
        <v>26</v>
      </c>
      <c r="J2329">
        <v>1</v>
      </c>
      <c r="K2329" t="str">
        <f>IF(Tb_data[[#This Row],[previous_workers]]&lt;Tb_data[[#This Row],[workers]],"yes","no")</f>
        <v>yes</v>
      </c>
      <c r="L2329">
        <f>Tb_data[[#This Row],[workers]]-Tb_data[[#This Row],[previous_workers]]</f>
        <v>1</v>
      </c>
      <c r="M2329" s="12">
        <f>Tb_data[[#This Row],[Employees Growth]]/Tb_data[[#This Row],[previous_workers]]</f>
        <v>0.5</v>
      </c>
    </row>
    <row r="2330" spans="1:13" x14ac:dyDescent="0.25">
      <c r="A2330" s="1" t="s">
        <v>1594</v>
      </c>
      <c r="B2330" s="1" t="s">
        <v>1595</v>
      </c>
      <c r="C2330" s="1">
        <v>48700000</v>
      </c>
      <c r="D2330" s="1" t="s">
        <v>29</v>
      </c>
      <c r="E2330">
        <v>586.85680000000002</v>
      </c>
      <c r="F2330" s="1" t="s">
        <v>17</v>
      </c>
      <c r="G2330">
        <v>325</v>
      </c>
      <c r="H2330">
        <v>6</v>
      </c>
      <c r="I2330" s="1" t="s">
        <v>130</v>
      </c>
      <c r="J2330">
        <v>1</v>
      </c>
      <c r="K2330" t="str">
        <f>IF(Tb_data[[#This Row],[previous_workers]]&lt;Tb_data[[#This Row],[workers]],"yes","no")</f>
        <v>yes</v>
      </c>
      <c r="L2330">
        <f>Tb_data[[#This Row],[workers]]-Tb_data[[#This Row],[previous_workers]]</f>
        <v>319</v>
      </c>
      <c r="M2330" s="12">
        <f>Tb_data[[#This Row],[Employees Growth]]/Tb_data[[#This Row],[previous_workers]]</f>
        <v>53.166666666666664</v>
      </c>
    </row>
    <row r="2331" spans="1:13" x14ac:dyDescent="0.25">
      <c r="A2331" s="1" t="s">
        <v>5438</v>
      </c>
      <c r="B2331" s="1" t="s">
        <v>5439</v>
      </c>
      <c r="C2331" s="1">
        <v>3700000</v>
      </c>
      <c r="D2331" s="1" t="s">
        <v>61</v>
      </c>
      <c r="E2331">
        <v>144.8759</v>
      </c>
      <c r="F2331" s="1" t="s">
        <v>176</v>
      </c>
      <c r="G2331">
        <v>8</v>
      </c>
      <c r="H2331">
        <v>2</v>
      </c>
      <c r="I2331" s="1" t="s">
        <v>130</v>
      </c>
      <c r="J2331">
        <v>2</v>
      </c>
      <c r="K2331" t="str">
        <f>IF(Tb_data[[#This Row],[previous_workers]]&lt;Tb_data[[#This Row],[workers]],"yes","no")</f>
        <v>yes</v>
      </c>
      <c r="L2331">
        <f>Tb_data[[#This Row],[workers]]-Tb_data[[#This Row],[previous_workers]]</f>
        <v>6</v>
      </c>
      <c r="M2331" s="12">
        <f>Tb_data[[#This Row],[Employees Growth]]/Tb_data[[#This Row],[previous_workers]]</f>
        <v>3</v>
      </c>
    </row>
    <row r="2332" spans="1:13" x14ac:dyDescent="0.25">
      <c r="A2332" s="1" t="s">
        <v>8995</v>
      </c>
      <c r="B2332" s="1" t="s">
        <v>8996</v>
      </c>
      <c r="C2332" s="1">
        <v>70700000</v>
      </c>
      <c r="D2332" s="1" t="s">
        <v>29</v>
      </c>
      <c r="E2332">
        <v>66.772300000000001</v>
      </c>
      <c r="F2332" s="1" t="s">
        <v>176</v>
      </c>
      <c r="G2332">
        <v>86</v>
      </c>
      <c r="H2332">
        <v>38</v>
      </c>
      <c r="I2332" s="1" t="s">
        <v>35</v>
      </c>
      <c r="J2332">
        <v>6</v>
      </c>
      <c r="K2332" t="str">
        <f>IF(Tb_data[[#This Row],[previous_workers]]&lt;Tb_data[[#This Row],[workers]],"yes","no")</f>
        <v>yes</v>
      </c>
      <c r="L2332">
        <f>Tb_data[[#This Row],[workers]]-Tb_data[[#This Row],[previous_workers]]</f>
        <v>48</v>
      </c>
      <c r="M2332" s="12">
        <f>Tb_data[[#This Row],[Employees Growth]]/Tb_data[[#This Row],[previous_workers]]</f>
        <v>1.263157894736842</v>
      </c>
    </row>
    <row r="2333" spans="1:13" x14ac:dyDescent="0.25">
      <c r="A2333" s="1" t="s">
        <v>4655</v>
      </c>
      <c r="B2333" s="1" t="s">
        <v>4656</v>
      </c>
      <c r="C2333" s="1">
        <v>7300000</v>
      </c>
      <c r="D2333" s="1" t="s">
        <v>49</v>
      </c>
      <c r="E2333">
        <v>175.953</v>
      </c>
      <c r="F2333" s="1" t="s">
        <v>12</v>
      </c>
      <c r="G2333">
        <v>11</v>
      </c>
      <c r="H2333">
        <v>5</v>
      </c>
      <c r="I2333" s="1" t="s">
        <v>46</v>
      </c>
      <c r="J2333">
        <v>1</v>
      </c>
      <c r="K2333" t="str">
        <f>IF(Tb_data[[#This Row],[previous_workers]]&lt;Tb_data[[#This Row],[workers]],"yes","no")</f>
        <v>yes</v>
      </c>
      <c r="L2333">
        <f>Tb_data[[#This Row],[workers]]-Tb_data[[#This Row],[previous_workers]]</f>
        <v>6</v>
      </c>
      <c r="M2333" s="12">
        <f>Tb_data[[#This Row],[Employees Growth]]/Tb_data[[#This Row],[previous_workers]]</f>
        <v>1.2</v>
      </c>
    </row>
    <row r="2334" spans="1:13" x14ac:dyDescent="0.25">
      <c r="A2334" s="1" t="s">
        <v>9970</v>
      </c>
      <c r="B2334" s="1" t="s">
        <v>9971</v>
      </c>
      <c r="C2334" s="1">
        <v>17800000</v>
      </c>
      <c r="D2334" s="1" t="s">
        <v>254</v>
      </c>
      <c r="E2334">
        <v>53.9758</v>
      </c>
      <c r="F2334" s="1" t="s">
        <v>100</v>
      </c>
      <c r="G2334">
        <v>23</v>
      </c>
      <c r="H2334">
        <v>15</v>
      </c>
      <c r="I2334" s="1" t="s">
        <v>2840</v>
      </c>
      <c r="J2334">
        <v>5</v>
      </c>
      <c r="K2334" t="str">
        <f>IF(Tb_data[[#This Row],[previous_workers]]&lt;Tb_data[[#This Row],[workers]],"yes","no")</f>
        <v>yes</v>
      </c>
      <c r="L2334">
        <f>Tb_data[[#This Row],[workers]]-Tb_data[[#This Row],[previous_workers]]</f>
        <v>8</v>
      </c>
      <c r="M2334" s="12">
        <f>Tb_data[[#This Row],[Employees Growth]]/Tb_data[[#This Row],[previous_workers]]</f>
        <v>0.53333333333333333</v>
      </c>
    </row>
    <row r="2335" spans="1:13" x14ac:dyDescent="0.25">
      <c r="A2335" s="1" t="s">
        <v>6569</v>
      </c>
      <c r="B2335" s="1" t="s">
        <v>6570</v>
      </c>
      <c r="C2335" s="1">
        <v>9000000</v>
      </c>
      <c r="D2335" s="1" t="s">
        <v>11</v>
      </c>
      <c r="E2335">
        <v>112.18640000000001</v>
      </c>
      <c r="F2335" s="1" t="s">
        <v>176</v>
      </c>
      <c r="G2335">
        <v>38</v>
      </c>
      <c r="H2335">
        <v>30</v>
      </c>
      <c r="I2335" s="1" t="s">
        <v>2628</v>
      </c>
      <c r="J2335">
        <v>2</v>
      </c>
      <c r="K2335" t="str">
        <f>IF(Tb_data[[#This Row],[previous_workers]]&lt;Tb_data[[#This Row],[workers]],"yes","no")</f>
        <v>yes</v>
      </c>
      <c r="L2335">
        <f>Tb_data[[#This Row],[workers]]-Tb_data[[#This Row],[previous_workers]]</f>
        <v>8</v>
      </c>
      <c r="M2335" s="12">
        <f>Tb_data[[#This Row],[Employees Growth]]/Tb_data[[#This Row],[previous_workers]]</f>
        <v>0.26666666666666666</v>
      </c>
    </row>
    <row r="2336" spans="1:13" x14ac:dyDescent="0.25">
      <c r="A2336" s="1" t="s">
        <v>2238</v>
      </c>
      <c r="B2336" s="1" t="s">
        <v>2239</v>
      </c>
      <c r="C2336" s="1">
        <v>5400000</v>
      </c>
      <c r="D2336" s="1" t="s">
        <v>45</v>
      </c>
      <c r="E2336">
        <v>393.86110000000002</v>
      </c>
      <c r="F2336" s="1" t="s">
        <v>124</v>
      </c>
      <c r="G2336">
        <v>17</v>
      </c>
      <c r="H2336">
        <v>5</v>
      </c>
      <c r="I2336" s="1" t="s">
        <v>74</v>
      </c>
      <c r="J2336">
        <v>2</v>
      </c>
      <c r="K2336" t="str">
        <f>IF(Tb_data[[#This Row],[previous_workers]]&lt;Tb_data[[#This Row],[workers]],"yes","no")</f>
        <v>yes</v>
      </c>
      <c r="L2336">
        <f>Tb_data[[#This Row],[workers]]-Tb_data[[#This Row],[previous_workers]]</f>
        <v>12</v>
      </c>
      <c r="M2336" s="12">
        <f>Tb_data[[#This Row],[Employees Growth]]/Tb_data[[#This Row],[previous_workers]]</f>
        <v>2.4</v>
      </c>
    </row>
    <row r="2337" spans="1:13" x14ac:dyDescent="0.25">
      <c r="A2337" s="1" t="s">
        <v>9972</v>
      </c>
      <c r="B2337" s="1" t="s">
        <v>9973</v>
      </c>
      <c r="C2337" s="1">
        <v>7300000</v>
      </c>
      <c r="D2337" s="1" t="s">
        <v>33</v>
      </c>
      <c r="E2337">
        <v>53.939500000000002</v>
      </c>
      <c r="F2337" s="1" t="s">
        <v>112</v>
      </c>
      <c r="G2337">
        <v>26</v>
      </c>
      <c r="H2337">
        <v>22</v>
      </c>
      <c r="I2337" s="1" t="s">
        <v>836</v>
      </c>
      <c r="J2337">
        <v>1</v>
      </c>
      <c r="K2337" t="str">
        <f>IF(Tb_data[[#This Row],[previous_workers]]&lt;Tb_data[[#This Row],[workers]],"yes","no")</f>
        <v>yes</v>
      </c>
      <c r="L2337">
        <f>Tb_data[[#This Row],[workers]]-Tb_data[[#This Row],[previous_workers]]</f>
        <v>4</v>
      </c>
      <c r="M2337" s="12">
        <f>Tb_data[[#This Row],[Employees Growth]]/Tb_data[[#This Row],[previous_workers]]</f>
        <v>0.18181818181818182</v>
      </c>
    </row>
    <row r="2338" spans="1:13" x14ac:dyDescent="0.25">
      <c r="A2338" s="1" t="s">
        <v>412</v>
      </c>
      <c r="B2338" s="1" t="s">
        <v>413</v>
      </c>
      <c r="C2338" s="1">
        <v>3000000</v>
      </c>
      <c r="D2338" s="1" t="s">
        <v>123</v>
      </c>
      <c r="E2338">
        <v>2339.9301999999998</v>
      </c>
      <c r="F2338" s="1" t="s">
        <v>25</v>
      </c>
      <c r="G2338">
        <v>12</v>
      </c>
      <c r="H2338">
        <v>3</v>
      </c>
      <c r="I2338" s="1" t="s">
        <v>55</v>
      </c>
      <c r="J2338">
        <v>1</v>
      </c>
      <c r="K2338" t="str">
        <f>IF(Tb_data[[#This Row],[previous_workers]]&lt;Tb_data[[#This Row],[workers]],"yes","no")</f>
        <v>yes</v>
      </c>
      <c r="L2338">
        <f>Tb_data[[#This Row],[workers]]-Tb_data[[#This Row],[previous_workers]]</f>
        <v>9</v>
      </c>
      <c r="M2338" s="12">
        <f>Tb_data[[#This Row],[Employees Growth]]/Tb_data[[#This Row],[previous_workers]]</f>
        <v>3</v>
      </c>
    </row>
    <row r="2339" spans="1:13" x14ac:dyDescent="0.25">
      <c r="A2339" s="1" t="s">
        <v>8540</v>
      </c>
      <c r="B2339" s="1" t="s">
        <v>8541</v>
      </c>
      <c r="C2339" s="1">
        <v>24400000</v>
      </c>
      <c r="D2339" s="1" t="s">
        <v>16</v>
      </c>
      <c r="E2339">
        <v>73.265500000000003</v>
      </c>
      <c r="F2339" s="1" t="s">
        <v>21</v>
      </c>
      <c r="G2339">
        <v>400</v>
      </c>
      <c r="H2339">
        <v>250</v>
      </c>
      <c r="I2339" s="1" t="s">
        <v>372</v>
      </c>
      <c r="J2339">
        <v>7</v>
      </c>
      <c r="K2339" t="str">
        <f>IF(Tb_data[[#This Row],[previous_workers]]&lt;Tb_data[[#This Row],[workers]],"yes","no")</f>
        <v>yes</v>
      </c>
      <c r="L2339">
        <f>Tb_data[[#This Row],[workers]]-Tb_data[[#This Row],[previous_workers]]</f>
        <v>150</v>
      </c>
      <c r="M2339" s="12">
        <f>Tb_data[[#This Row],[Employees Growth]]/Tb_data[[#This Row],[previous_workers]]</f>
        <v>0.6</v>
      </c>
    </row>
    <row r="2340" spans="1:13" x14ac:dyDescent="0.25">
      <c r="A2340" s="1" t="s">
        <v>8542</v>
      </c>
      <c r="B2340" s="1" t="s">
        <v>8543</v>
      </c>
      <c r="C2340" s="1">
        <v>5000000</v>
      </c>
      <c r="D2340" s="1" t="s">
        <v>1021</v>
      </c>
      <c r="E2340">
        <v>73.245099999999994</v>
      </c>
      <c r="F2340" s="1" t="s">
        <v>12</v>
      </c>
      <c r="G2340">
        <v>17</v>
      </c>
      <c r="H2340">
        <v>15</v>
      </c>
      <c r="I2340" s="1" t="s">
        <v>1051</v>
      </c>
      <c r="J2340">
        <v>5</v>
      </c>
      <c r="K2340" t="str">
        <f>IF(Tb_data[[#This Row],[previous_workers]]&lt;Tb_data[[#This Row],[workers]],"yes","no")</f>
        <v>yes</v>
      </c>
      <c r="L2340">
        <f>Tb_data[[#This Row],[workers]]-Tb_data[[#This Row],[previous_workers]]</f>
        <v>2</v>
      </c>
      <c r="M2340" s="12">
        <f>Tb_data[[#This Row],[Employees Growth]]/Tb_data[[#This Row],[previous_workers]]</f>
        <v>0.13333333333333333</v>
      </c>
    </row>
    <row r="2341" spans="1:13" x14ac:dyDescent="0.25">
      <c r="A2341" s="1" t="s">
        <v>8069</v>
      </c>
      <c r="B2341" s="1" t="s">
        <v>8070</v>
      </c>
      <c r="C2341" s="1">
        <v>109600000</v>
      </c>
      <c r="D2341" s="1" t="s">
        <v>120</v>
      </c>
      <c r="E2341">
        <v>81.560199999999995</v>
      </c>
      <c r="F2341" s="1" t="s">
        <v>112</v>
      </c>
      <c r="G2341">
        <v>560</v>
      </c>
      <c r="H2341">
        <v>280</v>
      </c>
      <c r="I2341" s="1" t="s">
        <v>3947</v>
      </c>
      <c r="J2341">
        <v>1</v>
      </c>
      <c r="K2341" t="str">
        <f>IF(Tb_data[[#This Row],[previous_workers]]&lt;Tb_data[[#This Row],[workers]],"yes","no")</f>
        <v>yes</v>
      </c>
      <c r="L2341">
        <f>Tb_data[[#This Row],[workers]]-Tb_data[[#This Row],[previous_workers]]</f>
        <v>280</v>
      </c>
      <c r="M2341" s="12">
        <f>Tb_data[[#This Row],[Employees Growth]]/Tb_data[[#This Row],[previous_workers]]</f>
        <v>1</v>
      </c>
    </row>
    <row r="2342" spans="1:13" x14ac:dyDescent="0.25">
      <c r="A2342" s="1" t="s">
        <v>9600</v>
      </c>
      <c r="B2342" s="1" t="s">
        <v>9601</v>
      </c>
      <c r="C2342" s="1">
        <v>3800000</v>
      </c>
      <c r="D2342" s="1" t="s">
        <v>16</v>
      </c>
      <c r="E2342">
        <v>59.206499999999998</v>
      </c>
      <c r="F2342" s="1" t="s">
        <v>34</v>
      </c>
      <c r="G2342">
        <v>79</v>
      </c>
      <c r="H2342">
        <v>50</v>
      </c>
      <c r="I2342" s="1" t="s">
        <v>35</v>
      </c>
      <c r="J2342">
        <v>4</v>
      </c>
      <c r="K2342" t="str">
        <f>IF(Tb_data[[#This Row],[previous_workers]]&lt;Tb_data[[#This Row],[workers]],"yes","no")</f>
        <v>yes</v>
      </c>
      <c r="L2342">
        <f>Tb_data[[#This Row],[workers]]-Tb_data[[#This Row],[previous_workers]]</f>
        <v>29</v>
      </c>
      <c r="M2342" s="12">
        <f>Tb_data[[#This Row],[Employees Growth]]/Tb_data[[#This Row],[previous_workers]]</f>
        <v>0.57999999999999996</v>
      </c>
    </row>
    <row r="2343" spans="1:13" x14ac:dyDescent="0.25">
      <c r="A2343" s="1" t="s">
        <v>5422</v>
      </c>
      <c r="B2343" s="1" t="s">
        <v>5423</v>
      </c>
      <c r="C2343" s="1">
        <v>2400000</v>
      </c>
      <c r="D2343" s="1" t="s">
        <v>33</v>
      </c>
      <c r="E2343">
        <v>145.34469999999999</v>
      </c>
      <c r="F2343" s="1" t="s">
        <v>176</v>
      </c>
      <c r="G2343">
        <v>45</v>
      </c>
      <c r="H2343">
        <v>10</v>
      </c>
      <c r="I2343" s="1" t="s">
        <v>55</v>
      </c>
      <c r="J2343">
        <v>2</v>
      </c>
      <c r="K2343" t="str">
        <f>IF(Tb_data[[#This Row],[previous_workers]]&lt;Tb_data[[#This Row],[workers]],"yes","no")</f>
        <v>yes</v>
      </c>
      <c r="L2343">
        <f>Tb_data[[#This Row],[workers]]-Tb_data[[#This Row],[previous_workers]]</f>
        <v>35</v>
      </c>
      <c r="M2343" s="12">
        <f>Tb_data[[#This Row],[Employees Growth]]/Tb_data[[#This Row],[previous_workers]]</f>
        <v>3.5</v>
      </c>
    </row>
    <row r="2344" spans="1:13" x14ac:dyDescent="0.25">
      <c r="A2344" s="1" t="s">
        <v>3827</v>
      </c>
      <c r="B2344" s="1" t="s">
        <v>3828</v>
      </c>
      <c r="C2344" s="1">
        <v>6800000</v>
      </c>
      <c r="D2344" s="1" t="s">
        <v>123</v>
      </c>
      <c r="E2344">
        <v>219.3819</v>
      </c>
      <c r="F2344" s="1" t="s">
        <v>30</v>
      </c>
      <c r="G2344">
        <v>55</v>
      </c>
      <c r="H2344">
        <v>22</v>
      </c>
      <c r="I2344" s="1" t="s">
        <v>147</v>
      </c>
      <c r="J2344">
        <v>2</v>
      </c>
      <c r="K2344" t="str">
        <f>IF(Tb_data[[#This Row],[previous_workers]]&lt;Tb_data[[#This Row],[workers]],"yes","no")</f>
        <v>yes</v>
      </c>
      <c r="L2344">
        <f>Tb_data[[#This Row],[workers]]-Tb_data[[#This Row],[previous_workers]]</f>
        <v>33</v>
      </c>
      <c r="M2344" s="12">
        <f>Tb_data[[#This Row],[Employees Growth]]/Tb_data[[#This Row],[previous_workers]]</f>
        <v>1.5</v>
      </c>
    </row>
    <row r="2345" spans="1:13" x14ac:dyDescent="0.25">
      <c r="A2345" s="1" t="s">
        <v>2118</v>
      </c>
      <c r="B2345" s="1" t="s">
        <v>2119</v>
      </c>
      <c r="C2345" s="1">
        <v>8900000</v>
      </c>
      <c r="D2345" s="1" t="s">
        <v>20</v>
      </c>
      <c r="E2345">
        <v>421.98309999999998</v>
      </c>
      <c r="F2345" s="1" t="s">
        <v>100</v>
      </c>
      <c r="G2345">
        <v>1478</v>
      </c>
      <c r="H2345">
        <v>345</v>
      </c>
      <c r="I2345" s="1" t="s">
        <v>164</v>
      </c>
      <c r="J2345">
        <v>3</v>
      </c>
      <c r="K2345" t="str">
        <f>IF(Tb_data[[#This Row],[previous_workers]]&lt;Tb_data[[#This Row],[workers]],"yes","no")</f>
        <v>yes</v>
      </c>
      <c r="L2345">
        <f>Tb_data[[#This Row],[workers]]-Tb_data[[#This Row],[previous_workers]]</f>
        <v>1133</v>
      </c>
      <c r="M2345" s="12">
        <f>Tb_data[[#This Row],[Employees Growth]]/Tb_data[[#This Row],[previous_workers]]</f>
        <v>3.2840579710144926</v>
      </c>
    </row>
    <row r="2346" spans="1:13" x14ac:dyDescent="0.25">
      <c r="A2346" s="1" t="s">
        <v>1110</v>
      </c>
      <c r="B2346" s="1" t="s">
        <v>1111</v>
      </c>
      <c r="C2346" s="1">
        <v>18100000</v>
      </c>
      <c r="D2346" s="1" t="s">
        <v>155</v>
      </c>
      <c r="E2346">
        <v>864.29809999999998</v>
      </c>
      <c r="F2346" s="1" t="s">
        <v>30</v>
      </c>
      <c r="G2346">
        <v>30</v>
      </c>
      <c r="H2346">
        <v>2</v>
      </c>
      <c r="I2346" s="1" t="s">
        <v>46</v>
      </c>
      <c r="J2346">
        <v>3</v>
      </c>
      <c r="K2346" t="str">
        <f>IF(Tb_data[[#This Row],[previous_workers]]&lt;Tb_data[[#This Row],[workers]],"yes","no")</f>
        <v>yes</v>
      </c>
      <c r="L2346">
        <f>Tb_data[[#This Row],[workers]]-Tb_data[[#This Row],[previous_workers]]</f>
        <v>28</v>
      </c>
      <c r="M2346" s="12">
        <f>Tb_data[[#This Row],[Employees Growth]]/Tb_data[[#This Row],[previous_workers]]</f>
        <v>14</v>
      </c>
    </row>
    <row r="2347" spans="1:13" x14ac:dyDescent="0.25">
      <c r="A2347" s="1" t="s">
        <v>1690</v>
      </c>
      <c r="B2347" s="1" t="s">
        <v>1691</v>
      </c>
      <c r="C2347" s="1">
        <v>44200000</v>
      </c>
      <c r="D2347" s="1" t="s">
        <v>20</v>
      </c>
      <c r="E2347">
        <v>545.33640000000003</v>
      </c>
      <c r="F2347" s="1" t="s">
        <v>124</v>
      </c>
      <c r="G2347">
        <v>105</v>
      </c>
      <c r="H2347">
        <v>41</v>
      </c>
      <c r="I2347" s="1" t="s">
        <v>164</v>
      </c>
      <c r="J2347">
        <v>4</v>
      </c>
      <c r="K2347" t="str">
        <f>IF(Tb_data[[#This Row],[previous_workers]]&lt;Tb_data[[#This Row],[workers]],"yes","no")</f>
        <v>yes</v>
      </c>
      <c r="L2347">
        <f>Tb_data[[#This Row],[workers]]-Tb_data[[#This Row],[previous_workers]]</f>
        <v>64</v>
      </c>
      <c r="M2347" s="12">
        <f>Tb_data[[#This Row],[Employees Growth]]/Tb_data[[#This Row],[previous_workers]]</f>
        <v>1.5609756097560976</v>
      </c>
    </row>
    <row r="2348" spans="1:13" x14ac:dyDescent="0.25">
      <c r="A2348" s="1" t="s">
        <v>9760</v>
      </c>
      <c r="B2348" s="1" t="s">
        <v>9761</v>
      </c>
      <c r="C2348" s="1">
        <v>21700000</v>
      </c>
      <c r="D2348" s="1" t="s">
        <v>29</v>
      </c>
      <c r="E2348">
        <v>57.186799999999998</v>
      </c>
      <c r="F2348" s="1" t="s">
        <v>12</v>
      </c>
      <c r="G2348">
        <v>131</v>
      </c>
      <c r="H2348">
        <v>94</v>
      </c>
      <c r="I2348" s="1" t="s">
        <v>1657</v>
      </c>
      <c r="J2348">
        <v>4</v>
      </c>
      <c r="K2348" t="str">
        <f>IF(Tb_data[[#This Row],[previous_workers]]&lt;Tb_data[[#This Row],[workers]],"yes","no")</f>
        <v>yes</v>
      </c>
      <c r="L2348">
        <f>Tb_data[[#This Row],[workers]]-Tb_data[[#This Row],[previous_workers]]</f>
        <v>37</v>
      </c>
      <c r="M2348" s="12">
        <f>Tb_data[[#This Row],[Employees Growth]]/Tb_data[[#This Row],[previous_workers]]</f>
        <v>0.39361702127659576</v>
      </c>
    </row>
    <row r="2349" spans="1:13" x14ac:dyDescent="0.25">
      <c r="A2349" s="1" t="s">
        <v>4955</v>
      </c>
      <c r="B2349" s="1" t="s">
        <v>4956</v>
      </c>
      <c r="C2349" s="1">
        <v>10600000</v>
      </c>
      <c r="D2349" s="1" t="s">
        <v>38</v>
      </c>
      <c r="E2349">
        <v>163.90270000000001</v>
      </c>
      <c r="F2349" s="1" t="s">
        <v>17</v>
      </c>
      <c r="G2349">
        <v>14</v>
      </c>
      <c r="H2349">
        <v>4</v>
      </c>
      <c r="I2349" s="1" t="s">
        <v>130</v>
      </c>
      <c r="J2349">
        <v>1</v>
      </c>
      <c r="K2349" t="str">
        <f>IF(Tb_data[[#This Row],[previous_workers]]&lt;Tb_data[[#This Row],[workers]],"yes","no")</f>
        <v>yes</v>
      </c>
      <c r="L2349">
        <f>Tb_data[[#This Row],[workers]]-Tb_data[[#This Row],[previous_workers]]</f>
        <v>10</v>
      </c>
      <c r="M2349" s="12">
        <f>Tb_data[[#This Row],[Employees Growth]]/Tb_data[[#This Row],[previous_workers]]</f>
        <v>2.5</v>
      </c>
    </row>
    <row r="2350" spans="1:13" x14ac:dyDescent="0.25">
      <c r="A2350" s="1" t="s">
        <v>5732</v>
      </c>
      <c r="B2350" s="1" t="s">
        <v>5733</v>
      </c>
      <c r="C2350" s="1">
        <v>29800000</v>
      </c>
      <c r="D2350" s="1" t="s">
        <v>49</v>
      </c>
      <c r="E2350">
        <v>133.30359999999999</v>
      </c>
      <c r="F2350" s="1" t="s">
        <v>97</v>
      </c>
      <c r="G2350">
        <v>290</v>
      </c>
      <c r="H2350">
        <v>120</v>
      </c>
      <c r="I2350" s="1" t="s">
        <v>46</v>
      </c>
      <c r="J2350">
        <v>4</v>
      </c>
      <c r="K2350" t="str">
        <f>IF(Tb_data[[#This Row],[previous_workers]]&lt;Tb_data[[#This Row],[workers]],"yes","no")</f>
        <v>yes</v>
      </c>
      <c r="L2350">
        <f>Tb_data[[#This Row],[workers]]-Tb_data[[#This Row],[previous_workers]]</f>
        <v>170</v>
      </c>
      <c r="M2350" s="12">
        <f>Tb_data[[#This Row],[Employees Growth]]/Tb_data[[#This Row],[previous_workers]]</f>
        <v>1.4166666666666667</v>
      </c>
    </row>
    <row r="2351" spans="1:13" x14ac:dyDescent="0.25">
      <c r="A2351" s="1" t="s">
        <v>9365</v>
      </c>
      <c r="B2351" s="1" t="s">
        <v>9366</v>
      </c>
      <c r="C2351" s="1">
        <v>2100000</v>
      </c>
      <c r="D2351" s="1" t="s">
        <v>179</v>
      </c>
      <c r="E2351">
        <v>61.9375</v>
      </c>
      <c r="F2351" s="1" t="s">
        <v>30</v>
      </c>
      <c r="G2351">
        <v>5</v>
      </c>
      <c r="H2351">
        <v>4</v>
      </c>
      <c r="I2351" s="1" t="s">
        <v>147</v>
      </c>
      <c r="J2351">
        <v>1</v>
      </c>
      <c r="K2351" t="str">
        <f>IF(Tb_data[[#This Row],[previous_workers]]&lt;Tb_data[[#This Row],[workers]],"yes","no")</f>
        <v>yes</v>
      </c>
      <c r="L2351">
        <f>Tb_data[[#This Row],[workers]]-Tb_data[[#This Row],[previous_workers]]</f>
        <v>1</v>
      </c>
      <c r="M2351" s="12">
        <f>Tb_data[[#This Row],[Employees Growth]]/Tb_data[[#This Row],[previous_workers]]</f>
        <v>0.25</v>
      </c>
    </row>
    <row r="2352" spans="1:13" x14ac:dyDescent="0.25">
      <c r="A2352" s="1" t="s">
        <v>9039</v>
      </c>
      <c r="B2352" s="1" t="s">
        <v>9040</v>
      </c>
      <c r="C2352" s="1">
        <v>6000000</v>
      </c>
      <c r="D2352" s="1" t="s">
        <v>29</v>
      </c>
      <c r="E2352">
        <v>66.054400000000001</v>
      </c>
      <c r="F2352" s="1" t="s">
        <v>161</v>
      </c>
      <c r="G2352">
        <v>163</v>
      </c>
      <c r="H2352">
        <v>129</v>
      </c>
      <c r="I2352" s="1" t="s">
        <v>117</v>
      </c>
      <c r="J2352">
        <v>4</v>
      </c>
      <c r="K2352" t="str">
        <f>IF(Tb_data[[#This Row],[previous_workers]]&lt;Tb_data[[#This Row],[workers]],"yes","no")</f>
        <v>yes</v>
      </c>
      <c r="L2352">
        <f>Tb_data[[#This Row],[workers]]-Tb_data[[#This Row],[previous_workers]]</f>
        <v>34</v>
      </c>
      <c r="M2352" s="12">
        <f>Tb_data[[#This Row],[Employees Growth]]/Tb_data[[#This Row],[previous_workers]]</f>
        <v>0.26356589147286824</v>
      </c>
    </row>
    <row r="2353" spans="1:13" x14ac:dyDescent="0.25">
      <c r="A2353" s="1" t="s">
        <v>8895</v>
      </c>
      <c r="B2353" s="1" t="s">
        <v>8896</v>
      </c>
      <c r="C2353" s="1">
        <v>16100000</v>
      </c>
      <c r="D2353" s="1" t="s">
        <v>61</v>
      </c>
      <c r="E2353">
        <v>68.0916</v>
      </c>
      <c r="F2353" s="1" t="s">
        <v>21</v>
      </c>
      <c r="G2353">
        <v>40</v>
      </c>
      <c r="H2353">
        <v>3</v>
      </c>
      <c r="I2353" s="1" t="s">
        <v>26</v>
      </c>
      <c r="J2353">
        <v>1</v>
      </c>
      <c r="K2353" t="str">
        <f>IF(Tb_data[[#This Row],[previous_workers]]&lt;Tb_data[[#This Row],[workers]],"yes","no")</f>
        <v>yes</v>
      </c>
      <c r="L2353">
        <f>Tb_data[[#This Row],[workers]]-Tb_data[[#This Row],[previous_workers]]</f>
        <v>37</v>
      </c>
      <c r="M2353" s="12">
        <f>Tb_data[[#This Row],[Employees Growth]]/Tb_data[[#This Row],[previous_workers]]</f>
        <v>12.333333333333334</v>
      </c>
    </row>
    <row r="2354" spans="1:13" x14ac:dyDescent="0.25">
      <c r="A2354" s="1" t="s">
        <v>8349</v>
      </c>
      <c r="B2354" s="1" t="s">
        <v>8350</v>
      </c>
      <c r="C2354" s="1">
        <v>3700000</v>
      </c>
      <c r="D2354" s="1" t="s">
        <v>20</v>
      </c>
      <c r="E2354">
        <v>77.017499999999998</v>
      </c>
      <c r="F2354" s="1" t="s">
        <v>112</v>
      </c>
      <c r="G2354">
        <v>24</v>
      </c>
      <c r="H2354">
        <v>12</v>
      </c>
      <c r="I2354" s="1" t="s">
        <v>117</v>
      </c>
      <c r="J2354">
        <v>1</v>
      </c>
      <c r="K2354" t="str">
        <f>IF(Tb_data[[#This Row],[previous_workers]]&lt;Tb_data[[#This Row],[workers]],"yes","no")</f>
        <v>yes</v>
      </c>
      <c r="L2354">
        <f>Tb_data[[#This Row],[workers]]-Tb_data[[#This Row],[previous_workers]]</f>
        <v>12</v>
      </c>
      <c r="M2354" s="12">
        <f>Tb_data[[#This Row],[Employees Growth]]/Tb_data[[#This Row],[previous_workers]]</f>
        <v>1</v>
      </c>
    </row>
    <row r="2355" spans="1:13" x14ac:dyDescent="0.25">
      <c r="A2355" s="1" t="s">
        <v>9463</v>
      </c>
      <c r="B2355" s="1" t="s">
        <v>9464</v>
      </c>
      <c r="C2355" s="1">
        <v>5300000</v>
      </c>
      <c r="D2355" s="1" t="s">
        <v>33</v>
      </c>
      <c r="E2355">
        <v>60.6922</v>
      </c>
      <c r="F2355" s="1" t="s">
        <v>21</v>
      </c>
      <c r="G2355">
        <v>25</v>
      </c>
      <c r="H2355">
        <v>6</v>
      </c>
      <c r="I2355" s="1" t="s">
        <v>117</v>
      </c>
      <c r="J2355">
        <v>3</v>
      </c>
      <c r="K2355" t="str">
        <f>IF(Tb_data[[#This Row],[previous_workers]]&lt;Tb_data[[#This Row],[workers]],"yes","no")</f>
        <v>yes</v>
      </c>
      <c r="L2355">
        <f>Tb_data[[#This Row],[workers]]-Tb_data[[#This Row],[previous_workers]]</f>
        <v>19</v>
      </c>
      <c r="M2355" s="12">
        <f>Tb_data[[#This Row],[Employees Growth]]/Tb_data[[#This Row],[previous_workers]]</f>
        <v>3.1666666666666665</v>
      </c>
    </row>
    <row r="2356" spans="1:13" x14ac:dyDescent="0.25">
      <c r="A2356" s="1" t="s">
        <v>9133</v>
      </c>
      <c r="B2356" s="1" t="s">
        <v>9134</v>
      </c>
      <c r="C2356" s="1">
        <v>22800000</v>
      </c>
      <c r="D2356" s="1" t="s">
        <v>179</v>
      </c>
      <c r="E2356">
        <v>64.998599999999996</v>
      </c>
      <c r="F2356" s="1" t="s">
        <v>124</v>
      </c>
      <c r="G2356">
        <v>40</v>
      </c>
      <c r="H2356">
        <v>32</v>
      </c>
      <c r="I2356" s="1" t="s">
        <v>1356</v>
      </c>
      <c r="J2356">
        <v>1</v>
      </c>
      <c r="K2356" t="str">
        <f>IF(Tb_data[[#This Row],[previous_workers]]&lt;Tb_data[[#This Row],[workers]],"yes","no")</f>
        <v>yes</v>
      </c>
      <c r="L2356">
        <f>Tb_data[[#This Row],[workers]]-Tb_data[[#This Row],[previous_workers]]</f>
        <v>8</v>
      </c>
      <c r="M2356" s="12">
        <f>Tb_data[[#This Row],[Employees Growth]]/Tb_data[[#This Row],[previous_workers]]</f>
        <v>0.25</v>
      </c>
    </row>
    <row r="2357" spans="1:13" x14ac:dyDescent="0.25">
      <c r="A2357" s="1" t="s">
        <v>3811</v>
      </c>
      <c r="B2357" s="1" t="s">
        <v>3812</v>
      </c>
      <c r="C2357" s="1">
        <v>92100000</v>
      </c>
      <c r="D2357" s="1" t="s">
        <v>33</v>
      </c>
      <c r="E2357">
        <v>220.5307</v>
      </c>
      <c r="F2357" s="1" t="s">
        <v>100</v>
      </c>
      <c r="G2357">
        <v>62</v>
      </c>
      <c r="H2357">
        <v>45</v>
      </c>
      <c r="I2357" s="1" t="s">
        <v>74</v>
      </c>
      <c r="J2357">
        <v>8</v>
      </c>
      <c r="K2357" t="str">
        <f>IF(Tb_data[[#This Row],[previous_workers]]&lt;Tb_data[[#This Row],[workers]],"yes","no")</f>
        <v>yes</v>
      </c>
      <c r="L2357">
        <f>Tb_data[[#This Row],[workers]]-Tb_data[[#This Row],[previous_workers]]</f>
        <v>17</v>
      </c>
      <c r="M2357" s="12">
        <f>Tb_data[[#This Row],[Employees Growth]]/Tb_data[[#This Row],[previous_workers]]</f>
        <v>0.37777777777777777</v>
      </c>
    </row>
    <row r="2358" spans="1:13" x14ac:dyDescent="0.25">
      <c r="A2358" s="1" t="s">
        <v>8809</v>
      </c>
      <c r="B2358" s="1" t="s">
        <v>8810</v>
      </c>
      <c r="C2358" s="1">
        <v>7600000</v>
      </c>
      <c r="D2358" s="1" t="s">
        <v>16</v>
      </c>
      <c r="E2358">
        <v>69.363</v>
      </c>
      <c r="F2358" s="1" t="s">
        <v>124</v>
      </c>
      <c r="G2358">
        <v>24</v>
      </c>
      <c r="H2358">
        <v>12</v>
      </c>
      <c r="I2358" s="1" t="s">
        <v>55</v>
      </c>
      <c r="J2358">
        <v>3</v>
      </c>
      <c r="K2358" t="str">
        <f>IF(Tb_data[[#This Row],[previous_workers]]&lt;Tb_data[[#This Row],[workers]],"yes","no")</f>
        <v>yes</v>
      </c>
      <c r="L2358">
        <f>Tb_data[[#This Row],[workers]]-Tb_data[[#This Row],[previous_workers]]</f>
        <v>12</v>
      </c>
      <c r="M2358" s="12">
        <f>Tb_data[[#This Row],[Employees Growth]]/Tb_data[[#This Row],[previous_workers]]</f>
        <v>1</v>
      </c>
    </row>
    <row r="2359" spans="1:13" x14ac:dyDescent="0.25">
      <c r="A2359" s="1" t="s">
        <v>9459</v>
      </c>
      <c r="B2359" s="1" t="s">
        <v>9460</v>
      </c>
      <c r="C2359" s="1">
        <v>3900000</v>
      </c>
      <c r="D2359" s="1" t="s">
        <v>33</v>
      </c>
      <c r="E2359">
        <v>60.7438</v>
      </c>
      <c r="F2359" s="1" t="s">
        <v>310</v>
      </c>
      <c r="G2359">
        <v>7</v>
      </c>
      <c r="H2359">
        <v>5</v>
      </c>
      <c r="I2359" s="1" t="s">
        <v>46</v>
      </c>
      <c r="J2359">
        <v>2</v>
      </c>
      <c r="K2359" t="str">
        <f>IF(Tb_data[[#This Row],[previous_workers]]&lt;Tb_data[[#This Row],[workers]],"yes","no")</f>
        <v>yes</v>
      </c>
      <c r="L2359">
        <f>Tb_data[[#This Row],[workers]]-Tb_data[[#This Row],[previous_workers]]</f>
        <v>2</v>
      </c>
      <c r="M2359" s="12">
        <f>Tb_data[[#This Row],[Employees Growth]]/Tb_data[[#This Row],[previous_workers]]</f>
        <v>0.4</v>
      </c>
    </row>
    <row r="2360" spans="1:13" x14ac:dyDescent="0.25">
      <c r="A2360" s="1" t="s">
        <v>1606</v>
      </c>
      <c r="B2360" s="1" t="s">
        <v>1607</v>
      </c>
      <c r="C2360" s="1">
        <v>4100000</v>
      </c>
      <c r="D2360" s="1" t="s">
        <v>41</v>
      </c>
      <c r="E2360">
        <v>581.36059999999998</v>
      </c>
      <c r="F2360" s="1" t="s">
        <v>34</v>
      </c>
      <c r="G2360">
        <v>9</v>
      </c>
      <c r="H2360">
        <v>2</v>
      </c>
      <c r="I2360" s="1" t="s">
        <v>55</v>
      </c>
      <c r="J2360">
        <v>2</v>
      </c>
      <c r="K2360" t="str">
        <f>IF(Tb_data[[#This Row],[previous_workers]]&lt;Tb_data[[#This Row],[workers]],"yes","no")</f>
        <v>yes</v>
      </c>
      <c r="L2360">
        <f>Tb_data[[#This Row],[workers]]-Tb_data[[#This Row],[previous_workers]]</f>
        <v>7</v>
      </c>
      <c r="M2360" s="12">
        <f>Tb_data[[#This Row],[Employees Growth]]/Tb_data[[#This Row],[previous_workers]]</f>
        <v>3.5</v>
      </c>
    </row>
    <row r="2361" spans="1:13" x14ac:dyDescent="0.25">
      <c r="A2361" s="1" t="s">
        <v>3595</v>
      </c>
      <c r="B2361" s="1" t="s">
        <v>3596</v>
      </c>
      <c r="C2361" s="1">
        <v>3100000</v>
      </c>
      <c r="D2361" s="1" t="s">
        <v>41</v>
      </c>
      <c r="E2361">
        <v>234.48849999999999</v>
      </c>
      <c r="F2361" s="1" t="s">
        <v>135</v>
      </c>
      <c r="G2361">
        <v>31</v>
      </c>
      <c r="H2361">
        <v>13</v>
      </c>
      <c r="I2361" s="1" t="s">
        <v>74</v>
      </c>
      <c r="J2361">
        <v>2</v>
      </c>
      <c r="K2361" t="str">
        <f>IF(Tb_data[[#This Row],[previous_workers]]&lt;Tb_data[[#This Row],[workers]],"yes","no")</f>
        <v>yes</v>
      </c>
      <c r="L2361">
        <f>Tb_data[[#This Row],[workers]]-Tb_data[[#This Row],[previous_workers]]</f>
        <v>18</v>
      </c>
      <c r="M2361" s="12">
        <f>Tb_data[[#This Row],[Employees Growth]]/Tb_data[[#This Row],[previous_workers]]</f>
        <v>1.3846153846153846</v>
      </c>
    </row>
    <row r="2362" spans="1:13" x14ac:dyDescent="0.25">
      <c r="A2362" s="1" t="s">
        <v>5522</v>
      </c>
      <c r="B2362" s="1" t="s">
        <v>5523</v>
      </c>
      <c r="C2362" s="1">
        <v>3000000</v>
      </c>
      <c r="D2362" s="1" t="s">
        <v>49</v>
      </c>
      <c r="E2362">
        <v>141.81290000000001</v>
      </c>
      <c r="F2362" s="1" t="s">
        <v>12</v>
      </c>
      <c r="G2362">
        <v>24</v>
      </c>
      <c r="H2362">
        <v>12</v>
      </c>
      <c r="I2362" s="1" t="s">
        <v>46</v>
      </c>
      <c r="J2362">
        <v>2</v>
      </c>
      <c r="K2362" t="str">
        <f>IF(Tb_data[[#This Row],[previous_workers]]&lt;Tb_data[[#This Row],[workers]],"yes","no")</f>
        <v>yes</v>
      </c>
      <c r="L2362">
        <f>Tb_data[[#This Row],[workers]]-Tb_data[[#This Row],[previous_workers]]</f>
        <v>12</v>
      </c>
      <c r="M2362" s="12">
        <f>Tb_data[[#This Row],[Employees Growth]]/Tb_data[[#This Row],[previous_workers]]</f>
        <v>1</v>
      </c>
    </row>
    <row r="2363" spans="1:13" x14ac:dyDescent="0.25">
      <c r="A2363" s="1" t="s">
        <v>1666</v>
      </c>
      <c r="B2363" s="1" t="s">
        <v>1667</v>
      </c>
      <c r="C2363" s="1">
        <v>5000000</v>
      </c>
      <c r="D2363" s="1" t="s">
        <v>115</v>
      </c>
      <c r="E2363">
        <v>554.61879999999996</v>
      </c>
      <c r="F2363" s="1" t="s">
        <v>97</v>
      </c>
      <c r="G2363">
        <v>29</v>
      </c>
      <c r="H2363">
        <v>5</v>
      </c>
      <c r="I2363" s="1" t="s">
        <v>55</v>
      </c>
      <c r="J2363">
        <v>2</v>
      </c>
      <c r="K2363" t="str">
        <f>IF(Tb_data[[#This Row],[previous_workers]]&lt;Tb_data[[#This Row],[workers]],"yes","no")</f>
        <v>yes</v>
      </c>
      <c r="L2363">
        <f>Tb_data[[#This Row],[workers]]-Tb_data[[#This Row],[previous_workers]]</f>
        <v>24</v>
      </c>
      <c r="M2363" s="12">
        <f>Tb_data[[#This Row],[Employees Growth]]/Tb_data[[#This Row],[previous_workers]]</f>
        <v>4.8</v>
      </c>
    </row>
    <row r="2364" spans="1:13" x14ac:dyDescent="0.25">
      <c r="A2364" s="1" t="s">
        <v>1823</v>
      </c>
      <c r="B2364" s="1" t="s">
        <v>1824</v>
      </c>
      <c r="C2364" s="1">
        <v>14500000</v>
      </c>
      <c r="D2364" s="1" t="s">
        <v>61</v>
      </c>
      <c r="E2364">
        <v>495.17910000000001</v>
      </c>
      <c r="F2364" s="1" t="s">
        <v>12</v>
      </c>
      <c r="G2364">
        <v>15</v>
      </c>
      <c r="H2364">
        <v>3</v>
      </c>
      <c r="I2364" s="1" t="s">
        <v>13</v>
      </c>
      <c r="J2364">
        <v>1</v>
      </c>
      <c r="K2364" t="str">
        <f>IF(Tb_data[[#This Row],[previous_workers]]&lt;Tb_data[[#This Row],[workers]],"yes","no")</f>
        <v>yes</v>
      </c>
      <c r="L2364">
        <f>Tb_data[[#This Row],[workers]]-Tb_data[[#This Row],[previous_workers]]</f>
        <v>12</v>
      </c>
      <c r="M2364" s="12">
        <f>Tb_data[[#This Row],[Employees Growth]]/Tb_data[[#This Row],[previous_workers]]</f>
        <v>4</v>
      </c>
    </row>
    <row r="2365" spans="1:13" x14ac:dyDescent="0.25">
      <c r="A2365" s="1" t="s">
        <v>3410</v>
      </c>
      <c r="B2365" s="1" t="s">
        <v>3411</v>
      </c>
      <c r="C2365" s="1">
        <v>11600000</v>
      </c>
      <c r="D2365" s="1" t="s">
        <v>49</v>
      </c>
      <c r="E2365">
        <v>251.34360000000001</v>
      </c>
      <c r="F2365" s="1" t="s">
        <v>156</v>
      </c>
      <c r="G2365">
        <v>7</v>
      </c>
      <c r="H2365">
        <v>3</v>
      </c>
      <c r="I2365" s="1" t="s">
        <v>55</v>
      </c>
      <c r="J2365">
        <v>3</v>
      </c>
      <c r="K2365" t="str">
        <f>IF(Tb_data[[#This Row],[previous_workers]]&lt;Tb_data[[#This Row],[workers]],"yes","no")</f>
        <v>yes</v>
      </c>
      <c r="L2365">
        <f>Tb_data[[#This Row],[workers]]-Tb_data[[#This Row],[previous_workers]]</f>
        <v>4</v>
      </c>
      <c r="M2365" s="12">
        <f>Tb_data[[#This Row],[Employees Growth]]/Tb_data[[#This Row],[previous_workers]]</f>
        <v>1.3333333333333333</v>
      </c>
    </row>
    <row r="2366" spans="1:13" x14ac:dyDescent="0.25">
      <c r="A2366" s="1" t="s">
        <v>5136</v>
      </c>
      <c r="B2366" s="1" t="s">
        <v>5137</v>
      </c>
      <c r="C2366" s="1">
        <v>18200000</v>
      </c>
      <c r="D2366" s="1" t="s">
        <v>49</v>
      </c>
      <c r="E2366">
        <v>156.24260000000001</v>
      </c>
      <c r="F2366" s="1" t="s">
        <v>86</v>
      </c>
      <c r="G2366">
        <v>44</v>
      </c>
      <c r="H2366">
        <v>21</v>
      </c>
      <c r="I2366" s="1" t="s">
        <v>35</v>
      </c>
      <c r="J2366">
        <v>5</v>
      </c>
      <c r="K2366" t="str">
        <f>IF(Tb_data[[#This Row],[previous_workers]]&lt;Tb_data[[#This Row],[workers]],"yes","no")</f>
        <v>yes</v>
      </c>
      <c r="L2366">
        <f>Tb_data[[#This Row],[workers]]-Tb_data[[#This Row],[previous_workers]]</f>
        <v>23</v>
      </c>
      <c r="M2366" s="12">
        <f>Tb_data[[#This Row],[Employees Growth]]/Tb_data[[#This Row],[previous_workers]]</f>
        <v>1.0952380952380953</v>
      </c>
    </row>
    <row r="2367" spans="1:13" x14ac:dyDescent="0.25">
      <c r="A2367" s="1" t="s">
        <v>6797</v>
      </c>
      <c r="B2367" s="1" t="s">
        <v>6798</v>
      </c>
      <c r="C2367" s="1">
        <v>6100000</v>
      </c>
      <c r="D2367" s="1" t="s">
        <v>58</v>
      </c>
      <c r="E2367">
        <v>106.7961</v>
      </c>
      <c r="F2367" s="1" t="s">
        <v>156</v>
      </c>
      <c r="G2367">
        <v>35</v>
      </c>
      <c r="H2367">
        <v>15</v>
      </c>
      <c r="I2367" s="1" t="s">
        <v>117</v>
      </c>
      <c r="J2367">
        <v>3</v>
      </c>
      <c r="K2367" t="str">
        <f>IF(Tb_data[[#This Row],[previous_workers]]&lt;Tb_data[[#This Row],[workers]],"yes","no")</f>
        <v>yes</v>
      </c>
      <c r="L2367">
        <f>Tb_data[[#This Row],[workers]]-Tb_data[[#This Row],[previous_workers]]</f>
        <v>20</v>
      </c>
      <c r="M2367" s="12">
        <f>Tb_data[[#This Row],[Employees Growth]]/Tb_data[[#This Row],[previous_workers]]</f>
        <v>1.3333333333333333</v>
      </c>
    </row>
    <row r="2368" spans="1:13" x14ac:dyDescent="0.25">
      <c r="A2368" s="1" t="s">
        <v>2903</v>
      </c>
      <c r="B2368" s="1" t="s">
        <v>2904</v>
      </c>
      <c r="C2368" s="1">
        <v>2400000</v>
      </c>
      <c r="D2368" s="1" t="s">
        <v>895</v>
      </c>
      <c r="E2368">
        <v>297.24310000000003</v>
      </c>
      <c r="F2368" s="1" t="s">
        <v>156</v>
      </c>
      <c r="G2368">
        <v>9</v>
      </c>
      <c r="H2368">
        <v>4</v>
      </c>
      <c r="I2368" s="1" t="s">
        <v>35</v>
      </c>
      <c r="J2368">
        <v>1</v>
      </c>
      <c r="K2368" t="str">
        <f>IF(Tb_data[[#This Row],[previous_workers]]&lt;Tb_data[[#This Row],[workers]],"yes","no")</f>
        <v>yes</v>
      </c>
      <c r="L2368">
        <f>Tb_data[[#This Row],[workers]]-Tb_data[[#This Row],[previous_workers]]</f>
        <v>5</v>
      </c>
      <c r="M2368" s="12">
        <f>Tb_data[[#This Row],[Employees Growth]]/Tb_data[[#This Row],[previous_workers]]</f>
        <v>1.25</v>
      </c>
    </row>
    <row r="2369" spans="1:13" x14ac:dyDescent="0.25">
      <c r="A2369" s="1" t="s">
        <v>8085</v>
      </c>
      <c r="B2369" s="1" t="s">
        <v>8086</v>
      </c>
      <c r="C2369" s="1">
        <v>11700000</v>
      </c>
      <c r="D2369" s="1" t="s">
        <v>179</v>
      </c>
      <c r="E2369">
        <v>81.220500000000001</v>
      </c>
      <c r="F2369" s="1" t="s">
        <v>86</v>
      </c>
      <c r="G2369">
        <v>600</v>
      </c>
      <c r="H2369">
        <v>500</v>
      </c>
      <c r="I2369" s="1" t="s">
        <v>1356</v>
      </c>
      <c r="J2369">
        <v>4</v>
      </c>
      <c r="K2369" t="str">
        <f>IF(Tb_data[[#This Row],[previous_workers]]&lt;Tb_data[[#This Row],[workers]],"yes","no")</f>
        <v>yes</v>
      </c>
      <c r="L2369">
        <f>Tb_data[[#This Row],[workers]]-Tb_data[[#This Row],[previous_workers]]</f>
        <v>100</v>
      </c>
      <c r="M2369" s="12">
        <f>Tb_data[[#This Row],[Employees Growth]]/Tb_data[[#This Row],[previous_workers]]</f>
        <v>0.2</v>
      </c>
    </row>
    <row r="2370" spans="1:13" x14ac:dyDescent="0.25">
      <c r="A2370" s="1" t="s">
        <v>9788</v>
      </c>
      <c r="B2370" s="1" t="s">
        <v>9789</v>
      </c>
      <c r="C2370" s="1">
        <v>14200000</v>
      </c>
      <c r="D2370" s="1" t="s">
        <v>179</v>
      </c>
      <c r="E2370">
        <v>56.8658</v>
      </c>
      <c r="F2370" s="1" t="s">
        <v>172</v>
      </c>
      <c r="G2370">
        <v>79</v>
      </c>
      <c r="H2370">
        <v>59</v>
      </c>
      <c r="I2370" s="1" t="s">
        <v>1768</v>
      </c>
      <c r="J2370">
        <v>1</v>
      </c>
      <c r="K2370" t="str">
        <f>IF(Tb_data[[#This Row],[previous_workers]]&lt;Tb_data[[#This Row],[workers]],"yes","no")</f>
        <v>yes</v>
      </c>
      <c r="L2370">
        <f>Tb_data[[#This Row],[workers]]-Tb_data[[#This Row],[previous_workers]]</f>
        <v>20</v>
      </c>
      <c r="M2370" s="12">
        <f>Tb_data[[#This Row],[Employees Growth]]/Tb_data[[#This Row],[previous_workers]]</f>
        <v>0.33898305084745761</v>
      </c>
    </row>
    <row r="2371" spans="1:13" x14ac:dyDescent="0.25">
      <c r="A2371" s="1" t="s">
        <v>8967</v>
      </c>
      <c r="B2371" s="1" t="s">
        <v>8968</v>
      </c>
      <c r="C2371" s="1">
        <v>68600000</v>
      </c>
      <c r="D2371" s="1" t="s">
        <v>120</v>
      </c>
      <c r="E2371">
        <v>67.036500000000004</v>
      </c>
      <c r="F2371" s="1" t="s">
        <v>112</v>
      </c>
      <c r="G2371">
        <v>256</v>
      </c>
      <c r="H2371">
        <v>209</v>
      </c>
      <c r="I2371" s="1" t="s">
        <v>3843</v>
      </c>
      <c r="J2371">
        <v>1</v>
      </c>
      <c r="K2371" t="str">
        <f>IF(Tb_data[[#This Row],[previous_workers]]&lt;Tb_data[[#This Row],[workers]],"yes","no")</f>
        <v>yes</v>
      </c>
      <c r="L2371">
        <f>Tb_data[[#This Row],[workers]]-Tb_data[[#This Row],[previous_workers]]</f>
        <v>47</v>
      </c>
      <c r="M2371" s="12">
        <f>Tb_data[[#This Row],[Employees Growth]]/Tb_data[[#This Row],[previous_workers]]</f>
        <v>0.22488038277511962</v>
      </c>
    </row>
    <row r="2372" spans="1:13" x14ac:dyDescent="0.25">
      <c r="A2372" s="1" t="s">
        <v>7186</v>
      </c>
      <c r="B2372" s="1" t="s">
        <v>7187</v>
      </c>
      <c r="C2372" s="1">
        <v>7300000</v>
      </c>
      <c r="D2372" s="1" t="s">
        <v>1557</v>
      </c>
      <c r="E2372">
        <v>98.800299999999993</v>
      </c>
      <c r="F2372" s="1" t="s">
        <v>514</v>
      </c>
      <c r="G2372">
        <v>52</v>
      </c>
      <c r="H2372">
        <v>29</v>
      </c>
      <c r="I2372" s="1" t="s">
        <v>4071</v>
      </c>
      <c r="J2372">
        <v>3</v>
      </c>
      <c r="K2372" t="str">
        <f>IF(Tb_data[[#This Row],[previous_workers]]&lt;Tb_data[[#This Row],[workers]],"yes","no")</f>
        <v>yes</v>
      </c>
      <c r="L2372">
        <f>Tb_data[[#This Row],[workers]]-Tb_data[[#This Row],[previous_workers]]</f>
        <v>23</v>
      </c>
      <c r="M2372" s="12">
        <f>Tb_data[[#This Row],[Employees Growth]]/Tb_data[[#This Row],[previous_workers]]</f>
        <v>0.7931034482758621</v>
      </c>
    </row>
    <row r="2373" spans="1:13" x14ac:dyDescent="0.25">
      <c r="A2373" s="1" t="s">
        <v>5138</v>
      </c>
      <c r="B2373" s="1" t="s">
        <v>5139</v>
      </c>
      <c r="C2373" s="1">
        <v>57600000</v>
      </c>
      <c r="D2373" s="1" t="s">
        <v>41</v>
      </c>
      <c r="E2373">
        <v>156.1807</v>
      </c>
      <c r="F2373" s="1" t="s">
        <v>97</v>
      </c>
      <c r="G2373">
        <v>290</v>
      </c>
      <c r="H2373">
        <v>76</v>
      </c>
      <c r="I2373" s="1" t="s">
        <v>35</v>
      </c>
      <c r="J2373">
        <v>5</v>
      </c>
      <c r="K2373" t="str">
        <f>IF(Tb_data[[#This Row],[previous_workers]]&lt;Tb_data[[#This Row],[workers]],"yes","no")</f>
        <v>yes</v>
      </c>
      <c r="L2373">
        <f>Tb_data[[#This Row],[workers]]-Tb_data[[#This Row],[previous_workers]]</f>
        <v>214</v>
      </c>
      <c r="M2373" s="12">
        <f>Tb_data[[#This Row],[Employees Growth]]/Tb_data[[#This Row],[previous_workers]]</f>
        <v>2.8157894736842106</v>
      </c>
    </row>
    <row r="2374" spans="1:13" x14ac:dyDescent="0.25">
      <c r="A2374" s="1" t="s">
        <v>1923</v>
      </c>
      <c r="B2374" s="1" t="s">
        <v>1924</v>
      </c>
      <c r="C2374" s="1">
        <v>4600000</v>
      </c>
      <c r="D2374" s="1" t="s">
        <v>38</v>
      </c>
      <c r="E2374">
        <v>468.87029999999999</v>
      </c>
      <c r="F2374" s="1" t="s">
        <v>21</v>
      </c>
      <c r="G2374">
        <v>3</v>
      </c>
      <c r="H2374">
        <v>2</v>
      </c>
      <c r="I2374" s="1" t="s">
        <v>26</v>
      </c>
      <c r="J2374">
        <v>1</v>
      </c>
      <c r="K2374" t="str">
        <f>IF(Tb_data[[#This Row],[previous_workers]]&lt;Tb_data[[#This Row],[workers]],"yes","no")</f>
        <v>yes</v>
      </c>
      <c r="L2374">
        <f>Tb_data[[#This Row],[workers]]-Tb_data[[#This Row],[previous_workers]]</f>
        <v>1</v>
      </c>
      <c r="M2374" s="12">
        <f>Tb_data[[#This Row],[Employees Growth]]/Tb_data[[#This Row],[previous_workers]]</f>
        <v>0.5</v>
      </c>
    </row>
    <row r="2375" spans="1:13" x14ac:dyDescent="0.25">
      <c r="A2375" s="1" t="s">
        <v>1186</v>
      </c>
      <c r="B2375" s="1" t="s">
        <v>1187</v>
      </c>
      <c r="C2375" s="1">
        <v>171800000</v>
      </c>
      <c r="D2375" s="1" t="s">
        <v>20</v>
      </c>
      <c r="E2375">
        <v>810.92930000000001</v>
      </c>
      <c r="F2375" s="1" t="s">
        <v>100</v>
      </c>
      <c r="G2375">
        <v>500</v>
      </c>
      <c r="H2375">
        <v>35</v>
      </c>
      <c r="I2375" s="1" t="s">
        <v>26</v>
      </c>
      <c r="J2375">
        <v>2</v>
      </c>
      <c r="K2375" t="str">
        <f>IF(Tb_data[[#This Row],[previous_workers]]&lt;Tb_data[[#This Row],[workers]],"yes","no")</f>
        <v>yes</v>
      </c>
      <c r="L2375">
        <f>Tb_data[[#This Row],[workers]]-Tb_data[[#This Row],[previous_workers]]</f>
        <v>465</v>
      </c>
      <c r="M2375" s="12">
        <f>Tb_data[[#This Row],[Employees Growth]]/Tb_data[[#This Row],[previous_workers]]</f>
        <v>13.285714285714286</v>
      </c>
    </row>
    <row r="2376" spans="1:13" x14ac:dyDescent="0.25">
      <c r="A2376" s="1" t="s">
        <v>4808</v>
      </c>
      <c r="B2376" s="1" t="s">
        <v>4809</v>
      </c>
      <c r="C2376" s="1">
        <v>3400000</v>
      </c>
      <c r="D2376" s="1" t="s">
        <v>49</v>
      </c>
      <c r="E2376">
        <v>169.46729999999999</v>
      </c>
      <c r="F2376" s="1" t="s">
        <v>161</v>
      </c>
      <c r="G2376">
        <v>9</v>
      </c>
      <c r="H2376">
        <v>2</v>
      </c>
      <c r="I2376" s="1" t="s">
        <v>74</v>
      </c>
      <c r="J2376">
        <v>3</v>
      </c>
      <c r="K2376" t="str">
        <f>IF(Tb_data[[#This Row],[previous_workers]]&lt;Tb_data[[#This Row],[workers]],"yes","no")</f>
        <v>yes</v>
      </c>
      <c r="L2376">
        <f>Tb_data[[#This Row],[workers]]-Tb_data[[#This Row],[previous_workers]]</f>
        <v>7</v>
      </c>
      <c r="M2376" s="12">
        <f>Tb_data[[#This Row],[Employees Growth]]/Tb_data[[#This Row],[previous_workers]]</f>
        <v>3.5</v>
      </c>
    </row>
    <row r="2377" spans="1:13" x14ac:dyDescent="0.25">
      <c r="A2377" s="1" t="s">
        <v>5824</v>
      </c>
      <c r="B2377" s="1" t="s">
        <v>5825</v>
      </c>
      <c r="C2377" s="1">
        <v>152300000</v>
      </c>
      <c r="D2377" s="1" t="s">
        <v>16</v>
      </c>
      <c r="E2377">
        <v>130.65860000000001</v>
      </c>
      <c r="F2377" s="1" t="s">
        <v>176</v>
      </c>
      <c r="G2377">
        <v>160</v>
      </c>
      <c r="H2377">
        <v>90</v>
      </c>
      <c r="I2377" s="1" t="s">
        <v>2611</v>
      </c>
      <c r="J2377">
        <v>11</v>
      </c>
      <c r="K2377" t="str">
        <f>IF(Tb_data[[#This Row],[previous_workers]]&lt;Tb_data[[#This Row],[workers]],"yes","no")</f>
        <v>yes</v>
      </c>
      <c r="L2377">
        <f>Tb_data[[#This Row],[workers]]-Tb_data[[#This Row],[previous_workers]]</f>
        <v>70</v>
      </c>
      <c r="M2377" s="12">
        <f>Tb_data[[#This Row],[Employees Growth]]/Tb_data[[#This Row],[previous_workers]]</f>
        <v>0.77777777777777779</v>
      </c>
    </row>
    <row r="2378" spans="1:13" x14ac:dyDescent="0.25">
      <c r="A2378" s="1" t="s">
        <v>1592</v>
      </c>
      <c r="B2378" s="1" t="s">
        <v>1593</v>
      </c>
      <c r="C2378" s="1">
        <v>4500000</v>
      </c>
      <c r="D2378" s="1" t="s">
        <v>20</v>
      </c>
      <c r="E2378">
        <v>587.10820000000001</v>
      </c>
      <c r="F2378" s="1" t="s">
        <v>25</v>
      </c>
      <c r="G2378">
        <v>8</v>
      </c>
      <c r="H2378">
        <v>6</v>
      </c>
      <c r="I2378" s="1" t="s">
        <v>147</v>
      </c>
      <c r="J2378">
        <v>3</v>
      </c>
      <c r="K2378" t="str">
        <f>IF(Tb_data[[#This Row],[previous_workers]]&lt;Tb_data[[#This Row],[workers]],"yes","no")</f>
        <v>yes</v>
      </c>
      <c r="L2378">
        <f>Tb_data[[#This Row],[workers]]-Tb_data[[#This Row],[previous_workers]]</f>
        <v>2</v>
      </c>
      <c r="M2378" s="12">
        <f>Tb_data[[#This Row],[Employees Growth]]/Tb_data[[#This Row],[previous_workers]]</f>
        <v>0.33333333333333331</v>
      </c>
    </row>
    <row r="2379" spans="1:13" x14ac:dyDescent="0.25">
      <c r="A2379" s="1" t="s">
        <v>3756</v>
      </c>
      <c r="B2379" s="1" t="s">
        <v>3757</v>
      </c>
      <c r="C2379" s="1">
        <v>8300000</v>
      </c>
      <c r="D2379" s="1" t="s">
        <v>33</v>
      </c>
      <c r="E2379">
        <v>224.58349999999999</v>
      </c>
      <c r="F2379" s="1" t="s">
        <v>62</v>
      </c>
      <c r="G2379">
        <v>8</v>
      </c>
      <c r="H2379">
        <v>7</v>
      </c>
      <c r="I2379" s="1" t="s">
        <v>164</v>
      </c>
      <c r="J2379">
        <v>1</v>
      </c>
      <c r="K2379" t="str">
        <f>IF(Tb_data[[#This Row],[previous_workers]]&lt;Tb_data[[#This Row],[workers]],"yes","no")</f>
        <v>yes</v>
      </c>
      <c r="L2379">
        <f>Tb_data[[#This Row],[workers]]-Tb_data[[#This Row],[previous_workers]]</f>
        <v>1</v>
      </c>
      <c r="M2379" s="12">
        <f>Tb_data[[#This Row],[Employees Growth]]/Tb_data[[#This Row],[previous_workers]]</f>
        <v>0.14285714285714285</v>
      </c>
    </row>
    <row r="2380" spans="1:13" x14ac:dyDescent="0.25">
      <c r="A2380" s="1" t="s">
        <v>8123</v>
      </c>
      <c r="B2380" s="1" t="s">
        <v>8124</v>
      </c>
      <c r="C2380" s="1">
        <v>21600000</v>
      </c>
      <c r="D2380" s="1" t="s">
        <v>45</v>
      </c>
      <c r="E2380">
        <v>80.781599999999997</v>
      </c>
      <c r="F2380" s="1" t="s">
        <v>100</v>
      </c>
      <c r="G2380">
        <v>50</v>
      </c>
      <c r="H2380">
        <v>26</v>
      </c>
      <c r="I2380" s="1" t="s">
        <v>164</v>
      </c>
      <c r="J2380">
        <v>4</v>
      </c>
      <c r="K2380" t="str">
        <f>IF(Tb_data[[#This Row],[previous_workers]]&lt;Tb_data[[#This Row],[workers]],"yes","no")</f>
        <v>yes</v>
      </c>
      <c r="L2380">
        <f>Tb_data[[#This Row],[workers]]-Tb_data[[#This Row],[previous_workers]]</f>
        <v>24</v>
      </c>
      <c r="M2380" s="12">
        <f>Tb_data[[#This Row],[Employees Growth]]/Tb_data[[#This Row],[previous_workers]]</f>
        <v>0.92307692307692313</v>
      </c>
    </row>
    <row r="2381" spans="1:13" x14ac:dyDescent="0.25">
      <c r="A2381" s="1" t="s">
        <v>7479</v>
      </c>
      <c r="B2381" s="1" t="s">
        <v>7480</v>
      </c>
      <c r="C2381" s="1">
        <v>2400000</v>
      </c>
      <c r="D2381" s="1" t="s">
        <v>38</v>
      </c>
      <c r="E2381">
        <v>93.647300000000001</v>
      </c>
      <c r="F2381" s="1" t="s">
        <v>135</v>
      </c>
      <c r="G2381">
        <v>12</v>
      </c>
      <c r="H2381">
        <v>5</v>
      </c>
      <c r="I2381" s="1" t="s">
        <v>74</v>
      </c>
      <c r="J2381">
        <v>1</v>
      </c>
      <c r="K2381" t="str">
        <f>IF(Tb_data[[#This Row],[previous_workers]]&lt;Tb_data[[#This Row],[workers]],"yes","no")</f>
        <v>yes</v>
      </c>
      <c r="L2381">
        <f>Tb_data[[#This Row],[workers]]-Tb_data[[#This Row],[previous_workers]]</f>
        <v>7</v>
      </c>
      <c r="M2381" s="12">
        <f>Tb_data[[#This Row],[Employees Growth]]/Tb_data[[#This Row],[previous_workers]]</f>
        <v>1.4</v>
      </c>
    </row>
    <row r="2382" spans="1:13" x14ac:dyDescent="0.25">
      <c r="A2382" s="1" t="s">
        <v>2556</v>
      </c>
      <c r="B2382" s="1" t="s">
        <v>2557</v>
      </c>
      <c r="C2382" s="1">
        <v>5100000</v>
      </c>
      <c r="D2382" s="1" t="s">
        <v>20</v>
      </c>
      <c r="E2382">
        <v>336.75479999999999</v>
      </c>
      <c r="F2382" s="1" t="s">
        <v>86</v>
      </c>
      <c r="G2382">
        <v>22</v>
      </c>
      <c r="H2382">
        <v>9</v>
      </c>
      <c r="I2382" s="1" t="s">
        <v>35</v>
      </c>
      <c r="J2382">
        <v>2</v>
      </c>
      <c r="K2382" t="str">
        <f>IF(Tb_data[[#This Row],[previous_workers]]&lt;Tb_data[[#This Row],[workers]],"yes","no")</f>
        <v>yes</v>
      </c>
      <c r="L2382">
        <f>Tb_data[[#This Row],[workers]]-Tb_data[[#This Row],[previous_workers]]</f>
        <v>13</v>
      </c>
      <c r="M2382" s="12">
        <f>Tb_data[[#This Row],[Employees Growth]]/Tb_data[[#This Row],[previous_workers]]</f>
        <v>1.4444444444444444</v>
      </c>
    </row>
    <row r="2383" spans="1:13" x14ac:dyDescent="0.25">
      <c r="A2383" s="1" t="s">
        <v>9824</v>
      </c>
      <c r="B2383" s="1" t="s">
        <v>9825</v>
      </c>
      <c r="C2383" s="1">
        <v>7700000</v>
      </c>
      <c r="D2383" s="1" t="s">
        <v>123</v>
      </c>
      <c r="E2383">
        <v>56.406599999999997</v>
      </c>
      <c r="F2383" s="1" t="s">
        <v>135</v>
      </c>
      <c r="G2383">
        <v>90</v>
      </c>
      <c r="H2383">
        <v>75</v>
      </c>
      <c r="I2383" s="1" t="s">
        <v>1622</v>
      </c>
      <c r="J2383">
        <v>5</v>
      </c>
      <c r="K2383" t="str">
        <f>IF(Tb_data[[#This Row],[previous_workers]]&lt;Tb_data[[#This Row],[workers]],"yes","no")</f>
        <v>yes</v>
      </c>
      <c r="L2383">
        <f>Tb_data[[#This Row],[workers]]-Tb_data[[#This Row],[previous_workers]]</f>
        <v>15</v>
      </c>
      <c r="M2383" s="12">
        <f>Tb_data[[#This Row],[Employees Growth]]/Tb_data[[#This Row],[previous_workers]]</f>
        <v>0.2</v>
      </c>
    </row>
    <row r="2384" spans="1:13" x14ac:dyDescent="0.25">
      <c r="A2384" s="1" t="s">
        <v>7911</v>
      </c>
      <c r="B2384" s="1" t="s">
        <v>7912</v>
      </c>
      <c r="C2384" s="1">
        <v>4600000</v>
      </c>
      <c r="D2384" s="1" t="s">
        <v>1002</v>
      </c>
      <c r="E2384">
        <v>84.565799999999996</v>
      </c>
      <c r="F2384" s="1" t="s">
        <v>514</v>
      </c>
      <c r="G2384">
        <v>35</v>
      </c>
      <c r="H2384">
        <v>26</v>
      </c>
      <c r="I2384" s="1" t="s">
        <v>46</v>
      </c>
      <c r="J2384">
        <v>2</v>
      </c>
      <c r="K2384" t="str">
        <f>IF(Tb_data[[#This Row],[previous_workers]]&lt;Tb_data[[#This Row],[workers]],"yes","no")</f>
        <v>yes</v>
      </c>
      <c r="L2384">
        <f>Tb_data[[#This Row],[workers]]-Tb_data[[#This Row],[previous_workers]]</f>
        <v>9</v>
      </c>
      <c r="M2384" s="12">
        <f>Tb_data[[#This Row],[Employees Growth]]/Tb_data[[#This Row],[previous_workers]]</f>
        <v>0.34615384615384615</v>
      </c>
    </row>
    <row r="2385" spans="1:13" x14ac:dyDescent="0.25">
      <c r="A2385" s="1" t="s">
        <v>9692</v>
      </c>
      <c r="B2385" s="1" t="s">
        <v>9693</v>
      </c>
      <c r="C2385" s="1">
        <v>3400000</v>
      </c>
      <c r="D2385" s="1" t="s">
        <v>29</v>
      </c>
      <c r="E2385">
        <v>58.119300000000003</v>
      </c>
      <c r="F2385" s="1" t="s">
        <v>176</v>
      </c>
      <c r="G2385">
        <v>21</v>
      </c>
      <c r="H2385">
        <v>12</v>
      </c>
      <c r="I2385" s="1" t="s">
        <v>130</v>
      </c>
      <c r="J2385">
        <v>3</v>
      </c>
      <c r="K2385" t="str">
        <f>IF(Tb_data[[#This Row],[previous_workers]]&lt;Tb_data[[#This Row],[workers]],"yes","no")</f>
        <v>yes</v>
      </c>
      <c r="L2385">
        <f>Tb_data[[#This Row],[workers]]-Tb_data[[#This Row],[previous_workers]]</f>
        <v>9</v>
      </c>
      <c r="M2385" s="12">
        <f>Tb_data[[#This Row],[Employees Growth]]/Tb_data[[#This Row],[previous_workers]]</f>
        <v>0.75</v>
      </c>
    </row>
    <row r="2386" spans="1:13" x14ac:dyDescent="0.25">
      <c r="A2386" s="1" t="s">
        <v>6535</v>
      </c>
      <c r="B2386" s="1" t="s">
        <v>6536</v>
      </c>
      <c r="C2386" s="1">
        <v>3600000</v>
      </c>
      <c r="D2386" s="1" t="s">
        <v>115</v>
      </c>
      <c r="E2386">
        <v>112.9151</v>
      </c>
      <c r="F2386" s="1" t="s">
        <v>12</v>
      </c>
      <c r="G2386">
        <v>17</v>
      </c>
      <c r="H2386">
        <v>3</v>
      </c>
      <c r="I2386" s="1" t="s">
        <v>117</v>
      </c>
      <c r="J2386">
        <v>1</v>
      </c>
      <c r="K2386" t="str">
        <f>IF(Tb_data[[#This Row],[previous_workers]]&lt;Tb_data[[#This Row],[workers]],"yes","no")</f>
        <v>yes</v>
      </c>
      <c r="L2386">
        <f>Tb_data[[#This Row],[workers]]-Tb_data[[#This Row],[previous_workers]]</f>
        <v>14</v>
      </c>
      <c r="M2386" s="12">
        <f>Tb_data[[#This Row],[Employees Growth]]/Tb_data[[#This Row],[previous_workers]]</f>
        <v>4.666666666666667</v>
      </c>
    </row>
    <row r="2387" spans="1:13" x14ac:dyDescent="0.25">
      <c r="A2387" s="1" t="s">
        <v>5832</v>
      </c>
      <c r="B2387" s="1" t="s">
        <v>5833</v>
      </c>
      <c r="C2387" s="1">
        <v>4400000</v>
      </c>
      <c r="D2387" s="1" t="s">
        <v>41</v>
      </c>
      <c r="E2387">
        <v>130.428</v>
      </c>
      <c r="F2387" s="1" t="s">
        <v>176</v>
      </c>
      <c r="G2387">
        <v>19</v>
      </c>
      <c r="H2387">
        <v>12</v>
      </c>
      <c r="I2387" s="1" t="s">
        <v>194</v>
      </c>
      <c r="J2387">
        <v>2</v>
      </c>
      <c r="K2387" t="str">
        <f>IF(Tb_data[[#This Row],[previous_workers]]&lt;Tb_data[[#This Row],[workers]],"yes","no")</f>
        <v>yes</v>
      </c>
      <c r="L2387">
        <f>Tb_data[[#This Row],[workers]]-Tb_data[[#This Row],[previous_workers]]</f>
        <v>7</v>
      </c>
      <c r="M2387" s="12">
        <f>Tb_data[[#This Row],[Employees Growth]]/Tb_data[[#This Row],[previous_workers]]</f>
        <v>0.58333333333333337</v>
      </c>
    </row>
    <row r="2388" spans="1:13" x14ac:dyDescent="0.25">
      <c r="A2388" s="1" t="s">
        <v>6815</v>
      </c>
      <c r="B2388" s="1" t="s">
        <v>6816</v>
      </c>
      <c r="C2388" s="1">
        <v>14900000</v>
      </c>
      <c r="D2388" s="1" t="s">
        <v>45</v>
      </c>
      <c r="E2388">
        <v>106.4439</v>
      </c>
      <c r="F2388" s="1" t="s">
        <v>17</v>
      </c>
      <c r="G2388">
        <v>10</v>
      </c>
      <c r="H2388">
        <v>5</v>
      </c>
      <c r="I2388" s="1" t="s">
        <v>2676</v>
      </c>
      <c r="J2388">
        <v>1</v>
      </c>
      <c r="K2388" t="str">
        <f>IF(Tb_data[[#This Row],[previous_workers]]&lt;Tb_data[[#This Row],[workers]],"yes","no")</f>
        <v>yes</v>
      </c>
      <c r="L2388">
        <f>Tb_data[[#This Row],[workers]]-Tb_data[[#This Row],[previous_workers]]</f>
        <v>5</v>
      </c>
      <c r="M2388" s="12">
        <f>Tb_data[[#This Row],[Employees Growth]]/Tb_data[[#This Row],[previous_workers]]</f>
        <v>1</v>
      </c>
    </row>
    <row r="2389" spans="1:13" x14ac:dyDescent="0.25">
      <c r="A2389" s="1" t="s">
        <v>3684</v>
      </c>
      <c r="B2389" s="1" t="s">
        <v>3685</v>
      </c>
      <c r="C2389" s="1">
        <v>22300000</v>
      </c>
      <c r="D2389" s="1" t="s">
        <v>129</v>
      </c>
      <c r="E2389">
        <v>229.0977</v>
      </c>
      <c r="F2389" s="1" t="s">
        <v>100</v>
      </c>
      <c r="G2389">
        <v>420</v>
      </c>
      <c r="H2389">
        <v>200</v>
      </c>
      <c r="I2389" s="1" t="s">
        <v>26</v>
      </c>
      <c r="J2389">
        <v>1</v>
      </c>
      <c r="K2389" t="str">
        <f>IF(Tb_data[[#This Row],[previous_workers]]&lt;Tb_data[[#This Row],[workers]],"yes","no")</f>
        <v>yes</v>
      </c>
      <c r="L2389">
        <f>Tb_data[[#This Row],[workers]]-Tb_data[[#This Row],[previous_workers]]</f>
        <v>220</v>
      </c>
      <c r="M2389" s="12">
        <f>Tb_data[[#This Row],[Employees Growth]]/Tb_data[[#This Row],[previous_workers]]</f>
        <v>1.1000000000000001</v>
      </c>
    </row>
    <row r="2390" spans="1:13" x14ac:dyDescent="0.25">
      <c r="A2390" s="1" t="s">
        <v>6083</v>
      </c>
      <c r="B2390" s="1" t="s">
        <v>6084</v>
      </c>
      <c r="C2390" s="1">
        <v>20100000</v>
      </c>
      <c r="D2390" s="1" t="s">
        <v>61</v>
      </c>
      <c r="E2390">
        <v>124.3687</v>
      </c>
      <c r="F2390" s="1" t="s">
        <v>100</v>
      </c>
      <c r="G2390">
        <v>9</v>
      </c>
      <c r="H2390">
        <v>5</v>
      </c>
      <c r="I2390" s="1" t="s">
        <v>194</v>
      </c>
      <c r="J2390">
        <v>2</v>
      </c>
      <c r="K2390" t="str">
        <f>IF(Tb_data[[#This Row],[previous_workers]]&lt;Tb_data[[#This Row],[workers]],"yes","no")</f>
        <v>yes</v>
      </c>
      <c r="L2390">
        <f>Tb_data[[#This Row],[workers]]-Tb_data[[#This Row],[previous_workers]]</f>
        <v>4</v>
      </c>
      <c r="M2390" s="12">
        <f>Tb_data[[#This Row],[Employees Growth]]/Tb_data[[#This Row],[previous_workers]]</f>
        <v>0.8</v>
      </c>
    </row>
    <row r="2391" spans="1:13" x14ac:dyDescent="0.25">
      <c r="A2391" s="1" t="s">
        <v>8219</v>
      </c>
      <c r="B2391" s="1" t="s">
        <v>8220</v>
      </c>
      <c r="C2391" s="1">
        <v>2100000</v>
      </c>
      <c r="D2391" s="1" t="s">
        <v>129</v>
      </c>
      <c r="E2391">
        <v>79.138199999999998</v>
      </c>
      <c r="F2391" s="1" t="s">
        <v>25</v>
      </c>
      <c r="G2391">
        <v>8</v>
      </c>
      <c r="H2391">
        <v>6</v>
      </c>
      <c r="I2391" s="1" t="s">
        <v>295</v>
      </c>
      <c r="J2391">
        <v>1</v>
      </c>
      <c r="K2391" t="str">
        <f>IF(Tb_data[[#This Row],[previous_workers]]&lt;Tb_data[[#This Row],[workers]],"yes","no")</f>
        <v>yes</v>
      </c>
      <c r="L2391">
        <f>Tb_data[[#This Row],[workers]]-Tb_data[[#This Row],[previous_workers]]</f>
        <v>2</v>
      </c>
      <c r="M2391" s="12">
        <f>Tb_data[[#This Row],[Employees Growth]]/Tb_data[[#This Row],[previous_workers]]</f>
        <v>0.33333333333333331</v>
      </c>
    </row>
    <row r="2392" spans="1:13" x14ac:dyDescent="0.25">
      <c r="A2392" s="1" t="s">
        <v>962</v>
      </c>
      <c r="B2392" s="1" t="s">
        <v>963</v>
      </c>
      <c r="C2392" s="1">
        <v>13200000</v>
      </c>
      <c r="D2392" s="1" t="s">
        <v>49</v>
      </c>
      <c r="E2392">
        <v>1044.9640999999999</v>
      </c>
      <c r="F2392" s="1" t="s">
        <v>152</v>
      </c>
      <c r="G2392">
        <v>130</v>
      </c>
      <c r="H2392">
        <v>20</v>
      </c>
      <c r="I2392" s="1" t="s">
        <v>164</v>
      </c>
      <c r="J2392">
        <v>1</v>
      </c>
      <c r="K2392" t="str">
        <f>IF(Tb_data[[#This Row],[previous_workers]]&lt;Tb_data[[#This Row],[workers]],"yes","no")</f>
        <v>yes</v>
      </c>
      <c r="L2392">
        <f>Tb_data[[#This Row],[workers]]-Tb_data[[#This Row],[previous_workers]]</f>
        <v>110</v>
      </c>
      <c r="M2392" s="12">
        <f>Tb_data[[#This Row],[Employees Growth]]/Tb_data[[#This Row],[previous_workers]]</f>
        <v>5.5</v>
      </c>
    </row>
    <row r="2393" spans="1:13" x14ac:dyDescent="0.25">
      <c r="A2393" s="1" t="s">
        <v>3323</v>
      </c>
      <c r="B2393" s="1" t="s">
        <v>3324</v>
      </c>
      <c r="C2393" s="1">
        <v>3500000</v>
      </c>
      <c r="D2393" s="1" t="s">
        <v>61</v>
      </c>
      <c r="E2393">
        <v>257.03789999999998</v>
      </c>
      <c r="F2393" s="1" t="s">
        <v>86</v>
      </c>
      <c r="G2393">
        <v>25</v>
      </c>
      <c r="H2393">
        <v>6</v>
      </c>
      <c r="I2393" s="1" t="s">
        <v>55</v>
      </c>
      <c r="J2393">
        <v>1</v>
      </c>
      <c r="K2393" t="str">
        <f>IF(Tb_data[[#This Row],[previous_workers]]&lt;Tb_data[[#This Row],[workers]],"yes","no")</f>
        <v>yes</v>
      </c>
      <c r="L2393">
        <f>Tb_data[[#This Row],[workers]]-Tb_data[[#This Row],[previous_workers]]</f>
        <v>19</v>
      </c>
      <c r="M2393" s="12">
        <f>Tb_data[[#This Row],[Employees Growth]]/Tb_data[[#This Row],[previous_workers]]</f>
        <v>3.1666666666666665</v>
      </c>
    </row>
    <row r="2394" spans="1:13" x14ac:dyDescent="0.25">
      <c r="A2394" s="1" t="s">
        <v>8377</v>
      </c>
      <c r="B2394" s="1" t="s">
        <v>8378</v>
      </c>
      <c r="C2394" s="1">
        <v>102900000</v>
      </c>
      <c r="D2394" s="1" t="s">
        <v>123</v>
      </c>
      <c r="E2394">
        <v>76.603700000000003</v>
      </c>
      <c r="F2394" s="1" t="s">
        <v>124</v>
      </c>
      <c r="G2394">
        <v>383</v>
      </c>
      <c r="H2394">
        <v>290</v>
      </c>
      <c r="I2394" s="1" t="s">
        <v>1657</v>
      </c>
      <c r="J2394">
        <v>1</v>
      </c>
      <c r="K2394" t="str">
        <f>IF(Tb_data[[#This Row],[previous_workers]]&lt;Tb_data[[#This Row],[workers]],"yes","no")</f>
        <v>yes</v>
      </c>
      <c r="L2394">
        <f>Tb_data[[#This Row],[workers]]-Tb_data[[#This Row],[previous_workers]]</f>
        <v>93</v>
      </c>
      <c r="M2394" s="12">
        <f>Tb_data[[#This Row],[Employees Growth]]/Tb_data[[#This Row],[previous_workers]]</f>
        <v>0.32068965517241377</v>
      </c>
    </row>
    <row r="2395" spans="1:13" x14ac:dyDescent="0.25">
      <c r="A2395" s="1" t="s">
        <v>2929</v>
      </c>
      <c r="B2395" s="1" t="s">
        <v>2930</v>
      </c>
      <c r="C2395" s="1">
        <v>5500000</v>
      </c>
      <c r="D2395" s="1" t="s">
        <v>254</v>
      </c>
      <c r="E2395">
        <v>293.87810000000002</v>
      </c>
      <c r="F2395" s="1" t="s">
        <v>152</v>
      </c>
      <c r="G2395">
        <v>45</v>
      </c>
      <c r="H2395">
        <v>33</v>
      </c>
      <c r="I2395" s="1" t="s">
        <v>74</v>
      </c>
      <c r="J2395">
        <v>3</v>
      </c>
      <c r="K2395" t="str">
        <f>IF(Tb_data[[#This Row],[previous_workers]]&lt;Tb_data[[#This Row],[workers]],"yes","no")</f>
        <v>yes</v>
      </c>
      <c r="L2395">
        <f>Tb_data[[#This Row],[workers]]-Tb_data[[#This Row],[previous_workers]]</f>
        <v>12</v>
      </c>
      <c r="M2395" s="12">
        <f>Tb_data[[#This Row],[Employees Growth]]/Tb_data[[#This Row],[previous_workers]]</f>
        <v>0.36363636363636365</v>
      </c>
    </row>
    <row r="2396" spans="1:13" x14ac:dyDescent="0.25">
      <c r="A2396" s="1" t="s">
        <v>257</v>
      </c>
      <c r="B2396" s="1" t="s">
        <v>258</v>
      </c>
      <c r="C2396" s="1">
        <v>4900000</v>
      </c>
      <c r="D2396" s="1" t="s">
        <v>79</v>
      </c>
      <c r="E2396">
        <v>3417.6307999999999</v>
      </c>
      <c r="F2396" s="1" t="s">
        <v>34</v>
      </c>
      <c r="G2396">
        <v>19</v>
      </c>
      <c r="H2396">
        <v>1</v>
      </c>
      <c r="I2396" s="1" t="s">
        <v>26</v>
      </c>
      <c r="J2396">
        <v>1</v>
      </c>
      <c r="K2396" t="str">
        <f>IF(Tb_data[[#This Row],[previous_workers]]&lt;Tb_data[[#This Row],[workers]],"yes","no")</f>
        <v>yes</v>
      </c>
      <c r="L2396">
        <f>Tb_data[[#This Row],[workers]]-Tb_data[[#This Row],[previous_workers]]</f>
        <v>18</v>
      </c>
      <c r="M2396" s="12">
        <f>Tb_data[[#This Row],[Employees Growth]]/Tb_data[[#This Row],[previous_workers]]</f>
        <v>18</v>
      </c>
    </row>
    <row r="2397" spans="1:13" x14ac:dyDescent="0.25">
      <c r="A2397" s="1" t="s">
        <v>9085</v>
      </c>
      <c r="B2397" s="1" t="s">
        <v>9086</v>
      </c>
      <c r="C2397" s="1">
        <v>12300000</v>
      </c>
      <c r="D2397" s="1" t="s">
        <v>254</v>
      </c>
      <c r="E2397">
        <v>65.550399999999996</v>
      </c>
      <c r="F2397" s="1" t="s">
        <v>3264</v>
      </c>
      <c r="G2397">
        <v>52</v>
      </c>
      <c r="H2397">
        <v>32</v>
      </c>
      <c r="I2397" s="1" t="s">
        <v>147</v>
      </c>
      <c r="J2397">
        <v>1</v>
      </c>
      <c r="K2397" t="str">
        <f>IF(Tb_data[[#This Row],[previous_workers]]&lt;Tb_data[[#This Row],[workers]],"yes","no")</f>
        <v>yes</v>
      </c>
      <c r="L2397">
        <f>Tb_data[[#This Row],[workers]]-Tb_data[[#This Row],[previous_workers]]</f>
        <v>20</v>
      </c>
      <c r="M2397" s="12">
        <f>Tb_data[[#This Row],[Employees Growth]]/Tb_data[[#This Row],[previous_workers]]</f>
        <v>0.625</v>
      </c>
    </row>
    <row r="2398" spans="1:13" x14ac:dyDescent="0.25">
      <c r="A2398" s="1" t="s">
        <v>5144</v>
      </c>
      <c r="B2398" s="1" t="s">
        <v>5145</v>
      </c>
      <c r="C2398" s="1">
        <v>8600000</v>
      </c>
      <c r="D2398" s="1" t="s">
        <v>254</v>
      </c>
      <c r="E2398">
        <v>155.76079999999999</v>
      </c>
      <c r="F2398" s="1" t="s">
        <v>12</v>
      </c>
      <c r="G2398">
        <v>20</v>
      </c>
      <c r="H2398">
        <v>8</v>
      </c>
      <c r="I2398" s="1" t="s">
        <v>164</v>
      </c>
      <c r="J2398">
        <v>4</v>
      </c>
      <c r="K2398" t="str">
        <f>IF(Tb_data[[#This Row],[previous_workers]]&lt;Tb_data[[#This Row],[workers]],"yes","no")</f>
        <v>yes</v>
      </c>
      <c r="L2398">
        <f>Tb_data[[#This Row],[workers]]-Tb_data[[#This Row],[previous_workers]]</f>
        <v>12</v>
      </c>
      <c r="M2398" s="12">
        <f>Tb_data[[#This Row],[Employees Growth]]/Tb_data[[#This Row],[previous_workers]]</f>
        <v>1.5</v>
      </c>
    </row>
    <row r="2399" spans="1:13" x14ac:dyDescent="0.25">
      <c r="A2399" s="1" t="s">
        <v>3433</v>
      </c>
      <c r="B2399" s="1" t="s">
        <v>3434</v>
      </c>
      <c r="C2399" s="1">
        <v>4100000</v>
      </c>
      <c r="D2399" s="1" t="s">
        <v>20</v>
      </c>
      <c r="E2399">
        <v>248.14869999999999</v>
      </c>
      <c r="F2399" s="1" t="s">
        <v>97</v>
      </c>
      <c r="G2399">
        <v>95</v>
      </c>
      <c r="H2399">
        <v>4</v>
      </c>
      <c r="I2399" s="1" t="s">
        <v>74</v>
      </c>
      <c r="J2399">
        <v>2</v>
      </c>
      <c r="K2399" t="str">
        <f>IF(Tb_data[[#This Row],[previous_workers]]&lt;Tb_data[[#This Row],[workers]],"yes","no")</f>
        <v>yes</v>
      </c>
      <c r="L2399">
        <f>Tb_data[[#This Row],[workers]]-Tb_data[[#This Row],[previous_workers]]</f>
        <v>91</v>
      </c>
      <c r="M2399" s="12">
        <f>Tb_data[[#This Row],[Employees Growth]]/Tb_data[[#This Row],[previous_workers]]</f>
        <v>22.75</v>
      </c>
    </row>
    <row r="2400" spans="1:13" x14ac:dyDescent="0.25">
      <c r="A2400" s="1" t="s">
        <v>1379</v>
      </c>
      <c r="B2400" s="1" t="s">
        <v>1380</v>
      </c>
      <c r="C2400" s="1">
        <v>2000000</v>
      </c>
      <c r="D2400" s="1" t="s">
        <v>20</v>
      </c>
      <c r="E2400">
        <v>692.03909999999996</v>
      </c>
      <c r="F2400" s="1" t="s">
        <v>30</v>
      </c>
      <c r="G2400">
        <v>10</v>
      </c>
      <c r="H2400">
        <v>1</v>
      </c>
      <c r="I2400" s="1" t="s">
        <v>55</v>
      </c>
      <c r="J2400">
        <v>1</v>
      </c>
      <c r="K2400" t="str">
        <f>IF(Tb_data[[#This Row],[previous_workers]]&lt;Tb_data[[#This Row],[workers]],"yes","no")</f>
        <v>yes</v>
      </c>
      <c r="L2400">
        <f>Tb_data[[#This Row],[workers]]-Tb_data[[#This Row],[previous_workers]]</f>
        <v>9</v>
      </c>
      <c r="M2400" s="12">
        <f>Tb_data[[#This Row],[Employees Growth]]/Tb_data[[#This Row],[previous_workers]]</f>
        <v>9</v>
      </c>
    </row>
    <row r="2401" spans="1:13" x14ac:dyDescent="0.25">
      <c r="A2401" s="1" t="s">
        <v>7052</v>
      </c>
      <c r="B2401" s="1" t="s">
        <v>7053</v>
      </c>
      <c r="C2401" s="1">
        <v>96600000</v>
      </c>
      <c r="D2401" s="1" t="s">
        <v>49</v>
      </c>
      <c r="E2401">
        <v>101.0076</v>
      </c>
      <c r="F2401" s="1" t="s">
        <v>25</v>
      </c>
      <c r="G2401">
        <v>99</v>
      </c>
      <c r="H2401">
        <v>55</v>
      </c>
      <c r="I2401" s="1" t="s">
        <v>147</v>
      </c>
      <c r="J2401">
        <v>2</v>
      </c>
      <c r="K2401" t="str">
        <f>IF(Tb_data[[#This Row],[previous_workers]]&lt;Tb_data[[#This Row],[workers]],"yes","no")</f>
        <v>yes</v>
      </c>
      <c r="L2401">
        <f>Tb_data[[#This Row],[workers]]-Tb_data[[#This Row],[previous_workers]]</f>
        <v>44</v>
      </c>
      <c r="M2401" s="12">
        <f>Tb_data[[#This Row],[Employees Growth]]/Tb_data[[#This Row],[previous_workers]]</f>
        <v>0.8</v>
      </c>
    </row>
    <row r="2402" spans="1:13" x14ac:dyDescent="0.25">
      <c r="A2402" s="1" t="s">
        <v>5360</v>
      </c>
      <c r="B2402" s="1" t="s">
        <v>5361</v>
      </c>
      <c r="C2402" s="1">
        <v>5000000</v>
      </c>
      <c r="D2402" s="1" t="s">
        <v>179</v>
      </c>
      <c r="E2402">
        <v>147.8252</v>
      </c>
      <c r="F2402" s="1" t="s">
        <v>62</v>
      </c>
      <c r="G2402">
        <v>65</v>
      </c>
      <c r="H2402">
        <v>30</v>
      </c>
      <c r="I2402" s="1" t="s">
        <v>46</v>
      </c>
      <c r="J2402">
        <v>4</v>
      </c>
      <c r="K2402" t="str">
        <f>IF(Tb_data[[#This Row],[previous_workers]]&lt;Tb_data[[#This Row],[workers]],"yes","no")</f>
        <v>yes</v>
      </c>
      <c r="L2402">
        <f>Tb_data[[#This Row],[workers]]-Tb_data[[#This Row],[previous_workers]]</f>
        <v>35</v>
      </c>
      <c r="M2402" s="12">
        <f>Tb_data[[#This Row],[Employees Growth]]/Tb_data[[#This Row],[previous_workers]]</f>
        <v>1.1666666666666667</v>
      </c>
    </row>
    <row r="2403" spans="1:13" x14ac:dyDescent="0.25">
      <c r="A2403" s="1" t="s">
        <v>1754</v>
      </c>
      <c r="B2403" s="1" t="s">
        <v>1755</v>
      </c>
      <c r="C2403" s="1">
        <v>4500000</v>
      </c>
      <c r="D2403" s="1" t="s">
        <v>254</v>
      </c>
      <c r="E2403">
        <v>518.02850000000001</v>
      </c>
      <c r="F2403" s="1" t="s">
        <v>42</v>
      </c>
      <c r="G2403">
        <v>50</v>
      </c>
      <c r="H2403">
        <v>15</v>
      </c>
      <c r="I2403" s="1" t="s">
        <v>26</v>
      </c>
      <c r="J2403">
        <v>1</v>
      </c>
      <c r="K2403" t="str">
        <f>IF(Tb_data[[#This Row],[previous_workers]]&lt;Tb_data[[#This Row],[workers]],"yes","no")</f>
        <v>yes</v>
      </c>
      <c r="L2403">
        <f>Tb_data[[#This Row],[workers]]-Tb_data[[#This Row],[previous_workers]]</f>
        <v>35</v>
      </c>
      <c r="M2403" s="12">
        <f>Tb_data[[#This Row],[Employees Growth]]/Tb_data[[#This Row],[previous_workers]]</f>
        <v>2.3333333333333335</v>
      </c>
    </row>
    <row r="2404" spans="1:13" x14ac:dyDescent="0.25">
      <c r="A2404" s="1" t="s">
        <v>1011</v>
      </c>
      <c r="B2404" s="1" t="s">
        <v>1012</v>
      </c>
      <c r="C2404" s="1">
        <v>29800000</v>
      </c>
      <c r="D2404" s="1" t="s">
        <v>254</v>
      </c>
      <c r="E2404">
        <v>987.19370000000004</v>
      </c>
      <c r="F2404" s="1" t="s">
        <v>310</v>
      </c>
      <c r="G2404">
        <v>295</v>
      </c>
      <c r="H2404">
        <v>52</v>
      </c>
      <c r="I2404" s="1" t="s">
        <v>26</v>
      </c>
      <c r="J2404">
        <v>1</v>
      </c>
      <c r="K2404" t="str">
        <f>IF(Tb_data[[#This Row],[previous_workers]]&lt;Tb_data[[#This Row],[workers]],"yes","no")</f>
        <v>yes</v>
      </c>
      <c r="L2404">
        <f>Tb_data[[#This Row],[workers]]-Tb_data[[#This Row],[previous_workers]]</f>
        <v>243</v>
      </c>
      <c r="M2404" s="12">
        <f>Tb_data[[#This Row],[Employees Growth]]/Tb_data[[#This Row],[previous_workers]]</f>
        <v>4.6730769230769234</v>
      </c>
    </row>
    <row r="2405" spans="1:13" x14ac:dyDescent="0.25">
      <c r="A2405" s="1" t="s">
        <v>5975</v>
      </c>
      <c r="B2405" s="1" t="s">
        <v>5976</v>
      </c>
      <c r="C2405" s="1">
        <v>10600000</v>
      </c>
      <c r="D2405" s="1" t="s">
        <v>11</v>
      </c>
      <c r="E2405">
        <v>127.1078</v>
      </c>
      <c r="F2405" s="1" t="s">
        <v>100</v>
      </c>
      <c r="G2405">
        <v>50</v>
      </c>
      <c r="H2405">
        <v>25</v>
      </c>
      <c r="I2405" s="1" t="s">
        <v>55</v>
      </c>
      <c r="J2405">
        <v>1</v>
      </c>
      <c r="K2405" t="str">
        <f>IF(Tb_data[[#This Row],[previous_workers]]&lt;Tb_data[[#This Row],[workers]],"yes","no")</f>
        <v>yes</v>
      </c>
      <c r="L2405">
        <f>Tb_data[[#This Row],[workers]]-Tb_data[[#This Row],[previous_workers]]</f>
        <v>25</v>
      </c>
      <c r="M2405" s="12">
        <f>Tb_data[[#This Row],[Employees Growth]]/Tb_data[[#This Row],[previous_workers]]</f>
        <v>1</v>
      </c>
    </row>
    <row r="2406" spans="1:13" x14ac:dyDescent="0.25">
      <c r="A2406" s="1" t="s">
        <v>2637</v>
      </c>
      <c r="B2406" s="1" t="s">
        <v>2638</v>
      </c>
      <c r="C2406" s="1">
        <v>5300000</v>
      </c>
      <c r="D2406" s="1" t="s">
        <v>1557</v>
      </c>
      <c r="E2406">
        <v>328.31310000000002</v>
      </c>
      <c r="F2406" s="1" t="s">
        <v>100</v>
      </c>
      <c r="G2406">
        <v>36</v>
      </c>
      <c r="H2406">
        <v>12</v>
      </c>
      <c r="I2406" s="1" t="s">
        <v>1411</v>
      </c>
      <c r="J2406">
        <v>1</v>
      </c>
      <c r="K2406" t="str">
        <f>IF(Tb_data[[#This Row],[previous_workers]]&lt;Tb_data[[#This Row],[workers]],"yes","no")</f>
        <v>yes</v>
      </c>
      <c r="L2406">
        <f>Tb_data[[#This Row],[workers]]-Tb_data[[#This Row],[previous_workers]]</f>
        <v>24</v>
      </c>
      <c r="M2406" s="12">
        <f>Tb_data[[#This Row],[Employees Growth]]/Tb_data[[#This Row],[previous_workers]]</f>
        <v>2</v>
      </c>
    </row>
    <row r="2407" spans="1:13" x14ac:dyDescent="0.25">
      <c r="A2407" s="1" t="s">
        <v>2294</v>
      </c>
      <c r="B2407" s="1" t="s">
        <v>2295</v>
      </c>
      <c r="C2407" s="1">
        <v>3200000</v>
      </c>
      <c r="D2407" s="1" t="s">
        <v>29</v>
      </c>
      <c r="E2407">
        <v>385.0933</v>
      </c>
      <c r="F2407" s="1" t="s">
        <v>34</v>
      </c>
      <c r="G2407">
        <v>35</v>
      </c>
      <c r="H2407">
        <v>8</v>
      </c>
      <c r="I2407" s="1" t="s">
        <v>130</v>
      </c>
      <c r="J2407">
        <v>1</v>
      </c>
      <c r="K2407" t="str">
        <f>IF(Tb_data[[#This Row],[previous_workers]]&lt;Tb_data[[#This Row],[workers]],"yes","no")</f>
        <v>yes</v>
      </c>
      <c r="L2407">
        <f>Tb_data[[#This Row],[workers]]-Tb_data[[#This Row],[previous_workers]]</f>
        <v>27</v>
      </c>
      <c r="M2407" s="12">
        <f>Tb_data[[#This Row],[Employees Growth]]/Tb_data[[#This Row],[previous_workers]]</f>
        <v>3.375</v>
      </c>
    </row>
    <row r="2408" spans="1:13" x14ac:dyDescent="0.25">
      <c r="A2408" s="1" t="s">
        <v>9267</v>
      </c>
      <c r="B2408" s="1" t="s">
        <v>9268</v>
      </c>
      <c r="C2408" s="1">
        <v>41600000</v>
      </c>
      <c r="D2408" s="1" t="s">
        <v>20</v>
      </c>
      <c r="E2408">
        <v>63.198</v>
      </c>
      <c r="F2408" s="1" t="s">
        <v>124</v>
      </c>
      <c r="G2408">
        <v>100</v>
      </c>
      <c r="H2408">
        <v>80</v>
      </c>
      <c r="I2408" s="1" t="s">
        <v>2611</v>
      </c>
      <c r="J2408">
        <v>6</v>
      </c>
      <c r="K2408" t="str">
        <f>IF(Tb_data[[#This Row],[previous_workers]]&lt;Tb_data[[#This Row],[workers]],"yes","no")</f>
        <v>yes</v>
      </c>
      <c r="L2408">
        <f>Tb_data[[#This Row],[workers]]-Tb_data[[#This Row],[previous_workers]]</f>
        <v>20</v>
      </c>
      <c r="M2408" s="12">
        <f>Tb_data[[#This Row],[Employees Growth]]/Tb_data[[#This Row],[previous_workers]]</f>
        <v>0.25</v>
      </c>
    </row>
    <row r="2409" spans="1:13" x14ac:dyDescent="0.25">
      <c r="A2409" s="1" t="s">
        <v>9834</v>
      </c>
      <c r="B2409" s="1" t="s">
        <v>9835</v>
      </c>
      <c r="C2409" s="1">
        <v>199800000</v>
      </c>
      <c r="D2409" s="1" t="s">
        <v>58</v>
      </c>
      <c r="E2409">
        <v>56.241900000000001</v>
      </c>
      <c r="F2409" s="1" t="s">
        <v>100</v>
      </c>
      <c r="G2409">
        <v>765</v>
      </c>
      <c r="H2409">
        <v>522</v>
      </c>
      <c r="I2409" s="1" t="s">
        <v>4062</v>
      </c>
      <c r="J2409">
        <v>6</v>
      </c>
      <c r="K2409" t="str">
        <f>IF(Tb_data[[#This Row],[previous_workers]]&lt;Tb_data[[#This Row],[workers]],"yes","no")</f>
        <v>yes</v>
      </c>
      <c r="L2409">
        <f>Tb_data[[#This Row],[workers]]-Tb_data[[#This Row],[previous_workers]]</f>
        <v>243</v>
      </c>
      <c r="M2409" s="12">
        <f>Tb_data[[#This Row],[Employees Growth]]/Tb_data[[#This Row],[previous_workers]]</f>
        <v>0.46551724137931033</v>
      </c>
    </row>
    <row r="2410" spans="1:13" x14ac:dyDescent="0.25">
      <c r="A2410" s="1" t="s">
        <v>1756</v>
      </c>
      <c r="B2410" s="1" t="s">
        <v>1757</v>
      </c>
      <c r="C2410" s="1">
        <v>3700000</v>
      </c>
      <c r="D2410" s="1" t="s">
        <v>61</v>
      </c>
      <c r="E2410">
        <v>517.30349999999999</v>
      </c>
      <c r="F2410" s="1" t="s">
        <v>310</v>
      </c>
      <c r="G2410">
        <v>150</v>
      </c>
      <c r="H2410">
        <v>30</v>
      </c>
      <c r="I2410" s="1" t="s">
        <v>55</v>
      </c>
      <c r="J2410">
        <v>2</v>
      </c>
      <c r="K2410" t="str">
        <f>IF(Tb_data[[#This Row],[previous_workers]]&lt;Tb_data[[#This Row],[workers]],"yes","no")</f>
        <v>yes</v>
      </c>
      <c r="L2410">
        <f>Tb_data[[#This Row],[workers]]-Tb_data[[#This Row],[previous_workers]]</f>
        <v>120</v>
      </c>
      <c r="M2410" s="12">
        <f>Tb_data[[#This Row],[Employees Growth]]/Tb_data[[#This Row],[previous_workers]]</f>
        <v>4</v>
      </c>
    </row>
    <row r="2411" spans="1:13" x14ac:dyDescent="0.25">
      <c r="A2411" s="1" t="s">
        <v>3353</v>
      </c>
      <c r="B2411" s="1" t="s">
        <v>3354</v>
      </c>
      <c r="C2411" s="1">
        <v>3200000</v>
      </c>
      <c r="D2411" s="1" t="s">
        <v>20</v>
      </c>
      <c r="E2411">
        <v>255.2655</v>
      </c>
      <c r="F2411" s="1" t="s">
        <v>30</v>
      </c>
      <c r="G2411">
        <v>13</v>
      </c>
      <c r="H2411">
        <v>4</v>
      </c>
      <c r="I2411" s="1" t="s">
        <v>55</v>
      </c>
      <c r="J2411">
        <v>2</v>
      </c>
      <c r="K2411" t="str">
        <f>IF(Tb_data[[#This Row],[previous_workers]]&lt;Tb_data[[#This Row],[workers]],"yes","no")</f>
        <v>yes</v>
      </c>
      <c r="L2411">
        <f>Tb_data[[#This Row],[workers]]-Tb_data[[#This Row],[previous_workers]]</f>
        <v>9</v>
      </c>
      <c r="M2411" s="12">
        <f>Tb_data[[#This Row],[Employees Growth]]/Tb_data[[#This Row],[previous_workers]]</f>
        <v>2.25</v>
      </c>
    </row>
    <row r="2412" spans="1:13" x14ac:dyDescent="0.25">
      <c r="A2412" s="1" t="s">
        <v>7991</v>
      </c>
      <c r="B2412" s="1" t="s">
        <v>7992</v>
      </c>
      <c r="C2412" s="1">
        <v>3600000</v>
      </c>
      <c r="D2412" s="1" t="s">
        <v>58</v>
      </c>
      <c r="E2412">
        <v>82.849400000000003</v>
      </c>
      <c r="F2412" s="1" t="s">
        <v>12</v>
      </c>
      <c r="G2412">
        <v>29</v>
      </c>
      <c r="H2412">
        <v>22</v>
      </c>
      <c r="I2412" s="1" t="s">
        <v>117</v>
      </c>
      <c r="J2412">
        <v>1</v>
      </c>
      <c r="K2412" t="str">
        <f>IF(Tb_data[[#This Row],[previous_workers]]&lt;Tb_data[[#This Row],[workers]],"yes","no")</f>
        <v>yes</v>
      </c>
      <c r="L2412">
        <f>Tb_data[[#This Row],[workers]]-Tb_data[[#This Row],[previous_workers]]</f>
        <v>7</v>
      </c>
      <c r="M2412" s="12">
        <f>Tb_data[[#This Row],[Employees Growth]]/Tb_data[[#This Row],[previous_workers]]</f>
        <v>0.31818181818181818</v>
      </c>
    </row>
    <row r="2413" spans="1:13" x14ac:dyDescent="0.25">
      <c r="A2413" s="1" t="s">
        <v>75</v>
      </c>
      <c r="B2413" s="1" t="s">
        <v>76</v>
      </c>
      <c r="C2413" s="1">
        <v>9600000</v>
      </c>
      <c r="D2413" s="1" t="s">
        <v>49</v>
      </c>
      <c r="E2413">
        <v>8543.9807999999994</v>
      </c>
      <c r="F2413" s="1" t="s">
        <v>25</v>
      </c>
      <c r="G2413">
        <v>35</v>
      </c>
      <c r="H2413">
        <v>2</v>
      </c>
      <c r="I2413" s="1" t="s">
        <v>13</v>
      </c>
      <c r="J2413">
        <v>1</v>
      </c>
      <c r="K2413" t="str">
        <f>IF(Tb_data[[#This Row],[previous_workers]]&lt;Tb_data[[#This Row],[workers]],"yes","no")</f>
        <v>yes</v>
      </c>
      <c r="L2413">
        <f>Tb_data[[#This Row],[workers]]-Tb_data[[#This Row],[previous_workers]]</f>
        <v>33</v>
      </c>
      <c r="M2413" s="12">
        <f>Tb_data[[#This Row],[Employees Growth]]/Tb_data[[#This Row],[previous_workers]]</f>
        <v>16.5</v>
      </c>
    </row>
    <row r="2414" spans="1:13" x14ac:dyDescent="0.25">
      <c r="A2414" s="1" t="s">
        <v>404</v>
      </c>
      <c r="B2414" s="1" t="s">
        <v>405</v>
      </c>
      <c r="C2414" s="1">
        <v>13300000</v>
      </c>
      <c r="D2414" s="1" t="s">
        <v>20</v>
      </c>
      <c r="E2414">
        <v>2358.2483000000002</v>
      </c>
      <c r="F2414" s="1" t="s">
        <v>94</v>
      </c>
      <c r="G2414">
        <v>8</v>
      </c>
      <c r="H2414">
        <v>2</v>
      </c>
      <c r="I2414" s="1" t="s">
        <v>13</v>
      </c>
      <c r="J2414">
        <v>1</v>
      </c>
      <c r="K2414" t="str">
        <f>IF(Tb_data[[#This Row],[previous_workers]]&lt;Tb_data[[#This Row],[workers]],"yes","no")</f>
        <v>yes</v>
      </c>
      <c r="L2414">
        <f>Tb_data[[#This Row],[workers]]-Tb_data[[#This Row],[previous_workers]]</f>
        <v>6</v>
      </c>
      <c r="M2414" s="12">
        <f>Tb_data[[#This Row],[Employees Growth]]/Tb_data[[#This Row],[previous_workers]]</f>
        <v>3</v>
      </c>
    </row>
    <row r="2415" spans="1:13" x14ac:dyDescent="0.25">
      <c r="A2415" s="1" t="s">
        <v>9193</v>
      </c>
      <c r="B2415" s="1" t="s">
        <v>9194</v>
      </c>
      <c r="C2415" s="1">
        <v>14900000</v>
      </c>
      <c r="D2415" s="1" t="s">
        <v>29</v>
      </c>
      <c r="E2415">
        <v>64.1511</v>
      </c>
      <c r="F2415" s="1" t="s">
        <v>152</v>
      </c>
      <c r="G2415">
        <v>76</v>
      </c>
      <c r="H2415">
        <v>47</v>
      </c>
      <c r="I2415" s="1" t="s">
        <v>1356</v>
      </c>
      <c r="J2415">
        <v>5</v>
      </c>
      <c r="K2415" t="str">
        <f>IF(Tb_data[[#This Row],[previous_workers]]&lt;Tb_data[[#This Row],[workers]],"yes","no")</f>
        <v>yes</v>
      </c>
      <c r="L2415">
        <f>Tb_data[[#This Row],[workers]]-Tb_data[[#This Row],[previous_workers]]</f>
        <v>29</v>
      </c>
      <c r="M2415" s="12">
        <f>Tb_data[[#This Row],[Employees Growth]]/Tb_data[[#This Row],[previous_workers]]</f>
        <v>0.61702127659574468</v>
      </c>
    </row>
    <row r="2416" spans="1:13" x14ac:dyDescent="0.25">
      <c r="A2416" s="1" t="s">
        <v>6469</v>
      </c>
      <c r="B2416" s="1" t="s">
        <v>6470</v>
      </c>
      <c r="C2416" s="1">
        <v>18200000</v>
      </c>
      <c r="D2416" s="1" t="s">
        <v>45</v>
      </c>
      <c r="E2416">
        <v>114.8201</v>
      </c>
      <c r="F2416" s="1" t="s">
        <v>82</v>
      </c>
      <c r="G2416">
        <v>58</v>
      </c>
      <c r="H2416">
        <v>49</v>
      </c>
      <c r="I2416" s="1" t="s">
        <v>35</v>
      </c>
      <c r="J2416">
        <v>6</v>
      </c>
      <c r="K2416" t="str">
        <f>IF(Tb_data[[#This Row],[previous_workers]]&lt;Tb_data[[#This Row],[workers]],"yes","no")</f>
        <v>yes</v>
      </c>
      <c r="L2416">
        <f>Tb_data[[#This Row],[workers]]-Tb_data[[#This Row],[previous_workers]]</f>
        <v>9</v>
      </c>
      <c r="M2416" s="12">
        <f>Tb_data[[#This Row],[Employees Growth]]/Tb_data[[#This Row],[previous_workers]]</f>
        <v>0.18367346938775511</v>
      </c>
    </row>
    <row r="2417" spans="1:13" x14ac:dyDescent="0.25">
      <c r="A2417" s="1" t="s">
        <v>7419</v>
      </c>
      <c r="B2417" s="1" t="s">
        <v>7420</v>
      </c>
      <c r="C2417" s="1">
        <v>65100000</v>
      </c>
      <c r="D2417" s="1" t="s">
        <v>45</v>
      </c>
      <c r="E2417">
        <v>94.9131</v>
      </c>
      <c r="F2417" s="1" t="s">
        <v>17</v>
      </c>
      <c r="G2417">
        <v>85</v>
      </c>
      <c r="H2417">
        <v>35</v>
      </c>
      <c r="I2417" s="1" t="s">
        <v>3843</v>
      </c>
      <c r="J2417">
        <v>6</v>
      </c>
      <c r="K2417" t="str">
        <f>IF(Tb_data[[#This Row],[previous_workers]]&lt;Tb_data[[#This Row],[workers]],"yes","no")</f>
        <v>yes</v>
      </c>
      <c r="L2417">
        <f>Tb_data[[#This Row],[workers]]-Tb_data[[#This Row],[previous_workers]]</f>
        <v>50</v>
      </c>
      <c r="M2417" s="12">
        <f>Tb_data[[#This Row],[Employees Growth]]/Tb_data[[#This Row],[previous_workers]]</f>
        <v>1.4285714285714286</v>
      </c>
    </row>
    <row r="2418" spans="1:13" x14ac:dyDescent="0.25">
      <c r="A2418" s="1" t="s">
        <v>3327</v>
      </c>
      <c r="B2418" s="1" t="s">
        <v>3328</v>
      </c>
      <c r="C2418" s="1">
        <v>5600000</v>
      </c>
      <c r="D2418" s="1" t="s">
        <v>115</v>
      </c>
      <c r="E2418">
        <v>256.8528</v>
      </c>
      <c r="F2418" s="1" t="s">
        <v>86</v>
      </c>
      <c r="G2418">
        <v>40</v>
      </c>
      <c r="H2418">
        <v>15</v>
      </c>
      <c r="I2418" s="1" t="s">
        <v>55</v>
      </c>
      <c r="J2418">
        <v>1</v>
      </c>
      <c r="K2418" t="str">
        <f>IF(Tb_data[[#This Row],[previous_workers]]&lt;Tb_data[[#This Row],[workers]],"yes","no")</f>
        <v>yes</v>
      </c>
      <c r="L2418">
        <f>Tb_data[[#This Row],[workers]]-Tb_data[[#This Row],[previous_workers]]</f>
        <v>25</v>
      </c>
      <c r="M2418" s="12">
        <f>Tb_data[[#This Row],[Employees Growth]]/Tb_data[[#This Row],[previous_workers]]</f>
        <v>1.6666666666666667</v>
      </c>
    </row>
    <row r="2419" spans="1:13" x14ac:dyDescent="0.25">
      <c r="A2419" s="1" t="s">
        <v>1260</v>
      </c>
      <c r="B2419" s="1" t="s">
        <v>1261</v>
      </c>
      <c r="C2419" s="1">
        <v>10000000</v>
      </c>
      <c r="D2419" s="1" t="s">
        <v>895</v>
      </c>
      <c r="E2419">
        <v>763.69050000000004</v>
      </c>
      <c r="F2419" s="1" t="s">
        <v>62</v>
      </c>
      <c r="G2419">
        <v>23</v>
      </c>
      <c r="H2419">
        <v>5</v>
      </c>
      <c r="I2419" s="1" t="s">
        <v>46</v>
      </c>
      <c r="J2419">
        <v>2</v>
      </c>
      <c r="K2419" t="str">
        <f>IF(Tb_data[[#This Row],[previous_workers]]&lt;Tb_data[[#This Row],[workers]],"yes","no")</f>
        <v>yes</v>
      </c>
      <c r="L2419">
        <f>Tb_data[[#This Row],[workers]]-Tb_data[[#This Row],[previous_workers]]</f>
        <v>18</v>
      </c>
      <c r="M2419" s="12">
        <f>Tb_data[[#This Row],[Employees Growth]]/Tb_data[[#This Row],[previous_workers]]</f>
        <v>3.6</v>
      </c>
    </row>
    <row r="2420" spans="1:13" x14ac:dyDescent="0.25">
      <c r="A2420" s="1" t="s">
        <v>346</v>
      </c>
      <c r="B2420" s="1" t="s">
        <v>347</v>
      </c>
      <c r="C2420" s="1">
        <v>4000000</v>
      </c>
      <c r="D2420" s="1" t="s">
        <v>29</v>
      </c>
      <c r="E2420">
        <v>2668.0059000000001</v>
      </c>
      <c r="F2420" s="1" t="s">
        <v>86</v>
      </c>
      <c r="G2420">
        <v>21</v>
      </c>
      <c r="H2420">
        <v>5</v>
      </c>
      <c r="I2420" s="1" t="s">
        <v>13</v>
      </c>
      <c r="J2420">
        <v>1</v>
      </c>
      <c r="K2420" t="str">
        <f>IF(Tb_data[[#This Row],[previous_workers]]&lt;Tb_data[[#This Row],[workers]],"yes","no")</f>
        <v>yes</v>
      </c>
      <c r="L2420">
        <f>Tb_data[[#This Row],[workers]]-Tb_data[[#This Row],[previous_workers]]</f>
        <v>16</v>
      </c>
      <c r="M2420" s="12">
        <f>Tb_data[[#This Row],[Employees Growth]]/Tb_data[[#This Row],[previous_workers]]</f>
        <v>3.2</v>
      </c>
    </row>
    <row r="2421" spans="1:13" x14ac:dyDescent="0.25">
      <c r="A2421" s="1" t="s">
        <v>1596</v>
      </c>
      <c r="B2421" s="1" t="s">
        <v>1597</v>
      </c>
      <c r="C2421" s="1">
        <v>6100000</v>
      </c>
      <c r="D2421" s="1" t="s">
        <v>155</v>
      </c>
      <c r="E2421">
        <v>586.68629999999996</v>
      </c>
      <c r="F2421" s="1" t="s">
        <v>86</v>
      </c>
      <c r="G2421">
        <v>58</v>
      </c>
      <c r="H2421">
        <v>11</v>
      </c>
      <c r="I2421" s="1" t="s">
        <v>164</v>
      </c>
      <c r="J2421">
        <v>2</v>
      </c>
      <c r="K2421" t="str">
        <f>IF(Tb_data[[#This Row],[previous_workers]]&lt;Tb_data[[#This Row],[workers]],"yes","no")</f>
        <v>yes</v>
      </c>
      <c r="L2421">
        <f>Tb_data[[#This Row],[workers]]-Tb_data[[#This Row],[previous_workers]]</f>
        <v>47</v>
      </c>
      <c r="M2421" s="12">
        <f>Tb_data[[#This Row],[Employees Growth]]/Tb_data[[#This Row],[previous_workers]]</f>
        <v>4.2727272727272725</v>
      </c>
    </row>
    <row r="2422" spans="1:13" x14ac:dyDescent="0.25">
      <c r="A2422" s="1" t="s">
        <v>934</v>
      </c>
      <c r="B2422" s="1" t="s">
        <v>935</v>
      </c>
      <c r="C2422" s="1">
        <v>2800000</v>
      </c>
      <c r="D2422" s="1" t="s">
        <v>61</v>
      </c>
      <c r="E2422">
        <v>1093.325</v>
      </c>
      <c r="F2422" s="1" t="s">
        <v>152</v>
      </c>
      <c r="G2422">
        <v>35</v>
      </c>
      <c r="H2422">
        <v>3</v>
      </c>
      <c r="I2422" s="1" t="s">
        <v>130</v>
      </c>
      <c r="J2422">
        <v>2</v>
      </c>
      <c r="K2422" t="str">
        <f>IF(Tb_data[[#This Row],[previous_workers]]&lt;Tb_data[[#This Row],[workers]],"yes","no")</f>
        <v>yes</v>
      </c>
      <c r="L2422">
        <f>Tb_data[[#This Row],[workers]]-Tb_data[[#This Row],[previous_workers]]</f>
        <v>32</v>
      </c>
      <c r="M2422" s="12">
        <f>Tb_data[[#This Row],[Employees Growth]]/Tb_data[[#This Row],[previous_workers]]</f>
        <v>10.666666666666666</v>
      </c>
    </row>
    <row r="2423" spans="1:13" x14ac:dyDescent="0.25">
      <c r="A2423" s="1" t="s">
        <v>5600</v>
      </c>
      <c r="B2423" s="1" t="s">
        <v>5601</v>
      </c>
      <c r="C2423" s="1">
        <v>3600000</v>
      </c>
      <c r="D2423" s="1" t="s">
        <v>29</v>
      </c>
      <c r="E2423">
        <v>138.3366</v>
      </c>
      <c r="F2423" s="1" t="s">
        <v>124</v>
      </c>
      <c r="G2423">
        <v>14</v>
      </c>
      <c r="H2423">
        <v>5</v>
      </c>
      <c r="I2423" s="1" t="s">
        <v>26</v>
      </c>
      <c r="J2423">
        <v>2</v>
      </c>
      <c r="K2423" t="str">
        <f>IF(Tb_data[[#This Row],[previous_workers]]&lt;Tb_data[[#This Row],[workers]],"yes","no")</f>
        <v>yes</v>
      </c>
      <c r="L2423">
        <f>Tb_data[[#This Row],[workers]]-Tb_data[[#This Row],[previous_workers]]</f>
        <v>9</v>
      </c>
      <c r="M2423" s="12">
        <f>Tb_data[[#This Row],[Employees Growth]]/Tb_data[[#This Row],[previous_workers]]</f>
        <v>1.8</v>
      </c>
    </row>
    <row r="2424" spans="1:13" x14ac:dyDescent="0.25">
      <c r="A2424" s="1" t="s">
        <v>3793</v>
      </c>
      <c r="B2424" s="1" t="s">
        <v>3794</v>
      </c>
      <c r="C2424" s="1">
        <v>296300000</v>
      </c>
      <c r="D2424" s="1" t="s">
        <v>41</v>
      </c>
      <c r="E2424">
        <v>222.20679999999999</v>
      </c>
      <c r="F2424" s="1" t="s">
        <v>156</v>
      </c>
      <c r="G2424">
        <v>1174</v>
      </c>
      <c r="H2424">
        <v>287</v>
      </c>
      <c r="I2424" s="1" t="s">
        <v>295</v>
      </c>
      <c r="J2424">
        <v>8</v>
      </c>
      <c r="K2424" t="str">
        <f>IF(Tb_data[[#This Row],[previous_workers]]&lt;Tb_data[[#This Row],[workers]],"yes","no")</f>
        <v>yes</v>
      </c>
      <c r="L2424">
        <f>Tb_data[[#This Row],[workers]]-Tb_data[[#This Row],[previous_workers]]</f>
        <v>887</v>
      </c>
      <c r="M2424" s="12">
        <f>Tb_data[[#This Row],[Employees Growth]]/Tb_data[[#This Row],[previous_workers]]</f>
        <v>3.0905923344947737</v>
      </c>
    </row>
    <row r="2425" spans="1:13" x14ac:dyDescent="0.25">
      <c r="A2425" s="1" t="s">
        <v>5592</v>
      </c>
      <c r="B2425" s="1" t="s">
        <v>5593</v>
      </c>
      <c r="C2425" s="1">
        <v>4700000</v>
      </c>
      <c r="D2425" s="1" t="s">
        <v>254</v>
      </c>
      <c r="E2425">
        <v>138.63550000000001</v>
      </c>
      <c r="F2425" s="1" t="s">
        <v>62</v>
      </c>
      <c r="G2425">
        <v>32</v>
      </c>
      <c r="H2425">
        <v>12</v>
      </c>
      <c r="I2425" s="1" t="s">
        <v>229</v>
      </c>
      <c r="J2425">
        <v>3</v>
      </c>
      <c r="K2425" t="str">
        <f>IF(Tb_data[[#This Row],[previous_workers]]&lt;Tb_data[[#This Row],[workers]],"yes","no")</f>
        <v>yes</v>
      </c>
      <c r="L2425">
        <f>Tb_data[[#This Row],[workers]]-Tb_data[[#This Row],[previous_workers]]</f>
        <v>20</v>
      </c>
      <c r="M2425" s="12">
        <f>Tb_data[[#This Row],[Employees Growth]]/Tb_data[[#This Row],[previous_workers]]</f>
        <v>1.6666666666666667</v>
      </c>
    </row>
    <row r="2426" spans="1:13" x14ac:dyDescent="0.25">
      <c r="A2426" s="1" t="s">
        <v>9387</v>
      </c>
      <c r="B2426" s="1" t="s">
        <v>9388</v>
      </c>
      <c r="C2426" s="1">
        <v>4500000</v>
      </c>
      <c r="D2426" s="1" t="s">
        <v>20</v>
      </c>
      <c r="E2426">
        <v>61.603700000000003</v>
      </c>
      <c r="F2426" s="1" t="s">
        <v>176</v>
      </c>
      <c r="G2426">
        <v>17</v>
      </c>
      <c r="H2426">
        <v>18</v>
      </c>
      <c r="I2426" s="1" t="s">
        <v>35</v>
      </c>
      <c r="J2426">
        <v>1</v>
      </c>
      <c r="K2426" t="str">
        <f>IF(Tb_data[[#This Row],[previous_workers]]&lt;Tb_data[[#This Row],[workers]],"yes","no")</f>
        <v>no</v>
      </c>
      <c r="L2426">
        <f>Tb_data[[#This Row],[workers]]-Tb_data[[#This Row],[previous_workers]]</f>
        <v>-1</v>
      </c>
      <c r="M2426" s="12">
        <f>Tb_data[[#This Row],[Employees Growth]]/Tb_data[[#This Row],[previous_workers]]</f>
        <v>-5.5555555555555552E-2</v>
      </c>
    </row>
    <row r="2427" spans="1:13" x14ac:dyDescent="0.25">
      <c r="A2427" s="1" t="s">
        <v>2374</v>
      </c>
      <c r="B2427" s="1" t="s">
        <v>4079</v>
      </c>
      <c r="C2427" s="1">
        <v>5100000</v>
      </c>
      <c r="D2427" s="1" t="s">
        <v>45</v>
      </c>
      <c r="E2427">
        <v>202.88939999999999</v>
      </c>
      <c r="F2427" s="1" t="s">
        <v>124</v>
      </c>
      <c r="G2427">
        <v>17</v>
      </c>
      <c r="H2427">
        <v>7</v>
      </c>
      <c r="I2427" s="1" t="s">
        <v>35</v>
      </c>
      <c r="J2427">
        <v>1</v>
      </c>
      <c r="K2427" t="str">
        <f>IF(Tb_data[[#This Row],[previous_workers]]&lt;Tb_data[[#This Row],[workers]],"yes","no")</f>
        <v>yes</v>
      </c>
      <c r="L2427">
        <f>Tb_data[[#This Row],[workers]]-Tb_data[[#This Row],[previous_workers]]</f>
        <v>10</v>
      </c>
      <c r="M2427" s="12">
        <f>Tb_data[[#This Row],[Employees Growth]]/Tb_data[[#This Row],[previous_workers]]</f>
        <v>1.4285714285714286</v>
      </c>
    </row>
    <row r="2428" spans="1:13" x14ac:dyDescent="0.25">
      <c r="A2428" s="1" t="s">
        <v>3575</v>
      </c>
      <c r="B2428" s="1" t="s">
        <v>3576</v>
      </c>
      <c r="C2428" s="1">
        <v>19100000</v>
      </c>
      <c r="D2428" s="1" t="s">
        <v>91</v>
      </c>
      <c r="E2428">
        <v>236.2594</v>
      </c>
      <c r="F2428" s="1" t="s">
        <v>25</v>
      </c>
      <c r="G2428">
        <v>33</v>
      </c>
      <c r="H2428">
        <v>11</v>
      </c>
      <c r="I2428" s="1" t="s">
        <v>194</v>
      </c>
      <c r="J2428">
        <v>4</v>
      </c>
      <c r="K2428" t="str">
        <f>IF(Tb_data[[#This Row],[previous_workers]]&lt;Tb_data[[#This Row],[workers]],"yes","no")</f>
        <v>yes</v>
      </c>
      <c r="L2428">
        <f>Tb_data[[#This Row],[workers]]-Tb_data[[#This Row],[previous_workers]]</f>
        <v>22</v>
      </c>
      <c r="M2428" s="12">
        <f>Tb_data[[#This Row],[Employees Growth]]/Tb_data[[#This Row],[previous_workers]]</f>
        <v>2</v>
      </c>
    </row>
    <row r="2429" spans="1:13" x14ac:dyDescent="0.25">
      <c r="A2429" s="1" t="s">
        <v>7931</v>
      </c>
      <c r="B2429" s="1" t="s">
        <v>7932</v>
      </c>
      <c r="C2429" s="1">
        <v>33000000</v>
      </c>
      <c r="D2429" s="1" t="s">
        <v>69</v>
      </c>
      <c r="E2429">
        <v>84.255899999999997</v>
      </c>
      <c r="F2429" s="1" t="s">
        <v>156</v>
      </c>
      <c r="G2429">
        <v>1002</v>
      </c>
      <c r="H2429">
        <v>602</v>
      </c>
      <c r="I2429" s="1" t="s">
        <v>35</v>
      </c>
      <c r="J2429">
        <v>6</v>
      </c>
      <c r="K2429" t="str">
        <f>IF(Tb_data[[#This Row],[previous_workers]]&lt;Tb_data[[#This Row],[workers]],"yes","no")</f>
        <v>yes</v>
      </c>
      <c r="L2429">
        <f>Tb_data[[#This Row],[workers]]-Tb_data[[#This Row],[previous_workers]]</f>
        <v>400</v>
      </c>
      <c r="M2429" s="12">
        <f>Tb_data[[#This Row],[Employees Growth]]/Tb_data[[#This Row],[previous_workers]]</f>
        <v>0.66445182724252494</v>
      </c>
    </row>
    <row r="2430" spans="1:13" x14ac:dyDescent="0.25">
      <c r="A2430" s="1" t="s">
        <v>1152</v>
      </c>
      <c r="B2430" s="1" t="s">
        <v>1153</v>
      </c>
      <c r="C2430" s="1">
        <v>6000000</v>
      </c>
      <c r="D2430" s="1" t="s">
        <v>61</v>
      </c>
      <c r="E2430">
        <v>829.62040000000002</v>
      </c>
      <c r="F2430" s="1" t="s">
        <v>12</v>
      </c>
      <c r="G2430">
        <v>149</v>
      </c>
      <c r="H2430">
        <v>28</v>
      </c>
      <c r="I2430" s="1" t="s">
        <v>55</v>
      </c>
      <c r="J2430">
        <v>1</v>
      </c>
      <c r="K2430" t="str">
        <f>IF(Tb_data[[#This Row],[previous_workers]]&lt;Tb_data[[#This Row],[workers]],"yes","no")</f>
        <v>yes</v>
      </c>
      <c r="L2430">
        <f>Tb_data[[#This Row],[workers]]-Tb_data[[#This Row],[previous_workers]]</f>
        <v>121</v>
      </c>
      <c r="M2430" s="12">
        <f>Tb_data[[#This Row],[Employees Growth]]/Tb_data[[#This Row],[previous_workers]]</f>
        <v>4.3214285714285712</v>
      </c>
    </row>
    <row r="2431" spans="1:13" x14ac:dyDescent="0.25">
      <c r="A2431" s="1" t="s">
        <v>6357</v>
      </c>
      <c r="B2431" s="1" t="s">
        <v>6358</v>
      </c>
      <c r="C2431" s="1">
        <v>8100000</v>
      </c>
      <c r="D2431" s="1" t="s">
        <v>33</v>
      </c>
      <c r="E2431">
        <v>117.2264</v>
      </c>
      <c r="F2431" s="1" t="s">
        <v>135</v>
      </c>
      <c r="G2431">
        <v>74</v>
      </c>
      <c r="H2431">
        <v>35</v>
      </c>
      <c r="I2431" s="1" t="s">
        <v>55</v>
      </c>
      <c r="J2431">
        <v>1</v>
      </c>
      <c r="K2431" t="str">
        <f>IF(Tb_data[[#This Row],[previous_workers]]&lt;Tb_data[[#This Row],[workers]],"yes","no")</f>
        <v>yes</v>
      </c>
      <c r="L2431">
        <f>Tb_data[[#This Row],[workers]]-Tb_data[[#This Row],[previous_workers]]</f>
        <v>39</v>
      </c>
      <c r="M2431" s="12">
        <f>Tb_data[[#This Row],[Employees Growth]]/Tb_data[[#This Row],[previous_workers]]</f>
        <v>1.1142857142857143</v>
      </c>
    </row>
    <row r="2432" spans="1:13" x14ac:dyDescent="0.25">
      <c r="A2432" s="1" t="s">
        <v>402</v>
      </c>
      <c r="B2432" s="1" t="s">
        <v>403</v>
      </c>
      <c r="C2432" s="1">
        <v>72300000</v>
      </c>
      <c r="D2432" s="1" t="s">
        <v>33</v>
      </c>
      <c r="E2432">
        <v>2370.3591000000001</v>
      </c>
      <c r="F2432" s="1" t="s">
        <v>152</v>
      </c>
      <c r="G2432">
        <v>650</v>
      </c>
      <c r="H2432">
        <v>200</v>
      </c>
      <c r="I2432" s="1" t="s">
        <v>117</v>
      </c>
      <c r="J2432">
        <v>4</v>
      </c>
      <c r="K2432" t="str">
        <f>IF(Tb_data[[#This Row],[previous_workers]]&lt;Tb_data[[#This Row],[workers]],"yes","no")</f>
        <v>yes</v>
      </c>
      <c r="L2432">
        <f>Tb_data[[#This Row],[workers]]-Tb_data[[#This Row],[previous_workers]]</f>
        <v>450</v>
      </c>
      <c r="M2432" s="12">
        <f>Tb_data[[#This Row],[Employees Growth]]/Tb_data[[#This Row],[previous_workers]]</f>
        <v>2.25</v>
      </c>
    </row>
    <row r="2433" spans="1:13" x14ac:dyDescent="0.25">
      <c r="A2433" s="1" t="s">
        <v>3813</v>
      </c>
      <c r="B2433" s="1" t="s">
        <v>3814</v>
      </c>
      <c r="C2433" s="1">
        <v>144300000</v>
      </c>
      <c r="D2433" s="1" t="s">
        <v>33</v>
      </c>
      <c r="E2433">
        <v>220.43100000000001</v>
      </c>
      <c r="F2433" s="1" t="s">
        <v>12</v>
      </c>
      <c r="G2433">
        <v>312</v>
      </c>
      <c r="H2433">
        <v>172</v>
      </c>
      <c r="I2433" s="1" t="s">
        <v>3426</v>
      </c>
      <c r="J2433">
        <v>9</v>
      </c>
      <c r="K2433" t="str">
        <f>IF(Tb_data[[#This Row],[previous_workers]]&lt;Tb_data[[#This Row],[workers]],"yes","no")</f>
        <v>yes</v>
      </c>
      <c r="L2433">
        <f>Tb_data[[#This Row],[workers]]-Tb_data[[#This Row],[previous_workers]]</f>
        <v>140</v>
      </c>
      <c r="M2433" s="12">
        <f>Tb_data[[#This Row],[Employees Growth]]/Tb_data[[#This Row],[previous_workers]]</f>
        <v>0.81395348837209303</v>
      </c>
    </row>
    <row r="2434" spans="1:13" x14ac:dyDescent="0.25">
      <c r="A2434" s="1" t="s">
        <v>7094</v>
      </c>
      <c r="B2434" s="1" t="s">
        <v>7095</v>
      </c>
      <c r="C2434" s="1">
        <v>7100000</v>
      </c>
      <c r="D2434" s="1" t="s">
        <v>49</v>
      </c>
      <c r="E2434">
        <v>100.42100000000001</v>
      </c>
      <c r="F2434" s="1" t="s">
        <v>97</v>
      </c>
      <c r="G2434">
        <v>15</v>
      </c>
      <c r="H2434">
        <v>10</v>
      </c>
      <c r="I2434" s="1" t="s">
        <v>1051</v>
      </c>
      <c r="J2434">
        <v>1</v>
      </c>
      <c r="K2434" t="str">
        <f>IF(Tb_data[[#This Row],[previous_workers]]&lt;Tb_data[[#This Row],[workers]],"yes","no")</f>
        <v>yes</v>
      </c>
      <c r="L2434">
        <f>Tb_data[[#This Row],[workers]]-Tb_data[[#This Row],[previous_workers]]</f>
        <v>5</v>
      </c>
      <c r="M2434" s="12">
        <f>Tb_data[[#This Row],[Employees Growth]]/Tb_data[[#This Row],[previous_workers]]</f>
        <v>0.5</v>
      </c>
    </row>
    <row r="2435" spans="1:13" x14ac:dyDescent="0.25">
      <c r="A2435" s="1" t="s">
        <v>745</v>
      </c>
      <c r="B2435" s="1" t="s">
        <v>746</v>
      </c>
      <c r="C2435" s="1">
        <v>27300000</v>
      </c>
      <c r="D2435" s="1" t="s">
        <v>20</v>
      </c>
      <c r="E2435">
        <v>1408.6405</v>
      </c>
      <c r="F2435" s="1" t="s">
        <v>86</v>
      </c>
      <c r="G2435">
        <v>101</v>
      </c>
      <c r="H2435">
        <v>13</v>
      </c>
      <c r="I2435" s="1" t="s">
        <v>55</v>
      </c>
      <c r="J2435">
        <v>2</v>
      </c>
      <c r="K2435" t="str">
        <f>IF(Tb_data[[#This Row],[previous_workers]]&lt;Tb_data[[#This Row],[workers]],"yes","no")</f>
        <v>yes</v>
      </c>
      <c r="L2435">
        <f>Tb_data[[#This Row],[workers]]-Tb_data[[#This Row],[previous_workers]]</f>
        <v>88</v>
      </c>
      <c r="M2435" s="12">
        <f>Tb_data[[#This Row],[Employees Growth]]/Tb_data[[#This Row],[previous_workers]]</f>
        <v>6.7692307692307692</v>
      </c>
    </row>
    <row r="2436" spans="1:13" x14ac:dyDescent="0.25">
      <c r="A2436" s="1" t="s">
        <v>5536</v>
      </c>
      <c r="B2436" s="1" t="s">
        <v>5537</v>
      </c>
      <c r="C2436" s="1">
        <v>1100000000</v>
      </c>
      <c r="D2436" s="1" t="s">
        <v>52</v>
      </c>
      <c r="E2436">
        <v>141.23689999999999</v>
      </c>
      <c r="F2436" s="1" t="s">
        <v>124</v>
      </c>
      <c r="G2436">
        <v>2397</v>
      </c>
      <c r="H2436">
        <v>958</v>
      </c>
      <c r="I2436" s="1" t="s">
        <v>164</v>
      </c>
      <c r="J2436">
        <v>2</v>
      </c>
      <c r="K2436" t="str">
        <f>IF(Tb_data[[#This Row],[previous_workers]]&lt;Tb_data[[#This Row],[workers]],"yes","no")</f>
        <v>yes</v>
      </c>
      <c r="L2436">
        <f>Tb_data[[#This Row],[workers]]-Tb_data[[#This Row],[previous_workers]]</f>
        <v>1439</v>
      </c>
      <c r="M2436" s="12">
        <f>Tb_data[[#This Row],[Employees Growth]]/Tb_data[[#This Row],[previous_workers]]</f>
        <v>1.5020876826722338</v>
      </c>
    </row>
    <row r="2437" spans="1:13" x14ac:dyDescent="0.25">
      <c r="A2437" s="1" t="s">
        <v>1783</v>
      </c>
      <c r="B2437" s="1" t="s">
        <v>1784</v>
      </c>
      <c r="C2437" s="1">
        <v>102200000</v>
      </c>
      <c r="D2437" s="1" t="s">
        <v>91</v>
      </c>
      <c r="E2437">
        <v>505.94499999999999</v>
      </c>
      <c r="F2437" s="1" t="s">
        <v>21</v>
      </c>
      <c r="G2437">
        <v>63</v>
      </c>
      <c r="H2437">
        <v>8</v>
      </c>
      <c r="I2437" s="1" t="s">
        <v>468</v>
      </c>
      <c r="J2437">
        <v>2</v>
      </c>
      <c r="K2437" t="str">
        <f>IF(Tb_data[[#This Row],[previous_workers]]&lt;Tb_data[[#This Row],[workers]],"yes","no")</f>
        <v>yes</v>
      </c>
      <c r="L2437">
        <f>Tb_data[[#This Row],[workers]]-Tb_data[[#This Row],[previous_workers]]</f>
        <v>55</v>
      </c>
      <c r="M2437" s="12">
        <f>Tb_data[[#This Row],[Employees Growth]]/Tb_data[[#This Row],[previous_workers]]</f>
        <v>6.875</v>
      </c>
    </row>
    <row r="2438" spans="1:13" x14ac:dyDescent="0.25">
      <c r="A2438" s="1" t="s">
        <v>456</v>
      </c>
      <c r="B2438" s="1" t="s">
        <v>457</v>
      </c>
      <c r="C2438" s="1">
        <v>8200000</v>
      </c>
      <c r="D2438" s="1" t="s">
        <v>49</v>
      </c>
      <c r="E2438">
        <v>2100.9602</v>
      </c>
      <c r="F2438" s="1" t="s">
        <v>21</v>
      </c>
      <c r="G2438">
        <v>15</v>
      </c>
      <c r="H2438">
        <v>1</v>
      </c>
      <c r="I2438" s="1" t="s">
        <v>55</v>
      </c>
      <c r="J2438">
        <v>1</v>
      </c>
      <c r="K2438" t="str">
        <f>IF(Tb_data[[#This Row],[previous_workers]]&lt;Tb_data[[#This Row],[workers]],"yes","no")</f>
        <v>yes</v>
      </c>
      <c r="L2438">
        <f>Tb_data[[#This Row],[workers]]-Tb_data[[#This Row],[previous_workers]]</f>
        <v>14</v>
      </c>
      <c r="M2438" s="12">
        <f>Tb_data[[#This Row],[Employees Growth]]/Tb_data[[#This Row],[previous_workers]]</f>
        <v>14</v>
      </c>
    </row>
    <row r="2439" spans="1:13" x14ac:dyDescent="0.25">
      <c r="A2439" s="1" t="s">
        <v>7915</v>
      </c>
      <c r="B2439" s="1" t="s">
        <v>7916</v>
      </c>
      <c r="C2439" s="1">
        <v>15900000</v>
      </c>
      <c r="D2439" s="1" t="s">
        <v>33</v>
      </c>
      <c r="E2439">
        <v>84.476500000000001</v>
      </c>
      <c r="F2439" s="1" t="s">
        <v>142</v>
      </c>
      <c r="G2439">
        <v>38</v>
      </c>
      <c r="H2439">
        <v>36</v>
      </c>
      <c r="I2439" s="1" t="s">
        <v>194</v>
      </c>
      <c r="J2439">
        <v>2</v>
      </c>
      <c r="K2439" t="str">
        <f>IF(Tb_data[[#This Row],[previous_workers]]&lt;Tb_data[[#This Row],[workers]],"yes","no")</f>
        <v>yes</v>
      </c>
      <c r="L2439">
        <f>Tb_data[[#This Row],[workers]]-Tb_data[[#This Row],[previous_workers]]</f>
        <v>2</v>
      </c>
      <c r="M2439" s="12">
        <f>Tb_data[[#This Row],[Employees Growth]]/Tb_data[[#This Row],[previous_workers]]</f>
        <v>5.5555555555555552E-2</v>
      </c>
    </row>
    <row r="2440" spans="1:13" x14ac:dyDescent="0.25">
      <c r="A2440" s="1" t="s">
        <v>3049</v>
      </c>
      <c r="B2440" s="1" t="s">
        <v>3050</v>
      </c>
      <c r="C2440" s="1">
        <v>4600000</v>
      </c>
      <c r="D2440" s="1" t="s">
        <v>129</v>
      </c>
      <c r="E2440">
        <v>282.67419999999998</v>
      </c>
      <c r="F2440" s="1" t="s">
        <v>62</v>
      </c>
      <c r="G2440">
        <v>12</v>
      </c>
      <c r="H2440">
        <v>3</v>
      </c>
      <c r="I2440" s="1" t="s">
        <v>130</v>
      </c>
      <c r="J2440">
        <v>2</v>
      </c>
      <c r="K2440" t="str">
        <f>IF(Tb_data[[#This Row],[previous_workers]]&lt;Tb_data[[#This Row],[workers]],"yes","no")</f>
        <v>yes</v>
      </c>
      <c r="L2440">
        <f>Tb_data[[#This Row],[workers]]-Tb_data[[#This Row],[previous_workers]]</f>
        <v>9</v>
      </c>
      <c r="M2440" s="12">
        <f>Tb_data[[#This Row],[Employees Growth]]/Tb_data[[#This Row],[previous_workers]]</f>
        <v>3</v>
      </c>
    </row>
    <row r="2441" spans="1:13" x14ac:dyDescent="0.25">
      <c r="A2441" s="1" t="s">
        <v>6095</v>
      </c>
      <c r="B2441" s="1" t="s">
        <v>6096</v>
      </c>
      <c r="C2441" s="1">
        <v>6300000</v>
      </c>
      <c r="D2441" s="1" t="s">
        <v>627</v>
      </c>
      <c r="E2441">
        <v>123.94929999999999</v>
      </c>
      <c r="F2441" s="1" t="s">
        <v>86</v>
      </c>
      <c r="G2441">
        <v>43</v>
      </c>
      <c r="H2441">
        <v>23</v>
      </c>
      <c r="I2441" s="1" t="s">
        <v>372</v>
      </c>
      <c r="J2441">
        <v>1</v>
      </c>
      <c r="K2441" t="str">
        <f>IF(Tb_data[[#This Row],[previous_workers]]&lt;Tb_data[[#This Row],[workers]],"yes","no")</f>
        <v>yes</v>
      </c>
      <c r="L2441">
        <f>Tb_data[[#This Row],[workers]]-Tb_data[[#This Row],[previous_workers]]</f>
        <v>20</v>
      </c>
      <c r="M2441" s="12">
        <f>Tb_data[[#This Row],[Employees Growth]]/Tb_data[[#This Row],[previous_workers]]</f>
        <v>0.86956521739130432</v>
      </c>
    </row>
    <row r="2442" spans="1:13" x14ac:dyDescent="0.25">
      <c r="A2442" s="1" t="s">
        <v>3766</v>
      </c>
      <c r="B2442" s="1" t="s">
        <v>3767</v>
      </c>
      <c r="C2442" s="1">
        <v>2700000</v>
      </c>
      <c r="D2442" s="1" t="s">
        <v>3768</v>
      </c>
      <c r="E2442">
        <v>223.73070000000001</v>
      </c>
      <c r="F2442" s="1" t="s">
        <v>97</v>
      </c>
      <c r="G2442">
        <v>16</v>
      </c>
      <c r="H2442">
        <v>8</v>
      </c>
      <c r="I2442" s="1" t="s">
        <v>55</v>
      </c>
      <c r="J2442">
        <v>3</v>
      </c>
      <c r="K2442" t="str">
        <f>IF(Tb_data[[#This Row],[previous_workers]]&lt;Tb_data[[#This Row],[workers]],"yes","no")</f>
        <v>yes</v>
      </c>
      <c r="L2442">
        <f>Tb_data[[#This Row],[workers]]-Tb_data[[#This Row],[previous_workers]]</f>
        <v>8</v>
      </c>
      <c r="M2442" s="12">
        <f>Tb_data[[#This Row],[Employees Growth]]/Tb_data[[#This Row],[previous_workers]]</f>
        <v>1</v>
      </c>
    </row>
    <row r="2443" spans="1:13" x14ac:dyDescent="0.25">
      <c r="A2443" s="1" t="s">
        <v>1964</v>
      </c>
      <c r="B2443" s="1" t="s">
        <v>1965</v>
      </c>
      <c r="C2443" s="1">
        <v>70100000</v>
      </c>
      <c r="D2443" s="1" t="s">
        <v>175</v>
      </c>
      <c r="E2443">
        <v>458.02809999999999</v>
      </c>
      <c r="F2443" s="1" t="s">
        <v>97</v>
      </c>
      <c r="G2443">
        <v>243</v>
      </c>
      <c r="H2443">
        <v>50</v>
      </c>
      <c r="I2443" s="1" t="s">
        <v>46</v>
      </c>
      <c r="J2443">
        <v>3</v>
      </c>
      <c r="K2443" t="str">
        <f>IF(Tb_data[[#This Row],[previous_workers]]&lt;Tb_data[[#This Row],[workers]],"yes","no")</f>
        <v>yes</v>
      </c>
      <c r="L2443">
        <f>Tb_data[[#This Row],[workers]]-Tb_data[[#This Row],[previous_workers]]</f>
        <v>193</v>
      </c>
      <c r="M2443" s="12">
        <f>Tb_data[[#This Row],[Employees Growth]]/Tb_data[[#This Row],[previous_workers]]</f>
        <v>3.86</v>
      </c>
    </row>
    <row r="2444" spans="1:13" x14ac:dyDescent="0.25">
      <c r="A2444" s="1" t="s">
        <v>597</v>
      </c>
      <c r="B2444" s="1" t="s">
        <v>598</v>
      </c>
      <c r="C2444" s="1">
        <v>10500000</v>
      </c>
      <c r="D2444" s="1" t="s">
        <v>123</v>
      </c>
      <c r="E2444">
        <v>1685.8634</v>
      </c>
      <c r="F2444" s="1" t="s">
        <v>12</v>
      </c>
      <c r="G2444">
        <v>20</v>
      </c>
      <c r="H2444">
        <v>4</v>
      </c>
      <c r="I2444" s="1" t="s">
        <v>26</v>
      </c>
      <c r="J2444">
        <v>1</v>
      </c>
      <c r="K2444" t="str">
        <f>IF(Tb_data[[#This Row],[previous_workers]]&lt;Tb_data[[#This Row],[workers]],"yes","no")</f>
        <v>yes</v>
      </c>
      <c r="L2444">
        <f>Tb_data[[#This Row],[workers]]-Tb_data[[#This Row],[previous_workers]]</f>
        <v>16</v>
      </c>
      <c r="M2444" s="12">
        <f>Tb_data[[#This Row],[Employees Growth]]/Tb_data[[#This Row],[previous_workers]]</f>
        <v>4</v>
      </c>
    </row>
    <row r="2445" spans="1:13" x14ac:dyDescent="0.25">
      <c r="A2445" s="1" t="s">
        <v>5062</v>
      </c>
      <c r="B2445" s="1" t="s">
        <v>5063</v>
      </c>
      <c r="C2445" s="1">
        <v>14900000</v>
      </c>
      <c r="D2445" s="1" t="s">
        <v>179</v>
      </c>
      <c r="E2445">
        <v>158.59119999999999</v>
      </c>
      <c r="F2445" s="1" t="s">
        <v>161</v>
      </c>
      <c r="G2445">
        <v>67</v>
      </c>
      <c r="H2445">
        <v>23</v>
      </c>
      <c r="I2445" s="1" t="s">
        <v>147</v>
      </c>
      <c r="J2445">
        <v>2</v>
      </c>
      <c r="K2445" t="str">
        <f>IF(Tb_data[[#This Row],[previous_workers]]&lt;Tb_data[[#This Row],[workers]],"yes","no")</f>
        <v>yes</v>
      </c>
      <c r="L2445">
        <f>Tb_data[[#This Row],[workers]]-Tb_data[[#This Row],[previous_workers]]</f>
        <v>44</v>
      </c>
      <c r="M2445" s="12">
        <f>Tb_data[[#This Row],[Employees Growth]]/Tb_data[[#This Row],[previous_workers]]</f>
        <v>1.9130434782608696</v>
      </c>
    </row>
    <row r="2446" spans="1:13" x14ac:dyDescent="0.25">
      <c r="A2446" s="1" t="s">
        <v>2773</v>
      </c>
      <c r="B2446" s="1" t="s">
        <v>2774</v>
      </c>
      <c r="C2446" s="1">
        <v>28800000</v>
      </c>
      <c r="D2446" s="1" t="s">
        <v>49</v>
      </c>
      <c r="E2446">
        <v>310.54590000000002</v>
      </c>
      <c r="F2446" s="1" t="s">
        <v>34</v>
      </c>
      <c r="G2446">
        <v>380</v>
      </c>
      <c r="H2446">
        <v>150</v>
      </c>
      <c r="I2446" s="1" t="s">
        <v>130</v>
      </c>
      <c r="J2446">
        <v>4</v>
      </c>
      <c r="K2446" t="str">
        <f>IF(Tb_data[[#This Row],[previous_workers]]&lt;Tb_data[[#This Row],[workers]],"yes","no")</f>
        <v>yes</v>
      </c>
      <c r="L2446">
        <f>Tb_data[[#This Row],[workers]]-Tb_data[[#This Row],[previous_workers]]</f>
        <v>230</v>
      </c>
      <c r="M2446" s="12">
        <f>Tb_data[[#This Row],[Employees Growth]]/Tb_data[[#This Row],[previous_workers]]</f>
        <v>1.5333333333333334</v>
      </c>
    </row>
    <row r="2447" spans="1:13" x14ac:dyDescent="0.25">
      <c r="A2447" s="1" t="s">
        <v>8927</v>
      </c>
      <c r="B2447" s="1" t="s">
        <v>8928</v>
      </c>
      <c r="C2447" s="1">
        <v>16400000</v>
      </c>
      <c r="D2447" s="1" t="s">
        <v>254</v>
      </c>
      <c r="E2447">
        <v>67.563800000000001</v>
      </c>
      <c r="F2447" s="1" t="s">
        <v>176</v>
      </c>
      <c r="G2447">
        <v>82</v>
      </c>
      <c r="H2447">
        <v>46</v>
      </c>
      <c r="I2447" s="1" t="s">
        <v>4084</v>
      </c>
      <c r="J2447">
        <v>1</v>
      </c>
      <c r="K2447" t="str">
        <f>IF(Tb_data[[#This Row],[previous_workers]]&lt;Tb_data[[#This Row],[workers]],"yes","no")</f>
        <v>yes</v>
      </c>
      <c r="L2447">
        <f>Tb_data[[#This Row],[workers]]-Tb_data[[#This Row],[previous_workers]]</f>
        <v>36</v>
      </c>
      <c r="M2447" s="12">
        <f>Tb_data[[#This Row],[Employees Growth]]/Tb_data[[#This Row],[previous_workers]]</f>
        <v>0.78260869565217395</v>
      </c>
    </row>
    <row r="2448" spans="1:13" x14ac:dyDescent="0.25">
      <c r="A2448" s="1" t="s">
        <v>8598</v>
      </c>
      <c r="B2448" s="1" t="s">
        <v>8599</v>
      </c>
      <c r="C2448" s="1">
        <v>91400000</v>
      </c>
      <c r="D2448" s="1" t="s">
        <v>49</v>
      </c>
      <c r="E2448">
        <v>72.4542</v>
      </c>
      <c r="F2448" s="1" t="s">
        <v>156</v>
      </c>
      <c r="G2448">
        <v>213</v>
      </c>
      <c r="H2448">
        <v>85</v>
      </c>
      <c r="I2448" s="1" t="s">
        <v>948</v>
      </c>
      <c r="J2448">
        <v>5</v>
      </c>
      <c r="K2448" t="str">
        <f>IF(Tb_data[[#This Row],[previous_workers]]&lt;Tb_data[[#This Row],[workers]],"yes","no")</f>
        <v>yes</v>
      </c>
      <c r="L2448">
        <f>Tb_data[[#This Row],[workers]]-Tb_data[[#This Row],[previous_workers]]</f>
        <v>128</v>
      </c>
      <c r="M2448" s="12">
        <f>Tb_data[[#This Row],[Employees Growth]]/Tb_data[[#This Row],[previous_workers]]</f>
        <v>1.5058823529411764</v>
      </c>
    </row>
    <row r="2449" spans="1:13" x14ac:dyDescent="0.25">
      <c r="A2449" s="1" t="s">
        <v>7489</v>
      </c>
      <c r="B2449" s="1" t="s">
        <v>7490</v>
      </c>
      <c r="C2449" s="1">
        <v>8500000</v>
      </c>
      <c r="D2449" s="1" t="s">
        <v>422</v>
      </c>
      <c r="E2449">
        <v>93.307599999999994</v>
      </c>
      <c r="F2449" s="1" t="s">
        <v>62</v>
      </c>
      <c r="G2449">
        <v>46</v>
      </c>
      <c r="H2449">
        <v>28</v>
      </c>
      <c r="I2449" s="1" t="s">
        <v>35</v>
      </c>
      <c r="J2449">
        <v>6</v>
      </c>
      <c r="K2449" t="str">
        <f>IF(Tb_data[[#This Row],[previous_workers]]&lt;Tb_data[[#This Row],[workers]],"yes","no")</f>
        <v>yes</v>
      </c>
      <c r="L2449">
        <f>Tb_data[[#This Row],[workers]]-Tb_data[[#This Row],[previous_workers]]</f>
        <v>18</v>
      </c>
      <c r="M2449" s="12">
        <f>Tb_data[[#This Row],[Employees Growth]]/Tb_data[[#This Row],[previous_workers]]</f>
        <v>0.6428571428571429</v>
      </c>
    </row>
    <row r="2450" spans="1:13" x14ac:dyDescent="0.25">
      <c r="A2450" s="1" t="s">
        <v>1523</v>
      </c>
      <c r="B2450" s="1" t="s">
        <v>1524</v>
      </c>
      <c r="C2450" s="1">
        <v>5500000</v>
      </c>
      <c r="D2450" s="1" t="s">
        <v>49</v>
      </c>
      <c r="E2450">
        <v>616.88310000000001</v>
      </c>
      <c r="F2450" s="1" t="s">
        <v>62</v>
      </c>
      <c r="G2450">
        <v>34</v>
      </c>
      <c r="H2450">
        <v>8</v>
      </c>
      <c r="I2450" s="1" t="s">
        <v>130</v>
      </c>
      <c r="J2450">
        <v>2</v>
      </c>
      <c r="K2450" t="str">
        <f>IF(Tb_data[[#This Row],[previous_workers]]&lt;Tb_data[[#This Row],[workers]],"yes","no")</f>
        <v>yes</v>
      </c>
      <c r="L2450">
        <f>Tb_data[[#This Row],[workers]]-Tb_data[[#This Row],[previous_workers]]</f>
        <v>26</v>
      </c>
      <c r="M2450" s="12">
        <f>Tb_data[[#This Row],[Employees Growth]]/Tb_data[[#This Row],[previous_workers]]</f>
        <v>3.25</v>
      </c>
    </row>
    <row r="2451" spans="1:13" x14ac:dyDescent="0.25">
      <c r="A2451" s="1" t="s">
        <v>1060</v>
      </c>
      <c r="B2451" s="1" t="s">
        <v>1061</v>
      </c>
      <c r="C2451" s="1">
        <v>2500000</v>
      </c>
      <c r="D2451" s="1" t="s">
        <v>33</v>
      </c>
      <c r="E2451">
        <v>916.06700000000001</v>
      </c>
      <c r="F2451" s="1" t="s">
        <v>86</v>
      </c>
      <c r="G2451">
        <v>75</v>
      </c>
      <c r="H2451">
        <v>20</v>
      </c>
      <c r="I2451" s="1" t="s">
        <v>948</v>
      </c>
      <c r="J2451">
        <v>1</v>
      </c>
      <c r="K2451" t="str">
        <f>IF(Tb_data[[#This Row],[previous_workers]]&lt;Tb_data[[#This Row],[workers]],"yes","no")</f>
        <v>yes</v>
      </c>
      <c r="L2451">
        <f>Tb_data[[#This Row],[workers]]-Tb_data[[#This Row],[previous_workers]]</f>
        <v>55</v>
      </c>
      <c r="M2451" s="12">
        <f>Tb_data[[#This Row],[Employees Growth]]/Tb_data[[#This Row],[previous_workers]]</f>
        <v>2.75</v>
      </c>
    </row>
    <row r="2452" spans="1:13" x14ac:dyDescent="0.25">
      <c r="A2452" s="1" t="s">
        <v>1164</v>
      </c>
      <c r="B2452" s="1" t="s">
        <v>1165</v>
      </c>
      <c r="C2452" s="1">
        <v>4500000</v>
      </c>
      <c r="D2452" s="1" t="s">
        <v>49</v>
      </c>
      <c r="E2452">
        <v>819.83360000000005</v>
      </c>
      <c r="F2452" s="1" t="s">
        <v>21</v>
      </c>
      <c r="G2452">
        <v>10</v>
      </c>
      <c r="H2452">
        <v>2</v>
      </c>
      <c r="I2452" s="1" t="s">
        <v>26</v>
      </c>
      <c r="J2452">
        <v>2</v>
      </c>
      <c r="K2452" t="str">
        <f>IF(Tb_data[[#This Row],[previous_workers]]&lt;Tb_data[[#This Row],[workers]],"yes","no")</f>
        <v>yes</v>
      </c>
      <c r="L2452">
        <f>Tb_data[[#This Row],[workers]]-Tb_data[[#This Row],[previous_workers]]</f>
        <v>8</v>
      </c>
      <c r="M2452" s="12">
        <f>Tb_data[[#This Row],[Employees Growth]]/Tb_data[[#This Row],[previous_workers]]</f>
        <v>4</v>
      </c>
    </row>
    <row r="2453" spans="1:13" x14ac:dyDescent="0.25">
      <c r="A2453" s="1" t="s">
        <v>6021</v>
      </c>
      <c r="B2453" s="1" t="s">
        <v>6022</v>
      </c>
      <c r="C2453" s="1">
        <v>3400000</v>
      </c>
      <c r="D2453" s="1" t="s">
        <v>52</v>
      </c>
      <c r="E2453">
        <v>126.1456</v>
      </c>
      <c r="F2453" s="1" t="s">
        <v>12</v>
      </c>
      <c r="G2453">
        <v>20</v>
      </c>
      <c r="H2453">
        <v>11</v>
      </c>
      <c r="I2453" s="1" t="s">
        <v>164</v>
      </c>
      <c r="J2453">
        <v>2</v>
      </c>
      <c r="K2453" t="str">
        <f>IF(Tb_data[[#This Row],[previous_workers]]&lt;Tb_data[[#This Row],[workers]],"yes","no")</f>
        <v>yes</v>
      </c>
      <c r="L2453">
        <f>Tb_data[[#This Row],[workers]]-Tb_data[[#This Row],[previous_workers]]</f>
        <v>9</v>
      </c>
      <c r="M2453" s="12">
        <f>Tb_data[[#This Row],[Employees Growth]]/Tb_data[[#This Row],[previous_workers]]</f>
        <v>0.81818181818181823</v>
      </c>
    </row>
    <row r="2454" spans="1:13" x14ac:dyDescent="0.25">
      <c r="A2454" s="1" t="s">
        <v>7771</v>
      </c>
      <c r="B2454" s="1" t="s">
        <v>7772</v>
      </c>
      <c r="C2454" s="1">
        <v>21900000</v>
      </c>
      <c r="D2454" s="1" t="s">
        <v>61</v>
      </c>
      <c r="E2454">
        <v>86.787499999999994</v>
      </c>
      <c r="F2454" s="1" t="s">
        <v>21</v>
      </c>
      <c r="G2454">
        <v>71</v>
      </c>
      <c r="H2454">
        <v>110</v>
      </c>
      <c r="I2454" s="1" t="s">
        <v>117</v>
      </c>
      <c r="J2454">
        <v>2</v>
      </c>
      <c r="K2454" t="str">
        <f>IF(Tb_data[[#This Row],[previous_workers]]&lt;Tb_data[[#This Row],[workers]],"yes","no")</f>
        <v>no</v>
      </c>
      <c r="L2454">
        <f>Tb_data[[#This Row],[workers]]-Tb_data[[#This Row],[previous_workers]]</f>
        <v>-39</v>
      </c>
      <c r="M2454" s="12">
        <f>Tb_data[[#This Row],[Employees Growth]]/Tb_data[[#This Row],[previous_workers]]</f>
        <v>-0.35454545454545455</v>
      </c>
    </row>
    <row r="2455" spans="1:13" x14ac:dyDescent="0.25">
      <c r="A2455" s="1" t="s">
        <v>2826</v>
      </c>
      <c r="B2455" s="1" t="s">
        <v>2827</v>
      </c>
      <c r="C2455" s="1">
        <v>2800000</v>
      </c>
      <c r="D2455" s="1" t="s">
        <v>49</v>
      </c>
      <c r="E2455">
        <v>305.9316</v>
      </c>
      <c r="F2455" s="1" t="s">
        <v>30</v>
      </c>
      <c r="G2455">
        <v>16</v>
      </c>
      <c r="H2455">
        <v>5</v>
      </c>
      <c r="I2455" s="1" t="s">
        <v>26</v>
      </c>
      <c r="J2455">
        <v>1</v>
      </c>
      <c r="K2455" t="str">
        <f>IF(Tb_data[[#This Row],[previous_workers]]&lt;Tb_data[[#This Row],[workers]],"yes","no")</f>
        <v>yes</v>
      </c>
      <c r="L2455">
        <f>Tb_data[[#This Row],[workers]]-Tb_data[[#This Row],[previous_workers]]</f>
        <v>11</v>
      </c>
      <c r="M2455" s="12">
        <f>Tb_data[[#This Row],[Employees Growth]]/Tb_data[[#This Row],[previous_workers]]</f>
        <v>2.2000000000000002</v>
      </c>
    </row>
    <row r="2456" spans="1:13" x14ac:dyDescent="0.25">
      <c r="A2456" s="1" t="s">
        <v>7747</v>
      </c>
      <c r="B2456" s="1" t="s">
        <v>7748</v>
      </c>
      <c r="C2456" s="1">
        <v>70500000</v>
      </c>
      <c r="D2456" s="1" t="s">
        <v>33</v>
      </c>
      <c r="E2456">
        <v>87.149000000000001</v>
      </c>
      <c r="F2456" s="1" t="s">
        <v>100</v>
      </c>
      <c r="G2456">
        <v>1500</v>
      </c>
      <c r="H2456">
        <v>600</v>
      </c>
      <c r="I2456" s="1" t="s">
        <v>147</v>
      </c>
      <c r="J2456">
        <v>1</v>
      </c>
      <c r="K2456" t="str">
        <f>IF(Tb_data[[#This Row],[previous_workers]]&lt;Tb_data[[#This Row],[workers]],"yes","no")</f>
        <v>yes</v>
      </c>
      <c r="L2456">
        <f>Tb_data[[#This Row],[workers]]-Tb_data[[#This Row],[previous_workers]]</f>
        <v>900</v>
      </c>
      <c r="M2456" s="12">
        <f>Tb_data[[#This Row],[Employees Growth]]/Tb_data[[#This Row],[previous_workers]]</f>
        <v>1.5</v>
      </c>
    </row>
    <row r="2457" spans="1:13" x14ac:dyDescent="0.25">
      <c r="A2457" s="1" t="s">
        <v>7343</v>
      </c>
      <c r="B2457" s="1" t="s">
        <v>7344</v>
      </c>
      <c r="C2457" s="1">
        <v>6400000</v>
      </c>
      <c r="D2457" s="1" t="s">
        <v>20</v>
      </c>
      <c r="E2457">
        <v>96.304599999999994</v>
      </c>
      <c r="F2457" s="1" t="s">
        <v>112</v>
      </c>
      <c r="G2457">
        <v>25</v>
      </c>
      <c r="H2457">
        <v>17</v>
      </c>
      <c r="I2457" s="1" t="s">
        <v>117</v>
      </c>
      <c r="J2457">
        <v>2</v>
      </c>
      <c r="K2457" t="str">
        <f>IF(Tb_data[[#This Row],[previous_workers]]&lt;Tb_data[[#This Row],[workers]],"yes","no")</f>
        <v>yes</v>
      </c>
      <c r="L2457">
        <f>Tb_data[[#This Row],[workers]]-Tb_data[[#This Row],[previous_workers]]</f>
        <v>8</v>
      </c>
      <c r="M2457" s="12">
        <f>Tb_data[[#This Row],[Employees Growth]]/Tb_data[[#This Row],[previous_workers]]</f>
        <v>0.47058823529411764</v>
      </c>
    </row>
    <row r="2458" spans="1:13" x14ac:dyDescent="0.25">
      <c r="A2458" s="1" t="s">
        <v>7216</v>
      </c>
      <c r="B2458" s="1" t="s">
        <v>7217</v>
      </c>
      <c r="C2458" s="1">
        <v>5800000</v>
      </c>
      <c r="D2458" s="1" t="s">
        <v>321</v>
      </c>
      <c r="E2458">
        <v>98.162300000000002</v>
      </c>
      <c r="F2458" s="1" t="s">
        <v>156</v>
      </c>
      <c r="G2458">
        <v>25</v>
      </c>
      <c r="H2458">
        <v>7</v>
      </c>
      <c r="I2458" s="1" t="s">
        <v>13</v>
      </c>
      <c r="J2458">
        <v>2</v>
      </c>
      <c r="K2458" t="str">
        <f>IF(Tb_data[[#This Row],[previous_workers]]&lt;Tb_data[[#This Row],[workers]],"yes","no")</f>
        <v>yes</v>
      </c>
      <c r="L2458">
        <f>Tb_data[[#This Row],[workers]]-Tb_data[[#This Row],[previous_workers]]</f>
        <v>18</v>
      </c>
      <c r="M2458" s="12">
        <f>Tb_data[[#This Row],[Employees Growth]]/Tb_data[[#This Row],[previous_workers]]</f>
        <v>2.5714285714285716</v>
      </c>
    </row>
    <row r="2459" spans="1:13" x14ac:dyDescent="0.25">
      <c r="A2459" s="1" t="s">
        <v>5989</v>
      </c>
      <c r="B2459" s="1" t="s">
        <v>5990</v>
      </c>
      <c r="C2459" s="1">
        <v>113400000</v>
      </c>
      <c r="D2459" s="1" t="s">
        <v>49</v>
      </c>
      <c r="E2459">
        <v>126.80459999999999</v>
      </c>
      <c r="F2459" s="1" t="s">
        <v>86</v>
      </c>
      <c r="G2459">
        <v>627</v>
      </c>
      <c r="H2459">
        <v>365</v>
      </c>
      <c r="I2459" s="1" t="s">
        <v>226</v>
      </c>
      <c r="J2459">
        <v>7</v>
      </c>
      <c r="K2459" t="str">
        <f>IF(Tb_data[[#This Row],[previous_workers]]&lt;Tb_data[[#This Row],[workers]],"yes","no")</f>
        <v>yes</v>
      </c>
      <c r="L2459">
        <f>Tb_data[[#This Row],[workers]]-Tb_data[[#This Row],[previous_workers]]</f>
        <v>262</v>
      </c>
      <c r="M2459" s="12">
        <f>Tb_data[[#This Row],[Employees Growth]]/Tb_data[[#This Row],[previous_workers]]</f>
        <v>0.71780821917808224</v>
      </c>
    </row>
    <row r="2460" spans="1:13" x14ac:dyDescent="0.25">
      <c r="A2460" s="1" t="s">
        <v>644</v>
      </c>
      <c r="B2460" s="1" t="s">
        <v>645</v>
      </c>
      <c r="C2460" s="1">
        <v>5500000</v>
      </c>
      <c r="D2460" s="1" t="s">
        <v>129</v>
      </c>
      <c r="E2460">
        <v>1569.6044999999999</v>
      </c>
      <c r="F2460" s="1" t="s">
        <v>97</v>
      </c>
      <c r="G2460">
        <v>22</v>
      </c>
      <c r="H2460">
        <v>3</v>
      </c>
      <c r="I2460" s="1" t="s">
        <v>372</v>
      </c>
      <c r="J2460">
        <v>4</v>
      </c>
      <c r="K2460" t="str">
        <f>IF(Tb_data[[#This Row],[previous_workers]]&lt;Tb_data[[#This Row],[workers]],"yes","no")</f>
        <v>yes</v>
      </c>
      <c r="L2460">
        <f>Tb_data[[#This Row],[workers]]-Tb_data[[#This Row],[previous_workers]]</f>
        <v>19</v>
      </c>
      <c r="M2460" s="12">
        <f>Tb_data[[#This Row],[Employees Growth]]/Tb_data[[#This Row],[previous_workers]]</f>
        <v>6.333333333333333</v>
      </c>
    </row>
    <row r="2461" spans="1:13" x14ac:dyDescent="0.25">
      <c r="A2461" s="1" t="s">
        <v>9594</v>
      </c>
      <c r="B2461" s="1" t="s">
        <v>9595</v>
      </c>
      <c r="C2461" s="1">
        <v>2700000</v>
      </c>
      <c r="D2461" s="1" t="s">
        <v>20</v>
      </c>
      <c r="E2461">
        <v>59.252499999999998</v>
      </c>
      <c r="F2461" s="1" t="s">
        <v>514</v>
      </c>
      <c r="G2461">
        <v>12</v>
      </c>
      <c r="H2461">
        <v>8</v>
      </c>
      <c r="I2461" s="1" t="s">
        <v>164</v>
      </c>
      <c r="J2461">
        <v>1</v>
      </c>
      <c r="K2461" t="str">
        <f>IF(Tb_data[[#This Row],[previous_workers]]&lt;Tb_data[[#This Row],[workers]],"yes","no")</f>
        <v>yes</v>
      </c>
      <c r="L2461">
        <f>Tb_data[[#This Row],[workers]]-Tb_data[[#This Row],[previous_workers]]</f>
        <v>4</v>
      </c>
      <c r="M2461" s="12">
        <f>Tb_data[[#This Row],[Employees Growth]]/Tb_data[[#This Row],[previous_workers]]</f>
        <v>0.5</v>
      </c>
    </row>
    <row r="2462" spans="1:13" x14ac:dyDescent="0.25">
      <c r="A2462" s="1" t="s">
        <v>477</v>
      </c>
      <c r="B2462" s="1" t="s">
        <v>478</v>
      </c>
      <c r="C2462" s="1">
        <v>20800000</v>
      </c>
      <c r="D2462" s="1" t="s">
        <v>129</v>
      </c>
      <c r="E2462">
        <v>2037.0893000000001</v>
      </c>
      <c r="F2462" s="1" t="s">
        <v>97</v>
      </c>
      <c r="G2462">
        <v>60</v>
      </c>
      <c r="H2462">
        <v>10</v>
      </c>
      <c r="I2462" s="1" t="s">
        <v>130</v>
      </c>
      <c r="J2462">
        <v>3</v>
      </c>
      <c r="K2462" t="str">
        <f>IF(Tb_data[[#This Row],[previous_workers]]&lt;Tb_data[[#This Row],[workers]],"yes","no")</f>
        <v>yes</v>
      </c>
      <c r="L2462">
        <f>Tb_data[[#This Row],[workers]]-Tb_data[[#This Row],[previous_workers]]</f>
        <v>50</v>
      </c>
      <c r="M2462" s="12">
        <f>Tb_data[[#This Row],[Employees Growth]]/Tb_data[[#This Row],[previous_workers]]</f>
        <v>5</v>
      </c>
    </row>
    <row r="2463" spans="1:13" x14ac:dyDescent="0.25">
      <c r="A2463" s="1" t="s">
        <v>7969</v>
      </c>
      <c r="B2463" s="1" t="s">
        <v>7970</v>
      </c>
      <c r="C2463" s="1">
        <v>8800000</v>
      </c>
      <c r="D2463" s="1" t="s">
        <v>375</v>
      </c>
      <c r="E2463">
        <v>83.546099999999996</v>
      </c>
      <c r="F2463" s="1" t="s">
        <v>176</v>
      </c>
      <c r="G2463">
        <v>27</v>
      </c>
      <c r="H2463">
        <v>15</v>
      </c>
      <c r="I2463" s="1" t="s">
        <v>55</v>
      </c>
      <c r="J2463">
        <v>2</v>
      </c>
      <c r="K2463" t="str">
        <f>IF(Tb_data[[#This Row],[previous_workers]]&lt;Tb_data[[#This Row],[workers]],"yes","no")</f>
        <v>yes</v>
      </c>
      <c r="L2463">
        <f>Tb_data[[#This Row],[workers]]-Tb_data[[#This Row],[previous_workers]]</f>
        <v>12</v>
      </c>
      <c r="M2463" s="12">
        <f>Tb_data[[#This Row],[Employees Growth]]/Tb_data[[#This Row],[previous_workers]]</f>
        <v>0.8</v>
      </c>
    </row>
    <row r="2464" spans="1:13" x14ac:dyDescent="0.25">
      <c r="A2464" s="1" t="s">
        <v>4601</v>
      </c>
      <c r="B2464" s="1" t="s">
        <v>4602</v>
      </c>
      <c r="C2464" s="1">
        <v>94900000</v>
      </c>
      <c r="D2464" s="1" t="s">
        <v>29</v>
      </c>
      <c r="E2464">
        <v>178.21019999999999</v>
      </c>
      <c r="F2464" s="1" t="s">
        <v>21</v>
      </c>
      <c r="G2464">
        <v>715</v>
      </c>
      <c r="H2464">
        <v>386</v>
      </c>
      <c r="I2464" s="1" t="s">
        <v>836</v>
      </c>
      <c r="J2464">
        <v>2</v>
      </c>
      <c r="K2464" t="str">
        <f>IF(Tb_data[[#This Row],[previous_workers]]&lt;Tb_data[[#This Row],[workers]],"yes","no")</f>
        <v>yes</v>
      </c>
      <c r="L2464">
        <f>Tb_data[[#This Row],[workers]]-Tb_data[[#This Row],[previous_workers]]</f>
        <v>329</v>
      </c>
      <c r="M2464" s="12">
        <f>Tb_data[[#This Row],[Employees Growth]]/Tb_data[[#This Row],[previous_workers]]</f>
        <v>0.85233160621761661</v>
      </c>
    </row>
    <row r="2465" spans="1:13" x14ac:dyDescent="0.25">
      <c r="A2465" s="1" t="s">
        <v>6091</v>
      </c>
      <c r="B2465" s="1" t="s">
        <v>6092</v>
      </c>
      <c r="C2465" s="1">
        <v>26400000</v>
      </c>
      <c r="D2465" s="1" t="s">
        <v>49</v>
      </c>
      <c r="E2465">
        <v>124.04089999999999</v>
      </c>
      <c r="F2465" s="1" t="s">
        <v>94</v>
      </c>
      <c r="G2465">
        <v>88</v>
      </c>
      <c r="H2465">
        <v>37</v>
      </c>
      <c r="I2465" s="1" t="s">
        <v>130</v>
      </c>
      <c r="J2465">
        <v>4</v>
      </c>
      <c r="K2465" t="str">
        <f>IF(Tb_data[[#This Row],[previous_workers]]&lt;Tb_data[[#This Row],[workers]],"yes","no")</f>
        <v>yes</v>
      </c>
      <c r="L2465">
        <f>Tb_data[[#This Row],[workers]]-Tb_data[[#This Row],[previous_workers]]</f>
        <v>51</v>
      </c>
      <c r="M2465" s="12">
        <f>Tb_data[[#This Row],[Employees Growth]]/Tb_data[[#This Row],[previous_workers]]</f>
        <v>1.3783783783783783</v>
      </c>
    </row>
    <row r="2466" spans="1:13" x14ac:dyDescent="0.25">
      <c r="A2466" s="1" t="s">
        <v>7365</v>
      </c>
      <c r="B2466" s="1" t="s">
        <v>7366</v>
      </c>
      <c r="C2466" s="1">
        <v>32300000</v>
      </c>
      <c r="D2466" s="1" t="s">
        <v>61</v>
      </c>
      <c r="E2466">
        <v>95.826300000000003</v>
      </c>
      <c r="F2466" s="1" t="s">
        <v>21</v>
      </c>
      <c r="G2466">
        <v>285</v>
      </c>
      <c r="H2466">
        <v>166</v>
      </c>
      <c r="I2466" s="1" t="s">
        <v>1051</v>
      </c>
      <c r="J2466">
        <v>4</v>
      </c>
      <c r="K2466" t="str">
        <f>IF(Tb_data[[#This Row],[previous_workers]]&lt;Tb_data[[#This Row],[workers]],"yes","no")</f>
        <v>yes</v>
      </c>
      <c r="L2466">
        <f>Tb_data[[#This Row],[workers]]-Tb_data[[#This Row],[previous_workers]]</f>
        <v>119</v>
      </c>
      <c r="M2466" s="12">
        <f>Tb_data[[#This Row],[Employees Growth]]/Tb_data[[#This Row],[previous_workers]]</f>
        <v>0.7168674698795181</v>
      </c>
    </row>
    <row r="2467" spans="1:13" x14ac:dyDescent="0.25">
      <c r="A2467" s="1" t="s">
        <v>22</v>
      </c>
      <c r="B2467" s="1" t="s">
        <v>23</v>
      </c>
      <c r="C2467" s="1">
        <v>32400000</v>
      </c>
      <c r="D2467" s="1" t="s">
        <v>24</v>
      </c>
      <c r="E2467">
        <v>21849.892500000002</v>
      </c>
      <c r="F2467" s="1" t="s">
        <v>25</v>
      </c>
      <c r="G2467">
        <v>57</v>
      </c>
      <c r="H2467">
        <v>2</v>
      </c>
      <c r="I2467" s="1" t="s">
        <v>26</v>
      </c>
      <c r="J2467">
        <v>1</v>
      </c>
      <c r="K2467" t="str">
        <f>IF(Tb_data[[#This Row],[previous_workers]]&lt;Tb_data[[#This Row],[workers]],"yes","no")</f>
        <v>yes</v>
      </c>
      <c r="L2467">
        <f>Tb_data[[#This Row],[workers]]-Tb_data[[#This Row],[previous_workers]]</f>
        <v>55</v>
      </c>
      <c r="M2467" s="12">
        <f>Tb_data[[#This Row],[Employees Growth]]/Tb_data[[#This Row],[previous_workers]]</f>
        <v>27.5</v>
      </c>
    </row>
    <row r="2468" spans="1:13" x14ac:dyDescent="0.25">
      <c r="A2468" s="1" t="s">
        <v>3231</v>
      </c>
      <c r="B2468" s="1" t="s">
        <v>3232</v>
      </c>
      <c r="C2468" s="1">
        <v>40100000</v>
      </c>
      <c r="D2468" s="1" t="s">
        <v>61</v>
      </c>
      <c r="E2468">
        <v>267.07639999999998</v>
      </c>
      <c r="F2468" s="1" t="s">
        <v>124</v>
      </c>
      <c r="G2468">
        <v>111</v>
      </c>
      <c r="H2468">
        <v>35</v>
      </c>
      <c r="I2468" s="1" t="s">
        <v>3233</v>
      </c>
      <c r="J2468">
        <v>1</v>
      </c>
      <c r="K2468" t="str">
        <f>IF(Tb_data[[#This Row],[previous_workers]]&lt;Tb_data[[#This Row],[workers]],"yes","no")</f>
        <v>yes</v>
      </c>
      <c r="L2468">
        <f>Tb_data[[#This Row],[workers]]-Tb_data[[#This Row],[previous_workers]]</f>
        <v>76</v>
      </c>
      <c r="M2468" s="12">
        <f>Tb_data[[#This Row],[Employees Growth]]/Tb_data[[#This Row],[previous_workers]]</f>
        <v>2.1714285714285713</v>
      </c>
    </row>
    <row r="2469" spans="1:13" x14ac:dyDescent="0.25">
      <c r="A2469" s="1" t="s">
        <v>871</v>
      </c>
      <c r="B2469" s="1" t="s">
        <v>872</v>
      </c>
      <c r="C2469" s="1">
        <v>2900000</v>
      </c>
      <c r="D2469" s="1" t="s">
        <v>41</v>
      </c>
      <c r="E2469">
        <v>1180.3137999999999</v>
      </c>
      <c r="F2469" s="1" t="s">
        <v>135</v>
      </c>
      <c r="G2469">
        <v>11</v>
      </c>
      <c r="H2469">
        <v>2</v>
      </c>
      <c r="I2469" s="1" t="s">
        <v>55</v>
      </c>
      <c r="J2469">
        <v>1</v>
      </c>
      <c r="K2469" t="str">
        <f>IF(Tb_data[[#This Row],[previous_workers]]&lt;Tb_data[[#This Row],[workers]],"yes","no")</f>
        <v>yes</v>
      </c>
      <c r="L2469">
        <f>Tb_data[[#This Row],[workers]]-Tb_data[[#This Row],[previous_workers]]</f>
        <v>9</v>
      </c>
      <c r="M2469" s="12">
        <f>Tb_data[[#This Row],[Employees Growth]]/Tb_data[[#This Row],[previous_workers]]</f>
        <v>4.5</v>
      </c>
    </row>
    <row r="2470" spans="1:13" x14ac:dyDescent="0.25">
      <c r="A2470" s="1" t="s">
        <v>5074</v>
      </c>
      <c r="B2470" s="1" t="s">
        <v>5075</v>
      </c>
      <c r="C2470" s="1">
        <v>14400000</v>
      </c>
      <c r="D2470" s="1" t="s">
        <v>175</v>
      </c>
      <c r="E2470">
        <v>158.28229999999999</v>
      </c>
      <c r="F2470" s="1" t="s">
        <v>100</v>
      </c>
      <c r="G2470">
        <v>135</v>
      </c>
      <c r="H2470">
        <v>45</v>
      </c>
      <c r="I2470" s="1" t="s">
        <v>35</v>
      </c>
      <c r="J2470">
        <v>3</v>
      </c>
      <c r="K2470" t="str">
        <f>IF(Tb_data[[#This Row],[previous_workers]]&lt;Tb_data[[#This Row],[workers]],"yes","no")</f>
        <v>yes</v>
      </c>
      <c r="L2470">
        <f>Tb_data[[#This Row],[workers]]-Tb_data[[#This Row],[previous_workers]]</f>
        <v>90</v>
      </c>
      <c r="M2470" s="12">
        <f>Tb_data[[#This Row],[Employees Growth]]/Tb_data[[#This Row],[previous_workers]]</f>
        <v>2</v>
      </c>
    </row>
    <row r="2471" spans="1:13" x14ac:dyDescent="0.25">
      <c r="A2471" s="1" t="s">
        <v>6257</v>
      </c>
      <c r="B2471" s="1" t="s">
        <v>6258</v>
      </c>
      <c r="C2471" s="1">
        <v>17200000</v>
      </c>
      <c r="D2471" s="1" t="s">
        <v>155</v>
      </c>
      <c r="E2471">
        <v>120.2486</v>
      </c>
      <c r="F2471" s="1" t="s">
        <v>124</v>
      </c>
      <c r="G2471">
        <v>110</v>
      </c>
      <c r="H2471">
        <v>43</v>
      </c>
      <c r="I2471" s="1" t="s">
        <v>4074</v>
      </c>
      <c r="J2471">
        <v>5</v>
      </c>
      <c r="K2471" t="str">
        <f>IF(Tb_data[[#This Row],[previous_workers]]&lt;Tb_data[[#This Row],[workers]],"yes","no")</f>
        <v>yes</v>
      </c>
      <c r="L2471">
        <f>Tb_data[[#This Row],[workers]]-Tb_data[[#This Row],[previous_workers]]</f>
        <v>67</v>
      </c>
      <c r="M2471" s="12">
        <f>Tb_data[[#This Row],[Employees Growth]]/Tb_data[[#This Row],[previous_workers]]</f>
        <v>1.558139534883721</v>
      </c>
    </row>
    <row r="2472" spans="1:13" x14ac:dyDescent="0.25">
      <c r="A2472" s="1" t="s">
        <v>6295</v>
      </c>
      <c r="B2472" s="1" t="s">
        <v>6296</v>
      </c>
      <c r="C2472" s="1">
        <v>11100000</v>
      </c>
      <c r="D2472" s="1" t="s">
        <v>179</v>
      </c>
      <c r="E2472">
        <v>119.0185</v>
      </c>
      <c r="F2472" s="1" t="s">
        <v>100</v>
      </c>
      <c r="G2472">
        <v>27</v>
      </c>
      <c r="H2472">
        <v>15</v>
      </c>
      <c r="I2472" s="1" t="s">
        <v>295</v>
      </c>
      <c r="J2472">
        <v>8</v>
      </c>
      <c r="K2472" t="str">
        <f>IF(Tb_data[[#This Row],[previous_workers]]&lt;Tb_data[[#This Row],[workers]],"yes","no")</f>
        <v>yes</v>
      </c>
      <c r="L2472">
        <f>Tb_data[[#This Row],[workers]]-Tb_data[[#This Row],[previous_workers]]</f>
        <v>12</v>
      </c>
      <c r="M2472" s="12">
        <f>Tb_data[[#This Row],[Employees Growth]]/Tb_data[[#This Row],[previous_workers]]</f>
        <v>0.8</v>
      </c>
    </row>
    <row r="2473" spans="1:13" x14ac:dyDescent="0.25">
      <c r="A2473" s="1" t="s">
        <v>5296</v>
      </c>
      <c r="B2473" s="1" t="s">
        <v>5297</v>
      </c>
      <c r="C2473" s="1">
        <v>17700000</v>
      </c>
      <c r="D2473" s="1" t="s">
        <v>61</v>
      </c>
      <c r="E2473">
        <v>150.22239999999999</v>
      </c>
      <c r="F2473" s="1" t="s">
        <v>172</v>
      </c>
      <c r="G2473">
        <v>96</v>
      </c>
      <c r="H2473">
        <v>40</v>
      </c>
      <c r="I2473" s="1" t="s">
        <v>46</v>
      </c>
      <c r="J2473">
        <v>2</v>
      </c>
      <c r="K2473" t="str">
        <f>IF(Tb_data[[#This Row],[previous_workers]]&lt;Tb_data[[#This Row],[workers]],"yes","no")</f>
        <v>yes</v>
      </c>
      <c r="L2473">
        <f>Tb_data[[#This Row],[workers]]-Tb_data[[#This Row],[previous_workers]]</f>
        <v>56</v>
      </c>
      <c r="M2473" s="12">
        <f>Tb_data[[#This Row],[Employees Growth]]/Tb_data[[#This Row],[previous_workers]]</f>
        <v>1.4</v>
      </c>
    </row>
    <row r="2474" spans="1:13" x14ac:dyDescent="0.25">
      <c r="A2474" s="1" t="s">
        <v>7897</v>
      </c>
      <c r="B2474" s="1" t="s">
        <v>7898</v>
      </c>
      <c r="C2474" s="1">
        <v>2600000</v>
      </c>
      <c r="D2474" s="1" t="s">
        <v>61</v>
      </c>
      <c r="E2474">
        <v>84.727900000000005</v>
      </c>
      <c r="F2474" s="1" t="s">
        <v>124</v>
      </c>
      <c r="G2474">
        <v>3</v>
      </c>
      <c r="H2474">
        <v>1</v>
      </c>
      <c r="I2474" s="1" t="s">
        <v>1051</v>
      </c>
      <c r="J2474">
        <v>1</v>
      </c>
      <c r="K2474" t="str">
        <f>IF(Tb_data[[#This Row],[previous_workers]]&lt;Tb_data[[#This Row],[workers]],"yes","no")</f>
        <v>yes</v>
      </c>
      <c r="L2474">
        <f>Tb_data[[#This Row],[workers]]-Tb_data[[#This Row],[previous_workers]]</f>
        <v>2</v>
      </c>
      <c r="M2474" s="12">
        <f>Tb_data[[#This Row],[Employees Growth]]/Tb_data[[#This Row],[previous_workers]]</f>
        <v>2</v>
      </c>
    </row>
    <row r="2475" spans="1:13" x14ac:dyDescent="0.25">
      <c r="A2475" s="1" t="s">
        <v>8075</v>
      </c>
      <c r="B2475" s="1" t="s">
        <v>8076</v>
      </c>
      <c r="C2475" s="1">
        <v>4100000</v>
      </c>
      <c r="D2475" s="1" t="s">
        <v>52</v>
      </c>
      <c r="E2475">
        <v>81.443600000000004</v>
      </c>
      <c r="F2475" s="1" t="s">
        <v>176</v>
      </c>
      <c r="G2475">
        <v>6</v>
      </c>
      <c r="H2475">
        <v>6</v>
      </c>
      <c r="I2475" s="1" t="s">
        <v>147</v>
      </c>
      <c r="J2475">
        <v>1</v>
      </c>
      <c r="K2475" t="str">
        <f>IF(Tb_data[[#This Row],[previous_workers]]&lt;Tb_data[[#This Row],[workers]],"yes","no")</f>
        <v>no</v>
      </c>
      <c r="L2475">
        <f>Tb_data[[#This Row],[workers]]-Tb_data[[#This Row],[previous_workers]]</f>
        <v>0</v>
      </c>
      <c r="M2475" s="12">
        <f>Tb_data[[#This Row],[Employees Growth]]/Tb_data[[#This Row],[previous_workers]]</f>
        <v>0</v>
      </c>
    </row>
    <row r="2476" spans="1:13" x14ac:dyDescent="0.25">
      <c r="A2476" s="1" t="s">
        <v>8486</v>
      </c>
      <c r="B2476" s="1" t="s">
        <v>8487</v>
      </c>
      <c r="C2476" s="1">
        <v>2400000</v>
      </c>
      <c r="D2476" s="1" t="s">
        <v>895</v>
      </c>
      <c r="E2476">
        <v>74.247600000000006</v>
      </c>
      <c r="F2476" s="1" t="s">
        <v>25</v>
      </c>
      <c r="G2476">
        <v>19</v>
      </c>
      <c r="H2476">
        <v>11</v>
      </c>
      <c r="I2476" s="1" t="s">
        <v>117</v>
      </c>
      <c r="J2476">
        <v>1</v>
      </c>
      <c r="K2476" t="str">
        <f>IF(Tb_data[[#This Row],[previous_workers]]&lt;Tb_data[[#This Row],[workers]],"yes","no")</f>
        <v>yes</v>
      </c>
      <c r="L2476">
        <f>Tb_data[[#This Row],[workers]]-Tb_data[[#This Row],[previous_workers]]</f>
        <v>8</v>
      </c>
      <c r="M2476" s="12">
        <f>Tb_data[[#This Row],[Employees Growth]]/Tb_data[[#This Row],[previous_workers]]</f>
        <v>0.72727272727272729</v>
      </c>
    </row>
    <row r="2477" spans="1:13" x14ac:dyDescent="0.25">
      <c r="A2477" s="1" t="s">
        <v>4449</v>
      </c>
      <c r="B2477" s="1" t="s">
        <v>4450</v>
      </c>
      <c r="C2477" s="1">
        <v>421100000</v>
      </c>
      <c r="D2477" s="1" t="s">
        <v>69</v>
      </c>
      <c r="E2477">
        <v>185.02510000000001</v>
      </c>
      <c r="F2477" s="1" t="s">
        <v>100</v>
      </c>
      <c r="G2477">
        <v>729</v>
      </c>
      <c r="H2477">
        <v>313</v>
      </c>
      <c r="I2477" s="1" t="s">
        <v>147</v>
      </c>
      <c r="J2477">
        <v>1</v>
      </c>
      <c r="K2477" t="str">
        <f>IF(Tb_data[[#This Row],[previous_workers]]&lt;Tb_data[[#This Row],[workers]],"yes","no")</f>
        <v>yes</v>
      </c>
      <c r="L2477">
        <f>Tb_data[[#This Row],[workers]]-Tb_data[[#This Row],[previous_workers]]</f>
        <v>416</v>
      </c>
      <c r="M2477" s="12">
        <f>Tb_data[[#This Row],[Employees Growth]]/Tb_data[[#This Row],[previous_workers]]</f>
        <v>1.329073482428115</v>
      </c>
    </row>
    <row r="2478" spans="1:13" x14ac:dyDescent="0.25">
      <c r="A2478" s="1" t="s">
        <v>9367</v>
      </c>
      <c r="B2478" s="1" t="s">
        <v>9368</v>
      </c>
      <c r="C2478" s="1">
        <v>41700000</v>
      </c>
      <c r="D2478" s="1" t="s">
        <v>175</v>
      </c>
      <c r="E2478">
        <v>61.898600000000002</v>
      </c>
      <c r="F2478" s="1" t="s">
        <v>169</v>
      </c>
      <c r="G2478">
        <v>332</v>
      </c>
      <c r="H2478">
        <v>324</v>
      </c>
      <c r="I2478" s="1" t="s">
        <v>995</v>
      </c>
      <c r="J2478">
        <v>1</v>
      </c>
      <c r="K2478" t="str">
        <f>IF(Tb_data[[#This Row],[previous_workers]]&lt;Tb_data[[#This Row],[workers]],"yes","no")</f>
        <v>yes</v>
      </c>
      <c r="L2478">
        <f>Tb_data[[#This Row],[workers]]-Tb_data[[#This Row],[previous_workers]]</f>
        <v>8</v>
      </c>
      <c r="M2478" s="12">
        <f>Tb_data[[#This Row],[Employees Growth]]/Tb_data[[#This Row],[previous_workers]]</f>
        <v>2.4691358024691357E-2</v>
      </c>
    </row>
    <row r="2479" spans="1:13" x14ac:dyDescent="0.25">
      <c r="A2479" s="1" t="s">
        <v>3225</v>
      </c>
      <c r="B2479" s="1" t="s">
        <v>3226</v>
      </c>
      <c r="C2479" s="1">
        <v>288100000</v>
      </c>
      <c r="D2479" s="1" t="s">
        <v>33</v>
      </c>
      <c r="E2479">
        <v>267.25869999999998</v>
      </c>
      <c r="F2479" s="1" t="s">
        <v>124</v>
      </c>
      <c r="G2479">
        <v>108</v>
      </c>
      <c r="H2479">
        <v>80</v>
      </c>
      <c r="I2479" s="1" t="s">
        <v>1622</v>
      </c>
      <c r="J2479">
        <v>3</v>
      </c>
      <c r="K2479" t="str">
        <f>IF(Tb_data[[#This Row],[previous_workers]]&lt;Tb_data[[#This Row],[workers]],"yes","no")</f>
        <v>yes</v>
      </c>
      <c r="L2479">
        <f>Tb_data[[#This Row],[workers]]-Tb_data[[#This Row],[previous_workers]]</f>
        <v>28</v>
      </c>
      <c r="M2479" s="12">
        <f>Tb_data[[#This Row],[Employees Growth]]/Tb_data[[#This Row],[previous_workers]]</f>
        <v>0.35</v>
      </c>
    </row>
    <row r="2480" spans="1:13" x14ac:dyDescent="0.25">
      <c r="A2480" s="1" t="s">
        <v>4565</v>
      </c>
      <c r="B2480" s="1" t="s">
        <v>4566</v>
      </c>
      <c r="C2480" s="1">
        <v>3300000</v>
      </c>
      <c r="D2480" s="1" t="s">
        <v>69</v>
      </c>
      <c r="E2480">
        <v>179.8681</v>
      </c>
      <c r="F2480" s="1" t="s">
        <v>34</v>
      </c>
      <c r="G2480">
        <v>22</v>
      </c>
      <c r="H2480">
        <v>5</v>
      </c>
      <c r="I2480" s="1" t="s">
        <v>26</v>
      </c>
      <c r="J2480">
        <v>1</v>
      </c>
      <c r="K2480" t="str">
        <f>IF(Tb_data[[#This Row],[previous_workers]]&lt;Tb_data[[#This Row],[workers]],"yes","no")</f>
        <v>yes</v>
      </c>
      <c r="L2480">
        <f>Tb_data[[#This Row],[workers]]-Tb_data[[#This Row],[previous_workers]]</f>
        <v>17</v>
      </c>
      <c r="M2480" s="12">
        <f>Tb_data[[#This Row],[Employees Growth]]/Tb_data[[#This Row],[previous_workers]]</f>
        <v>3.4</v>
      </c>
    </row>
    <row r="2481" spans="1:13" x14ac:dyDescent="0.25">
      <c r="A2481" s="1" t="s">
        <v>6455</v>
      </c>
      <c r="B2481" s="1" t="s">
        <v>6456</v>
      </c>
      <c r="C2481" s="1">
        <v>22700000</v>
      </c>
      <c r="D2481" s="1" t="s">
        <v>49</v>
      </c>
      <c r="E2481">
        <v>115.1463</v>
      </c>
      <c r="F2481" s="1" t="s">
        <v>112</v>
      </c>
      <c r="G2481">
        <v>108</v>
      </c>
      <c r="H2481">
        <v>62</v>
      </c>
      <c r="I2481" s="1" t="s">
        <v>1051</v>
      </c>
      <c r="J2481">
        <v>7</v>
      </c>
      <c r="K2481" t="str">
        <f>IF(Tb_data[[#This Row],[previous_workers]]&lt;Tb_data[[#This Row],[workers]],"yes","no")</f>
        <v>yes</v>
      </c>
      <c r="L2481">
        <f>Tb_data[[#This Row],[workers]]-Tb_data[[#This Row],[previous_workers]]</f>
        <v>46</v>
      </c>
      <c r="M2481" s="12">
        <f>Tb_data[[#This Row],[Employees Growth]]/Tb_data[[#This Row],[previous_workers]]</f>
        <v>0.74193548387096775</v>
      </c>
    </row>
    <row r="2482" spans="1:13" x14ac:dyDescent="0.25">
      <c r="A2482" s="1" t="s">
        <v>9962</v>
      </c>
      <c r="B2482" s="1" t="s">
        <v>9963</v>
      </c>
      <c r="C2482" s="1">
        <v>74500000</v>
      </c>
      <c r="D2482" s="1" t="s">
        <v>254</v>
      </c>
      <c r="E2482">
        <v>54.1402</v>
      </c>
      <c r="F2482" s="1" t="s">
        <v>161</v>
      </c>
      <c r="G2482">
        <v>218</v>
      </c>
      <c r="H2482">
        <v>136</v>
      </c>
      <c r="I2482" s="1" t="s">
        <v>1622</v>
      </c>
      <c r="J2482">
        <v>12</v>
      </c>
      <c r="K2482" t="str">
        <f>IF(Tb_data[[#This Row],[previous_workers]]&lt;Tb_data[[#This Row],[workers]],"yes","no")</f>
        <v>yes</v>
      </c>
      <c r="L2482">
        <f>Tb_data[[#This Row],[workers]]-Tb_data[[#This Row],[previous_workers]]</f>
        <v>82</v>
      </c>
      <c r="M2482" s="12">
        <f>Tb_data[[#This Row],[Employees Growth]]/Tb_data[[#This Row],[previous_workers]]</f>
        <v>0.6029411764705882</v>
      </c>
    </row>
    <row r="2483" spans="1:13" x14ac:dyDescent="0.25">
      <c r="A2483" s="1" t="s">
        <v>2462</v>
      </c>
      <c r="B2483" s="1" t="s">
        <v>2463</v>
      </c>
      <c r="C2483" s="1">
        <v>20100000</v>
      </c>
      <c r="D2483" s="1" t="s">
        <v>49</v>
      </c>
      <c r="E2483">
        <v>352.95440000000002</v>
      </c>
      <c r="F2483" s="1" t="s">
        <v>152</v>
      </c>
      <c r="G2483">
        <v>99</v>
      </c>
      <c r="H2483">
        <v>47</v>
      </c>
      <c r="I2483" s="1" t="s">
        <v>164</v>
      </c>
      <c r="J2483">
        <v>2</v>
      </c>
      <c r="K2483" t="str">
        <f>IF(Tb_data[[#This Row],[previous_workers]]&lt;Tb_data[[#This Row],[workers]],"yes","no")</f>
        <v>yes</v>
      </c>
      <c r="L2483">
        <f>Tb_data[[#This Row],[workers]]-Tb_data[[#This Row],[previous_workers]]</f>
        <v>52</v>
      </c>
      <c r="M2483" s="12">
        <f>Tb_data[[#This Row],[Employees Growth]]/Tb_data[[#This Row],[previous_workers]]</f>
        <v>1.1063829787234043</v>
      </c>
    </row>
    <row r="2484" spans="1:13" x14ac:dyDescent="0.25">
      <c r="A2484" s="1" t="s">
        <v>7252</v>
      </c>
      <c r="B2484" s="1" t="s">
        <v>7253</v>
      </c>
      <c r="C2484" s="1">
        <v>3200000</v>
      </c>
      <c r="D2484" s="1" t="s">
        <v>91</v>
      </c>
      <c r="E2484">
        <v>97.678299999999993</v>
      </c>
      <c r="F2484" s="1" t="s">
        <v>176</v>
      </c>
      <c r="G2484">
        <v>52</v>
      </c>
      <c r="H2484">
        <v>23</v>
      </c>
      <c r="I2484" s="1" t="s">
        <v>35</v>
      </c>
      <c r="J2484">
        <v>3</v>
      </c>
      <c r="K2484" t="str">
        <f>IF(Tb_data[[#This Row],[previous_workers]]&lt;Tb_data[[#This Row],[workers]],"yes","no")</f>
        <v>yes</v>
      </c>
      <c r="L2484">
        <f>Tb_data[[#This Row],[workers]]-Tb_data[[#This Row],[previous_workers]]</f>
        <v>29</v>
      </c>
      <c r="M2484" s="12">
        <f>Tb_data[[#This Row],[Employees Growth]]/Tb_data[[#This Row],[previous_workers]]</f>
        <v>1.2608695652173914</v>
      </c>
    </row>
    <row r="2485" spans="1:13" x14ac:dyDescent="0.25">
      <c r="A2485" s="1" t="s">
        <v>9171</v>
      </c>
      <c r="B2485" s="1" t="s">
        <v>9172</v>
      </c>
      <c r="C2485" s="1">
        <v>21600000</v>
      </c>
      <c r="D2485" s="1" t="s">
        <v>33</v>
      </c>
      <c r="E2485">
        <v>64.553100000000001</v>
      </c>
      <c r="F2485" s="1" t="s">
        <v>25</v>
      </c>
      <c r="G2485">
        <v>75</v>
      </c>
      <c r="H2485">
        <v>45</v>
      </c>
      <c r="I2485" s="1" t="s">
        <v>295</v>
      </c>
      <c r="J2485">
        <v>2</v>
      </c>
      <c r="K2485" t="str">
        <f>IF(Tb_data[[#This Row],[previous_workers]]&lt;Tb_data[[#This Row],[workers]],"yes","no")</f>
        <v>yes</v>
      </c>
      <c r="L2485">
        <f>Tb_data[[#This Row],[workers]]-Tb_data[[#This Row],[previous_workers]]</f>
        <v>30</v>
      </c>
      <c r="M2485" s="12">
        <f>Tb_data[[#This Row],[Employees Growth]]/Tb_data[[#This Row],[previous_workers]]</f>
        <v>0.66666666666666663</v>
      </c>
    </row>
    <row r="2486" spans="1:13" x14ac:dyDescent="0.25">
      <c r="A2486" s="1" t="s">
        <v>8677</v>
      </c>
      <c r="B2486" s="1" t="s">
        <v>8678</v>
      </c>
      <c r="C2486" s="1">
        <v>11700000</v>
      </c>
      <c r="D2486" s="1" t="s">
        <v>115</v>
      </c>
      <c r="E2486">
        <v>71.361599999999996</v>
      </c>
      <c r="F2486" s="1" t="s">
        <v>62</v>
      </c>
      <c r="G2486">
        <v>78</v>
      </c>
      <c r="H2486">
        <v>72</v>
      </c>
      <c r="I2486" s="1" t="s">
        <v>2407</v>
      </c>
      <c r="J2486">
        <v>6</v>
      </c>
      <c r="K2486" t="str">
        <f>IF(Tb_data[[#This Row],[previous_workers]]&lt;Tb_data[[#This Row],[workers]],"yes","no")</f>
        <v>yes</v>
      </c>
      <c r="L2486">
        <f>Tb_data[[#This Row],[workers]]-Tb_data[[#This Row],[previous_workers]]</f>
        <v>6</v>
      </c>
      <c r="M2486" s="12">
        <f>Tb_data[[#This Row],[Employees Growth]]/Tb_data[[#This Row],[previous_workers]]</f>
        <v>8.3333333333333329E-2</v>
      </c>
    </row>
    <row r="2487" spans="1:13" x14ac:dyDescent="0.25">
      <c r="A2487" s="1" t="s">
        <v>7026</v>
      </c>
      <c r="B2487" s="1" t="s">
        <v>7027</v>
      </c>
      <c r="C2487" s="1">
        <v>3300000</v>
      </c>
      <c r="D2487" s="1" t="s">
        <v>69</v>
      </c>
      <c r="E2487">
        <v>101.548</v>
      </c>
      <c r="F2487" s="1" t="s">
        <v>86</v>
      </c>
      <c r="G2487">
        <v>28</v>
      </c>
      <c r="H2487">
        <v>15</v>
      </c>
      <c r="I2487" s="1" t="s">
        <v>46</v>
      </c>
      <c r="J2487">
        <v>1</v>
      </c>
      <c r="K2487" t="str">
        <f>IF(Tb_data[[#This Row],[previous_workers]]&lt;Tb_data[[#This Row],[workers]],"yes","no")</f>
        <v>yes</v>
      </c>
      <c r="L2487">
        <f>Tb_data[[#This Row],[workers]]-Tb_data[[#This Row],[previous_workers]]</f>
        <v>13</v>
      </c>
      <c r="M2487" s="12">
        <f>Tb_data[[#This Row],[Employees Growth]]/Tb_data[[#This Row],[previous_workers]]</f>
        <v>0.8666666666666667</v>
      </c>
    </row>
    <row r="2488" spans="1:13" x14ac:dyDescent="0.25">
      <c r="A2488" s="1" t="s">
        <v>8327</v>
      </c>
      <c r="B2488" s="1" t="s">
        <v>8328</v>
      </c>
      <c r="C2488" s="1">
        <v>2400000</v>
      </c>
      <c r="D2488" s="1" t="s">
        <v>49</v>
      </c>
      <c r="E2488">
        <v>77.455299999999994</v>
      </c>
      <c r="F2488" s="1" t="s">
        <v>12</v>
      </c>
      <c r="G2488">
        <v>11</v>
      </c>
      <c r="H2488">
        <v>4</v>
      </c>
      <c r="I2488" s="1" t="s">
        <v>194</v>
      </c>
      <c r="J2488">
        <v>1</v>
      </c>
      <c r="K2488" t="str">
        <f>IF(Tb_data[[#This Row],[previous_workers]]&lt;Tb_data[[#This Row],[workers]],"yes","no")</f>
        <v>yes</v>
      </c>
      <c r="L2488">
        <f>Tb_data[[#This Row],[workers]]-Tb_data[[#This Row],[previous_workers]]</f>
        <v>7</v>
      </c>
      <c r="M2488" s="12">
        <f>Tb_data[[#This Row],[Employees Growth]]/Tb_data[[#This Row],[previous_workers]]</f>
        <v>1.75</v>
      </c>
    </row>
    <row r="2489" spans="1:13" x14ac:dyDescent="0.25">
      <c r="A2489" s="1" t="s">
        <v>4008</v>
      </c>
      <c r="B2489" s="1" t="s">
        <v>4009</v>
      </c>
      <c r="C2489" s="1">
        <v>27500000</v>
      </c>
      <c r="D2489" s="1" t="s">
        <v>895</v>
      </c>
      <c r="E2489">
        <v>206.14250000000001</v>
      </c>
      <c r="F2489" s="1" t="s">
        <v>310</v>
      </c>
      <c r="G2489">
        <v>115</v>
      </c>
      <c r="H2489">
        <v>94</v>
      </c>
      <c r="I2489" s="1" t="s">
        <v>295</v>
      </c>
      <c r="J2489">
        <v>3</v>
      </c>
      <c r="K2489" t="str">
        <f>IF(Tb_data[[#This Row],[previous_workers]]&lt;Tb_data[[#This Row],[workers]],"yes","no")</f>
        <v>yes</v>
      </c>
      <c r="L2489">
        <f>Tb_data[[#This Row],[workers]]-Tb_data[[#This Row],[previous_workers]]</f>
        <v>21</v>
      </c>
      <c r="M2489" s="12">
        <f>Tb_data[[#This Row],[Employees Growth]]/Tb_data[[#This Row],[previous_workers]]</f>
        <v>0.22340425531914893</v>
      </c>
    </row>
    <row r="2490" spans="1:13" x14ac:dyDescent="0.25">
      <c r="A2490" s="1" t="s">
        <v>7947</v>
      </c>
      <c r="B2490" s="1" t="s">
        <v>7948</v>
      </c>
      <c r="C2490" s="1">
        <v>8400000</v>
      </c>
      <c r="D2490" s="1" t="s">
        <v>45</v>
      </c>
      <c r="E2490">
        <v>84.126499999999993</v>
      </c>
      <c r="F2490" s="1" t="s">
        <v>135</v>
      </c>
      <c r="G2490">
        <v>70</v>
      </c>
      <c r="H2490">
        <v>37</v>
      </c>
      <c r="I2490" s="1" t="s">
        <v>194</v>
      </c>
      <c r="J2490">
        <v>8</v>
      </c>
      <c r="K2490" t="str">
        <f>IF(Tb_data[[#This Row],[previous_workers]]&lt;Tb_data[[#This Row],[workers]],"yes","no")</f>
        <v>yes</v>
      </c>
      <c r="L2490">
        <f>Tb_data[[#This Row],[workers]]-Tb_data[[#This Row],[previous_workers]]</f>
        <v>33</v>
      </c>
      <c r="M2490" s="12">
        <f>Tb_data[[#This Row],[Employees Growth]]/Tb_data[[#This Row],[previous_workers]]</f>
        <v>0.89189189189189189</v>
      </c>
    </row>
    <row r="2491" spans="1:13" x14ac:dyDescent="0.25">
      <c r="A2491" s="1" t="s">
        <v>2997</v>
      </c>
      <c r="B2491" s="1" t="s">
        <v>2998</v>
      </c>
      <c r="C2491" s="1">
        <v>340400000</v>
      </c>
      <c r="D2491" s="1" t="s">
        <v>45</v>
      </c>
      <c r="E2491">
        <v>287.22730000000001</v>
      </c>
      <c r="F2491" s="1" t="s">
        <v>25</v>
      </c>
      <c r="G2491">
        <v>1044</v>
      </c>
      <c r="H2491">
        <v>251</v>
      </c>
      <c r="I2491" s="1" t="s">
        <v>295</v>
      </c>
      <c r="J2491">
        <v>8</v>
      </c>
      <c r="K2491" t="str">
        <f>IF(Tb_data[[#This Row],[previous_workers]]&lt;Tb_data[[#This Row],[workers]],"yes","no")</f>
        <v>yes</v>
      </c>
      <c r="L2491">
        <f>Tb_data[[#This Row],[workers]]-Tb_data[[#This Row],[previous_workers]]</f>
        <v>793</v>
      </c>
      <c r="M2491" s="12">
        <f>Tb_data[[#This Row],[Employees Growth]]/Tb_data[[#This Row],[previous_workers]]</f>
        <v>3.1593625498007967</v>
      </c>
    </row>
    <row r="2492" spans="1:13" x14ac:dyDescent="0.25">
      <c r="A2492" s="1" t="s">
        <v>910</v>
      </c>
      <c r="B2492" s="1" t="s">
        <v>911</v>
      </c>
      <c r="C2492" s="1">
        <v>5600000</v>
      </c>
      <c r="D2492" s="1" t="s">
        <v>33</v>
      </c>
      <c r="E2492">
        <v>1113.4907000000001</v>
      </c>
      <c r="F2492" s="1" t="s">
        <v>161</v>
      </c>
      <c r="G2492">
        <v>10</v>
      </c>
      <c r="H2492">
        <v>2</v>
      </c>
      <c r="I2492" s="1" t="s">
        <v>46</v>
      </c>
      <c r="J2492">
        <v>1</v>
      </c>
      <c r="K2492" t="str">
        <f>IF(Tb_data[[#This Row],[previous_workers]]&lt;Tb_data[[#This Row],[workers]],"yes","no")</f>
        <v>yes</v>
      </c>
      <c r="L2492">
        <f>Tb_data[[#This Row],[workers]]-Tb_data[[#This Row],[previous_workers]]</f>
        <v>8</v>
      </c>
      <c r="M2492" s="12">
        <f>Tb_data[[#This Row],[Employees Growth]]/Tb_data[[#This Row],[previous_workers]]</f>
        <v>4</v>
      </c>
    </row>
    <row r="2493" spans="1:13" x14ac:dyDescent="0.25">
      <c r="A2493" s="1" t="s">
        <v>8195</v>
      </c>
      <c r="B2493" s="1" t="s">
        <v>8196</v>
      </c>
      <c r="C2493" s="1">
        <v>10900000</v>
      </c>
      <c r="D2493" s="1" t="s">
        <v>33</v>
      </c>
      <c r="E2493">
        <v>79.739199999999997</v>
      </c>
      <c r="F2493" s="1" t="s">
        <v>176</v>
      </c>
      <c r="G2493">
        <v>53</v>
      </c>
      <c r="H2493">
        <v>25</v>
      </c>
      <c r="I2493" s="1" t="s">
        <v>147</v>
      </c>
      <c r="J2493">
        <v>1</v>
      </c>
      <c r="K2493" t="str">
        <f>IF(Tb_data[[#This Row],[previous_workers]]&lt;Tb_data[[#This Row],[workers]],"yes","no")</f>
        <v>yes</v>
      </c>
      <c r="L2493">
        <f>Tb_data[[#This Row],[workers]]-Tb_data[[#This Row],[previous_workers]]</f>
        <v>28</v>
      </c>
      <c r="M2493" s="12">
        <f>Tb_data[[#This Row],[Employees Growth]]/Tb_data[[#This Row],[previous_workers]]</f>
        <v>1.1200000000000001</v>
      </c>
    </row>
    <row r="2494" spans="1:13" x14ac:dyDescent="0.25">
      <c r="A2494" s="1" t="s">
        <v>1513</v>
      </c>
      <c r="B2494" s="1" t="s">
        <v>1514</v>
      </c>
      <c r="C2494" s="1">
        <v>23600000</v>
      </c>
      <c r="D2494" s="1" t="s">
        <v>41</v>
      </c>
      <c r="E2494">
        <v>619.71249999999998</v>
      </c>
      <c r="F2494" s="1" t="s">
        <v>62</v>
      </c>
      <c r="G2494">
        <v>180</v>
      </c>
      <c r="H2494">
        <v>25</v>
      </c>
      <c r="I2494" s="1" t="s">
        <v>948</v>
      </c>
      <c r="J2494">
        <v>1</v>
      </c>
      <c r="K2494" t="str">
        <f>IF(Tb_data[[#This Row],[previous_workers]]&lt;Tb_data[[#This Row],[workers]],"yes","no")</f>
        <v>yes</v>
      </c>
      <c r="L2494">
        <f>Tb_data[[#This Row],[workers]]-Tb_data[[#This Row],[previous_workers]]</f>
        <v>155</v>
      </c>
      <c r="M2494" s="12">
        <f>Tb_data[[#This Row],[Employees Growth]]/Tb_data[[#This Row],[previous_workers]]</f>
        <v>6.2</v>
      </c>
    </row>
    <row r="2495" spans="1:13" x14ac:dyDescent="0.25">
      <c r="A2495" s="1" t="s">
        <v>2424</v>
      </c>
      <c r="B2495" s="1" t="s">
        <v>2425</v>
      </c>
      <c r="C2495" s="1">
        <v>10100000</v>
      </c>
      <c r="D2495" s="1" t="s">
        <v>20</v>
      </c>
      <c r="E2495">
        <v>359.2978</v>
      </c>
      <c r="F2495" s="1" t="s">
        <v>25</v>
      </c>
      <c r="G2495">
        <v>35</v>
      </c>
      <c r="H2495">
        <v>7</v>
      </c>
      <c r="I2495" s="1" t="s">
        <v>164</v>
      </c>
      <c r="J2495">
        <v>3</v>
      </c>
      <c r="K2495" t="str">
        <f>IF(Tb_data[[#This Row],[previous_workers]]&lt;Tb_data[[#This Row],[workers]],"yes","no")</f>
        <v>yes</v>
      </c>
      <c r="L2495">
        <f>Tb_data[[#This Row],[workers]]-Tb_data[[#This Row],[previous_workers]]</f>
        <v>28</v>
      </c>
      <c r="M2495" s="12">
        <f>Tb_data[[#This Row],[Employees Growth]]/Tb_data[[#This Row],[previous_workers]]</f>
        <v>4</v>
      </c>
    </row>
    <row r="2496" spans="1:13" x14ac:dyDescent="0.25">
      <c r="A2496" s="1" t="s">
        <v>1192</v>
      </c>
      <c r="B2496" s="1" t="s">
        <v>1193</v>
      </c>
      <c r="C2496" s="1">
        <v>7300000</v>
      </c>
      <c r="D2496" s="1" t="s">
        <v>79</v>
      </c>
      <c r="E2496">
        <v>809.88969999999995</v>
      </c>
      <c r="F2496" s="1" t="s">
        <v>94</v>
      </c>
      <c r="G2496">
        <v>10</v>
      </c>
      <c r="H2496">
        <v>3</v>
      </c>
      <c r="I2496" s="1" t="s">
        <v>26</v>
      </c>
      <c r="J2496">
        <v>1</v>
      </c>
      <c r="K2496" t="str">
        <f>IF(Tb_data[[#This Row],[previous_workers]]&lt;Tb_data[[#This Row],[workers]],"yes","no")</f>
        <v>yes</v>
      </c>
      <c r="L2496">
        <f>Tb_data[[#This Row],[workers]]-Tb_data[[#This Row],[previous_workers]]</f>
        <v>7</v>
      </c>
      <c r="M2496" s="12">
        <f>Tb_data[[#This Row],[Employees Growth]]/Tb_data[[#This Row],[previous_workers]]</f>
        <v>2.3333333333333335</v>
      </c>
    </row>
    <row r="2497" spans="1:13" x14ac:dyDescent="0.25">
      <c r="A2497" s="1" t="s">
        <v>6401</v>
      </c>
      <c r="B2497" s="1" t="s">
        <v>6402</v>
      </c>
      <c r="C2497" s="1">
        <v>11800000</v>
      </c>
      <c r="D2497" s="1" t="s">
        <v>49</v>
      </c>
      <c r="E2497">
        <v>116.2222</v>
      </c>
      <c r="F2497" s="1" t="s">
        <v>25</v>
      </c>
      <c r="G2497">
        <v>49</v>
      </c>
      <c r="H2497">
        <v>27</v>
      </c>
      <c r="I2497" s="1" t="s">
        <v>3943</v>
      </c>
      <c r="J2497">
        <v>3</v>
      </c>
      <c r="K2497" t="str">
        <f>IF(Tb_data[[#This Row],[previous_workers]]&lt;Tb_data[[#This Row],[workers]],"yes","no")</f>
        <v>yes</v>
      </c>
      <c r="L2497">
        <f>Tb_data[[#This Row],[workers]]-Tb_data[[#This Row],[previous_workers]]</f>
        <v>22</v>
      </c>
      <c r="M2497" s="12">
        <f>Tb_data[[#This Row],[Employees Growth]]/Tb_data[[#This Row],[previous_workers]]</f>
        <v>0.81481481481481477</v>
      </c>
    </row>
    <row r="2498" spans="1:13" x14ac:dyDescent="0.25">
      <c r="A2498" s="1" t="s">
        <v>2159</v>
      </c>
      <c r="B2498" s="1" t="s">
        <v>2160</v>
      </c>
      <c r="C2498" s="1">
        <v>3600000</v>
      </c>
      <c r="D2498" s="1" t="s">
        <v>120</v>
      </c>
      <c r="E2498">
        <v>410.48489999999998</v>
      </c>
      <c r="F2498" s="1" t="s">
        <v>156</v>
      </c>
      <c r="G2498">
        <v>27</v>
      </c>
      <c r="H2498">
        <v>8</v>
      </c>
      <c r="I2498" s="1" t="s">
        <v>26</v>
      </c>
      <c r="J2498">
        <v>1</v>
      </c>
      <c r="K2498" t="str">
        <f>IF(Tb_data[[#This Row],[previous_workers]]&lt;Tb_data[[#This Row],[workers]],"yes","no")</f>
        <v>yes</v>
      </c>
      <c r="L2498">
        <f>Tb_data[[#This Row],[workers]]-Tb_data[[#This Row],[previous_workers]]</f>
        <v>19</v>
      </c>
      <c r="M2498" s="12">
        <f>Tb_data[[#This Row],[Employees Growth]]/Tb_data[[#This Row],[previous_workers]]</f>
        <v>2.375</v>
      </c>
    </row>
    <row r="2499" spans="1:13" x14ac:dyDescent="0.25">
      <c r="A2499" s="1" t="s">
        <v>3183</v>
      </c>
      <c r="B2499" s="1" t="s">
        <v>3184</v>
      </c>
      <c r="C2499" s="1">
        <v>37800000</v>
      </c>
      <c r="D2499" s="1" t="s">
        <v>29</v>
      </c>
      <c r="E2499">
        <v>269.8546</v>
      </c>
      <c r="F2499" s="1" t="s">
        <v>124</v>
      </c>
      <c r="G2499">
        <v>50</v>
      </c>
      <c r="H2499">
        <v>10</v>
      </c>
      <c r="I2499" s="1" t="s">
        <v>295</v>
      </c>
      <c r="J2499">
        <v>2</v>
      </c>
      <c r="K2499" t="str">
        <f>IF(Tb_data[[#This Row],[previous_workers]]&lt;Tb_data[[#This Row],[workers]],"yes","no")</f>
        <v>yes</v>
      </c>
      <c r="L2499">
        <f>Tb_data[[#This Row],[workers]]-Tb_data[[#This Row],[previous_workers]]</f>
        <v>40</v>
      </c>
      <c r="M2499" s="12">
        <f>Tb_data[[#This Row],[Employees Growth]]/Tb_data[[#This Row],[previous_workers]]</f>
        <v>4</v>
      </c>
    </row>
    <row r="2500" spans="1:13" x14ac:dyDescent="0.25">
      <c r="A2500" s="1" t="s">
        <v>2681</v>
      </c>
      <c r="B2500" s="1" t="s">
        <v>2682</v>
      </c>
      <c r="C2500" s="1">
        <v>2000000</v>
      </c>
      <c r="D2500" s="1" t="s">
        <v>155</v>
      </c>
      <c r="E2500">
        <v>321.1474</v>
      </c>
      <c r="F2500" s="1" t="s">
        <v>30</v>
      </c>
      <c r="G2500">
        <v>35</v>
      </c>
      <c r="H2500">
        <v>2</v>
      </c>
      <c r="I2500" s="1" t="s">
        <v>130</v>
      </c>
      <c r="J2500">
        <v>1</v>
      </c>
      <c r="K2500" t="str">
        <f>IF(Tb_data[[#This Row],[previous_workers]]&lt;Tb_data[[#This Row],[workers]],"yes","no")</f>
        <v>yes</v>
      </c>
      <c r="L2500">
        <f>Tb_data[[#This Row],[workers]]-Tb_data[[#This Row],[previous_workers]]</f>
        <v>33</v>
      </c>
      <c r="M2500" s="12">
        <f>Tb_data[[#This Row],[Employees Growth]]/Tb_data[[#This Row],[previous_workers]]</f>
        <v>16.5</v>
      </c>
    </row>
    <row r="2501" spans="1:13" x14ac:dyDescent="0.25">
      <c r="A2501" s="1" t="s">
        <v>7877</v>
      </c>
      <c r="B2501" s="1" t="s">
        <v>7878</v>
      </c>
      <c r="C2501" s="1">
        <v>11100000</v>
      </c>
      <c r="D2501" s="1" t="s">
        <v>20</v>
      </c>
      <c r="E2501">
        <v>85.016800000000003</v>
      </c>
      <c r="F2501" s="1" t="s">
        <v>172</v>
      </c>
      <c r="G2501">
        <v>60</v>
      </c>
      <c r="H2501">
        <v>50</v>
      </c>
      <c r="I2501" s="1" t="s">
        <v>948</v>
      </c>
      <c r="J2501">
        <v>1</v>
      </c>
      <c r="K2501" t="str">
        <f>IF(Tb_data[[#This Row],[previous_workers]]&lt;Tb_data[[#This Row],[workers]],"yes","no")</f>
        <v>yes</v>
      </c>
      <c r="L2501">
        <f>Tb_data[[#This Row],[workers]]-Tb_data[[#This Row],[previous_workers]]</f>
        <v>10</v>
      </c>
      <c r="M2501" s="12">
        <f>Tb_data[[#This Row],[Employees Growth]]/Tb_data[[#This Row],[previous_workers]]</f>
        <v>0.2</v>
      </c>
    </row>
    <row r="2502" spans="1:13" x14ac:dyDescent="0.25">
      <c r="A2502" s="1" t="s">
        <v>3943</v>
      </c>
      <c r="B2502" s="1" t="s">
        <v>4082</v>
      </c>
      <c r="C2502" s="1">
        <v>62400000</v>
      </c>
      <c r="D2502" s="1" t="s">
        <v>254</v>
      </c>
      <c r="E2502">
        <v>202.32570000000001</v>
      </c>
      <c r="F2502" s="1" t="s">
        <v>176</v>
      </c>
      <c r="G2502">
        <v>57</v>
      </c>
      <c r="H2502">
        <v>23</v>
      </c>
      <c r="I2502" s="1" t="s">
        <v>372</v>
      </c>
      <c r="J2502">
        <v>2</v>
      </c>
      <c r="K2502" t="str">
        <f>IF(Tb_data[[#This Row],[previous_workers]]&lt;Tb_data[[#This Row],[workers]],"yes","no")</f>
        <v>yes</v>
      </c>
      <c r="L2502">
        <f>Tb_data[[#This Row],[workers]]-Tb_data[[#This Row],[previous_workers]]</f>
        <v>34</v>
      </c>
      <c r="M2502" s="12">
        <f>Tb_data[[#This Row],[Employees Growth]]/Tb_data[[#This Row],[previous_workers]]</f>
        <v>1.4782608695652173</v>
      </c>
    </row>
    <row r="2503" spans="1:13" x14ac:dyDescent="0.25">
      <c r="A2503" s="1" t="s">
        <v>8554</v>
      </c>
      <c r="B2503" s="1" t="s">
        <v>8555</v>
      </c>
      <c r="C2503" s="1">
        <v>11600000</v>
      </c>
      <c r="D2503" s="1" t="s">
        <v>38</v>
      </c>
      <c r="E2503">
        <v>73.029399999999995</v>
      </c>
      <c r="F2503" s="1" t="s">
        <v>34</v>
      </c>
      <c r="G2503">
        <v>110</v>
      </c>
      <c r="H2503">
        <v>50</v>
      </c>
      <c r="I2503" s="1" t="s">
        <v>229</v>
      </c>
      <c r="J2503">
        <v>2</v>
      </c>
      <c r="K2503" t="str">
        <f>IF(Tb_data[[#This Row],[previous_workers]]&lt;Tb_data[[#This Row],[workers]],"yes","no")</f>
        <v>yes</v>
      </c>
      <c r="L2503">
        <f>Tb_data[[#This Row],[workers]]-Tb_data[[#This Row],[previous_workers]]</f>
        <v>60</v>
      </c>
      <c r="M2503" s="12">
        <f>Tb_data[[#This Row],[Employees Growth]]/Tb_data[[#This Row],[previous_workers]]</f>
        <v>1.2</v>
      </c>
    </row>
    <row r="2504" spans="1:13" x14ac:dyDescent="0.25">
      <c r="A2504" s="1" t="s">
        <v>8167</v>
      </c>
      <c r="B2504" s="1" t="s">
        <v>8168</v>
      </c>
      <c r="C2504" s="1">
        <v>14700000</v>
      </c>
      <c r="D2504" s="1" t="s">
        <v>895</v>
      </c>
      <c r="E2504">
        <v>80.122299999999996</v>
      </c>
      <c r="F2504" s="1" t="s">
        <v>176</v>
      </c>
      <c r="G2504">
        <v>104</v>
      </c>
      <c r="H2504">
        <v>56</v>
      </c>
      <c r="I2504" s="1" t="s">
        <v>194</v>
      </c>
      <c r="J2504">
        <v>1</v>
      </c>
      <c r="K2504" t="str">
        <f>IF(Tb_data[[#This Row],[previous_workers]]&lt;Tb_data[[#This Row],[workers]],"yes","no")</f>
        <v>yes</v>
      </c>
      <c r="L2504">
        <f>Tb_data[[#This Row],[workers]]-Tb_data[[#This Row],[previous_workers]]</f>
        <v>48</v>
      </c>
      <c r="M2504" s="12">
        <f>Tb_data[[#This Row],[Employees Growth]]/Tb_data[[#This Row],[previous_workers]]</f>
        <v>0.8571428571428571</v>
      </c>
    </row>
    <row r="2505" spans="1:13" x14ac:dyDescent="0.25">
      <c r="A2505" s="1" t="s">
        <v>2454</v>
      </c>
      <c r="B2505" s="1" t="s">
        <v>2455</v>
      </c>
      <c r="C2505" s="1">
        <v>388900000</v>
      </c>
      <c r="D2505" s="1" t="s">
        <v>58</v>
      </c>
      <c r="E2505">
        <v>354.63740000000001</v>
      </c>
      <c r="F2505" s="1" t="s">
        <v>86</v>
      </c>
      <c r="G2505">
        <v>43</v>
      </c>
      <c r="H2505">
        <v>7</v>
      </c>
      <c r="I2505" s="1" t="s">
        <v>194</v>
      </c>
      <c r="J2505">
        <v>1</v>
      </c>
      <c r="K2505" t="str">
        <f>IF(Tb_data[[#This Row],[previous_workers]]&lt;Tb_data[[#This Row],[workers]],"yes","no")</f>
        <v>yes</v>
      </c>
      <c r="L2505">
        <f>Tb_data[[#This Row],[workers]]-Tb_data[[#This Row],[previous_workers]]</f>
        <v>36</v>
      </c>
      <c r="M2505" s="12">
        <f>Tb_data[[#This Row],[Employees Growth]]/Tb_data[[#This Row],[previous_workers]]</f>
        <v>5.1428571428571432</v>
      </c>
    </row>
    <row r="2506" spans="1:13" x14ac:dyDescent="0.25">
      <c r="A2506" s="1" t="s">
        <v>9528</v>
      </c>
      <c r="B2506" s="1" t="s">
        <v>9529</v>
      </c>
      <c r="C2506" s="1">
        <v>2800000</v>
      </c>
      <c r="D2506" s="1" t="s">
        <v>254</v>
      </c>
      <c r="E2506">
        <v>59.955100000000002</v>
      </c>
      <c r="F2506" s="1" t="s">
        <v>100</v>
      </c>
      <c r="G2506">
        <v>4</v>
      </c>
      <c r="H2506">
        <v>7</v>
      </c>
      <c r="I2506" s="1" t="s">
        <v>147</v>
      </c>
      <c r="J2506">
        <v>2</v>
      </c>
      <c r="K2506" t="str">
        <f>IF(Tb_data[[#This Row],[previous_workers]]&lt;Tb_data[[#This Row],[workers]],"yes","no")</f>
        <v>no</v>
      </c>
      <c r="L2506">
        <f>Tb_data[[#This Row],[workers]]-Tb_data[[#This Row],[previous_workers]]</f>
        <v>-3</v>
      </c>
      <c r="M2506" s="12">
        <f>Tb_data[[#This Row],[Employees Growth]]/Tb_data[[#This Row],[previous_workers]]</f>
        <v>-0.42857142857142855</v>
      </c>
    </row>
    <row r="2507" spans="1:13" x14ac:dyDescent="0.25">
      <c r="A2507" s="1" t="s">
        <v>1104</v>
      </c>
      <c r="B2507" s="1" t="s">
        <v>1105</v>
      </c>
      <c r="C2507" s="1">
        <v>4700000</v>
      </c>
      <c r="D2507" s="1" t="s">
        <v>49</v>
      </c>
      <c r="E2507">
        <v>868.2749</v>
      </c>
      <c r="F2507" s="1" t="s">
        <v>34</v>
      </c>
      <c r="G2507">
        <v>40</v>
      </c>
      <c r="H2507">
        <v>3</v>
      </c>
      <c r="I2507" s="1" t="s">
        <v>26</v>
      </c>
      <c r="J2507">
        <v>1</v>
      </c>
      <c r="K2507" t="str">
        <f>IF(Tb_data[[#This Row],[previous_workers]]&lt;Tb_data[[#This Row],[workers]],"yes","no")</f>
        <v>yes</v>
      </c>
      <c r="L2507">
        <f>Tb_data[[#This Row],[workers]]-Tb_data[[#This Row],[previous_workers]]</f>
        <v>37</v>
      </c>
      <c r="M2507" s="12">
        <f>Tb_data[[#This Row],[Employees Growth]]/Tb_data[[#This Row],[previous_workers]]</f>
        <v>12.333333333333334</v>
      </c>
    </row>
    <row r="2508" spans="1:13" x14ac:dyDescent="0.25">
      <c r="A2508" s="1" t="s">
        <v>3581</v>
      </c>
      <c r="B2508" s="1" t="s">
        <v>3582</v>
      </c>
      <c r="C2508" s="1">
        <v>3300000</v>
      </c>
      <c r="D2508" s="1" t="s">
        <v>49</v>
      </c>
      <c r="E2508">
        <v>235.2509</v>
      </c>
      <c r="F2508" s="1" t="s">
        <v>116</v>
      </c>
      <c r="G2508">
        <v>40</v>
      </c>
      <c r="H2508">
        <v>10</v>
      </c>
      <c r="I2508" s="1" t="s">
        <v>26</v>
      </c>
      <c r="J2508">
        <v>2</v>
      </c>
      <c r="K2508" t="str">
        <f>IF(Tb_data[[#This Row],[previous_workers]]&lt;Tb_data[[#This Row],[workers]],"yes","no")</f>
        <v>yes</v>
      </c>
      <c r="L2508">
        <f>Tb_data[[#This Row],[workers]]-Tb_data[[#This Row],[previous_workers]]</f>
        <v>30</v>
      </c>
      <c r="M2508" s="12">
        <f>Tb_data[[#This Row],[Employees Growth]]/Tb_data[[#This Row],[previous_workers]]</f>
        <v>3</v>
      </c>
    </row>
    <row r="2509" spans="1:13" x14ac:dyDescent="0.25">
      <c r="A2509" s="1" t="s">
        <v>275</v>
      </c>
      <c r="B2509" s="1" t="s">
        <v>276</v>
      </c>
      <c r="C2509" s="1">
        <v>13900000</v>
      </c>
      <c r="D2509" s="1" t="s">
        <v>33</v>
      </c>
      <c r="E2509">
        <v>3279.2231000000002</v>
      </c>
      <c r="F2509" s="1" t="s">
        <v>62</v>
      </c>
      <c r="G2509">
        <v>50</v>
      </c>
      <c r="H2509">
        <v>18</v>
      </c>
      <c r="I2509" s="1" t="s">
        <v>26</v>
      </c>
      <c r="J2509">
        <v>1</v>
      </c>
      <c r="K2509" t="str">
        <f>IF(Tb_data[[#This Row],[previous_workers]]&lt;Tb_data[[#This Row],[workers]],"yes","no")</f>
        <v>yes</v>
      </c>
      <c r="L2509">
        <f>Tb_data[[#This Row],[workers]]-Tb_data[[#This Row],[previous_workers]]</f>
        <v>32</v>
      </c>
      <c r="M2509" s="12">
        <f>Tb_data[[#This Row],[Employees Growth]]/Tb_data[[#This Row],[previous_workers]]</f>
        <v>1.7777777777777777</v>
      </c>
    </row>
    <row r="2510" spans="1:13" x14ac:dyDescent="0.25">
      <c r="A2510" s="1" t="s">
        <v>67</v>
      </c>
      <c r="B2510" s="1" t="s">
        <v>68</v>
      </c>
      <c r="C2510" s="1">
        <v>105800000</v>
      </c>
      <c r="D2510" s="1" t="s">
        <v>69</v>
      </c>
      <c r="E2510">
        <v>9265.2405999999992</v>
      </c>
      <c r="F2510" s="1" t="s">
        <v>62</v>
      </c>
      <c r="G2510">
        <v>190</v>
      </c>
      <c r="H2510">
        <v>32</v>
      </c>
      <c r="I2510" s="1" t="s">
        <v>26</v>
      </c>
      <c r="J2510">
        <v>1</v>
      </c>
      <c r="K2510" t="str">
        <f>IF(Tb_data[[#This Row],[previous_workers]]&lt;Tb_data[[#This Row],[workers]],"yes","no")</f>
        <v>yes</v>
      </c>
      <c r="L2510">
        <f>Tb_data[[#This Row],[workers]]-Tb_data[[#This Row],[previous_workers]]</f>
        <v>158</v>
      </c>
      <c r="M2510" s="12">
        <f>Tb_data[[#This Row],[Employees Growth]]/Tb_data[[#This Row],[previous_workers]]</f>
        <v>4.9375</v>
      </c>
    </row>
    <row r="2511" spans="1:13" x14ac:dyDescent="0.25">
      <c r="A2511" s="1" t="s">
        <v>5840</v>
      </c>
      <c r="B2511" s="1" t="s">
        <v>5841</v>
      </c>
      <c r="C2511" s="1">
        <v>16500000</v>
      </c>
      <c r="D2511" s="1" t="s">
        <v>254</v>
      </c>
      <c r="E2511">
        <v>130.25229999999999</v>
      </c>
      <c r="F2511" s="1" t="s">
        <v>62</v>
      </c>
      <c r="G2511">
        <v>38</v>
      </c>
      <c r="H2511">
        <v>17</v>
      </c>
      <c r="I2511" s="1" t="s">
        <v>164</v>
      </c>
      <c r="J2511">
        <v>2</v>
      </c>
      <c r="K2511" t="str">
        <f>IF(Tb_data[[#This Row],[previous_workers]]&lt;Tb_data[[#This Row],[workers]],"yes","no")</f>
        <v>yes</v>
      </c>
      <c r="L2511">
        <f>Tb_data[[#This Row],[workers]]-Tb_data[[#This Row],[previous_workers]]</f>
        <v>21</v>
      </c>
      <c r="M2511" s="12">
        <f>Tb_data[[#This Row],[Employees Growth]]/Tb_data[[#This Row],[previous_workers]]</f>
        <v>1.2352941176470589</v>
      </c>
    </row>
    <row r="2512" spans="1:13" x14ac:dyDescent="0.25">
      <c r="A2512" s="1" t="s">
        <v>4605</v>
      </c>
      <c r="B2512" s="1" t="s">
        <v>4606</v>
      </c>
      <c r="C2512" s="1">
        <v>15800000</v>
      </c>
      <c r="D2512" s="1" t="s">
        <v>58</v>
      </c>
      <c r="E2512">
        <v>178.18700000000001</v>
      </c>
      <c r="F2512" s="1" t="s">
        <v>135</v>
      </c>
      <c r="G2512">
        <v>100</v>
      </c>
      <c r="H2512">
        <v>15</v>
      </c>
      <c r="I2512" s="1" t="s">
        <v>130</v>
      </c>
      <c r="J2512">
        <v>3</v>
      </c>
      <c r="K2512" t="str">
        <f>IF(Tb_data[[#This Row],[previous_workers]]&lt;Tb_data[[#This Row],[workers]],"yes","no")</f>
        <v>yes</v>
      </c>
      <c r="L2512">
        <f>Tb_data[[#This Row],[workers]]-Tb_data[[#This Row],[previous_workers]]</f>
        <v>85</v>
      </c>
      <c r="M2512" s="12">
        <f>Tb_data[[#This Row],[Employees Growth]]/Tb_data[[#This Row],[previous_workers]]</f>
        <v>5.666666666666667</v>
      </c>
    </row>
    <row r="2513" spans="1:13" x14ac:dyDescent="0.25">
      <c r="A2513" s="1" t="s">
        <v>2316</v>
      </c>
      <c r="B2513" s="1" t="s">
        <v>2317</v>
      </c>
      <c r="C2513" s="1">
        <v>6900000</v>
      </c>
      <c r="D2513" s="1" t="s">
        <v>61</v>
      </c>
      <c r="E2513">
        <v>381.1284</v>
      </c>
      <c r="F2513" s="1" t="s">
        <v>34</v>
      </c>
      <c r="G2513">
        <v>20</v>
      </c>
      <c r="H2513">
        <v>5</v>
      </c>
      <c r="I2513" s="1" t="s">
        <v>1949</v>
      </c>
      <c r="J2513">
        <v>3</v>
      </c>
      <c r="K2513" t="str">
        <f>IF(Tb_data[[#This Row],[previous_workers]]&lt;Tb_data[[#This Row],[workers]],"yes","no")</f>
        <v>yes</v>
      </c>
      <c r="L2513">
        <f>Tb_data[[#This Row],[workers]]-Tb_data[[#This Row],[previous_workers]]</f>
        <v>15</v>
      </c>
      <c r="M2513" s="12">
        <f>Tb_data[[#This Row],[Employees Growth]]/Tb_data[[#This Row],[previous_workers]]</f>
        <v>3</v>
      </c>
    </row>
    <row r="2514" spans="1:13" x14ac:dyDescent="0.25">
      <c r="A2514" s="1" t="s">
        <v>2883</v>
      </c>
      <c r="B2514" s="1" t="s">
        <v>2884</v>
      </c>
      <c r="C2514" s="1">
        <v>13900000</v>
      </c>
      <c r="D2514" s="1" t="s">
        <v>24</v>
      </c>
      <c r="E2514">
        <v>299.85250000000002</v>
      </c>
      <c r="F2514" s="1" t="s">
        <v>97</v>
      </c>
      <c r="G2514">
        <v>90</v>
      </c>
      <c r="H2514">
        <v>13</v>
      </c>
      <c r="I2514" s="1" t="s">
        <v>46</v>
      </c>
      <c r="J2514">
        <v>1</v>
      </c>
      <c r="K2514" t="str">
        <f>IF(Tb_data[[#This Row],[previous_workers]]&lt;Tb_data[[#This Row],[workers]],"yes","no")</f>
        <v>yes</v>
      </c>
      <c r="L2514">
        <f>Tb_data[[#This Row],[workers]]-Tb_data[[#This Row],[previous_workers]]</f>
        <v>77</v>
      </c>
      <c r="M2514" s="12">
        <f>Tb_data[[#This Row],[Employees Growth]]/Tb_data[[#This Row],[previous_workers]]</f>
        <v>5.9230769230769234</v>
      </c>
    </row>
    <row r="2515" spans="1:13" x14ac:dyDescent="0.25">
      <c r="A2515" s="1" t="s">
        <v>5142</v>
      </c>
      <c r="B2515" s="1" t="s">
        <v>5143</v>
      </c>
      <c r="C2515" s="1">
        <v>2100000</v>
      </c>
      <c r="D2515" s="1" t="s">
        <v>422</v>
      </c>
      <c r="E2515">
        <v>155.86689999999999</v>
      </c>
      <c r="F2515" s="1" t="s">
        <v>86</v>
      </c>
      <c r="G2515">
        <v>17</v>
      </c>
      <c r="H2515">
        <v>8</v>
      </c>
      <c r="I2515" s="1" t="s">
        <v>35</v>
      </c>
      <c r="J2515">
        <v>1</v>
      </c>
      <c r="K2515" t="str">
        <f>IF(Tb_data[[#This Row],[previous_workers]]&lt;Tb_data[[#This Row],[workers]],"yes","no")</f>
        <v>yes</v>
      </c>
      <c r="L2515">
        <f>Tb_data[[#This Row],[workers]]-Tb_data[[#This Row],[previous_workers]]</f>
        <v>9</v>
      </c>
      <c r="M2515" s="12">
        <f>Tb_data[[#This Row],[Employees Growth]]/Tb_data[[#This Row],[previous_workers]]</f>
        <v>1.125</v>
      </c>
    </row>
    <row r="2516" spans="1:13" x14ac:dyDescent="0.25">
      <c r="A2516" s="1" t="s">
        <v>515</v>
      </c>
      <c r="B2516" s="1" t="s">
        <v>516</v>
      </c>
      <c r="C2516" s="1">
        <v>4100000</v>
      </c>
      <c r="D2516" s="1" t="s">
        <v>33</v>
      </c>
      <c r="E2516">
        <v>1918.6756</v>
      </c>
      <c r="F2516" s="1" t="s">
        <v>176</v>
      </c>
      <c r="G2516">
        <v>14</v>
      </c>
      <c r="H2516">
        <v>2</v>
      </c>
      <c r="I2516" s="1" t="s">
        <v>26</v>
      </c>
      <c r="J2516">
        <v>1</v>
      </c>
      <c r="K2516" t="str">
        <f>IF(Tb_data[[#This Row],[previous_workers]]&lt;Tb_data[[#This Row],[workers]],"yes","no")</f>
        <v>yes</v>
      </c>
      <c r="L2516">
        <f>Tb_data[[#This Row],[workers]]-Tb_data[[#This Row],[previous_workers]]</f>
        <v>12</v>
      </c>
      <c r="M2516" s="12">
        <f>Tb_data[[#This Row],[Employees Growth]]/Tb_data[[#This Row],[previous_workers]]</f>
        <v>6</v>
      </c>
    </row>
    <row r="2517" spans="1:13" x14ac:dyDescent="0.25">
      <c r="A2517" s="1" t="s">
        <v>4790</v>
      </c>
      <c r="B2517" s="1" t="s">
        <v>4791</v>
      </c>
      <c r="C2517" s="1">
        <v>13000000</v>
      </c>
      <c r="D2517" s="1" t="s">
        <v>20</v>
      </c>
      <c r="E2517">
        <v>170.4023</v>
      </c>
      <c r="F2517" s="1" t="s">
        <v>176</v>
      </c>
      <c r="G2517">
        <v>95</v>
      </c>
      <c r="H2517">
        <v>45</v>
      </c>
      <c r="I2517" s="1" t="s">
        <v>35</v>
      </c>
      <c r="J2517">
        <v>3</v>
      </c>
      <c r="K2517" t="str">
        <f>IF(Tb_data[[#This Row],[previous_workers]]&lt;Tb_data[[#This Row],[workers]],"yes","no")</f>
        <v>yes</v>
      </c>
      <c r="L2517">
        <f>Tb_data[[#This Row],[workers]]-Tb_data[[#This Row],[previous_workers]]</f>
        <v>50</v>
      </c>
      <c r="M2517" s="12">
        <f>Tb_data[[#This Row],[Employees Growth]]/Tb_data[[#This Row],[previous_workers]]</f>
        <v>1.1111111111111112</v>
      </c>
    </row>
    <row r="2518" spans="1:13" x14ac:dyDescent="0.25">
      <c r="A2518" s="1" t="s">
        <v>4339</v>
      </c>
      <c r="B2518" s="1" t="s">
        <v>4340</v>
      </c>
      <c r="C2518" s="1">
        <v>27700000</v>
      </c>
      <c r="D2518" s="1" t="s">
        <v>11</v>
      </c>
      <c r="E2518">
        <v>189.1883</v>
      </c>
      <c r="F2518" s="1" t="s">
        <v>176</v>
      </c>
      <c r="G2518">
        <v>83</v>
      </c>
      <c r="H2518">
        <v>35</v>
      </c>
      <c r="I2518" s="1" t="s">
        <v>1411</v>
      </c>
      <c r="J2518">
        <v>3</v>
      </c>
      <c r="K2518" t="str">
        <f>IF(Tb_data[[#This Row],[previous_workers]]&lt;Tb_data[[#This Row],[workers]],"yes","no")</f>
        <v>yes</v>
      </c>
      <c r="L2518">
        <f>Tb_data[[#This Row],[workers]]-Tb_data[[#This Row],[previous_workers]]</f>
        <v>48</v>
      </c>
      <c r="M2518" s="12">
        <f>Tb_data[[#This Row],[Employees Growth]]/Tb_data[[#This Row],[previous_workers]]</f>
        <v>1.3714285714285714</v>
      </c>
    </row>
    <row r="2519" spans="1:13" x14ac:dyDescent="0.25">
      <c r="A2519" s="1" t="s">
        <v>5876</v>
      </c>
      <c r="B2519" s="1" t="s">
        <v>5877</v>
      </c>
      <c r="C2519" s="1">
        <v>24100000</v>
      </c>
      <c r="D2519" s="1" t="s">
        <v>41</v>
      </c>
      <c r="E2519">
        <v>129.4263</v>
      </c>
      <c r="F2519" s="1" t="s">
        <v>86</v>
      </c>
      <c r="G2519">
        <v>166</v>
      </c>
      <c r="H2519">
        <v>88</v>
      </c>
      <c r="I2519" s="1" t="s">
        <v>2628</v>
      </c>
      <c r="J2519">
        <v>2</v>
      </c>
      <c r="K2519" t="str">
        <f>IF(Tb_data[[#This Row],[previous_workers]]&lt;Tb_data[[#This Row],[workers]],"yes","no")</f>
        <v>yes</v>
      </c>
      <c r="L2519">
        <f>Tb_data[[#This Row],[workers]]-Tb_data[[#This Row],[previous_workers]]</f>
        <v>78</v>
      </c>
      <c r="M2519" s="12">
        <f>Tb_data[[#This Row],[Employees Growth]]/Tb_data[[#This Row],[previous_workers]]</f>
        <v>0.88636363636363635</v>
      </c>
    </row>
    <row r="2520" spans="1:13" x14ac:dyDescent="0.25">
      <c r="A2520" s="1" t="s">
        <v>4734</v>
      </c>
      <c r="B2520" s="1" t="s">
        <v>4735</v>
      </c>
      <c r="C2520" s="1">
        <v>7400000</v>
      </c>
      <c r="D2520" s="1" t="s">
        <v>664</v>
      </c>
      <c r="E2520">
        <v>173.45959999999999</v>
      </c>
      <c r="F2520" s="1" t="s">
        <v>86</v>
      </c>
      <c r="G2520">
        <v>143</v>
      </c>
      <c r="H2520">
        <v>37</v>
      </c>
      <c r="I2520" s="1" t="s">
        <v>194</v>
      </c>
      <c r="J2520">
        <v>1</v>
      </c>
      <c r="K2520" t="str">
        <f>IF(Tb_data[[#This Row],[previous_workers]]&lt;Tb_data[[#This Row],[workers]],"yes","no")</f>
        <v>yes</v>
      </c>
      <c r="L2520">
        <f>Tb_data[[#This Row],[workers]]-Tb_data[[#This Row],[previous_workers]]</f>
        <v>106</v>
      </c>
      <c r="M2520" s="12">
        <f>Tb_data[[#This Row],[Employees Growth]]/Tb_data[[#This Row],[previous_workers]]</f>
        <v>2.8648648648648649</v>
      </c>
    </row>
    <row r="2521" spans="1:13" x14ac:dyDescent="0.25">
      <c r="A2521" s="1" t="s">
        <v>1752</v>
      </c>
      <c r="B2521" s="1" t="s">
        <v>1753</v>
      </c>
      <c r="C2521" s="1">
        <v>19500000</v>
      </c>
      <c r="D2521" s="1" t="s">
        <v>427</v>
      </c>
      <c r="E2521">
        <v>518.39260000000002</v>
      </c>
      <c r="F2521" s="1" t="s">
        <v>176</v>
      </c>
      <c r="G2521">
        <v>103</v>
      </c>
      <c r="H2521">
        <v>25</v>
      </c>
      <c r="I2521" s="1" t="s">
        <v>74</v>
      </c>
      <c r="J2521">
        <v>1</v>
      </c>
      <c r="K2521" t="str">
        <f>IF(Tb_data[[#This Row],[previous_workers]]&lt;Tb_data[[#This Row],[workers]],"yes","no")</f>
        <v>yes</v>
      </c>
      <c r="L2521">
        <f>Tb_data[[#This Row],[workers]]-Tb_data[[#This Row],[previous_workers]]</f>
        <v>78</v>
      </c>
      <c r="M2521" s="12">
        <f>Tb_data[[#This Row],[Employees Growth]]/Tb_data[[#This Row],[previous_workers]]</f>
        <v>3.12</v>
      </c>
    </row>
    <row r="2522" spans="1:13" x14ac:dyDescent="0.25">
      <c r="A2522" s="1" t="s">
        <v>2385</v>
      </c>
      <c r="B2522" s="1" t="s">
        <v>2386</v>
      </c>
      <c r="C2522" s="1">
        <v>116600000</v>
      </c>
      <c r="D2522" s="1" t="s">
        <v>422</v>
      </c>
      <c r="E2522">
        <v>367.60739999999998</v>
      </c>
      <c r="F2522" s="1" t="s">
        <v>161</v>
      </c>
      <c r="G2522">
        <v>25</v>
      </c>
      <c r="H2522">
        <v>16</v>
      </c>
      <c r="I2522" s="1" t="s">
        <v>130</v>
      </c>
      <c r="J2522">
        <v>3</v>
      </c>
      <c r="K2522" t="str">
        <f>IF(Tb_data[[#This Row],[previous_workers]]&lt;Tb_data[[#This Row],[workers]],"yes","no")</f>
        <v>yes</v>
      </c>
      <c r="L2522">
        <f>Tb_data[[#This Row],[workers]]-Tb_data[[#This Row],[previous_workers]]</f>
        <v>9</v>
      </c>
      <c r="M2522" s="12">
        <f>Tb_data[[#This Row],[Employees Growth]]/Tb_data[[#This Row],[previous_workers]]</f>
        <v>0.5625</v>
      </c>
    </row>
    <row r="2523" spans="1:13" x14ac:dyDescent="0.25">
      <c r="A2523" s="1" t="s">
        <v>6373</v>
      </c>
      <c r="B2523" s="1" t="s">
        <v>6374</v>
      </c>
      <c r="C2523" s="1">
        <v>6400000</v>
      </c>
      <c r="D2523" s="1" t="s">
        <v>49</v>
      </c>
      <c r="E2523">
        <v>116.86279999999999</v>
      </c>
      <c r="F2523" s="1" t="s">
        <v>12</v>
      </c>
      <c r="G2523">
        <v>25</v>
      </c>
      <c r="H2523">
        <v>15</v>
      </c>
      <c r="I2523" s="1" t="s">
        <v>35</v>
      </c>
      <c r="J2523">
        <v>6</v>
      </c>
      <c r="K2523" t="str">
        <f>IF(Tb_data[[#This Row],[previous_workers]]&lt;Tb_data[[#This Row],[workers]],"yes","no")</f>
        <v>yes</v>
      </c>
      <c r="L2523">
        <f>Tb_data[[#This Row],[workers]]-Tb_data[[#This Row],[previous_workers]]</f>
        <v>10</v>
      </c>
      <c r="M2523" s="12">
        <f>Tb_data[[#This Row],[Employees Growth]]/Tb_data[[#This Row],[previous_workers]]</f>
        <v>0.66666666666666663</v>
      </c>
    </row>
    <row r="2524" spans="1:13" x14ac:dyDescent="0.25">
      <c r="A2524" s="1" t="s">
        <v>1218</v>
      </c>
      <c r="B2524" s="1" t="s">
        <v>1219</v>
      </c>
      <c r="C2524" s="1">
        <v>27400000</v>
      </c>
      <c r="D2524" s="1" t="s">
        <v>115</v>
      </c>
      <c r="E2524">
        <v>794.18340000000001</v>
      </c>
      <c r="F2524" s="1" t="s">
        <v>135</v>
      </c>
      <c r="G2524">
        <v>160</v>
      </c>
      <c r="H2524">
        <v>32</v>
      </c>
      <c r="I2524" s="1" t="s">
        <v>26</v>
      </c>
      <c r="J2524">
        <v>2</v>
      </c>
      <c r="K2524" t="str">
        <f>IF(Tb_data[[#This Row],[previous_workers]]&lt;Tb_data[[#This Row],[workers]],"yes","no")</f>
        <v>yes</v>
      </c>
      <c r="L2524">
        <f>Tb_data[[#This Row],[workers]]-Tb_data[[#This Row],[previous_workers]]</f>
        <v>128</v>
      </c>
      <c r="M2524" s="12">
        <f>Tb_data[[#This Row],[Employees Growth]]/Tb_data[[#This Row],[previous_workers]]</f>
        <v>4</v>
      </c>
    </row>
    <row r="2525" spans="1:13" x14ac:dyDescent="0.25">
      <c r="A2525" s="1" t="s">
        <v>8145</v>
      </c>
      <c r="B2525" s="1" t="s">
        <v>8146</v>
      </c>
      <c r="C2525" s="1">
        <v>12800000</v>
      </c>
      <c r="D2525" s="1" t="s">
        <v>41</v>
      </c>
      <c r="E2525">
        <v>80.526499999999999</v>
      </c>
      <c r="F2525" s="1" t="s">
        <v>161</v>
      </c>
      <c r="G2525">
        <v>99</v>
      </c>
      <c r="H2525">
        <v>53</v>
      </c>
      <c r="I2525" s="1" t="s">
        <v>948</v>
      </c>
      <c r="J2525">
        <v>1</v>
      </c>
      <c r="K2525" t="str">
        <f>IF(Tb_data[[#This Row],[previous_workers]]&lt;Tb_data[[#This Row],[workers]],"yes","no")</f>
        <v>yes</v>
      </c>
      <c r="L2525">
        <f>Tb_data[[#This Row],[workers]]-Tb_data[[#This Row],[previous_workers]]</f>
        <v>46</v>
      </c>
      <c r="M2525" s="12">
        <f>Tb_data[[#This Row],[Employees Growth]]/Tb_data[[#This Row],[previous_workers]]</f>
        <v>0.86792452830188682</v>
      </c>
    </row>
    <row r="2526" spans="1:13" x14ac:dyDescent="0.25">
      <c r="A2526" s="1" t="s">
        <v>6851</v>
      </c>
      <c r="B2526" s="1" t="s">
        <v>6852</v>
      </c>
      <c r="C2526" s="1">
        <v>4900000</v>
      </c>
      <c r="D2526" s="1" t="s">
        <v>895</v>
      </c>
      <c r="E2526">
        <v>105.5471</v>
      </c>
      <c r="F2526" s="1" t="s">
        <v>156</v>
      </c>
      <c r="G2526">
        <v>65</v>
      </c>
      <c r="H2526">
        <v>35</v>
      </c>
      <c r="I2526" s="1" t="s">
        <v>147</v>
      </c>
      <c r="J2526">
        <v>4</v>
      </c>
      <c r="K2526" t="str">
        <f>IF(Tb_data[[#This Row],[previous_workers]]&lt;Tb_data[[#This Row],[workers]],"yes","no")</f>
        <v>yes</v>
      </c>
      <c r="L2526">
        <f>Tb_data[[#This Row],[workers]]-Tb_data[[#This Row],[previous_workers]]</f>
        <v>30</v>
      </c>
      <c r="M2526" s="12">
        <f>Tb_data[[#This Row],[Employees Growth]]/Tb_data[[#This Row],[previous_workers]]</f>
        <v>0.8571428571428571</v>
      </c>
    </row>
    <row r="2527" spans="1:13" x14ac:dyDescent="0.25">
      <c r="A2527" s="1" t="s">
        <v>2405</v>
      </c>
      <c r="B2527" s="1" t="s">
        <v>2406</v>
      </c>
      <c r="C2527" s="1">
        <v>101200000</v>
      </c>
      <c r="D2527" s="1" t="s">
        <v>20</v>
      </c>
      <c r="E2527">
        <v>363.16849999999999</v>
      </c>
      <c r="F2527" s="1" t="s">
        <v>176</v>
      </c>
      <c r="G2527">
        <v>429</v>
      </c>
      <c r="H2527">
        <v>78</v>
      </c>
      <c r="I2527" s="1" t="s">
        <v>2407</v>
      </c>
      <c r="J2527">
        <v>5</v>
      </c>
      <c r="K2527" t="str">
        <f>IF(Tb_data[[#This Row],[previous_workers]]&lt;Tb_data[[#This Row],[workers]],"yes","no")</f>
        <v>yes</v>
      </c>
      <c r="L2527">
        <f>Tb_data[[#This Row],[workers]]-Tb_data[[#This Row],[previous_workers]]</f>
        <v>351</v>
      </c>
      <c r="M2527" s="12">
        <f>Tb_data[[#This Row],[Employees Growth]]/Tb_data[[#This Row],[previous_workers]]</f>
        <v>4.5</v>
      </c>
    </row>
    <row r="2528" spans="1:13" x14ac:dyDescent="0.25">
      <c r="A2528" s="1" t="s">
        <v>1657</v>
      </c>
      <c r="B2528" s="1" t="s">
        <v>4091</v>
      </c>
      <c r="C2528" s="1">
        <v>46800000</v>
      </c>
      <c r="D2528" s="1" t="s">
        <v>91</v>
      </c>
      <c r="E2528">
        <v>201.81729999999999</v>
      </c>
      <c r="F2528" s="1" t="s">
        <v>25</v>
      </c>
      <c r="G2528">
        <v>68</v>
      </c>
      <c r="H2528">
        <v>23</v>
      </c>
      <c r="I2528" s="1" t="s">
        <v>26</v>
      </c>
      <c r="J2528">
        <v>1</v>
      </c>
      <c r="K2528" t="str">
        <f>IF(Tb_data[[#This Row],[previous_workers]]&lt;Tb_data[[#This Row],[workers]],"yes","no")</f>
        <v>yes</v>
      </c>
      <c r="L2528">
        <f>Tb_data[[#This Row],[workers]]-Tb_data[[#This Row],[previous_workers]]</f>
        <v>45</v>
      </c>
      <c r="M2528" s="12">
        <f>Tb_data[[#This Row],[Employees Growth]]/Tb_data[[#This Row],[previous_workers]]</f>
        <v>1.9565217391304348</v>
      </c>
    </row>
    <row r="2529" spans="1:13" x14ac:dyDescent="0.25">
      <c r="A2529" s="1" t="s">
        <v>2554</v>
      </c>
      <c r="B2529" s="1" t="s">
        <v>2555</v>
      </c>
      <c r="C2529" s="1">
        <v>13500000</v>
      </c>
      <c r="D2529" s="1" t="s">
        <v>45</v>
      </c>
      <c r="E2529">
        <v>336.83730000000003</v>
      </c>
      <c r="F2529" s="1" t="s">
        <v>62</v>
      </c>
      <c r="G2529">
        <v>86</v>
      </c>
      <c r="H2529">
        <v>22</v>
      </c>
      <c r="I2529" s="1" t="s">
        <v>26</v>
      </c>
      <c r="J2529">
        <v>1</v>
      </c>
      <c r="K2529" t="str">
        <f>IF(Tb_data[[#This Row],[previous_workers]]&lt;Tb_data[[#This Row],[workers]],"yes","no")</f>
        <v>yes</v>
      </c>
      <c r="L2529">
        <f>Tb_data[[#This Row],[workers]]-Tb_data[[#This Row],[previous_workers]]</f>
        <v>64</v>
      </c>
      <c r="M2529" s="12">
        <f>Tb_data[[#This Row],[Employees Growth]]/Tb_data[[#This Row],[previous_workers]]</f>
        <v>2.9090909090909092</v>
      </c>
    </row>
    <row r="2530" spans="1:13" x14ac:dyDescent="0.25">
      <c r="A2530" s="1" t="s">
        <v>7066</v>
      </c>
      <c r="B2530" s="1" t="s">
        <v>7067</v>
      </c>
      <c r="C2530" s="1">
        <v>17400000</v>
      </c>
      <c r="D2530" s="1" t="s">
        <v>61</v>
      </c>
      <c r="E2530">
        <v>100.7406</v>
      </c>
      <c r="F2530" s="1" t="s">
        <v>34</v>
      </c>
      <c r="G2530">
        <v>475</v>
      </c>
      <c r="H2530">
        <v>270</v>
      </c>
      <c r="I2530" s="1" t="s">
        <v>117</v>
      </c>
      <c r="J2530">
        <v>2</v>
      </c>
      <c r="K2530" t="str">
        <f>IF(Tb_data[[#This Row],[previous_workers]]&lt;Tb_data[[#This Row],[workers]],"yes","no")</f>
        <v>yes</v>
      </c>
      <c r="L2530">
        <f>Tb_data[[#This Row],[workers]]-Tb_data[[#This Row],[previous_workers]]</f>
        <v>205</v>
      </c>
      <c r="M2530" s="12">
        <f>Tb_data[[#This Row],[Employees Growth]]/Tb_data[[#This Row],[previous_workers]]</f>
        <v>0.7592592592592593</v>
      </c>
    </row>
    <row r="2531" spans="1:13" x14ac:dyDescent="0.25">
      <c r="A2531" s="1" t="s">
        <v>761</v>
      </c>
      <c r="B2531" s="1" t="s">
        <v>762</v>
      </c>
      <c r="C2531" s="1">
        <v>2200000</v>
      </c>
      <c r="D2531" s="1" t="s">
        <v>175</v>
      </c>
      <c r="E2531">
        <v>1386.454</v>
      </c>
      <c r="F2531" s="1" t="s">
        <v>100</v>
      </c>
      <c r="G2531">
        <v>12</v>
      </c>
      <c r="H2531">
        <v>4</v>
      </c>
      <c r="I2531" s="1" t="s">
        <v>26</v>
      </c>
      <c r="J2531">
        <v>1</v>
      </c>
      <c r="K2531" t="str">
        <f>IF(Tb_data[[#This Row],[previous_workers]]&lt;Tb_data[[#This Row],[workers]],"yes","no")</f>
        <v>yes</v>
      </c>
      <c r="L2531">
        <f>Tb_data[[#This Row],[workers]]-Tb_data[[#This Row],[previous_workers]]</f>
        <v>8</v>
      </c>
      <c r="M2531" s="12">
        <f>Tb_data[[#This Row],[Employees Growth]]/Tb_data[[#This Row],[previous_workers]]</f>
        <v>2</v>
      </c>
    </row>
    <row r="2532" spans="1:13" x14ac:dyDescent="0.25">
      <c r="A2532" s="1" t="s">
        <v>5574</v>
      </c>
      <c r="B2532" s="1" t="s">
        <v>5575</v>
      </c>
      <c r="C2532" s="1">
        <v>14300000</v>
      </c>
      <c r="D2532" s="1" t="s">
        <v>49</v>
      </c>
      <c r="E2532">
        <v>139.37299999999999</v>
      </c>
      <c r="F2532" s="1" t="s">
        <v>62</v>
      </c>
      <c r="G2532">
        <v>54</v>
      </c>
      <c r="H2532">
        <v>25</v>
      </c>
      <c r="I2532" s="1" t="s">
        <v>372</v>
      </c>
      <c r="J2532">
        <v>2</v>
      </c>
      <c r="K2532" t="str">
        <f>IF(Tb_data[[#This Row],[previous_workers]]&lt;Tb_data[[#This Row],[workers]],"yes","no")</f>
        <v>yes</v>
      </c>
      <c r="L2532">
        <f>Tb_data[[#This Row],[workers]]-Tb_data[[#This Row],[previous_workers]]</f>
        <v>29</v>
      </c>
      <c r="M2532" s="12">
        <f>Tb_data[[#This Row],[Employees Growth]]/Tb_data[[#This Row],[previous_workers]]</f>
        <v>1.1599999999999999</v>
      </c>
    </row>
    <row r="2533" spans="1:13" x14ac:dyDescent="0.25">
      <c r="A2533" s="1" t="s">
        <v>2155</v>
      </c>
      <c r="B2533" s="1" t="s">
        <v>2156</v>
      </c>
      <c r="C2533" s="1">
        <v>50100000</v>
      </c>
      <c r="D2533" s="1" t="s">
        <v>49</v>
      </c>
      <c r="E2533">
        <v>412.59440000000001</v>
      </c>
      <c r="F2533" s="1" t="s">
        <v>34</v>
      </c>
      <c r="G2533">
        <v>200</v>
      </c>
      <c r="H2533">
        <v>75</v>
      </c>
      <c r="I2533" s="1" t="s">
        <v>46</v>
      </c>
      <c r="J2533">
        <v>4</v>
      </c>
      <c r="K2533" t="str">
        <f>IF(Tb_data[[#This Row],[previous_workers]]&lt;Tb_data[[#This Row],[workers]],"yes","no")</f>
        <v>yes</v>
      </c>
      <c r="L2533">
        <f>Tb_data[[#This Row],[workers]]-Tb_data[[#This Row],[previous_workers]]</f>
        <v>125</v>
      </c>
      <c r="M2533" s="12">
        <f>Tb_data[[#This Row],[Employees Growth]]/Tb_data[[#This Row],[previous_workers]]</f>
        <v>1.6666666666666667</v>
      </c>
    </row>
    <row r="2534" spans="1:13" x14ac:dyDescent="0.25">
      <c r="A2534" s="1" t="s">
        <v>1166</v>
      </c>
      <c r="B2534" s="1" t="s">
        <v>1167</v>
      </c>
      <c r="C2534" s="1">
        <v>15300000</v>
      </c>
      <c r="D2534" s="1" t="s">
        <v>52</v>
      </c>
      <c r="E2534">
        <v>818.43129999999996</v>
      </c>
      <c r="F2534" s="1" t="s">
        <v>34</v>
      </c>
      <c r="G2534">
        <v>250</v>
      </c>
      <c r="H2534">
        <v>35</v>
      </c>
      <c r="I2534" s="1" t="s">
        <v>147</v>
      </c>
      <c r="J2534">
        <v>3</v>
      </c>
      <c r="K2534" t="str">
        <f>IF(Tb_data[[#This Row],[previous_workers]]&lt;Tb_data[[#This Row],[workers]],"yes","no")</f>
        <v>yes</v>
      </c>
      <c r="L2534">
        <f>Tb_data[[#This Row],[workers]]-Tb_data[[#This Row],[previous_workers]]</f>
        <v>215</v>
      </c>
      <c r="M2534" s="12">
        <f>Tb_data[[#This Row],[Employees Growth]]/Tb_data[[#This Row],[previous_workers]]</f>
        <v>6.1428571428571432</v>
      </c>
    </row>
    <row r="2535" spans="1:13" x14ac:dyDescent="0.25">
      <c r="A2535" s="1" t="s">
        <v>8269</v>
      </c>
      <c r="B2535" s="1" t="s">
        <v>8270</v>
      </c>
      <c r="C2535" s="1">
        <v>14600000</v>
      </c>
      <c r="D2535" s="1" t="s">
        <v>52</v>
      </c>
      <c r="E2535">
        <v>78.173400000000001</v>
      </c>
      <c r="F2535" s="1" t="s">
        <v>124</v>
      </c>
      <c r="G2535">
        <v>108</v>
      </c>
      <c r="H2535">
        <v>74</v>
      </c>
      <c r="I2535" s="1" t="s">
        <v>2840</v>
      </c>
      <c r="J2535">
        <v>5</v>
      </c>
      <c r="K2535" t="str">
        <f>IF(Tb_data[[#This Row],[previous_workers]]&lt;Tb_data[[#This Row],[workers]],"yes","no")</f>
        <v>yes</v>
      </c>
      <c r="L2535">
        <f>Tb_data[[#This Row],[workers]]-Tb_data[[#This Row],[previous_workers]]</f>
        <v>34</v>
      </c>
      <c r="M2535" s="12">
        <f>Tb_data[[#This Row],[Employees Growth]]/Tb_data[[#This Row],[previous_workers]]</f>
        <v>0.45945945945945948</v>
      </c>
    </row>
    <row r="2536" spans="1:13" x14ac:dyDescent="0.25">
      <c r="A2536" s="1" t="s">
        <v>7028</v>
      </c>
      <c r="B2536" s="1" t="s">
        <v>7029</v>
      </c>
      <c r="C2536" s="1">
        <v>16700000</v>
      </c>
      <c r="D2536" s="1" t="s">
        <v>422</v>
      </c>
      <c r="E2536">
        <v>101.46720000000001</v>
      </c>
      <c r="F2536" s="1" t="s">
        <v>116</v>
      </c>
      <c r="G2536">
        <v>32</v>
      </c>
      <c r="H2536">
        <v>19</v>
      </c>
      <c r="I2536" s="1" t="s">
        <v>46</v>
      </c>
      <c r="J2536">
        <v>5</v>
      </c>
      <c r="K2536" t="str">
        <f>IF(Tb_data[[#This Row],[previous_workers]]&lt;Tb_data[[#This Row],[workers]],"yes","no")</f>
        <v>yes</v>
      </c>
      <c r="L2536">
        <f>Tb_data[[#This Row],[workers]]-Tb_data[[#This Row],[previous_workers]]</f>
        <v>13</v>
      </c>
      <c r="M2536" s="12">
        <f>Tb_data[[#This Row],[Employees Growth]]/Tb_data[[#This Row],[previous_workers]]</f>
        <v>0.68421052631578949</v>
      </c>
    </row>
    <row r="2537" spans="1:13" x14ac:dyDescent="0.25">
      <c r="A2537" s="1" t="s">
        <v>6283</v>
      </c>
      <c r="B2537" s="1" t="s">
        <v>6284</v>
      </c>
      <c r="C2537" s="1">
        <v>17800000</v>
      </c>
      <c r="D2537" s="1" t="s">
        <v>58</v>
      </c>
      <c r="E2537">
        <v>119.45820000000001</v>
      </c>
      <c r="F2537" s="1" t="s">
        <v>34</v>
      </c>
      <c r="G2537">
        <v>180</v>
      </c>
      <c r="H2537">
        <v>70</v>
      </c>
      <c r="I2537" s="1" t="s">
        <v>2628</v>
      </c>
      <c r="J2537">
        <v>4</v>
      </c>
      <c r="K2537" t="str">
        <f>IF(Tb_data[[#This Row],[previous_workers]]&lt;Tb_data[[#This Row],[workers]],"yes","no")</f>
        <v>yes</v>
      </c>
      <c r="L2537">
        <f>Tb_data[[#This Row],[workers]]-Tb_data[[#This Row],[previous_workers]]</f>
        <v>110</v>
      </c>
      <c r="M2537" s="12">
        <f>Tb_data[[#This Row],[Employees Growth]]/Tb_data[[#This Row],[previous_workers]]</f>
        <v>1.5714285714285714</v>
      </c>
    </row>
    <row r="2538" spans="1:13" x14ac:dyDescent="0.25">
      <c r="A2538" s="1" t="s">
        <v>3742</v>
      </c>
      <c r="B2538" s="1" t="s">
        <v>3743</v>
      </c>
      <c r="C2538" s="1">
        <v>21000000</v>
      </c>
      <c r="D2538" s="1" t="s">
        <v>20</v>
      </c>
      <c r="E2538">
        <v>225.58240000000001</v>
      </c>
      <c r="F2538" s="1" t="s">
        <v>34</v>
      </c>
      <c r="G2538">
        <v>111</v>
      </c>
      <c r="H2538">
        <v>55</v>
      </c>
      <c r="I2538" s="1" t="s">
        <v>130</v>
      </c>
      <c r="J2538">
        <v>2</v>
      </c>
      <c r="K2538" t="str">
        <f>IF(Tb_data[[#This Row],[previous_workers]]&lt;Tb_data[[#This Row],[workers]],"yes","no")</f>
        <v>yes</v>
      </c>
      <c r="L2538">
        <f>Tb_data[[#This Row],[workers]]-Tb_data[[#This Row],[previous_workers]]</f>
        <v>56</v>
      </c>
      <c r="M2538" s="12">
        <f>Tb_data[[#This Row],[Employees Growth]]/Tb_data[[#This Row],[previous_workers]]</f>
        <v>1.0181818181818181</v>
      </c>
    </row>
    <row r="2539" spans="1:13" x14ac:dyDescent="0.25">
      <c r="A2539" s="1" t="s">
        <v>7967</v>
      </c>
      <c r="B2539" s="1" t="s">
        <v>7968</v>
      </c>
      <c r="C2539" s="1">
        <v>54500000</v>
      </c>
      <c r="D2539" s="1" t="s">
        <v>38</v>
      </c>
      <c r="E2539">
        <v>83.577500000000001</v>
      </c>
      <c r="F2539" s="1" t="s">
        <v>25</v>
      </c>
      <c r="G2539">
        <v>1286</v>
      </c>
      <c r="H2539">
        <v>637</v>
      </c>
      <c r="I2539" s="1" t="s">
        <v>2628</v>
      </c>
      <c r="J2539">
        <v>1</v>
      </c>
      <c r="K2539" t="str">
        <f>IF(Tb_data[[#This Row],[previous_workers]]&lt;Tb_data[[#This Row],[workers]],"yes","no")</f>
        <v>yes</v>
      </c>
      <c r="L2539">
        <f>Tb_data[[#This Row],[workers]]-Tb_data[[#This Row],[previous_workers]]</f>
        <v>649</v>
      </c>
      <c r="M2539" s="12">
        <f>Tb_data[[#This Row],[Employees Growth]]/Tb_data[[#This Row],[previous_workers]]</f>
        <v>1.0188383045525902</v>
      </c>
    </row>
    <row r="2540" spans="1:13" x14ac:dyDescent="0.25">
      <c r="A2540" s="1" t="s">
        <v>3238</v>
      </c>
      <c r="B2540" s="1" t="s">
        <v>3239</v>
      </c>
      <c r="C2540" s="1">
        <v>16000000</v>
      </c>
      <c r="D2540" s="1" t="s">
        <v>58</v>
      </c>
      <c r="E2540">
        <v>266.58260000000001</v>
      </c>
      <c r="F2540" s="1" t="s">
        <v>62</v>
      </c>
      <c r="G2540">
        <v>56</v>
      </c>
      <c r="H2540">
        <v>24</v>
      </c>
      <c r="I2540" s="1" t="s">
        <v>130</v>
      </c>
      <c r="J2540">
        <v>4</v>
      </c>
      <c r="K2540" t="str">
        <f>IF(Tb_data[[#This Row],[previous_workers]]&lt;Tb_data[[#This Row],[workers]],"yes","no")</f>
        <v>yes</v>
      </c>
      <c r="L2540">
        <f>Tb_data[[#This Row],[workers]]-Tb_data[[#This Row],[previous_workers]]</f>
        <v>32</v>
      </c>
      <c r="M2540" s="12">
        <f>Tb_data[[#This Row],[Employees Growth]]/Tb_data[[#This Row],[previous_workers]]</f>
        <v>1.3333333333333333</v>
      </c>
    </row>
    <row r="2541" spans="1:13" x14ac:dyDescent="0.25">
      <c r="A2541" s="1" t="s">
        <v>6527</v>
      </c>
      <c r="B2541" s="1" t="s">
        <v>6528</v>
      </c>
      <c r="C2541" s="1">
        <v>9300000</v>
      </c>
      <c r="D2541" s="1" t="s">
        <v>20</v>
      </c>
      <c r="E2541">
        <v>113.0772</v>
      </c>
      <c r="F2541" s="1" t="s">
        <v>25</v>
      </c>
      <c r="G2541">
        <v>53</v>
      </c>
      <c r="H2541">
        <v>35</v>
      </c>
      <c r="I2541" s="1" t="s">
        <v>4084</v>
      </c>
      <c r="J2541">
        <v>2</v>
      </c>
      <c r="K2541" t="str">
        <f>IF(Tb_data[[#This Row],[previous_workers]]&lt;Tb_data[[#This Row],[workers]],"yes","no")</f>
        <v>yes</v>
      </c>
      <c r="L2541">
        <f>Tb_data[[#This Row],[workers]]-Tb_data[[#This Row],[previous_workers]]</f>
        <v>18</v>
      </c>
      <c r="M2541" s="12">
        <f>Tb_data[[#This Row],[Employees Growth]]/Tb_data[[#This Row],[previous_workers]]</f>
        <v>0.51428571428571423</v>
      </c>
    </row>
    <row r="2542" spans="1:13" x14ac:dyDescent="0.25">
      <c r="A2542" s="1" t="s">
        <v>8777</v>
      </c>
      <c r="B2542" s="1" t="s">
        <v>8778</v>
      </c>
      <c r="C2542" s="1">
        <v>5100000</v>
      </c>
      <c r="D2542" s="1" t="s">
        <v>115</v>
      </c>
      <c r="E2542">
        <v>69.832700000000003</v>
      </c>
      <c r="F2542" s="1" t="s">
        <v>34</v>
      </c>
      <c r="G2542">
        <v>29</v>
      </c>
      <c r="H2542">
        <v>9</v>
      </c>
      <c r="I2542" s="1" t="s">
        <v>55</v>
      </c>
      <c r="J2542">
        <v>2</v>
      </c>
      <c r="K2542" t="str">
        <f>IF(Tb_data[[#This Row],[previous_workers]]&lt;Tb_data[[#This Row],[workers]],"yes","no")</f>
        <v>yes</v>
      </c>
      <c r="L2542">
        <f>Tb_data[[#This Row],[workers]]-Tb_data[[#This Row],[previous_workers]]</f>
        <v>20</v>
      </c>
      <c r="M2542" s="12">
        <f>Tb_data[[#This Row],[Employees Growth]]/Tb_data[[#This Row],[previous_workers]]</f>
        <v>2.2222222222222223</v>
      </c>
    </row>
    <row r="2543" spans="1:13" x14ac:dyDescent="0.25">
      <c r="A2543" s="1" t="s">
        <v>3955</v>
      </c>
      <c r="B2543" s="1" t="s">
        <v>3956</v>
      </c>
      <c r="C2543" s="1">
        <v>6300000</v>
      </c>
      <c r="D2543" s="1" t="s">
        <v>33</v>
      </c>
      <c r="E2543">
        <v>209.22550000000001</v>
      </c>
      <c r="F2543" s="1" t="s">
        <v>42</v>
      </c>
      <c r="G2543">
        <v>43</v>
      </c>
      <c r="H2543">
        <v>15</v>
      </c>
      <c r="I2543" s="1" t="s">
        <v>35</v>
      </c>
      <c r="J2543">
        <v>4</v>
      </c>
      <c r="K2543" t="str">
        <f>IF(Tb_data[[#This Row],[previous_workers]]&lt;Tb_data[[#This Row],[workers]],"yes","no")</f>
        <v>yes</v>
      </c>
      <c r="L2543">
        <f>Tb_data[[#This Row],[workers]]-Tb_data[[#This Row],[previous_workers]]</f>
        <v>28</v>
      </c>
      <c r="M2543" s="12">
        <f>Tb_data[[#This Row],[Employees Growth]]/Tb_data[[#This Row],[previous_workers]]</f>
        <v>1.8666666666666667</v>
      </c>
    </row>
    <row r="2544" spans="1:13" x14ac:dyDescent="0.25">
      <c r="A2544" s="1" t="s">
        <v>2528</v>
      </c>
      <c r="B2544" s="1" t="s">
        <v>2529</v>
      </c>
      <c r="C2544" s="1">
        <v>31800000</v>
      </c>
      <c r="D2544" s="1" t="s">
        <v>1853</v>
      </c>
      <c r="E2544">
        <v>339.226</v>
      </c>
      <c r="F2544" s="1" t="s">
        <v>62</v>
      </c>
      <c r="G2544">
        <v>130</v>
      </c>
      <c r="H2544">
        <v>20</v>
      </c>
      <c r="I2544" s="1" t="s">
        <v>130</v>
      </c>
      <c r="J2544">
        <v>1</v>
      </c>
      <c r="K2544" t="str">
        <f>IF(Tb_data[[#This Row],[previous_workers]]&lt;Tb_data[[#This Row],[workers]],"yes","no")</f>
        <v>yes</v>
      </c>
      <c r="L2544">
        <f>Tb_data[[#This Row],[workers]]-Tb_data[[#This Row],[previous_workers]]</f>
        <v>110</v>
      </c>
      <c r="M2544" s="12">
        <f>Tb_data[[#This Row],[Employees Growth]]/Tb_data[[#This Row],[previous_workers]]</f>
        <v>5.5</v>
      </c>
    </row>
    <row r="2545" spans="1:13" x14ac:dyDescent="0.25">
      <c r="A2545" s="1" t="s">
        <v>6839</v>
      </c>
      <c r="B2545" s="1" t="s">
        <v>6840</v>
      </c>
      <c r="C2545" s="1">
        <v>40100000</v>
      </c>
      <c r="D2545" s="1" t="s">
        <v>58</v>
      </c>
      <c r="E2545">
        <v>105.7372</v>
      </c>
      <c r="F2545" s="1" t="s">
        <v>86</v>
      </c>
      <c r="G2545">
        <v>225</v>
      </c>
      <c r="H2545">
        <v>162</v>
      </c>
      <c r="I2545" s="1" t="s">
        <v>74</v>
      </c>
      <c r="J2545">
        <v>4</v>
      </c>
      <c r="K2545" t="str">
        <f>IF(Tb_data[[#This Row],[previous_workers]]&lt;Tb_data[[#This Row],[workers]],"yes","no")</f>
        <v>yes</v>
      </c>
      <c r="L2545">
        <f>Tb_data[[#This Row],[workers]]-Tb_data[[#This Row],[previous_workers]]</f>
        <v>63</v>
      </c>
      <c r="M2545" s="12">
        <f>Tb_data[[#This Row],[Employees Growth]]/Tb_data[[#This Row],[previous_workers]]</f>
        <v>0.3888888888888889</v>
      </c>
    </row>
    <row r="2546" spans="1:13" x14ac:dyDescent="0.25">
      <c r="A2546" s="1" t="s">
        <v>113</v>
      </c>
      <c r="B2546" s="1" t="s">
        <v>114</v>
      </c>
      <c r="C2546" s="1">
        <v>20800000</v>
      </c>
      <c r="D2546" s="1" t="s">
        <v>115</v>
      </c>
      <c r="E2546">
        <v>6388.3661000000002</v>
      </c>
      <c r="F2546" s="1" t="s">
        <v>116</v>
      </c>
      <c r="G2546">
        <v>21</v>
      </c>
      <c r="H2546">
        <v>6</v>
      </c>
      <c r="I2546" s="1" t="s">
        <v>117</v>
      </c>
      <c r="J2546">
        <v>1</v>
      </c>
      <c r="K2546" t="str">
        <f>IF(Tb_data[[#This Row],[previous_workers]]&lt;Tb_data[[#This Row],[workers]],"yes","no")</f>
        <v>yes</v>
      </c>
      <c r="L2546">
        <f>Tb_data[[#This Row],[workers]]-Tb_data[[#This Row],[previous_workers]]</f>
        <v>15</v>
      </c>
      <c r="M2546" s="12">
        <f>Tb_data[[#This Row],[Employees Growth]]/Tb_data[[#This Row],[previous_workers]]</f>
        <v>2.5</v>
      </c>
    </row>
    <row r="2547" spans="1:13" x14ac:dyDescent="0.25">
      <c r="A2547" s="1" t="s">
        <v>7609</v>
      </c>
      <c r="B2547" s="1" t="s">
        <v>7610</v>
      </c>
      <c r="C2547" s="1">
        <v>4000000</v>
      </c>
      <c r="D2547" s="1" t="s">
        <v>254</v>
      </c>
      <c r="E2547">
        <v>89.832599999999999</v>
      </c>
      <c r="F2547" s="1" t="s">
        <v>152</v>
      </c>
      <c r="G2547">
        <v>245</v>
      </c>
      <c r="H2547">
        <v>150</v>
      </c>
      <c r="I2547" s="1" t="s">
        <v>164</v>
      </c>
      <c r="J2547">
        <v>2</v>
      </c>
      <c r="K2547" t="str">
        <f>IF(Tb_data[[#This Row],[previous_workers]]&lt;Tb_data[[#This Row],[workers]],"yes","no")</f>
        <v>yes</v>
      </c>
      <c r="L2547">
        <f>Tb_data[[#This Row],[workers]]-Tb_data[[#This Row],[previous_workers]]</f>
        <v>95</v>
      </c>
      <c r="M2547" s="12">
        <f>Tb_data[[#This Row],[Employees Growth]]/Tb_data[[#This Row],[previous_workers]]</f>
        <v>0.6333333333333333</v>
      </c>
    </row>
    <row r="2548" spans="1:13" x14ac:dyDescent="0.25">
      <c r="A2548" s="1" t="s">
        <v>6715</v>
      </c>
      <c r="B2548" s="1" t="s">
        <v>6716</v>
      </c>
      <c r="C2548" s="1">
        <v>16300000</v>
      </c>
      <c r="D2548" s="1" t="s">
        <v>627</v>
      </c>
      <c r="E2548">
        <v>108.6943</v>
      </c>
      <c r="F2548" s="1" t="s">
        <v>124</v>
      </c>
      <c r="G2548">
        <v>23</v>
      </c>
      <c r="H2548">
        <v>16</v>
      </c>
      <c r="I2548" s="1" t="s">
        <v>35</v>
      </c>
      <c r="J2548">
        <v>1</v>
      </c>
      <c r="K2548" t="str">
        <f>IF(Tb_data[[#This Row],[previous_workers]]&lt;Tb_data[[#This Row],[workers]],"yes","no")</f>
        <v>yes</v>
      </c>
      <c r="L2548">
        <f>Tb_data[[#This Row],[workers]]-Tb_data[[#This Row],[previous_workers]]</f>
        <v>7</v>
      </c>
      <c r="M2548" s="12">
        <f>Tb_data[[#This Row],[Employees Growth]]/Tb_data[[#This Row],[previous_workers]]</f>
        <v>0.4375</v>
      </c>
    </row>
    <row r="2549" spans="1:13" x14ac:dyDescent="0.25">
      <c r="A2549" s="1" t="s">
        <v>6087</v>
      </c>
      <c r="B2549" s="1" t="s">
        <v>6088</v>
      </c>
      <c r="C2549" s="1">
        <v>8700000</v>
      </c>
      <c r="D2549" s="1" t="s">
        <v>1021</v>
      </c>
      <c r="E2549">
        <v>124.28230000000001</v>
      </c>
      <c r="F2549" s="1" t="s">
        <v>12</v>
      </c>
      <c r="G2549">
        <v>13</v>
      </c>
      <c r="H2549">
        <v>6</v>
      </c>
      <c r="I2549" s="1" t="s">
        <v>372</v>
      </c>
      <c r="J2549">
        <v>1</v>
      </c>
      <c r="K2549" t="str">
        <f>IF(Tb_data[[#This Row],[previous_workers]]&lt;Tb_data[[#This Row],[workers]],"yes","no")</f>
        <v>yes</v>
      </c>
      <c r="L2549">
        <f>Tb_data[[#This Row],[workers]]-Tb_data[[#This Row],[previous_workers]]</f>
        <v>7</v>
      </c>
      <c r="M2549" s="12">
        <f>Tb_data[[#This Row],[Employees Growth]]/Tb_data[[#This Row],[previous_workers]]</f>
        <v>1.1666666666666667</v>
      </c>
    </row>
    <row r="2550" spans="1:13" x14ac:dyDescent="0.25">
      <c r="A2550" s="1" t="s">
        <v>9790</v>
      </c>
      <c r="B2550" s="1" t="s">
        <v>9791</v>
      </c>
      <c r="C2550" s="1">
        <v>2900000</v>
      </c>
      <c r="D2550" s="1" t="s">
        <v>483</v>
      </c>
      <c r="E2550">
        <v>56.839300000000001</v>
      </c>
      <c r="F2550" s="1" t="s">
        <v>12</v>
      </c>
      <c r="G2550">
        <v>20</v>
      </c>
      <c r="H2550">
        <v>15</v>
      </c>
      <c r="I2550" s="1" t="s">
        <v>130</v>
      </c>
      <c r="J2550">
        <v>1</v>
      </c>
      <c r="K2550" t="str">
        <f>IF(Tb_data[[#This Row],[previous_workers]]&lt;Tb_data[[#This Row],[workers]],"yes","no")</f>
        <v>yes</v>
      </c>
      <c r="L2550">
        <f>Tb_data[[#This Row],[workers]]-Tb_data[[#This Row],[previous_workers]]</f>
        <v>5</v>
      </c>
      <c r="M2550" s="12">
        <f>Tb_data[[#This Row],[Employees Growth]]/Tb_data[[#This Row],[previous_workers]]</f>
        <v>0.33333333333333331</v>
      </c>
    </row>
    <row r="2551" spans="1:13" x14ac:dyDescent="0.25">
      <c r="A2551" s="1" t="s">
        <v>5134</v>
      </c>
      <c r="B2551" s="1" t="s">
        <v>5135</v>
      </c>
      <c r="C2551" s="1">
        <v>6300000</v>
      </c>
      <c r="D2551" s="1" t="s">
        <v>422</v>
      </c>
      <c r="E2551">
        <v>156.2551</v>
      </c>
      <c r="F2551" s="1" t="s">
        <v>12</v>
      </c>
      <c r="G2551">
        <v>40</v>
      </c>
      <c r="H2551">
        <v>19</v>
      </c>
      <c r="I2551" s="1" t="s">
        <v>117</v>
      </c>
      <c r="J2551">
        <v>4</v>
      </c>
      <c r="K2551" t="str">
        <f>IF(Tb_data[[#This Row],[previous_workers]]&lt;Tb_data[[#This Row],[workers]],"yes","no")</f>
        <v>yes</v>
      </c>
      <c r="L2551">
        <f>Tb_data[[#This Row],[workers]]-Tb_data[[#This Row],[previous_workers]]</f>
        <v>21</v>
      </c>
      <c r="M2551" s="12">
        <f>Tb_data[[#This Row],[Employees Growth]]/Tb_data[[#This Row],[previous_workers]]</f>
        <v>1.1052631578947369</v>
      </c>
    </row>
    <row r="2552" spans="1:13" x14ac:dyDescent="0.25">
      <c r="A2552" s="1" t="s">
        <v>1142</v>
      </c>
      <c r="B2552" s="1" t="s">
        <v>1143</v>
      </c>
      <c r="C2552" s="1">
        <v>21300000</v>
      </c>
      <c r="D2552" s="1" t="s">
        <v>20</v>
      </c>
      <c r="E2552">
        <v>842.39049999999997</v>
      </c>
      <c r="F2552" s="1" t="s">
        <v>310</v>
      </c>
      <c r="G2552">
        <v>107</v>
      </c>
      <c r="H2552">
        <v>9</v>
      </c>
      <c r="I2552" s="1" t="s">
        <v>130</v>
      </c>
      <c r="J2552">
        <v>3</v>
      </c>
      <c r="K2552" t="str">
        <f>IF(Tb_data[[#This Row],[previous_workers]]&lt;Tb_data[[#This Row],[workers]],"yes","no")</f>
        <v>yes</v>
      </c>
      <c r="L2552">
        <f>Tb_data[[#This Row],[workers]]-Tb_data[[#This Row],[previous_workers]]</f>
        <v>98</v>
      </c>
      <c r="M2552" s="12">
        <f>Tb_data[[#This Row],[Employees Growth]]/Tb_data[[#This Row],[previous_workers]]</f>
        <v>10.888888888888889</v>
      </c>
    </row>
    <row r="2553" spans="1:13" x14ac:dyDescent="0.25">
      <c r="A2553" s="1" t="s">
        <v>9317</v>
      </c>
      <c r="B2553" s="1" t="s">
        <v>9318</v>
      </c>
      <c r="C2553" s="1">
        <v>98900000</v>
      </c>
      <c r="D2553" s="1" t="s">
        <v>52</v>
      </c>
      <c r="E2553">
        <v>62.5901</v>
      </c>
      <c r="F2553" s="1" t="s">
        <v>42</v>
      </c>
      <c r="G2553">
        <v>482</v>
      </c>
      <c r="H2553">
        <v>312</v>
      </c>
      <c r="I2553" s="1" t="s">
        <v>948</v>
      </c>
      <c r="J2553">
        <v>8</v>
      </c>
      <c r="K2553" t="str">
        <f>IF(Tb_data[[#This Row],[previous_workers]]&lt;Tb_data[[#This Row],[workers]],"yes","no")</f>
        <v>yes</v>
      </c>
      <c r="L2553">
        <f>Tb_data[[#This Row],[workers]]-Tb_data[[#This Row],[previous_workers]]</f>
        <v>170</v>
      </c>
      <c r="M2553" s="12">
        <f>Tb_data[[#This Row],[Employees Growth]]/Tb_data[[#This Row],[previous_workers]]</f>
        <v>0.54487179487179482</v>
      </c>
    </row>
    <row r="2554" spans="1:13" x14ac:dyDescent="0.25">
      <c r="A2554" s="1" t="s">
        <v>4551</v>
      </c>
      <c r="B2554" s="1" t="s">
        <v>4552</v>
      </c>
      <c r="C2554" s="1">
        <v>9000000</v>
      </c>
      <c r="D2554" s="1" t="s">
        <v>38</v>
      </c>
      <c r="E2554">
        <v>180.21680000000001</v>
      </c>
      <c r="F2554" s="1" t="s">
        <v>30</v>
      </c>
      <c r="G2554">
        <v>10</v>
      </c>
      <c r="H2554">
        <v>2</v>
      </c>
      <c r="I2554" s="1" t="s">
        <v>46</v>
      </c>
      <c r="J2554">
        <v>1</v>
      </c>
      <c r="K2554" t="str">
        <f>IF(Tb_data[[#This Row],[previous_workers]]&lt;Tb_data[[#This Row],[workers]],"yes","no")</f>
        <v>yes</v>
      </c>
      <c r="L2554">
        <f>Tb_data[[#This Row],[workers]]-Tb_data[[#This Row],[previous_workers]]</f>
        <v>8</v>
      </c>
      <c r="M2554" s="12">
        <f>Tb_data[[#This Row],[Employees Growth]]/Tb_data[[#This Row],[previous_workers]]</f>
        <v>4</v>
      </c>
    </row>
    <row r="2555" spans="1:13" x14ac:dyDescent="0.25">
      <c r="A2555" s="1" t="s">
        <v>2336</v>
      </c>
      <c r="B2555" s="1" t="s">
        <v>2337</v>
      </c>
      <c r="C2555" s="1">
        <v>7300000</v>
      </c>
      <c r="D2555" s="1" t="s">
        <v>33</v>
      </c>
      <c r="E2555">
        <v>376.38979999999998</v>
      </c>
      <c r="F2555" s="1" t="s">
        <v>176</v>
      </c>
      <c r="G2555">
        <v>16</v>
      </c>
      <c r="H2555">
        <v>8</v>
      </c>
      <c r="I2555" s="1" t="s">
        <v>26</v>
      </c>
      <c r="J2555">
        <v>1</v>
      </c>
      <c r="K2555" t="str">
        <f>IF(Tb_data[[#This Row],[previous_workers]]&lt;Tb_data[[#This Row],[workers]],"yes","no")</f>
        <v>yes</v>
      </c>
      <c r="L2555">
        <f>Tb_data[[#This Row],[workers]]-Tb_data[[#This Row],[previous_workers]]</f>
        <v>8</v>
      </c>
      <c r="M2555" s="12">
        <f>Tb_data[[#This Row],[Employees Growth]]/Tb_data[[#This Row],[previous_workers]]</f>
        <v>1</v>
      </c>
    </row>
    <row r="2556" spans="1:13" x14ac:dyDescent="0.25">
      <c r="A2556" s="1" t="s">
        <v>9858</v>
      </c>
      <c r="B2556" s="1" t="s">
        <v>9859</v>
      </c>
      <c r="C2556" s="1">
        <v>22000000</v>
      </c>
      <c r="D2556" s="1" t="s">
        <v>61</v>
      </c>
      <c r="E2556">
        <v>55.898000000000003</v>
      </c>
      <c r="F2556" s="1" t="s">
        <v>3264</v>
      </c>
      <c r="G2556">
        <v>82</v>
      </c>
      <c r="H2556">
        <v>60</v>
      </c>
      <c r="I2556" s="1" t="s">
        <v>1051</v>
      </c>
      <c r="J2556">
        <v>10</v>
      </c>
      <c r="K2556" t="str">
        <f>IF(Tb_data[[#This Row],[previous_workers]]&lt;Tb_data[[#This Row],[workers]],"yes","no")</f>
        <v>yes</v>
      </c>
      <c r="L2556">
        <f>Tb_data[[#This Row],[workers]]-Tb_data[[#This Row],[previous_workers]]</f>
        <v>22</v>
      </c>
      <c r="M2556" s="12">
        <f>Tb_data[[#This Row],[Employees Growth]]/Tb_data[[#This Row],[previous_workers]]</f>
        <v>0.36666666666666664</v>
      </c>
    </row>
    <row r="2557" spans="1:13" x14ac:dyDescent="0.25">
      <c r="A2557" s="1" t="s">
        <v>9287</v>
      </c>
      <c r="B2557" s="1" t="s">
        <v>9288</v>
      </c>
      <c r="C2557" s="1">
        <v>113400000</v>
      </c>
      <c r="D2557" s="1" t="s">
        <v>123</v>
      </c>
      <c r="E2557">
        <v>62.976799999999997</v>
      </c>
      <c r="F2557" s="1" t="s">
        <v>156</v>
      </c>
      <c r="G2557">
        <v>531</v>
      </c>
      <c r="H2557">
        <v>449</v>
      </c>
      <c r="I2557" s="1" t="s">
        <v>2628</v>
      </c>
      <c r="J2557">
        <v>12</v>
      </c>
      <c r="K2557" t="str">
        <f>IF(Tb_data[[#This Row],[previous_workers]]&lt;Tb_data[[#This Row],[workers]],"yes","no")</f>
        <v>yes</v>
      </c>
      <c r="L2557">
        <f>Tb_data[[#This Row],[workers]]-Tb_data[[#This Row],[previous_workers]]</f>
        <v>82</v>
      </c>
      <c r="M2557" s="12">
        <f>Tb_data[[#This Row],[Employees Growth]]/Tb_data[[#This Row],[previous_workers]]</f>
        <v>0.18262806236080179</v>
      </c>
    </row>
    <row r="2558" spans="1:13" x14ac:dyDescent="0.25">
      <c r="A2558" s="1" t="s">
        <v>9566</v>
      </c>
      <c r="B2558" s="1" t="s">
        <v>9567</v>
      </c>
      <c r="C2558" s="1">
        <v>20000000</v>
      </c>
      <c r="D2558" s="1" t="s">
        <v>69</v>
      </c>
      <c r="E2558">
        <v>59.508899999999997</v>
      </c>
      <c r="F2558" s="1" t="s">
        <v>12</v>
      </c>
      <c r="G2558">
        <v>111</v>
      </c>
      <c r="H2558">
        <v>46</v>
      </c>
      <c r="I2558" s="1" t="s">
        <v>468</v>
      </c>
      <c r="J2558">
        <v>7</v>
      </c>
      <c r="K2558" t="str">
        <f>IF(Tb_data[[#This Row],[previous_workers]]&lt;Tb_data[[#This Row],[workers]],"yes","no")</f>
        <v>yes</v>
      </c>
      <c r="L2558">
        <f>Tb_data[[#This Row],[workers]]-Tb_data[[#This Row],[previous_workers]]</f>
        <v>65</v>
      </c>
      <c r="M2558" s="12">
        <f>Tb_data[[#This Row],[Employees Growth]]/Tb_data[[#This Row],[previous_workers]]</f>
        <v>1.4130434782608696</v>
      </c>
    </row>
    <row r="2559" spans="1:13" x14ac:dyDescent="0.25">
      <c r="A2559" s="1" t="s">
        <v>8909</v>
      </c>
      <c r="B2559" s="1" t="s">
        <v>8910</v>
      </c>
      <c r="C2559" s="1">
        <v>7600000</v>
      </c>
      <c r="D2559" s="1" t="s">
        <v>179</v>
      </c>
      <c r="E2559">
        <v>67.920500000000004</v>
      </c>
      <c r="F2559" s="1" t="s">
        <v>12</v>
      </c>
      <c r="G2559">
        <v>51</v>
      </c>
      <c r="H2559">
        <v>30</v>
      </c>
      <c r="I2559" s="1" t="s">
        <v>295</v>
      </c>
      <c r="J2559">
        <v>5</v>
      </c>
      <c r="K2559" t="str">
        <f>IF(Tb_data[[#This Row],[previous_workers]]&lt;Tb_data[[#This Row],[workers]],"yes","no")</f>
        <v>yes</v>
      </c>
      <c r="L2559">
        <f>Tb_data[[#This Row],[workers]]-Tb_data[[#This Row],[previous_workers]]</f>
        <v>21</v>
      </c>
      <c r="M2559" s="12">
        <f>Tb_data[[#This Row],[Employees Growth]]/Tb_data[[#This Row],[previous_workers]]</f>
        <v>0.7</v>
      </c>
    </row>
    <row r="2560" spans="1:13" x14ac:dyDescent="0.25">
      <c r="A2560" s="1" t="s">
        <v>8502</v>
      </c>
      <c r="B2560" s="1" t="s">
        <v>8503</v>
      </c>
      <c r="C2560" s="1">
        <v>60300000</v>
      </c>
      <c r="D2560" s="1" t="s">
        <v>29</v>
      </c>
      <c r="E2560">
        <v>74.035399999999996</v>
      </c>
      <c r="F2560" s="1" t="s">
        <v>12</v>
      </c>
      <c r="G2560">
        <v>300</v>
      </c>
      <c r="H2560">
        <v>100</v>
      </c>
      <c r="I2560" s="1" t="s">
        <v>372</v>
      </c>
      <c r="J2560">
        <v>6</v>
      </c>
      <c r="K2560" t="str">
        <f>IF(Tb_data[[#This Row],[previous_workers]]&lt;Tb_data[[#This Row],[workers]],"yes","no")</f>
        <v>yes</v>
      </c>
      <c r="L2560">
        <f>Tb_data[[#This Row],[workers]]-Tb_data[[#This Row],[previous_workers]]</f>
        <v>200</v>
      </c>
      <c r="M2560" s="12">
        <f>Tb_data[[#This Row],[Employees Growth]]/Tb_data[[#This Row],[previous_workers]]</f>
        <v>2</v>
      </c>
    </row>
    <row r="2561" spans="1:13" x14ac:dyDescent="0.25">
      <c r="A2561" s="1" t="s">
        <v>7807</v>
      </c>
      <c r="B2561" s="1" t="s">
        <v>7808</v>
      </c>
      <c r="C2561" s="1">
        <v>704400000</v>
      </c>
      <c r="D2561" s="1" t="s">
        <v>45</v>
      </c>
      <c r="E2561">
        <v>86.137299999999996</v>
      </c>
      <c r="F2561" s="1" t="s">
        <v>124</v>
      </c>
      <c r="G2561">
        <v>2075</v>
      </c>
      <c r="H2561">
        <v>1235</v>
      </c>
      <c r="I2561" s="1" t="s">
        <v>836</v>
      </c>
      <c r="J2561">
        <v>3</v>
      </c>
      <c r="K2561" t="str">
        <f>IF(Tb_data[[#This Row],[previous_workers]]&lt;Tb_data[[#This Row],[workers]],"yes","no")</f>
        <v>yes</v>
      </c>
      <c r="L2561">
        <f>Tb_data[[#This Row],[workers]]-Tb_data[[#This Row],[previous_workers]]</f>
        <v>840</v>
      </c>
      <c r="M2561" s="12">
        <f>Tb_data[[#This Row],[Employees Growth]]/Tb_data[[#This Row],[previous_workers]]</f>
        <v>0.68016194331983804</v>
      </c>
    </row>
    <row r="2562" spans="1:13" x14ac:dyDescent="0.25">
      <c r="A2562" s="1" t="s">
        <v>8789</v>
      </c>
      <c r="B2562" s="1" t="s">
        <v>8790</v>
      </c>
      <c r="C2562" s="1">
        <v>64500000</v>
      </c>
      <c r="D2562" s="1" t="s">
        <v>375</v>
      </c>
      <c r="E2562">
        <v>69.583500000000001</v>
      </c>
      <c r="F2562" s="1" t="s">
        <v>176</v>
      </c>
      <c r="G2562">
        <v>165</v>
      </c>
      <c r="H2562">
        <v>128</v>
      </c>
      <c r="I2562" s="1" t="s">
        <v>372</v>
      </c>
      <c r="J2562">
        <v>6</v>
      </c>
      <c r="K2562" t="str">
        <f>IF(Tb_data[[#This Row],[previous_workers]]&lt;Tb_data[[#This Row],[workers]],"yes","no")</f>
        <v>yes</v>
      </c>
      <c r="L2562">
        <f>Tb_data[[#This Row],[workers]]-Tb_data[[#This Row],[previous_workers]]</f>
        <v>37</v>
      </c>
      <c r="M2562" s="12">
        <f>Tb_data[[#This Row],[Employees Growth]]/Tb_data[[#This Row],[previous_workers]]</f>
        <v>0.2890625</v>
      </c>
    </row>
    <row r="2563" spans="1:13" x14ac:dyDescent="0.25">
      <c r="A2563" s="1" t="s">
        <v>4026</v>
      </c>
      <c r="B2563" s="1" t="s">
        <v>4027</v>
      </c>
      <c r="C2563" s="1">
        <v>36100000</v>
      </c>
      <c r="D2563" s="1" t="s">
        <v>422</v>
      </c>
      <c r="E2563">
        <v>205.79239999999999</v>
      </c>
      <c r="F2563" s="1" t="s">
        <v>310</v>
      </c>
      <c r="G2563">
        <v>638</v>
      </c>
      <c r="H2563">
        <v>295</v>
      </c>
      <c r="I2563" s="1" t="s">
        <v>229</v>
      </c>
      <c r="J2563">
        <v>5</v>
      </c>
      <c r="K2563" t="str">
        <f>IF(Tb_data[[#This Row],[previous_workers]]&lt;Tb_data[[#This Row],[workers]],"yes","no")</f>
        <v>yes</v>
      </c>
      <c r="L2563">
        <f>Tb_data[[#This Row],[workers]]-Tb_data[[#This Row],[previous_workers]]</f>
        <v>343</v>
      </c>
      <c r="M2563" s="12">
        <f>Tb_data[[#This Row],[Employees Growth]]/Tb_data[[#This Row],[previous_workers]]</f>
        <v>1.1627118644067798</v>
      </c>
    </row>
    <row r="2564" spans="1:13" x14ac:dyDescent="0.25">
      <c r="A2564" s="1" t="s">
        <v>3491</v>
      </c>
      <c r="B2564" s="1" t="s">
        <v>3492</v>
      </c>
      <c r="C2564" s="1">
        <v>2500000</v>
      </c>
      <c r="D2564" s="1" t="s">
        <v>1002</v>
      </c>
      <c r="E2564">
        <v>243.19640000000001</v>
      </c>
      <c r="F2564" s="1" t="s">
        <v>34</v>
      </c>
      <c r="G2564">
        <v>12</v>
      </c>
      <c r="H2564">
        <v>5</v>
      </c>
      <c r="I2564" s="1" t="s">
        <v>46</v>
      </c>
      <c r="J2564">
        <v>2</v>
      </c>
      <c r="K2564" t="str">
        <f>IF(Tb_data[[#This Row],[previous_workers]]&lt;Tb_data[[#This Row],[workers]],"yes","no")</f>
        <v>yes</v>
      </c>
      <c r="L2564">
        <f>Tb_data[[#This Row],[workers]]-Tb_data[[#This Row],[previous_workers]]</f>
        <v>7</v>
      </c>
      <c r="M2564" s="12">
        <f>Tb_data[[#This Row],[Employees Growth]]/Tb_data[[#This Row],[previous_workers]]</f>
        <v>1.4</v>
      </c>
    </row>
    <row r="2565" spans="1:13" x14ac:dyDescent="0.25">
      <c r="A2565" s="1" t="s">
        <v>3033</v>
      </c>
      <c r="B2565" s="1" t="s">
        <v>3034</v>
      </c>
      <c r="C2565" s="1">
        <v>3400000</v>
      </c>
      <c r="D2565" s="1" t="s">
        <v>49</v>
      </c>
      <c r="E2565">
        <v>284.48059999999998</v>
      </c>
      <c r="F2565" s="1" t="s">
        <v>21</v>
      </c>
      <c r="G2565">
        <v>33</v>
      </c>
      <c r="H2565">
        <v>15</v>
      </c>
      <c r="I2565" s="1" t="s">
        <v>55</v>
      </c>
      <c r="J2565">
        <v>1</v>
      </c>
      <c r="K2565" t="str">
        <f>IF(Tb_data[[#This Row],[previous_workers]]&lt;Tb_data[[#This Row],[workers]],"yes","no")</f>
        <v>yes</v>
      </c>
      <c r="L2565">
        <f>Tb_data[[#This Row],[workers]]-Tb_data[[#This Row],[previous_workers]]</f>
        <v>18</v>
      </c>
      <c r="M2565" s="12">
        <f>Tb_data[[#This Row],[Employees Growth]]/Tb_data[[#This Row],[previous_workers]]</f>
        <v>1.2</v>
      </c>
    </row>
    <row r="2566" spans="1:13" x14ac:dyDescent="0.25">
      <c r="A2566" s="1" t="s">
        <v>7655</v>
      </c>
      <c r="B2566" s="1" t="s">
        <v>7656</v>
      </c>
      <c r="C2566" s="1">
        <v>23900000</v>
      </c>
      <c r="D2566" s="1" t="s">
        <v>254</v>
      </c>
      <c r="E2566">
        <v>88.793000000000006</v>
      </c>
      <c r="F2566" s="1" t="s">
        <v>124</v>
      </c>
      <c r="G2566">
        <v>24</v>
      </c>
      <c r="H2566">
        <v>15</v>
      </c>
      <c r="I2566" s="1" t="s">
        <v>1622</v>
      </c>
      <c r="J2566">
        <v>2</v>
      </c>
      <c r="K2566" t="str">
        <f>IF(Tb_data[[#This Row],[previous_workers]]&lt;Tb_data[[#This Row],[workers]],"yes","no")</f>
        <v>yes</v>
      </c>
      <c r="L2566">
        <f>Tb_data[[#This Row],[workers]]-Tb_data[[#This Row],[previous_workers]]</f>
        <v>9</v>
      </c>
      <c r="M2566" s="12">
        <f>Tb_data[[#This Row],[Employees Growth]]/Tb_data[[#This Row],[previous_workers]]</f>
        <v>0.6</v>
      </c>
    </row>
    <row r="2567" spans="1:13" x14ac:dyDescent="0.25">
      <c r="A2567" s="1" t="s">
        <v>6493</v>
      </c>
      <c r="B2567" s="1" t="s">
        <v>6494</v>
      </c>
      <c r="C2567" s="1">
        <v>80600000</v>
      </c>
      <c r="D2567" s="1" t="s">
        <v>123</v>
      </c>
      <c r="E2567">
        <v>114.1931</v>
      </c>
      <c r="F2567" s="1" t="s">
        <v>86</v>
      </c>
      <c r="G2567">
        <v>545</v>
      </c>
      <c r="H2567">
        <v>298</v>
      </c>
      <c r="I2567" s="1" t="s">
        <v>948</v>
      </c>
      <c r="J2567">
        <v>5</v>
      </c>
      <c r="K2567" t="str">
        <f>IF(Tb_data[[#This Row],[previous_workers]]&lt;Tb_data[[#This Row],[workers]],"yes","no")</f>
        <v>yes</v>
      </c>
      <c r="L2567">
        <f>Tb_data[[#This Row],[workers]]-Tb_data[[#This Row],[previous_workers]]</f>
        <v>247</v>
      </c>
      <c r="M2567" s="12">
        <f>Tb_data[[#This Row],[Employees Growth]]/Tb_data[[#This Row],[previous_workers]]</f>
        <v>0.82885906040268453</v>
      </c>
    </row>
    <row r="2568" spans="1:13" x14ac:dyDescent="0.25">
      <c r="A2568" s="1" t="s">
        <v>6333</v>
      </c>
      <c r="B2568" s="1" t="s">
        <v>6334</v>
      </c>
      <c r="C2568" s="1">
        <v>6300000</v>
      </c>
      <c r="D2568" s="1" t="s">
        <v>45</v>
      </c>
      <c r="E2568">
        <v>117.7814</v>
      </c>
      <c r="F2568" s="1" t="s">
        <v>12</v>
      </c>
      <c r="G2568">
        <v>32</v>
      </c>
      <c r="H2568">
        <v>22</v>
      </c>
      <c r="I2568" s="1" t="s">
        <v>147</v>
      </c>
      <c r="J2568">
        <v>2</v>
      </c>
      <c r="K2568" t="str">
        <f>IF(Tb_data[[#This Row],[previous_workers]]&lt;Tb_data[[#This Row],[workers]],"yes","no")</f>
        <v>yes</v>
      </c>
      <c r="L2568">
        <f>Tb_data[[#This Row],[workers]]-Tb_data[[#This Row],[previous_workers]]</f>
        <v>10</v>
      </c>
      <c r="M2568" s="12">
        <f>Tb_data[[#This Row],[Employees Growth]]/Tb_data[[#This Row],[previous_workers]]</f>
        <v>0.45454545454545453</v>
      </c>
    </row>
    <row r="2569" spans="1:13" x14ac:dyDescent="0.25">
      <c r="A2569" s="1" t="s">
        <v>1914</v>
      </c>
      <c r="B2569" s="1" t="s">
        <v>1916</v>
      </c>
      <c r="C2569" s="1">
        <v>2800000</v>
      </c>
      <c r="D2569" s="1" t="s">
        <v>115</v>
      </c>
      <c r="E2569">
        <v>470.2944</v>
      </c>
      <c r="F2569" s="1" t="s">
        <v>34</v>
      </c>
      <c r="G2569">
        <v>38</v>
      </c>
      <c r="H2569">
        <v>12</v>
      </c>
      <c r="I2569" s="1" t="s">
        <v>26</v>
      </c>
      <c r="J2569">
        <v>1</v>
      </c>
      <c r="K2569" t="str">
        <f>IF(Tb_data[[#This Row],[previous_workers]]&lt;Tb_data[[#This Row],[workers]],"yes","no")</f>
        <v>yes</v>
      </c>
      <c r="L2569">
        <f>Tb_data[[#This Row],[workers]]-Tb_data[[#This Row],[previous_workers]]</f>
        <v>26</v>
      </c>
      <c r="M2569" s="12">
        <f>Tb_data[[#This Row],[Employees Growth]]/Tb_data[[#This Row],[previous_workers]]</f>
        <v>2.1666666666666665</v>
      </c>
    </row>
    <row r="2570" spans="1:13" x14ac:dyDescent="0.25">
      <c r="A2570" s="1" t="s">
        <v>2725</v>
      </c>
      <c r="B2570" s="1" t="s">
        <v>2726</v>
      </c>
      <c r="C2570" s="1">
        <v>45600000</v>
      </c>
      <c r="D2570" s="1" t="s">
        <v>16</v>
      </c>
      <c r="E2570">
        <v>316.28789999999998</v>
      </c>
      <c r="F2570" s="1" t="s">
        <v>17</v>
      </c>
      <c r="G2570">
        <v>75</v>
      </c>
      <c r="H2570">
        <v>26</v>
      </c>
      <c r="I2570" s="1" t="s">
        <v>46</v>
      </c>
      <c r="J2570">
        <v>2</v>
      </c>
      <c r="K2570" t="str">
        <f>IF(Tb_data[[#This Row],[previous_workers]]&lt;Tb_data[[#This Row],[workers]],"yes","no")</f>
        <v>yes</v>
      </c>
      <c r="L2570">
        <f>Tb_data[[#This Row],[workers]]-Tb_data[[#This Row],[previous_workers]]</f>
        <v>49</v>
      </c>
      <c r="M2570" s="12">
        <f>Tb_data[[#This Row],[Employees Growth]]/Tb_data[[#This Row],[previous_workers]]</f>
        <v>1.8846153846153846</v>
      </c>
    </row>
    <row r="2571" spans="1:13" x14ac:dyDescent="0.25">
      <c r="A2571" s="1" t="s">
        <v>7096</v>
      </c>
      <c r="B2571" s="1" t="s">
        <v>7097</v>
      </c>
      <c r="C2571" s="1">
        <v>165600000</v>
      </c>
      <c r="D2571" s="1" t="s">
        <v>254</v>
      </c>
      <c r="E2571">
        <v>100.4066</v>
      </c>
      <c r="F2571" s="1" t="s">
        <v>17</v>
      </c>
      <c r="G2571">
        <v>119</v>
      </c>
      <c r="H2571">
        <v>102</v>
      </c>
      <c r="I2571" s="1" t="s">
        <v>46</v>
      </c>
      <c r="J2571">
        <v>7</v>
      </c>
      <c r="K2571" t="str">
        <f>IF(Tb_data[[#This Row],[previous_workers]]&lt;Tb_data[[#This Row],[workers]],"yes","no")</f>
        <v>yes</v>
      </c>
      <c r="L2571">
        <f>Tb_data[[#This Row],[workers]]-Tb_data[[#This Row],[previous_workers]]</f>
        <v>17</v>
      </c>
      <c r="M2571" s="12">
        <f>Tb_data[[#This Row],[Employees Growth]]/Tb_data[[#This Row],[previous_workers]]</f>
        <v>0.16666666666666666</v>
      </c>
    </row>
    <row r="2572" spans="1:13" x14ac:dyDescent="0.25">
      <c r="A2572" s="1" t="s">
        <v>311</v>
      </c>
      <c r="B2572" s="1" t="s">
        <v>312</v>
      </c>
      <c r="C2572" s="1">
        <v>3700000</v>
      </c>
      <c r="D2572" s="1" t="s">
        <v>69</v>
      </c>
      <c r="E2572">
        <v>2938.5448999999999</v>
      </c>
      <c r="F2572" s="1" t="s">
        <v>17</v>
      </c>
      <c r="G2572">
        <v>15</v>
      </c>
      <c r="H2572">
        <v>1</v>
      </c>
      <c r="I2572" s="1" t="s">
        <v>26</v>
      </c>
      <c r="J2572">
        <v>1</v>
      </c>
      <c r="K2572" t="str">
        <f>IF(Tb_data[[#This Row],[previous_workers]]&lt;Tb_data[[#This Row],[workers]],"yes","no")</f>
        <v>yes</v>
      </c>
      <c r="L2572">
        <f>Tb_data[[#This Row],[workers]]-Tb_data[[#This Row],[previous_workers]]</f>
        <v>14</v>
      </c>
      <c r="M2572" s="12">
        <f>Tb_data[[#This Row],[Employees Growth]]/Tb_data[[#This Row],[previous_workers]]</f>
        <v>14</v>
      </c>
    </row>
    <row r="2573" spans="1:13" x14ac:dyDescent="0.25">
      <c r="A2573" s="1" t="s">
        <v>242</v>
      </c>
      <c r="B2573" s="1" t="s">
        <v>243</v>
      </c>
      <c r="C2573" s="1">
        <v>9000000</v>
      </c>
      <c r="D2573" s="1" t="s">
        <v>11</v>
      </c>
      <c r="E2573">
        <v>3692.3510000000001</v>
      </c>
      <c r="F2573" s="1" t="s">
        <v>62</v>
      </c>
      <c r="G2573">
        <v>19</v>
      </c>
      <c r="H2573">
        <v>3</v>
      </c>
      <c r="I2573" s="1" t="s">
        <v>13</v>
      </c>
      <c r="J2573">
        <v>1</v>
      </c>
      <c r="K2573" t="str">
        <f>IF(Tb_data[[#This Row],[previous_workers]]&lt;Tb_data[[#This Row],[workers]],"yes","no")</f>
        <v>yes</v>
      </c>
      <c r="L2573">
        <f>Tb_data[[#This Row],[workers]]-Tb_data[[#This Row],[previous_workers]]</f>
        <v>16</v>
      </c>
      <c r="M2573" s="12">
        <f>Tb_data[[#This Row],[Employees Growth]]/Tb_data[[#This Row],[previous_workers]]</f>
        <v>5.333333333333333</v>
      </c>
    </row>
    <row r="2574" spans="1:13" x14ac:dyDescent="0.25">
      <c r="A2574" s="1" t="s">
        <v>1120</v>
      </c>
      <c r="B2574" s="1" t="s">
        <v>1121</v>
      </c>
      <c r="C2574" s="1">
        <v>2100000</v>
      </c>
      <c r="D2574" s="1" t="s">
        <v>254</v>
      </c>
      <c r="E2574">
        <v>855.36649999999997</v>
      </c>
      <c r="F2574" s="1" t="s">
        <v>176</v>
      </c>
      <c r="G2574">
        <v>12</v>
      </c>
      <c r="H2574">
        <v>4</v>
      </c>
      <c r="I2574" s="1" t="s">
        <v>164</v>
      </c>
      <c r="J2574">
        <v>1</v>
      </c>
      <c r="K2574" t="str">
        <f>IF(Tb_data[[#This Row],[previous_workers]]&lt;Tb_data[[#This Row],[workers]],"yes","no")</f>
        <v>yes</v>
      </c>
      <c r="L2574">
        <f>Tb_data[[#This Row],[workers]]-Tb_data[[#This Row],[previous_workers]]</f>
        <v>8</v>
      </c>
      <c r="M2574" s="12">
        <f>Tb_data[[#This Row],[Employees Growth]]/Tb_data[[#This Row],[previous_workers]]</f>
        <v>2</v>
      </c>
    </row>
    <row r="2575" spans="1:13" x14ac:dyDescent="0.25">
      <c r="A2575" s="1" t="s">
        <v>6005</v>
      </c>
      <c r="B2575" s="1" t="s">
        <v>6006</v>
      </c>
      <c r="C2575" s="1">
        <v>2100000</v>
      </c>
      <c r="D2575" s="1" t="s">
        <v>115</v>
      </c>
      <c r="E2575">
        <v>126.3973</v>
      </c>
      <c r="F2575" s="1" t="s">
        <v>12</v>
      </c>
      <c r="G2575">
        <v>23</v>
      </c>
      <c r="H2575">
        <v>10</v>
      </c>
      <c r="I2575" s="1" t="s">
        <v>117</v>
      </c>
      <c r="J2575">
        <v>1</v>
      </c>
      <c r="K2575" t="str">
        <f>IF(Tb_data[[#This Row],[previous_workers]]&lt;Tb_data[[#This Row],[workers]],"yes","no")</f>
        <v>yes</v>
      </c>
      <c r="L2575">
        <f>Tb_data[[#This Row],[workers]]-Tb_data[[#This Row],[previous_workers]]</f>
        <v>13</v>
      </c>
      <c r="M2575" s="12">
        <f>Tb_data[[#This Row],[Employees Growth]]/Tb_data[[#This Row],[previous_workers]]</f>
        <v>1.3</v>
      </c>
    </row>
    <row r="2576" spans="1:13" x14ac:dyDescent="0.25">
      <c r="A2576" s="1" t="s">
        <v>5956</v>
      </c>
      <c r="B2576" s="1" t="s">
        <v>5957</v>
      </c>
      <c r="C2576" s="1">
        <v>5600000</v>
      </c>
      <c r="D2576" s="1" t="s">
        <v>254</v>
      </c>
      <c r="E2576">
        <v>127.5891</v>
      </c>
      <c r="F2576" s="1" t="s">
        <v>12</v>
      </c>
      <c r="G2576">
        <v>47</v>
      </c>
      <c r="H2576">
        <v>10</v>
      </c>
      <c r="I2576" s="1" t="s">
        <v>130</v>
      </c>
      <c r="J2576">
        <v>2</v>
      </c>
      <c r="K2576" t="str">
        <f>IF(Tb_data[[#This Row],[previous_workers]]&lt;Tb_data[[#This Row],[workers]],"yes","no")</f>
        <v>yes</v>
      </c>
      <c r="L2576">
        <f>Tb_data[[#This Row],[workers]]-Tb_data[[#This Row],[previous_workers]]</f>
        <v>37</v>
      </c>
      <c r="M2576" s="12">
        <f>Tb_data[[#This Row],[Employees Growth]]/Tb_data[[#This Row],[previous_workers]]</f>
        <v>3.7</v>
      </c>
    </row>
    <row r="2577" spans="1:13" x14ac:dyDescent="0.25">
      <c r="A2577" s="1" t="s">
        <v>2440</v>
      </c>
      <c r="B2577" s="1" t="s">
        <v>2441</v>
      </c>
      <c r="C2577" s="1">
        <v>11600000</v>
      </c>
      <c r="D2577" s="1" t="s">
        <v>20</v>
      </c>
      <c r="E2577">
        <v>356.46510000000001</v>
      </c>
      <c r="F2577" s="1" t="s">
        <v>12</v>
      </c>
      <c r="G2577">
        <v>16</v>
      </c>
      <c r="H2577">
        <v>8</v>
      </c>
      <c r="I2577" s="1" t="s">
        <v>55</v>
      </c>
      <c r="J2577">
        <v>3</v>
      </c>
      <c r="K2577" t="str">
        <f>IF(Tb_data[[#This Row],[previous_workers]]&lt;Tb_data[[#This Row],[workers]],"yes","no")</f>
        <v>yes</v>
      </c>
      <c r="L2577">
        <f>Tb_data[[#This Row],[workers]]-Tb_data[[#This Row],[previous_workers]]</f>
        <v>8</v>
      </c>
      <c r="M2577" s="12">
        <f>Tb_data[[#This Row],[Employees Growth]]/Tb_data[[#This Row],[previous_workers]]</f>
        <v>1</v>
      </c>
    </row>
    <row r="2578" spans="1:13" x14ac:dyDescent="0.25">
      <c r="A2578" s="1" t="s">
        <v>4349</v>
      </c>
      <c r="B2578" s="1" t="s">
        <v>4350</v>
      </c>
      <c r="C2578" s="1">
        <v>11000000</v>
      </c>
      <c r="D2578" s="1" t="s">
        <v>33</v>
      </c>
      <c r="E2578">
        <v>188.81309999999999</v>
      </c>
      <c r="F2578" s="1" t="s">
        <v>176</v>
      </c>
      <c r="G2578">
        <v>19</v>
      </c>
      <c r="H2578">
        <v>5</v>
      </c>
      <c r="I2578" s="1" t="s">
        <v>229</v>
      </c>
      <c r="J2578">
        <v>1</v>
      </c>
      <c r="K2578" t="str">
        <f>IF(Tb_data[[#This Row],[previous_workers]]&lt;Tb_data[[#This Row],[workers]],"yes","no")</f>
        <v>yes</v>
      </c>
      <c r="L2578">
        <f>Tb_data[[#This Row],[workers]]-Tb_data[[#This Row],[previous_workers]]</f>
        <v>14</v>
      </c>
      <c r="M2578" s="12">
        <f>Tb_data[[#This Row],[Employees Growth]]/Tb_data[[#This Row],[previous_workers]]</f>
        <v>2.8</v>
      </c>
    </row>
    <row r="2579" spans="1:13" x14ac:dyDescent="0.25">
      <c r="A2579" s="1" t="s">
        <v>6914</v>
      </c>
      <c r="B2579" s="1" t="s">
        <v>6915</v>
      </c>
      <c r="C2579" s="1">
        <v>49600000</v>
      </c>
      <c r="D2579" s="1" t="s">
        <v>41</v>
      </c>
      <c r="E2579">
        <v>103.8981</v>
      </c>
      <c r="F2579" s="1" t="s">
        <v>17</v>
      </c>
      <c r="G2579">
        <v>85</v>
      </c>
      <c r="H2579">
        <v>35</v>
      </c>
      <c r="I2579" s="1" t="s">
        <v>1051</v>
      </c>
      <c r="J2579">
        <v>2</v>
      </c>
      <c r="K2579" t="str">
        <f>IF(Tb_data[[#This Row],[previous_workers]]&lt;Tb_data[[#This Row],[workers]],"yes","no")</f>
        <v>yes</v>
      </c>
      <c r="L2579">
        <f>Tb_data[[#This Row],[workers]]-Tb_data[[#This Row],[previous_workers]]</f>
        <v>50</v>
      </c>
      <c r="M2579" s="12">
        <f>Tb_data[[#This Row],[Employees Growth]]/Tb_data[[#This Row],[previous_workers]]</f>
        <v>1.4285714285714286</v>
      </c>
    </row>
    <row r="2580" spans="1:13" x14ac:dyDescent="0.25">
      <c r="A2580" s="1" t="s">
        <v>7523</v>
      </c>
      <c r="B2580" s="1" t="s">
        <v>7524</v>
      </c>
      <c r="C2580" s="1">
        <v>34000000</v>
      </c>
      <c r="D2580" s="1" t="s">
        <v>58</v>
      </c>
      <c r="E2580">
        <v>92.400300000000001</v>
      </c>
      <c r="F2580" s="1" t="s">
        <v>176</v>
      </c>
      <c r="G2580">
        <v>182</v>
      </c>
      <c r="H2580">
        <v>114</v>
      </c>
      <c r="I2580" s="1" t="s">
        <v>295</v>
      </c>
      <c r="J2580">
        <v>3</v>
      </c>
      <c r="K2580" t="str">
        <f>IF(Tb_data[[#This Row],[previous_workers]]&lt;Tb_data[[#This Row],[workers]],"yes","no")</f>
        <v>yes</v>
      </c>
      <c r="L2580">
        <f>Tb_data[[#This Row],[workers]]-Tb_data[[#This Row],[previous_workers]]</f>
        <v>68</v>
      </c>
      <c r="M2580" s="12">
        <f>Tb_data[[#This Row],[Employees Growth]]/Tb_data[[#This Row],[previous_workers]]</f>
        <v>0.59649122807017541</v>
      </c>
    </row>
    <row r="2581" spans="1:13" x14ac:dyDescent="0.25">
      <c r="A2581" s="1" t="s">
        <v>7613</v>
      </c>
      <c r="B2581" s="1" t="s">
        <v>7614</v>
      </c>
      <c r="C2581" s="1">
        <v>4900000</v>
      </c>
      <c r="D2581" s="1" t="s">
        <v>254</v>
      </c>
      <c r="E2581">
        <v>89.663399999999996</v>
      </c>
      <c r="F2581" s="1" t="s">
        <v>12</v>
      </c>
      <c r="G2581">
        <v>34</v>
      </c>
      <c r="H2581">
        <v>25</v>
      </c>
      <c r="I2581" s="1" t="s">
        <v>74</v>
      </c>
      <c r="J2581">
        <v>4</v>
      </c>
      <c r="K2581" t="str">
        <f>IF(Tb_data[[#This Row],[previous_workers]]&lt;Tb_data[[#This Row],[workers]],"yes","no")</f>
        <v>yes</v>
      </c>
      <c r="L2581">
        <f>Tb_data[[#This Row],[workers]]-Tb_data[[#This Row],[previous_workers]]</f>
        <v>9</v>
      </c>
      <c r="M2581" s="12">
        <f>Tb_data[[#This Row],[Employees Growth]]/Tb_data[[#This Row],[previous_workers]]</f>
        <v>0.36</v>
      </c>
    </row>
    <row r="2582" spans="1:13" x14ac:dyDescent="0.25">
      <c r="A2582" s="1" t="s">
        <v>2430</v>
      </c>
      <c r="B2582" s="1" t="s">
        <v>2431</v>
      </c>
      <c r="C2582" s="1">
        <v>47300000</v>
      </c>
      <c r="D2582" s="1" t="s">
        <v>895</v>
      </c>
      <c r="E2582">
        <v>358.7645</v>
      </c>
      <c r="F2582" s="1" t="s">
        <v>12</v>
      </c>
      <c r="G2582">
        <v>501</v>
      </c>
      <c r="H2582">
        <v>109</v>
      </c>
      <c r="I2582" s="1" t="s">
        <v>117</v>
      </c>
      <c r="J2582">
        <v>6</v>
      </c>
      <c r="K2582" t="str">
        <f>IF(Tb_data[[#This Row],[previous_workers]]&lt;Tb_data[[#This Row],[workers]],"yes","no")</f>
        <v>yes</v>
      </c>
      <c r="L2582">
        <f>Tb_data[[#This Row],[workers]]-Tb_data[[#This Row],[previous_workers]]</f>
        <v>392</v>
      </c>
      <c r="M2582" s="12">
        <f>Tb_data[[#This Row],[Employees Growth]]/Tb_data[[#This Row],[previous_workers]]</f>
        <v>3.596330275229358</v>
      </c>
    </row>
    <row r="2583" spans="1:13" x14ac:dyDescent="0.25">
      <c r="A2583" s="1" t="s">
        <v>4541</v>
      </c>
      <c r="B2583" s="1" t="s">
        <v>4542</v>
      </c>
      <c r="C2583" s="1">
        <v>228000000</v>
      </c>
      <c r="D2583" s="1" t="s">
        <v>61</v>
      </c>
      <c r="E2583">
        <v>180.66560000000001</v>
      </c>
      <c r="F2583" s="1" t="s">
        <v>17</v>
      </c>
      <c r="G2583">
        <v>34</v>
      </c>
      <c r="H2583">
        <v>32</v>
      </c>
      <c r="I2583" s="1" t="s">
        <v>948</v>
      </c>
      <c r="J2583">
        <v>10</v>
      </c>
      <c r="K2583" t="str">
        <f>IF(Tb_data[[#This Row],[previous_workers]]&lt;Tb_data[[#This Row],[workers]],"yes","no")</f>
        <v>yes</v>
      </c>
      <c r="L2583">
        <f>Tb_data[[#This Row],[workers]]-Tb_data[[#This Row],[previous_workers]]</f>
        <v>2</v>
      </c>
      <c r="M2583" s="12">
        <f>Tb_data[[#This Row],[Employees Growth]]/Tb_data[[#This Row],[previous_workers]]</f>
        <v>6.25E-2</v>
      </c>
    </row>
    <row r="2584" spans="1:13" x14ac:dyDescent="0.25">
      <c r="A2584" s="1" t="s">
        <v>5806</v>
      </c>
      <c r="B2584" s="1" t="s">
        <v>5807</v>
      </c>
      <c r="C2584" s="1">
        <v>195700000</v>
      </c>
      <c r="D2584" s="1" t="s">
        <v>29</v>
      </c>
      <c r="E2584">
        <v>131.1686</v>
      </c>
      <c r="F2584" s="1" t="s">
        <v>17</v>
      </c>
      <c r="G2584">
        <v>255</v>
      </c>
      <c r="H2584">
        <v>160</v>
      </c>
      <c r="I2584" s="1" t="s">
        <v>1411</v>
      </c>
      <c r="J2584">
        <v>5</v>
      </c>
      <c r="K2584" t="str">
        <f>IF(Tb_data[[#This Row],[previous_workers]]&lt;Tb_data[[#This Row],[workers]],"yes","no")</f>
        <v>yes</v>
      </c>
      <c r="L2584">
        <f>Tb_data[[#This Row],[workers]]-Tb_data[[#This Row],[previous_workers]]</f>
        <v>95</v>
      </c>
      <c r="M2584" s="12">
        <f>Tb_data[[#This Row],[Employees Growth]]/Tb_data[[#This Row],[previous_workers]]</f>
        <v>0.59375</v>
      </c>
    </row>
    <row r="2585" spans="1:13" x14ac:dyDescent="0.25">
      <c r="A2585" s="1" t="s">
        <v>2308</v>
      </c>
      <c r="B2585" s="1" t="s">
        <v>2309</v>
      </c>
      <c r="C2585" s="1">
        <v>14400000</v>
      </c>
      <c r="D2585" s="1" t="s">
        <v>85</v>
      </c>
      <c r="E2585">
        <v>382.01089999999999</v>
      </c>
      <c r="F2585" s="1" t="s">
        <v>30</v>
      </c>
      <c r="G2585">
        <v>18</v>
      </c>
      <c r="H2585">
        <v>2</v>
      </c>
      <c r="I2585" s="1" t="s">
        <v>55</v>
      </c>
      <c r="J2585">
        <v>4</v>
      </c>
      <c r="K2585" t="str">
        <f>IF(Tb_data[[#This Row],[previous_workers]]&lt;Tb_data[[#This Row],[workers]],"yes","no")</f>
        <v>yes</v>
      </c>
      <c r="L2585">
        <f>Tb_data[[#This Row],[workers]]-Tb_data[[#This Row],[previous_workers]]</f>
        <v>16</v>
      </c>
      <c r="M2585" s="12">
        <f>Tb_data[[#This Row],[Employees Growth]]/Tb_data[[#This Row],[previous_workers]]</f>
        <v>8</v>
      </c>
    </row>
    <row r="2586" spans="1:13" x14ac:dyDescent="0.25">
      <c r="A2586" s="1" t="s">
        <v>8373</v>
      </c>
      <c r="B2586" s="1" t="s">
        <v>8374</v>
      </c>
      <c r="C2586" s="1">
        <v>3400000</v>
      </c>
      <c r="D2586" s="1" t="s">
        <v>483</v>
      </c>
      <c r="E2586">
        <v>76.6982</v>
      </c>
      <c r="F2586" s="1" t="s">
        <v>116</v>
      </c>
      <c r="G2586">
        <v>15</v>
      </c>
      <c r="H2586">
        <v>10</v>
      </c>
      <c r="I2586" s="1" t="s">
        <v>35</v>
      </c>
      <c r="J2586">
        <v>3</v>
      </c>
      <c r="K2586" t="str">
        <f>IF(Tb_data[[#This Row],[previous_workers]]&lt;Tb_data[[#This Row],[workers]],"yes","no")</f>
        <v>yes</v>
      </c>
      <c r="L2586">
        <f>Tb_data[[#This Row],[workers]]-Tb_data[[#This Row],[previous_workers]]</f>
        <v>5</v>
      </c>
      <c r="M2586" s="12">
        <f>Tb_data[[#This Row],[Employees Growth]]/Tb_data[[#This Row],[previous_workers]]</f>
        <v>0.5</v>
      </c>
    </row>
    <row r="2587" spans="1:13" x14ac:dyDescent="0.25">
      <c r="A2587" s="1" t="s">
        <v>6920</v>
      </c>
      <c r="B2587" s="1" t="s">
        <v>6921</v>
      </c>
      <c r="C2587" s="1">
        <v>12600000</v>
      </c>
      <c r="D2587" s="1" t="s">
        <v>179</v>
      </c>
      <c r="E2587">
        <v>103.60550000000001</v>
      </c>
      <c r="F2587" s="1" t="s">
        <v>161</v>
      </c>
      <c r="G2587">
        <v>68</v>
      </c>
      <c r="H2587">
        <v>44</v>
      </c>
      <c r="I2587" s="1" t="s">
        <v>130</v>
      </c>
      <c r="J2587">
        <v>2</v>
      </c>
      <c r="K2587" t="str">
        <f>IF(Tb_data[[#This Row],[previous_workers]]&lt;Tb_data[[#This Row],[workers]],"yes","no")</f>
        <v>yes</v>
      </c>
      <c r="L2587">
        <f>Tb_data[[#This Row],[workers]]-Tb_data[[#This Row],[previous_workers]]</f>
        <v>24</v>
      </c>
      <c r="M2587" s="12">
        <f>Tb_data[[#This Row],[Employees Growth]]/Tb_data[[#This Row],[previous_workers]]</f>
        <v>0.54545454545454541</v>
      </c>
    </row>
    <row r="2588" spans="1:13" x14ac:dyDescent="0.25">
      <c r="A2588" s="1" t="s">
        <v>3805</v>
      </c>
      <c r="B2588" s="1" t="s">
        <v>3806</v>
      </c>
      <c r="C2588" s="1">
        <v>2600000</v>
      </c>
      <c r="D2588" s="1" t="s">
        <v>61</v>
      </c>
      <c r="E2588">
        <v>220.595</v>
      </c>
      <c r="F2588" s="1" t="s">
        <v>12</v>
      </c>
      <c r="G2588">
        <v>30</v>
      </c>
      <c r="H2588">
        <v>7</v>
      </c>
      <c r="I2588" s="1" t="s">
        <v>55</v>
      </c>
      <c r="J2588">
        <v>1</v>
      </c>
      <c r="K2588" t="str">
        <f>IF(Tb_data[[#This Row],[previous_workers]]&lt;Tb_data[[#This Row],[workers]],"yes","no")</f>
        <v>yes</v>
      </c>
      <c r="L2588">
        <f>Tb_data[[#This Row],[workers]]-Tb_data[[#This Row],[previous_workers]]</f>
        <v>23</v>
      </c>
      <c r="M2588" s="12">
        <f>Tb_data[[#This Row],[Employees Growth]]/Tb_data[[#This Row],[previous_workers]]</f>
        <v>3.2857142857142856</v>
      </c>
    </row>
    <row r="2589" spans="1:13" x14ac:dyDescent="0.25">
      <c r="A2589" s="1" t="s">
        <v>4756</v>
      </c>
      <c r="B2589" s="1" t="s">
        <v>4757</v>
      </c>
      <c r="C2589" s="1">
        <v>12000000</v>
      </c>
      <c r="D2589" s="1" t="s">
        <v>49</v>
      </c>
      <c r="E2589">
        <v>172.34819999999999</v>
      </c>
      <c r="F2589" s="1" t="s">
        <v>21</v>
      </c>
      <c r="G2589">
        <v>35</v>
      </c>
      <c r="H2589">
        <v>19</v>
      </c>
      <c r="I2589" s="1" t="s">
        <v>130</v>
      </c>
      <c r="J2589">
        <v>2</v>
      </c>
      <c r="K2589" t="str">
        <f>IF(Tb_data[[#This Row],[previous_workers]]&lt;Tb_data[[#This Row],[workers]],"yes","no")</f>
        <v>yes</v>
      </c>
      <c r="L2589">
        <f>Tb_data[[#This Row],[workers]]-Tb_data[[#This Row],[previous_workers]]</f>
        <v>16</v>
      </c>
      <c r="M2589" s="12">
        <f>Tb_data[[#This Row],[Employees Growth]]/Tb_data[[#This Row],[previous_workers]]</f>
        <v>0.84210526315789469</v>
      </c>
    </row>
    <row r="2590" spans="1:13" x14ac:dyDescent="0.25">
      <c r="A2590" s="1" t="s">
        <v>7240</v>
      </c>
      <c r="B2590" s="1" t="s">
        <v>7241</v>
      </c>
      <c r="C2590" s="1">
        <v>15900000</v>
      </c>
      <c r="D2590" s="1" t="s">
        <v>79</v>
      </c>
      <c r="E2590">
        <v>97.841499999999996</v>
      </c>
      <c r="F2590" s="1" t="s">
        <v>156</v>
      </c>
      <c r="G2590">
        <v>82</v>
      </c>
      <c r="H2590">
        <v>53</v>
      </c>
      <c r="I2590" s="1" t="s">
        <v>147</v>
      </c>
      <c r="J2590">
        <v>1</v>
      </c>
      <c r="K2590" t="str">
        <f>IF(Tb_data[[#This Row],[previous_workers]]&lt;Tb_data[[#This Row],[workers]],"yes","no")</f>
        <v>yes</v>
      </c>
      <c r="L2590">
        <f>Tb_data[[#This Row],[workers]]-Tb_data[[#This Row],[previous_workers]]</f>
        <v>29</v>
      </c>
      <c r="M2590" s="12">
        <f>Tb_data[[#This Row],[Employees Growth]]/Tb_data[[#This Row],[previous_workers]]</f>
        <v>0.54716981132075471</v>
      </c>
    </row>
    <row r="2591" spans="1:13" x14ac:dyDescent="0.25">
      <c r="A2591" s="1" t="s">
        <v>356</v>
      </c>
      <c r="B2591" s="1" t="s">
        <v>357</v>
      </c>
      <c r="C2591" s="1">
        <v>3100000</v>
      </c>
      <c r="D2591" s="1" t="s">
        <v>61</v>
      </c>
      <c r="E2591">
        <v>2620.7597999999998</v>
      </c>
      <c r="F2591" s="1" t="s">
        <v>25</v>
      </c>
      <c r="G2591">
        <v>4</v>
      </c>
      <c r="H2591">
        <v>2</v>
      </c>
      <c r="I2591" s="1" t="s">
        <v>13</v>
      </c>
      <c r="J2591">
        <v>1</v>
      </c>
      <c r="K2591" t="str">
        <f>IF(Tb_data[[#This Row],[previous_workers]]&lt;Tb_data[[#This Row],[workers]],"yes","no")</f>
        <v>yes</v>
      </c>
      <c r="L2591">
        <f>Tb_data[[#This Row],[workers]]-Tb_data[[#This Row],[previous_workers]]</f>
        <v>2</v>
      </c>
      <c r="M2591" s="12">
        <f>Tb_data[[#This Row],[Employees Growth]]/Tb_data[[#This Row],[previous_workers]]</f>
        <v>1</v>
      </c>
    </row>
    <row r="2592" spans="1:13" x14ac:dyDescent="0.25">
      <c r="A2592" s="1" t="s">
        <v>3165</v>
      </c>
      <c r="B2592" s="1" t="s">
        <v>3166</v>
      </c>
      <c r="C2592" s="1">
        <v>120200000</v>
      </c>
      <c r="D2592" s="1" t="s">
        <v>41</v>
      </c>
      <c r="E2592">
        <v>272.12329999999997</v>
      </c>
      <c r="F2592" s="1" t="s">
        <v>176</v>
      </c>
      <c r="G2592">
        <v>494</v>
      </c>
      <c r="H2592">
        <v>317</v>
      </c>
      <c r="I2592" s="1" t="s">
        <v>164</v>
      </c>
      <c r="J2592">
        <v>6</v>
      </c>
      <c r="K2592" t="str">
        <f>IF(Tb_data[[#This Row],[previous_workers]]&lt;Tb_data[[#This Row],[workers]],"yes","no")</f>
        <v>yes</v>
      </c>
      <c r="L2592">
        <f>Tb_data[[#This Row],[workers]]-Tb_data[[#This Row],[previous_workers]]</f>
        <v>177</v>
      </c>
      <c r="M2592" s="12">
        <f>Tb_data[[#This Row],[Employees Growth]]/Tb_data[[#This Row],[previous_workers]]</f>
        <v>0.55835962145110407</v>
      </c>
    </row>
    <row r="2593" spans="1:13" x14ac:dyDescent="0.25">
      <c r="A2593" s="1" t="s">
        <v>4335</v>
      </c>
      <c r="B2593" s="1" t="s">
        <v>4336</v>
      </c>
      <c r="C2593" s="1">
        <v>7500000</v>
      </c>
      <c r="D2593" s="1" t="s">
        <v>427</v>
      </c>
      <c r="E2593">
        <v>189.46600000000001</v>
      </c>
      <c r="F2593" s="1" t="s">
        <v>62</v>
      </c>
      <c r="G2593">
        <v>40</v>
      </c>
      <c r="H2593">
        <v>25</v>
      </c>
      <c r="I2593" s="1" t="s">
        <v>46</v>
      </c>
      <c r="J2593">
        <v>1</v>
      </c>
      <c r="K2593" t="str">
        <f>IF(Tb_data[[#This Row],[previous_workers]]&lt;Tb_data[[#This Row],[workers]],"yes","no")</f>
        <v>yes</v>
      </c>
      <c r="L2593">
        <f>Tb_data[[#This Row],[workers]]-Tb_data[[#This Row],[previous_workers]]</f>
        <v>15</v>
      </c>
      <c r="M2593" s="12">
        <f>Tb_data[[#This Row],[Employees Growth]]/Tb_data[[#This Row],[previous_workers]]</f>
        <v>0.6</v>
      </c>
    </row>
    <row r="2594" spans="1:13" x14ac:dyDescent="0.25">
      <c r="A2594" s="1" t="s">
        <v>6291</v>
      </c>
      <c r="B2594" s="1" t="s">
        <v>6292</v>
      </c>
      <c r="C2594" s="1">
        <v>10800000</v>
      </c>
      <c r="D2594" s="1" t="s">
        <v>129</v>
      </c>
      <c r="E2594">
        <v>119.0917</v>
      </c>
      <c r="F2594" s="1" t="s">
        <v>124</v>
      </c>
      <c r="G2594">
        <v>66</v>
      </c>
      <c r="H2594">
        <v>11</v>
      </c>
      <c r="I2594" s="1" t="s">
        <v>1411</v>
      </c>
      <c r="J2594">
        <v>1</v>
      </c>
      <c r="K2594" t="str">
        <f>IF(Tb_data[[#This Row],[previous_workers]]&lt;Tb_data[[#This Row],[workers]],"yes","no")</f>
        <v>yes</v>
      </c>
      <c r="L2594">
        <f>Tb_data[[#This Row],[workers]]-Tb_data[[#This Row],[previous_workers]]</f>
        <v>55</v>
      </c>
      <c r="M2594" s="12">
        <f>Tb_data[[#This Row],[Employees Growth]]/Tb_data[[#This Row],[previous_workers]]</f>
        <v>5</v>
      </c>
    </row>
    <row r="2595" spans="1:13" x14ac:dyDescent="0.25">
      <c r="A2595" s="1" t="s">
        <v>4683</v>
      </c>
      <c r="B2595" s="1" t="s">
        <v>4684</v>
      </c>
      <c r="C2595" s="1">
        <v>12700000</v>
      </c>
      <c r="D2595" s="1" t="s">
        <v>175</v>
      </c>
      <c r="E2595">
        <v>174.9417</v>
      </c>
      <c r="F2595" s="1" t="s">
        <v>97</v>
      </c>
      <c r="G2595">
        <v>85</v>
      </c>
      <c r="H2595">
        <v>45</v>
      </c>
      <c r="I2595" s="1" t="s">
        <v>46</v>
      </c>
      <c r="J2595">
        <v>2</v>
      </c>
      <c r="K2595" t="str">
        <f>IF(Tb_data[[#This Row],[previous_workers]]&lt;Tb_data[[#This Row],[workers]],"yes","no")</f>
        <v>yes</v>
      </c>
      <c r="L2595">
        <f>Tb_data[[#This Row],[workers]]-Tb_data[[#This Row],[previous_workers]]</f>
        <v>40</v>
      </c>
      <c r="M2595" s="12">
        <f>Tb_data[[#This Row],[Employees Growth]]/Tb_data[[#This Row],[previous_workers]]</f>
        <v>0.88888888888888884</v>
      </c>
    </row>
    <row r="2596" spans="1:13" x14ac:dyDescent="0.25">
      <c r="A2596" s="1" t="s">
        <v>4645</v>
      </c>
      <c r="B2596" s="1" t="s">
        <v>4646</v>
      </c>
      <c r="C2596" s="1">
        <v>11000000</v>
      </c>
      <c r="D2596" s="1" t="s">
        <v>45</v>
      </c>
      <c r="E2596">
        <v>176.19300000000001</v>
      </c>
      <c r="F2596" s="1" t="s">
        <v>112</v>
      </c>
      <c r="G2596">
        <v>49</v>
      </c>
      <c r="H2596">
        <v>22</v>
      </c>
      <c r="I2596" s="1" t="s">
        <v>468</v>
      </c>
      <c r="J2596">
        <v>1</v>
      </c>
      <c r="K2596" t="str">
        <f>IF(Tb_data[[#This Row],[previous_workers]]&lt;Tb_data[[#This Row],[workers]],"yes","no")</f>
        <v>yes</v>
      </c>
      <c r="L2596">
        <f>Tb_data[[#This Row],[workers]]-Tb_data[[#This Row],[previous_workers]]</f>
        <v>27</v>
      </c>
      <c r="M2596" s="12">
        <f>Tb_data[[#This Row],[Employees Growth]]/Tb_data[[#This Row],[previous_workers]]</f>
        <v>1.2272727272727273</v>
      </c>
    </row>
    <row r="2597" spans="1:13" x14ac:dyDescent="0.25">
      <c r="A2597" s="1" t="s">
        <v>9477</v>
      </c>
      <c r="B2597" s="1" t="s">
        <v>9478</v>
      </c>
      <c r="C2597" s="1">
        <v>11700000</v>
      </c>
      <c r="D2597" s="1" t="s">
        <v>79</v>
      </c>
      <c r="E2597">
        <v>60.514699999999998</v>
      </c>
      <c r="F2597" s="1" t="s">
        <v>176</v>
      </c>
      <c r="G2597">
        <v>100</v>
      </c>
      <c r="H2597">
        <v>65</v>
      </c>
      <c r="I2597" s="1" t="s">
        <v>147</v>
      </c>
      <c r="J2597">
        <v>10</v>
      </c>
      <c r="K2597" t="str">
        <f>IF(Tb_data[[#This Row],[previous_workers]]&lt;Tb_data[[#This Row],[workers]],"yes","no")</f>
        <v>yes</v>
      </c>
      <c r="L2597">
        <f>Tb_data[[#This Row],[workers]]-Tb_data[[#This Row],[previous_workers]]</f>
        <v>35</v>
      </c>
      <c r="M2597" s="12">
        <f>Tb_data[[#This Row],[Employees Growth]]/Tb_data[[#This Row],[previous_workers]]</f>
        <v>0.53846153846153844</v>
      </c>
    </row>
    <row r="2598" spans="1:13" x14ac:dyDescent="0.25">
      <c r="A2598" s="1" t="s">
        <v>8881</v>
      </c>
      <c r="B2598" s="1" t="s">
        <v>8882</v>
      </c>
      <c r="C2598" s="1">
        <v>10700000</v>
      </c>
      <c r="D2598" s="1" t="s">
        <v>41</v>
      </c>
      <c r="E2598">
        <v>68.305499999999995</v>
      </c>
      <c r="F2598" s="1" t="s">
        <v>97</v>
      </c>
      <c r="G2598">
        <v>70</v>
      </c>
      <c r="H2598">
        <v>50</v>
      </c>
      <c r="I2598" s="1" t="s">
        <v>372</v>
      </c>
      <c r="J2598">
        <v>5</v>
      </c>
      <c r="K2598" t="str">
        <f>IF(Tb_data[[#This Row],[previous_workers]]&lt;Tb_data[[#This Row],[workers]],"yes","no")</f>
        <v>yes</v>
      </c>
      <c r="L2598">
        <f>Tb_data[[#This Row],[workers]]-Tb_data[[#This Row],[previous_workers]]</f>
        <v>20</v>
      </c>
      <c r="M2598" s="12">
        <f>Tb_data[[#This Row],[Employees Growth]]/Tb_data[[#This Row],[previous_workers]]</f>
        <v>0.4</v>
      </c>
    </row>
    <row r="2599" spans="1:13" x14ac:dyDescent="0.25">
      <c r="A2599" s="1" t="s">
        <v>3910</v>
      </c>
      <c r="B2599" s="1" t="s">
        <v>3911</v>
      </c>
      <c r="C2599" s="1">
        <v>35200000</v>
      </c>
      <c r="D2599" s="1" t="s">
        <v>11</v>
      </c>
      <c r="E2599">
        <v>212.98150000000001</v>
      </c>
      <c r="F2599" s="1" t="s">
        <v>124</v>
      </c>
      <c r="G2599">
        <v>10</v>
      </c>
      <c r="H2599">
        <v>4</v>
      </c>
      <c r="I2599" s="1" t="s">
        <v>46</v>
      </c>
      <c r="J2599">
        <v>6</v>
      </c>
      <c r="K2599" t="str">
        <f>IF(Tb_data[[#This Row],[previous_workers]]&lt;Tb_data[[#This Row],[workers]],"yes","no")</f>
        <v>yes</v>
      </c>
      <c r="L2599">
        <f>Tb_data[[#This Row],[workers]]-Tb_data[[#This Row],[previous_workers]]</f>
        <v>6</v>
      </c>
      <c r="M2599" s="12">
        <f>Tb_data[[#This Row],[Employees Growth]]/Tb_data[[#This Row],[previous_workers]]</f>
        <v>1.5</v>
      </c>
    </row>
    <row r="2600" spans="1:13" x14ac:dyDescent="0.25">
      <c r="A2600" s="1" t="s">
        <v>101</v>
      </c>
      <c r="B2600" s="1" t="s">
        <v>102</v>
      </c>
      <c r="C2600" s="1">
        <v>11800000</v>
      </c>
      <c r="D2600" s="1" t="s">
        <v>103</v>
      </c>
      <c r="E2600">
        <v>7045.3630999999996</v>
      </c>
      <c r="F2600" s="1" t="s">
        <v>86</v>
      </c>
      <c r="G2600">
        <v>60</v>
      </c>
      <c r="H2600">
        <v>3</v>
      </c>
      <c r="I2600" s="1" t="s">
        <v>26</v>
      </c>
      <c r="J2600">
        <v>1</v>
      </c>
      <c r="K2600" t="str">
        <f>IF(Tb_data[[#This Row],[previous_workers]]&lt;Tb_data[[#This Row],[workers]],"yes","no")</f>
        <v>yes</v>
      </c>
      <c r="L2600">
        <f>Tb_data[[#This Row],[workers]]-Tb_data[[#This Row],[previous_workers]]</f>
        <v>57</v>
      </c>
      <c r="M2600" s="12">
        <f>Tb_data[[#This Row],[Employees Growth]]/Tb_data[[#This Row],[previous_workers]]</f>
        <v>19</v>
      </c>
    </row>
    <row r="2601" spans="1:13" x14ac:dyDescent="0.25">
      <c r="A2601" s="1" t="s">
        <v>6215</v>
      </c>
      <c r="B2601" s="1" t="s">
        <v>6216</v>
      </c>
      <c r="C2601" s="1">
        <v>2900000</v>
      </c>
      <c r="D2601" s="1" t="s">
        <v>254</v>
      </c>
      <c r="E2601">
        <v>121.0526</v>
      </c>
      <c r="F2601" s="1" t="s">
        <v>34</v>
      </c>
      <c r="G2601">
        <v>45</v>
      </c>
      <c r="H2601">
        <v>20</v>
      </c>
      <c r="I2601" s="1" t="s">
        <v>35</v>
      </c>
      <c r="J2601">
        <v>1</v>
      </c>
      <c r="K2601" t="str">
        <f>IF(Tb_data[[#This Row],[previous_workers]]&lt;Tb_data[[#This Row],[workers]],"yes","no")</f>
        <v>yes</v>
      </c>
      <c r="L2601">
        <f>Tb_data[[#This Row],[workers]]-Tb_data[[#This Row],[previous_workers]]</f>
        <v>25</v>
      </c>
      <c r="M2601" s="12">
        <f>Tb_data[[#This Row],[Employees Growth]]/Tb_data[[#This Row],[previous_workers]]</f>
        <v>1.25</v>
      </c>
    </row>
    <row r="2602" spans="1:13" x14ac:dyDescent="0.25">
      <c r="A2602" s="1" t="s">
        <v>9285</v>
      </c>
      <c r="B2602" s="1" t="s">
        <v>9286</v>
      </c>
      <c r="C2602" s="1">
        <v>2300000</v>
      </c>
      <c r="D2602" s="1" t="s">
        <v>155</v>
      </c>
      <c r="E2602">
        <v>62.992800000000003</v>
      </c>
      <c r="F2602" s="1" t="s">
        <v>86</v>
      </c>
      <c r="G2602">
        <v>19</v>
      </c>
      <c r="H2602">
        <v>9</v>
      </c>
      <c r="I2602" s="1" t="s">
        <v>3843</v>
      </c>
      <c r="J2602">
        <v>1</v>
      </c>
      <c r="K2602" t="str">
        <f>IF(Tb_data[[#This Row],[previous_workers]]&lt;Tb_data[[#This Row],[workers]],"yes","no")</f>
        <v>yes</v>
      </c>
      <c r="L2602">
        <f>Tb_data[[#This Row],[workers]]-Tb_data[[#This Row],[previous_workers]]</f>
        <v>10</v>
      </c>
      <c r="M2602" s="12">
        <f>Tb_data[[#This Row],[Employees Growth]]/Tb_data[[#This Row],[previous_workers]]</f>
        <v>1.1111111111111112</v>
      </c>
    </row>
    <row r="2603" spans="1:13" x14ac:dyDescent="0.25">
      <c r="A2603" s="1" t="s">
        <v>9023</v>
      </c>
      <c r="B2603" s="1" t="s">
        <v>9024</v>
      </c>
      <c r="C2603" s="1">
        <v>16600000</v>
      </c>
      <c r="D2603" s="1" t="s">
        <v>33</v>
      </c>
      <c r="E2603">
        <v>66.348699999999994</v>
      </c>
      <c r="F2603" s="1" t="s">
        <v>514</v>
      </c>
      <c r="G2603">
        <v>55</v>
      </c>
      <c r="H2603">
        <v>43</v>
      </c>
      <c r="I2603" s="1" t="s">
        <v>194</v>
      </c>
      <c r="J2603">
        <v>8</v>
      </c>
      <c r="K2603" t="str">
        <f>IF(Tb_data[[#This Row],[previous_workers]]&lt;Tb_data[[#This Row],[workers]],"yes","no")</f>
        <v>yes</v>
      </c>
      <c r="L2603">
        <f>Tb_data[[#This Row],[workers]]-Tb_data[[#This Row],[previous_workers]]</f>
        <v>12</v>
      </c>
      <c r="M2603" s="12">
        <f>Tb_data[[#This Row],[Employees Growth]]/Tb_data[[#This Row],[previous_workers]]</f>
        <v>0.27906976744186046</v>
      </c>
    </row>
    <row r="2604" spans="1:13" x14ac:dyDescent="0.25">
      <c r="A2604" s="1" t="s">
        <v>5734</v>
      </c>
      <c r="B2604" s="1" t="s">
        <v>5735</v>
      </c>
      <c r="C2604" s="1">
        <v>6000000</v>
      </c>
      <c r="D2604" s="1" t="s">
        <v>91</v>
      </c>
      <c r="E2604">
        <v>133.297</v>
      </c>
      <c r="F2604" s="1" t="s">
        <v>21</v>
      </c>
      <c r="G2604">
        <v>175</v>
      </c>
      <c r="H2604">
        <v>100</v>
      </c>
      <c r="I2604" s="1" t="s">
        <v>468</v>
      </c>
      <c r="J2604">
        <v>1</v>
      </c>
      <c r="K2604" t="str">
        <f>IF(Tb_data[[#This Row],[previous_workers]]&lt;Tb_data[[#This Row],[workers]],"yes","no")</f>
        <v>yes</v>
      </c>
      <c r="L2604">
        <f>Tb_data[[#This Row],[workers]]-Tb_data[[#This Row],[previous_workers]]</f>
        <v>75</v>
      </c>
      <c r="M2604" s="12">
        <f>Tb_data[[#This Row],[Employees Growth]]/Tb_data[[#This Row],[previous_workers]]</f>
        <v>0.75</v>
      </c>
    </row>
    <row r="2605" spans="1:13" x14ac:dyDescent="0.25">
      <c r="A2605" s="1" t="s">
        <v>1952</v>
      </c>
      <c r="B2605" s="1" t="s">
        <v>1953</v>
      </c>
      <c r="C2605" s="1">
        <v>2100000</v>
      </c>
      <c r="D2605" s="1" t="s">
        <v>49</v>
      </c>
      <c r="E2605">
        <v>459.93099999999998</v>
      </c>
      <c r="F2605" s="1" t="s">
        <v>142</v>
      </c>
      <c r="G2605">
        <v>27</v>
      </c>
      <c r="H2605">
        <v>12</v>
      </c>
      <c r="I2605" s="1" t="s">
        <v>26</v>
      </c>
      <c r="J2605">
        <v>1</v>
      </c>
      <c r="K2605" t="str">
        <f>IF(Tb_data[[#This Row],[previous_workers]]&lt;Tb_data[[#This Row],[workers]],"yes","no")</f>
        <v>yes</v>
      </c>
      <c r="L2605">
        <f>Tb_data[[#This Row],[workers]]-Tb_data[[#This Row],[previous_workers]]</f>
        <v>15</v>
      </c>
      <c r="M2605" s="12">
        <f>Tb_data[[#This Row],[Employees Growth]]/Tb_data[[#This Row],[previous_workers]]</f>
        <v>1.25</v>
      </c>
    </row>
    <row r="2606" spans="1:13" x14ac:dyDescent="0.25">
      <c r="A2606" s="1" t="s">
        <v>4186</v>
      </c>
      <c r="B2606" s="1" t="s">
        <v>4187</v>
      </c>
      <c r="C2606" s="1">
        <v>7700000</v>
      </c>
      <c r="D2606" s="1" t="s">
        <v>254</v>
      </c>
      <c r="E2606">
        <v>196.04060000000001</v>
      </c>
      <c r="F2606" s="1" t="s">
        <v>100</v>
      </c>
      <c r="G2606">
        <v>52</v>
      </c>
      <c r="H2606">
        <v>12</v>
      </c>
      <c r="I2606" s="1" t="s">
        <v>194</v>
      </c>
      <c r="J2606">
        <v>4</v>
      </c>
      <c r="K2606" t="str">
        <f>IF(Tb_data[[#This Row],[previous_workers]]&lt;Tb_data[[#This Row],[workers]],"yes","no")</f>
        <v>yes</v>
      </c>
      <c r="L2606">
        <f>Tb_data[[#This Row],[workers]]-Tb_data[[#This Row],[previous_workers]]</f>
        <v>40</v>
      </c>
      <c r="M2606" s="12">
        <f>Tb_data[[#This Row],[Employees Growth]]/Tb_data[[#This Row],[previous_workers]]</f>
        <v>3.3333333333333335</v>
      </c>
    </row>
    <row r="2607" spans="1:13" x14ac:dyDescent="0.25">
      <c r="A2607" s="1" t="s">
        <v>687</v>
      </c>
      <c r="B2607" s="1" t="s">
        <v>688</v>
      </c>
      <c r="C2607" s="1">
        <v>3200000</v>
      </c>
      <c r="D2607" s="1" t="s">
        <v>69</v>
      </c>
      <c r="E2607">
        <v>1501.0992000000001</v>
      </c>
      <c r="F2607" s="1" t="s">
        <v>12</v>
      </c>
      <c r="G2607">
        <v>35</v>
      </c>
      <c r="H2607">
        <v>3</v>
      </c>
      <c r="I2607" s="1" t="s">
        <v>164</v>
      </c>
      <c r="J2607">
        <v>1</v>
      </c>
      <c r="K2607" t="str">
        <f>IF(Tb_data[[#This Row],[previous_workers]]&lt;Tb_data[[#This Row],[workers]],"yes","no")</f>
        <v>yes</v>
      </c>
      <c r="L2607">
        <f>Tb_data[[#This Row],[workers]]-Tb_data[[#This Row],[previous_workers]]</f>
        <v>32</v>
      </c>
      <c r="M2607" s="12">
        <f>Tb_data[[#This Row],[Employees Growth]]/Tb_data[[#This Row],[previous_workers]]</f>
        <v>10.666666666666666</v>
      </c>
    </row>
    <row r="2608" spans="1:13" x14ac:dyDescent="0.25">
      <c r="A2608" s="1" t="s">
        <v>822</v>
      </c>
      <c r="B2608" s="1" t="s">
        <v>823</v>
      </c>
      <c r="C2608" s="1">
        <v>28000000</v>
      </c>
      <c r="D2608" s="1" t="s">
        <v>16</v>
      </c>
      <c r="E2608">
        <v>1247.5148999999999</v>
      </c>
      <c r="F2608" s="1" t="s">
        <v>17</v>
      </c>
      <c r="G2608">
        <v>36</v>
      </c>
      <c r="H2608">
        <v>4</v>
      </c>
      <c r="I2608" s="1" t="s">
        <v>26</v>
      </c>
      <c r="J2608">
        <v>1</v>
      </c>
      <c r="K2608" t="str">
        <f>IF(Tb_data[[#This Row],[previous_workers]]&lt;Tb_data[[#This Row],[workers]],"yes","no")</f>
        <v>yes</v>
      </c>
      <c r="L2608">
        <f>Tb_data[[#This Row],[workers]]-Tb_data[[#This Row],[previous_workers]]</f>
        <v>32</v>
      </c>
      <c r="M2608" s="12">
        <f>Tb_data[[#This Row],[Employees Growth]]/Tb_data[[#This Row],[previous_workers]]</f>
        <v>8</v>
      </c>
    </row>
    <row r="2609" spans="1:13" x14ac:dyDescent="0.25">
      <c r="A2609" s="1" t="s">
        <v>2909</v>
      </c>
      <c r="B2609" s="1" t="s">
        <v>2910</v>
      </c>
      <c r="C2609" s="1">
        <v>24700000</v>
      </c>
      <c r="D2609" s="1" t="s">
        <v>41</v>
      </c>
      <c r="E2609">
        <v>296.70519999999999</v>
      </c>
      <c r="F2609" s="1" t="s">
        <v>97</v>
      </c>
      <c r="G2609">
        <v>235</v>
      </c>
      <c r="H2609">
        <v>63</v>
      </c>
      <c r="I2609" s="1" t="s">
        <v>194</v>
      </c>
      <c r="J2609">
        <v>4</v>
      </c>
      <c r="K2609" t="str">
        <f>IF(Tb_data[[#This Row],[previous_workers]]&lt;Tb_data[[#This Row],[workers]],"yes","no")</f>
        <v>yes</v>
      </c>
      <c r="L2609">
        <f>Tb_data[[#This Row],[workers]]-Tb_data[[#This Row],[previous_workers]]</f>
        <v>172</v>
      </c>
      <c r="M2609" s="12">
        <f>Tb_data[[#This Row],[Employees Growth]]/Tb_data[[#This Row],[previous_workers]]</f>
        <v>2.7301587301587302</v>
      </c>
    </row>
    <row r="2610" spans="1:13" x14ac:dyDescent="0.25">
      <c r="A2610" s="1" t="s">
        <v>1825</v>
      </c>
      <c r="B2610" s="1" t="s">
        <v>1826</v>
      </c>
      <c r="C2610" s="1">
        <v>6500000</v>
      </c>
      <c r="D2610" s="1" t="s">
        <v>49</v>
      </c>
      <c r="E2610">
        <v>494.6105</v>
      </c>
      <c r="F2610" s="1" t="s">
        <v>100</v>
      </c>
      <c r="G2610">
        <v>53</v>
      </c>
      <c r="H2610">
        <v>5</v>
      </c>
      <c r="I2610" s="1" t="s">
        <v>26</v>
      </c>
      <c r="J2610">
        <v>1</v>
      </c>
      <c r="K2610" t="str">
        <f>IF(Tb_data[[#This Row],[previous_workers]]&lt;Tb_data[[#This Row],[workers]],"yes","no")</f>
        <v>yes</v>
      </c>
      <c r="L2610">
        <f>Tb_data[[#This Row],[workers]]-Tb_data[[#This Row],[previous_workers]]</f>
        <v>48</v>
      </c>
      <c r="M2610" s="12">
        <f>Tb_data[[#This Row],[Employees Growth]]/Tb_data[[#This Row],[previous_workers]]</f>
        <v>9.6</v>
      </c>
    </row>
    <row r="2611" spans="1:13" x14ac:dyDescent="0.25">
      <c r="A2611" s="1" t="s">
        <v>7927</v>
      </c>
      <c r="B2611" s="1" t="s">
        <v>7928</v>
      </c>
      <c r="C2611" s="1">
        <v>2900000</v>
      </c>
      <c r="D2611" s="1" t="s">
        <v>16</v>
      </c>
      <c r="E2611">
        <v>84.281599999999997</v>
      </c>
      <c r="F2611" s="1" t="s">
        <v>176</v>
      </c>
      <c r="G2611">
        <v>10</v>
      </c>
      <c r="H2611">
        <v>8</v>
      </c>
      <c r="I2611" s="1" t="s">
        <v>961</v>
      </c>
      <c r="J2611">
        <v>1</v>
      </c>
      <c r="K2611" t="str">
        <f>IF(Tb_data[[#This Row],[previous_workers]]&lt;Tb_data[[#This Row],[workers]],"yes","no")</f>
        <v>yes</v>
      </c>
      <c r="L2611">
        <f>Tb_data[[#This Row],[workers]]-Tb_data[[#This Row],[previous_workers]]</f>
        <v>2</v>
      </c>
      <c r="M2611" s="12">
        <f>Tb_data[[#This Row],[Employees Growth]]/Tb_data[[#This Row],[previous_workers]]</f>
        <v>0.25</v>
      </c>
    </row>
    <row r="2612" spans="1:13" x14ac:dyDescent="0.25">
      <c r="A2612" s="1" t="s">
        <v>8361</v>
      </c>
      <c r="B2612" s="1" t="s">
        <v>8362</v>
      </c>
      <c r="C2612" s="1">
        <v>7900000</v>
      </c>
      <c r="D2612" s="1" t="s">
        <v>41</v>
      </c>
      <c r="E2612">
        <v>76.838300000000004</v>
      </c>
      <c r="F2612" s="1" t="s">
        <v>97</v>
      </c>
      <c r="G2612">
        <v>64</v>
      </c>
      <c r="H2612">
        <v>30</v>
      </c>
      <c r="I2612" s="1" t="s">
        <v>948</v>
      </c>
      <c r="J2612">
        <v>4</v>
      </c>
      <c r="K2612" t="str">
        <f>IF(Tb_data[[#This Row],[previous_workers]]&lt;Tb_data[[#This Row],[workers]],"yes","no")</f>
        <v>yes</v>
      </c>
      <c r="L2612">
        <f>Tb_data[[#This Row],[workers]]-Tb_data[[#This Row],[previous_workers]]</f>
        <v>34</v>
      </c>
      <c r="M2612" s="12">
        <f>Tb_data[[#This Row],[Employees Growth]]/Tb_data[[#This Row],[previous_workers]]</f>
        <v>1.1333333333333333</v>
      </c>
    </row>
    <row r="2613" spans="1:13" x14ac:dyDescent="0.25">
      <c r="A2613" s="1" t="s">
        <v>4951</v>
      </c>
      <c r="B2613" s="1" t="s">
        <v>4952</v>
      </c>
      <c r="C2613" s="1">
        <v>10500000</v>
      </c>
      <c r="D2613" s="1" t="s">
        <v>33</v>
      </c>
      <c r="E2613">
        <v>164.22489999999999</v>
      </c>
      <c r="F2613" s="1" t="s">
        <v>514</v>
      </c>
      <c r="G2613">
        <v>65</v>
      </c>
      <c r="H2613">
        <v>40</v>
      </c>
      <c r="I2613" s="1" t="s">
        <v>295</v>
      </c>
      <c r="J2613">
        <v>2</v>
      </c>
      <c r="K2613" t="str">
        <f>IF(Tb_data[[#This Row],[previous_workers]]&lt;Tb_data[[#This Row],[workers]],"yes","no")</f>
        <v>yes</v>
      </c>
      <c r="L2613">
        <f>Tb_data[[#This Row],[workers]]-Tb_data[[#This Row],[previous_workers]]</f>
        <v>25</v>
      </c>
      <c r="M2613" s="12">
        <f>Tb_data[[#This Row],[Employees Growth]]/Tb_data[[#This Row],[previous_workers]]</f>
        <v>0.625</v>
      </c>
    </row>
    <row r="2614" spans="1:13" x14ac:dyDescent="0.25">
      <c r="A2614" s="1" t="s">
        <v>810</v>
      </c>
      <c r="B2614" s="1" t="s">
        <v>811</v>
      </c>
      <c r="C2614" s="1">
        <v>2100000</v>
      </c>
      <c r="D2614" s="1" t="s">
        <v>254</v>
      </c>
      <c r="E2614">
        <v>1270.6676</v>
      </c>
      <c r="F2614" s="1" t="s">
        <v>86</v>
      </c>
      <c r="G2614">
        <v>17</v>
      </c>
      <c r="H2614">
        <v>2</v>
      </c>
      <c r="I2614" s="1" t="s">
        <v>55</v>
      </c>
      <c r="J2614">
        <v>1</v>
      </c>
      <c r="K2614" t="str">
        <f>IF(Tb_data[[#This Row],[previous_workers]]&lt;Tb_data[[#This Row],[workers]],"yes","no")</f>
        <v>yes</v>
      </c>
      <c r="L2614">
        <f>Tb_data[[#This Row],[workers]]-Tb_data[[#This Row],[previous_workers]]</f>
        <v>15</v>
      </c>
      <c r="M2614" s="12">
        <f>Tb_data[[#This Row],[Employees Growth]]/Tb_data[[#This Row],[previous_workers]]</f>
        <v>7.5</v>
      </c>
    </row>
    <row r="2615" spans="1:13" x14ac:dyDescent="0.25">
      <c r="A2615" s="1" t="s">
        <v>830</v>
      </c>
      <c r="B2615" s="1" t="s">
        <v>831</v>
      </c>
      <c r="C2615" s="1">
        <v>4700000</v>
      </c>
      <c r="D2615" s="1" t="s">
        <v>20</v>
      </c>
      <c r="E2615">
        <v>1237.9323999999999</v>
      </c>
      <c r="F2615" s="1" t="s">
        <v>156</v>
      </c>
      <c r="G2615">
        <v>30</v>
      </c>
      <c r="H2615">
        <v>3</v>
      </c>
      <c r="I2615" s="1" t="s">
        <v>26</v>
      </c>
      <c r="J2615">
        <v>1</v>
      </c>
      <c r="K2615" t="str">
        <f>IF(Tb_data[[#This Row],[previous_workers]]&lt;Tb_data[[#This Row],[workers]],"yes","no")</f>
        <v>yes</v>
      </c>
      <c r="L2615">
        <f>Tb_data[[#This Row],[workers]]-Tb_data[[#This Row],[previous_workers]]</f>
        <v>27</v>
      </c>
      <c r="M2615" s="12">
        <f>Tb_data[[#This Row],[Employees Growth]]/Tb_data[[#This Row],[previous_workers]]</f>
        <v>9</v>
      </c>
    </row>
    <row r="2616" spans="1:13" x14ac:dyDescent="0.25">
      <c r="A2616" s="1" t="s">
        <v>10020</v>
      </c>
      <c r="B2616" s="1" t="s">
        <v>10021</v>
      </c>
      <c r="C2616" s="1">
        <v>22700000</v>
      </c>
      <c r="D2616" s="1" t="s">
        <v>69</v>
      </c>
      <c r="E2616">
        <v>53.2104</v>
      </c>
      <c r="F2616" s="1" t="s">
        <v>156</v>
      </c>
      <c r="G2616">
        <v>60</v>
      </c>
      <c r="H2616">
        <v>24</v>
      </c>
      <c r="I2616" s="1" t="s">
        <v>194</v>
      </c>
      <c r="J2616">
        <v>6</v>
      </c>
      <c r="K2616" t="str">
        <f>IF(Tb_data[[#This Row],[previous_workers]]&lt;Tb_data[[#This Row],[workers]],"yes","no")</f>
        <v>yes</v>
      </c>
      <c r="L2616">
        <f>Tb_data[[#This Row],[workers]]-Tb_data[[#This Row],[previous_workers]]</f>
        <v>36</v>
      </c>
      <c r="M2616" s="12">
        <f>Tb_data[[#This Row],[Employees Growth]]/Tb_data[[#This Row],[previous_workers]]</f>
        <v>1.5</v>
      </c>
    </row>
    <row r="2617" spans="1:13" x14ac:dyDescent="0.25">
      <c r="A2617" s="1" t="s">
        <v>6167</v>
      </c>
      <c r="B2617" s="1" t="s">
        <v>6168</v>
      </c>
      <c r="C2617" s="1">
        <v>17800000</v>
      </c>
      <c r="D2617" s="1" t="s">
        <v>49</v>
      </c>
      <c r="E2617">
        <v>122.0294</v>
      </c>
      <c r="F2617" s="1" t="s">
        <v>135</v>
      </c>
      <c r="G2617">
        <v>90</v>
      </c>
      <c r="H2617">
        <v>45</v>
      </c>
      <c r="I2617" s="1" t="s">
        <v>35</v>
      </c>
      <c r="J2617">
        <v>3</v>
      </c>
      <c r="K2617" t="str">
        <f>IF(Tb_data[[#This Row],[previous_workers]]&lt;Tb_data[[#This Row],[workers]],"yes","no")</f>
        <v>yes</v>
      </c>
      <c r="L2617">
        <f>Tb_data[[#This Row],[workers]]-Tb_data[[#This Row],[previous_workers]]</f>
        <v>45</v>
      </c>
      <c r="M2617" s="12">
        <f>Tb_data[[#This Row],[Employees Growth]]/Tb_data[[#This Row],[previous_workers]]</f>
        <v>1</v>
      </c>
    </row>
    <row r="2618" spans="1:13" x14ac:dyDescent="0.25">
      <c r="A2618" s="1" t="s">
        <v>6643</v>
      </c>
      <c r="B2618" s="1" t="s">
        <v>6644</v>
      </c>
      <c r="C2618" s="1">
        <v>11700000</v>
      </c>
      <c r="D2618" s="1" t="s">
        <v>179</v>
      </c>
      <c r="E2618">
        <v>110.4584</v>
      </c>
      <c r="F2618" s="1" t="s">
        <v>169</v>
      </c>
      <c r="G2618">
        <v>47</v>
      </c>
      <c r="H2618">
        <v>29</v>
      </c>
      <c r="I2618" s="1" t="s">
        <v>4080</v>
      </c>
      <c r="J2618">
        <v>5</v>
      </c>
      <c r="K2618" t="str">
        <f>IF(Tb_data[[#This Row],[previous_workers]]&lt;Tb_data[[#This Row],[workers]],"yes","no")</f>
        <v>yes</v>
      </c>
      <c r="L2618">
        <f>Tb_data[[#This Row],[workers]]-Tb_data[[#This Row],[previous_workers]]</f>
        <v>18</v>
      </c>
      <c r="M2618" s="12">
        <f>Tb_data[[#This Row],[Employees Growth]]/Tb_data[[#This Row],[previous_workers]]</f>
        <v>0.62068965517241381</v>
      </c>
    </row>
    <row r="2619" spans="1:13" x14ac:dyDescent="0.25">
      <c r="A2619" s="1" t="s">
        <v>4260</v>
      </c>
      <c r="B2619" s="1" t="s">
        <v>4261</v>
      </c>
      <c r="C2619" s="1">
        <v>9700000</v>
      </c>
      <c r="D2619" s="1" t="s">
        <v>115</v>
      </c>
      <c r="E2619">
        <v>193.58969999999999</v>
      </c>
      <c r="F2619" s="1" t="s">
        <v>17</v>
      </c>
      <c r="G2619">
        <v>64</v>
      </c>
      <c r="H2619">
        <v>12</v>
      </c>
      <c r="I2619" s="1" t="s">
        <v>130</v>
      </c>
      <c r="J2619">
        <v>3</v>
      </c>
      <c r="K2619" t="str">
        <f>IF(Tb_data[[#This Row],[previous_workers]]&lt;Tb_data[[#This Row],[workers]],"yes","no")</f>
        <v>yes</v>
      </c>
      <c r="L2619">
        <f>Tb_data[[#This Row],[workers]]-Tb_data[[#This Row],[previous_workers]]</f>
        <v>52</v>
      </c>
      <c r="M2619" s="12">
        <f>Tb_data[[#This Row],[Employees Growth]]/Tb_data[[#This Row],[previous_workers]]</f>
        <v>4.333333333333333</v>
      </c>
    </row>
    <row r="2620" spans="1:13" x14ac:dyDescent="0.25">
      <c r="A2620" s="1" t="s">
        <v>7369</v>
      </c>
      <c r="B2620" s="1" t="s">
        <v>7370</v>
      </c>
      <c r="C2620" s="1">
        <v>4300000</v>
      </c>
      <c r="D2620" s="1" t="s">
        <v>52</v>
      </c>
      <c r="E2620">
        <v>95.786699999999996</v>
      </c>
      <c r="F2620" s="1" t="s">
        <v>156</v>
      </c>
      <c r="G2620">
        <v>26</v>
      </c>
      <c r="H2620">
        <v>13</v>
      </c>
      <c r="I2620" s="1" t="s">
        <v>1051</v>
      </c>
      <c r="J2620">
        <v>4</v>
      </c>
      <c r="K2620" t="str">
        <f>IF(Tb_data[[#This Row],[previous_workers]]&lt;Tb_data[[#This Row],[workers]],"yes","no")</f>
        <v>yes</v>
      </c>
      <c r="L2620">
        <f>Tb_data[[#This Row],[workers]]-Tb_data[[#This Row],[previous_workers]]</f>
        <v>13</v>
      </c>
      <c r="M2620" s="12">
        <f>Tb_data[[#This Row],[Employees Growth]]/Tb_data[[#This Row],[previous_workers]]</f>
        <v>1</v>
      </c>
    </row>
    <row r="2621" spans="1:13" x14ac:dyDescent="0.25">
      <c r="A2621" s="1" t="s">
        <v>3463</v>
      </c>
      <c r="B2621" s="1" t="s">
        <v>3464</v>
      </c>
      <c r="C2621" s="1">
        <v>6300000</v>
      </c>
      <c r="D2621" s="1" t="s">
        <v>16</v>
      </c>
      <c r="E2621">
        <v>245.53370000000001</v>
      </c>
      <c r="F2621" s="1" t="s">
        <v>34</v>
      </c>
      <c r="G2621">
        <v>29</v>
      </c>
      <c r="H2621">
        <v>6</v>
      </c>
      <c r="I2621" s="1" t="s">
        <v>130</v>
      </c>
      <c r="J2621">
        <v>3</v>
      </c>
      <c r="K2621" t="str">
        <f>IF(Tb_data[[#This Row],[previous_workers]]&lt;Tb_data[[#This Row],[workers]],"yes","no")</f>
        <v>yes</v>
      </c>
      <c r="L2621">
        <f>Tb_data[[#This Row],[workers]]-Tb_data[[#This Row],[previous_workers]]</f>
        <v>23</v>
      </c>
      <c r="M2621" s="12">
        <f>Tb_data[[#This Row],[Employees Growth]]/Tb_data[[#This Row],[previous_workers]]</f>
        <v>3.8333333333333335</v>
      </c>
    </row>
    <row r="2622" spans="1:13" x14ac:dyDescent="0.25">
      <c r="A2622" s="1" t="s">
        <v>2779</v>
      </c>
      <c r="B2622" s="1" t="s">
        <v>2780</v>
      </c>
      <c r="C2622" s="1">
        <v>24200000</v>
      </c>
      <c r="D2622" s="1" t="s">
        <v>69</v>
      </c>
      <c r="E2622">
        <v>310.40170000000001</v>
      </c>
      <c r="F2622" s="1" t="s">
        <v>135</v>
      </c>
      <c r="G2622">
        <v>66</v>
      </c>
      <c r="H2622">
        <v>12</v>
      </c>
      <c r="I2622" s="1" t="s">
        <v>130</v>
      </c>
      <c r="J2622">
        <v>4</v>
      </c>
      <c r="K2622" t="str">
        <f>IF(Tb_data[[#This Row],[previous_workers]]&lt;Tb_data[[#This Row],[workers]],"yes","no")</f>
        <v>yes</v>
      </c>
      <c r="L2622">
        <f>Tb_data[[#This Row],[workers]]-Tb_data[[#This Row],[previous_workers]]</f>
        <v>54</v>
      </c>
      <c r="M2622" s="12">
        <f>Tb_data[[#This Row],[Employees Growth]]/Tb_data[[#This Row],[previous_workers]]</f>
        <v>4.5</v>
      </c>
    </row>
    <row r="2623" spans="1:13" x14ac:dyDescent="0.25">
      <c r="A2623" s="1" t="s">
        <v>654</v>
      </c>
      <c r="B2623" s="1" t="s">
        <v>655</v>
      </c>
      <c r="C2623" s="1">
        <v>13700000</v>
      </c>
      <c r="D2623" s="1" t="s">
        <v>627</v>
      </c>
      <c r="E2623">
        <v>1553.3569</v>
      </c>
      <c r="F2623" s="1" t="s">
        <v>112</v>
      </c>
      <c r="G2623">
        <v>23</v>
      </c>
      <c r="H2623">
        <v>5</v>
      </c>
      <c r="I2623" s="1" t="s">
        <v>13</v>
      </c>
      <c r="J2623">
        <v>1</v>
      </c>
      <c r="K2623" t="str">
        <f>IF(Tb_data[[#This Row],[previous_workers]]&lt;Tb_data[[#This Row],[workers]],"yes","no")</f>
        <v>yes</v>
      </c>
      <c r="L2623">
        <f>Tb_data[[#This Row],[workers]]-Tb_data[[#This Row],[previous_workers]]</f>
        <v>18</v>
      </c>
      <c r="M2623" s="12">
        <f>Tb_data[[#This Row],[Employees Growth]]/Tb_data[[#This Row],[previous_workers]]</f>
        <v>3.6</v>
      </c>
    </row>
    <row r="2624" spans="1:13" x14ac:dyDescent="0.25">
      <c r="A2624" s="1" t="s">
        <v>767</v>
      </c>
      <c r="B2624" s="1" t="s">
        <v>768</v>
      </c>
      <c r="C2624" s="1">
        <v>6000000</v>
      </c>
      <c r="D2624" s="1" t="s">
        <v>20</v>
      </c>
      <c r="E2624">
        <v>1373.0107</v>
      </c>
      <c r="F2624" s="1" t="s">
        <v>124</v>
      </c>
      <c r="G2624">
        <v>9</v>
      </c>
      <c r="H2624">
        <v>1</v>
      </c>
      <c r="I2624" s="1" t="s">
        <v>26</v>
      </c>
      <c r="J2624">
        <v>1</v>
      </c>
      <c r="K2624" t="str">
        <f>IF(Tb_data[[#This Row],[previous_workers]]&lt;Tb_data[[#This Row],[workers]],"yes","no")</f>
        <v>yes</v>
      </c>
      <c r="L2624">
        <f>Tb_data[[#This Row],[workers]]-Tb_data[[#This Row],[previous_workers]]</f>
        <v>8</v>
      </c>
      <c r="M2624" s="12">
        <f>Tb_data[[#This Row],[Employees Growth]]/Tb_data[[#This Row],[previous_workers]]</f>
        <v>8</v>
      </c>
    </row>
    <row r="2625" spans="1:13" x14ac:dyDescent="0.25">
      <c r="A2625" s="1" t="s">
        <v>4258</v>
      </c>
      <c r="B2625" s="1" t="s">
        <v>4259</v>
      </c>
      <c r="C2625" s="1">
        <v>90600000</v>
      </c>
      <c r="D2625" s="1" t="s">
        <v>52</v>
      </c>
      <c r="E2625">
        <v>193.68219999999999</v>
      </c>
      <c r="F2625" s="1" t="s">
        <v>12</v>
      </c>
      <c r="G2625">
        <v>489</v>
      </c>
      <c r="H2625">
        <v>241</v>
      </c>
      <c r="I2625" s="1" t="s">
        <v>35</v>
      </c>
      <c r="J2625">
        <v>7</v>
      </c>
      <c r="K2625" t="str">
        <f>IF(Tb_data[[#This Row],[previous_workers]]&lt;Tb_data[[#This Row],[workers]],"yes","no")</f>
        <v>yes</v>
      </c>
      <c r="L2625">
        <f>Tb_data[[#This Row],[workers]]-Tb_data[[#This Row],[previous_workers]]</f>
        <v>248</v>
      </c>
      <c r="M2625" s="12">
        <f>Tb_data[[#This Row],[Employees Growth]]/Tb_data[[#This Row],[previous_workers]]</f>
        <v>1.0290456431535269</v>
      </c>
    </row>
    <row r="2626" spans="1:13" x14ac:dyDescent="0.25">
      <c r="A2626" s="1" t="s">
        <v>1401</v>
      </c>
      <c r="B2626" s="1" t="s">
        <v>1402</v>
      </c>
      <c r="C2626" s="1">
        <v>4000000</v>
      </c>
      <c r="D2626" s="1" t="s">
        <v>20</v>
      </c>
      <c r="E2626">
        <v>681.55079999999998</v>
      </c>
      <c r="F2626" s="1" t="s">
        <v>21</v>
      </c>
      <c r="G2626">
        <v>54</v>
      </c>
      <c r="H2626">
        <v>17</v>
      </c>
      <c r="I2626" s="1" t="s">
        <v>26</v>
      </c>
      <c r="J2626">
        <v>2</v>
      </c>
      <c r="K2626" t="str">
        <f>IF(Tb_data[[#This Row],[previous_workers]]&lt;Tb_data[[#This Row],[workers]],"yes","no")</f>
        <v>yes</v>
      </c>
      <c r="L2626">
        <f>Tb_data[[#This Row],[workers]]-Tb_data[[#This Row],[previous_workers]]</f>
        <v>37</v>
      </c>
      <c r="M2626" s="12">
        <f>Tb_data[[#This Row],[Employees Growth]]/Tb_data[[#This Row],[previous_workers]]</f>
        <v>2.1764705882352939</v>
      </c>
    </row>
    <row r="2627" spans="1:13" x14ac:dyDescent="0.25">
      <c r="A2627" s="1" t="s">
        <v>2759</v>
      </c>
      <c r="B2627" s="1" t="s">
        <v>2760</v>
      </c>
      <c r="C2627" s="1">
        <v>5600000</v>
      </c>
      <c r="D2627" s="1" t="s">
        <v>11</v>
      </c>
      <c r="E2627">
        <v>311.43200000000002</v>
      </c>
      <c r="F2627" s="1" t="s">
        <v>25</v>
      </c>
      <c r="G2627">
        <v>22</v>
      </c>
      <c r="H2627">
        <v>8</v>
      </c>
      <c r="I2627" s="1" t="s">
        <v>55</v>
      </c>
      <c r="J2627">
        <v>2</v>
      </c>
      <c r="K2627" t="str">
        <f>IF(Tb_data[[#This Row],[previous_workers]]&lt;Tb_data[[#This Row],[workers]],"yes","no")</f>
        <v>yes</v>
      </c>
      <c r="L2627">
        <f>Tb_data[[#This Row],[workers]]-Tb_data[[#This Row],[previous_workers]]</f>
        <v>14</v>
      </c>
      <c r="M2627" s="12">
        <f>Tb_data[[#This Row],[Employees Growth]]/Tb_data[[#This Row],[previous_workers]]</f>
        <v>1.75</v>
      </c>
    </row>
    <row r="2628" spans="1:13" x14ac:dyDescent="0.25">
      <c r="A2628" s="1" t="s">
        <v>3957</v>
      </c>
      <c r="B2628" s="1" t="s">
        <v>3958</v>
      </c>
      <c r="C2628" s="1">
        <v>2600000</v>
      </c>
      <c r="D2628" s="1" t="s">
        <v>52</v>
      </c>
      <c r="E2628">
        <v>209.20650000000001</v>
      </c>
      <c r="F2628" s="1" t="s">
        <v>12</v>
      </c>
      <c r="G2628">
        <v>15</v>
      </c>
      <c r="H2628">
        <v>6</v>
      </c>
      <c r="I2628" s="1" t="s">
        <v>117</v>
      </c>
      <c r="J2628">
        <v>2</v>
      </c>
      <c r="K2628" t="str">
        <f>IF(Tb_data[[#This Row],[previous_workers]]&lt;Tb_data[[#This Row],[workers]],"yes","no")</f>
        <v>yes</v>
      </c>
      <c r="L2628">
        <f>Tb_data[[#This Row],[workers]]-Tb_data[[#This Row],[previous_workers]]</f>
        <v>9</v>
      </c>
      <c r="M2628" s="12">
        <f>Tb_data[[#This Row],[Employees Growth]]/Tb_data[[#This Row],[previous_workers]]</f>
        <v>1.5</v>
      </c>
    </row>
    <row r="2629" spans="1:13" x14ac:dyDescent="0.25">
      <c r="A2629" s="1" t="s">
        <v>3223</v>
      </c>
      <c r="B2629" s="1" t="s">
        <v>3224</v>
      </c>
      <c r="C2629" s="1">
        <v>6000000</v>
      </c>
      <c r="D2629" s="1" t="s">
        <v>427</v>
      </c>
      <c r="E2629">
        <v>267.30369999999999</v>
      </c>
      <c r="F2629" s="1" t="s">
        <v>30</v>
      </c>
      <c r="G2629">
        <v>14</v>
      </c>
      <c r="H2629">
        <v>5</v>
      </c>
      <c r="I2629" s="1" t="s">
        <v>55</v>
      </c>
      <c r="J2629">
        <v>2</v>
      </c>
      <c r="K2629" t="str">
        <f>IF(Tb_data[[#This Row],[previous_workers]]&lt;Tb_data[[#This Row],[workers]],"yes","no")</f>
        <v>yes</v>
      </c>
      <c r="L2629">
        <f>Tb_data[[#This Row],[workers]]-Tb_data[[#This Row],[previous_workers]]</f>
        <v>9</v>
      </c>
      <c r="M2629" s="12">
        <f>Tb_data[[#This Row],[Employees Growth]]/Tb_data[[#This Row],[previous_workers]]</f>
        <v>1.8</v>
      </c>
    </row>
    <row r="2630" spans="1:13" x14ac:dyDescent="0.25">
      <c r="A2630" s="1" t="s">
        <v>3171</v>
      </c>
      <c r="B2630" s="1" t="s">
        <v>3172</v>
      </c>
      <c r="C2630" s="1">
        <v>6900000</v>
      </c>
      <c r="D2630" s="1" t="s">
        <v>38</v>
      </c>
      <c r="E2630">
        <v>270.89510000000001</v>
      </c>
      <c r="F2630" s="1" t="s">
        <v>176</v>
      </c>
      <c r="G2630">
        <v>21</v>
      </c>
      <c r="H2630">
        <v>6</v>
      </c>
      <c r="I2630" s="1" t="s">
        <v>55</v>
      </c>
      <c r="J2630">
        <v>2</v>
      </c>
      <c r="K2630" t="str">
        <f>IF(Tb_data[[#This Row],[previous_workers]]&lt;Tb_data[[#This Row],[workers]],"yes","no")</f>
        <v>yes</v>
      </c>
      <c r="L2630">
        <f>Tb_data[[#This Row],[workers]]-Tb_data[[#This Row],[previous_workers]]</f>
        <v>15</v>
      </c>
      <c r="M2630" s="12">
        <f>Tb_data[[#This Row],[Employees Growth]]/Tb_data[[#This Row],[previous_workers]]</f>
        <v>2.5</v>
      </c>
    </row>
    <row r="2631" spans="1:13" x14ac:dyDescent="0.25">
      <c r="A2631" s="1" t="s">
        <v>4603</v>
      </c>
      <c r="B2631" s="1" t="s">
        <v>4604</v>
      </c>
      <c r="C2631" s="1">
        <v>63900000</v>
      </c>
      <c r="D2631" s="1" t="s">
        <v>175</v>
      </c>
      <c r="E2631">
        <v>178.19239999999999</v>
      </c>
      <c r="F2631" s="1" t="s">
        <v>514</v>
      </c>
      <c r="G2631">
        <v>406</v>
      </c>
      <c r="H2631">
        <v>162</v>
      </c>
      <c r="I2631" s="1" t="s">
        <v>226</v>
      </c>
      <c r="J2631">
        <v>2</v>
      </c>
      <c r="K2631" t="str">
        <f>IF(Tb_data[[#This Row],[previous_workers]]&lt;Tb_data[[#This Row],[workers]],"yes","no")</f>
        <v>yes</v>
      </c>
      <c r="L2631">
        <f>Tb_data[[#This Row],[workers]]-Tb_data[[#This Row],[previous_workers]]</f>
        <v>244</v>
      </c>
      <c r="M2631" s="12">
        <f>Tb_data[[#This Row],[Employees Growth]]/Tb_data[[#This Row],[previous_workers]]</f>
        <v>1.5061728395061729</v>
      </c>
    </row>
    <row r="2632" spans="1:13" x14ac:dyDescent="0.25">
      <c r="A2632" s="1" t="s">
        <v>6617</v>
      </c>
      <c r="B2632" s="1" t="s">
        <v>6618</v>
      </c>
      <c r="C2632" s="1">
        <v>30600000</v>
      </c>
      <c r="D2632" s="1" t="s">
        <v>29</v>
      </c>
      <c r="E2632">
        <v>111.026</v>
      </c>
      <c r="F2632" s="1" t="s">
        <v>12</v>
      </c>
      <c r="G2632">
        <v>100</v>
      </c>
      <c r="H2632">
        <v>44</v>
      </c>
      <c r="I2632" s="1" t="s">
        <v>46</v>
      </c>
      <c r="J2632">
        <v>8</v>
      </c>
      <c r="K2632" t="str">
        <f>IF(Tb_data[[#This Row],[previous_workers]]&lt;Tb_data[[#This Row],[workers]],"yes","no")</f>
        <v>yes</v>
      </c>
      <c r="L2632">
        <f>Tb_data[[#This Row],[workers]]-Tb_data[[#This Row],[previous_workers]]</f>
        <v>56</v>
      </c>
      <c r="M2632" s="12">
        <f>Tb_data[[#This Row],[Employees Growth]]/Tb_data[[#This Row],[previous_workers]]</f>
        <v>1.2727272727272727</v>
      </c>
    </row>
    <row r="2633" spans="1:13" x14ac:dyDescent="0.25">
      <c r="A2633" s="1" t="s">
        <v>6487</v>
      </c>
      <c r="B2633" s="1" t="s">
        <v>6488</v>
      </c>
      <c r="C2633" s="1">
        <v>600000000</v>
      </c>
      <c r="D2633" s="1" t="s">
        <v>69</v>
      </c>
      <c r="E2633">
        <v>114.28570000000001</v>
      </c>
      <c r="F2633" s="1" t="s">
        <v>12</v>
      </c>
      <c r="G2633">
        <v>916</v>
      </c>
      <c r="H2633">
        <v>450</v>
      </c>
      <c r="I2633" s="1" t="s">
        <v>1051</v>
      </c>
      <c r="J2633">
        <v>1</v>
      </c>
      <c r="K2633" t="str">
        <f>IF(Tb_data[[#This Row],[previous_workers]]&lt;Tb_data[[#This Row],[workers]],"yes","no")</f>
        <v>yes</v>
      </c>
      <c r="L2633">
        <f>Tb_data[[#This Row],[workers]]-Tb_data[[#This Row],[previous_workers]]</f>
        <v>466</v>
      </c>
      <c r="M2633" s="12">
        <f>Tb_data[[#This Row],[Employees Growth]]/Tb_data[[#This Row],[previous_workers]]</f>
        <v>1.0355555555555556</v>
      </c>
    </row>
    <row r="2634" spans="1:13" x14ac:dyDescent="0.25">
      <c r="A2634" s="1" t="s">
        <v>1146</v>
      </c>
      <c r="B2634" s="1" t="s">
        <v>1147</v>
      </c>
      <c r="C2634" s="1">
        <v>2500000</v>
      </c>
      <c r="D2634" s="1" t="s">
        <v>179</v>
      </c>
      <c r="E2634">
        <v>836.24120000000005</v>
      </c>
      <c r="F2634" s="1" t="s">
        <v>97</v>
      </c>
      <c r="G2634">
        <v>51</v>
      </c>
      <c r="H2634">
        <v>8</v>
      </c>
      <c r="I2634" s="1" t="s">
        <v>55</v>
      </c>
      <c r="J2634">
        <v>1</v>
      </c>
      <c r="K2634" t="str">
        <f>IF(Tb_data[[#This Row],[previous_workers]]&lt;Tb_data[[#This Row],[workers]],"yes","no")</f>
        <v>yes</v>
      </c>
      <c r="L2634">
        <f>Tb_data[[#This Row],[workers]]-Tb_data[[#This Row],[previous_workers]]</f>
        <v>43</v>
      </c>
      <c r="M2634" s="12">
        <f>Tb_data[[#This Row],[Employees Growth]]/Tb_data[[#This Row],[previous_workers]]</f>
        <v>5.375</v>
      </c>
    </row>
    <row r="2635" spans="1:13" x14ac:dyDescent="0.25">
      <c r="A2635" s="1" t="s">
        <v>7453</v>
      </c>
      <c r="B2635" s="1" t="s">
        <v>7454</v>
      </c>
      <c r="C2635" s="1">
        <v>5700000</v>
      </c>
      <c r="D2635" s="1" t="s">
        <v>85</v>
      </c>
      <c r="E2635">
        <v>94.314499999999995</v>
      </c>
      <c r="F2635" s="1" t="s">
        <v>124</v>
      </c>
      <c r="G2635">
        <v>35</v>
      </c>
      <c r="H2635">
        <v>18</v>
      </c>
      <c r="I2635" s="1" t="s">
        <v>226</v>
      </c>
      <c r="J2635">
        <v>2</v>
      </c>
      <c r="K2635" t="str">
        <f>IF(Tb_data[[#This Row],[previous_workers]]&lt;Tb_data[[#This Row],[workers]],"yes","no")</f>
        <v>yes</v>
      </c>
      <c r="L2635">
        <f>Tb_data[[#This Row],[workers]]-Tb_data[[#This Row],[previous_workers]]</f>
        <v>17</v>
      </c>
      <c r="M2635" s="12">
        <f>Tb_data[[#This Row],[Employees Growth]]/Tb_data[[#This Row],[previous_workers]]</f>
        <v>0.94444444444444442</v>
      </c>
    </row>
    <row r="2636" spans="1:13" x14ac:dyDescent="0.25">
      <c r="A2636" s="1" t="s">
        <v>8211</v>
      </c>
      <c r="B2636" s="1" t="s">
        <v>8212</v>
      </c>
      <c r="C2636" s="1">
        <v>26700000</v>
      </c>
      <c r="D2636" s="1" t="s">
        <v>61</v>
      </c>
      <c r="E2636">
        <v>79.3583</v>
      </c>
      <c r="F2636" s="1" t="s">
        <v>112</v>
      </c>
      <c r="G2636">
        <v>30</v>
      </c>
      <c r="H2636">
        <v>16</v>
      </c>
      <c r="I2636" s="1" t="s">
        <v>26</v>
      </c>
      <c r="J2636">
        <v>1</v>
      </c>
      <c r="K2636" t="str">
        <f>IF(Tb_data[[#This Row],[previous_workers]]&lt;Tb_data[[#This Row],[workers]],"yes","no")</f>
        <v>yes</v>
      </c>
      <c r="L2636">
        <f>Tb_data[[#This Row],[workers]]-Tb_data[[#This Row],[previous_workers]]</f>
        <v>14</v>
      </c>
      <c r="M2636" s="12">
        <f>Tb_data[[#This Row],[Employees Growth]]/Tb_data[[#This Row],[previous_workers]]</f>
        <v>0.875</v>
      </c>
    </row>
    <row r="2637" spans="1:13" x14ac:dyDescent="0.25">
      <c r="A2637" s="1" t="s">
        <v>656</v>
      </c>
      <c r="B2637" s="1" t="s">
        <v>657</v>
      </c>
      <c r="C2637" s="1">
        <v>93900000</v>
      </c>
      <c r="D2637" s="1" t="s">
        <v>115</v>
      </c>
      <c r="E2637">
        <v>1549.3842999999999</v>
      </c>
      <c r="F2637" s="1" t="s">
        <v>34</v>
      </c>
      <c r="G2637">
        <v>502</v>
      </c>
      <c r="H2637">
        <v>65</v>
      </c>
      <c r="I2637" s="1" t="s">
        <v>26</v>
      </c>
      <c r="J2637">
        <v>1</v>
      </c>
      <c r="K2637" t="str">
        <f>IF(Tb_data[[#This Row],[previous_workers]]&lt;Tb_data[[#This Row],[workers]],"yes","no")</f>
        <v>yes</v>
      </c>
      <c r="L2637">
        <f>Tb_data[[#This Row],[workers]]-Tb_data[[#This Row],[previous_workers]]</f>
        <v>437</v>
      </c>
      <c r="M2637" s="12">
        <f>Tb_data[[#This Row],[Employees Growth]]/Tb_data[[#This Row],[previous_workers]]</f>
        <v>6.7230769230769232</v>
      </c>
    </row>
    <row r="2638" spans="1:13" x14ac:dyDescent="0.25">
      <c r="A2638" s="1" t="s">
        <v>3289</v>
      </c>
      <c r="B2638" s="1" t="s">
        <v>3290</v>
      </c>
      <c r="C2638" s="1">
        <v>6000000</v>
      </c>
      <c r="D2638" s="1" t="s">
        <v>38</v>
      </c>
      <c r="E2638">
        <v>261.6157</v>
      </c>
      <c r="F2638" s="1" t="s">
        <v>116</v>
      </c>
      <c r="G2638">
        <v>59</v>
      </c>
      <c r="H2638">
        <v>16</v>
      </c>
      <c r="I2638" s="1" t="s">
        <v>55</v>
      </c>
      <c r="J2638">
        <v>2</v>
      </c>
      <c r="K2638" t="str">
        <f>IF(Tb_data[[#This Row],[previous_workers]]&lt;Tb_data[[#This Row],[workers]],"yes","no")</f>
        <v>yes</v>
      </c>
      <c r="L2638">
        <f>Tb_data[[#This Row],[workers]]-Tb_data[[#This Row],[previous_workers]]</f>
        <v>43</v>
      </c>
      <c r="M2638" s="12">
        <f>Tb_data[[#This Row],[Employees Growth]]/Tb_data[[#This Row],[previous_workers]]</f>
        <v>2.6875</v>
      </c>
    </row>
    <row r="2639" spans="1:13" x14ac:dyDescent="0.25">
      <c r="A2639" s="1" t="s">
        <v>10042</v>
      </c>
      <c r="B2639" s="1" t="s">
        <v>10043</v>
      </c>
      <c r="C2639" s="1">
        <v>13900000</v>
      </c>
      <c r="D2639" s="1" t="s">
        <v>20</v>
      </c>
      <c r="E2639">
        <v>52.919199999999996</v>
      </c>
      <c r="F2639" s="1" t="s">
        <v>12</v>
      </c>
      <c r="G2639">
        <v>89</v>
      </c>
      <c r="H2639">
        <v>63</v>
      </c>
      <c r="I2639" s="1" t="s">
        <v>117</v>
      </c>
      <c r="J2639">
        <v>2</v>
      </c>
      <c r="K2639" t="str">
        <f>IF(Tb_data[[#This Row],[previous_workers]]&lt;Tb_data[[#This Row],[workers]],"yes","no")</f>
        <v>yes</v>
      </c>
      <c r="L2639">
        <f>Tb_data[[#This Row],[workers]]-Tb_data[[#This Row],[previous_workers]]</f>
        <v>26</v>
      </c>
      <c r="M2639" s="12">
        <f>Tb_data[[#This Row],[Employees Growth]]/Tb_data[[#This Row],[previous_workers]]</f>
        <v>0.41269841269841268</v>
      </c>
    </row>
    <row r="2640" spans="1:13" x14ac:dyDescent="0.25">
      <c r="A2640" s="1" t="s">
        <v>8345</v>
      </c>
      <c r="B2640" s="1" t="s">
        <v>8346</v>
      </c>
      <c r="C2640" s="1">
        <v>126200000</v>
      </c>
      <c r="D2640" s="1" t="s">
        <v>49</v>
      </c>
      <c r="E2640">
        <v>77.168300000000002</v>
      </c>
      <c r="F2640" s="1" t="s">
        <v>152</v>
      </c>
      <c r="G2640">
        <v>653</v>
      </c>
      <c r="H2640">
        <v>256</v>
      </c>
      <c r="I2640" s="1" t="s">
        <v>46</v>
      </c>
      <c r="J2640">
        <v>5</v>
      </c>
      <c r="K2640" t="str">
        <f>IF(Tb_data[[#This Row],[previous_workers]]&lt;Tb_data[[#This Row],[workers]],"yes","no")</f>
        <v>yes</v>
      </c>
      <c r="L2640">
        <f>Tb_data[[#This Row],[workers]]-Tb_data[[#This Row],[previous_workers]]</f>
        <v>397</v>
      </c>
      <c r="M2640" s="12">
        <f>Tb_data[[#This Row],[Employees Growth]]/Tb_data[[#This Row],[previous_workers]]</f>
        <v>1.55078125</v>
      </c>
    </row>
    <row r="2641" spans="1:13" x14ac:dyDescent="0.25">
      <c r="A2641" s="1" t="s">
        <v>7901</v>
      </c>
      <c r="B2641" s="1" t="s">
        <v>7902</v>
      </c>
      <c r="C2641" s="1">
        <v>7000000</v>
      </c>
      <c r="D2641" s="1" t="s">
        <v>895</v>
      </c>
      <c r="E2641">
        <v>84.676000000000002</v>
      </c>
      <c r="F2641" s="1" t="s">
        <v>161</v>
      </c>
      <c r="G2641">
        <v>57</v>
      </c>
      <c r="H2641">
        <v>44</v>
      </c>
      <c r="I2641" s="1" t="s">
        <v>1051</v>
      </c>
      <c r="J2641">
        <v>1</v>
      </c>
      <c r="K2641" t="str">
        <f>IF(Tb_data[[#This Row],[previous_workers]]&lt;Tb_data[[#This Row],[workers]],"yes","no")</f>
        <v>yes</v>
      </c>
      <c r="L2641">
        <f>Tb_data[[#This Row],[workers]]-Tb_data[[#This Row],[previous_workers]]</f>
        <v>13</v>
      </c>
      <c r="M2641" s="12">
        <f>Tb_data[[#This Row],[Employees Growth]]/Tb_data[[#This Row],[previous_workers]]</f>
        <v>0.29545454545454547</v>
      </c>
    </row>
    <row r="2642" spans="1:13" x14ac:dyDescent="0.25">
      <c r="A2642" s="1" t="s">
        <v>7813</v>
      </c>
      <c r="B2642" s="1" t="s">
        <v>7814</v>
      </c>
      <c r="C2642" s="1">
        <v>15400000</v>
      </c>
      <c r="D2642" s="1" t="s">
        <v>129</v>
      </c>
      <c r="E2642">
        <v>86.091300000000004</v>
      </c>
      <c r="F2642" s="1" t="s">
        <v>34</v>
      </c>
      <c r="G2642">
        <v>115</v>
      </c>
      <c r="H2642">
        <v>80</v>
      </c>
      <c r="I2642" s="1" t="s">
        <v>2628</v>
      </c>
      <c r="J2642">
        <v>4</v>
      </c>
      <c r="K2642" t="str">
        <f>IF(Tb_data[[#This Row],[previous_workers]]&lt;Tb_data[[#This Row],[workers]],"yes","no")</f>
        <v>yes</v>
      </c>
      <c r="L2642">
        <f>Tb_data[[#This Row],[workers]]-Tb_data[[#This Row],[previous_workers]]</f>
        <v>35</v>
      </c>
      <c r="M2642" s="12">
        <f>Tb_data[[#This Row],[Employees Growth]]/Tb_data[[#This Row],[previous_workers]]</f>
        <v>0.4375</v>
      </c>
    </row>
    <row r="2643" spans="1:13" x14ac:dyDescent="0.25">
      <c r="A2643" s="1" t="s">
        <v>2822</v>
      </c>
      <c r="B2643" s="1" t="s">
        <v>2823</v>
      </c>
      <c r="C2643" s="1">
        <v>2300000</v>
      </c>
      <c r="D2643" s="1" t="s">
        <v>236</v>
      </c>
      <c r="E2643">
        <v>306.03359999999998</v>
      </c>
      <c r="F2643" s="1" t="s">
        <v>94</v>
      </c>
      <c r="G2643">
        <v>8</v>
      </c>
      <c r="H2643">
        <v>3</v>
      </c>
      <c r="I2643" s="1" t="s">
        <v>55</v>
      </c>
      <c r="J2643">
        <v>1</v>
      </c>
      <c r="K2643" t="str">
        <f>IF(Tb_data[[#This Row],[previous_workers]]&lt;Tb_data[[#This Row],[workers]],"yes","no")</f>
        <v>yes</v>
      </c>
      <c r="L2643">
        <f>Tb_data[[#This Row],[workers]]-Tb_data[[#This Row],[previous_workers]]</f>
        <v>5</v>
      </c>
      <c r="M2643" s="12">
        <f>Tb_data[[#This Row],[Employees Growth]]/Tb_data[[#This Row],[previous_workers]]</f>
        <v>1.6666666666666667</v>
      </c>
    </row>
    <row r="2644" spans="1:13" x14ac:dyDescent="0.25">
      <c r="A2644" s="1" t="s">
        <v>9748</v>
      </c>
      <c r="B2644" s="1" t="s">
        <v>9749</v>
      </c>
      <c r="C2644" s="1">
        <v>13100000</v>
      </c>
      <c r="D2644" s="1" t="s">
        <v>49</v>
      </c>
      <c r="E2644">
        <v>57.445799999999998</v>
      </c>
      <c r="F2644" s="1" t="s">
        <v>156</v>
      </c>
      <c r="G2644">
        <v>71</v>
      </c>
      <c r="H2644">
        <v>54</v>
      </c>
      <c r="I2644" s="1" t="s">
        <v>229</v>
      </c>
      <c r="J2644">
        <v>2</v>
      </c>
      <c r="K2644" t="str">
        <f>IF(Tb_data[[#This Row],[previous_workers]]&lt;Tb_data[[#This Row],[workers]],"yes","no")</f>
        <v>yes</v>
      </c>
      <c r="L2644">
        <f>Tb_data[[#This Row],[workers]]-Tb_data[[#This Row],[previous_workers]]</f>
        <v>17</v>
      </c>
      <c r="M2644" s="12">
        <f>Tb_data[[#This Row],[Employees Growth]]/Tb_data[[#This Row],[previous_workers]]</f>
        <v>0.31481481481481483</v>
      </c>
    </row>
    <row r="2645" spans="1:13" x14ac:dyDescent="0.25">
      <c r="A2645" s="1" t="s">
        <v>4647</v>
      </c>
      <c r="B2645" s="1" t="s">
        <v>4648</v>
      </c>
      <c r="C2645" s="1">
        <v>4200000</v>
      </c>
      <c r="D2645" s="1" t="s">
        <v>61</v>
      </c>
      <c r="E2645">
        <v>176.17230000000001</v>
      </c>
      <c r="F2645" s="1" t="s">
        <v>30</v>
      </c>
      <c r="G2645">
        <v>10</v>
      </c>
      <c r="H2645">
        <v>3</v>
      </c>
      <c r="I2645" s="1" t="s">
        <v>295</v>
      </c>
      <c r="J2645">
        <v>2</v>
      </c>
      <c r="K2645" t="str">
        <f>IF(Tb_data[[#This Row],[previous_workers]]&lt;Tb_data[[#This Row],[workers]],"yes","no")</f>
        <v>yes</v>
      </c>
      <c r="L2645">
        <f>Tb_data[[#This Row],[workers]]-Tb_data[[#This Row],[previous_workers]]</f>
        <v>7</v>
      </c>
      <c r="M2645" s="12">
        <f>Tb_data[[#This Row],[Employees Growth]]/Tb_data[[#This Row],[previous_workers]]</f>
        <v>2.3333333333333335</v>
      </c>
    </row>
    <row r="2646" spans="1:13" x14ac:dyDescent="0.25">
      <c r="A2646" s="1" t="s">
        <v>5330</v>
      </c>
      <c r="B2646" s="1" t="s">
        <v>5331</v>
      </c>
      <c r="C2646" s="1">
        <v>4500000</v>
      </c>
      <c r="D2646" s="1" t="s">
        <v>61</v>
      </c>
      <c r="E2646">
        <v>148.55250000000001</v>
      </c>
      <c r="F2646" s="1" t="s">
        <v>156</v>
      </c>
      <c r="G2646">
        <v>24</v>
      </c>
      <c r="H2646">
        <v>8</v>
      </c>
      <c r="I2646" s="1" t="s">
        <v>130</v>
      </c>
      <c r="J2646">
        <v>1</v>
      </c>
      <c r="K2646" t="str">
        <f>IF(Tb_data[[#This Row],[previous_workers]]&lt;Tb_data[[#This Row],[workers]],"yes","no")</f>
        <v>yes</v>
      </c>
      <c r="L2646">
        <f>Tb_data[[#This Row],[workers]]-Tb_data[[#This Row],[previous_workers]]</f>
        <v>16</v>
      </c>
      <c r="M2646" s="12">
        <f>Tb_data[[#This Row],[Employees Growth]]/Tb_data[[#This Row],[previous_workers]]</f>
        <v>2</v>
      </c>
    </row>
    <row r="2647" spans="1:13" x14ac:dyDescent="0.25">
      <c r="A2647" s="1" t="s">
        <v>9894</v>
      </c>
      <c r="B2647" s="1" t="s">
        <v>9895</v>
      </c>
      <c r="C2647" s="1">
        <v>23100000</v>
      </c>
      <c r="D2647" s="1" t="s">
        <v>49</v>
      </c>
      <c r="E2647">
        <v>55.333799999999997</v>
      </c>
      <c r="F2647" s="1" t="s">
        <v>12</v>
      </c>
      <c r="G2647">
        <v>23</v>
      </c>
      <c r="H2647">
        <v>14</v>
      </c>
      <c r="I2647" s="1" t="s">
        <v>117</v>
      </c>
      <c r="J2647">
        <v>3</v>
      </c>
      <c r="K2647" t="str">
        <f>IF(Tb_data[[#This Row],[previous_workers]]&lt;Tb_data[[#This Row],[workers]],"yes","no")</f>
        <v>yes</v>
      </c>
      <c r="L2647">
        <f>Tb_data[[#This Row],[workers]]-Tb_data[[#This Row],[previous_workers]]</f>
        <v>9</v>
      </c>
      <c r="M2647" s="12">
        <f>Tb_data[[#This Row],[Employees Growth]]/Tb_data[[#This Row],[previous_workers]]</f>
        <v>0.6428571428571429</v>
      </c>
    </row>
    <row r="2648" spans="1:13" x14ac:dyDescent="0.25">
      <c r="A2648" s="1" t="s">
        <v>6793</v>
      </c>
      <c r="B2648" s="1" t="s">
        <v>6794</v>
      </c>
      <c r="C2648" s="1">
        <v>14200000</v>
      </c>
      <c r="D2648" s="1" t="s">
        <v>41</v>
      </c>
      <c r="E2648">
        <v>106.8857</v>
      </c>
      <c r="F2648" s="1" t="s">
        <v>97</v>
      </c>
      <c r="G2648">
        <v>75</v>
      </c>
      <c r="H2648">
        <v>37</v>
      </c>
      <c r="I2648" s="1" t="s">
        <v>3426</v>
      </c>
      <c r="J2648">
        <v>5</v>
      </c>
      <c r="K2648" t="str">
        <f>IF(Tb_data[[#This Row],[previous_workers]]&lt;Tb_data[[#This Row],[workers]],"yes","no")</f>
        <v>yes</v>
      </c>
      <c r="L2648">
        <f>Tb_data[[#This Row],[workers]]-Tb_data[[#This Row],[previous_workers]]</f>
        <v>38</v>
      </c>
      <c r="M2648" s="12">
        <f>Tb_data[[#This Row],[Employees Growth]]/Tb_data[[#This Row],[previous_workers]]</f>
        <v>1.027027027027027</v>
      </c>
    </row>
    <row r="2649" spans="1:13" x14ac:dyDescent="0.25">
      <c r="A2649" s="1" t="s">
        <v>7585</v>
      </c>
      <c r="B2649" s="1" t="s">
        <v>7586</v>
      </c>
      <c r="C2649" s="1">
        <v>2500000</v>
      </c>
      <c r="D2649" s="1" t="s">
        <v>33</v>
      </c>
      <c r="E2649">
        <v>90.748500000000007</v>
      </c>
      <c r="F2649" s="1" t="s">
        <v>25</v>
      </c>
      <c r="H2649">
        <v>20</v>
      </c>
      <c r="I2649" s="1" t="s">
        <v>46</v>
      </c>
      <c r="J2649">
        <v>1</v>
      </c>
      <c r="K2649" t="str">
        <f>IF(Tb_data[[#This Row],[previous_workers]]&lt;Tb_data[[#This Row],[workers]],"yes","no")</f>
        <v>no</v>
      </c>
      <c r="L2649">
        <f>Tb_data[[#This Row],[workers]]-Tb_data[[#This Row],[previous_workers]]</f>
        <v>-20</v>
      </c>
      <c r="M2649" s="12">
        <f>Tb_data[[#This Row],[Employees Growth]]/Tb_data[[#This Row],[previous_workers]]</f>
        <v>-1</v>
      </c>
    </row>
    <row r="2650" spans="1:13" x14ac:dyDescent="0.25">
      <c r="A2650" s="1" t="s">
        <v>5464</v>
      </c>
      <c r="B2650" s="1" t="s">
        <v>5465</v>
      </c>
      <c r="C2650" s="1">
        <v>9500000</v>
      </c>
      <c r="D2650" s="1" t="s">
        <v>29</v>
      </c>
      <c r="E2650">
        <v>143.9128</v>
      </c>
      <c r="F2650" s="1" t="s">
        <v>124</v>
      </c>
      <c r="G2650">
        <v>35</v>
      </c>
      <c r="H2650">
        <v>15</v>
      </c>
      <c r="I2650" s="1" t="s">
        <v>1622</v>
      </c>
      <c r="J2650">
        <v>2</v>
      </c>
      <c r="K2650" t="str">
        <f>IF(Tb_data[[#This Row],[previous_workers]]&lt;Tb_data[[#This Row],[workers]],"yes","no")</f>
        <v>yes</v>
      </c>
      <c r="L2650">
        <f>Tb_data[[#This Row],[workers]]-Tb_data[[#This Row],[previous_workers]]</f>
        <v>20</v>
      </c>
      <c r="M2650" s="12">
        <f>Tb_data[[#This Row],[Employees Growth]]/Tb_data[[#This Row],[previous_workers]]</f>
        <v>1.3333333333333333</v>
      </c>
    </row>
    <row r="2651" spans="1:13" x14ac:dyDescent="0.25">
      <c r="A2651" s="1" t="s">
        <v>8243</v>
      </c>
      <c r="B2651" s="1" t="s">
        <v>8244</v>
      </c>
      <c r="C2651" s="1">
        <v>7900000</v>
      </c>
      <c r="D2651" s="1" t="s">
        <v>33</v>
      </c>
      <c r="E2651">
        <v>78.535600000000002</v>
      </c>
      <c r="F2651" s="1" t="s">
        <v>112</v>
      </c>
      <c r="G2651">
        <v>20</v>
      </c>
      <c r="H2651">
        <v>10</v>
      </c>
      <c r="I2651" s="1" t="s">
        <v>229</v>
      </c>
      <c r="J2651">
        <v>1</v>
      </c>
      <c r="K2651" t="str">
        <f>IF(Tb_data[[#This Row],[previous_workers]]&lt;Tb_data[[#This Row],[workers]],"yes","no")</f>
        <v>yes</v>
      </c>
      <c r="L2651">
        <f>Tb_data[[#This Row],[workers]]-Tb_data[[#This Row],[previous_workers]]</f>
        <v>10</v>
      </c>
      <c r="M2651" s="12">
        <f>Tb_data[[#This Row],[Employees Growth]]/Tb_data[[#This Row],[previous_workers]]</f>
        <v>1</v>
      </c>
    </row>
    <row r="2652" spans="1:13" x14ac:dyDescent="0.25">
      <c r="A2652" s="1" t="s">
        <v>1026</v>
      </c>
      <c r="B2652" s="1" t="s">
        <v>1027</v>
      </c>
      <c r="C2652" s="1">
        <v>7500000</v>
      </c>
      <c r="D2652" s="1" t="s">
        <v>20</v>
      </c>
      <c r="E2652">
        <v>967.57129999999995</v>
      </c>
      <c r="F2652" s="1" t="s">
        <v>62</v>
      </c>
      <c r="G2652">
        <v>48</v>
      </c>
      <c r="H2652">
        <v>6</v>
      </c>
      <c r="I2652" s="1" t="s">
        <v>1028</v>
      </c>
      <c r="J2652">
        <v>1</v>
      </c>
      <c r="K2652" t="str">
        <f>IF(Tb_data[[#This Row],[previous_workers]]&lt;Tb_data[[#This Row],[workers]],"yes","no")</f>
        <v>yes</v>
      </c>
      <c r="L2652">
        <f>Tb_data[[#This Row],[workers]]-Tb_data[[#This Row],[previous_workers]]</f>
        <v>42</v>
      </c>
      <c r="M2652" s="12">
        <f>Tb_data[[#This Row],[Employees Growth]]/Tb_data[[#This Row],[previous_workers]]</f>
        <v>7</v>
      </c>
    </row>
    <row r="2653" spans="1:13" x14ac:dyDescent="0.25">
      <c r="A2653" s="1" t="s">
        <v>4160</v>
      </c>
      <c r="B2653" s="1" t="s">
        <v>4161</v>
      </c>
      <c r="C2653" s="1">
        <v>10800000</v>
      </c>
      <c r="D2653" s="1" t="s">
        <v>61</v>
      </c>
      <c r="E2653">
        <v>197.5924</v>
      </c>
      <c r="F2653" s="1" t="s">
        <v>12</v>
      </c>
      <c r="G2653">
        <v>41</v>
      </c>
      <c r="H2653">
        <v>12</v>
      </c>
      <c r="I2653" s="1" t="s">
        <v>46</v>
      </c>
      <c r="J2653">
        <v>1</v>
      </c>
      <c r="K2653" t="str">
        <f>IF(Tb_data[[#This Row],[previous_workers]]&lt;Tb_data[[#This Row],[workers]],"yes","no")</f>
        <v>yes</v>
      </c>
      <c r="L2653">
        <f>Tb_data[[#This Row],[workers]]-Tb_data[[#This Row],[previous_workers]]</f>
        <v>29</v>
      </c>
      <c r="M2653" s="12">
        <f>Tb_data[[#This Row],[Employees Growth]]/Tb_data[[#This Row],[previous_workers]]</f>
        <v>2.4166666666666665</v>
      </c>
    </row>
    <row r="2654" spans="1:13" x14ac:dyDescent="0.25">
      <c r="A2654" s="1" t="s">
        <v>6143</v>
      </c>
      <c r="B2654" s="1" t="s">
        <v>6144</v>
      </c>
      <c r="C2654" s="1">
        <v>22900000</v>
      </c>
      <c r="D2654" s="1" t="s">
        <v>41</v>
      </c>
      <c r="E2654">
        <v>122.6014</v>
      </c>
      <c r="F2654" s="1" t="s">
        <v>97</v>
      </c>
      <c r="G2654">
        <v>200</v>
      </c>
      <c r="H2654">
        <v>92</v>
      </c>
      <c r="I2654" s="1" t="s">
        <v>117</v>
      </c>
      <c r="J2654">
        <v>6</v>
      </c>
      <c r="K2654" t="str">
        <f>IF(Tb_data[[#This Row],[previous_workers]]&lt;Tb_data[[#This Row],[workers]],"yes","no")</f>
        <v>yes</v>
      </c>
      <c r="L2654">
        <f>Tb_data[[#This Row],[workers]]-Tb_data[[#This Row],[previous_workers]]</f>
        <v>108</v>
      </c>
      <c r="M2654" s="12">
        <f>Tb_data[[#This Row],[Employees Growth]]/Tb_data[[#This Row],[previous_workers]]</f>
        <v>1.173913043478261</v>
      </c>
    </row>
    <row r="2655" spans="1:13" x14ac:dyDescent="0.25">
      <c r="A2655" s="1" t="s">
        <v>2965</v>
      </c>
      <c r="B2655" s="1" t="s">
        <v>2966</v>
      </c>
      <c r="C2655" s="1">
        <v>27500000</v>
      </c>
      <c r="D2655" s="1" t="s">
        <v>52</v>
      </c>
      <c r="E2655">
        <v>290.3784</v>
      </c>
      <c r="F2655" s="1" t="s">
        <v>116</v>
      </c>
      <c r="G2655">
        <v>58</v>
      </c>
      <c r="H2655">
        <v>18</v>
      </c>
      <c r="I2655" s="1" t="s">
        <v>164</v>
      </c>
      <c r="J2655">
        <v>4</v>
      </c>
      <c r="K2655" t="str">
        <f>IF(Tb_data[[#This Row],[previous_workers]]&lt;Tb_data[[#This Row],[workers]],"yes","no")</f>
        <v>yes</v>
      </c>
      <c r="L2655">
        <f>Tb_data[[#This Row],[workers]]-Tb_data[[#This Row],[previous_workers]]</f>
        <v>40</v>
      </c>
      <c r="M2655" s="12">
        <f>Tb_data[[#This Row],[Employees Growth]]/Tb_data[[#This Row],[previous_workers]]</f>
        <v>2.2222222222222223</v>
      </c>
    </row>
    <row r="2656" spans="1:13" x14ac:dyDescent="0.25">
      <c r="A2656" s="1" t="s">
        <v>2264</v>
      </c>
      <c r="B2656" s="1" t="s">
        <v>2265</v>
      </c>
      <c r="C2656" s="1">
        <v>9000000</v>
      </c>
      <c r="D2656" s="1" t="s">
        <v>61</v>
      </c>
      <c r="E2656">
        <v>390.01429999999999</v>
      </c>
      <c r="F2656" s="1" t="s">
        <v>30</v>
      </c>
      <c r="G2656">
        <v>10</v>
      </c>
      <c r="H2656">
        <v>1</v>
      </c>
      <c r="I2656" s="1" t="s">
        <v>13</v>
      </c>
      <c r="J2656">
        <v>1</v>
      </c>
      <c r="K2656" t="str">
        <f>IF(Tb_data[[#This Row],[previous_workers]]&lt;Tb_data[[#This Row],[workers]],"yes","no")</f>
        <v>yes</v>
      </c>
      <c r="L2656">
        <f>Tb_data[[#This Row],[workers]]-Tb_data[[#This Row],[previous_workers]]</f>
        <v>9</v>
      </c>
      <c r="M2656" s="12">
        <f>Tb_data[[#This Row],[Employees Growth]]/Tb_data[[#This Row],[previous_workers]]</f>
        <v>9</v>
      </c>
    </row>
    <row r="2657" spans="1:13" x14ac:dyDescent="0.25">
      <c r="A2657" s="1" t="s">
        <v>4028</v>
      </c>
      <c r="B2657" s="1" t="s">
        <v>4029</v>
      </c>
      <c r="C2657" s="1">
        <v>19500000</v>
      </c>
      <c r="D2657" s="1" t="s">
        <v>69</v>
      </c>
      <c r="E2657">
        <v>205.67420000000001</v>
      </c>
      <c r="F2657" s="1" t="s">
        <v>100</v>
      </c>
      <c r="G2657">
        <v>186</v>
      </c>
      <c r="H2657">
        <v>50</v>
      </c>
      <c r="I2657" s="1" t="s">
        <v>2628</v>
      </c>
      <c r="J2657">
        <v>4</v>
      </c>
      <c r="K2657" t="str">
        <f>IF(Tb_data[[#This Row],[previous_workers]]&lt;Tb_data[[#This Row],[workers]],"yes","no")</f>
        <v>yes</v>
      </c>
      <c r="L2657">
        <f>Tb_data[[#This Row],[workers]]-Tb_data[[#This Row],[previous_workers]]</f>
        <v>136</v>
      </c>
      <c r="M2657" s="12">
        <f>Tb_data[[#This Row],[Employees Growth]]/Tb_data[[#This Row],[previous_workers]]</f>
        <v>2.72</v>
      </c>
    </row>
    <row r="2658" spans="1:13" x14ac:dyDescent="0.25">
      <c r="A2658" s="1" t="s">
        <v>5016</v>
      </c>
      <c r="B2658" s="1" t="s">
        <v>5017</v>
      </c>
      <c r="C2658" s="1">
        <v>6100000</v>
      </c>
      <c r="D2658" s="1" t="s">
        <v>1853</v>
      </c>
      <c r="E2658">
        <v>161.26849999999999</v>
      </c>
      <c r="F2658" s="1" t="s">
        <v>116</v>
      </c>
      <c r="G2658">
        <v>6</v>
      </c>
      <c r="H2658">
        <v>3</v>
      </c>
      <c r="I2658" s="1" t="s">
        <v>46</v>
      </c>
      <c r="J2658">
        <v>4</v>
      </c>
      <c r="K2658" t="str">
        <f>IF(Tb_data[[#This Row],[previous_workers]]&lt;Tb_data[[#This Row],[workers]],"yes","no")</f>
        <v>yes</v>
      </c>
      <c r="L2658">
        <f>Tb_data[[#This Row],[workers]]-Tb_data[[#This Row],[previous_workers]]</f>
        <v>3</v>
      </c>
      <c r="M2658" s="12">
        <f>Tb_data[[#This Row],[Employees Growth]]/Tb_data[[#This Row],[previous_workers]]</f>
        <v>1</v>
      </c>
    </row>
    <row r="2659" spans="1:13" x14ac:dyDescent="0.25">
      <c r="A2659" s="1" t="s">
        <v>5496</v>
      </c>
      <c r="B2659" s="1" t="s">
        <v>5497</v>
      </c>
      <c r="C2659" s="1">
        <v>4100000</v>
      </c>
      <c r="D2659" s="1" t="s">
        <v>179</v>
      </c>
      <c r="E2659">
        <v>142.90100000000001</v>
      </c>
      <c r="F2659" s="1" t="s">
        <v>12</v>
      </c>
      <c r="G2659">
        <v>14</v>
      </c>
      <c r="H2659">
        <v>4</v>
      </c>
      <c r="I2659" s="1" t="s">
        <v>948</v>
      </c>
      <c r="J2659">
        <v>1</v>
      </c>
      <c r="K2659" t="str">
        <f>IF(Tb_data[[#This Row],[previous_workers]]&lt;Tb_data[[#This Row],[workers]],"yes","no")</f>
        <v>yes</v>
      </c>
      <c r="L2659">
        <f>Tb_data[[#This Row],[workers]]-Tb_data[[#This Row],[previous_workers]]</f>
        <v>10</v>
      </c>
      <c r="M2659" s="12">
        <f>Tb_data[[#This Row],[Employees Growth]]/Tb_data[[#This Row],[previous_workers]]</f>
        <v>2.5</v>
      </c>
    </row>
    <row r="2660" spans="1:13" x14ac:dyDescent="0.25">
      <c r="A2660" s="1" t="s">
        <v>4162</v>
      </c>
      <c r="B2660" s="1" t="s">
        <v>4163</v>
      </c>
      <c r="C2660" s="1">
        <v>5500000</v>
      </c>
      <c r="D2660" s="1" t="s">
        <v>38</v>
      </c>
      <c r="E2660">
        <v>197.4743</v>
      </c>
      <c r="F2660" s="1" t="s">
        <v>12</v>
      </c>
      <c r="G2660">
        <v>10</v>
      </c>
      <c r="H2660">
        <v>2</v>
      </c>
      <c r="I2660" s="1" t="s">
        <v>117</v>
      </c>
      <c r="J2660">
        <v>1</v>
      </c>
      <c r="K2660" t="str">
        <f>IF(Tb_data[[#This Row],[previous_workers]]&lt;Tb_data[[#This Row],[workers]],"yes","no")</f>
        <v>yes</v>
      </c>
      <c r="L2660">
        <f>Tb_data[[#This Row],[workers]]-Tb_data[[#This Row],[previous_workers]]</f>
        <v>8</v>
      </c>
      <c r="M2660" s="12">
        <f>Tb_data[[#This Row],[Employees Growth]]/Tb_data[[#This Row],[previous_workers]]</f>
        <v>4</v>
      </c>
    </row>
    <row r="2661" spans="1:13" x14ac:dyDescent="0.25">
      <c r="A2661" s="1" t="s">
        <v>1858</v>
      </c>
      <c r="B2661" s="1" t="s">
        <v>1859</v>
      </c>
      <c r="C2661" s="1">
        <v>5400000</v>
      </c>
      <c r="D2661" s="1" t="s">
        <v>33</v>
      </c>
      <c r="E2661">
        <v>486.3766</v>
      </c>
      <c r="F2661" s="1" t="s">
        <v>12</v>
      </c>
      <c r="G2661">
        <v>81</v>
      </c>
      <c r="H2661">
        <v>23</v>
      </c>
      <c r="I2661" s="1" t="s">
        <v>26</v>
      </c>
      <c r="J2661">
        <v>2</v>
      </c>
      <c r="K2661" t="str">
        <f>IF(Tb_data[[#This Row],[previous_workers]]&lt;Tb_data[[#This Row],[workers]],"yes","no")</f>
        <v>yes</v>
      </c>
      <c r="L2661">
        <f>Tb_data[[#This Row],[workers]]-Tb_data[[#This Row],[previous_workers]]</f>
        <v>58</v>
      </c>
      <c r="M2661" s="12">
        <f>Tb_data[[#This Row],[Employees Growth]]/Tb_data[[#This Row],[previous_workers]]</f>
        <v>2.5217391304347827</v>
      </c>
    </row>
    <row r="2662" spans="1:13" x14ac:dyDescent="0.25">
      <c r="A2662" s="1" t="s">
        <v>1854</v>
      </c>
      <c r="B2662" s="1" t="s">
        <v>1855</v>
      </c>
      <c r="C2662" s="1">
        <v>13100000</v>
      </c>
      <c r="D2662" s="1" t="s">
        <v>49</v>
      </c>
      <c r="E2662">
        <v>487.11900000000003</v>
      </c>
      <c r="F2662" s="1" t="s">
        <v>12</v>
      </c>
      <c r="G2662">
        <v>68</v>
      </c>
      <c r="H2662">
        <v>10</v>
      </c>
      <c r="I2662" s="1" t="s">
        <v>26</v>
      </c>
      <c r="J2662">
        <v>1</v>
      </c>
      <c r="K2662" t="str">
        <f>IF(Tb_data[[#This Row],[previous_workers]]&lt;Tb_data[[#This Row],[workers]],"yes","no")</f>
        <v>yes</v>
      </c>
      <c r="L2662">
        <f>Tb_data[[#This Row],[workers]]-Tb_data[[#This Row],[previous_workers]]</f>
        <v>58</v>
      </c>
      <c r="M2662" s="12">
        <f>Tb_data[[#This Row],[Employees Growth]]/Tb_data[[#This Row],[previous_workers]]</f>
        <v>5.8</v>
      </c>
    </row>
    <row r="2663" spans="1:13" x14ac:dyDescent="0.25">
      <c r="A2663" s="1" t="s">
        <v>8111</v>
      </c>
      <c r="B2663" s="1" t="s">
        <v>8112</v>
      </c>
      <c r="C2663" s="1">
        <v>37700000</v>
      </c>
      <c r="D2663" s="1" t="s">
        <v>254</v>
      </c>
      <c r="E2663">
        <v>81.022599999999997</v>
      </c>
      <c r="F2663" s="1" t="s">
        <v>17</v>
      </c>
      <c r="G2663">
        <v>50</v>
      </c>
      <c r="H2663">
        <v>32</v>
      </c>
      <c r="I2663" s="1" t="s">
        <v>35</v>
      </c>
      <c r="J2663">
        <v>4</v>
      </c>
      <c r="K2663" t="str">
        <f>IF(Tb_data[[#This Row],[previous_workers]]&lt;Tb_data[[#This Row],[workers]],"yes","no")</f>
        <v>yes</v>
      </c>
      <c r="L2663">
        <f>Tb_data[[#This Row],[workers]]-Tb_data[[#This Row],[previous_workers]]</f>
        <v>18</v>
      </c>
      <c r="M2663" s="12">
        <f>Tb_data[[#This Row],[Employees Growth]]/Tb_data[[#This Row],[previous_workers]]</f>
        <v>0.5625</v>
      </c>
    </row>
    <row r="2664" spans="1:13" x14ac:dyDescent="0.25">
      <c r="A2664" s="1" t="s">
        <v>5968</v>
      </c>
      <c r="B2664" s="1" t="s">
        <v>5969</v>
      </c>
      <c r="C2664" s="1">
        <v>31200000</v>
      </c>
      <c r="D2664" s="1" t="s">
        <v>49</v>
      </c>
      <c r="E2664">
        <v>127.2955</v>
      </c>
      <c r="F2664" s="1" t="s">
        <v>12</v>
      </c>
      <c r="G2664">
        <v>64</v>
      </c>
      <c r="H2664">
        <v>45</v>
      </c>
      <c r="I2664" s="1" t="s">
        <v>164</v>
      </c>
      <c r="J2664">
        <v>4</v>
      </c>
      <c r="K2664" t="str">
        <f>IF(Tb_data[[#This Row],[previous_workers]]&lt;Tb_data[[#This Row],[workers]],"yes","no")</f>
        <v>yes</v>
      </c>
      <c r="L2664">
        <f>Tb_data[[#This Row],[workers]]-Tb_data[[#This Row],[previous_workers]]</f>
        <v>19</v>
      </c>
      <c r="M2664" s="12">
        <f>Tb_data[[#This Row],[Employees Growth]]/Tb_data[[#This Row],[previous_workers]]</f>
        <v>0.42222222222222222</v>
      </c>
    </row>
    <row r="2665" spans="1:13" x14ac:dyDescent="0.25">
      <c r="A2665" s="1" t="s">
        <v>3501</v>
      </c>
      <c r="B2665" s="1" t="s">
        <v>3502</v>
      </c>
      <c r="C2665" s="1">
        <v>6000000</v>
      </c>
      <c r="D2665" s="1" t="s">
        <v>20</v>
      </c>
      <c r="E2665">
        <v>242.2893</v>
      </c>
      <c r="F2665" s="1" t="s">
        <v>124</v>
      </c>
      <c r="G2665">
        <v>37</v>
      </c>
      <c r="H2665">
        <v>7</v>
      </c>
      <c r="I2665" s="1" t="s">
        <v>164</v>
      </c>
      <c r="J2665">
        <v>3</v>
      </c>
      <c r="K2665" t="str">
        <f>IF(Tb_data[[#This Row],[previous_workers]]&lt;Tb_data[[#This Row],[workers]],"yes","no")</f>
        <v>yes</v>
      </c>
      <c r="L2665">
        <f>Tb_data[[#This Row],[workers]]-Tb_data[[#This Row],[previous_workers]]</f>
        <v>30</v>
      </c>
      <c r="M2665" s="12">
        <f>Tb_data[[#This Row],[Employees Growth]]/Tb_data[[#This Row],[previous_workers]]</f>
        <v>4.2857142857142856</v>
      </c>
    </row>
    <row r="2666" spans="1:13" x14ac:dyDescent="0.25">
      <c r="A2666" s="1" t="s">
        <v>5730</v>
      </c>
      <c r="B2666" s="1" t="s">
        <v>5731</v>
      </c>
      <c r="C2666" s="1">
        <v>3400000</v>
      </c>
      <c r="D2666" s="1" t="s">
        <v>387</v>
      </c>
      <c r="E2666">
        <v>133.68199999999999</v>
      </c>
      <c r="F2666" s="1" t="s">
        <v>34</v>
      </c>
      <c r="G2666">
        <v>10</v>
      </c>
      <c r="H2666">
        <v>4</v>
      </c>
      <c r="I2666" s="1" t="s">
        <v>130</v>
      </c>
      <c r="J2666">
        <v>2</v>
      </c>
      <c r="K2666" t="str">
        <f>IF(Tb_data[[#This Row],[previous_workers]]&lt;Tb_data[[#This Row],[workers]],"yes","no")</f>
        <v>yes</v>
      </c>
      <c r="L2666">
        <f>Tb_data[[#This Row],[workers]]-Tb_data[[#This Row],[previous_workers]]</f>
        <v>6</v>
      </c>
      <c r="M2666" s="12">
        <f>Tb_data[[#This Row],[Employees Growth]]/Tb_data[[#This Row],[previous_workers]]</f>
        <v>1.5</v>
      </c>
    </row>
    <row r="2667" spans="1:13" x14ac:dyDescent="0.25">
      <c r="A2667" s="1" t="s">
        <v>3307</v>
      </c>
      <c r="B2667" s="1" t="s">
        <v>3308</v>
      </c>
      <c r="C2667" s="1">
        <v>16900000</v>
      </c>
      <c r="D2667" s="1" t="s">
        <v>175</v>
      </c>
      <c r="E2667">
        <v>258.27510000000001</v>
      </c>
      <c r="F2667" s="1" t="s">
        <v>97</v>
      </c>
      <c r="G2667">
        <v>97</v>
      </c>
      <c r="H2667">
        <v>38</v>
      </c>
      <c r="I2667" s="1" t="s">
        <v>194</v>
      </c>
      <c r="J2667">
        <v>3</v>
      </c>
      <c r="K2667" t="str">
        <f>IF(Tb_data[[#This Row],[previous_workers]]&lt;Tb_data[[#This Row],[workers]],"yes","no")</f>
        <v>yes</v>
      </c>
      <c r="L2667">
        <f>Tb_data[[#This Row],[workers]]-Tb_data[[#This Row],[previous_workers]]</f>
        <v>59</v>
      </c>
      <c r="M2667" s="12">
        <f>Tb_data[[#This Row],[Employees Growth]]/Tb_data[[#This Row],[previous_workers]]</f>
        <v>1.5526315789473684</v>
      </c>
    </row>
    <row r="2668" spans="1:13" x14ac:dyDescent="0.25">
      <c r="A2668" s="1" t="s">
        <v>4489</v>
      </c>
      <c r="B2668" s="1" t="s">
        <v>4490</v>
      </c>
      <c r="C2668" s="1">
        <v>6300000</v>
      </c>
      <c r="D2668" s="1" t="s">
        <v>129</v>
      </c>
      <c r="E2668">
        <v>182.96420000000001</v>
      </c>
      <c r="F2668" s="1" t="s">
        <v>34</v>
      </c>
      <c r="G2668">
        <v>50</v>
      </c>
      <c r="H2668">
        <v>10</v>
      </c>
      <c r="I2668" s="1" t="s">
        <v>55</v>
      </c>
      <c r="J2668">
        <v>2</v>
      </c>
      <c r="K2668" t="str">
        <f>IF(Tb_data[[#This Row],[previous_workers]]&lt;Tb_data[[#This Row],[workers]],"yes","no")</f>
        <v>yes</v>
      </c>
      <c r="L2668">
        <f>Tb_data[[#This Row],[workers]]-Tb_data[[#This Row],[previous_workers]]</f>
        <v>40</v>
      </c>
      <c r="M2668" s="12">
        <f>Tb_data[[#This Row],[Employees Growth]]/Tb_data[[#This Row],[previous_workers]]</f>
        <v>4</v>
      </c>
    </row>
    <row r="2669" spans="1:13" x14ac:dyDescent="0.25">
      <c r="A2669" s="1" t="s">
        <v>9017</v>
      </c>
      <c r="B2669" s="1" t="s">
        <v>9018</v>
      </c>
      <c r="C2669" s="1">
        <v>123600000</v>
      </c>
      <c r="D2669" s="1" t="s">
        <v>129</v>
      </c>
      <c r="E2669">
        <v>66.454400000000007</v>
      </c>
      <c r="F2669" s="1" t="s">
        <v>100</v>
      </c>
      <c r="G2669">
        <v>18</v>
      </c>
      <c r="H2669">
        <v>3</v>
      </c>
      <c r="I2669" s="1" t="s">
        <v>26</v>
      </c>
      <c r="J2669">
        <v>2</v>
      </c>
      <c r="K2669" t="str">
        <f>IF(Tb_data[[#This Row],[previous_workers]]&lt;Tb_data[[#This Row],[workers]],"yes","no")</f>
        <v>yes</v>
      </c>
      <c r="L2669">
        <f>Tb_data[[#This Row],[workers]]-Tb_data[[#This Row],[previous_workers]]</f>
        <v>15</v>
      </c>
      <c r="M2669" s="12">
        <f>Tb_data[[#This Row],[Employees Growth]]/Tb_data[[#This Row],[previous_workers]]</f>
        <v>5</v>
      </c>
    </row>
    <row r="2670" spans="1:13" x14ac:dyDescent="0.25">
      <c r="A2670" s="1" t="s">
        <v>3503</v>
      </c>
      <c r="B2670" s="1" t="s">
        <v>3504</v>
      </c>
      <c r="C2670" s="1">
        <v>7000000</v>
      </c>
      <c r="D2670" s="1" t="s">
        <v>33</v>
      </c>
      <c r="E2670">
        <v>242.0437</v>
      </c>
      <c r="F2670" s="1" t="s">
        <v>86</v>
      </c>
      <c r="G2670">
        <v>90</v>
      </c>
      <c r="H2670">
        <v>15</v>
      </c>
      <c r="I2670" s="1" t="s">
        <v>55</v>
      </c>
      <c r="J2670">
        <v>2</v>
      </c>
      <c r="K2670" t="str">
        <f>IF(Tb_data[[#This Row],[previous_workers]]&lt;Tb_data[[#This Row],[workers]],"yes","no")</f>
        <v>yes</v>
      </c>
      <c r="L2670">
        <f>Tb_data[[#This Row],[workers]]-Tb_data[[#This Row],[previous_workers]]</f>
        <v>75</v>
      </c>
      <c r="M2670" s="12">
        <f>Tb_data[[#This Row],[Employees Growth]]/Tb_data[[#This Row],[previous_workers]]</f>
        <v>5</v>
      </c>
    </row>
    <row r="2671" spans="1:13" x14ac:dyDescent="0.25">
      <c r="A2671" s="1" t="s">
        <v>2707</v>
      </c>
      <c r="B2671" s="1" t="s">
        <v>2708</v>
      </c>
      <c r="C2671" s="1">
        <v>2000000</v>
      </c>
      <c r="D2671" s="1" t="s">
        <v>69</v>
      </c>
      <c r="E2671">
        <v>317.80610000000001</v>
      </c>
      <c r="F2671" s="1" t="s">
        <v>176</v>
      </c>
      <c r="G2671">
        <v>12</v>
      </c>
      <c r="H2671">
        <v>6</v>
      </c>
      <c r="I2671" s="1" t="s">
        <v>26</v>
      </c>
      <c r="J2671">
        <v>1</v>
      </c>
      <c r="K2671" t="str">
        <f>IF(Tb_data[[#This Row],[previous_workers]]&lt;Tb_data[[#This Row],[workers]],"yes","no")</f>
        <v>yes</v>
      </c>
      <c r="L2671">
        <f>Tb_data[[#This Row],[workers]]-Tb_data[[#This Row],[previous_workers]]</f>
        <v>6</v>
      </c>
      <c r="M2671" s="12">
        <f>Tb_data[[#This Row],[Employees Growth]]/Tb_data[[#This Row],[previous_workers]]</f>
        <v>1</v>
      </c>
    </row>
    <row r="2672" spans="1:13" x14ac:dyDescent="0.25">
      <c r="A2672" s="1" t="s">
        <v>6611</v>
      </c>
      <c r="B2672" s="1" t="s">
        <v>6612</v>
      </c>
      <c r="C2672" s="1">
        <v>6400000</v>
      </c>
      <c r="D2672" s="1" t="s">
        <v>179</v>
      </c>
      <c r="E2672">
        <v>111.14409999999999</v>
      </c>
      <c r="F2672" s="1" t="s">
        <v>161</v>
      </c>
      <c r="G2672">
        <v>58</v>
      </c>
      <c r="H2672">
        <v>25</v>
      </c>
      <c r="I2672" s="1" t="s">
        <v>147</v>
      </c>
      <c r="J2672">
        <v>6</v>
      </c>
      <c r="K2672" t="str">
        <f>IF(Tb_data[[#This Row],[previous_workers]]&lt;Tb_data[[#This Row],[workers]],"yes","no")</f>
        <v>yes</v>
      </c>
      <c r="L2672">
        <f>Tb_data[[#This Row],[workers]]-Tb_data[[#This Row],[previous_workers]]</f>
        <v>33</v>
      </c>
      <c r="M2672" s="12">
        <f>Tb_data[[#This Row],[Employees Growth]]/Tb_data[[#This Row],[previous_workers]]</f>
        <v>1.32</v>
      </c>
    </row>
    <row r="2673" spans="1:13" x14ac:dyDescent="0.25">
      <c r="A2673" s="1" t="s">
        <v>5486</v>
      </c>
      <c r="B2673" s="1" t="s">
        <v>5487</v>
      </c>
      <c r="C2673" s="1">
        <v>10700000</v>
      </c>
      <c r="D2673" s="1" t="s">
        <v>16</v>
      </c>
      <c r="E2673">
        <v>143.21010000000001</v>
      </c>
      <c r="F2673" s="1" t="s">
        <v>34</v>
      </c>
      <c r="G2673">
        <v>22</v>
      </c>
      <c r="H2673">
        <v>9</v>
      </c>
      <c r="I2673" s="1" t="s">
        <v>164</v>
      </c>
      <c r="J2673">
        <v>1</v>
      </c>
      <c r="K2673" t="str">
        <f>IF(Tb_data[[#This Row],[previous_workers]]&lt;Tb_data[[#This Row],[workers]],"yes","no")</f>
        <v>yes</v>
      </c>
      <c r="L2673">
        <f>Tb_data[[#This Row],[workers]]-Tb_data[[#This Row],[previous_workers]]</f>
        <v>13</v>
      </c>
      <c r="M2673" s="12">
        <f>Tb_data[[#This Row],[Employees Growth]]/Tb_data[[#This Row],[previous_workers]]</f>
        <v>1.4444444444444444</v>
      </c>
    </row>
    <row r="2674" spans="1:13" x14ac:dyDescent="0.25">
      <c r="A2674" s="1" t="s">
        <v>8911</v>
      </c>
      <c r="B2674" s="1" t="s">
        <v>8912</v>
      </c>
      <c r="C2674" s="1">
        <v>7000000</v>
      </c>
      <c r="D2674" s="1" t="s">
        <v>664</v>
      </c>
      <c r="E2674">
        <v>67.900999999999996</v>
      </c>
      <c r="F2674" s="1" t="s">
        <v>310</v>
      </c>
      <c r="G2674">
        <v>125</v>
      </c>
      <c r="H2674">
        <v>100</v>
      </c>
      <c r="I2674" s="1" t="s">
        <v>117</v>
      </c>
      <c r="J2674">
        <v>4</v>
      </c>
      <c r="K2674" t="str">
        <f>IF(Tb_data[[#This Row],[previous_workers]]&lt;Tb_data[[#This Row],[workers]],"yes","no")</f>
        <v>yes</v>
      </c>
      <c r="L2674">
        <f>Tb_data[[#This Row],[workers]]-Tb_data[[#This Row],[previous_workers]]</f>
        <v>25</v>
      </c>
      <c r="M2674" s="12">
        <f>Tb_data[[#This Row],[Employees Growth]]/Tb_data[[#This Row],[previous_workers]]</f>
        <v>0.25</v>
      </c>
    </row>
    <row r="2675" spans="1:13" x14ac:dyDescent="0.25">
      <c r="A2675" s="1" t="s">
        <v>5152</v>
      </c>
      <c r="B2675" s="1" t="s">
        <v>5153</v>
      </c>
      <c r="C2675" s="1">
        <v>694400000</v>
      </c>
      <c r="D2675" s="1" t="s">
        <v>45</v>
      </c>
      <c r="E2675">
        <v>155.35489999999999</v>
      </c>
      <c r="F2675" s="1" t="s">
        <v>176</v>
      </c>
      <c r="G2675">
        <v>1699</v>
      </c>
      <c r="H2675">
        <v>1378</v>
      </c>
      <c r="I2675" s="1" t="s">
        <v>1051</v>
      </c>
      <c r="J2675">
        <v>6</v>
      </c>
      <c r="K2675" t="str">
        <f>IF(Tb_data[[#This Row],[previous_workers]]&lt;Tb_data[[#This Row],[workers]],"yes","no")</f>
        <v>yes</v>
      </c>
      <c r="L2675">
        <f>Tb_data[[#This Row],[workers]]-Tb_data[[#This Row],[previous_workers]]</f>
        <v>321</v>
      </c>
      <c r="M2675" s="12">
        <f>Tb_data[[#This Row],[Employees Growth]]/Tb_data[[#This Row],[previous_workers]]</f>
        <v>0.23294629898403482</v>
      </c>
    </row>
    <row r="2676" spans="1:13" x14ac:dyDescent="0.25">
      <c r="A2676" s="1" t="s">
        <v>5350</v>
      </c>
      <c r="B2676" s="1" t="s">
        <v>5351</v>
      </c>
      <c r="C2676" s="1">
        <v>733700000</v>
      </c>
      <c r="D2676" s="1" t="s">
        <v>79</v>
      </c>
      <c r="E2676">
        <v>148.01689999999999</v>
      </c>
      <c r="F2676" s="1" t="s">
        <v>514</v>
      </c>
      <c r="G2676">
        <v>1500</v>
      </c>
      <c r="H2676">
        <v>500</v>
      </c>
      <c r="I2676" s="1" t="s">
        <v>372</v>
      </c>
      <c r="J2676">
        <v>1</v>
      </c>
      <c r="K2676" t="str">
        <f>IF(Tb_data[[#This Row],[previous_workers]]&lt;Tb_data[[#This Row],[workers]],"yes","no")</f>
        <v>yes</v>
      </c>
      <c r="L2676">
        <f>Tb_data[[#This Row],[workers]]-Tb_data[[#This Row],[previous_workers]]</f>
        <v>1000</v>
      </c>
      <c r="M2676" s="12">
        <f>Tb_data[[#This Row],[Employees Growth]]/Tb_data[[#This Row],[previous_workers]]</f>
        <v>2</v>
      </c>
    </row>
    <row r="2677" spans="1:13" x14ac:dyDescent="0.25">
      <c r="A2677" s="1" t="s">
        <v>8667</v>
      </c>
      <c r="B2677" s="1" t="s">
        <v>8668</v>
      </c>
      <c r="C2677" s="1">
        <v>13800000</v>
      </c>
      <c r="D2677" s="1" t="s">
        <v>895</v>
      </c>
      <c r="E2677">
        <v>71.446899999999999</v>
      </c>
      <c r="F2677" s="1" t="s">
        <v>161</v>
      </c>
      <c r="G2677">
        <v>21</v>
      </c>
      <c r="H2677">
        <v>14</v>
      </c>
      <c r="I2677" s="1" t="s">
        <v>117</v>
      </c>
      <c r="J2677">
        <v>4</v>
      </c>
      <c r="K2677" t="str">
        <f>IF(Tb_data[[#This Row],[previous_workers]]&lt;Tb_data[[#This Row],[workers]],"yes","no")</f>
        <v>yes</v>
      </c>
      <c r="L2677">
        <f>Tb_data[[#This Row],[workers]]-Tb_data[[#This Row],[previous_workers]]</f>
        <v>7</v>
      </c>
      <c r="M2677" s="12">
        <f>Tb_data[[#This Row],[Employees Growth]]/Tb_data[[#This Row],[previous_workers]]</f>
        <v>0.5</v>
      </c>
    </row>
    <row r="2678" spans="1:13" x14ac:dyDescent="0.25">
      <c r="A2678" s="1" t="s">
        <v>2838</v>
      </c>
      <c r="B2678" s="1" t="s">
        <v>2839</v>
      </c>
      <c r="C2678" s="1">
        <v>9900000</v>
      </c>
      <c r="D2678" s="1" t="s">
        <v>254</v>
      </c>
      <c r="E2678">
        <v>305.125</v>
      </c>
      <c r="F2678" s="1" t="s">
        <v>112</v>
      </c>
      <c r="G2678">
        <v>28</v>
      </c>
      <c r="H2678">
        <v>27</v>
      </c>
      <c r="I2678" s="1" t="s">
        <v>2840</v>
      </c>
      <c r="J2678">
        <v>3</v>
      </c>
      <c r="K2678" t="str">
        <f>IF(Tb_data[[#This Row],[previous_workers]]&lt;Tb_data[[#This Row],[workers]],"yes","no")</f>
        <v>yes</v>
      </c>
      <c r="L2678">
        <f>Tb_data[[#This Row],[workers]]-Tb_data[[#This Row],[previous_workers]]</f>
        <v>1</v>
      </c>
      <c r="M2678" s="12">
        <f>Tb_data[[#This Row],[Employees Growth]]/Tb_data[[#This Row],[previous_workers]]</f>
        <v>3.7037037037037035E-2</v>
      </c>
    </row>
    <row r="2679" spans="1:13" x14ac:dyDescent="0.25">
      <c r="A2679" s="1" t="s">
        <v>2939</v>
      </c>
      <c r="B2679" s="1" t="s">
        <v>2940</v>
      </c>
      <c r="C2679" s="1">
        <v>5200000</v>
      </c>
      <c r="D2679" s="1" t="s">
        <v>175</v>
      </c>
      <c r="E2679">
        <v>292.52109999999999</v>
      </c>
      <c r="F2679" s="1" t="s">
        <v>100</v>
      </c>
      <c r="G2679">
        <v>65</v>
      </c>
      <c r="H2679">
        <v>20</v>
      </c>
      <c r="I2679" s="1" t="s">
        <v>35</v>
      </c>
      <c r="J2679">
        <v>3</v>
      </c>
      <c r="K2679" t="str">
        <f>IF(Tb_data[[#This Row],[previous_workers]]&lt;Tb_data[[#This Row],[workers]],"yes","no")</f>
        <v>yes</v>
      </c>
      <c r="L2679">
        <f>Tb_data[[#This Row],[workers]]-Tb_data[[#This Row],[previous_workers]]</f>
        <v>45</v>
      </c>
      <c r="M2679" s="12">
        <f>Tb_data[[#This Row],[Employees Growth]]/Tb_data[[#This Row],[previous_workers]]</f>
        <v>2.25</v>
      </c>
    </row>
    <row r="2680" spans="1:13" x14ac:dyDescent="0.25">
      <c r="A2680" s="1" t="s">
        <v>2530</v>
      </c>
      <c r="B2680" s="1" t="s">
        <v>2531</v>
      </c>
      <c r="C2680" s="1">
        <v>16700000</v>
      </c>
      <c r="D2680" s="1" t="s">
        <v>49</v>
      </c>
      <c r="E2680">
        <v>339.09649999999999</v>
      </c>
      <c r="F2680" s="1" t="s">
        <v>30</v>
      </c>
      <c r="G2680">
        <v>49</v>
      </c>
      <c r="H2680">
        <v>20</v>
      </c>
      <c r="I2680" s="1" t="s">
        <v>130</v>
      </c>
      <c r="J2680">
        <v>3</v>
      </c>
      <c r="K2680" t="str">
        <f>IF(Tb_data[[#This Row],[previous_workers]]&lt;Tb_data[[#This Row],[workers]],"yes","no")</f>
        <v>yes</v>
      </c>
      <c r="L2680">
        <f>Tb_data[[#This Row],[workers]]-Tb_data[[#This Row],[previous_workers]]</f>
        <v>29</v>
      </c>
      <c r="M2680" s="12">
        <f>Tb_data[[#This Row],[Employees Growth]]/Tb_data[[#This Row],[previous_workers]]</f>
        <v>1.45</v>
      </c>
    </row>
    <row r="2681" spans="1:13" x14ac:dyDescent="0.25">
      <c r="A2681" s="1" t="s">
        <v>8307</v>
      </c>
      <c r="B2681" s="1" t="s">
        <v>8308</v>
      </c>
      <c r="C2681" s="1">
        <v>4400000</v>
      </c>
      <c r="D2681" s="1" t="s">
        <v>69</v>
      </c>
      <c r="E2681">
        <v>77.629900000000006</v>
      </c>
      <c r="F2681" s="1" t="s">
        <v>176</v>
      </c>
      <c r="G2681">
        <v>27</v>
      </c>
      <c r="H2681">
        <v>16</v>
      </c>
      <c r="I2681" s="1" t="s">
        <v>194</v>
      </c>
      <c r="J2681">
        <v>1</v>
      </c>
      <c r="K2681" t="str">
        <f>IF(Tb_data[[#This Row],[previous_workers]]&lt;Tb_data[[#This Row],[workers]],"yes","no")</f>
        <v>yes</v>
      </c>
      <c r="L2681">
        <f>Tb_data[[#This Row],[workers]]-Tb_data[[#This Row],[previous_workers]]</f>
        <v>11</v>
      </c>
      <c r="M2681" s="12">
        <f>Tb_data[[#This Row],[Employees Growth]]/Tb_data[[#This Row],[previous_workers]]</f>
        <v>0.6875</v>
      </c>
    </row>
    <row r="2682" spans="1:13" x14ac:dyDescent="0.25">
      <c r="A2682" s="1" t="s">
        <v>6267</v>
      </c>
      <c r="B2682" s="1" t="s">
        <v>6268</v>
      </c>
      <c r="C2682" s="1">
        <v>5000000</v>
      </c>
      <c r="D2682" s="1" t="s">
        <v>427</v>
      </c>
      <c r="E2682">
        <v>119.8725</v>
      </c>
      <c r="F2682" s="1" t="s">
        <v>124</v>
      </c>
      <c r="G2682">
        <v>49</v>
      </c>
      <c r="H2682">
        <v>27</v>
      </c>
      <c r="I2682" s="1" t="s">
        <v>2407</v>
      </c>
      <c r="J2682">
        <v>2</v>
      </c>
      <c r="K2682" t="str">
        <f>IF(Tb_data[[#This Row],[previous_workers]]&lt;Tb_data[[#This Row],[workers]],"yes","no")</f>
        <v>yes</v>
      </c>
      <c r="L2682">
        <f>Tb_data[[#This Row],[workers]]-Tb_data[[#This Row],[previous_workers]]</f>
        <v>22</v>
      </c>
      <c r="M2682" s="12">
        <f>Tb_data[[#This Row],[Employees Growth]]/Tb_data[[#This Row],[previous_workers]]</f>
        <v>0.81481481481481477</v>
      </c>
    </row>
    <row r="2683" spans="1:13" x14ac:dyDescent="0.25">
      <c r="A2683" s="1" t="s">
        <v>5624</v>
      </c>
      <c r="B2683" s="1" t="s">
        <v>5625</v>
      </c>
      <c r="C2683" s="1">
        <v>4200000</v>
      </c>
      <c r="D2683" s="1" t="s">
        <v>4145</v>
      </c>
      <c r="E2683">
        <v>137.02930000000001</v>
      </c>
      <c r="F2683" s="1" t="s">
        <v>142</v>
      </c>
      <c r="G2683">
        <v>9</v>
      </c>
      <c r="H2683">
        <v>5</v>
      </c>
      <c r="I2683" s="1" t="s">
        <v>164</v>
      </c>
      <c r="J2683">
        <v>1</v>
      </c>
      <c r="K2683" t="str">
        <f>IF(Tb_data[[#This Row],[previous_workers]]&lt;Tb_data[[#This Row],[workers]],"yes","no")</f>
        <v>yes</v>
      </c>
      <c r="L2683">
        <f>Tb_data[[#This Row],[workers]]-Tb_data[[#This Row],[previous_workers]]</f>
        <v>4</v>
      </c>
      <c r="M2683" s="12">
        <f>Tb_data[[#This Row],[Employees Growth]]/Tb_data[[#This Row],[previous_workers]]</f>
        <v>0.8</v>
      </c>
    </row>
    <row r="2684" spans="1:13" x14ac:dyDescent="0.25">
      <c r="A2684" s="1" t="s">
        <v>4143</v>
      </c>
      <c r="B2684" s="1" t="s">
        <v>4144</v>
      </c>
      <c r="C2684" s="1">
        <v>5000000</v>
      </c>
      <c r="D2684" s="1" t="s">
        <v>4145</v>
      </c>
      <c r="E2684">
        <v>198.25219999999999</v>
      </c>
      <c r="F2684" s="1" t="s">
        <v>142</v>
      </c>
      <c r="G2684">
        <v>35</v>
      </c>
      <c r="H2684">
        <v>10</v>
      </c>
      <c r="I2684" s="1" t="s">
        <v>117</v>
      </c>
      <c r="J2684">
        <v>2</v>
      </c>
      <c r="K2684" t="str">
        <f>IF(Tb_data[[#This Row],[previous_workers]]&lt;Tb_data[[#This Row],[workers]],"yes","no")</f>
        <v>yes</v>
      </c>
      <c r="L2684">
        <f>Tb_data[[#This Row],[workers]]-Tb_data[[#This Row],[previous_workers]]</f>
        <v>25</v>
      </c>
      <c r="M2684" s="12">
        <f>Tb_data[[#This Row],[Employees Growth]]/Tb_data[[#This Row],[previous_workers]]</f>
        <v>2.5</v>
      </c>
    </row>
    <row r="2685" spans="1:13" x14ac:dyDescent="0.25">
      <c r="A2685" s="1" t="s">
        <v>3153</v>
      </c>
      <c r="B2685" s="1" t="s">
        <v>3154</v>
      </c>
      <c r="C2685" s="1">
        <v>89800000</v>
      </c>
      <c r="D2685" s="1" t="s">
        <v>254</v>
      </c>
      <c r="E2685">
        <v>272.79289999999997</v>
      </c>
      <c r="F2685" s="1" t="s">
        <v>176</v>
      </c>
      <c r="G2685">
        <v>167</v>
      </c>
      <c r="H2685">
        <v>99</v>
      </c>
      <c r="I2685" s="1" t="s">
        <v>46</v>
      </c>
      <c r="J2685">
        <v>3</v>
      </c>
      <c r="K2685" t="str">
        <f>IF(Tb_data[[#This Row],[previous_workers]]&lt;Tb_data[[#This Row],[workers]],"yes","no")</f>
        <v>yes</v>
      </c>
      <c r="L2685">
        <f>Tb_data[[#This Row],[workers]]-Tb_data[[#This Row],[previous_workers]]</f>
        <v>68</v>
      </c>
      <c r="M2685" s="12">
        <f>Tb_data[[#This Row],[Employees Growth]]/Tb_data[[#This Row],[previous_workers]]</f>
        <v>0.68686868686868685</v>
      </c>
    </row>
    <row r="2686" spans="1:13" x14ac:dyDescent="0.25">
      <c r="A2686" s="1" t="s">
        <v>595</v>
      </c>
      <c r="B2686" s="1" t="s">
        <v>596</v>
      </c>
      <c r="C2686" s="1">
        <v>3100000</v>
      </c>
      <c r="D2686" s="1" t="s">
        <v>85</v>
      </c>
      <c r="E2686">
        <v>1692.6045999999999</v>
      </c>
      <c r="F2686" s="1" t="s">
        <v>25</v>
      </c>
      <c r="G2686">
        <v>9</v>
      </c>
      <c r="H2686">
        <v>2</v>
      </c>
      <c r="I2686" s="1" t="s">
        <v>26</v>
      </c>
      <c r="J2686">
        <v>1</v>
      </c>
      <c r="K2686" t="str">
        <f>IF(Tb_data[[#This Row],[previous_workers]]&lt;Tb_data[[#This Row],[workers]],"yes","no")</f>
        <v>yes</v>
      </c>
      <c r="L2686">
        <f>Tb_data[[#This Row],[workers]]-Tb_data[[#This Row],[previous_workers]]</f>
        <v>7</v>
      </c>
      <c r="M2686" s="12">
        <f>Tb_data[[#This Row],[Employees Growth]]/Tb_data[[#This Row],[previous_workers]]</f>
        <v>3.5</v>
      </c>
    </row>
    <row r="2687" spans="1:13" x14ac:dyDescent="0.25">
      <c r="A2687" s="1" t="s">
        <v>8847</v>
      </c>
      <c r="B2687" s="1" t="s">
        <v>8848</v>
      </c>
      <c r="C2687" s="1">
        <v>5100000</v>
      </c>
      <c r="D2687" s="1" t="s">
        <v>49</v>
      </c>
      <c r="E2687">
        <v>68.761499999999998</v>
      </c>
      <c r="F2687" s="1" t="s">
        <v>42</v>
      </c>
      <c r="G2687">
        <v>17</v>
      </c>
      <c r="H2687">
        <v>12</v>
      </c>
      <c r="I2687" s="1" t="s">
        <v>948</v>
      </c>
      <c r="J2687">
        <v>3</v>
      </c>
      <c r="K2687" t="str">
        <f>IF(Tb_data[[#This Row],[previous_workers]]&lt;Tb_data[[#This Row],[workers]],"yes","no")</f>
        <v>yes</v>
      </c>
      <c r="L2687">
        <f>Tb_data[[#This Row],[workers]]-Tb_data[[#This Row],[previous_workers]]</f>
        <v>5</v>
      </c>
      <c r="M2687" s="12">
        <f>Tb_data[[#This Row],[Employees Growth]]/Tb_data[[#This Row],[previous_workers]]</f>
        <v>0.41666666666666669</v>
      </c>
    </row>
    <row r="2688" spans="1:13" x14ac:dyDescent="0.25">
      <c r="A2688" s="1" t="s">
        <v>5078</v>
      </c>
      <c r="B2688" s="1" t="s">
        <v>5079</v>
      </c>
      <c r="C2688" s="1">
        <v>15700000</v>
      </c>
      <c r="D2688" s="1" t="s">
        <v>49</v>
      </c>
      <c r="E2688">
        <v>157.98240000000001</v>
      </c>
      <c r="F2688" s="1" t="s">
        <v>86</v>
      </c>
      <c r="G2688">
        <v>25</v>
      </c>
      <c r="H2688">
        <v>15</v>
      </c>
      <c r="I2688" s="1" t="s">
        <v>229</v>
      </c>
      <c r="J2688">
        <v>5</v>
      </c>
      <c r="K2688" t="str">
        <f>IF(Tb_data[[#This Row],[previous_workers]]&lt;Tb_data[[#This Row],[workers]],"yes","no")</f>
        <v>yes</v>
      </c>
      <c r="L2688">
        <f>Tb_data[[#This Row],[workers]]-Tb_data[[#This Row],[previous_workers]]</f>
        <v>10</v>
      </c>
      <c r="M2688" s="12">
        <f>Tb_data[[#This Row],[Employees Growth]]/Tb_data[[#This Row],[previous_workers]]</f>
        <v>0.66666666666666663</v>
      </c>
    </row>
    <row r="2689" spans="1:13" x14ac:dyDescent="0.25">
      <c r="A2689" s="1" t="s">
        <v>2569</v>
      </c>
      <c r="B2689" s="1" t="s">
        <v>2570</v>
      </c>
      <c r="C2689" s="1">
        <v>3400000</v>
      </c>
      <c r="D2689" s="1" t="s">
        <v>179</v>
      </c>
      <c r="E2689">
        <v>335.30059999999997</v>
      </c>
      <c r="F2689" s="1" t="s">
        <v>12</v>
      </c>
      <c r="G2689">
        <v>54</v>
      </c>
      <c r="H2689">
        <v>19</v>
      </c>
      <c r="I2689" s="1" t="s">
        <v>26</v>
      </c>
      <c r="J2689">
        <v>1</v>
      </c>
      <c r="K2689" t="str">
        <f>IF(Tb_data[[#This Row],[previous_workers]]&lt;Tb_data[[#This Row],[workers]],"yes","no")</f>
        <v>yes</v>
      </c>
      <c r="L2689">
        <f>Tb_data[[#This Row],[workers]]-Tb_data[[#This Row],[previous_workers]]</f>
        <v>35</v>
      </c>
      <c r="M2689" s="12">
        <f>Tb_data[[#This Row],[Employees Growth]]/Tb_data[[#This Row],[previous_workers]]</f>
        <v>1.8421052631578947</v>
      </c>
    </row>
    <row r="2690" spans="1:13" x14ac:dyDescent="0.25">
      <c r="A2690" s="1" t="s">
        <v>4397</v>
      </c>
      <c r="B2690" s="1" t="s">
        <v>4398</v>
      </c>
      <c r="C2690" s="1">
        <v>27400000</v>
      </c>
      <c r="D2690" s="1" t="s">
        <v>16</v>
      </c>
      <c r="E2690">
        <v>186.608</v>
      </c>
      <c r="F2690" s="1" t="s">
        <v>17</v>
      </c>
      <c r="G2690">
        <v>28</v>
      </c>
      <c r="H2690">
        <v>13</v>
      </c>
      <c r="I2690" s="1" t="s">
        <v>26</v>
      </c>
      <c r="J2690">
        <v>1</v>
      </c>
      <c r="K2690" t="str">
        <f>IF(Tb_data[[#This Row],[previous_workers]]&lt;Tb_data[[#This Row],[workers]],"yes","no")</f>
        <v>yes</v>
      </c>
      <c r="L2690">
        <f>Tb_data[[#This Row],[workers]]-Tb_data[[#This Row],[previous_workers]]</f>
        <v>15</v>
      </c>
      <c r="M2690" s="12">
        <f>Tb_data[[#This Row],[Employees Growth]]/Tb_data[[#This Row],[previous_workers]]</f>
        <v>1.1538461538461537</v>
      </c>
    </row>
    <row r="2691" spans="1:13" x14ac:dyDescent="0.25">
      <c r="A2691" s="1" t="s">
        <v>5552</v>
      </c>
      <c r="B2691" s="1" t="s">
        <v>5553</v>
      </c>
      <c r="C2691" s="1">
        <v>40400000</v>
      </c>
      <c r="D2691" s="1" t="s">
        <v>20</v>
      </c>
      <c r="E2691">
        <v>140.51920000000001</v>
      </c>
      <c r="F2691" s="1" t="s">
        <v>112</v>
      </c>
      <c r="G2691">
        <v>150</v>
      </c>
      <c r="H2691">
        <v>75</v>
      </c>
      <c r="I2691" s="1" t="s">
        <v>372</v>
      </c>
      <c r="J2691">
        <v>1</v>
      </c>
      <c r="K2691" t="str">
        <f>IF(Tb_data[[#This Row],[previous_workers]]&lt;Tb_data[[#This Row],[workers]],"yes","no")</f>
        <v>yes</v>
      </c>
      <c r="L2691">
        <f>Tb_data[[#This Row],[workers]]-Tb_data[[#This Row],[previous_workers]]</f>
        <v>75</v>
      </c>
      <c r="M2691" s="12">
        <f>Tb_data[[#This Row],[Employees Growth]]/Tb_data[[#This Row],[previous_workers]]</f>
        <v>1</v>
      </c>
    </row>
    <row r="2692" spans="1:13" x14ac:dyDescent="0.25">
      <c r="A2692" s="1" t="s">
        <v>2550</v>
      </c>
      <c r="B2692" s="1" t="s">
        <v>2551</v>
      </c>
      <c r="C2692" s="1">
        <v>69400000</v>
      </c>
      <c r="D2692" s="1" t="s">
        <v>49</v>
      </c>
      <c r="E2692">
        <v>337.20800000000003</v>
      </c>
      <c r="F2692" s="1" t="s">
        <v>94</v>
      </c>
      <c r="G2692">
        <v>497</v>
      </c>
      <c r="H2692">
        <v>63</v>
      </c>
      <c r="I2692" s="1" t="s">
        <v>35</v>
      </c>
      <c r="J2692">
        <v>4</v>
      </c>
      <c r="K2692" t="str">
        <f>IF(Tb_data[[#This Row],[previous_workers]]&lt;Tb_data[[#This Row],[workers]],"yes","no")</f>
        <v>yes</v>
      </c>
      <c r="L2692">
        <f>Tb_data[[#This Row],[workers]]-Tb_data[[#This Row],[previous_workers]]</f>
        <v>434</v>
      </c>
      <c r="M2692" s="12">
        <f>Tb_data[[#This Row],[Employees Growth]]/Tb_data[[#This Row],[previous_workers]]</f>
        <v>6.8888888888888893</v>
      </c>
    </row>
    <row r="2693" spans="1:13" x14ac:dyDescent="0.25">
      <c r="A2693" s="1" t="s">
        <v>494</v>
      </c>
      <c r="B2693" s="1" t="s">
        <v>495</v>
      </c>
      <c r="C2693" s="1">
        <v>37500000</v>
      </c>
      <c r="D2693" s="1" t="s">
        <v>33</v>
      </c>
      <c r="E2693">
        <v>1987.4327000000001</v>
      </c>
      <c r="F2693" s="1" t="s">
        <v>25</v>
      </c>
      <c r="G2693">
        <v>25</v>
      </c>
      <c r="H2693">
        <v>3</v>
      </c>
      <c r="I2693" s="1" t="s">
        <v>26</v>
      </c>
      <c r="J2693">
        <v>1</v>
      </c>
      <c r="K2693" t="str">
        <f>IF(Tb_data[[#This Row],[previous_workers]]&lt;Tb_data[[#This Row],[workers]],"yes","no")</f>
        <v>yes</v>
      </c>
      <c r="L2693">
        <f>Tb_data[[#This Row],[workers]]-Tb_data[[#This Row],[previous_workers]]</f>
        <v>22</v>
      </c>
      <c r="M2693" s="12">
        <f>Tb_data[[#This Row],[Employees Growth]]/Tb_data[[#This Row],[previous_workers]]</f>
        <v>7.333333333333333</v>
      </c>
    </row>
    <row r="2694" spans="1:13" x14ac:dyDescent="0.25">
      <c r="A2694" s="1" t="s">
        <v>5670</v>
      </c>
      <c r="B2694" s="1" t="s">
        <v>5671</v>
      </c>
      <c r="C2694" s="1">
        <v>58700000</v>
      </c>
      <c r="D2694" s="1" t="s">
        <v>49</v>
      </c>
      <c r="E2694">
        <v>135.33369999999999</v>
      </c>
      <c r="F2694" s="1" t="s">
        <v>25</v>
      </c>
      <c r="G2694">
        <v>51</v>
      </c>
      <c r="H2694">
        <v>21</v>
      </c>
      <c r="I2694" s="1" t="s">
        <v>35</v>
      </c>
      <c r="J2694">
        <v>5</v>
      </c>
      <c r="K2694" t="str">
        <f>IF(Tb_data[[#This Row],[previous_workers]]&lt;Tb_data[[#This Row],[workers]],"yes","no")</f>
        <v>yes</v>
      </c>
      <c r="L2694">
        <f>Tb_data[[#This Row],[workers]]-Tb_data[[#This Row],[previous_workers]]</f>
        <v>30</v>
      </c>
      <c r="M2694" s="12">
        <f>Tb_data[[#This Row],[Employees Growth]]/Tb_data[[#This Row],[previous_workers]]</f>
        <v>1.4285714285714286</v>
      </c>
    </row>
    <row r="2695" spans="1:13" x14ac:dyDescent="0.25">
      <c r="A2695" s="1" t="s">
        <v>8225</v>
      </c>
      <c r="B2695" s="1" t="s">
        <v>8226</v>
      </c>
      <c r="C2695" s="1">
        <v>28500000</v>
      </c>
      <c r="D2695" s="1" t="s">
        <v>69</v>
      </c>
      <c r="E2695">
        <v>79.053200000000004</v>
      </c>
      <c r="F2695" s="1" t="s">
        <v>100</v>
      </c>
      <c r="G2695">
        <v>1265</v>
      </c>
      <c r="H2695">
        <v>760</v>
      </c>
      <c r="I2695" s="1" t="s">
        <v>194</v>
      </c>
      <c r="J2695">
        <v>8</v>
      </c>
      <c r="K2695" t="str">
        <f>IF(Tb_data[[#This Row],[previous_workers]]&lt;Tb_data[[#This Row],[workers]],"yes","no")</f>
        <v>yes</v>
      </c>
      <c r="L2695">
        <f>Tb_data[[#This Row],[workers]]-Tb_data[[#This Row],[previous_workers]]</f>
        <v>505</v>
      </c>
      <c r="M2695" s="12">
        <f>Tb_data[[#This Row],[Employees Growth]]/Tb_data[[#This Row],[previous_workers]]</f>
        <v>0.66447368421052633</v>
      </c>
    </row>
    <row r="2696" spans="1:13" x14ac:dyDescent="0.25">
      <c r="A2696" s="1" t="s">
        <v>6863</v>
      </c>
      <c r="B2696" s="1" t="s">
        <v>6864</v>
      </c>
      <c r="C2696" s="1">
        <v>10400000</v>
      </c>
      <c r="D2696" s="1" t="s">
        <v>49</v>
      </c>
      <c r="E2696">
        <v>105.34139999999999</v>
      </c>
      <c r="F2696" s="1" t="s">
        <v>30</v>
      </c>
      <c r="G2696">
        <v>7</v>
      </c>
      <c r="H2696">
        <v>7</v>
      </c>
      <c r="I2696" s="1" t="s">
        <v>164</v>
      </c>
      <c r="J2696">
        <v>4</v>
      </c>
      <c r="K2696" t="str">
        <f>IF(Tb_data[[#This Row],[previous_workers]]&lt;Tb_data[[#This Row],[workers]],"yes","no")</f>
        <v>no</v>
      </c>
      <c r="L2696">
        <f>Tb_data[[#This Row],[workers]]-Tb_data[[#This Row],[previous_workers]]</f>
        <v>0</v>
      </c>
      <c r="M2696" s="12">
        <f>Tb_data[[#This Row],[Employees Growth]]/Tb_data[[#This Row],[previous_workers]]</f>
        <v>0</v>
      </c>
    </row>
    <row r="2697" spans="1:13" x14ac:dyDescent="0.25">
      <c r="A2697" s="1" t="s">
        <v>1134</v>
      </c>
      <c r="B2697" s="1" t="s">
        <v>1135</v>
      </c>
      <c r="C2697" s="1">
        <v>16300000</v>
      </c>
      <c r="D2697" s="1" t="s">
        <v>20</v>
      </c>
      <c r="E2697">
        <v>847.94529999999997</v>
      </c>
      <c r="F2697" s="1" t="s">
        <v>124</v>
      </c>
      <c r="G2697">
        <v>23</v>
      </c>
      <c r="H2697">
        <v>6</v>
      </c>
      <c r="I2697" s="1" t="s">
        <v>35</v>
      </c>
      <c r="J2697">
        <v>3</v>
      </c>
      <c r="K2697" t="str">
        <f>IF(Tb_data[[#This Row],[previous_workers]]&lt;Tb_data[[#This Row],[workers]],"yes","no")</f>
        <v>yes</v>
      </c>
      <c r="L2697">
        <f>Tb_data[[#This Row],[workers]]-Tb_data[[#This Row],[previous_workers]]</f>
        <v>17</v>
      </c>
      <c r="M2697" s="12">
        <f>Tb_data[[#This Row],[Employees Growth]]/Tb_data[[#This Row],[previous_workers]]</f>
        <v>2.8333333333333335</v>
      </c>
    </row>
    <row r="2698" spans="1:13" x14ac:dyDescent="0.25">
      <c r="A2698" s="1" t="s">
        <v>5892</v>
      </c>
      <c r="B2698" s="1" t="s">
        <v>5893</v>
      </c>
      <c r="C2698" s="1">
        <v>26300000</v>
      </c>
      <c r="D2698" s="1" t="s">
        <v>41</v>
      </c>
      <c r="E2698">
        <v>129.23679999999999</v>
      </c>
      <c r="F2698" s="1" t="s">
        <v>97</v>
      </c>
      <c r="G2698">
        <v>145</v>
      </c>
      <c r="H2698">
        <v>67</v>
      </c>
      <c r="I2698" s="1" t="s">
        <v>46</v>
      </c>
      <c r="J2698">
        <v>6</v>
      </c>
      <c r="K2698" t="str">
        <f>IF(Tb_data[[#This Row],[previous_workers]]&lt;Tb_data[[#This Row],[workers]],"yes","no")</f>
        <v>yes</v>
      </c>
      <c r="L2698">
        <f>Tb_data[[#This Row],[workers]]-Tb_data[[#This Row],[previous_workers]]</f>
        <v>78</v>
      </c>
      <c r="M2698" s="12">
        <f>Tb_data[[#This Row],[Employees Growth]]/Tb_data[[#This Row],[previous_workers]]</f>
        <v>1.164179104477612</v>
      </c>
    </row>
    <row r="2699" spans="1:13" x14ac:dyDescent="0.25">
      <c r="A2699" s="1" t="s">
        <v>1477</v>
      </c>
      <c r="B2699" s="1" t="s">
        <v>1478</v>
      </c>
      <c r="C2699" s="1">
        <v>3000000</v>
      </c>
      <c r="D2699" s="1" t="s">
        <v>20</v>
      </c>
      <c r="E2699">
        <v>634.19449999999995</v>
      </c>
      <c r="F2699" s="1" t="s">
        <v>514</v>
      </c>
      <c r="G2699">
        <v>31</v>
      </c>
      <c r="H2699">
        <v>7</v>
      </c>
      <c r="I2699" s="1" t="s">
        <v>13</v>
      </c>
      <c r="J2699">
        <v>1</v>
      </c>
      <c r="K2699" t="str">
        <f>IF(Tb_data[[#This Row],[previous_workers]]&lt;Tb_data[[#This Row],[workers]],"yes","no")</f>
        <v>yes</v>
      </c>
      <c r="L2699">
        <f>Tb_data[[#This Row],[workers]]-Tb_data[[#This Row],[previous_workers]]</f>
        <v>24</v>
      </c>
      <c r="M2699" s="12">
        <f>Tb_data[[#This Row],[Employees Growth]]/Tb_data[[#This Row],[previous_workers]]</f>
        <v>3.4285714285714284</v>
      </c>
    </row>
    <row r="2700" spans="1:13" x14ac:dyDescent="0.25">
      <c r="A2700" s="1" t="s">
        <v>6890</v>
      </c>
      <c r="B2700" s="1" t="s">
        <v>6891</v>
      </c>
      <c r="C2700" s="1">
        <v>2100000</v>
      </c>
      <c r="D2700" s="1" t="s">
        <v>41</v>
      </c>
      <c r="E2700">
        <v>104.56699999999999</v>
      </c>
      <c r="F2700" s="1" t="s">
        <v>25</v>
      </c>
      <c r="G2700">
        <v>29</v>
      </c>
      <c r="H2700">
        <v>18</v>
      </c>
      <c r="I2700" s="1" t="s">
        <v>26</v>
      </c>
      <c r="J2700">
        <v>1</v>
      </c>
      <c r="K2700" t="str">
        <f>IF(Tb_data[[#This Row],[previous_workers]]&lt;Tb_data[[#This Row],[workers]],"yes","no")</f>
        <v>yes</v>
      </c>
      <c r="L2700">
        <f>Tb_data[[#This Row],[workers]]-Tb_data[[#This Row],[previous_workers]]</f>
        <v>11</v>
      </c>
      <c r="M2700" s="12">
        <f>Tb_data[[#This Row],[Employees Growth]]/Tb_data[[#This Row],[previous_workers]]</f>
        <v>0.61111111111111116</v>
      </c>
    </row>
    <row r="2701" spans="1:13" x14ac:dyDescent="0.25">
      <c r="A2701" s="1" t="s">
        <v>7881</v>
      </c>
      <c r="B2701" s="1" t="s">
        <v>7882</v>
      </c>
      <c r="C2701" s="1">
        <v>7600000</v>
      </c>
      <c r="D2701" s="1" t="s">
        <v>20</v>
      </c>
      <c r="E2701">
        <v>84.935500000000005</v>
      </c>
      <c r="F2701" s="1" t="s">
        <v>124</v>
      </c>
      <c r="G2701">
        <v>43</v>
      </c>
      <c r="H2701">
        <v>18</v>
      </c>
      <c r="I2701" s="1" t="s">
        <v>130</v>
      </c>
      <c r="J2701">
        <v>1</v>
      </c>
      <c r="K2701" t="str">
        <f>IF(Tb_data[[#This Row],[previous_workers]]&lt;Tb_data[[#This Row],[workers]],"yes","no")</f>
        <v>yes</v>
      </c>
      <c r="L2701">
        <f>Tb_data[[#This Row],[workers]]-Tb_data[[#This Row],[previous_workers]]</f>
        <v>25</v>
      </c>
      <c r="M2701" s="12">
        <f>Tb_data[[#This Row],[Employees Growth]]/Tb_data[[#This Row],[previous_workers]]</f>
        <v>1.3888888888888888</v>
      </c>
    </row>
    <row r="2702" spans="1:13" x14ac:dyDescent="0.25">
      <c r="A2702" s="1" t="s">
        <v>5348</v>
      </c>
      <c r="B2702" s="1" t="s">
        <v>5349</v>
      </c>
      <c r="C2702" s="1">
        <v>12200000</v>
      </c>
      <c r="D2702" s="1" t="s">
        <v>16</v>
      </c>
      <c r="E2702">
        <v>148.01849999999999</v>
      </c>
      <c r="F2702" s="1" t="s">
        <v>124</v>
      </c>
      <c r="G2702">
        <v>16</v>
      </c>
      <c r="H2702">
        <v>7</v>
      </c>
      <c r="I2702" s="1" t="s">
        <v>2628</v>
      </c>
      <c r="J2702">
        <v>1</v>
      </c>
      <c r="K2702" t="str">
        <f>IF(Tb_data[[#This Row],[previous_workers]]&lt;Tb_data[[#This Row],[workers]],"yes","no")</f>
        <v>yes</v>
      </c>
      <c r="L2702">
        <f>Tb_data[[#This Row],[workers]]-Tb_data[[#This Row],[previous_workers]]</f>
        <v>9</v>
      </c>
      <c r="M2702" s="12">
        <f>Tb_data[[#This Row],[Employees Growth]]/Tb_data[[#This Row],[previous_workers]]</f>
        <v>1.2857142857142858</v>
      </c>
    </row>
    <row r="2703" spans="1:13" x14ac:dyDescent="0.25">
      <c r="A2703" s="1" t="s">
        <v>9281</v>
      </c>
      <c r="B2703" s="1" t="s">
        <v>9282</v>
      </c>
      <c r="C2703" s="1">
        <v>22200000</v>
      </c>
      <c r="D2703" s="1" t="s">
        <v>33</v>
      </c>
      <c r="E2703">
        <v>63.031700000000001</v>
      </c>
      <c r="F2703" s="1" t="s">
        <v>176</v>
      </c>
      <c r="G2703">
        <v>92</v>
      </c>
      <c r="H2703">
        <v>48</v>
      </c>
      <c r="I2703" s="1" t="s">
        <v>948</v>
      </c>
      <c r="J2703">
        <v>3</v>
      </c>
      <c r="K2703" t="str">
        <f>IF(Tb_data[[#This Row],[previous_workers]]&lt;Tb_data[[#This Row],[workers]],"yes","no")</f>
        <v>yes</v>
      </c>
      <c r="L2703">
        <f>Tb_data[[#This Row],[workers]]-Tb_data[[#This Row],[previous_workers]]</f>
        <v>44</v>
      </c>
      <c r="M2703" s="12">
        <f>Tb_data[[#This Row],[Employees Growth]]/Tb_data[[#This Row],[previous_workers]]</f>
        <v>0.91666666666666663</v>
      </c>
    </row>
    <row r="2704" spans="1:13" x14ac:dyDescent="0.25">
      <c r="A2704" s="1" t="s">
        <v>4034</v>
      </c>
      <c r="B2704" s="1" t="s">
        <v>4035</v>
      </c>
      <c r="C2704" s="1">
        <v>38900000</v>
      </c>
      <c r="D2704" s="1" t="s">
        <v>1002</v>
      </c>
      <c r="E2704">
        <v>205.46430000000001</v>
      </c>
      <c r="F2704" s="1" t="s">
        <v>514</v>
      </c>
      <c r="G2704">
        <v>248</v>
      </c>
      <c r="H2704">
        <v>112</v>
      </c>
      <c r="I2704" s="1" t="s">
        <v>4036</v>
      </c>
      <c r="J2704">
        <v>4</v>
      </c>
      <c r="K2704" t="str">
        <f>IF(Tb_data[[#This Row],[previous_workers]]&lt;Tb_data[[#This Row],[workers]],"yes","no")</f>
        <v>yes</v>
      </c>
      <c r="L2704">
        <f>Tb_data[[#This Row],[workers]]-Tb_data[[#This Row],[previous_workers]]</f>
        <v>136</v>
      </c>
      <c r="M2704" s="12">
        <f>Tb_data[[#This Row],[Employees Growth]]/Tb_data[[#This Row],[previous_workers]]</f>
        <v>1.2142857142857142</v>
      </c>
    </row>
    <row r="2705" spans="1:13" x14ac:dyDescent="0.25">
      <c r="A2705" s="1" t="s">
        <v>9828</v>
      </c>
      <c r="B2705" s="1" t="s">
        <v>9829</v>
      </c>
      <c r="C2705" s="1">
        <v>16900000</v>
      </c>
      <c r="D2705" s="1" t="s">
        <v>500</v>
      </c>
      <c r="E2705">
        <v>56.339599999999997</v>
      </c>
      <c r="F2705" s="1" t="s">
        <v>124</v>
      </c>
      <c r="G2705">
        <v>100</v>
      </c>
      <c r="H2705">
        <v>80</v>
      </c>
      <c r="I2705" s="1" t="s">
        <v>995</v>
      </c>
      <c r="J2705">
        <v>4</v>
      </c>
      <c r="K2705" t="str">
        <f>IF(Tb_data[[#This Row],[previous_workers]]&lt;Tb_data[[#This Row],[workers]],"yes","no")</f>
        <v>yes</v>
      </c>
      <c r="L2705">
        <f>Tb_data[[#This Row],[workers]]-Tb_data[[#This Row],[previous_workers]]</f>
        <v>20</v>
      </c>
      <c r="M2705" s="12">
        <f>Tb_data[[#This Row],[Employees Growth]]/Tb_data[[#This Row],[previous_workers]]</f>
        <v>0.25</v>
      </c>
    </row>
    <row r="2706" spans="1:13" x14ac:dyDescent="0.25">
      <c r="A2706" s="1" t="s">
        <v>1000</v>
      </c>
      <c r="B2706" s="1" t="s">
        <v>1001</v>
      </c>
      <c r="C2706" s="1">
        <v>45100000</v>
      </c>
      <c r="D2706" s="1" t="s">
        <v>1002</v>
      </c>
      <c r="E2706">
        <v>1002.0531999999999</v>
      </c>
      <c r="F2706" s="1" t="s">
        <v>176</v>
      </c>
      <c r="G2706">
        <v>2000</v>
      </c>
      <c r="H2706">
        <v>400</v>
      </c>
      <c r="I2706" s="1" t="s">
        <v>13</v>
      </c>
      <c r="J2706">
        <v>1</v>
      </c>
      <c r="K2706" t="str">
        <f>IF(Tb_data[[#This Row],[previous_workers]]&lt;Tb_data[[#This Row],[workers]],"yes","no")</f>
        <v>yes</v>
      </c>
      <c r="L2706">
        <f>Tb_data[[#This Row],[workers]]-Tb_data[[#This Row],[previous_workers]]</f>
        <v>1600</v>
      </c>
      <c r="M2706" s="12">
        <f>Tb_data[[#This Row],[Employees Growth]]/Tb_data[[#This Row],[previous_workers]]</f>
        <v>4</v>
      </c>
    </row>
    <row r="2707" spans="1:13" x14ac:dyDescent="0.25">
      <c r="A2707" s="1" t="s">
        <v>6289</v>
      </c>
      <c r="B2707" s="1" t="s">
        <v>6290</v>
      </c>
      <c r="C2707" s="1">
        <v>3000000</v>
      </c>
      <c r="D2707" s="1" t="s">
        <v>33</v>
      </c>
      <c r="E2707">
        <v>119.18689999999999</v>
      </c>
      <c r="F2707" s="1" t="s">
        <v>12</v>
      </c>
      <c r="G2707">
        <v>12</v>
      </c>
      <c r="H2707">
        <v>10</v>
      </c>
      <c r="I2707" s="1" t="s">
        <v>295</v>
      </c>
      <c r="J2707">
        <v>3</v>
      </c>
      <c r="K2707" t="str">
        <f>IF(Tb_data[[#This Row],[previous_workers]]&lt;Tb_data[[#This Row],[workers]],"yes","no")</f>
        <v>yes</v>
      </c>
      <c r="L2707">
        <f>Tb_data[[#This Row],[workers]]-Tb_data[[#This Row],[previous_workers]]</f>
        <v>2</v>
      </c>
      <c r="M2707" s="12">
        <f>Tb_data[[#This Row],[Employees Growth]]/Tb_data[[#This Row],[previous_workers]]</f>
        <v>0.2</v>
      </c>
    </row>
    <row r="2708" spans="1:13" x14ac:dyDescent="0.25">
      <c r="A2708" s="1" t="s">
        <v>7264</v>
      </c>
      <c r="B2708" s="1" t="s">
        <v>7265</v>
      </c>
      <c r="C2708" s="1">
        <v>68500000</v>
      </c>
      <c r="D2708" s="1" t="s">
        <v>115</v>
      </c>
      <c r="E2708">
        <v>97.567700000000002</v>
      </c>
      <c r="F2708" s="1" t="s">
        <v>124</v>
      </c>
      <c r="G2708">
        <v>55</v>
      </c>
      <c r="H2708">
        <v>20</v>
      </c>
      <c r="I2708" s="1" t="s">
        <v>117</v>
      </c>
      <c r="J2708">
        <v>6</v>
      </c>
      <c r="K2708" t="str">
        <f>IF(Tb_data[[#This Row],[previous_workers]]&lt;Tb_data[[#This Row],[workers]],"yes","no")</f>
        <v>yes</v>
      </c>
      <c r="L2708">
        <f>Tb_data[[#This Row],[workers]]-Tb_data[[#This Row],[previous_workers]]</f>
        <v>35</v>
      </c>
      <c r="M2708" s="12">
        <f>Tb_data[[#This Row],[Employees Growth]]/Tb_data[[#This Row],[previous_workers]]</f>
        <v>1.75</v>
      </c>
    </row>
    <row r="2709" spans="1:13" x14ac:dyDescent="0.25">
      <c r="A2709" s="1" t="s">
        <v>972</v>
      </c>
      <c r="B2709" s="1" t="s">
        <v>973</v>
      </c>
      <c r="C2709" s="1">
        <v>20800000</v>
      </c>
      <c r="D2709" s="1" t="s">
        <v>69</v>
      </c>
      <c r="E2709">
        <v>1040.1937</v>
      </c>
      <c r="F2709" s="1" t="s">
        <v>42</v>
      </c>
      <c r="G2709">
        <v>19</v>
      </c>
      <c r="H2709">
        <v>8</v>
      </c>
      <c r="I2709" s="1" t="s">
        <v>164</v>
      </c>
      <c r="J2709">
        <v>1</v>
      </c>
      <c r="K2709" t="str">
        <f>IF(Tb_data[[#This Row],[previous_workers]]&lt;Tb_data[[#This Row],[workers]],"yes","no")</f>
        <v>yes</v>
      </c>
      <c r="L2709">
        <f>Tb_data[[#This Row],[workers]]-Tb_data[[#This Row],[previous_workers]]</f>
        <v>11</v>
      </c>
      <c r="M2709" s="12">
        <f>Tb_data[[#This Row],[Employees Growth]]/Tb_data[[#This Row],[previous_workers]]</f>
        <v>1.375</v>
      </c>
    </row>
    <row r="2710" spans="1:13" x14ac:dyDescent="0.25">
      <c r="A2710" s="1" t="s">
        <v>9515</v>
      </c>
      <c r="B2710" s="1" t="s">
        <v>9516</v>
      </c>
      <c r="C2710" s="1">
        <v>7200000</v>
      </c>
      <c r="D2710" s="1" t="s">
        <v>179</v>
      </c>
      <c r="E2710">
        <v>60.098599999999998</v>
      </c>
      <c r="F2710" s="1" t="s">
        <v>12</v>
      </c>
      <c r="G2710">
        <v>22</v>
      </c>
      <c r="H2710">
        <v>15</v>
      </c>
      <c r="I2710" s="1" t="s">
        <v>46</v>
      </c>
      <c r="J2710">
        <v>7</v>
      </c>
      <c r="K2710" t="str">
        <f>IF(Tb_data[[#This Row],[previous_workers]]&lt;Tb_data[[#This Row],[workers]],"yes","no")</f>
        <v>yes</v>
      </c>
      <c r="L2710">
        <f>Tb_data[[#This Row],[workers]]-Tb_data[[#This Row],[previous_workers]]</f>
        <v>7</v>
      </c>
      <c r="M2710" s="12">
        <f>Tb_data[[#This Row],[Employees Growth]]/Tb_data[[#This Row],[previous_workers]]</f>
        <v>0.46666666666666667</v>
      </c>
    </row>
    <row r="2711" spans="1:13" x14ac:dyDescent="0.25">
      <c r="A2711" s="1" t="s">
        <v>9445</v>
      </c>
      <c r="B2711" s="1" t="s">
        <v>9446</v>
      </c>
      <c r="C2711" s="1">
        <v>11300000</v>
      </c>
      <c r="D2711" s="1" t="s">
        <v>254</v>
      </c>
      <c r="E2711">
        <v>60.9268</v>
      </c>
      <c r="F2711" s="1" t="s">
        <v>42</v>
      </c>
      <c r="G2711">
        <v>25</v>
      </c>
      <c r="H2711">
        <v>15</v>
      </c>
      <c r="I2711" s="1" t="s">
        <v>961</v>
      </c>
      <c r="J2711">
        <v>1</v>
      </c>
      <c r="K2711" t="str">
        <f>IF(Tb_data[[#This Row],[previous_workers]]&lt;Tb_data[[#This Row],[workers]],"yes","no")</f>
        <v>yes</v>
      </c>
      <c r="L2711">
        <f>Tb_data[[#This Row],[workers]]-Tb_data[[#This Row],[previous_workers]]</f>
        <v>10</v>
      </c>
      <c r="M2711" s="12">
        <f>Tb_data[[#This Row],[Employees Growth]]/Tb_data[[#This Row],[previous_workers]]</f>
        <v>0.66666666666666663</v>
      </c>
    </row>
    <row r="2712" spans="1:13" x14ac:dyDescent="0.25">
      <c r="A2712" s="1" t="s">
        <v>1884</v>
      </c>
      <c r="B2712" s="1" t="s">
        <v>1885</v>
      </c>
      <c r="C2712" s="1">
        <v>21300000</v>
      </c>
      <c r="D2712" s="1" t="s">
        <v>16</v>
      </c>
      <c r="E2712">
        <v>477.45760000000001</v>
      </c>
      <c r="F2712" s="1" t="s">
        <v>34</v>
      </c>
      <c r="G2712">
        <v>44</v>
      </c>
      <c r="H2712">
        <v>23</v>
      </c>
      <c r="I2712" s="1" t="s">
        <v>130</v>
      </c>
      <c r="J2712">
        <v>2</v>
      </c>
      <c r="K2712" t="str">
        <f>IF(Tb_data[[#This Row],[previous_workers]]&lt;Tb_data[[#This Row],[workers]],"yes","no")</f>
        <v>yes</v>
      </c>
      <c r="L2712">
        <f>Tb_data[[#This Row],[workers]]-Tb_data[[#This Row],[previous_workers]]</f>
        <v>21</v>
      </c>
      <c r="M2712" s="12">
        <f>Tb_data[[#This Row],[Employees Growth]]/Tb_data[[#This Row],[previous_workers]]</f>
        <v>0.91304347826086951</v>
      </c>
    </row>
    <row r="2713" spans="1:13" x14ac:dyDescent="0.25">
      <c r="A2713" s="1" t="s">
        <v>4531</v>
      </c>
      <c r="B2713" s="1" t="s">
        <v>4532</v>
      </c>
      <c r="C2713" s="1">
        <v>6100000</v>
      </c>
      <c r="D2713" s="1" t="s">
        <v>52</v>
      </c>
      <c r="E2713">
        <v>181.29910000000001</v>
      </c>
      <c r="F2713" s="1" t="s">
        <v>34</v>
      </c>
      <c r="G2713">
        <v>13</v>
      </c>
      <c r="H2713">
        <v>8</v>
      </c>
      <c r="I2713" s="1" t="s">
        <v>35</v>
      </c>
      <c r="J2713">
        <v>2</v>
      </c>
      <c r="K2713" t="str">
        <f>IF(Tb_data[[#This Row],[previous_workers]]&lt;Tb_data[[#This Row],[workers]],"yes","no")</f>
        <v>yes</v>
      </c>
      <c r="L2713">
        <f>Tb_data[[#This Row],[workers]]-Tb_data[[#This Row],[previous_workers]]</f>
        <v>5</v>
      </c>
      <c r="M2713" s="12">
        <f>Tb_data[[#This Row],[Employees Growth]]/Tb_data[[#This Row],[previous_workers]]</f>
        <v>0.625</v>
      </c>
    </row>
    <row r="2714" spans="1:13" x14ac:dyDescent="0.25">
      <c r="A2714" s="1" t="s">
        <v>157</v>
      </c>
      <c r="B2714" s="1" t="s">
        <v>158</v>
      </c>
      <c r="C2714" s="1">
        <v>7100000</v>
      </c>
      <c r="D2714" s="1" t="s">
        <v>49</v>
      </c>
      <c r="E2714">
        <v>5634.3140999999996</v>
      </c>
      <c r="F2714" s="1" t="s">
        <v>34</v>
      </c>
      <c r="G2714">
        <v>22</v>
      </c>
      <c r="H2714">
        <v>6</v>
      </c>
      <c r="I2714" s="1" t="s">
        <v>117</v>
      </c>
      <c r="J2714">
        <v>1</v>
      </c>
      <c r="K2714" t="str">
        <f>IF(Tb_data[[#This Row],[previous_workers]]&lt;Tb_data[[#This Row],[workers]],"yes","no")</f>
        <v>yes</v>
      </c>
      <c r="L2714">
        <f>Tb_data[[#This Row],[workers]]-Tb_data[[#This Row],[previous_workers]]</f>
        <v>16</v>
      </c>
      <c r="M2714" s="12">
        <f>Tb_data[[#This Row],[Employees Growth]]/Tb_data[[#This Row],[previous_workers]]</f>
        <v>2.6666666666666665</v>
      </c>
    </row>
    <row r="2715" spans="1:13" x14ac:dyDescent="0.25">
      <c r="A2715" s="1" t="s">
        <v>9902</v>
      </c>
      <c r="B2715" s="1" t="s">
        <v>9903</v>
      </c>
      <c r="C2715" s="1">
        <v>20300000</v>
      </c>
      <c r="D2715" s="1" t="s">
        <v>49</v>
      </c>
      <c r="E2715">
        <v>55.181399999999996</v>
      </c>
      <c r="F2715" s="1" t="s">
        <v>17</v>
      </c>
      <c r="G2715">
        <v>744</v>
      </c>
      <c r="H2715">
        <v>481</v>
      </c>
      <c r="I2715" s="1" t="s">
        <v>2628</v>
      </c>
      <c r="J2715">
        <v>8</v>
      </c>
      <c r="K2715" t="str">
        <f>IF(Tb_data[[#This Row],[previous_workers]]&lt;Tb_data[[#This Row],[workers]],"yes","no")</f>
        <v>yes</v>
      </c>
      <c r="L2715">
        <f>Tb_data[[#This Row],[workers]]-Tb_data[[#This Row],[previous_workers]]</f>
        <v>263</v>
      </c>
      <c r="M2715" s="12">
        <f>Tb_data[[#This Row],[Employees Growth]]/Tb_data[[#This Row],[previous_workers]]</f>
        <v>0.54677754677754675</v>
      </c>
    </row>
    <row r="2716" spans="1:13" x14ac:dyDescent="0.25">
      <c r="A2716" s="1" t="s">
        <v>5246</v>
      </c>
      <c r="B2716" s="1" t="s">
        <v>5247</v>
      </c>
      <c r="C2716" s="1">
        <v>16000000</v>
      </c>
      <c r="D2716" s="1" t="s">
        <v>49</v>
      </c>
      <c r="E2716">
        <v>151.82669999999999</v>
      </c>
      <c r="F2716" s="1" t="s">
        <v>34</v>
      </c>
      <c r="G2716">
        <v>54</v>
      </c>
      <c r="H2716">
        <v>26</v>
      </c>
      <c r="I2716" s="1" t="s">
        <v>74</v>
      </c>
      <c r="J2716">
        <v>5</v>
      </c>
      <c r="K2716" t="str">
        <f>IF(Tb_data[[#This Row],[previous_workers]]&lt;Tb_data[[#This Row],[workers]],"yes","no")</f>
        <v>yes</v>
      </c>
      <c r="L2716">
        <f>Tb_data[[#This Row],[workers]]-Tb_data[[#This Row],[previous_workers]]</f>
        <v>28</v>
      </c>
      <c r="M2716" s="12">
        <f>Tb_data[[#This Row],[Employees Growth]]/Tb_data[[#This Row],[previous_workers]]</f>
        <v>1.0769230769230769</v>
      </c>
    </row>
    <row r="2717" spans="1:13" x14ac:dyDescent="0.25">
      <c r="A2717" s="1" t="s">
        <v>3039</v>
      </c>
      <c r="B2717" s="1" t="s">
        <v>3040</v>
      </c>
      <c r="C2717" s="1">
        <v>16200000</v>
      </c>
      <c r="D2717" s="1" t="s">
        <v>58</v>
      </c>
      <c r="E2717">
        <v>284.05950000000001</v>
      </c>
      <c r="F2717" s="1" t="s">
        <v>34</v>
      </c>
      <c r="G2717">
        <v>116</v>
      </c>
      <c r="H2717">
        <v>17</v>
      </c>
      <c r="I2717" s="1" t="s">
        <v>164</v>
      </c>
      <c r="J2717">
        <v>3</v>
      </c>
      <c r="K2717" t="str">
        <f>IF(Tb_data[[#This Row],[previous_workers]]&lt;Tb_data[[#This Row],[workers]],"yes","no")</f>
        <v>yes</v>
      </c>
      <c r="L2717">
        <f>Tb_data[[#This Row],[workers]]-Tb_data[[#This Row],[previous_workers]]</f>
        <v>99</v>
      </c>
      <c r="M2717" s="12">
        <f>Tb_data[[#This Row],[Employees Growth]]/Tb_data[[#This Row],[previous_workers]]</f>
        <v>5.8235294117647056</v>
      </c>
    </row>
    <row r="2718" spans="1:13" x14ac:dyDescent="0.25">
      <c r="A2718" s="1" t="s">
        <v>8395</v>
      </c>
      <c r="B2718" s="1" t="s">
        <v>8396</v>
      </c>
      <c r="C2718" s="1">
        <v>10500000</v>
      </c>
      <c r="D2718" s="1" t="s">
        <v>123</v>
      </c>
      <c r="E2718">
        <v>76.182699999999997</v>
      </c>
      <c r="F2718" s="1" t="s">
        <v>310</v>
      </c>
      <c r="G2718">
        <v>58</v>
      </c>
      <c r="H2718">
        <v>32</v>
      </c>
      <c r="I2718" s="1" t="s">
        <v>46</v>
      </c>
      <c r="J2718">
        <v>1</v>
      </c>
      <c r="K2718" t="str">
        <f>IF(Tb_data[[#This Row],[previous_workers]]&lt;Tb_data[[#This Row],[workers]],"yes","no")</f>
        <v>yes</v>
      </c>
      <c r="L2718">
        <f>Tb_data[[#This Row],[workers]]-Tb_data[[#This Row],[previous_workers]]</f>
        <v>26</v>
      </c>
      <c r="M2718" s="12">
        <f>Tb_data[[#This Row],[Employees Growth]]/Tb_data[[#This Row],[previous_workers]]</f>
        <v>0.8125</v>
      </c>
    </row>
    <row r="2719" spans="1:13" x14ac:dyDescent="0.25">
      <c r="A2719" s="1" t="s">
        <v>4659</v>
      </c>
      <c r="B2719" s="1" t="s">
        <v>4660</v>
      </c>
      <c r="C2719" s="1">
        <v>5100000</v>
      </c>
      <c r="D2719" s="1" t="s">
        <v>38</v>
      </c>
      <c r="E2719">
        <v>175.9365</v>
      </c>
      <c r="F2719" s="1" t="s">
        <v>34</v>
      </c>
      <c r="G2719">
        <v>17</v>
      </c>
      <c r="H2719">
        <v>5</v>
      </c>
      <c r="I2719" s="1" t="s">
        <v>372</v>
      </c>
      <c r="J2719">
        <v>1</v>
      </c>
      <c r="K2719" t="str">
        <f>IF(Tb_data[[#This Row],[previous_workers]]&lt;Tb_data[[#This Row],[workers]],"yes","no")</f>
        <v>yes</v>
      </c>
      <c r="L2719">
        <f>Tb_data[[#This Row],[workers]]-Tb_data[[#This Row],[previous_workers]]</f>
        <v>12</v>
      </c>
      <c r="M2719" s="12">
        <f>Tb_data[[#This Row],[Employees Growth]]/Tb_data[[#This Row],[previous_workers]]</f>
        <v>2.4</v>
      </c>
    </row>
    <row r="2720" spans="1:13" x14ac:dyDescent="0.25">
      <c r="A2720" s="1" t="s">
        <v>6177</v>
      </c>
      <c r="B2720" s="1" t="s">
        <v>6178</v>
      </c>
      <c r="C2720" s="1">
        <v>23400000</v>
      </c>
      <c r="D2720" s="1" t="s">
        <v>155</v>
      </c>
      <c r="E2720">
        <v>121.72790000000001</v>
      </c>
      <c r="F2720" s="1" t="s">
        <v>12</v>
      </c>
      <c r="G2720">
        <v>18</v>
      </c>
      <c r="H2720">
        <v>6</v>
      </c>
      <c r="I2720" s="1" t="s">
        <v>117</v>
      </c>
      <c r="J2720">
        <v>4</v>
      </c>
      <c r="K2720" t="str">
        <f>IF(Tb_data[[#This Row],[previous_workers]]&lt;Tb_data[[#This Row],[workers]],"yes","no")</f>
        <v>yes</v>
      </c>
      <c r="L2720">
        <f>Tb_data[[#This Row],[workers]]-Tb_data[[#This Row],[previous_workers]]</f>
        <v>12</v>
      </c>
      <c r="M2720" s="12">
        <f>Tb_data[[#This Row],[Employees Growth]]/Tb_data[[#This Row],[previous_workers]]</f>
        <v>2</v>
      </c>
    </row>
    <row r="2721" spans="1:13" x14ac:dyDescent="0.25">
      <c r="A2721" s="1" t="s">
        <v>1578</v>
      </c>
      <c r="B2721" s="1" t="s">
        <v>1579</v>
      </c>
      <c r="C2721" s="1">
        <v>2300000</v>
      </c>
      <c r="D2721" s="1" t="s">
        <v>29</v>
      </c>
      <c r="E2721">
        <v>592.06449999999995</v>
      </c>
      <c r="F2721" s="1" t="s">
        <v>116</v>
      </c>
      <c r="G2721">
        <v>21</v>
      </c>
      <c r="H2721">
        <v>3</v>
      </c>
      <c r="I2721" s="1" t="s">
        <v>35</v>
      </c>
      <c r="J2721">
        <v>1</v>
      </c>
      <c r="K2721" t="str">
        <f>IF(Tb_data[[#This Row],[previous_workers]]&lt;Tb_data[[#This Row],[workers]],"yes","no")</f>
        <v>yes</v>
      </c>
      <c r="L2721">
        <f>Tb_data[[#This Row],[workers]]-Tb_data[[#This Row],[previous_workers]]</f>
        <v>18</v>
      </c>
      <c r="M2721" s="12">
        <f>Tb_data[[#This Row],[Employees Growth]]/Tb_data[[#This Row],[previous_workers]]</f>
        <v>6</v>
      </c>
    </row>
    <row r="2722" spans="1:13" x14ac:dyDescent="0.25">
      <c r="A2722" s="1" t="s">
        <v>8564</v>
      </c>
      <c r="B2722" s="1" t="s">
        <v>8565</v>
      </c>
      <c r="C2722" s="1">
        <v>2500000</v>
      </c>
      <c r="D2722" s="1" t="s">
        <v>155</v>
      </c>
      <c r="E2722">
        <v>72.912599999999998</v>
      </c>
      <c r="F2722" s="1" t="s">
        <v>12</v>
      </c>
      <c r="G2722">
        <v>23</v>
      </c>
      <c r="H2722">
        <v>14</v>
      </c>
      <c r="I2722" s="1" t="s">
        <v>117</v>
      </c>
      <c r="J2722">
        <v>2</v>
      </c>
      <c r="K2722" t="str">
        <f>IF(Tb_data[[#This Row],[previous_workers]]&lt;Tb_data[[#This Row],[workers]],"yes","no")</f>
        <v>yes</v>
      </c>
      <c r="L2722">
        <f>Tb_data[[#This Row],[workers]]-Tb_data[[#This Row],[previous_workers]]</f>
        <v>9</v>
      </c>
      <c r="M2722" s="12">
        <f>Tb_data[[#This Row],[Employees Growth]]/Tb_data[[#This Row],[previous_workers]]</f>
        <v>0.6428571428571429</v>
      </c>
    </row>
    <row r="2723" spans="1:13" x14ac:dyDescent="0.25">
      <c r="A2723" s="1" t="s">
        <v>4519</v>
      </c>
      <c r="B2723" s="1" t="s">
        <v>4520</v>
      </c>
      <c r="C2723" s="1">
        <v>297100000</v>
      </c>
      <c r="D2723" s="1" t="s">
        <v>49</v>
      </c>
      <c r="E2723">
        <v>181.62110000000001</v>
      </c>
      <c r="F2723" s="1" t="s">
        <v>86</v>
      </c>
      <c r="G2723">
        <v>65</v>
      </c>
      <c r="H2723">
        <v>26</v>
      </c>
      <c r="I2723" s="1" t="s">
        <v>117</v>
      </c>
      <c r="J2723">
        <v>5</v>
      </c>
      <c r="K2723" t="str">
        <f>IF(Tb_data[[#This Row],[previous_workers]]&lt;Tb_data[[#This Row],[workers]],"yes","no")</f>
        <v>yes</v>
      </c>
      <c r="L2723">
        <f>Tb_data[[#This Row],[workers]]-Tb_data[[#This Row],[previous_workers]]</f>
        <v>39</v>
      </c>
      <c r="M2723" s="12">
        <f>Tb_data[[#This Row],[Employees Growth]]/Tb_data[[#This Row],[previous_workers]]</f>
        <v>1.5</v>
      </c>
    </row>
    <row r="2724" spans="1:13" x14ac:dyDescent="0.25">
      <c r="A2724" s="1" t="s">
        <v>2364</v>
      </c>
      <c r="B2724" s="1" t="s">
        <v>2365</v>
      </c>
      <c r="C2724" s="1">
        <v>17300000</v>
      </c>
      <c r="D2724" s="1" t="s">
        <v>321</v>
      </c>
      <c r="E2724">
        <v>370.50569999999999</v>
      </c>
      <c r="F2724" s="1" t="s">
        <v>12</v>
      </c>
      <c r="G2724">
        <v>21</v>
      </c>
      <c r="H2724">
        <v>11</v>
      </c>
      <c r="I2724" s="1" t="s">
        <v>130</v>
      </c>
      <c r="J2724">
        <v>2</v>
      </c>
      <c r="K2724" t="str">
        <f>IF(Tb_data[[#This Row],[previous_workers]]&lt;Tb_data[[#This Row],[workers]],"yes","no")</f>
        <v>yes</v>
      </c>
      <c r="L2724">
        <f>Tb_data[[#This Row],[workers]]-Tb_data[[#This Row],[previous_workers]]</f>
        <v>10</v>
      </c>
      <c r="M2724" s="12">
        <f>Tb_data[[#This Row],[Employees Growth]]/Tb_data[[#This Row],[previous_workers]]</f>
        <v>0.90909090909090906</v>
      </c>
    </row>
    <row r="2725" spans="1:13" x14ac:dyDescent="0.25">
      <c r="A2725" s="1" t="s">
        <v>6589</v>
      </c>
      <c r="B2725" s="1" t="s">
        <v>6590</v>
      </c>
      <c r="C2725" s="1">
        <v>10600000</v>
      </c>
      <c r="D2725" s="1" t="s">
        <v>254</v>
      </c>
      <c r="E2725">
        <v>111.8725</v>
      </c>
      <c r="F2725" s="1" t="s">
        <v>86</v>
      </c>
      <c r="G2725">
        <v>75</v>
      </c>
      <c r="H2725">
        <v>25</v>
      </c>
      <c r="I2725" s="1" t="s">
        <v>74</v>
      </c>
      <c r="J2725">
        <v>6</v>
      </c>
      <c r="K2725" t="str">
        <f>IF(Tb_data[[#This Row],[previous_workers]]&lt;Tb_data[[#This Row],[workers]],"yes","no")</f>
        <v>yes</v>
      </c>
      <c r="L2725">
        <f>Tb_data[[#This Row],[workers]]-Tb_data[[#This Row],[previous_workers]]</f>
        <v>50</v>
      </c>
      <c r="M2725" s="12">
        <f>Tb_data[[#This Row],[Employees Growth]]/Tb_data[[#This Row],[previous_workers]]</f>
        <v>2</v>
      </c>
    </row>
    <row r="2726" spans="1:13" x14ac:dyDescent="0.25">
      <c r="A2726" s="1" t="s">
        <v>4760</v>
      </c>
      <c r="B2726" s="1" t="s">
        <v>4761</v>
      </c>
      <c r="C2726" s="1">
        <v>3400000</v>
      </c>
      <c r="D2726" s="1" t="s">
        <v>20</v>
      </c>
      <c r="E2726">
        <v>172.13990000000001</v>
      </c>
      <c r="F2726" s="1" t="s">
        <v>12</v>
      </c>
      <c r="G2726">
        <v>24</v>
      </c>
      <c r="H2726">
        <v>4</v>
      </c>
      <c r="I2726" s="1" t="s">
        <v>55</v>
      </c>
      <c r="J2726">
        <v>2</v>
      </c>
      <c r="K2726" t="str">
        <f>IF(Tb_data[[#This Row],[previous_workers]]&lt;Tb_data[[#This Row],[workers]],"yes","no")</f>
        <v>yes</v>
      </c>
      <c r="L2726">
        <f>Tb_data[[#This Row],[workers]]-Tb_data[[#This Row],[previous_workers]]</f>
        <v>20</v>
      </c>
      <c r="M2726" s="12">
        <f>Tb_data[[#This Row],[Employees Growth]]/Tb_data[[#This Row],[previous_workers]]</f>
        <v>5</v>
      </c>
    </row>
    <row r="2727" spans="1:13" x14ac:dyDescent="0.25">
      <c r="A2727" s="1" t="s">
        <v>6347</v>
      </c>
      <c r="B2727" s="1" t="s">
        <v>6348</v>
      </c>
      <c r="C2727" s="1">
        <v>4000000</v>
      </c>
      <c r="D2727" s="1" t="s">
        <v>33</v>
      </c>
      <c r="E2727">
        <v>117.5407</v>
      </c>
      <c r="F2727" s="1" t="s">
        <v>34</v>
      </c>
      <c r="G2727">
        <v>25</v>
      </c>
      <c r="H2727">
        <v>10</v>
      </c>
      <c r="I2727" s="1" t="s">
        <v>147</v>
      </c>
      <c r="J2727">
        <v>1</v>
      </c>
      <c r="K2727" t="str">
        <f>IF(Tb_data[[#This Row],[previous_workers]]&lt;Tb_data[[#This Row],[workers]],"yes","no")</f>
        <v>yes</v>
      </c>
      <c r="L2727">
        <f>Tb_data[[#This Row],[workers]]-Tb_data[[#This Row],[previous_workers]]</f>
        <v>15</v>
      </c>
      <c r="M2727" s="12">
        <f>Tb_data[[#This Row],[Employees Growth]]/Tb_data[[#This Row],[previous_workers]]</f>
        <v>1.5</v>
      </c>
    </row>
    <row r="2728" spans="1:13" x14ac:dyDescent="0.25">
      <c r="A2728" s="1" t="s">
        <v>2935</v>
      </c>
      <c r="B2728" s="1" t="s">
        <v>2936</v>
      </c>
      <c r="C2728" s="1">
        <v>46400000</v>
      </c>
      <c r="D2728" s="1" t="s">
        <v>29</v>
      </c>
      <c r="E2728">
        <v>292.67349999999999</v>
      </c>
      <c r="F2728" s="1" t="s">
        <v>34</v>
      </c>
      <c r="G2728">
        <v>237</v>
      </c>
      <c r="H2728">
        <v>97</v>
      </c>
      <c r="I2728" s="1" t="s">
        <v>295</v>
      </c>
      <c r="J2728">
        <v>7</v>
      </c>
      <c r="K2728" t="str">
        <f>IF(Tb_data[[#This Row],[previous_workers]]&lt;Tb_data[[#This Row],[workers]],"yes","no")</f>
        <v>yes</v>
      </c>
      <c r="L2728">
        <f>Tb_data[[#This Row],[workers]]-Tb_data[[#This Row],[previous_workers]]</f>
        <v>140</v>
      </c>
      <c r="M2728" s="12">
        <f>Tb_data[[#This Row],[Employees Growth]]/Tb_data[[#This Row],[previous_workers]]</f>
        <v>1.4432989690721649</v>
      </c>
    </row>
    <row r="2729" spans="1:13" x14ac:dyDescent="0.25">
      <c r="A2729" s="1" t="s">
        <v>6193</v>
      </c>
      <c r="B2729" s="1" t="s">
        <v>6194</v>
      </c>
      <c r="C2729" s="1">
        <v>480600000</v>
      </c>
      <c r="D2729" s="1" t="s">
        <v>500</v>
      </c>
      <c r="E2729">
        <v>121.4829</v>
      </c>
      <c r="F2729" s="1" t="s">
        <v>34</v>
      </c>
      <c r="G2729">
        <v>514</v>
      </c>
      <c r="H2729">
        <v>254</v>
      </c>
      <c r="I2729" s="1" t="s">
        <v>1051</v>
      </c>
      <c r="J2729">
        <v>12</v>
      </c>
      <c r="K2729" t="str">
        <f>IF(Tb_data[[#This Row],[previous_workers]]&lt;Tb_data[[#This Row],[workers]],"yes","no")</f>
        <v>yes</v>
      </c>
      <c r="L2729">
        <f>Tb_data[[#This Row],[workers]]-Tb_data[[#This Row],[previous_workers]]</f>
        <v>260</v>
      </c>
      <c r="M2729" s="12">
        <f>Tb_data[[#This Row],[Employees Growth]]/Tb_data[[#This Row],[previous_workers]]</f>
        <v>1.0236220472440944</v>
      </c>
    </row>
    <row r="2730" spans="1:13" x14ac:dyDescent="0.25">
      <c r="A2730" s="1" t="s">
        <v>5794</v>
      </c>
      <c r="B2730" s="1" t="s">
        <v>5795</v>
      </c>
      <c r="C2730" s="1">
        <v>3100000</v>
      </c>
      <c r="D2730" s="1" t="s">
        <v>69</v>
      </c>
      <c r="E2730">
        <v>131.5934</v>
      </c>
      <c r="F2730" s="1" t="s">
        <v>34</v>
      </c>
      <c r="G2730">
        <v>18</v>
      </c>
      <c r="H2730">
        <v>10</v>
      </c>
      <c r="I2730" s="1" t="s">
        <v>194</v>
      </c>
      <c r="J2730">
        <v>2</v>
      </c>
      <c r="K2730" t="str">
        <f>IF(Tb_data[[#This Row],[previous_workers]]&lt;Tb_data[[#This Row],[workers]],"yes","no")</f>
        <v>yes</v>
      </c>
      <c r="L2730">
        <f>Tb_data[[#This Row],[workers]]-Tb_data[[#This Row],[previous_workers]]</f>
        <v>8</v>
      </c>
      <c r="M2730" s="12">
        <f>Tb_data[[#This Row],[Employees Growth]]/Tb_data[[#This Row],[previous_workers]]</f>
        <v>0.8</v>
      </c>
    </row>
    <row r="2731" spans="1:13" x14ac:dyDescent="0.25">
      <c r="A2731" s="1" t="s">
        <v>8825</v>
      </c>
      <c r="B2731" s="1" t="s">
        <v>8826</v>
      </c>
      <c r="C2731" s="1">
        <v>20000000</v>
      </c>
      <c r="D2731" s="1" t="s">
        <v>254</v>
      </c>
      <c r="E2731">
        <v>69.003200000000007</v>
      </c>
      <c r="F2731" s="1" t="s">
        <v>34</v>
      </c>
      <c r="G2731">
        <v>60</v>
      </c>
      <c r="H2731">
        <v>17</v>
      </c>
      <c r="I2731" s="1" t="s">
        <v>35</v>
      </c>
      <c r="J2731">
        <v>3</v>
      </c>
      <c r="K2731" t="str">
        <f>IF(Tb_data[[#This Row],[previous_workers]]&lt;Tb_data[[#This Row],[workers]],"yes","no")</f>
        <v>yes</v>
      </c>
      <c r="L2731">
        <f>Tb_data[[#This Row],[workers]]-Tb_data[[#This Row],[previous_workers]]</f>
        <v>43</v>
      </c>
      <c r="M2731" s="12">
        <f>Tb_data[[#This Row],[Employees Growth]]/Tb_data[[#This Row],[previous_workers]]</f>
        <v>2.5294117647058822</v>
      </c>
    </row>
    <row r="2732" spans="1:13" x14ac:dyDescent="0.25">
      <c r="A2732" s="1" t="s">
        <v>7357</v>
      </c>
      <c r="B2732" s="1" t="s">
        <v>7358</v>
      </c>
      <c r="C2732" s="1">
        <v>22700000</v>
      </c>
      <c r="D2732" s="1" t="s">
        <v>20</v>
      </c>
      <c r="E2732">
        <v>95.967500000000001</v>
      </c>
      <c r="F2732" s="1" t="s">
        <v>34</v>
      </c>
      <c r="G2732">
        <v>470</v>
      </c>
      <c r="H2732">
        <v>200</v>
      </c>
      <c r="I2732" s="1" t="s">
        <v>372</v>
      </c>
      <c r="J2732">
        <v>5</v>
      </c>
      <c r="K2732" t="str">
        <f>IF(Tb_data[[#This Row],[previous_workers]]&lt;Tb_data[[#This Row],[workers]],"yes","no")</f>
        <v>yes</v>
      </c>
      <c r="L2732">
        <f>Tb_data[[#This Row],[workers]]-Tb_data[[#This Row],[previous_workers]]</f>
        <v>270</v>
      </c>
      <c r="M2732" s="12">
        <f>Tb_data[[#This Row],[Employees Growth]]/Tb_data[[#This Row],[previous_workers]]</f>
        <v>1.35</v>
      </c>
    </row>
    <row r="2733" spans="1:13" x14ac:dyDescent="0.25">
      <c r="A2733" s="1" t="s">
        <v>9521</v>
      </c>
      <c r="B2733" s="1" t="s">
        <v>9522</v>
      </c>
      <c r="C2733" s="1">
        <v>193300000</v>
      </c>
      <c r="D2733" s="1" t="s">
        <v>387</v>
      </c>
      <c r="E2733">
        <v>60.0349</v>
      </c>
      <c r="F2733" s="1" t="s">
        <v>34</v>
      </c>
      <c r="G2733">
        <v>310</v>
      </c>
      <c r="H2733">
        <v>211</v>
      </c>
      <c r="I2733" s="1" t="s">
        <v>26</v>
      </c>
      <c r="J2733">
        <v>4</v>
      </c>
      <c r="K2733" t="str">
        <f>IF(Tb_data[[#This Row],[previous_workers]]&lt;Tb_data[[#This Row],[workers]],"yes","no")</f>
        <v>yes</v>
      </c>
      <c r="L2733">
        <f>Tb_data[[#This Row],[workers]]-Tb_data[[#This Row],[previous_workers]]</f>
        <v>99</v>
      </c>
      <c r="M2733" s="12">
        <f>Tb_data[[#This Row],[Employees Growth]]/Tb_data[[#This Row],[previous_workers]]</f>
        <v>0.46919431279620855</v>
      </c>
    </row>
    <row r="2734" spans="1:13" x14ac:dyDescent="0.25">
      <c r="A2734" s="1" t="s">
        <v>4663</v>
      </c>
      <c r="B2734" s="1" t="s">
        <v>4664</v>
      </c>
      <c r="C2734" s="1">
        <v>56100000</v>
      </c>
      <c r="D2734" s="1" t="s">
        <v>1002</v>
      </c>
      <c r="E2734">
        <v>175.75470000000001</v>
      </c>
      <c r="F2734" s="1" t="s">
        <v>34</v>
      </c>
      <c r="G2734">
        <v>660</v>
      </c>
      <c r="H2734">
        <v>260</v>
      </c>
      <c r="I2734" s="1" t="s">
        <v>194</v>
      </c>
      <c r="J2734">
        <v>8</v>
      </c>
      <c r="K2734" t="str">
        <f>IF(Tb_data[[#This Row],[previous_workers]]&lt;Tb_data[[#This Row],[workers]],"yes","no")</f>
        <v>yes</v>
      </c>
      <c r="L2734">
        <f>Tb_data[[#This Row],[workers]]-Tb_data[[#This Row],[previous_workers]]</f>
        <v>400</v>
      </c>
      <c r="M2734" s="12">
        <f>Tb_data[[#This Row],[Employees Growth]]/Tb_data[[#This Row],[previous_workers]]</f>
        <v>1.5384615384615385</v>
      </c>
    </row>
    <row r="2735" spans="1:13" x14ac:dyDescent="0.25">
      <c r="A2735" s="1" t="s">
        <v>4966</v>
      </c>
      <c r="B2735" s="1" t="s">
        <v>4967</v>
      </c>
      <c r="C2735" s="1">
        <v>10300000</v>
      </c>
      <c r="D2735" s="1" t="s">
        <v>61</v>
      </c>
      <c r="E2735">
        <v>163.3271</v>
      </c>
      <c r="F2735" s="1" t="s">
        <v>86</v>
      </c>
      <c r="G2735">
        <v>76</v>
      </c>
      <c r="H2735">
        <v>38</v>
      </c>
      <c r="I2735" s="1" t="s">
        <v>948</v>
      </c>
      <c r="J2735">
        <v>3</v>
      </c>
      <c r="K2735" t="str">
        <f>IF(Tb_data[[#This Row],[previous_workers]]&lt;Tb_data[[#This Row],[workers]],"yes","no")</f>
        <v>yes</v>
      </c>
      <c r="L2735">
        <f>Tb_data[[#This Row],[workers]]-Tb_data[[#This Row],[previous_workers]]</f>
        <v>38</v>
      </c>
      <c r="M2735" s="12">
        <f>Tb_data[[#This Row],[Employees Growth]]/Tb_data[[#This Row],[previous_workers]]</f>
        <v>1</v>
      </c>
    </row>
    <row r="2736" spans="1:13" x14ac:dyDescent="0.25">
      <c r="A2736" s="1" t="s">
        <v>4724</v>
      </c>
      <c r="B2736" s="1" t="s">
        <v>4725</v>
      </c>
      <c r="C2736" s="1">
        <v>31200000</v>
      </c>
      <c r="D2736" s="1" t="s">
        <v>20</v>
      </c>
      <c r="E2736">
        <v>173.6652</v>
      </c>
      <c r="F2736" s="1" t="s">
        <v>176</v>
      </c>
      <c r="G2736">
        <v>40</v>
      </c>
      <c r="H2736">
        <v>16</v>
      </c>
      <c r="I2736" s="1" t="s">
        <v>35</v>
      </c>
      <c r="J2736">
        <v>2</v>
      </c>
      <c r="K2736" t="str">
        <f>IF(Tb_data[[#This Row],[previous_workers]]&lt;Tb_data[[#This Row],[workers]],"yes","no")</f>
        <v>yes</v>
      </c>
      <c r="L2736">
        <f>Tb_data[[#This Row],[workers]]-Tb_data[[#This Row],[previous_workers]]</f>
        <v>24</v>
      </c>
      <c r="M2736" s="12">
        <f>Tb_data[[#This Row],[Employees Growth]]/Tb_data[[#This Row],[previous_workers]]</f>
        <v>1.5</v>
      </c>
    </row>
    <row r="2737" spans="1:13" x14ac:dyDescent="0.25">
      <c r="A2737" s="1" t="s">
        <v>571</v>
      </c>
      <c r="B2737" s="1" t="s">
        <v>572</v>
      </c>
      <c r="C2737" s="1">
        <v>2100000</v>
      </c>
      <c r="D2737" s="1" t="s">
        <v>115</v>
      </c>
      <c r="E2737">
        <v>1738.1728000000001</v>
      </c>
      <c r="F2737" s="1" t="s">
        <v>34</v>
      </c>
      <c r="G2737">
        <v>12</v>
      </c>
      <c r="H2737">
        <v>2</v>
      </c>
      <c r="I2737" s="1" t="s">
        <v>55</v>
      </c>
      <c r="J2737">
        <v>1</v>
      </c>
      <c r="K2737" t="str">
        <f>IF(Tb_data[[#This Row],[previous_workers]]&lt;Tb_data[[#This Row],[workers]],"yes","no")</f>
        <v>yes</v>
      </c>
      <c r="L2737">
        <f>Tb_data[[#This Row],[workers]]-Tb_data[[#This Row],[previous_workers]]</f>
        <v>10</v>
      </c>
      <c r="M2737" s="12">
        <f>Tb_data[[#This Row],[Employees Growth]]/Tb_data[[#This Row],[previous_workers]]</f>
        <v>5</v>
      </c>
    </row>
    <row r="2738" spans="1:13" x14ac:dyDescent="0.25">
      <c r="A2738" s="1" t="s">
        <v>330</v>
      </c>
      <c r="B2738" s="1" t="s">
        <v>331</v>
      </c>
      <c r="C2738" s="1">
        <v>3200000</v>
      </c>
      <c r="D2738" s="1" t="s">
        <v>45</v>
      </c>
      <c r="E2738">
        <v>2742.6432</v>
      </c>
      <c r="F2738" s="1" t="s">
        <v>34</v>
      </c>
      <c r="G2738">
        <v>8</v>
      </c>
      <c r="H2738">
        <v>1</v>
      </c>
      <c r="I2738" s="1" t="s">
        <v>13</v>
      </c>
      <c r="J2738">
        <v>1</v>
      </c>
      <c r="K2738" t="str">
        <f>IF(Tb_data[[#This Row],[previous_workers]]&lt;Tb_data[[#This Row],[workers]],"yes","no")</f>
        <v>yes</v>
      </c>
      <c r="L2738">
        <f>Tb_data[[#This Row],[workers]]-Tb_data[[#This Row],[previous_workers]]</f>
        <v>7</v>
      </c>
      <c r="M2738" s="12">
        <f>Tb_data[[#This Row],[Employees Growth]]/Tb_data[[#This Row],[previous_workers]]</f>
        <v>7</v>
      </c>
    </row>
    <row r="2739" spans="1:13" x14ac:dyDescent="0.25">
      <c r="A2739" s="1" t="s">
        <v>9019</v>
      </c>
      <c r="B2739" s="1" t="s">
        <v>9020</v>
      </c>
      <c r="C2739" s="1">
        <v>570000000</v>
      </c>
      <c r="D2739" s="1" t="s">
        <v>29</v>
      </c>
      <c r="E2739">
        <v>66.391900000000007</v>
      </c>
      <c r="F2739" s="1" t="s">
        <v>34</v>
      </c>
      <c r="G2739">
        <v>841</v>
      </c>
      <c r="H2739">
        <v>582</v>
      </c>
      <c r="I2739" s="1" t="s">
        <v>836</v>
      </c>
      <c r="J2739">
        <v>13</v>
      </c>
      <c r="K2739" t="str">
        <f>IF(Tb_data[[#This Row],[previous_workers]]&lt;Tb_data[[#This Row],[workers]],"yes","no")</f>
        <v>yes</v>
      </c>
      <c r="L2739">
        <f>Tb_data[[#This Row],[workers]]-Tb_data[[#This Row],[previous_workers]]</f>
        <v>259</v>
      </c>
      <c r="M2739" s="12">
        <f>Tb_data[[#This Row],[Employees Growth]]/Tb_data[[#This Row],[previous_workers]]</f>
        <v>0.44501718213058417</v>
      </c>
    </row>
    <row r="2740" spans="1:13" x14ac:dyDescent="0.25">
      <c r="A2740" s="1" t="s">
        <v>9407</v>
      </c>
      <c r="B2740" s="1" t="s">
        <v>9408</v>
      </c>
      <c r="C2740" s="1">
        <v>29500000</v>
      </c>
      <c r="D2740" s="1" t="s">
        <v>20</v>
      </c>
      <c r="E2740">
        <v>61.434399999999997</v>
      </c>
      <c r="F2740" s="1" t="s">
        <v>34</v>
      </c>
      <c r="G2740">
        <v>115</v>
      </c>
      <c r="H2740">
        <v>75</v>
      </c>
      <c r="I2740" s="1" t="s">
        <v>2628</v>
      </c>
      <c r="J2740">
        <v>7</v>
      </c>
      <c r="K2740" t="str">
        <f>IF(Tb_data[[#This Row],[previous_workers]]&lt;Tb_data[[#This Row],[workers]],"yes","no")</f>
        <v>yes</v>
      </c>
      <c r="L2740">
        <f>Tb_data[[#This Row],[workers]]-Tb_data[[#This Row],[previous_workers]]</f>
        <v>40</v>
      </c>
      <c r="M2740" s="12">
        <f>Tb_data[[#This Row],[Employees Growth]]/Tb_data[[#This Row],[previous_workers]]</f>
        <v>0.53333333333333333</v>
      </c>
    </row>
    <row r="2741" spans="1:13" x14ac:dyDescent="0.25">
      <c r="A2741" s="1" t="s">
        <v>8127</v>
      </c>
      <c r="B2741" s="1" t="s">
        <v>8128</v>
      </c>
      <c r="C2741" s="1">
        <v>108400000</v>
      </c>
      <c r="D2741" s="1" t="s">
        <v>254</v>
      </c>
      <c r="E2741">
        <v>80.766900000000007</v>
      </c>
      <c r="F2741" s="1" t="s">
        <v>34</v>
      </c>
      <c r="G2741">
        <v>2123</v>
      </c>
      <c r="H2741">
        <v>1227</v>
      </c>
      <c r="I2741" s="1" t="s">
        <v>372</v>
      </c>
      <c r="J2741">
        <v>3</v>
      </c>
      <c r="K2741" t="str">
        <f>IF(Tb_data[[#This Row],[previous_workers]]&lt;Tb_data[[#This Row],[workers]],"yes","no")</f>
        <v>yes</v>
      </c>
      <c r="L2741">
        <f>Tb_data[[#This Row],[workers]]-Tb_data[[#This Row],[previous_workers]]</f>
        <v>896</v>
      </c>
      <c r="M2741" s="12">
        <f>Tb_data[[#This Row],[Employees Growth]]/Tb_data[[#This Row],[previous_workers]]</f>
        <v>0.73023634881825594</v>
      </c>
    </row>
    <row r="2742" spans="1:13" x14ac:dyDescent="0.25">
      <c r="A2742" s="1" t="s">
        <v>1507</v>
      </c>
      <c r="B2742" s="1" t="s">
        <v>1508</v>
      </c>
      <c r="C2742" s="1">
        <v>12100000</v>
      </c>
      <c r="D2742" s="1" t="s">
        <v>627</v>
      </c>
      <c r="E2742">
        <v>621.66250000000002</v>
      </c>
      <c r="F2742" s="1" t="s">
        <v>34</v>
      </c>
      <c r="G2742">
        <v>218</v>
      </c>
      <c r="H2742">
        <v>35</v>
      </c>
      <c r="I2742" s="1" t="s">
        <v>130</v>
      </c>
      <c r="J2742">
        <v>2</v>
      </c>
      <c r="K2742" t="str">
        <f>IF(Tb_data[[#This Row],[previous_workers]]&lt;Tb_data[[#This Row],[workers]],"yes","no")</f>
        <v>yes</v>
      </c>
      <c r="L2742">
        <f>Tb_data[[#This Row],[workers]]-Tb_data[[#This Row],[previous_workers]]</f>
        <v>183</v>
      </c>
      <c r="M2742" s="12">
        <f>Tb_data[[#This Row],[Employees Growth]]/Tb_data[[#This Row],[previous_workers]]</f>
        <v>5.2285714285714286</v>
      </c>
    </row>
    <row r="2743" spans="1:13" x14ac:dyDescent="0.25">
      <c r="A2743" s="1" t="s">
        <v>9403</v>
      </c>
      <c r="B2743" s="1" t="s">
        <v>9404</v>
      </c>
      <c r="C2743" s="1">
        <v>22700000</v>
      </c>
      <c r="D2743" s="1" t="s">
        <v>254</v>
      </c>
      <c r="E2743">
        <v>61.471699999999998</v>
      </c>
      <c r="F2743" s="1" t="s">
        <v>176</v>
      </c>
      <c r="G2743">
        <v>95</v>
      </c>
      <c r="H2743">
        <v>61</v>
      </c>
      <c r="I2743" s="1" t="s">
        <v>948</v>
      </c>
      <c r="J2743">
        <v>6</v>
      </c>
      <c r="K2743" t="str">
        <f>IF(Tb_data[[#This Row],[previous_workers]]&lt;Tb_data[[#This Row],[workers]],"yes","no")</f>
        <v>yes</v>
      </c>
      <c r="L2743">
        <f>Tb_data[[#This Row],[workers]]-Tb_data[[#This Row],[previous_workers]]</f>
        <v>34</v>
      </c>
      <c r="M2743" s="12">
        <f>Tb_data[[#This Row],[Employees Growth]]/Tb_data[[#This Row],[previous_workers]]</f>
        <v>0.55737704918032782</v>
      </c>
    </row>
    <row r="2744" spans="1:13" x14ac:dyDescent="0.25">
      <c r="A2744" s="1" t="s">
        <v>4980</v>
      </c>
      <c r="B2744" s="1" t="s">
        <v>4981</v>
      </c>
      <c r="C2744" s="1">
        <v>294100000</v>
      </c>
      <c r="D2744" s="1" t="s">
        <v>115</v>
      </c>
      <c r="E2744">
        <v>162.57300000000001</v>
      </c>
      <c r="F2744" s="1" t="s">
        <v>17</v>
      </c>
      <c r="G2744">
        <v>279</v>
      </c>
      <c r="H2744">
        <v>144</v>
      </c>
      <c r="I2744" s="1" t="s">
        <v>35</v>
      </c>
      <c r="J2744">
        <v>3</v>
      </c>
      <c r="K2744" t="str">
        <f>IF(Tb_data[[#This Row],[previous_workers]]&lt;Tb_data[[#This Row],[workers]],"yes","no")</f>
        <v>yes</v>
      </c>
      <c r="L2744">
        <f>Tb_data[[#This Row],[workers]]-Tb_data[[#This Row],[previous_workers]]</f>
        <v>135</v>
      </c>
      <c r="M2744" s="12">
        <f>Tb_data[[#This Row],[Employees Growth]]/Tb_data[[#This Row],[previous_workers]]</f>
        <v>0.9375</v>
      </c>
    </row>
    <row r="2745" spans="1:13" x14ac:dyDescent="0.25">
      <c r="A2745" s="1" t="s">
        <v>671</v>
      </c>
      <c r="B2745" s="1" t="s">
        <v>672</v>
      </c>
      <c r="C2745" s="1">
        <v>6100000</v>
      </c>
      <c r="D2745" s="1" t="s">
        <v>33</v>
      </c>
      <c r="E2745">
        <v>1519.3447000000001</v>
      </c>
      <c r="F2745" s="1" t="s">
        <v>176</v>
      </c>
      <c r="G2745">
        <v>60</v>
      </c>
      <c r="H2745">
        <v>5</v>
      </c>
      <c r="I2745" s="1" t="s">
        <v>13</v>
      </c>
      <c r="J2745">
        <v>1</v>
      </c>
      <c r="K2745" t="str">
        <f>IF(Tb_data[[#This Row],[previous_workers]]&lt;Tb_data[[#This Row],[workers]],"yes","no")</f>
        <v>yes</v>
      </c>
      <c r="L2745">
        <f>Tb_data[[#This Row],[workers]]-Tb_data[[#This Row],[previous_workers]]</f>
        <v>55</v>
      </c>
      <c r="M2745" s="12">
        <f>Tb_data[[#This Row],[Employees Growth]]/Tb_data[[#This Row],[previous_workers]]</f>
        <v>11</v>
      </c>
    </row>
    <row r="2746" spans="1:13" x14ac:dyDescent="0.25">
      <c r="A2746" s="1" t="s">
        <v>525</v>
      </c>
      <c r="B2746" s="1" t="s">
        <v>526</v>
      </c>
      <c r="C2746" s="1">
        <v>18700000</v>
      </c>
      <c r="D2746" s="1" t="s">
        <v>49</v>
      </c>
      <c r="E2746">
        <v>1901.165</v>
      </c>
      <c r="F2746" s="1" t="s">
        <v>82</v>
      </c>
      <c r="G2746">
        <v>11</v>
      </c>
      <c r="H2746">
        <v>4</v>
      </c>
      <c r="I2746" s="1" t="s">
        <v>226</v>
      </c>
      <c r="J2746">
        <v>1</v>
      </c>
      <c r="K2746" t="str">
        <f>IF(Tb_data[[#This Row],[previous_workers]]&lt;Tb_data[[#This Row],[workers]],"yes","no")</f>
        <v>yes</v>
      </c>
      <c r="L2746">
        <f>Tb_data[[#This Row],[workers]]-Tb_data[[#This Row],[previous_workers]]</f>
        <v>7</v>
      </c>
      <c r="M2746" s="12">
        <f>Tb_data[[#This Row],[Employees Growth]]/Tb_data[[#This Row],[previous_workers]]</f>
        <v>1.75</v>
      </c>
    </row>
    <row r="2747" spans="1:13" x14ac:dyDescent="0.25">
      <c r="A2747" s="1" t="s">
        <v>7801</v>
      </c>
      <c r="B2747" s="1" t="s">
        <v>7802</v>
      </c>
      <c r="C2747" s="1">
        <v>12000000</v>
      </c>
      <c r="D2747" s="1" t="s">
        <v>41</v>
      </c>
      <c r="E2747">
        <v>86.324200000000005</v>
      </c>
      <c r="F2747" s="1" t="s">
        <v>176</v>
      </c>
      <c r="G2747">
        <v>140</v>
      </c>
      <c r="H2747">
        <v>90</v>
      </c>
      <c r="I2747" s="1" t="s">
        <v>229</v>
      </c>
      <c r="J2747">
        <v>7</v>
      </c>
      <c r="K2747" t="str">
        <f>IF(Tb_data[[#This Row],[previous_workers]]&lt;Tb_data[[#This Row],[workers]],"yes","no")</f>
        <v>yes</v>
      </c>
      <c r="L2747">
        <f>Tb_data[[#This Row],[workers]]-Tb_data[[#This Row],[previous_workers]]</f>
        <v>50</v>
      </c>
      <c r="M2747" s="12">
        <f>Tb_data[[#This Row],[Employees Growth]]/Tb_data[[#This Row],[previous_workers]]</f>
        <v>0.55555555555555558</v>
      </c>
    </row>
    <row r="2748" spans="1:13" x14ac:dyDescent="0.25">
      <c r="A2748" s="1" t="s">
        <v>3285</v>
      </c>
      <c r="B2748" s="1" t="s">
        <v>3286</v>
      </c>
      <c r="C2748" s="1">
        <v>5300000</v>
      </c>
      <c r="D2748" s="1" t="s">
        <v>179</v>
      </c>
      <c r="E2748">
        <v>261.9162</v>
      </c>
      <c r="F2748" s="1" t="s">
        <v>161</v>
      </c>
      <c r="G2748">
        <v>50</v>
      </c>
      <c r="H2748">
        <v>30</v>
      </c>
      <c r="I2748" s="1" t="s">
        <v>164</v>
      </c>
      <c r="J2748">
        <v>1</v>
      </c>
      <c r="K2748" t="str">
        <f>IF(Tb_data[[#This Row],[previous_workers]]&lt;Tb_data[[#This Row],[workers]],"yes","no")</f>
        <v>yes</v>
      </c>
      <c r="L2748">
        <f>Tb_data[[#This Row],[workers]]-Tb_data[[#This Row],[previous_workers]]</f>
        <v>20</v>
      </c>
      <c r="M2748" s="12">
        <f>Tb_data[[#This Row],[Employees Growth]]/Tb_data[[#This Row],[previous_workers]]</f>
        <v>0.66666666666666663</v>
      </c>
    </row>
    <row r="2749" spans="1:13" x14ac:dyDescent="0.25">
      <c r="A2749" s="1" t="s">
        <v>6783</v>
      </c>
      <c r="B2749" s="1" t="s">
        <v>6784</v>
      </c>
      <c r="C2749" s="1">
        <v>92500000</v>
      </c>
      <c r="D2749" s="1" t="s">
        <v>52</v>
      </c>
      <c r="E2749">
        <v>107.0616</v>
      </c>
      <c r="F2749" s="1" t="s">
        <v>62</v>
      </c>
      <c r="G2749">
        <v>386</v>
      </c>
      <c r="H2749">
        <v>161</v>
      </c>
      <c r="I2749" s="1" t="s">
        <v>980</v>
      </c>
      <c r="J2749">
        <v>2</v>
      </c>
      <c r="K2749" t="str">
        <f>IF(Tb_data[[#This Row],[previous_workers]]&lt;Tb_data[[#This Row],[workers]],"yes","no")</f>
        <v>yes</v>
      </c>
      <c r="L2749">
        <f>Tb_data[[#This Row],[workers]]-Tb_data[[#This Row],[previous_workers]]</f>
        <v>225</v>
      </c>
      <c r="M2749" s="12">
        <f>Tb_data[[#This Row],[Employees Growth]]/Tb_data[[#This Row],[previous_workers]]</f>
        <v>1.3975155279503106</v>
      </c>
    </row>
    <row r="2750" spans="1:13" x14ac:dyDescent="0.25">
      <c r="A2750" s="1" t="s">
        <v>1332</v>
      </c>
      <c r="B2750" s="1" t="s">
        <v>1333</v>
      </c>
      <c r="C2750" s="1">
        <v>36500000</v>
      </c>
      <c r="D2750" s="1" t="s">
        <v>155</v>
      </c>
      <c r="E2750">
        <v>711.99789999999996</v>
      </c>
      <c r="F2750" s="1" t="s">
        <v>176</v>
      </c>
      <c r="G2750">
        <v>96</v>
      </c>
      <c r="H2750">
        <v>11</v>
      </c>
      <c r="I2750" s="1" t="s">
        <v>55</v>
      </c>
      <c r="J2750">
        <v>2</v>
      </c>
      <c r="K2750" t="str">
        <f>IF(Tb_data[[#This Row],[previous_workers]]&lt;Tb_data[[#This Row],[workers]],"yes","no")</f>
        <v>yes</v>
      </c>
      <c r="L2750">
        <f>Tb_data[[#This Row],[workers]]-Tb_data[[#This Row],[previous_workers]]</f>
        <v>85</v>
      </c>
      <c r="M2750" s="12">
        <f>Tb_data[[#This Row],[Employees Growth]]/Tb_data[[#This Row],[previous_workers]]</f>
        <v>7.7272727272727275</v>
      </c>
    </row>
    <row r="2751" spans="1:13" x14ac:dyDescent="0.25">
      <c r="A2751" s="1" t="s">
        <v>6697</v>
      </c>
      <c r="B2751" s="1" t="s">
        <v>6698</v>
      </c>
      <c r="C2751" s="1">
        <v>2200000</v>
      </c>
      <c r="D2751" s="1" t="s">
        <v>155</v>
      </c>
      <c r="E2751">
        <v>109.30589999999999</v>
      </c>
      <c r="F2751" s="1" t="s">
        <v>112</v>
      </c>
      <c r="G2751">
        <v>27</v>
      </c>
      <c r="H2751">
        <v>15</v>
      </c>
      <c r="I2751" s="1" t="s">
        <v>229</v>
      </c>
      <c r="J2751">
        <v>1</v>
      </c>
      <c r="K2751" t="str">
        <f>IF(Tb_data[[#This Row],[previous_workers]]&lt;Tb_data[[#This Row],[workers]],"yes","no")</f>
        <v>yes</v>
      </c>
      <c r="L2751">
        <f>Tb_data[[#This Row],[workers]]-Tb_data[[#This Row],[previous_workers]]</f>
        <v>12</v>
      </c>
      <c r="M2751" s="12">
        <f>Tb_data[[#This Row],[Employees Growth]]/Tb_data[[#This Row],[previous_workers]]</f>
        <v>0.8</v>
      </c>
    </row>
    <row r="2752" spans="1:13" x14ac:dyDescent="0.25">
      <c r="A2752" s="1" t="s">
        <v>3973</v>
      </c>
      <c r="B2752" s="1" t="s">
        <v>3974</v>
      </c>
      <c r="C2752" s="1">
        <v>11600000</v>
      </c>
      <c r="D2752" s="1" t="s">
        <v>895</v>
      </c>
      <c r="E2752">
        <v>208.01750000000001</v>
      </c>
      <c r="F2752" s="1" t="s">
        <v>100</v>
      </c>
      <c r="G2752">
        <v>152</v>
      </c>
      <c r="H2752">
        <v>55</v>
      </c>
      <c r="I2752" s="1" t="s">
        <v>295</v>
      </c>
      <c r="J2752">
        <v>2</v>
      </c>
      <c r="K2752" t="str">
        <f>IF(Tb_data[[#This Row],[previous_workers]]&lt;Tb_data[[#This Row],[workers]],"yes","no")</f>
        <v>yes</v>
      </c>
      <c r="L2752">
        <f>Tb_data[[#This Row],[workers]]-Tb_data[[#This Row],[previous_workers]]</f>
        <v>97</v>
      </c>
      <c r="M2752" s="12">
        <f>Tb_data[[#This Row],[Employees Growth]]/Tb_data[[#This Row],[previous_workers]]</f>
        <v>1.7636363636363637</v>
      </c>
    </row>
    <row r="2753" spans="1:13" x14ac:dyDescent="0.25">
      <c r="A2753" s="1" t="s">
        <v>9762</v>
      </c>
      <c r="B2753" s="1" t="s">
        <v>9763</v>
      </c>
      <c r="C2753" s="1">
        <v>4300000</v>
      </c>
      <c r="D2753" s="1" t="s">
        <v>33</v>
      </c>
      <c r="E2753">
        <v>57.116100000000003</v>
      </c>
      <c r="F2753" s="1" t="s">
        <v>86</v>
      </c>
      <c r="G2753">
        <v>19</v>
      </c>
      <c r="H2753">
        <v>8</v>
      </c>
      <c r="I2753" s="1" t="s">
        <v>164</v>
      </c>
      <c r="J2753">
        <v>2</v>
      </c>
      <c r="K2753" t="str">
        <f>IF(Tb_data[[#This Row],[previous_workers]]&lt;Tb_data[[#This Row],[workers]],"yes","no")</f>
        <v>yes</v>
      </c>
      <c r="L2753">
        <f>Tb_data[[#This Row],[workers]]-Tb_data[[#This Row],[previous_workers]]</f>
        <v>11</v>
      </c>
      <c r="M2753" s="12">
        <f>Tb_data[[#This Row],[Employees Growth]]/Tb_data[[#This Row],[previous_workers]]</f>
        <v>1.375</v>
      </c>
    </row>
    <row r="2754" spans="1:13" x14ac:dyDescent="0.25">
      <c r="A2754" s="1" t="s">
        <v>4184</v>
      </c>
      <c r="B2754" s="1" t="s">
        <v>4185</v>
      </c>
      <c r="C2754" s="1">
        <v>22100000</v>
      </c>
      <c r="D2754" s="1" t="s">
        <v>69</v>
      </c>
      <c r="E2754">
        <v>196.0968</v>
      </c>
      <c r="F2754" s="1" t="s">
        <v>62</v>
      </c>
      <c r="G2754">
        <v>56</v>
      </c>
      <c r="H2754">
        <v>16</v>
      </c>
      <c r="I2754" s="1" t="s">
        <v>194</v>
      </c>
      <c r="J2754">
        <v>1</v>
      </c>
      <c r="K2754" t="str">
        <f>IF(Tb_data[[#This Row],[previous_workers]]&lt;Tb_data[[#This Row],[workers]],"yes","no")</f>
        <v>yes</v>
      </c>
      <c r="L2754">
        <f>Tb_data[[#This Row],[workers]]-Tb_data[[#This Row],[previous_workers]]</f>
        <v>40</v>
      </c>
      <c r="M2754" s="12">
        <f>Tb_data[[#This Row],[Employees Growth]]/Tb_data[[#This Row],[previous_workers]]</f>
        <v>2.5</v>
      </c>
    </row>
    <row r="2755" spans="1:13" x14ac:dyDescent="0.25">
      <c r="A2755" s="1" t="s">
        <v>1793</v>
      </c>
      <c r="B2755" s="1" t="s">
        <v>1794</v>
      </c>
      <c r="C2755" s="1">
        <v>2900000</v>
      </c>
      <c r="D2755" s="1" t="s">
        <v>129</v>
      </c>
      <c r="E2755">
        <v>502.1592</v>
      </c>
      <c r="F2755" s="1" t="s">
        <v>176</v>
      </c>
      <c r="G2755">
        <v>26</v>
      </c>
      <c r="H2755">
        <v>14</v>
      </c>
      <c r="I2755" s="1" t="s">
        <v>26</v>
      </c>
      <c r="J2755">
        <v>1</v>
      </c>
      <c r="K2755" t="str">
        <f>IF(Tb_data[[#This Row],[previous_workers]]&lt;Tb_data[[#This Row],[workers]],"yes","no")</f>
        <v>yes</v>
      </c>
      <c r="L2755">
        <f>Tb_data[[#This Row],[workers]]-Tb_data[[#This Row],[previous_workers]]</f>
        <v>12</v>
      </c>
      <c r="M2755" s="12">
        <f>Tb_data[[#This Row],[Employees Growth]]/Tb_data[[#This Row],[previous_workers]]</f>
        <v>0.8571428571428571</v>
      </c>
    </row>
    <row r="2756" spans="1:13" x14ac:dyDescent="0.25">
      <c r="A2756" s="1" t="s">
        <v>5810</v>
      </c>
      <c r="B2756" s="1" t="s">
        <v>5811</v>
      </c>
      <c r="C2756" s="1">
        <v>9700000</v>
      </c>
      <c r="D2756" s="1" t="s">
        <v>69</v>
      </c>
      <c r="E2756">
        <v>130.96619999999999</v>
      </c>
      <c r="F2756" s="1" t="s">
        <v>25</v>
      </c>
      <c r="G2756">
        <v>91</v>
      </c>
      <c r="H2756">
        <v>43</v>
      </c>
      <c r="I2756" s="1" t="s">
        <v>1622</v>
      </c>
      <c r="J2756">
        <v>3</v>
      </c>
      <c r="K2756" t="str">
        <f>IF(Tb_data[[#This Row],[previous_workers]]&lt;Tb_data[[#This Row],[workers]],"yes","no")</f>
        <v>yes</v>
      </c>
      <c r="L2756">
        <f>Tb_data[[#This Row],[workers]]-Tb_data[[#This Row],[previous_workers]]</f>
        <v>48</v>
      </c>
      <c r="M2756" s="12">
        <f>Tb_data[[#This Row],[Employees Growth]]/Tb_data[[#This Row],[previous_workers]]</f>
        <v>1.1162790697674418</v>
      </c>
    </row>
    <row r="2757" spans="1:13" x14ac:dyDescent="0.25">
      <c r="A2757" s="1" t="s">
        <v>7242</v>
      </c>
      <c r="B2757" s="1" t="s">
        <v>7243</v>
      </c>
      <c r="C2757" s="1">
        <v>166500000</v>
      </c>
      <c r="D2757" s="1" t="s">
        <v>49</v>
      </c>
      <c r="E2757">
        <v>97.802499999999995</v>
      </c>
      <c r="F2757" s="1" t="s">
        <v>62</v>
      </c>
      <c r="G2757">
        <v>40</v>
      </c>
      <c r="H2757">
        <v>30</v>
      </c>
      <c r="I2757" s="1" t="s">
        <v>2225</v>
      </c>
      <c r="J2757">
        <v>5</v>
      </c>
      <c r="K2757" t="str">
        <f>IF(Tb_data[[#This Row],[previous_workers]]&lt;Tb_data[[#This Row],[workers]],"yes","no")</f>
        <v>yes</v>
      </c>
      <c r="L2757">
        <f>Tb_data[[#This Row],[workers]]-Tb_data[[#This Row],[previous_workers]]</f>
        <v>10</v>
      </c>
      <c r="M2757" s="12">
        <f>Tb_data[[#This Row],[Employees Growth]]/Tb_data[[#This Row],[previous_workers]]</f>
        <v>0.33333333333333331</v>
      </c>
    </row>
    <row r="2758" spans="1:13" x14ac:dyDescent="0.25">
      <c r="A2758" s="1" t="s">
        <v>7819</v>
      </c>
      <c r="B2758" s="1" t="s">
        <v>7820</v>
      </c>
      <c r="C2758" s="1">
        <v>6200000</v>
      </c>
      <c r="D2758" s="1" t="s">
        <v>664</v>
      </c>
      <c r="E2758">
        <v>86.035200000000003</v>
      </c>
      <c r="F2758" s="1" t="s">
        <v>12</v>
      </c>
      <c r="G2758">
        <v>26</v>
      </c>
      <c r="H2758">
        <v>17</v>
      </c>
      <c r="I2758" s="1" t="s">
        <v>948</v>
      </c>
      <c r="J2758">
        <v>4</v>
      </c>
      <c r="K2758" t="str">
        <f>IF(Tb_data[[#This Row],[previous_workers]]&lt;Tb_data[[#This Row],[workers]],"yes","no")</f>
        <v>yes</v>
      </c>
      <c r="L2758">
        <f>Tb_data[[#This Row],[workers]]-Tb_data[[#This Row],[previous_workers]]</f>
        <v>9</v>
      </c>
      <c r="M2758" s="12">
        <f>Tb_data[[#This Row],[Employees Growth]]/Tb_data[[#This Row],[previous_workers]]</f>
        <v>0.52941176470588236</v>
      </c>
    </row>
    <row r="2759" spans="1:13" x14ac:dyDescent="0.25">
      <c r="A2759" s="1" t="s">
        <v>1917</v>
      </c>
      <c r="B2759" s="1" t="s">
        <v>1918</v>
      </c>
      <c r="C2759" s="1">
        <v>2800000</v>
      </c>
      <c r="D2759" s="1" t="s">
        <v>123</v>
      </c>
      <c r="E2759">
        <v>470.06450000000001</v>
      </c>
      <c r="F2759" s="1" t="s">
        <v>12</v>
      </c>
      <c r="G2759">
        <v>14</v>
      </c>
      <c r="H2759">
        <v>7</v>
      </c>
      <c r="I2759" s="1" t="s">
        <v>164</v>
      </c>
      <c r="J2759">
        <v>1</v>
      </c>
      <c r="K2759" t="str">
        <f>IF(Tb_data[[#This Row],[previous_workers]]&lt;Tb_data[[#This Row],[workers]],"yes","no")</f>
        <v>yes</v>
      </c>
      <c r="L2759">
        <f>Tb_data[[#This Row],[workers]]-Tb_data[[#This Row],[previous_workers]]</f>
        <v>7</v>
      </c>
      <c r="M2759" s="12">
        <f>Tb_data[[#This Row],[Employees Growth]]/Tb_data[[#This Row],[previous_workers]]</f>
        <v>1</v>
      </c>
    </row>
    <row r="2760" spans="1:13" x14ac:dyDescent="0.25">
      <c r="A2760" s="1" t="s">
        <v>4830</v>
      </c>
      <c r="B2760" s="1" t="s">
        <v>4831</v>
      </c>
      <c r="C2760" s="1">
        <v>9700000</v>
      </c>
      <c r="D2760" s="1" t="s">
        <v>20</v>
      </c>
      <c r="E2760">
        <v>168.91800000000001</v>
      </c>
      <c r="F2760" s="1" t="s">
        <v>124</v>
      </c>
      <c r="G2760">
        <v>58</v>
      </c>
      <c r="H2760">
        <v>22</v>
      </c>
      <c r="I2760" s="1" t="s">
        <v>46</v>
      </c>
      <c r="J2760">
        <v>4</v>
      </c>
      <c r="K2760" t="str">
        <f>IF(Tb_data[[#This Row],[previous_workers]]&lt;Tb_data[[#This Row],[workers]],"yes","no")</f>
        <v>yes</v>
      </c>
      <c r="L2760">
        <f>Tb_data[[#This Row],[workers]]-Tb_data[[#This Row],[previous_workers]]</f>
        <v>36</v>
      </c>
      <c r="M2760" s="12">
        <f>Tb_data[[#This Row],[Employees Growth]]/Tb_data[[#This Row],[previous_workers]]</f>
        <v>1.6363636363636365</v>
      </c>
    </row>
    <row r="2761" spans="1:13" x14ac:dyDescent="0.25">
      <c r="A2761" s="1" t="s">
        <v>3386</v>
      </c>
      <c r="B2761" s="1" t="s">
        <v>3387</v>
      </c>
      <c r="C2761" s="1">
        <v>58200000</v>
      </c>
      <c r="D2761" s="1" t="s">
        <v>41</v>
      </c>
      <c r="E2761">
        <v>253.26410000000001</v>
      </c>
      <c r="F2761" s="1" t="s">
        <v>97</v>
      </c>
      <c r="G2761">
        <v>400</v>
      </c>
      <c r="H2761">
        <v>150</v>
      </c>
      <c r="I2761" s="1" t="s">
        <v>117</v>
      </c>
      <c r="J2761">
        <v>6</v>
      </c>
      <c r="K2761" t="str">
        <f>IF(Tb_data[[#This Row],[previous_workers]]&lt;Tb_data[[#This Row],[workers]],"yes","no")</f>
        <v>yes</v>
      </c>
      <c r="L2761">
        <f>Tb_data[[#This Row],[workers]]-Tb_data[[#This Row],[previous_workers]]</f>
        <v>250</v>
      </c>
      <c r="M2761" s="12">
        <f>Tb_data[[#This Row],[Employees Growth]]/Tb_data[[#This Row],[previous_workers]]</f>
        <v>1.6666666666666667</v>
      </c>
    </row>
    <row r="2762" spans="1:13" x14ac:dyDescent="0.25">
      <c r="A2762" s="1" t="s">
        <v>4872</v>
      </c>
      <c r="B2762" s="1" t="s">
        <v>4873</v>
      </c>
      <c r="C2762" s="1">
        <v>18000000</v>
      </c>
      <c r="D2762" s="1" t="s">
        <v>49</v>
      </c>
      <c r="E2762">
        <v>166.91679999999999</v>
      </c>
      <c r="F2762" s="1" t="s">
        <v>12</v>
      </c>
      <c r="G2762">
        <v>104</v>
      </c>
      <c r="H2762">
        <v>48</v>
      </c>
      <c r="I2762" s="1" t="s">
        <v>130</v>
      </c>
      <c r="J2762">
        <v>3</v>
      </c>
      <c r="K2762" t="str">
        <f>IF(Tb_data[[#This Row],[previous_workers]]&lt;Tb_data[[#This Row],[workers]],"yes","no")</f>
        <v>yes</v>
      </c>
      <c r="L2762">
        <f>Tb_data[[#This Row],[workers]]-Tb_data[[#This Row],[previous_workers]]</f>
        <v>56</v>
      </c>
      <c r="M2762" s="12">
        <f>Tb_data[[#This Row],[Employees Growth]]/Tb_data[[#This Row],[previous_workers]]</f>
        <v>1.1666666666666667</v>
      </c>
    </row>
    <row r="2763" spans="1:13" x14ac:dyDescent="0.25">
      <c r="A2763" s="1" t="s">
        <v>5556</v>
      </c>
      <c r="B2763" s="1" t="s">
        <v>5557</v>
      </c>
      <c r="C2763" s="1">
        <v>3400000</v>
      </c>
      <c r="D2763" s="1" t="s">
        <v>500</v>
      </c>
      <c r="E2763">
        <v>140.38210000000001</v>
      </c>
      <c r="F2763" s="1" t="s">
        <v>310</v>
      </c>
      <c r="G2763">
        <v>97</v>
      </c>
      <c r="H2763">
        <v>45</v>
      </c>
      <c r="I2763" s="1" t="s">
        <v>74</v>
      </c>
      <c r="J2763">
        <v>3</v>
      </c>
      <c r="K2763" t="str">
        <f>IF(Tb_data[[#This Row],[previous_workers]]&lt;Tb_data[[#This Row],[workers]],"yes","no")</f>
        <v>yes</v>
      </c>
      <c r="L2763">
        <f>Tb_data[[#This Row],[workers]]-Tb_data[[#This Row],[previous_workers]]</f>
        <v>52</v>
      </c>
      <c r="M2763" s="12">
        <f>Tb_data[[#This Row],[Employees Growth]]/Tb_data[[#This Row],[previous_workers]]</f>
        <v>1.1555555555555554</v>
      </c>
    </row>
    <row r="2764" spans="1:13" x14ac:dyDescent="0.25">
      <c r="A2764" s="1" t="s">
        <v>7142</v>
      </c>
      <c r="B2764" s="1" t="s">
        <v>7143</v>
      </c>
      <c r="C2764" s="1">
        <v>19600000</v>
      </c>
      <c r="D2764" s="1" t="s">
        <v>41</v>
      </c>
      <c r="E2764">
        <v>99.494699999999995</v>
      </c>
      <c r="F2764" s="1" t="s">
        <v>97</v>
      </c>
      <c r="G2764">
        <v>136</v>
      </c>
      <c r="H2764">
        <v>144</v>
      </c>
      <c r="I2764" s="1" t="s">
        <v>164</v>
      </c>
      <c r="J2764">
        <v>4</v>
      </c>
      <c r="K2764" t="str">
        <f>IF(Tb_data[[#This Row],[previous_workers]]&lt;Tb_data[[#This Row],[workers]],"yes","no")</f>
        <v>no</v>
      </c>
      <c r="L2764">
        <f>Tb_data[[#This Row],[workers]]-Tb_data[[#This Row],[previous_workers]]</f>
        <v>-8</v>
      </c>
      <c r="M2764" s="12">
        <f>Tb_data[[#This Row],[Employees Growth]]/Tb_data[[#This Row],[previous_workers]]</f>
        <v>-5.5555555555555552E-2</v>
      </c>
    </row>
    <row r="2765" spans="1:13" x14ac:dyDescent="0.25">
      <c r="A2765" s="1" t="s">
        <v>2199</v>
      </c>
      <c r="B2765" s="1" t="s">
        <v>2200</v>
      </c>
      <c r="C2765" s="1">
        <v>15000000</v>
      </c>
      <c r="D2765" s="1" t="s">
        <v>321</v>
      </c>
      <c r="E2765">
        <v>400.46879999999999</v>
      </c>
      <c r="F2765" s="1" t="s">
        <v>124</v>
      </c>
      <c r="G2765">
        <v>24</v>
      </c>
      <c r="H2765">
        <v>12</v>
      </c>
      <c r="I2765" s="1" t="s">
        <v>55</v>
      </c>
      <c r="J2765">
        <v>2</v>
      </c>
      <c r="K2765" t="str">
        <f>IF(Tb_data[[#This Row],[previous_workers]]&lt;Tb_data[[#This Row],[workers]],"yes","no")</f>
        <v>yes</v>
      </c>
      <c r="L2765">
        <f>Tb_data[[#This Row],[workers]]-Tb_data[[#This Row],[previous_workers]]</f>
        <v>12</v>
      </c>
      <c r="M2765" s="12">
        <f>Tb_data[[#This Row],[Employees Growth]]/Tb_data[[#This Row],[previous_workers]]</f>
        <v>1</v>
      </c>
    </row>
    <row r="2766" spans="1:13" x14ac:dyDescent="0.25">
      <c r="A2766" s="1" t="s">
        <v>4148</v>
      </c>
      <c r="B2766" s="1" t="s">
        <v>4149</v>
      </c>
      <c r="C2766" s="1">
        <v>15200000</v>
      </c>
      <c r="D2766" s="1" t="s">
        <v>49</v>
      </c>
      <c r="E2766">
        <v>198.1755</v>
      </c>
      <c r="F2766" s="1" t="s">
        <v>34</v>
      </c>
      <c r="G2766">
        <v>53</v>
      </c>
      <c r="H2766">
        <v>7</v>
      </c>
      <c r="I2766" s="1" t="s">
        <v>4080</v>
      </c>
      <c r="J2766">
        <v>2</v>
      </c>
      <c r="K2766" t="str">
        <f>IF(Tb_data[[#This Row],[previous_workers]]&lt;Tb_data[[#This Row],[workers]],"yes","no")</f>
        <v>yes</v>
      </c>
      <c r="L2766">
        <f>Tb_data[[#This Row],[workers]]-Tb_data[[#This Row],[previous_workers]]</f>
        <v>46</v>
      </c>
      <c r="M2766" s="12">
        <f>Tb_data[[#This Row],[Employees Growth]]/Tb_data[[#This Row],[previous_workers]]</f>
        <v>6.5714285714285712</v>
      </c>
    </row>
    <row r="2767" spans="1:13" x14ac:dyDescent="0.25">
      <c r="A2767" s="1" t="s">
        <v>3384</v>
      </c>
      <c r="B2767" s="1" t="s">
        <v>3385</v>
      </c>
      <c r="C2767" s="1">
        <v>89500000</v>
      </c>
      <c r="D2767" s="1" t="s">
        <v>11</v>
      </c>
      <c r="E2767">
        <v>253.26750000000001</v>
      </c>
      <c r="F2767" s="1" t="s">
        <v>124</v>
      </c>
      <c r="G2767">
        <v>72</v>
      </c>
      <c r="H2767">
        <v>22</v>
      </c>
      <c r="I2767" s="1" t="s">
        <v>229</v>
      </c>
      <c r="J2767">
        <v>1</v>
      </c>
      <c r="K2767" t="str">
        <f>IF(Tb_data[[#This Row],[previous_workers]]&lt;Tb_data[[#This Row],[workers]],"yes","no")</f>
        <v>yes</v>
      </c>
      <c r="L2767">
        <f>Tb_data[[#This Row],[workers]]-Tb_data[[#This Row],[previous_workers]]</f>
        <v>50</v>
      </c>
      <c r="M2767" s="12">
        <f>Tb_data[[#This Row],[Employees Growth]]/Tb_data[[#This Row],[previous_workers]]</f>
        <v>2.2727272727272729</v>
      </c>
    </row>
    <row r="2768" spans="1:13" x14ac:dyDescent="0.25">
      <c r="A2768" s="1" t="s">
        <v>8251</v>
      </c>
      <c r="B2768" s="1" t="s">
        <v>8252</v>
      </c>
      <c r="C2768" s="1">
        <v>85500000</v>
      </c>
      <c r="D2768" s="1" t="s">
        <v>45</v>
      </c>
      <c r="E2768">
        <v>78.399100000000004</v>
      </c>
      <c r="F2768" s="1" t="s">
        <v>152</v>
      </c>
      <c r="G2768">
        <v>168</v>
      </c>
      <c r="H2768">
        <v>65</v>
      </c>
      <c r="I2768" s="1" t="s">
        <v>194</v>
      </c>
      <c r="J2768">
        <v>4</v>
      </c>
      <c r="K2768" t="str">
        <f>IF(Tb_data[[#This Row],[previous_workers]]&lt;Tb_data[[#This Row],[workers]],"yes","no")</f>
        <v>yes</v>
      </c>
      <c r="L2768">
        <f>Tb_data[[#This Row],[workers]]-Tb_data[[#This Row],[previous_workers]]</f>
        <v>103</v>
      </c>
      <c r="M2768" s="12">
        <f>Tb_data[[#This Row],[Employees Growth]]/Tb_data[[#This Row],[previous_workers]]</f>
        <v>1.5846153846153845</v>
      </c>
    </row>
    <row r="2769" spans="1:13" x14ac:dyDescent="0.25">
      <c r="A2769" s="1" t="s">
        <v>9534</v>
      </c>
      <c r="B2769" s="1" t="s">
        <v>9535</v>
      </c>
      <c r="C2769" s="1">
        <v>8200000</v>
      </c>
      <c r="D2769" s="1" t="s">
        <v>49</v>
      </c>
      <c r="E2769">
        <v>59.861499999999999</v>
      </c>
      <c r="F2769" s="1" t="s">
        <v>176</v>
      </c>
      <c r="G2769">
        <v>55</v>
      </c>
      <c r="H2769">
        <v>35</v>
      </c>
      <c r="I2769" s="1" t="s">
        <v>117</v>
      </c>
      <c r="J2769">
        <v>4</v>
      </c>
      <c r="K2769" t="str">
        <f>IF(Tb_data[[#This Row],[previous_workers]]&lt;Tb_data[[#This Row],[workers]],"yes","no")</f>
        <v>yes</v>
      </c>
      <c r="L2769">
        <f>Tb_data[[#This Row],[workers]]-Tb_data[[#This Row],[previous_workers]]</f>
        <v>20</v>
      </c>
      <c r="M2769" s="12">
        <f>Tb_data[[#This Row],[Employees Growth]]/Tb_data[[#This Row],[previous_workers]]</f>
        <v>0.5714285714285714</v>
      </c>
    </row>
    <row r="2770" spans="1:13" x14ac:dyDescent="0.25">
      <c r="A2770" s="1" t="s">
        <v>8562</v>
      </c>
      <c r="B2770" s="1" t="s">
        <v>8563</v>
      </c>
      <c r="C2770" s="1">
        <v>11500000</v>
      </c>
      <c r="D2770" s="1" t="s">
        <v>11</v>
      </c>
      <c r="E2770">
        <v>72.938599999999994</v>
      </c>
      <c r="F2770" s="1" t="s">
        <v>62</v>
      </c>
      <c r="G2770">
        <v>25</v>
      </c>
      <c r="H2770">
        <v>10</v>
      </c>
      <c r="I2770" s="1" t="s">
        <v>194</v>
      </c>
      <c r="J2770">
        <v>1</v>
      </c>
      <c r="K2770" t="str">
        <f>IF(Tb_data[[#This Row],[previous_workers]]&lt;Tb_data[[#This Row],[workers]],"yes","no")</f>
        <v>yes</v>
      </c>
      <c r="L2770">
        <f>Tb_data[[#This Row],[workers]]-Tb_data[[#This Row],[previous_workers]]</f>
        <v>15</v>
      </c>
      <c r="M2770" s="12">
        <f>Tb_data[[#This Row],[Employees Growth]]/Tb_data[[#This Row],[previous_workers]]</f>
        <v>1.5</v>
      </c>
    </row>
    <row r="2771" spans="1:13" x14ac:dyDescent="0.25">
      <c r="A2771" s="1" t="s">
        <v>5114</v>
      </c>
      <c r="B2771" s="1" t="s">
        <v>5115</v>
      </c>
      <c r="C2771" s="1">
        <v>13700000</v>
      </c>
      <c r="D2771" s="1" t="s">
        <v>16</v>
      </c>
      <c r="E2771">
        <v>156.94839999999999</v>
      </c>
      <c r="F2771" s="1" t="s">
        <v>176</v>
      </c>
      <c r="G2771">
        <v>28</v>
      </c>
      <c r="H2771">
        <v>6</v>
      </c>
      <c r="I2771" s="1" t="s">
        <v>130</v>
      </c>
      <c r="J2771">
        <v>1</v>
      </c>
      <c r="K2771" t="str">
        <f>IF(Tb_data[[#This Row],[previous_workers]]&lt;Tb_data[[#This Row],[workers]],"yes","no")</f>
        <v>yes</v>
      </c>
      <c r="L2771">
        <f>Tb_data[[#This Row],[workers]]-Tb_data[[#This Row],[previous_workers]]</f>
        <v>22</v>
      </c>
      <c r="M2771" s="12">
        <f>Tb_data[[#This Row],[Employees Growth]]/Tb_data[[#This Row],[previous_workers]]</f>
        <v>3.6666666666666665</v>
      </c>
    </row>
    <row r="2772" spans="1:13" x14ac:dyDescent="0.25">
      <c r="A2772" s="1" t="s">
        <v>9898</v>
      </c>
      <c r="B2772" s="1" t="s">
        <v>9899</v>
      </c>
      <c r="C2772" s="1">
        <v>36600000</v>
      </c>
      <c r="D2772" s="1" t="s">
        <v>41</v>
      </c>
      <c r="E2772">
        <v>55.2804</v>
      </c>
      <c r="F2772" s="1" t="s">
        <v>97</v>
      </c>
      <c r="G2772">
        <v>235</v>
      </c>
      <c r="H2772">
        <v>208</v>
      </c>
      <c r="I2772" s="1" t="s">
        <v>2407</v>
      </c>
      <c r="J2772">
        <v>8</v>
      </c>
      <c r="K2772" t="str">
        <f>IF(Tb_data[[#This Row],[previous_workers]]&lt;Tb_data[[#This Row],[workers]],"yes","no")</f>
        <v>yes</v>
      </c>
      <c r="L2772">
        <f>Tb_data[[#This Row],[workers]]-Tb_data[[#This Row],[previous_workers]]</f>
        <v>27</v>
      </c>
      <c r="M2772" s="12">
        <f>Tb_data[[#This Row],[Employees Growth]]/Tb_data[[#This Row],[previous_workers]]</f>
        <v>0.12980769230769232</v>
      </c>
    </row>
    <row r="2773" spans="1:13" x14ac:dyDescent="0.25">
      <c r="A2773" s="1" t="s">
        <v>5192</v>
      </c>
      <c r="B2773" s="1" t="s">
        <v>5193</v>
      </c>
      <c r="C2773" s="1">
        <v>113000000</v>
      </c>
      <c r="D2773" s="1" t="s">
        <v>422</v>
      </c>
      <c r="E2773">
        <v>153.82939999999999</v>
      </c>
      <c r="F2773" s="1" t="s">
        <v>17</v>
      </c>
      <c r="G2773">
        <v>130</v>
      </c>
      <c r="H2773">
        <v>25</v>
      </c>
      <c r="I2773" s="1" t="s">
        <v>194</v>
      </c>
      <c r="J2773">
        <v>4</v>
      </c>
      <c r="K2773" t="str">
        <f>IF(Tb_data[[#This Row],[previous_workers]]&lt;Tb_data[[#This Row],[workers]],"yes","no")</f>
        <v>yes</v>
      </c>
      <c r="L2773">
        <f>Tb_data[[#This Row],[workers]]-Tb_data[[#This Row],[previous_workers]]</f>
        <v>105</v>
      </c>
      <c r="M2773" s="12">
        <f>Tb_data[[#This Row],[Employees Growth]]/Tb_data[[#This Row],[previous_workers]]</f>
        <v>4.2</v>
      </c>
    </row>
    <row r="2774" spans="1:13" x14ac:dyDescent="0.25">
      <c r="A2774" s="1" t="s">
        <v>6165</v>
      </c>
      <c r="B2774" s="1" t="s">
        <v>6166</v>
      </c>
      <c r="C2774" s="1">
        <v>85100000</v>
      </c>
      <c r="D2774" s="1" t="s">
        <v>20</v>
      </c>
      <c r="E2774">
        <v>122.0934</v>
      </c>
      <c r="F2774" s="1" t="s">
        <v>112</v>
      </c>
      <c r="G2774">
        <v>115</v>
      </c>
      <c r="H2774">
        <v>55</v>
      </c>
      <c r="I2774" s="1" t="s">
        <v>194</v>
      </c>
      <c r="J2774">
        <v>2</v>
      </c>
      <c r="K2774" t="str">
        <f>IF(Tb_data[[#This Row],[previous_workers]]&lt;Tb_data[[#This Row],[workers]],"yes","no")</f>
        <v>yes</v>
      </c>
      <c r="L2774">
        <f>Tb_data[[#This Row],[workers]]-Tb_data[[#This Row],[previous_workers]]</f>
        <v>60</v>
      </c>
      <c r="M2774" s="12">
        <f>Tb_data[[#This Row],[Employees Growth]]/Tb_data[[#This Row],[previous_workers]]</f>
        <v>1.0909090909090908</v>
      </c>
    </row>
    <row r="2775" spans="1:13" x14ac:dyDescent="0.25">
      <c r="A2775" s="1" t="s">
        <v>6583</v>
      </c>
      <c r="B2775" s="1" t="s">
        <v>6584</v>
      </c>
      <c r="C2775" s="1">
        <v>2700000</v>
      </c>
      <c r="D2775" s="1" t="s">
        <v>49</v>
      </c>
      <c r="E2775">
        <v>111.9337</v>
      </c>
      <c r="F2775" s="1" t="s">
        <v>156</v>
      </c>
      <c r="G2775">
        <v>16</v>
      </c>
      <c r="H2775">
        <v>10</v>
      </c>
      <c r="I2775" s="1" t="s">
        <v>194</v>
      </c>
      <c r="J2775">
        <v>2</v>
      </c>
      <c r="K2775" t="str">
        <f>IF(Tb_data[[#This Row],[previous_workers]]&lt;Tb_data[[#This Row],[workers]],"yes","no")</f>
        <v>yes</v>
      </c>
      <c r="L2775">
        <f>Tb_data[[#This Row],[workers]]-Tb_data[[#This Row],[previous_workers]]</f>
        <v>6</v>
      </c>
      <c r="M2775" s="12">
        <f>Tb_data[[#This Row],[Employees Growth]]/Tb_data[[#This Row],[previous_workers]]</f>
        <v>0.6</v>
      </c>
    </row>
    <row r="2776" spans="1:13" x14ac:dyDescent="0.25">
      <c r="A2776" s="1" t="s">
        <v>3053</v>
      </c>
      <c r="B2776" s="1" t="s">
        <v>3054</v>
      </c>
      <c r="C2776" s="1">
        <v>12200000</v>
      </c>
      <c r="D2776" s="1" t="s">
        <v>129</v>
      </c>
      <c r="E2776">
        <v>282.27859999999998</v>
      </c>
      <c r="F2776" s="1" t="s">
        <v>156</v>
      </c>
      <c r="G2776">
        <v>55</v>
      </c>
      <c r="H2776">
        <v>15</v>
      </c>
      <c r="I2776" s="1" t="s">
        <v>26</v>
      </c>
      <c r="J2776">
        <v>2</v>
      </c>
      <c r="K2776" t="str">
        <f>IF(Tb_data[[#This Row],[previous_workers]]&lt;Tb_data[[#This Row],[workers]],"yes","no")</f>
        <v>yes</v>
      </c>
      <c r="L2776">
        <f>Tb_data[[#This Row],[workers]]-Tb_data[[#This Row],[previous_workers]]</f>
        <v>40</v>
      </c>
      <c r="M2776" s="12">
        <f>Tb_data[[#This Row],[Employees Growth]]/Tb_data[[#This Row],[previous_workers]]</f>
        <v>2.6666666666666665</v>
      </c>
    </row>
    <row r="2777" spans="1:13" x14ac:dyDescent="0.25">
      <c r="A2777" s="1" t="s">
        <v>9055</v>
      </c>
      <c r="B2777" s="1" t="s">
        <v>9056</v>
      </c>
      <c r="C2777" s="1">
        <v>24000000</v>
      </c>
      <c r="D2777" s="1" t="s">
        <v>422</v>
      </c>
      <c r="E2777">
        <v>65.926000000000002</v>
      </c>
      <c r="F2777" s="1" t="s">
        <v>124</v>
      </c>
      <c r="G2777">
        <v>110</v>
      </c>
      <c r="H2777">
        <v>45</v>
      </c>
      <c r="I2777" s="1" t="s">
        <v>3426</v>
      </c>
      <c r="J2777">
        <v>1</v>
      </c>
      <c r="K2777" t="str">
        <f>IF(Tb_data[[#This Row],[previous_workers]]&lt;Tb_data[[#This Row],[workers]],"yes","no")</f>
        <v>yes</v>
      </c>
      <c r="L2777">
        <f>Tb_data[[#This Row],[workers]]-Tb_data[[#This Row],[previous_workers]]</f>
        <v>65</v>
      </c>
      <c r="M2777" s="12">
        <f>Tb_data[[#This Row],[Employees Growth]]/Tb_data[[#This Row],[previous_workers]]</f>
        <v>1.4444444444444444</v>
      </c>
    </row>
    <row r="2778" spans="1:13" x14ac:dyDescent="0.25">
      <c r="A2778" s="1" t="s">
        <v>993</v>
      </c>
      <c r="B2778" s="1" t="s">
        <v>994</v>
      </c>
      <c r="C2778" s="1">
        <v>74300000</v>
      </c>
      <c r="D2778" s="1" t="s">
        <v>123</v>
      </c>
      <c r="E2778">
        <v>1013.1064</v>
      </c>
      <c r="F2778" s="1" t="s">
        <v>34</v>
      </c>
      <c r="G2778">
        <v>163</v>
      </c>
      <c r="H2778">
        <v>53</v>
      </c>
      <c r="I2778" s="1" t="s">
        <v>995</v>
      </c>
      <c r="J2778">
        <v>4</v>
      </c>
      <c r="K2778" t="str">
        <f>IF(Tb_data[[#This Row],[previous_workers]]&lt;Tb_data[[#This Row],[workers]],"yes","no")</f>
        <v>yes</v>
      </c>
      <c r="L2778">
        <f>Tb_data[[#This Row],[workers]]-Tb_data[[#This Row],[previous_workers]]</f>
        <v>110</v>
      </c>
      <c r="M2778" s="12">
        <f>Tb_data[[#This Row],[Employees Growth]]/Tb_data[[#This Row],[previous_workers]]</f>
        <v>2.0754716981132075</v>
      </c>
    </row>
    <row r="2779" spans="1:13" x14ac:dyDescent="0.25">
      <c r="A2779" s="1" t="s">
        <v>488</v>
      </c>
      <c r="B2779" s="1" t="s">
        <v>489</v>
      </c>
      <c r="C2779" s="1">
        <v>40500000</v>
      </c>
      <c r="D2779" s="1" t="s">
        <v>254</v>
      </c>
      <c r="E2779">
        <v>2007.0455999999999</v>
      </c>
      <c r="F2779" s="1" t="s">
        <v>176</v>
      </c>
      <c r="G2779">
        <v>2330</v>
      </c>
      <c r="H2779">
        <v>220</v>
      </c>
      <c r="I2779" s="1" t="s">
        <v>13</v>
      </c>
      <c r="J2779">
        <v>1</v>
      </c>
      <c r="K2779" t="str">
        <f>IF(Tb_data[[#This Row],[previous_workers]]&lt;Tb_data[[#This Row],[workers]],"yes","no")</f>
        <v>yes</v>
      </c>
      <c r="L2779">
        <f>Tb_data[[#This Row],[workers]]-Tb_data[[#This Row],[previous_workers]]</f>
        <v>2110</v>
      </c>
      <c r="M2779" s="12">
        <f>Tb_data[[#This Row],[Employees Growth]]/Tb_data[[#This Row],[previous_workers]]</f>
        <v>9.5909090909090917</v>
      </c>
    </row>
    <row r="2780" spans="1:13" x14ac:dyDescent="0.25">
      <c r="A2780" s="1" t="s">
        <v>8630</v>
      </c>
      <c r="B2780" s="1" t="s">
        <v>8631</v>
      </c>
      <c r="C2780" s="1">
        <v>7800000</v>
      </c>
      <c r="D2780" s="1" t="s">
        <v>120</v>
      </c>
      <c r="E2780">
        <v>72.082800000000006</v>
      </c>
      <c r="F2780" s="1" t="s">
        <v>112</v>
      </c>
      <c r="G2780">
        <v>40</v>
      </c>
      <c r="H2780">
        <v>27</v>
      </c>
      <c r="I2780" s="1" t="s">
        <v>1051</v>
      </c>
      <c r="J2780">
        <v>8</v>
      </c>
      <c r="K2780" t="str">
        <f>IF(Tb_data[[#This Row],[previous_workers]]&lt;Tb_data[[#This Row],[workers]],"yes","no")</f>
        <v>yes</v>
      </c>
      <c r="L2780">
        <f>Tb_data[[#This Row],[workers]]-Tb_data[[#This Row],[previous_workers]]</f>
        <v>13</v>
      </c>
      <c r="M2780" s="12">
        <f>Tb_data[[#This Row],[Employees Growth]]/Tb_data[[#This Row],[previous_workers]]</f>
        <v>0.48148148148148145</v>
      </c>
    </row>
    <row r="2781" spans="1:13" x14ac:dyDescent="0.25">
      <c r="A2781" s="1" t="s">
        <v>8419</v>
      </c>
      <c r="B2781" s="1" t="s">
        <v>8420</v>
      </c>
      <c r="C2781" s="1">
        <v>4400000</v>
      </c>
      <c r="D2781" s="1" t="s">
        <v>120</v>
      </c>
      <c r="E2781">
        <v>75.675700000000006</v>
      </c>
      <c r="F2781" s="1" t="s">
        <v>124</v>
      </c>
      <c r="G2781">
        <v>20</v>
      </c>
      <c r="H2781">
        <v>8</v>
      </c>
      <c r="I2781" s="1" t="s">
        <v>46</v>
      </c>
      <c r="J2781">
        <v>4</v>
      </c>
      <c r="K2781" t="str">
        <f>IF(Tb_data[[#This Row],[previous_workers]]&lt;Tb_data[[#This Row],[workers]],"yes","no")</f>
        <v>yes</v>
      </c>
      <c r="L2781">
        <f>Tb_data[[#This Row],[workers]]-Tb_data[[#This Row],[previous_workers]]</f>
        <v>12</v>
      </c>
      <c r="M2781" s="12">
        <f>Tb_data[[#This Row],[Employees Growth]]/Tb_data[[#This Row],[previous_workers]]</f>
        <v>1.5</v>
      </c>
    </row>
    <row r="2782" spans="1:13" x14ac:dyDescent="0.25">
      <c r="A2782" s="1" t="s">
        <v>8407</v>
      </c>
      <c r="B2782" s="1" t="s">
        <v>8408</v>
      </c>
      <c r="C2782" s="1">
        <v>4100000</v>
      </c>
      <c r="D2782" s="1" t="s">
        <v>49</v>
      </c>
      <c r="E2782">
        <v>75.789100000000005</v>
      </c>
      <c r="F2782" s="1" t="s">
        <v>86</v>
      </c>
      <c r="G2782">
        <v>34</v>
      </c>
      <c r="H2782">
        <v>26</v>
      </c>
      <c r="I2782" s="1" t="s">
        <v>194</v>
      </c>
      <c r="J2782">
        <v>3</v>
      </c>
      <c r="K2782" t="str">
        <f>IF(Tb_data[[#This Row],[previous_workers]]&lt;Tb_data[[#This Row],[workers]],"yes","no")</f>
        <v>yes</v>
      </c>
      <c r="L2782">
        <f>Tb_data[[#This Row],[workers]]-Tb_data[[#This Row],[previous_workers]]</f>
        <v>8</v>
      </c>
      <c r="M2782" s="12">
        <f>Tb_data[[#This Row],[Employees Growth]]/Tb_data[[#This Row],[previous_workers]]</f>
        <v>0.30769230769230771</v>
      </c>
    </row>
    <row r="2783" spans="1:13" x14ac:dyDescent="0.25">
      <c r="A2783" s="1" t="s">
        <v>4220</v>
      </c>
      <c r="B2783" s="1" t="s">
        <v>4221</v>
      </c>
      <c r="C2783" s="1">
        <v>2900000</v>
      </c>
      <c r="D2783" s="1" t="s">
        <v>79</v>
      </c>
      <c r="E2783">
        <v>194.976</v>
      </c>
      <c r="F2783" s="1" t="s">
        <v>12</v>
      </c>
      <c r="G2783">
        <v>30</v>
      </c>
      <c r="H2783">
        <v>10</v>
      </c>
      <c r="I2783" s="1" t="s">
        <v>55</v>
      </c>
      <c r="J2783">
        <v>1</v>
      </c>
      <c r="K2783" t="str">
        <f>IF(Tb_data[[#This Row],[previous_workers]]&lt;Tb_data[[#This Row],[workers]],"yes","no")</f>
        <v>yes</v>
      </c>
      <c r="L2783">
        <f>Tb_data[[#This Row],[workers]]-Tb_data[[#This Row],[previous_workers]]</f>
        <v>20</v>
      </c>
      <c r="M2783" s="12">
        <f>Tb_data[[#This Row],[Employees Growth]]/Tb_data[[#This Row],[previous_workers]]</f>
        <v>2</v>
      </c>
    </row>
    <row r="2784" spans="1:13" x14ac:dyDescent="0.25">
      <c r="A2784" s="1" t="s">
        <v>6355</v>
      </c>
      <c r="B2784" s="1" t="s">
        <v>6356</v>
      </c>
      <c r="C2784" s="1">
        <v>3700000</v>
      </c>
      <c r="D2784" s="1" t="s">
        <v>69</v>
      </c>
      <c r="E2784">
        <v>117.4778</v>
      </c>
      <c r="F2784" s="1" t="s">
        <v>12</v>
      </c>
      <c r="G2784">
        <v>15</v>
      </c>
      <c r="H2784">
        <v>12</v>
      </c>
      <c r="I2784" s="1" t="s">
        <v>295</v>
      </c>
      <c r="J2784">
        <v>1</v>
      </c>
      <c r="K2784" t="str">
        <f>IF(Tb_data[[#This Row],[previous_workers]]&lt;Tb_data[[#This Row],[workers]],"yes","no")</f>
        <v>yes</v>
      </c>
      <c r="L2784">
        <f>Tb_data[[#This Row],[workers]]-Tb_data[[#This Row],[previous_workers]]</f>
        <v>3</v>
      </c>
      <c r="M2784" s="12">
        <f>Tb_data[[#This Row],[Employees Growth]]/Tb_data[[#This Row],[previous_workers]]</f>
        <v>0.25</v>
      </c>
    </row>
    <row r="2785" spans="1:13" x14ac:dyDescent="0.25">
      <c r="A2785" s="1" t="s">
        <v>6135</v>
      </c>
      <c r="B2785" s="1" t="s">
        <v>6136</v>
      </c>
      <c r="C2785" s="1">
        <v>16800000</v>
      </c>
      <c r="D2785" s="1" t="s">
        <v>33</v>
      </c>
      <c r="E2785">
        <v>122.9045</v>
      </c>
      <c r="F2785" s="1" t="s">
        <v>124</v>
      </c>
      <c r="G2785">
        <v>58</v>
      </c>
      <c r="H2785">
        <v>42</v>
      </c>
      <c r="I2785" s="1" t="s">
        <v>1657</v>
      </c>
      <c r="J2785">
        <v>2</v>
      </c>
      <c r="K2785" t="str">
        <f>IF(Tb_data[[#This Row],[previous_workers]]&lt;Tb_data[[#This Row],[workers]],"yes","no")</f>
        <v>yes</v>
      </c>
      <c r="L2785">
        <f>Tb_data[[#This Row],[workers]]-Tb_data[[#This Row],[previous_workers]]</f>
        <v>16</v>
      </c>
      <c r="M2785" s="12">
        <f>Tb_data[[#This Row],[Employees Growth]]/Tb_data[[#This Row],[previous_workers]]</f>
        <v>0.38095238095238093</v>
      </c>
    </row>
    <row r="2786" spans="1:13" x14ac:dyDescent="0.25">
      <c r="A2786" s="1" t="s">
        <v>5064</v>
      </c>
      <c r="B2786" s="1" t="s">
        <v>5065</v>
      </c>
      <c r="C2786" s="1">
        <v>6000000</v>
      </c>
      <c r="D2786" s="1" t="s">
        <v>49</v>
      </c>
      <c r="E2786">
        <v>158.4282</v>
      </c>
      <c r="F2786" s="1" t="s">
        <v>124</v>
      </c>
      <c r="G2786">
        <v>35</v>
      </c>
      <c r="H2786">
        <v>13</v>
      </c>
      <c r="I2786" s="1" t="s">
        <v>3943</v>
      </c>
      <c r="J2786">
        <v>2</v>
      </c>
      <c r="K2786" t="str">
        <f>IF(Tb_data[[#This Row],[previous_workers]]&lt;Tb_data[[#This Row],[workers]],"yes","no")</f>
        <v>yes</v>
      </c>
      <c r="L2786">
        <f>Tb_data[[#This Row],[workers]]-Tb_data[[#This Row],[previous_workers]]</f>
        <v>22</v>
      </c>
      <c r="M2786" s="12">
        <f>Tb_data[[#This Row],[Employees Growth]]/Tb_data[[#This Row],[previous_workers]]</f>
        <v>1.6923076923076923</v>
      </c>
    </row>
    <row r="2787" spans="1:13" x14ac:dyDescent="0.25">
      <c r="A2787" s="1" t="s">
        <v>531</v>
      </c>
      <c r="B2787" s="1" t="s">
        <v>532</v>
      </c>
      <c r="C2787" s="1">
        <v>2700000</v>
      </c>
      <c r="D2787" s="1" t="s">
        <v>61</v>
      </c>
      <c r="E2787">
        <v>1877.5153</v>
      </c>
      <c r="F2787" s="1" t="s">
        <v>12</v>
      </c>
      <c r="G2787">
        <v>11</v>
      </c>
      <c r="H2787">
        <v>5</v>
      </c>
      <c r="I2787" s="1" t="s">
        <v>13</v>
      </c>
      <c r="J2787">
        <v>1</v>
      </c>
      <c r="K2787" t="str">
        <f>IF(Tb_data[[#This Row],[previous_workers]]&lt;Tb_data[[#This Row],[workers]],"yes","no")</f>
        <v>yes</v>
      </c>
      <c r="L2787">
        <f>Tb_data[[#This Row],[workers]]-Tb_data[[#This Row],[previous_workers]]</f>
        <v>6</v>
      </c>
      <c r="M2787" s="12">
        <f>Tb_data[[#This Row],[Employees Growth]]/Tb_data[[#This Row],[previous_workers]]</f>
        <v>1.2</v>
      </c>
    </row>
    <row r="2788" spans="1:13" x14ac:dyDescent="0.25">
      <c r="A2788" s="1" t="s">
        <v>6025</v>
      </c>
      <c r="B2788" s="1" t="s">
        <v>6026</v>
      </c>
      <c r="C2788" s="1">
        <v>2900000</v>
      </c>
      <c r="D2788" s="1" t="s">
        <v>33</v>
      </c>
      <c r="E2788">
        <v>125.9919</v>
      </c>
      <c r="F2788" s="1" t="s">
        <v>12</v>
      </c>
      <c r="G2788">
        <v>9</v>
      </c>
      <c r="H2788">
        <v>4</v>
      </c>
      <c r="I2788" s="1" t="s">
        <v>26</v>
      </c>
      <c r="J2788">
        <v>2</v>
      </c>
      <c r="K2788" t="str">
        <f>IF(Tb_data[[#This Row],[previous_workers]]&lt;Tb_data[[#This Row],[workers]],"yes","no")</f>
        <v>yes</v>
      </c>
      <c r="L2788">
        <f>Tb_data[[#This Row],[workers]]-Tb_data[[#This Row],[previous_workers]]</f>
        <v>5</v>
      </c>
      <c r="M2788" s="12">
        <f>Tb_data[[#This Row],[Employees Growth]]/Tb_data[[#This Row],[previous_workers]]</f>
        <v>1.25</v>
      </c>
    </row>
    <row r="2789" spans="1:13" x14ac:dyDescent="0.25">
      <c r="A2789" s="1" t="s">
        <v>9998</v>
      </c>
      <c r="B2789" s="1" t="s">
        <v>9999</v>
      </c>
      <c r="C2789" s="1">
        <v>27400000</v>
      </c>
      <c r="D2789" s="1" t="s">
        <v>38</v>
      </c>
      <c r="E2789">
        <v>53.499000000000002</v>
      </c>
      <c r="F2789" s="1" t="s">
        <v>3264</v>
      </c>
      <c r="G2789">
        <v>781</v>
      </c>
      <c r="H2789">
        <v>155</v>
      </c>
      <c r="I2789" s="1" t="s">
        <v>2628</v>
      </c>
      <c r="J2789">
        <v>5</v>
      </c>
      <c r="K2789" t="str">
        <f>IF(Tb_data[[#This Row],[previous_workers]]&lt;Tb_data[[#This Row],[workers]],"yes","no")</f>
        <v>yes</v>
      </c>
      <c r="L2789">
        <f>Tb_data[[#This Row],[workers]]-Tb_data[[#This Row],[previous_workers]]</f>
        <v>626</v>
      </c>
      <c r="M2789" s="12">
        <f>Tb_data[[#This Row],[Employees Growth]]/Tb_data[[#This Row],[previous_workers]]</f>
        <v>4.0387096774193552</v>
      </c>
    </row>
    <row r="2790" spans="1:13" x14ac:dyDescent="0.25">
      <c r="A2790" s="1" t="s">
        <v>8835</v>
      </c>
      <c r="B2790" s="1" t="s">
        <v>8836</v>
      </c>
      <c r="C2790" s="1">
        <v>19300000</v>
      </c>
      <c r="D2790" s="1" t="s">
        <v>20</v>
      </c>
      <c r="E2790">
        <v>68.876999999999995</v>
      </c>
      <c r="F2790" s="1" t="s">
        <v>25</v>
      </c>
      <c r="G2790">
        <v>320</v>
      </c>
      <c r="H2790">
        <v>210</v>
      </c>
      <c r="I2790" s="1" t="s">
        <v>74</v>
      </c>
      <c r="J2790">
        <v>10</v>
      </c>
      <c r="K2790" t="str">
        <f>IF(Tb_data[[#This Row],[previous_workers]]&lt;Tb_data[[#This Row],[workers]],"yes","no")</f>
        <v>yes</v>
      </c>
      <c r="L2790">
        <f>Tb_data[[#This Row],[workers]]-Tb_data[[#This Row],[previous_workers]]</f>
        <v>110</v>
      </c>
      <c r="M2790" s="12">
        <f>Tb_data[[#This Row],[Employees Growth]]/Tb_data[[#This Row],[previous_workers]]</f>
        <v>0.52380952380952384</v>
      </c>
    </row>
    <row r="2791" spans="1:13" x14ac:dyDescent="0.25">
      <c r="A2791" s="1" t="s">
        <v>6996</v>
      </c>
      <c r="B2791" s="1" t="s">
        <v>6997</v>
      </c>
      <c r="C2791" s="1">
        <v>72600000</v>
      </c>
      <c r="D2791" s="1" t="s">
        <v>120</v>
      </c>
      <c r="E2791">
        <v>101.9258</v>
      </c>
      <c r="F2791" s="1" t="s">
        <v>42</v>
      </c>
      <c r="G2791">
        <v>72</v>
      </c>
      <c r="H2791">
        <v>33</v>
      </c>
      <c r="I2791" s="1" t="s">
        <v>147</v>
      </c>
      <c r="J2791">
        <v>5</v>
      </c>
      <c r="K2791" t="str">
        <f>IF(Tb_data[[#This Row],[previous_workers]]&lt;Tb_data[[#This Row],[workers]],"yes","no")</f>
        <v>yes</v>
      </c>
      <c r="L2791">
        <f>Tb_data[[#This Row],[workers]]-Tb_data[[#This Row],[previous_workers]]</f>
        <v>39</v>
      </c>
      <c r="M2791" s="12">
        <f>Tb_data[[#This Row],[Employees Growth]]/Tb_data[[#This Row],[previous_workers]]</f>
        <v>1.1818181818181819</v>
      </c>
    </row>
    <row r="2792" spans="1:13" x14ac:dyDescent="0.25">
      <c r="A2792" s="1" t="s">
        <v>4840</v>
      </c>
      <c r="B2792" s="1" t="s">
        <v>4841</v>
      </c>
      <c r="C2792" s="1">
        <v>17200000</v>
      </c>
      <c r="D2792" s="1" t="s">
        <v>61</v>
      </c>
      <c r="E2792">
        <v>168.5778</v>
      </c>
      <c r="F2792" s="1" t="s">
        <v>176</v>
      </c>
      <c r="G2792">
        <v>66</v>
      </c>
      <c r="H2792">
        <v>25</v>
      </c>
      <c r="I2792" s="1" t="s">
        <v>26</v>
      </c>
      <c r="J2792">
        <v>1</v>
      </c>
      <c r="K2792" t="str">
        <f>IF(Tb_data[[#This Row],[previous_workers]]&lt;Tb_data[[#This Row],[workers]],"yes","no")</f>
        <v>yes</v>
      </c>
      <c r="L2792">
        <f>Tb_data[[#This Row],[workers]]-Tb_data[[#This Row],[previous_workers]]</f>
        <v>41</v>
      </c>
      <c r="M2792" s="12">
        <f>Tb_data[[#This Row],[Employees Growth]]/Tb_data[[#This Row],[previous_workers]]</f>
        <v>1.64</v>
      </c>
    </row>
    <row r="2793" spans="1:13" x14ac:dyDescent="0.25">
      <c r="A2793" s="1" t="s">
        <v>4156</v>
      </c>
      <c r="B2793" s="1" t="s">
        <v>4157</v>
      </c>
      <c r="C2793" s="1">
        <v>141900000</v>
      </c>
      <c r="D2793" s="1" t="s">
        <v>254</v>
      </c>
      <c r="E2793">
        <v>197.8075</v>
      </c>
      <c r="F2793" s="1" t="s">
        <v>62</v>
      </c>
      <c r="G2793">
        <v>346</v>
      </c>
      <c r="H2793">
        <v>226</v>
      </c>
      <c r="I2793" s="1" t="s">
        <v>226</v>
      </c>
      <c r="J2793">
        <v>2</v>
      </c>
      <c r="K2793" t="str">
        <f>IF(Tb_data[[#This Row],[previous_workers]]&lt;Tb_data[[#This Row],[workers]],"yes","no")</f>
        <v>yes</v>
      </c>
      <c r="L2793">
        <f>Tb_data[[#This Row],[workers]]-Tb_data[[#This Row],[previous_workers]]</f>
        <v>120</v>
      </c>
      <c r="M2793" s="12">
        <f>Tb_data[[#This Row],[Employees Growth]]/Tb_data[[#This Row],[previous_workers]]</f>
        <v>0.53097345132743368</v>
      </c>
    </row>
    <row r="2794" spans="1:13" x14ac:dyDescent="0.25">
      <c r="A2794" s="1" t="s">
        <v>3035</v>
      </c>
      <c r="B2794" s="1" t="s">
        <v>3036</v>
      </c>
      <c r="C2794" s="1">
        <v>80000000</v>
      </c>
      <c r="D2794" s="1" t="s">
        <v>115</v>
      </c>
      <c r="E2794">
        <v>284.4409</v>
      </c>
      <c r="F2794" s="1" t="s">
        <v>17</v>
      </c>
      <c r="G2794">
        <v>140</v>
      </c>
      <c r="H2794">
        <v>49</v>
      </c>
      <c r="I2794" s="1" t="s">
        <v>35</v>
      </c>
      <c r="J2794">
        <v>2</v>
      </c>
      <c r="K2794" t="str">
        <f>IF(Tb_data[[#This Row],[previous_workers]]&lt;Tb_data[[#This Row],[workers]],"yes","no")</f>
        <v>yes</v>
      </c>
      <c r="L2794">
        <f>Tb_data[[#This Row],[workers]]-Tb_data[[#This Row],[previous_workers]]</f>
        <v>91</v>
      </c>
      <c r="M2794" s="12">
        <f>Tb_data[[#This Row],[Employees Growth]]/Tb_data[[#This Row],[previous_workers]]</f>
        <v>1.8571428571428572</v>
      </c>
    </row>
    <row r="2795" spans="1:13" x14ac:dyDescent="0.25">
      <c r="A2795" s="1" t="s">
        <v>4611</v>
      </c>
      <c r="B2795" s="1" t="s">
        <v>4612</v>
      </c>
      <c r="C2795" s="1">
        <v>8000000</v>
      </c>
      <c r="D2795" s="1" t="s">
        <v>179</v>
      </c>
      <c r="E2795">
        <v>178.0471</v>
      </c>
      <c r="F2795" s="1" t="s">
        <v>124</v>
      </c>
      <c r="G2795">
        <v>50</v>
      </c>
      <c r="H2795">
        <v>24</v>
      </c>
      <c r="I2795" s="1" t="s">
        <v>2374</v>
      </c>
      <c r="J2795">
        <v>3</v>
      </c>
      <c r="K2795" t="str">
        <f>IF(Tb_data[[#This Row],[previous_workers]]&lt;Tb_data[[#This Row],[workers]],"yes","no")</f>
        <v>yes</v>
      </c>
      <c r="L2795">
        <f>Tb_data[[#This Row],[workers]]-Tb_data[[#This Row],[previous_workers]]</f>
        <v>26</v>
      </c>
      <c r="M2795" s="12">
        <f>Tb_data[[#This Row],[Employees Growth]]/Tb_data[[#This Row],[previous_workers]]</f>
        <v>1.0833333333333333</v>
      </c>
    </row>
    <row r="2796" spans="1:13" x14ac:dyDescent="0.25">
      <c r="A2796" s="1" t="s">
        <v>8659</v>
      </c>
      <c r="B2796" s="1" t="s">
        <v>8660</v>
      </c>
      <c r="C2796" s="1">
        <v>110200000</v>
      </c>
      <c r="D2796" s="1" t="s">
        <v>175</v>
      </c>
      <c r="E2796">
        <v>71.531300000000002</v>
      </c>
      <c r="F2796" s="1" t="s">
        <v>21</v>
      </c>
      <c r="G2796">
        <v>224</v>
      </c>
      <c r="H2796">
        <v>101</v>
      </c>
      <c r="I2796" s="1" t="s">
        <v>3981</v>
      </c>
      <c r="J2796">
        <v>1</v>
      </c>
      <c r="K2796" t="str">
        <f>IF(Tb_data[[#This Row],[previous_workers]]&lt;Tb_data[[#This Row],[workers]],"yes","no")</f>
        <v>yes</v>
      </c>
      <c r="L2796">
        <f>Tb_data[[#This Row],[workers]]-Tb_data[[#This Row],[previous_workers]]</f>
        <v>123</v>
      </c>
      <c r="M2796" s="12">
        <f>Tb_data[[#This Row],[Employees Growth]]/Tb_data[[#This Row],[previous_workers]]</f>
        <v>1.2178217821782178</v>
      </c>
    </row>
    <row r="2797" spans="1:13" x14ac:dyDescent="0.25">
      <c r="A2797" s="1" t="s">
        <v>9648</v>
      </c>
      <c r="B2797" s="1" t="s">
        <v>9649</v>
      </c>
      <c r="C2797" s="1">
        <v>5300000</v>
      </c>
      <c r="D2797" s="1" t="s">
        <v>16</v>
      </c>
      <c r="E2797">
        <v>58.708599999999997</v>
      </c>
      <c r="F2797" s="1" t="s">
        <v>176</v>
      </c>
      <c r="G2797">
        <v>50</v>
      </c>
      <c r="H2797">
        <v>35</v>
      </c>
      <c r="I2797" s="1" t="s">
        <v>1051</v>
      </c>
      <c r="J2797">
        <v>2</v>
      </c>
      <c r="K2797" t="str">
        <f>IF(Tb_data[[#This Row],[previous_workers]]&lt;Tb_data[[#This Row],[workers]],"yes","no")</f>
        <v>yes</v>
      </c>
      <c r="L2797">
        <f>Tb_data[[#This Row],[workers]]-Tb_data[[#This Row],[previous_workers]]</f>
        <v>15</v>
      </c>
      <c r="M2797" s="12">
        <f>Tb_data[[#This Row],[Employees Growth]]/Tb_data[[#This Row],[previous_workers]]</f>
        <v>0.42857142857142855</v>
      </c>
    </row>
    <row r="2798" spans="1:13" x14ac:dyDescent="0.25">
      <c r="A2798" s="1" t="s">
        <v>5456</v>
      </c>
      <c r="B2798" s="1" t="s">
        <v>5457</v>
      </c>
      <c r="C2798" s="1">
        <v>7500000</v>
      </c>
      <c r="D2798" s="1" t="s">
        <v>115</v>
      </c>
      <c r="E2798">
        <v>144.3691</v>
      </c>
      <c r="F2798" s="1" t="s">
        <v>161</v>
      </c>
      <c r="G2798">
        <v>31</v>
      </c>
      <c r="H2798">
        <v>15</v>
      </c>
      <c r="I2798" s="1" t="s">
        <v>1411</v>
      </c>
      <c r="J2798">
        <v>2</v>
      </c>
      <c r="K2798" t="str">
        <f>IF(Tb_data[[#This Row],[previous_workers]]&lt;Tb_data[[#This Row],[workers]],"yes","no")</f>
        <v>yes</v>
      </c>
      <c r="L2798">
        <f>Tb_data[[#This Row],[workers]]-Tb_data[[#This Row],[previous_workers]]</f>
        <v>16</v>
      </c>
      <c r="M2798" s="12">
        <f>Tb_data[[#This Row],[Employees Growth]]/Tb_data[[#This Row],[previous_workers]]</f>
        <v>1.0666666666666667</v>
      </c>
    </row>
    <row r="2799" spans="1:13" x14ac:dyDescent="0.25">
      <c r="A2799" s="1" t="s">
        <v>8099</v>
      </c>
      <c r="B2799" s="1" t="s">
        <v>8100</v>
      </c>
      <c r="C2799" s="1">
        <v>8500000</v>
      </c>
      <c r="D2799" s="1" t="s">
        <v>129</v>
      </c>
      <c r="E2799">
        <v>81.132300000000001</v>
      </c>
      <c r="F2799" s="1" t="s">
        <v>86</v>
      </c>
      <c r="G2799">
        <v>76</v>
      </c>
      <c r="H2799">
        <v>48</v>
      </c>
      <c r="I2799" s="1" t="s">
        <v>229</v>
      </c>
      <c r="J2799">
        <v>7</v>
      </c>
      <c r="K2799" t="str">
        <f>IF(Tb_data[[#This Row],[previous_workers]]&lt;Tb_data[[#This Row],[workers]],"yes","no")</f>
        <v>yes</v>
      </c>
      <c r="L2799">
        <f>Tb_data[[#This Row],[workers]]-Tb_data[[#This Row],[previous_workers]]</f>
        <v>28</v>
      </c>
      <c r="M2799" s="12">
        <f>Tb_data[[#This Row],[Employees Growth]]/Tb_data[[#This Row],[previous_workers]]</f>
        <v>0.58333333333333337</v>
      </c>
    </row>
    <row r="2800" spans="1:13" x14ac:dyDescent="0.25">
      <c r="A2800" s="1" t="s">
        <v>3785</v>
      </c>
      <c r="B2800" s="1" t="s">
        <v>3786</v>
      </c>
      <c r="C2800" s="1">
        <v>26500000</v>
      </c>
      <c r="D2800" s="1" t="s">
        <v>49</v>
      </c>
      <c r="E2800">
        <v>222.8809</v>
      </c>
      <c r="F2800" s="1" t="s">
        <v>12</v>
      </c>
      <c r="G2800">
        <v>65</v>
      </c>
      <c r="H2800">
        <v>30</v>
      </c>
      <c r="I2800" s="1" t="s">
        <v>1051</v>
      </c>
      <c r="J2800">
        <v>2</v>
      </c>
      <c r="K2800" t="str">
        <f>IF(Tb_data[[#This Row],[previous_workers]]&lt;Tb_data[[#This Row],[workers]],"yes","no")</f>
        <v>yes</v>
      </c>
      <c r="L2800">
        <f>Tb_data[[#This Row],[workers]]-Tb_data[[#This Row],[previous_workers]]</f>
        <v>35</v>
      </c>
      <c r="M2800" s="12">
        <f>Tb_data[[#This Row],[Employees Growth]]/Tb_data[[#This Row],[previous_workers]]</f>
        <v>1.1666666666666667</v>
      </c>
    </row>
    <row r="2801" spans="1:13" x14ac:dyDescent="0.25">
      <c r="A2801" s="1" t="s">
        <v>6737</v>
      </c>
      <c r="B2801" s="1" t="s">
        <v>6738</v>
      </c>
      <c r="C2801" s="1">
        <v>8600000</v>
      </c>
      <c r="D2801" s="1" t="s">
        <v>129</v>
      </c>
      <c r="E2801">
        <v>107.992</v>
      </c>
      <c r="F2801" s="1" t="s">
        <v>34</v>
      </c>
      <c r="G2801">
        <v>100</v>
      </c>
      <c r="H2801">
        <v>42</v>
      </c>
      <c r="I2801" s="1" t="s">
        <v>55</v>
      </c>
      <c r="J2801">
        <v>2</v>
      </c>
      <c r="K2801" t="str">
        <f>IF(Tb_data[[#This Row],[previous_workers]]&lt;Tb_data[[#This Row],[workers]],"yes","no")</f>
        <v>yes</v>
      </c>
      <c r="L2801">
        <f>Tb_data[[#This Row],[workers]]-Tb_data[[#This Row],[previous_workers]]</f>
        <v>58</v>
      </c>
      <c r="M2801" s="12">
        <f>Tb_data[[#This Row],[Employees Growth]]/Tb_data[[#This Row],[previous_workers]]</f>
        <v>1.3809523809523809</v>
      </c>
    </row>
    <row r="2802" spans="1:13" x14ac:dyDescent="0.25">
      <c r="A2802" s="1" t="s">
        <v>8207</v>
      </c>
      <c r="B2802" s="1" t="s">
        <v>8208</v>
      </c>
      <c r="C2802" s="1">
        <v>10400000</v>
      </c>
      <c r="D2802" s="1" t="s">
        <v>49</v>
      </c>
      <c r="E2802">
        <v>79.4465</v>
      </c>
      <c r="F2802" s="1" t="s">
        <v>86</v>
      </c>
      <c r="G2802">
        <v>79</v>
      </c>
      <c r="H2802">
        <v>67</v>
      </c>
      <c r="I2802" s="1" t="s">
        <v>295</v>
      </c>
      <c r="J2802">
        <v>1</v>
      </c>
      <c r="K2802" t="str">
        <f>IF(Tb_data[[#This Row],[previous_workers]]&lt;Tb_data[[#This Row],[workers]],"yes","no")</f>
        <v>yes</v>
      </c>
      <c r="L2802">
        <f>Tb_data[[#This Row],[workers]]-Tb_data[[#This Row],[previous_workers]]</f>
        <v>12</v>
      </c>
      <c r="M2802" s="12">
        <f>Tb_data[[#This Row],[Employees Growth]]/Tb_data[[#This Row],[previous_workers]]</f>
        <v>0.17910447761194029</v>
      </c>
    </row>
    <row r="2803" spans="1:13" x14ac:dyDescent="0.25">
      <c r="A2803" s="1" t="s">
        <v>1545</v>
      </c>
      <c r="B2803" s="1" t="s">
        <v>1546</v>
      </c>
      <c r="C2803" s="1">
        <v>18300000</v>
      </c>
      <c r="D2803" s="1" t="s">
        <v>11</v>
      </c>
      <c r="E2803">
        <v>607.31949999999995</v>
      </c>
      <c r="F2803" s="1" t="s">
        <v>25</v>
      </c>
      <c r="G2803">
        <v>40</v>
      </c>
      <c r="H2803">
        <v>15</v>
      </c>
      <c r="I2803" s="1" t="s">
        <v>35</v>
      </c>
      <c r="J2803">
        <v>4</v>
      </c>
      <c r="K2803" t="str">
        <f>IF(Tb_data[[#This Row],[previous_workers]]&lt;Tb_data[[#This Row],[workers]],"yes","no")</f>
        <v>yes</v>
      </c>
      <c r="L2803">
        <f>Tb_data[[#This Row],[workers]]-Tb_data[[#This Row],[previous_workers]]</f>
        <v>25</v>
      </c>
      <c r="M2803" s="12">
        <f>Tb_data[[#This Row],[Employees Growth]]/Tb_data[[#This Row],[previous_workers]]</f>
        <v>1.6666666666666667</v>
      </c>
    </row>
    <row r="2804" spans="1:13" x14ac:dyDescent="0.25">
      <c r="A2804" s="1" t="s">
        <v>5502</v>
      </c>
      <c r="B2804" s="1" t="s">
        <v>5503</v>
      </c>
      <c r="C2804" s="1">
        <v>9200000</v>
      </c>
      <c r="D2804" s="1" t="s">
        <v>49</v>
      </c>
      <c r="E2804">
        <v>142.4443</v>
      </c>
      <c r="F2804" s="1" t="s">
        <v>62</v>
      </c>
      <c r="G2804">
        <v>23</v>
      </c>
      <c r="H2804">
        <v>9</v>
      </c>
      <c r="I2804" s="1" t="s">
        <v>194</v>
      </c>
      <c r="J2804">
        <v>1</v>
      </c>
      <c r="K2804" t="str">
        <f>IF(Tb_data[[#This Row],[previous_workers]]&lt;Tb_data[[#This Row],[workers]],"yes","no")</f>
        <v>yes</v>
      </c>
      <c r="L2804">
        <f>Tb_data[[#This Row],[workers]]-Tb_data[[#This Row],[previous_workers]]</f>
        <v>14</v>
      </c>
      <c r="M2804" s="12">
        <f>Tb_data[[#This Row],[Employees Growth]]/Tb_data[[#This Row],[previous_workers]]</f>
        <v>1.5555555555555556</v>
      </c>
    </row>
    <row r="2805" spans="1:13" x14ac:dyDescent="0.25">
      <c r="A2805" s="1" t="s">
        <v>4718</v>
      </c>
      <c r="B2805" s="1" t="s">
        <v>4719</v>
      </c>
      <c r="C2805" s="1">
        <v>5900000</v>
      </c>
      <c r="D2805" s="1" t="s">
        <v>69</v>
      </c>
      <c r="E2805">
        <v>173.92769999999999</v>
      </c>
      <c r="F2805" s="1" t="s">
        <v>156</v>
      </c>
      <c r="G2805">
        <v>47</v>
      </c>
      <c r="H2805">
        <v>19</v>
      </c>
      <c r="I2805" s="1" t="s">
        <v>468</v>
      </c>
      <c r="J2805">
        <v>3</v>
      </c>
      <c r="K2805" t="str">
        <f>IF(Tb_data[[#This Row],[previous_workers]]&lt;Tb_data[[#This Row],[workers]],"yes","no")</f>
        <v>yes</v>
      </c>
      <c r="L2805">
        <f>Tb_data[[#This Row],[workers]]-Tb_data[[#This Row],[previous_workers]]</f>
        <v>28</v>
      </c>
      <c r="M2805" s="12">
        <f>Tb_data[[#This Row],[Employees Growth]]/Tb_data[[#This Row],[previous_workers]]</f>
        <v>1.4736842105263157</v>
      </c>
    </row>
    <row r="2806" spans="1:13" x14ac:dyDescent="0.25">
      <c r="A2806" s="1" t="s">
        <v>2136</v>
      </c>
      <c r="B2806" s="1" t="s">
        <v>2137</v>
      </c>
      <c r="C2806" s="1">
        <v>28900000</v>
      </c>
      <c r="D2806" s="1" t="s">
        <v>20</v>
      </c>
      <c r="E2806">
        <v>416.6343</v>
      </c>
      <c r="F2806" s="1" t="s">
        <v>156</v>
      </c>
      <c r="G2806">
        <v>27</v>
      </c>
      <c r="H2806">
        <v>10</v>
      </c>
      <c r="I2806" s="1" t="s">
        <v>117</v>
      </c>
      <c r="J2806">
        <v>4</v>
      </c>
      <c r="K2806" t="str">
        <f>IF(Tb_data[[#This Row],[previous_workers]]&lt;Tb_data[[#This Row],[workers]],"yes","no")</f>
        <v>yes</v>
      </c>
      <c r="L2806">
        <f>Tb_data[[#This Row],[workers]]-Tb_data[[#This Row],[previous_workers]]</f>
        <v>17</v>
      </c>
      <c r="M2806" s="12">
        <f>Tb_data[[#This Row],[Employees Growth]]/Tb_data[[#This Row],[previous_workers]]</f>
        <v>1.7</v>
      </c>
    </row>
    <row r="2807" spans="1:13" x14ac:dyDescent="0.25">
      <c r="A2807" s="1" t="s">
        <v>5836</v>
      </c>
      <c r="B2807" s="1" t="s">
        <v>5837</v>
      </c>
      <c r="C2807" s="1">
        <v>3400000</v>
      </c>
      <c r="D2807" s="1" t="s">
        <v>175</v>
      </c>
      <c r="E2807">
        <v>130.34219999999999</v>
      </c>
      <c r="F2807" s="1" t="s">
        <v>97</v>
      </c>
      <c r="G2807">
        <v>23</v>
      </c>
      <c r="H2807">
        <v>16</v>
      </c>
      <c r="I2807" s="1" t="s">
        <v>130</v>
      </c>
      <c r="J2807">
        <v>3</v>
      </c>
      <c r="K2807" t="str">
        <f>IF(Tb_data[[#This Row],[previous_workers]]&lt;Tb_data[[#This Row],[workers]],"yes","no")</f>
        <v>yes</v>
      </c>
      <c r="L2807">
        <f>Tb_data[[#This Row],[workers]]-Tb_data[[#This Row],[previous_workers]]</f>
        <v>7</v>
      </c>
      <c r="M2807" s="12">
        <f>Tb_data[[#This Row],[Employees Growth]]/Tb_data[[#This Row],[previous_workers]]</f>
        <v>0.4375</v>
      </c>
    </row>
    <row r="2808" spans="1:13" x14ac:dyDescent="0.25">
      <c r="A2808" s="1" t="s">
        <v>3521</v>
      </c>
      <c r="B2808" s="1" t="s">
        <v>3522</v>
      </c>
      <c r="C2808" s="1">
        <v>2600000</v>
      </c>
      <c r="D2808" s="1" t="s">
        <v>52</v>
      </c>
      <c r="E2808">
        <v>240.53020000000001</v>
      </c>
      <c r="F2808" s="1" t="s">
        <v>176</v>
      </c>
      <c r="G2808">
        <v>4</v>
      </c>
      <c r="H2808">
        <v>1</v>
      </c>
      <c r="I2808" s="1" t="s">
        <v>130</v>
      </c>
      <c r="J2808">
        <v>1</v>
      </c>
      <c r="K2808" t="str">
        <f>IF(Tb_data[[#This Row],[previous_workers]]&lt;Tb_data[[#This Row],[workers]],"yes","no")</f>
        <v>yes</v>
      </c>
      <c r="L2808">
        <f>Tb_data[[#This Row],[workers]]-Tb_data[[#This Row],[previous_workers]]</f>
        <v>3</v>
      </c>
      <c r="M2808" s="12">
        <f>Tb_data[[#This Row],[Employees Growth]]/Tb_data[[#This Row],[previous_workers]]</f>
        <v>3</v>
      </c>
    </row>
    <row r="2809" spans="1:13" x14ac:dyDescent="0.25">
      <c r="A2809" s="1" t="s">
        <v>607</v>
      </c>
      <c r="B2809" s="1" t="s">
        <v>608</v>
      </c>
      <c r="C2809" s="1">
        <v>3700000</v>
      </c>
      <c r="D2809" s="1" t="s">
        <v>45</v>
      </c>
      <c r="E2809">
        <v>1661.7406000000001</v>
      </c>
      <c r="F2809" s="1" t="s">
        <v>25</v>
      </c>
      <c r="G2809">
        <v>5</v>
      </c>
      <c r="H2809">
        <v>3</v>
      </c>
      <c r="I2809" s="1" t="s">
        <v>26</v>
      </c>
      <c r="J2809">
        <v>1</v>
      </c>
      <c r="K2809" t="str">
        <f>IF(Tb_data[[#This Row],[previous_workers]]&lt;Tb_data[[#This Row],[workers]],"yes","no")</f>
        <v>yes</v>
      </c>
      <c r="L2809">
        <f>Tb_data[[#This Row],[workers]]-Tb_data[[#This Row],[previous_workers]]</f>
        <v>2</v>
      </c>
      <c r="M2809" s="12">
        <f>Tb_data[[#This Row],[Employees Growth]]/Tb_data[[#This Row],[previous_workers]]</f>
        <v>0.66666666666666663</v>
      </c>
    </row>
    <row r="2810" spans="1:13" x14ac:dyDescent="0.25">
      <c r="A2810" s="1" t="s">
        <v>4431</v>
      </c>
      <c r="B2810" s="1" t="s">
        <v>4432</v>
      </c>
      <c r="C2810" s="1">
        <v>11400000</v>
      </c>
      <c r="D2810" s="1" t="s">
        <v>52</v>
      </c>
      <c r="E2810">
        <v>185.57900000000001</v>
      </c>
      <c r="F2810" s="1" t="s">
        <v>86</v>
      </c>
      <c r="G2810">
        <v>90</v>
      </c>
      <c r="H2810">
        <v>26</v>
      </c>
      <c r="I2810" s="1" t="s">
        <v>117</v>
      </c>
      <c r="J2810">
        <v>5</v>
      </c>
      <c r="K2810" t="str">
        <f>IF(Tb_data[[#This Row],[previous_workers]]&lt;Tb_data[[#This Row],[workers]],"yes","no")</f>
        <v>yes</v>
      </c>
      <c r="L2810">
        <f>Tb_data[[#This Row],[workers]]-Tb_data[[#This Row],[previous_workers]]</f>
        <v>64</v>
      </c>
      <c r="M2810" s="12">
        <f>Tb_data[[#This Row],[Employees Growth]]/Tb_data[[#This Row],[previous_workers]]</f>
        <v>2.4615384615384617</v>
      </c>
    </row>
    <row r="2811" spans="1:13" x14ac:dyDescent="0.25">
      <c r="A2811" s="1" t="s">
        <v>2008</v>
      </c>
      <c r="B2811" s="1" t="s">
        <v>2009</v>
      </c>
      <c r="C2811" s="1">
        <v>2900000</v>
      </c>
      <c r="D2811" s="1" t="s">
        <v>41</v>
      </c>
      <c r="E2811">
        <v>448.11799999999999</v>
      </c>
      <c r="F2811" s="1" t="s">
        <v>25</v>
      </c>
      <c r="G2811">
        <v>1</v>
      </c>
      <c r="H2811">
        <v>1</v>
      </c>
      <c r="I2811" s="1" t="s">
        <v>26</v>
      </c>
      <c r="J2811">
        <v>2</v>
      </c>
      <c r="K2811" t="str">
        <f>IF(Tb_data[[#This Row],[previous_workers]]&lt;Tb_data[[#This Row],[workers]],"yes","no")</f>
        <v>no</v>
      </c>
      <c r="L2811">
        <f>Tb_data[[#This Row],[workers]]-Tb_data[[#This Row],[previous_workers]]</f>
        <v>0</v>
      </c>
      <c r="M2811" s="12">
        <f>Tb_data[[#This Row],[Employees Growth]]/Tb_data[[#This Row],[previous_workers]]</f>
        <v>0</v>
      </c>
    </row>
    <row r="2812" spans="1:13" x14ac:dyDescent="0.25">
      <c r="A2812" s="1" t="s">
        <v>6307</v>
      </c>
      <c r="B2812" s="1" t="s">
        <v>6308</v>
      </c>
      <c r="C2812" s="1">
        <v>68200000</v>
      </c>
      <c r="D2812" s="1" t="s">
        <v>254</v>
      </c>
      <c r="E2812">
        <v>118.6987</v>
      </c>
      <c r="F2812" s="1" t="s">
        <v>124</v>
      </c>
      <c r="G2812">
        <v>267</v>
      </c>
      <c r="H2812">
        <v>160</v>
      </c>
      <c r="I2812" s="1" t="s">
        <v>468</v>
      </c>
      <c r="J2812">
        <v>5</v>
      </c>
      <c r="K2812" t="str">
        <f>IF(Tb_data[[#This Row],[previous_workers]]&lt;Tb_data[[#This Row],[workers]],"yes","no")</f>
        <v>yes</v>
      </c>
      <c r="L2812">
        <f>Tb_data[[#This Row],[workers]]-Tb_data[[#This Row],[previous_workers]]</f>
        <v>107</v>
      </c>
      <c r="M2812" s="12">
        <f>Tb_data[[#This Row],[Employees Growth]]/Tb_data[[#This Row],[previous_workers]]</f>
        <v>0.66874999999999996</v>
      </c>
    </row>
    <row r="2813" spans="1:13" x14ac:dyDescent="0.25">
      <c r="A2813" s="1" t="s">
        <v>5704</v>
      </c>
      <c r="B2813" s="1" t="s">
        <v>5705</v>
      </c>
      <c r="C2813" s="1">
        <v>6500000</v>
      </c>
      <c r="D2813" s="1" t="s">
        <v>20</v>
      </c>
      <c r="E2813">
        <v>134.22640000000001</v>
      </c>
      <c r="F2813" s="1" t="s">
        <v>97</v>
      </c>
      <c r="G2813">
        <v>86</v>
      </c>
      <c r="H2813">
        <v>40</v>
      </c>
      <c r="I2813" s="1" t="s">
        <v>46</v>
      </c>
      <c r="J2813">
        <v>3</v>
      </c>
      <c r="K2813" t="str">
        <f>IF(Tb_data[[#This Row],[previous_workers]]&lt;Tb_data[[#This Row],[workers]],"yes","no")</f>
        <v>yes</v>
      </c>
      <c r="L2813">
        <f>Tb_data[[#This Row],[workers]]-Tb_data[[#This Row],[previous_workers]]</f>
        <v>46</v>
      </c>
      <c r="M2813" s="12">
        <f>Tb_data[[#This Row],[Employees Growth]]/Tb_data[[#This Row],[previous_workers]]</f>
        <v>1.1499999999999999</v>
      </c>
    </row>
    <row r="2814" spans="1:13" x14ac:dyDescent="0.25">
      <c r="A2814" s="1" t="s">
        <v>9996</v>
      </c>
      <c r="B2814" s="1" t="s">
        <v>9997</v>
      </c>
      <c r="C2814" s="1">
        <v>38100000</v>
      </c>
      <c r="D2814" s="1" t="s">
        <v>123</v>
      </c>
      <c r="E2814">
        <v>53.514299999999999</v>
      </c>
      <c r="F2814" s="1" t="s">
        <v>112</v>
      </c>
      <c r="G2814">
        <v>166</v>
      </c>
      <c r="H2814">
        <v>86</v>
      </c>
      <c r="I2814" s="1" t="s">
        <v>4084</v>
      </c>
      <c r="J2814">
        <v>3</v>
      </c>
      <c r="K2814" t="str">
        <f>IF(Tb_data[[#This Row],[previous_workers]]&lt;Tb_data[[#This Row],[workers]],"yes","no")</f>
        <v>yes</v>
      </c>
      <c r="L2814">
        <f>Tb_data[[#This Row],[workers]]-Tb_data[[#This Row],[previous_workers]]</f>
        <v>80</v>
      </c>
      <c r="M2814" s="12">
        <f>Tb_data[[#This Row],[Employees Growth]]/Tb_data[[#This Row],[previous_workers]]</f>
        <v>0.93023255813953487</v>
      </c>
    </row>
    <row r="2815" spans="1:13" x14ac:dyDescent="0.25">
      <c r="A2815" s="1" t="s">
        <v>786</v>
      </c>
      <c r="B2815" s="1" t="s">
        <v>787</v>
      </c>
      <c r="C2815" s="1">
        <v>29100000</v>
      </c>
      <c r="D2815" s="1" t="s">
        <v>254</v>
      </c>
      <c r="E2815">
        <v>1323.2632000000001</v>
      </c>
      <c r="F2815" s="1" t="s">
        <v>17</v>
      </c>
      <c r="G2815">
        <v>15</v>
      </c>
      <c r="H2815">
        <v>3</v>
      </c>
      <c r="I2815" s="1" t="s">
        <v>164</v>
      </c>
      <c r="J2815">
        <v>1</v>
      </c>
      <c r="K2815" t="str">
        <f>IF(Tb_data[[#This Row],[previous_workers]]&lt;Tb_data[[#This Row],[workers]],"yes","no")</f>
        <v>yes</v>
      </c>
      <c r="L2815">
        <f>Tb_data[[#This Row],[workers]]-Tb_data[[#This Row],[previous_workers]]</f>
        <v>12</v>
      </c>
      <c r="M2815" s="12">
        <f>Tb_data[[#This Row],[Employees Growth]]/Tb_data[[#This Row],[previous_workers]]</f>
        <v>4</v>
      </c>
    </row>
    <row r="2816" spans="1:13" x14ac:dyDescent="0.25">
      <c r="A2816" s="1" t="s">
        <v>1324</v>
      </c>
      <c r="B2816" s="1" t="s">
        <v>1325</v>
      </c>
      <c r="C2816" s="1">
        <v>5800000</v>
      </c>
      <c r="D2816" s="1" t="s">
        <v>91</v>
      </c>
      <c r="E2816">
        <v>729.11779999999999</v>
      </c>
      <c r="F2816" s="1" t="s">
        <v>86</v>
      </c>
      <c r="G2816">
        <v>100</v>
      </c>
      <c r="H2816">
        <v>15</v>
      </c>
      <c r="I2816" s="1" t="s">
        <v>26</v>
      </c>
      <c r="J2816">
        <v>1</v>
      </c>
      <c r="K2816" t="str">
        <f>IF(Tb_data[[#This Row],[previous_workers]]&lt;Tb_data[[#This Row],[workers]],"yes","no")</f>
        <v>yes</v>
      </c>
      <c r="L2816">
        <f>Tb_data[[#This Row],[workers]]-Tb_data[[#This Row],[previous_workers]]</f>
        <v>85</v>
      </c>
      <c r="M2816" s="12">
        <f>Tb_data[[#This Row],[Employees Growth]]/Tb_data[[#This Row],[previous_workers]]</f>
        <v>5.666666666666667</v>
      </c>
    </row>
    <row r="2817" spans="1:13" x14ac:dyDescent="0.25">
      <c r="A2817" s="1" t="s">
        <v>9636</v>
      </c>
      <c r="B2817" s="1" t="s">
        <v>9637</v>
      </c>
      <c r="C2817" s="1">
        <v>24300000</v>
      </c>
      <c r="D2817" s="1" t="s">
        <v>49</v>
      </c>
      <c r="E2817">
        <v>58.860999999999997</v>
      </c>
      <c r="F2817" s="1" t="s">
        <v>82</v>
      </c>
      <c r="G2817">
        <v>10</v>
      </c>
      <c r="H2817">
        <v>6</v>
      </c>
      <c r="I2817" s="1" t="s">
        <v>295</v>
      </c>
      <c r="J2817">
        <v>4</v>
      </c>
      <c r="K2817" t="str">
        <f>IF(Tb_data[[#This Row],[previous_workers]]&lt;Tb_data[[#This Row],[workers]],"yes","no")</f>
        <v>yes</v>
      </c>
      <c r="L2817">
        <f>Tb_data[[#This Row],[workers]]-Tb_data[[#This Row],[previous_workers]]</f>
        <v>4</v>
      </c>
      <c r="M2817" s="12">
        <f>Tb_data[[#This Row],[Employees Growth]]/Tb_data[[#This Row],[previous_workers]]</f>
        <v>0.66666666666666663</v>
      </c>
    </row>
    <row r="2818" spans="1:13" x14ac:dyDescent="0.25">
      <c r="A2818" s="1" t="s">
        <v>5564</v>
      </c>
      <c r="B2818" s="1" t="s">
        <v>5565</v>
      </c>
      <c r="C2818" s="1">
        <v>12200000</v>
      </c>
      <c r="D2818" s="1" t="s">
        <v>29</v>
      </c>
      <c r="E2818">
        <v>139.85220000000001</v>
      </c>
      <c r="F2818" s="1" t="s">
        <v>25</v>
      </c>
      <c r="G2818">
        <v>27</v>
      </c>
      <c r="H2818">
        <v>20</v>
      </c>
      <c r="I2818" s="1" t="s">
        <v>194</v>
      </c>
      <c r="J2818">
        <v>5</v>
      </c>
      <c r="K2818" t="str">
        <f>IF(Tb_data[[#This Row],[previous_workers]]&lt;Tb_data[[#This Row],[workers]],"yes","no")</f>
        <v>yes</v>
      </c>
      <c r="L2818">
        <f>Tb_data[[#This Row],[workers]]-Tb_data[[#This Row],[previous_workers]]</f>
        <v>7</v>
      </c>
      <c r="M2818" s="12">
        <f>Tb_data[[#This Row],[Employees Growth]]/Tb_data[[#This Row],[previous_workers]]</f>
        <v>0.35</v>
      </c>
    </row>
    <row r="2819" spans="1:13" x14ac:dyDescent="0.25">
      <c r="A2819" s="1" t="s">
        <v>2769</v>
      </c>
      <c r="B2819" s="1" t="s">
        <v>2770</v>
      </c>
      <c r="C2819" s="1">
        <v>58300000</v>
      </c>
      <c r="D2819" s="1" t="s">
        <v>41</v>
      </c>
      <c r="E2819">
        <v>310.86669999999998</v>
      </c>
      <c r="F2819" s="1" t="s">
        <v>12</v>
      </c>
      <c r="G2819">
        <v>57</v>
      </c>
      <c r="H2819">
        <v>24</v>
      </c>
      <c r="I2819" s="1" t="s">
        <v>295</v>
      </c>
      <c r="J2819">
        <v>2</v>
      </c>
      <c r="K2819" t="str">
        <f>IF(Tb_data[[#This Row],[previous_workers]]&lt;Tb_data[[#This Row],[workers]],"yes","no")</f>
        <v>yes</v>
      </c>
      <c r="L2819">
        <f>Tb_data[[#This Row],[workers]]-Tb_data[[#This Row],[previous_workers]]</f>
        <v>33</v>
      </c>
      <c r="M2819" s="12">
        <f>Tb_data[[#This Row],[Employees Growth]]/Tb_data[[#This Row],[previous_workers]]</f>
        <v>1.375</v>
      </c>
    </row>
    <row r="2820" spans="1:13" x14ac:dyDescent="0.25">
      <c r="A2820" s="1" t="s">
        <v>6972</v>
      </c>
      <c r="B2820" s="1" t="s">
        <v>6973</v>
      </c>
      <c r="C2820" s="1">
        <v>10600000</v>
      </c>
      <c r="D2820" s="1" t="s">
        <v>52</v>
      </c>
      <c r="E2820">
        <v>102.4842</v>
      </c>
      <c r="F2820" s="1" t="s">
        <v>86</v>
      </c>
      <c r="G2820">
        <v>83</v>
      </c>
      <c r="H2820">
        <v>49</v>
      </c>
      <c r="I2820" s="1" t="s">
        <v>46</v>
      </c>
      <c r="J2820">
        <v>5</v>
      </c>
      <c r="K2820" t="str">
        <f>IF(Tb_data[[#This Row],[previous_workers]]&lt;Tb_data[[#This Row],[workers]],"yes","no")</f>
        <v>yes</v>
      </c>
      <c r="L2820">
        <f>Tb_data[[#This Row],[workers]]-Tb_data[[#This Row],[previous_workers]]</f>
        <v>34</v>
      </c>
      <c r="M2820" s="12">
        <f>Tb_data[[#This Row],[Employees Growth]]/Tb_data[[#This Row],[previous_workers]]</f>
        <v>0.69387755102040816</v>
      </c>
    </row>
    <row r="2821" spans="1:13" x14ac:dyDescent="0.25">
      <c r="A2821" s="1" t="s">
        <v>889</v>
      </c>
      <c r="B2821" s="1" t="s">
        <v>890</v>
      </c>
      <c r="C2821" s="1">
        <v>2800000</v>
      </c>
      <c r="D2821" s="1" t="s">
        <v>500</v>
      </c>
      <c r="E2821">
        <v>1144.3394000000001</v>
      </c>
      <c r="F2821" s="1" t="s">
        <v>86</v>
      </c>
      <c r="G2821">
        <v>7</v>
      </c>
      <c r="H2821">
        <v>2</v>
      </c>
      <c r="I2821" s="1" t="s">
        <v>130</v>
      </c>
      <c r="J2821">
        <v>1</v>
      </c>
      <c r="K2821" t="str">
        <f>IF(Tb_data[[#This Row],[previous_workers]]&lt;Tb_data[[#This Row],[workers]],"yes","no")</f>
        <v>yes</v>
      </c>
      <c r="L2821">
        <f>Tb_data[[#This Row],[workers]]-Tb_data[[#This Row],[previous_workers]]</f>
        <v>5</v>
      </c>
      <c r="M2821" s="12">
        <f>Tb_data[[#This Row],[Employees Growth]]/Tb_data[[#This Row],[previous_workers]]</f>
        <v>2.5</v>
      </c>
    </row>
    <row r="2822" spans="1:13" x14ac:dyDescent="0.25">
      <c r="A2822" s="1" t="s">
        <v>9618</v>
      </c>
      <c r="B2822" s="1" t="s">
        <v>9619</v>
      </c>
      <c r="C2822" s="1">
        <v>15900000</v>
      </c>
      <c r="D2822" s="1" t="s">
        <v>1002</v>
      </c>
      <c r="E2822">
        <v>58.999200000000002</v>
      </c>
      <c r="F2822" s="1" t="s">
        <v>82</v>
      </c>
      <c r="G2822">
        <v>40</v>
      </c>
      <c r="H2822">
        <v>23</v>
      </c>
      <c r="I2822" s="1" t="s">
        <v>948</v>
      </c>
      <c r="J2822">
        <v>6</v>
      </c>
      <c r="K2822" t="str">
        <f>IF(Tb_data[[#This Row],[previous_workers]]&lt;Tb_data[[#This Row],[workers]],"yes","no")</f>
        <v>yes</v>
      </c>
      <c r="L2822">
        <f>Tb_data[[#This Row],[workers]]-Tb_data[[#This Row],[previous_workers]]</f>
        <v>17</v>
      </c>
      <c r="M2822" s="12">
        <f>Tb_data[[#This Row],[Employees Growth]]/Tb_data[[#This Row],[previous_workers]]</f>
        <v>0.73913043478260865</v>
      </c>
    </row>
    <row r="2823" spans="1:13" x14ac:dyDescent="0.25">
      <c r="A2823" s="1" t="s">
        <v>5776</v>
      </c>
      <c r="B2823" s="1" t="s">
        <v>5777</v>
      </c>
      <c r="C2823" s="1">
        <v>8800000</v>
      </c>
      <c r="D2823" s="1" t="s">
        <v>69</v>
      </c>
      <c r="E2823">
        <v>131.81620000000001</v>
      </c>
      <c r="F2823" s="1" t="s">
        <v>86</v>
      </c>
      <c r="G2823">
        <v>81</v>
      </c>
      <c r="H2823">
        <v>26</v>
      </c>
      <c r="I2823" s="1" t="s">
        <v>55</v>
      </c>
      <c r="J2823">
        <v>1</v>
      </c>
      <c r="K2823" t="str">
        <f>IF(Tb_data[[#This Row],[previous_workers]]&lt;Tb_data[[#This Row],[workers]],"yes","no")</f>
        <v>yes</v>
      </c>
      <c r="L2823">
        <f>Tb_data[[#This Row],[workers]]-Tb_data[[#This Row],[previous_workers]]</f>
        <v>55</v>
      </c>
      <c r="M2823" s="12">
        <f>Tb_data[[#This Row],[Employees Growth]]/Tb_data[[#This Row],[previous_workers]]</f>
        <v>2.1153846153846154</v>
      </c>
    </row>
    <row r="2824" spans="1:13" x14ac:dyDescent="0.25">
      <c r="A2824" s="1" t="s">
        <v>7557</v>
      </c>
      <c r="B2824" s="1" t="s">
        <v>7558</v>
      </c>
      <c r="C2824" s="1">
        <v>15400000</v>
      </c>
      <c r="D2824" s="1" t="s">
        <v>41</v>
      </c>
      <c r="E2824">
        <v>91.520200000000003</v>
      </c>
      <c r="F2824" s="1" t="s">
        <v>135</v>
      </c>
      <c r="G2824">
        <v>65</v>
      </c>
      <c r="H2824">
        <v>41</v>
      </c>
      <c r="I2824" s="1" t="s">
        <v>35</v>
      </c>
      <c r="J2824">
        <v>7</v>
      </c>
      <c r="K2824" t="str">
        <f>IF(Tb_data[[#This Row],[previous_workers]]&lt;Tb_data[[#This Row],[workers]],"yes","no")</f>
        <v>yes</v>
      </c>
      <c r="L2824">
        <f>Tb_data[[#This Row],[workers]]-Tb_data[[#This Row],[previous_workers]]</f>
        <v>24</v>
      </c>
      <c r="M2824" s="12">
        <f>Tb_data[[#This Row],[Employees Growth]]/Tb_data[[#This Row],[previous_workers]]</f>
        <v>0.58536585365853655</v>
      </c>
    </row>
    <row r="2825" spans="1:13" x14ac:dyDescent="0.25">
      <c r="A2825" s="1" t="s">
        <v>2144</v>
      </c>
      <c r="B2825" s="1" t="s">
        <v>2145</v>
      </c>
      <c r="C2825" s="1">
        <v>311800000</v>
      </c>
      <c r="D2825" s="1" t="s">
        <v>58</v>
      </c>
      <c r="E2825">
        <v>414.63720000000001</v>
      </c>
      <c r="F2825" s="1" t="s">
        <v>21</v>
      </c>
      <c r="G2825">
        <v>6000</v>
      </c>
      <c r="H2825">
        <v>3000</v>
      </c>
      <c r="I2825" s="1" t="s">
        <v>46</v>
      </c>
      <c r="J2825">
        <v>6</v>
      </c>
      <c r="K2825" t="str">
        <f>IF(Tb_data[[#This Row],[previous_workers]]&lt;Tb_data[[#This Row],[workers]],"yes","no")</f>
        <v>yes</v>
      </c>
      <c r="L2825">
        <f>Tb_data[[#This Row],[workers]]-Tb_data[[#This Row],[previous_workers]]</f>
        <v>3000</v>
      </c>
      <c r="M2825" s="12">
        <f>Tb_data[[#This Row],[Employees Growth]]/Tb_data[[#This Row],[previous_workers]]</f>
        <v>1</v>
      </c>
    </row>
    <row r="2826" spans="1:13" x14ac:dyDescent="0.25">
      <c r="A2826" s="1" t="s">
        <v>7110</v>
      </c>
      <c r="B2826" s="1" t="s">
        <v>7111</v>
      </c>
      <c r="C2826" s="1">
        <v>14400000</v>
      </c>
      <c r="D2826" s="1" t="s">
        <v>375</v>
      </c>
      <c r="E2826">
        <v>99.959699999999998</v>
      </c>
      <c r="F2826" s="1" t="s">
        <v>112</v>
      </c>
      <c r="G2826">
        <v>30</v>
      </c>
      <c r="H2826">
        <v>20</v>
      </c>
      <c r="I2826" s="1" t="s">
        <v>295</v>
      </c>
      <c r="J2826">
        <v>3</v>
      </c>
      <c r="K2826" t="str">
        <f>IF(Tb_data[[#This Row],[previous_workers]]&lt;Tb_data[[#This Row],[workers]],"yes","no")</f>
        <v>yes</v>
      </c>
      <c r="L2826">
        <f>Tb_data[[#This Row],[workers]]-Tb_data[[#This Row],[previous_workers]]</f>
        <v>10</v>
      </c>
      <c r="M2826" s="12">
        <f>Tb_data[[#This Row],[Employees Growth]]/Tb_data[[#This Row],[previous_workers]]</f>
        <v>0.5</v>
      </c>
    </row>
    <row r="2827" spans="1:13" x14ac:dyDescent="0.25">
      <c r="A2827" s="1" t="s">
        <v>6281</v>
      </c>
      <c r="B2827" s="1" t="s">
        <v>6282</v>
      </c>
      <c r="C2827" s="1">
        <v>2100000</v>
      </c>
      <c r="D2827" s="1" t="s">
        <v>20</v>
      </c>
      <c r="E2827">
        <v>119.50060000000001</v>
      </c>
      <c r="F2827" s="1" t="s">
        <v>514</v>
      </c>
      <c r="G2827">
        <v>8</v>
      </c>
      <c r="H2827">
        <v>7</v>
      </c>
      <c r="I2827" s="1" t="s">
        <v>164</v>
      </c>
      <c r="J2827">
        <v>1</v>
      </c>
      <c r="K2827" t="str">
        <f>IF(Tb_data[[#This Row],[previous_workers]]&lt;Tb_data[[#This Row],[workers]],"yes","no")</f>
        <v>yes</v>
      </c>
      <c r="L2827">
        <f>Tb_data[[#This Row],[workers]]-Tb_data[[#This Row],[previous_workers]]</f>
        <v>1</v>
      </c>
      <c r="M2827" s="12">
        <f>Tb_data[[#This Row],[Employees Growth]]/Tb_data[[#This Row],[previous_workers]]</f>
        <v>0.14285714285714285</v>
      </c>
    </row>
    <row r="2828" spans="1:13" x14ac:dyDescent="0.25">
      <c r="A2828" s="1" t="s">
        <v>753</v>
      </c>
      <c r="B2828" s="1" t="s">
        <v>754</v>
      </c>
      <c r="C2828" s="1">
        <v>2000000</v>
      </c>
      <c r="D2828" s="1" t="s">
        <v>69</v>
      </c>
      <c r="E2828">
        <v>1405.0606</v>
      </c>
      <c r="F2828" s="1" t="s">
        <v>12</v>
      </c>
      <c r="G2828">
        <v>12</v>
      </c>
      <c r="H2828">
        <v>2</v>
      </c>
      <c r="I2828" s="1" t="s">
        <v>194</v>
      </c>
      <c r="J2828">
        <v>1</v>
      </c>
      <c r="K2828" t="str">
        <f>IF(Tb_data[[#This Row],[previous_workers]]&lt;Tb_data[[#This Row],[workers]],"yes","no")</f>
        <v>yes</v>
      </c>
      <c r="L2828">
        <f>Tb_data[[#This Row],[workers]]-Tb_data[[#This Row],[previous_workers]]</f>
        <v>10</v>
      </c>
      <c r="M2828" s="12">
        <f>Tb_data[[#This Row],[Employees Growth]]/Tb_data[[#This Row],[previous_workers]]</f>
        <v>5</v>
      </c>
    </row>
    <row r="2829" spans="1:13" x14ac:dyDescent="0.25">
      <c r="A2829" s="1" t="s">
        <v>4927</v>
      </c>
      <c r="B2829" s="1" t="s">
        <v>4928</v>
      </c>
      <c r="C2829" s="1">
        <v>67800000</v>
      </c>
      <c r="D2829" s="1" t="s">
        <v>664</v>
      </c>
      <c r="E2829">
        <v>164.78729999999999</v>
      </c>
      <c r="F2829" s="1" t="s">
        <v>169</v>
      </c>
      <c r="G2829">
        <v>23</v>
      </c>
      <c r="H2829">
        <v>14</v>
      </c>
      <c r="I2829" s="1" t="s">
        <v>2374</v>
      </c>
      <c r="J2829">
        <v>5</v>
      </c>
      <c r="K2829" t="str">
        <f>IF(Tb_data[[#This Row],[previous_workers]]&lt;Tb_data[[#This Row],[workers]],"yes","no")</f>
        <v>yes</v>
      </c>
      <c r="L2829">
        <f>Tb_data[[#This Row],[workers]]-Tb_data[[#This Row],[previous_workers]]</f>
        <v>9</v>
      </c>
      <c r="M2829" s="12">
        <f>Tb_data[[#This Row],[Employees Growth]]/Tb_data[[#This Row],[previous_workers]]</f>
        <v>0.6428571428571429</v>
      </c>
    </row>
    <row r="2830" spans="1:13" x14ac:dyDescent="0.25">
      <c r="A2830" s="1" t="s">
        <v>3947</v>
      </c>
      <c r="B2830" s="1" t="s">
        <v>3948</v>
      </c>
      <c r="C2830" s="1">
        <v>15100000</v>
      </c>
      <c r="D2830" s="1" t="s">
        <v>69</v>
      </c>
      <c r="E2830">
        <v>210.01230000000001</v>
      </c>
      <c r="F2830" s="1" t="s">
        <v>17</v>
      </c>
      <c r="G2830">
        <v>101</v>
      </c>
      <c r="H2830">
        <v>34</v>
      </c>
      <c r="I2830" s="1" t="s">
        <v>74</v>
      </c>
      <c r="J2830">
        <v>1</v>
      </c>
      <c r="K2830" t="str">
        <f>IF(Tb_data[[#This Row],[previous_workers]]&lt;Tb_data[[#This Row],[workers]],"yes","no")</f>
        <v>yes</v>
      </c>
      <c r="L2830">
        <f>Tb_data[[#This Row],[workers]]-Tb_data[[#This Row],[previous_workers]]</f>
        <v>67</v>
      </c>
      <c r="M2830" s="12">
        <f>Tb_data[[#This Row],[Employees Growth]]/Tb_data[[#This Row],[previous_workers]]</f>
        <v>1.9705882352941178</v>
      </c>
    </row>
    <row r="2831" spans="1:13" x14ac:dyDescent="0.25">
      <c r="A2831" s="1" t="s">
        <v>2629</v>
      </c>
      <c r="B2831" s="1" t="s">
        <v>2630</v>
      </c>
      <c r="C2831" s="1">
        <v>5800000</v>
      </c>
      <c r="D2831" s="1" t="s">
        <v>20</v>
      </c>
      <c r="E2831">
        <v>328.779</v>
      </c>
      <c r="F2831" s="1" t="s">
        <v>86</v>
      </c>
      <c r="G2831">
        <v>55</v>
      </c>
      <c r="H2831">
        <v>11</v>
      </c>
      <c r="I2831" s="1" t="s">
        <v>130</v>
      </c>
      <c r="J2831">
        <v>3</v>
      </c>
      <c r="K2831" t="str">
        <f>IF(Tb_data[[#This Row],[previous_workers]]&lt;Tb_data[[#This Row],[workers]],"yes","no")</f>
        <v>yes</v>
      </c>
      <c r="L2831">
        <f>Tb_data[[#This Row],[workers]]-Tb_data[[#This Row],[previous_workers]]</f>
        <v>44</v>
      </c>
      <c r="M2831" s="12">
        <f>Tb_data[[#This Row],[Employees Growth]]/Tb_data[[#This Row],[previous_workers]]</f>
        <v>4</v>
      </c>
    </row>
    <row r="2832" spans="1:13" x14ac:dyDescent="0.25">
      <c r="A2832" s="1" t="s">
        <v>9439</v>
      </c>
      <c r="B2832" s="1" t="s">
        <v>9440</v>
      </c>
      <c r="C2832" s="1">
        <v>213200000</v>
      </c>
      <c r="D2832" s="1" t="s">
        <v>41</v>
      </c>
      <c r="E2832">
        <v>60.941800000000001</v>
      </c>
      <c r="F2832" s="1" t="s">
        <v>514</v>
      </c>
      <c r="G2832">
        <v>1000</v>
      </c>
      <c r="H2832">
        <v>600</v>
      </c>
      <c r="I2832" s="1" t="s">
        <v>1356</v>
      </c>
      <c r="J2832">
        <v>9</v>
      </c>
      <c r="K2832" t="str">
        <f>IF(Tb_data[[#This Row],[previous_workers]]&lt;Tb_data[[#This Row],[workers]],"yes","no")</f>
        <v>yes</v>
      </c>
      <c r="L2832">
        <f>Tb_data[[#This Row],[workers]]-Tb_data[[#This Row],[previous_workers]]</f>
        <v>400</v>
      </c>
      <c r="M2832" s="12">
        <f>Tb_data[[#This Row],[Employees Growth]]/Tb_data[[#This Row],[previous_workers]]</f>
        <v>0.66666666666666663</v>
      </c>
    </row>
    <row r="2833" spans="1:13" x14ac:dyDescent="0.25">
      <c r="A2833" s="1" t="s">
        <v>4629</v>
      </c>
      <c r="B2833" s="1" t="s">
        <v>4630</v>
      </c>
      <c r="C2833" s="1">
        <v>144900000</v>
      </c>
      <c r="D2833" s="1" t="s">
        <v>33</v>
      </c>
      <c r="E2833">
        <v>176.62139999999999</v>
      </c>
      <c r="F2833" s="1" t="s">
        <v>86</v>
      </c>
      <c r="G2833">
        <v>701</v>
      </c>
      <c r="H2833">
        <v>428</v>
      </c>
      <c r="I2833" s="1" t="s">
        <v>117</v>
      </c>
      <c r="J2833">
        <v>5</v>
      </c>
      <c r="K2833" t="str">
        <f>IF(Tb_data[[#This Row],[previous_workers]]&lt;Tb_data[[#This Row],[workers]],"yes","no")</f>
        <v>yes</v>
      </c>
      <c r="L2833">
        <f>Tb_data[[#This Row],[workers]]-Tb_data[[#This Row],[previous_workers]]</f>
        <v>273</v>
      </c>
      <c r="M2833" s="12">
        <f>Tb_data[[#This Row],[Employees Growth]]/Tb_data[[#This Row],[previous_workers]]</f>
        <v>0.63785046728971961</v>
      </c>
    </row>
    <row r="2834" spans="1:13" x14ac:dyDescent="0.25">
      <c r="A2834" s="1" t="s">
        <v>7983</v>
      </c>
      <c r="B2834" s="1" t="s">
        <v>7984</v>
      </c>
      <c r="C2834" s="1">
        <v>2700000</v>
      </c>
      <c r="D2834" s="1" t="s">
        <v>69</v>
      </c>
      <c r="E2834">
        <v>83.091700000000003</v>
      </c>
      <c r="F2834" s="1" t="s">
        <v>12</v>
      </c>
      <c r="G2834">
        <v>21</v>
      </c>
      <c r="H2834">
        <v>12</v>
      </c>
      <c r="I2834" s="1" t="s">
        <v>194</v>
      </c>
      <c r="J2834">
        <v>3</v>
      </c>
      <c r="K2834" t="str">
        <f>IF(Tb_data[[#This Row],[previous_workers]]&lt;Tb_data[[#This Row],[workers]],"yes","no")</f>
        <v>yes</v>
      </c>
      <c r="L2834">
        <f>Tb_data[[#This Row],[workers]]-Tb_data[[#This Row],[previous_workers]]</f>
        <v>9</v>
      </c>
      <c r="M2834" s="12">
        <f>Tb_data[[#This Row],[Employees Growth]]/Tb_data[[#This Row],[previous_workers]]</f>
        <v>0.75</v>
      </c>
    </row>
    <row r="2835" spans="1:13" x14ac:dyDescent="0.25">
      <c r="A2835" s="1" t="s">
        <v>5500</v>
      </c>
      <c r="B2835" s="1" t="s">
        <v>5501</v>
      </c>
      <c r="C2835" s="1">
        <v>15800000</v>
      </c>
      <c r="D2835" s="1" t="s">
        <v>41</v>
      </c>
      <c r="E2835">
        <v>142.4716</v>
      </c>
      <c r="F2835" s="1" t="s">
        <v>86</v>
      </c>
      <c r="G2835">
        <v>170</v>
      </c>
      <c r="H2835">
        <v>65</v>
      </c>
      <c r="I2835" s="1" t="s">
        <v>164</v>
      </c>
      <c r="J2835">
        <v>5</v>
      </c>
      <c r="K2835" t="str">
        <f>IF(Tb_data[[#This Row],[previous_workers]]&lt;Tb_data[[#This Row],[workers]],"yes","no")</f>
        <v>yes</v>
      </c>
      <c r="L2835">
        <f>Tb_data[[#This Row],[workers]]-Tb_data[[#This Row],[previous_workers]]</f>
        <v>105</v>
      </c>
      <c r="M2835" s="12">
        <f>Tb_data[[#This Row],[Employees Growth]]/Tb_data[[#This Row],[previous_workers]]</f>
        <v>1.6153846153846154</v>
      </c>
    </row>
    <row r="2836" spans="1:13" x14ac:dyDescent="0.25">
      <c r="A2836" s="1" t="s">
        <v>1344</v>
      </c>
      <c r="B2836" s="1" t="s">
        <v>1345</v>
      </c>
      <c r="C2836" s="1">
        <v>73300000</v>
      </c>
      <c r="D2836" s="1" t="s">
        <v>61</v>
      </c>
      <c r="E2836">
        <v>707.0403</v>
      </c>
      <c r="F2836" s="1" t="s">
        <v>25</v>
      </c>
      <c r="G2836">
        <v>156</v>
      </c>
      <c r="H2836">
        <v>30</v>
      </c>
      <c r="I2836" s="1" t="s">
        <v>26</v>
      </c>
      <c r="J2836">
        <v>1</v>
      </c>
      <c r="K2836" t="str">
        <f>IF(Tb_data[[#This Row],[previous_workers]]&lt;Tb_data[[#This Row],[workers]],"yes","no")</f>
        <v>yes</v>
      </c>
      <c r="L2836">
        <f>Tb_data[[#This Row],[workers]]-Tb_data[[#This Row],[previous_workers]]</f>
        <v>126</v>
      </c>
      <c r="M2836" s="12">
        <f>Tb_data[[#This Row],[Employees Growth]]/Tb_data[[#This Row],[previous_workers]]</f>
        <v>4.2</v>
      </c>
    </row>
    <row r="2837" spans="1:13" x14ac:dyDescent="0.25">
      <c r="A2837" s="1" t="s">
        <v>6037</v>
      </c>
      <c r="B2837" s="1" t="s">
        <v>6038</v>
      </c>
      <c r="C2837" s="1">
        <v>2000000</v>
      </c>
      <c r="D2837" s="1" t="s">
        <v>20</v>
      </c>
      <c r="E2837">
        <v>125.79730000000001</v>
      </c>
      <c r="F2837" s="1" t="s">
        <v>12</v>
      </c>
      <c r="G2837">
        <v>21</v>
      </c>
      <c r="H2837">
        <v>8</v>
      </c>
      <c r="I2837" s="1" t="s">
        <v>194</v>
      </c>
      <c r="J2837">
        <v>1</v>
      </c>
      <c r="K2837" t="str">
        <f>IF(Tb_data[[#This Row],[previous_workers]]&lt;Tb_data[[#This Row],[workers]],"yes","no")</f>
        <v>yes</v>
      </c>
      <c r="L2837">
        <f>Tb_data[[#This Row],[workers]]-Tb_data[[#This Row],[previous_workers]]</f>
        <v>13</v>
      </c>
      <c r="M2837" s="12">
        <f>Tb_data[[#This Row],[Employees Growth]]/Tb_data[[#This Row],[previous_workers]]</f>
        <v>1.625</v>
      </c>
    </row>
    <row r="2838" spans="1:13" x14ac:dyDescent="0.25">
      <c r="A2838" s="1" t="s">
        <v>5314</v>
      </c>
      <c r="B2838" s="1" t="s">
        <v>5315</v>
      </c>
      <c r="C2838" s="1">
        <v>17700000</v>
      </c>
      <c r="D2838" s="1" t="s">
        <v>49</v>
      </c>
      <c r="E2838">
        <v>149.44069999999999</v>
      </c>
      <c r="F2838" s="1" t="s">
        <v>86</v>
      </c>
      <c r="G2838">
        <v>130</v>
      </c>
      <c r="H2838">
        <v>60</v>
      </c>
      <c r="I2838" s="1" t="s">
        <v>117</v>
      </c>
      <c r="J2838">
        <v>2</v>
      </c>
      <c r="K2838" t="str">
        <f>IF(Tb_data[[#This Row],[previous_workers]]&lt;Tb_data[[#This Row],[workers]],"yes","no")</f>
        <v>yes</v>
      </c>
      <c r="L2838">
        <f>Tb_data[[#This Row],[workers]]-Tb_data[[#This Row],[previous_workers]]</f>
        <v>70</v>
      </c>
      <c r="M2838" s="12">
        <f>Tb_data[[#This Row],[Employees Growth]]/Tb_data[[#This Row],[previous_workers]]</f>
        <v>1.1666666666666667</v>
      </c>
    </row>
    <row r="2839" spans="1:13" x14ac:dyDescent="0.25">
      <c r="A2839" s="1" t="s">
        <v>9011</v>
      </c>
      <c r="B2839" s="1" t="s">
        <v>9012</v>
      </c>
      <c r="C2839" s="1">
        <v>29300000</v>
      </c>
      <c r="D2839" s="1" t="s">
        <v>33</v>
      </c>
      <c r="E2839">
        <v>66.542500000000004</v>
      </c>
      <c r="F2839" s="1" t="s">
        <v>156</v>
      </c>
      <c r="G2839">
        <v>165</v>
      </c>
      <c r="H2839">
        <v>105</v>
      </c>
      <c r="I2839" s="1" t="s">
        <v>229</v>
      </c>
      <c r="J2839">
        <v>4</v>
      </c>
      <c r="K2839" t="str">
        <f>IF(Tb_data[[#This Row],[previous_workers]]&lt;Tb_data[[#This Row],[workers]],"yes","no")</f>
        <v>yes</v>
      </c>
      <c r="L2839">
        <f>Tb_data[[#This Row],[workers]]-Tb_data[[#This Row],[previous_workers]]</f>
        <v>60</v>
      </c>
      <c r="M2839" s="12">
        <f>Tb_data[[#This Row],[Employees Growth]]/Tb_data[[#This Row],[previous_workers]]</f>
        <v>0.5714285714285714</v>
      </c>
    </row>
    <row r="2840" spans="1:13" x14ac:dyDescent="0.25">
      <c r="A2840" s="1" t="s">
        <v>7168</v>
      </c>
      <c r="B2840" s="1" t="s">
        <v>7169</v>
      </c>
      <c r="C2840" s="1">
        <v>3900000</v>
      </c>
      <c r="D2840" s="1" t="s">
        <v>20</v>
      </c>
      <c r="E2840">
        <v>99.019199999999998</v>
      </c>
      <c r="F2840" s="1" t="s">
        <v>86</v>
      </c>
      <c r="G2840">
        <v>9</v>
      </c>
      <c r="H2840">
        <v>18</v>
      </c>
      <c r="I2840" s="1" t="s">
        <v>117</v>
      </c>
      <c r="J2840">
        <v>3</v>
      </c>
      <c r="K2840" t="str">
        <f>IF(Tb_data[[#This Row],[previous_workers]]&lt;Tb_data[[#This Row],[workers]],"yes","no")</f>
        <v>no</v>
      </c>
      <c r="L2840">
        <f>Tb_data[[#This Row],[workers]]-Tb_data[[#This Row],[previous_workers]]</f>
        <v>-9</v>
      </c>
      <c r="M2840" s="12">
        <f>Tb_data[[#This Row],[Employees Growth]]/Tb_data[[#This Row],[previous_workers]]</f>
        <v>-0.5</v>
      </c>
    </row>
    <row r="2841" spans="1:13" x14ac:dyDescent="0.25">
      <c r="A2841" s="1" t="s">
        <v>517</v>
      </c>
      <c r="B2841" s="1" t="s">
        <v>518</v>
      </c>
      <c r="C2841" s="1">
        <v>161800000</v>
      </c>
      <c r="D2841" s="1" t="s">
        <v>38</v>
      </c>
      <c r="E2841">
        <v>1917.0019</v>
      </c>
      <c r="F2841" s="1" t="s">
        <v>94</v>
      </c>
      <c r="G2841">
        <v>1160</v>
      </c>
      <c r="H2841">
        <v>40</v>
      </c>
      <c r="I2841" s="1" t="s">
        <v>35</v>
      </c>
      <c r="J2841">
        <v>4</v>
      </c>
      <c r="K2841" t="str">
        <f>IF(Tb_data[[#This Row],[previous_workers]]&lt;Tb_data[[#This Row],[workers]],"yes","no")</f>
        <v>yes</v>
      </c>
      <c r="L2841">
        <f>Tb_data[[#This Row],[workers]]-Tb_data[[#This Row],[previous_workers]]</f>
        <v>1120</v>
      </c>
      <c r="M2841" s="12">
        <f>Tb_data[[#This Row],[Employees Growth]]/Tb_data[[#This Row],[previous_workers]]</f>
        <v>28</v>
      </c>
    </row>
    <row r="2842" spans="1:13" x14ac:dyDescent="0.25">
      <c r="A2842" s="1" t="s">
        <v>5610</v>
      </c>
      <c r="B2842" s="1" t="s">
        <v>5611</v>
      </c>
      <c r="C2842" s="1">
        <v>5300000</v>
      </c>
      <c r="D2842" s="1" t="s">
        <v>41</v>
      </c>
      <c r="E2842">
        <v>137.50579999999999</v>
      </c>
      <c r="F2842" s="1" t="s">
        <v>135</v>
      </c>
      <c r="G2842">
        <v>18</v>
      </c>
      <c r="H2842">
        <v>12</v>
      </c>
      <c r="I2842" s="1" t="s">
        <v>130</v>
      </c>
      <c r="J2842">
        <v>4</v>
      </c>
      <c r="K2842" t="str">
        <f>IF(Tb_data[[#This Row],[previous_workers]]&lt;Tb_data[[#This Row],[workers]],"yes","no")</f>
        <v>yes</v>
      </c>
      <c r="L2842">
        <f>Tb_data[[#This Row],[workers]]-Tb_data[[#This Row],[previous_workers]]</f>
        <v>6</v>
      </c>
      <c r="M2842" s="12">
        <f>Tb_data[[#This Row],[Employees Growth]]/Tb_data[[#This Row],[previous_workers]]</f>
        <v>0.5</v>
      </c>
    </row>
    <row r="2843" spans="1:13" x14ac:dyDescent="0.25">
      <c r="A2843" s="1" t="s">
        <v>8939</v>
      </c>
      <c r="B2843" s="1" t="s">
        <v>8940</v>
      </c>
      <c r="C2843" s="1">
        <v>97600000</v>
      </c>
      <c r="D2843" s="1" t="s">
        <v>69</v>
      </c>
      <c r="E2843">
        <v>67.420500000000004</v>
      </c>
      <c r="F2843" s="1" t="s">
        <v>42</v>
      </c>
      <c r="G2843">
        <v>384</v>
      </c>
      <c r="H2843">
        <v>395</v>
      </c>
      <c r="I2843" s="1" t="s">
        <v>1051</v>
      </c>
      <c r="J2843">
        <v>4</v>
      </c>
      <c r="K2843" t="str">
        <f>IF(Tb_data[[#This Row],[previous_workers]]&lt;Tb_data[[#This Row],[workers]],"yes","no")</f>
        <v>no</v>
      </c>
      <c r="L2843">
        <f>Tb_data[[#This Row],[workers]]-Tb_data[[#This Row],[previous_workers]]</f>
        <v>-11</v>
      </c>
      <c r="M2843" s="12">
        <f>Tb_data[[#This Row],[Employees Growth]]/Tb_data[[#This Row],[previous_workers]]</f>
        <v>-2.7848101265822784E-2</v>
      </c>
    </row>
    <row r="2844" spans="1:13" x14ac:dyDescent="0.25">
      <c r="A2844" s="1" t="s">
        <v>6391</v>
      </c>
      <c r="B2844" s="1" t="s">
        <v>6392</v>
      </c>
      <c r="C2844" s="1">
        <v>28900000</v>
      </c>
      <c r="D2844" s="1" t="s">
        <v>49</v>
      </c>
      <c r="E2844">
        <v>116.4479</v>
      </c>
      <c r="F2844" s="1" t="s">
        <v>25</v>
      </c>
      <c r="G2844">
        <v>25</v>
      </c>
      <c r="H2844">
        <v>15</v>
      </c>
      <c r="I2844" s="1" t="s">
        <v>1622</v>
      </c>
      <c r="J2844">
        <v>7</v>
      </c>
      <c r="K2844" t="str">
        <f>IF(Tb_data[[#This Row],[previous_workers]]&lt;Tb_data[[#This Row],[workers]],"yes","no")</f>
        <v>yes</v>
      </c>
      <c r="L2844">
        <f>Tb_data[[#This Row],[workers]]-Tb_data[[#This Row],[previous_workers]]</f>
        <v>10</v>
      </c>
      <c r="M2844" s="12">
        <f>Tb_data[[#This Row],[Employees Growth]]/Tb_data[[#This Row],[previous_workers]]</f>
        <v>0.66666666666666663</v>
      </c>
    </row>
    <row r="2845" spans="1:13" x14ac:dyDescent="0.25">
      <c r="A2845" s="1" t="s">
        <v>9766</v>
      </c>
      <c r="B2845" s="1" t="s">
        <v>9767</v>
      </c>
      <c r="C2845" s="1">
        <v>50600000</v>
      </c>
      <c r="D2845" s="1" t="s">
        <v>20</v>
      </c>
      <c r="E2845">
        <v>57.092500000000001</v>
      </c>
      <c r="F2845" s="1" t="s">
        <v>62</v>
      </c>
      <c r="G2845">
        <v>105</v>
      </c>
      <c r="H2845">
        <v>72</v>
      </c>
      <c r="I2845" s="1" t="s">
        <v>164</v>
      </c>
      <c r="J2845">
        <v>1</v>
      </c>
      <c r="K2845" t="str">
        <f>IF(Tb_data[[#This Row],[previous_workers]]&lt;Tb_data[[#This Row],[workers]],"yes","no")</f>
        <v>yes</v>
      </c>
      <c r="L2845">
        <f>Tb_data[[#This Row],[workers]]-Tb_data[[#This Row],[previous_workers]]</f>
        <v>33</v>
      </c>
      <c r="M2845" s="12">
        <f>Tb_data[[#This Row],[Employees Growth]]/Tb_data[[#This Row],[previous_workers]]</f>
        <v>0.45833333333333331</v>
      </c>
    </row>
    <row r="2846" spans="1:13" x14ac:dyDescent="0.25">
      <c r="A2846" s="1" t="s">
        <v>7639</v>
      </c>
      <c r="B2846" s="1" t="s">
        <v>7640</v>
      </c>
      <c r="C2846" s="1">
        <v>3300000</v>
      </c>
      <c r="D2846" s="1" t="s">
        <v>20</v>
      </c>
      <c r="E2846">
        <v>89.145300000000006</v>
      </c>
      <c r="F2846" s="1" t="s">
        <v>34</v>
      </c>
      <c r="G2846">
        <v>9</v>
      </c>
      <c r="H2846">
        <v>15</v>
      </c>
      <c r="I2846" s="1" t="s">
        <v>35</v>
      </c>
      <c r="J2846">
        <v>1</v>
      </c>
      <c r="K2846" t="str">
        <f>IF(Tb_data[[#This Row],[previous_workers]]&lt;Tb_data[[#This Row],[workers]],"yes","no")</f>
        <v>no</v>
      </c>
      <c r="L2846">
        <f>Tb_data[[#This Row],[workers]]-Tb_data[[#This Row],[previous_workers]]</f>
        <v>-6</v>
      </c>
      <c r="M2846" s="12">
        <f>Tb_data[[#This Row],[Employees Growth]]/Tb_data[[#This Row],[previous_workers]]</f>
        <v>-0.4</v>
      </c>
    </row>
    <row r="2847" spans="1:13" x14ac:dyDescent="0.25">
      <c r="A2847" s="1" t="s">
        <v>428</v>
      </c>
      <c r="B2847" s="1" t="s">
        <v>429</v>
      </c>
      <c r="C2847" s="1">
        <v>17400000</v>
      </c>
      <c r="D2847" s="1" t="s">
        <v>20</v>
      </c>
      <c r="E2847">
        <v>2240.0028000000002</v>
      </c>
      <c r="F2847" s="1" t="s">
        <v>12</v>
      </c>
      <c r="G2847">
        <v>48</v>
      </c>
      <c r="H2847">
        <v>2</v>
      </c>
      <c r="I2847" s="1" t="s">
        <v>26</v>
      </c>
      <c r="J2847">
        <v>2</v>
      </c>
      <c r="K2847" t="str">
        <f>IF(Tb_data[[#This Row],[previous_workers]]&lt;Tb_data[[#This Row],[workers]],"yes","no")</f>
        <v>yes</v>
      </c>
      <c r="L2847">
        <f>Tb_data[[#This Row],[workers]]-Tb_data[[#This Row],[previous_workers]]</f>
        <v>46</v>
      </c>
      <c r="M2847" s="12">
        <f>Tb_data[[#This Row],[Employees Growth]]/Tb_data[[#This Row],[previous_workers]]</f>
        <v>23</v>
      </c>
    </row>
    <row r="2848" spans="1:13" x14ac:dyDescent="0.25">
      <c r="A2848" s="1" t="s">
        <v>9596</v>
      </c>
      <c r="B2848" s="1" t="s">
        <v>9597</v>
      </c>
      <c r="C2848" s="1">
        <v>2300000</v>
      </c>
      <c r="D2848" s="1" t="s">
        <v>20</v>
      </c>
      <c r="E2848">
        <v>59.249600000000001</v>
      </c>
      <c r="F2848" s="1" t="s">
        <v>12</v>
      </c>
      <c r="G2848">
        <v>17</v>
      </c>
      <c r="H2848">
        <v>14</v>
      </c>
      <c r="I2848" s="1" t="s">
        <v>1622</v>
      </c>
      <c r="J2848">
        <v>1</v>
      </c>
      <c r="K2848" t="str">
        <f>IF(Tb_data[[#This Row],[previous_workers]]&lt;Tb_data[[#This Row],[workers]],"yes","no")</f>
        <v>yes</v>
      </c>
      <c r="L2848">
        <f>Tb_data[[#This Row],[workers]]-Tb_data[[#This Row],[previous_workers]]</f>
        <v>3</v>
      </c>
      <c r="M2848" s="12">
        <f>Tb_data[[#This Row],[Employees Growth]]/Tb_data[[#This Row],[previous_workers]]</f>
        <v>0.21428571428571427</v>
      </c>
    </row>
    <row r="2849" spans="1:13" x14ac:dyDescent="0.25">
      <c r="A2849" s="1" t="s">
        <v>10022</v>
      </c>
      <c r="B2849" s="1" t="s">
        <v>10023</v>
      </c>
      <c r="C2849" s="1">
        <v>660500000</v>
      </c>
      <c r="D2849" s="1" t="s">
        <v>16</v>
      </c>
      <c r="E2849">
        <v>53.188899999999997</v>
      </c>
      <c r="F2849" s="1" t="s">
        <v>21</v>
      </c>
      <c r="G2849">
        <v>2850</v>
      </c>
      <c r="H2849">
        <v>2100</v>
      </c>
      <c r="I2849" s="1" t="s">
        <v>147</v>
      </c>
      <c r="J2849">
        <v>11</v>
      </c>
      <c r="K2849" t="str">
        <f>IF(Tb_data[[#This Row],[previous_workers]]&lt;Tb_data[[#This Row],[workers]],"yes","no")</f>
        <v>yes</v>
      </c>
      <c r="L2849">
        <f>Tb_data[[#This Row],[workers]]-Tb_data[[#This Row],[previous_workers]]</f>
        <v>750</v>
      </c>
      <c r="M2849" s="12">
        <f>Tb_data[[#This Row],[Employees Growth]]/Tb_data[[#This Row],[previous_workers]]</f>
        <v>0.35714285714285715</v>
      </c>
    </row>
    <row r="2850" spans="1:13" x14ac:dyDescent="0.25">
      <c r="A2850" s="1" t="s">
        <v>5528</v>
      </c>
      <c r="B2850" s="1" t="s">
        <v>5529</v>
      </c>
      <c r="C2850" s="1">
        <v>29400000</v>
      </c>
      <c r="D2850" s="1" t="s">
        <v>33</v>
      </c>
      <c r="E2850">
        <v>141.46719999999999</v>
      </c>
      <c r="F2850" s="1" t="s">
        <v>124</v>
      </c>
      <c r="G2850">
        <v>40</v>
      </c>
      <c r="H2850">
        <v>14</v>
      </c>
      <c r="I2850" s="1" t="s">
        <v>117</v>
      </c>
      <c r="J2850">
        <v>1</v>
      </c>
      <c r="K2850" t="str">
        <f>IF(Tb_data[[#This Row],[previous_workers]]&lt;Tb_data[[#This Row],[workers]],"yes","no")</f>
        <v>yes</v>
      </c>
      <c r="L2850">
        <f>Tb_data[[#This Row],[workers]]-Tb_data[[#This Row],[previous_workers]]</f>
        <v>26</v>
      </c>
      <c r="M2850" s="12">
        <f>Tb_data[[#This Row],[Employees Growth]]/Tb_data[[#This Row],[previous_workers]]</f>
        <v>1.8571428571428572</v>
      </c>
    </row>
    <row r="2851" spans="1:13" x14ac:dyDescent="0.25">
      <c r="A2851" s="1" t="s">
        <v>9499</v>
      </c>
      <c r="B2851" s="1" t="s">
        <v>9500</v>
      </c>
      <c r="C2851" s="1">
        <v>4500000</v>
      </c>
      <c r="D2851" s="1" t="s">
        <v>49</v>
      </c>
      <c r="E2851">
        <v>60.346200000000003</v>
      </c>
      <c r="F2851" s="1" t="s">
        <v>176</v>
      </c>
      <c r="G2851">
        <v>15</v>
      </c>
      <c r="H2851">
        <v>8</v>
      </c>
      <c r="I2851" s="1" t="s">
        <v>130</v>
      </c>
      <c r="J2851">
        <v>3</v>
      </c>
      <c r="K2851" t="str">
        <f>IF(Tb_data[[#This Row],[previous_workers]]&lt;Tb_data[[#This Row],[workers]],"yes","no")</f>
        <v>yes</v>
      </c>
      <c r="L2851">
        <f>Tb_data[[#This Row],[workers]]-Tb_data[[#This Row],[previous_workers]]</f>
        <v>7</v>
      </c>
      <c r="M2851" s="12">
        <f>Tb_data[[#This Row],[Employees Growth]]/Tb_data[[#This Row],[previous_workers]]</f>
        <v>0.875</v>
      </c>
    </row>
    <row r="2852" spans="1:13" x14ac:dyDescent="0.25">
      <c r="A2852" s="1" t="s">
        <v>8719</v>
      </c>
      <c r="B2852" s="1" t="s">
        <v>8720</v>
      </c>
      <c r="C2852" s="1">
        <v>10400000</v>
      </c>
      <c r="D2852" s="1" t="s">
        <v>91</v>
      </c>
      <c r="E2852">
        <v>70.815600000000003</v>
      </c>
      <c r="F2852" s="1" t="s">
        <v>12</v>
      </c>
      <c r="G2852">
        <v>36</v>
      </c>
      <c r="H2852">
        <v>23</v>
      </c>
      <c r="I2852" s="1" t="s">
        <v>55</v>
      </c>
      <c r="J2852">
        <v>1</v>
      </c>
      <c r="K2852" t="str">
        <f>IF(Tb_data[[#This Row],[previous_workers]]&lt;Tb_data[[#This Row],[workers]],"yes","no")</f>
        <v>yes</v>
      </c>
      <c r="L2852">
        <f>Tb_data[[#This Row],[workers]]-Tb_data[[#This Row],[previous_workers]]</f>
        <v>13</v>
      </c>
      <c r="M2852" s="12">
        <f>Tb_data[[#This Row],[Employees Growth]]/Tb_data[[#This Row],[previous_workers]]</f>
        <v>0.56521739130434778</v>
      </c>
    </row>
    <row r="2853" spans="1:13" x14ac:dyDescent="0.25">
      <c r="A2853" s="1" t="s">
        <v>2607</v>
      </c>
      <c r="B2853" s="1" t="s">
        <v>2608</v>
      </c>
      <c r="C2853" s="1">
        <v>7500000</v>
      </c>
      <c r="D2853" s="1" t="s">
        <v>33</v>
      </c>
      <c r="E2853">
        <v>331.46339999999998</v>
      </c>
      <c r="F2853" s="1" t="s">
        <v>30</v>
      </c>
      <c r="G2853">
        <v>17</v>
      </c>
      <c r="H2853">
        <v>3</v>
      </c>
      <c r="I2853" s="1" t="s">
        <v>130</v>
      </c>
      <c r="J2853">
        <v>2</v>
      </c>
      <c r="K2853" t="str">
        <f>IF(Tb_data[[#This Row],[previous_workers]]&lt;Tb_data[[#This Row],[workers]],"yes","no")</f>
        <v>yes</v>
      </c>
      <c r="L2853">
        <f>Tb_data[[#This Row],[workers]]-Tb_data[[#This Row],[previous_workers]]</f>
        <v>14</v>
      </c>
      <c r="M2853" s="12">
        <f>Tb_data[[#This Row],[Employees Growth]]/Tb_data[[#This Row],[previous_workers]]</f>
        <v>4.666666666666667</v>
      </c>
    </row>
    <row r="2854" spans="1:13" x14ac:dyDescent="0.25">
      <c r="A2854" s="1" t="s">
        <v>372</v>
      </c>
      <c r="B2854" s="1" t="s">
        <v>4101</v>
      </c>
      <c r="C2854" s="1">
        <v>27600000</v>
      </c>
      <c r="D2854" s="1" t="s">
        <v>49</v>
      </c>
      <c r="E2854">
        <v>201.0986</v>
      </c>
      <c r="F2854" s="1" t="s">
        <v>124</v>
      </c>
      <c r="G2854">
        <v>140</v>
      </c>
      <c r="H2854">
        <v>45</v>
      </c>
      <c r="I2854" s="1" t="s">
        <v>35</v>
      </c>
      <c r="J2854">
        <v>6</v>
      </c>
      <c r="K2854" t="str">
        <f>IF(Tb_data[[#This Row],[previous_workers]]&lt;Tb_data[[#This Row],[workers]],"yes","no")</f>
        <v>yes</v>
      </c>
      <c r="L2854">
        <f>Tb_data[[#This Row],[workers]]-Tb_data[[#This Row],[previous_workers]]</f>
        <v>95</v>
      </c>
      <c r="M2854" s="12">
        <f>Tb_data[[#This Row],[Employees Growth]]/Tb_data[[#This Row],[previous_workers]]</f>
        <v>2.1111111111111112</v>
      </c>
    </row>
    <row r="2855" spans="1:13" x14ac:dyDescent="0.25">
      <c r="A2855" s="1" t="s">
        <v>8713</v>
      </c>
      <c r="B2855" s="1" t="s">
        <v>8714</v>
      </c>
      <c r="C2855" s="1">
        <v>124800000</v>
      </c>
      <c r="D2855" s="1" t="s">
        <v>427</v>
      </c>
      <c r="E2855">
        <v>70.905799999999999</v>
      </c>
      <c r="F2855" s="1" t="s">
        <v>161</v>
      </c>
      <c r="G2855">
        <v>144</v>
      </c>
      <c r="H2855">
        <v>49</v>
      </c>
      <c r="I2855" s="1" t="s">
        <v>948</v>
      </c>
      <c r="J2855">
        <v>5</v>
      </c>
      <c r="K2855" t="str">
        <f>IF(Tb_data[[#This Row],[previous_workers]]&lt;Tb_data[[#This Row],[workers]],"yes","no")</f>
        <v>yes</v>
      </c>
      <c r="L2855">
        <f>Tb_data[[#This Row],[workers]]-Tb_data[[#This Row],[previous_workers]]</f>
        <v>95</v>
      </c>
      <c r="M2855" s="12">
        <f>Tb_data[[#This Row],[Employees Growth]]/Tb_data[[#This Row],[previous_workers]]</f>
        <v>1.9387755102040816</v>
      </c>
    </row>
    <row r="2856" spans="1:13" x14ac:dyDescent="0.25">
      <c r="A2856" s="1" t="s">
        <v>5740</v>
      </c>
      <c r="B2856" s="1" t="s">
        <v>5741</v>
      </c>
      <c r="C2856" s="1">
        <v>47600000</v>
      </c>
      <c r="D2856" s="1" t="s">
        <v>254</v>
      </c>
      <c r="E2856">
        <v>133.0078</v>
      </c>
      <c r="F2856" s="1" t="s">
        <v>112</v>
      </c>
      <c r="G2856">
        <v>200</v>
      </c>
      <c r="H2856">
        <v>70</v>
      </c>
      <c r="I2856" s="1" t="s">
        <v>35</v>
      </c>
      <c r="J2856">
        <v>1</v>
      </c>
      <c r="K2856" t="str">
        <f>IF(Tb_data[[#This Row],[previous_workers]]&lt;Tb_data[[#This Row],[workers]],"yes","no")</f>
        <v>yes</v>
      </c>
      <c r="L2856">
        <f>Tb_data[[#This Row],[workers]]-Tb_data[[#This Row],[previous_workers]]</f>
        <v>130</v>
      </c>
      <c r="M2856" s="12">
        <f>Tb_data[[#This Row],[Employees Growth]]/Tb_data[[#This Row],[previous_workers]]</f>
        <v>1.8571428571428572</v>
      </c>
    </row>
    <row r="2857" spans="1:13" x14ac:dyDescent="0.25">
      <c r="A2857" s="1" t="s">
        <v>8915</v>
      </c>
      <c r="B2857" s="1" t="s">
        <v>8916</v>
      </c>
      <c r="C2857" s="1">
        <v>692500000</v>
      </c>
      <c r="D2857" s="1" t="s">
        <v>29</v>
      </c>
      <c r="E2857">
        <v>67.768600000000006</v>
      </c>
      <c r="F2857" s="1" t="s">
        <v>100</v>
      </c>
      <c r="G2857">
        <v>1216</v>
      </c>
      <c r="H2857">
        <v>406</v>
      </c>
      <c r="I2857" s="1" t="s">
        <v>980</v>
      </c>
      <c r="J2857">
        <v>2</v>
      </c>
      <c r="K2857" t="str">
        <f>IF(Tb_data[[#This Row],[previous_workers]]&lt;Tb_data[[#This Row],[workers]],"yes","no")</f>
        <v>yes</v>
      </c>
      <c r="L2857">
        <f>Tb_data[[#This Row],[workers]]-Tb_data[[#This Row],[previous_workers]]</f>
        <v>810</v>
      </c>
      <c r="M2857" s="12">
        <f>Tb_data[[#This Row],[Employees Growth]]/Tb_data[[#This Row],[previous_workers]]</f>
        <v>1.9950738916256157</v>
      </c>
    </row>
    <row r="2858" spans="1:13" x14ac:dyDescent="0.25">
      <c r="A2858" s="1" t="s">
        <v>1009</v>
      </c>
      <c r="B2858" s="1" t="s">
        <v>1010</v>
      </c>
      <c r="C2858" s="1">
        <v>4400000</v>
      </c>
      <c r="D2858" s="1" t="s">
        <v>49</v>
      </c>
      <c r="E2858">
        <v>992.66470000000004</v>
      </c>
      <c r="F2858" s="1" t="s">
        <v>30</v>
      </c>
      <c r="G2858">
        <v>45</v>
      </c>
      <c r="H2858">
        <v>3</v>
      </c>
      <c r="I2858" s="1" t="s">
        <v>26</v>
      </c>
      <c r="J2858">
        <v>2</v>
      </c>
      <c r="K2858" t="str">
        <f>IF(Tb_data[[#This Row],[previous_workers]]&lt;Tb_data[[#This Row],[workers]],"yes","no")</f>
        <v>yes</v>
      </c>
      <c r="L2858">
        <f>Tb_data[[#This Row],[workers]]-Tb_data[[#This Row],[previous_workers]]</f>
        <v>42</v>
      </c>
      <c r="M2858" s="12">
        <f>Tb_data[[#This Row],[Employees Growth]]/Tb_data[[#This Row],[previous_workers]]</f>
        <v>14</v>
      </c>
    </row>
    <row r="2859" spans="1:13" x14ac:dyDescent="0.25">
      <c r="A2859" s="1" t="s">
        <v>10026</v>
      </c>
      <c r="B2859" s="1" t="s">
        <v>10027</v>
      </c>
      <c r="C2859" s="1">
        <v>3900000</v>
      </c>
      <c r="D2859" s="1" t="s">
        <v>58</v>
      </c>
      <c r="E2859">
        <v>53.143099999999997</v>
      </c>
      <c r="F2859" s="1" t="s">
        <v>25</v>
      </c>
      <c r="G2859">
        <v>13</v>
      </c>
      <c r="H2859">
        <v>8</v>
      </c>
      <c r="I2859" s="1" t="s">
        <v>3843</v>
      </c>
      <c r="J2859">
        <v>2</v>
      </c>
      <c r="K2859" t="str">
        <f>IF(Tb_data[[#This Row],[previous_workers]]&lt;Tb_data[[#This Row],[workers]],"yes","no")</f>
        <v>yes</v>
      </c>
      <c r="L2859">
        <f>Tb_data[[#This Row],[workers]]-Tb_data[[#This Row],[previous_workers]]</f>
        <v>5</v>
      </c>
      <c r="M2859" s="12">
        <f>Tb_data[[#This Row],[Employees Growth]]/Tb_data[[#This Row],[previous_workers]]</f>
        <v>0.625</v>
      </c>
    </row>
    <row r="2860" spans="1:13" x14ac:dyDescent="0.25">
      <c r="A2860" s="1" t="s">
        <v>9321</v>
      </c>
      <c r="B2860" s="1" t="s">
        <v>9322</v>
      </c>
      <c r="C2860" s="1">
        <v>3100000</v>
      </c>
      <c r="D2860" s="1" t="s">
        <v>69</v>
      </c>
      <c r="E2860">
        <v>62.515900000000002</v>
      </c>
      <c r="F2860" s="1" t="s">
        <v>34</v>
      </c>
      <c r="G2860">
        <v>27</v>
      </c>
      <c r="H2860">
        <v>16</v>
      </c>
      <c r="I2860" s="1" t="s">
        <v>164</v>
      </c>
      <c r="J2860">
        <v>1</v>
      </c>
      <c r="K2860" t="str">
        <f>IF(Tb_data[[#This Row],[previous_workers]]&lt;Tb_data[[#This Row],[workers]],"yes","no")</f>
        <v>yes</v>
      </c>
      <c r="L2860">
        <f>Tb_data[[#This Row],[workers]]-Tb_data[[#This Row],[previous_workers]]</f>
        <v>11</v>
      </c>
      <c r="M2860" s="12">
        <f>Tb_data[[#This Row],[Employees Growth]]/Tb_data[[#This Row],[previous_workers]]</f>
        <v>0.6875</v>
      </c>
    </row>
    <row r="2861" spans="1:13" x14ac:dyDescent="0.25">
      <c r="A2861" s="1" t="s">
        <v>8857</v>
      </c>
      <c r="B2861" s="1" t="s">
        <v>8858</v>
      </c>
      <c r="C2861" s="1">
        <v>19200000</v>
      </c>
      <c r="D2861" s="1" t="s">
        <v>49</v>
      </c>
      <c r="E2861">
        <v>68.583799999999997</v>
      </c>
      <c r="F2861" s="1" t="s">
        <v>176</v>
      </c>
      <c r="G2861">
        <v>90</v>
      </c>
      <c r="H2861">
        <v>71</v>
      </c>
      <c r="I2861" s="1" t="s">
        <v>1051</v>
      </c>
      <c r="J2861">
        <v>9</v>
      </c>
      <c r="K2861" t="str">
        <f>IF(Tb_data[[#This Row],[previous_workers]]&lt;Tb_data[[#This Row],[workers]],"yes","no")</f>
        <v>yes</v>
      </c>
      <c r="L2861">
        <f>Tb_data[[#This Row],[workers]]-Tb_data[[#This Row],[previous_workers]]</f>
        <v>19</v>
      </c>
      <c r="M2861" s="12">
        <f>Tb_data[[#This Row],[Employees Growth]]/Tb_data[[#This Row],[previous_workers]]</f>
        <v>0.26760563380281688</v>
      </c>
    </row>
    <row r="2862" spans="1:13" x14ac:dyDescent="0.25">
      <c r="A2862" s="1" t="s">
        <v>3404</v>
      </c>
      <c r="B2862" s="1" t="s">
        <v>3405</v>
      </c>
      <c r="C2862" s="1">
        <v>25100000</v>
      </c>
      <c r="D2862" s="1" t="s">
        <v>20</v>
      </c>
      <c r="E2862">
        <v>251.57380000000001</v>
      </c>
      <c r="F2862" s="1" t="s">
        <v>62</v>
      </c>
      <c r="G2862">
        <v>190</v>
      </c>
      <c r="H2862">
        <v>110</v>
      </c>
      <c r="I2862" s="1" t="s">
        <v>948</v>
      </c>
      <c r="J2862">
        <v>4</v>
      </c>
      <c r="K2862" t="str">
        <f>IF(Tb_data[[#This Row],[previous_workers]]&lt;Tb_data[[#This Row],[workers]],"yes","no")</f>
        <v>yes</v>
      </c>
      <c r="L2862">
        <f>Tb_data[[#This Row],[workers]]-Tb_data[[#This Row],[previous_workers]]</f>
        <v>80</v>
      </c>
      <c r="M2862" s="12">
        <f>Tb_data[[#This Row],[Employees Growth]]/Tb_data[[#This Row],[previous_workers]]</f>
        <v>0.72727272727272729</v>
      </c>
    </row>
    <row r="2863" spans="1:13" x14ac:dyDescent="0.25">
      <c r="A2863" s="1" t="s">
        <v>9245</v>
      </c>
      <c r="B2863" s="1" t="s">
        <v>9246</v>
      </c>
      <c r="C2863" s="1">
        <v>12800000</v>
      </c>
      <c r="D2863" s="1" t="s">
        <v>41</v>
      </c>
      <c r="E2863">
        <v>63.5428</v>
      </c>
      <c r="F2863" s="1" t="s">
        <v>156</v>
      </c>
      <c r="G2863">
        <v>173</v>
      </c>
      <c r="H2863">
        <v>122</v>
      </c>
      <c r="I2863" s="1" t="s">
        <v>74</v>
      </c>
      <c r="J2863">
        <v>5</v>
      </c>
      <c r="K2863" t="str">
        <f>IF(Tb_data[[#This Row],[previous_workers]]&lt;Tb_data[[#This Row],[workers]],"yes","no")</f>
        <v>yes</v>
      </c>
      <c r="L2863">
        <f>Tb_data[[#This Row],[workers]]-Tb_data[[#This Row],[previous_workers]]</f>
        <v>51</v>
      </c>
      <c r="M2863" s="12">
        <f>Tb_data[[#This Row],[Employees Growth]]/Tb_data[[#This Row],[previous_workers]]</f>
        <v>0.41803278688524592</v>
      </c>
    </row>
    <row r="2864" spans="1:13" x14ac:dyDescent="0.25">
      <c r="A2864" s="1" t="s">
        <v>6892</v>
      </c>
      <c r="B2864" s="1" t="s">
        <v>6893</v>
      </c>
      <c r="C2864" s="1">
        <v>9700000</v>
      </c>
      <c r="D2864" s="1" t="s">
        <v>16</v>
      </c>
      <c r="E2864">
        <v>104.4843</v>
      </c>
      <c r="F2864" s="1" t="s">
        <v>161</v>
      </c>
      <c r="G2864">
        <v>85</v>
      </c>
      <c r="H2864">
        <v>35</v>
      </c>
      <c r="I2864" s="1" t="s">
        <v>164</v>
      </c>
      <c r="J2864">
        <v>2</v>
      </c>
      <c r="K2864" t="str">
        <f>IF(Tb_data[[#This Row],[previous_workers]]&lt;Tb_data[[#This Row],[workers]],"yes","no")</f>
        <v>yes</v>
      </c>
      <c r="L2864">
        <f>Tb_data[[#This Row],[workers]]-Tb_data[[#This Row],[previous_workers]]</f>
        <v>50</v>
      </c>
      <c r="M2864" s="12">
        <f>Tb_data[[#This Row],[Employees Growth]]/Tb_data[[#This Row],[previous_workers]]</f>
        <v>1.4285714285714286</v>
      </c>
    </row>
    <row r="2865" spans="1:13" x14ac:dyDescent="0.25">
      <c r="A2865" s="1" t="s">
        <v>9784</v>
      </c>
      <c r="B2865" s="1" t="s">
        <v>9785</v>
      </c>
      <c r="C2865" s="1">
        <v>33100000</v>
      </c>
      <c r="D2865" s="1" t="s">
        <v>129</v>
      </c>
      <c r="E2865">
        <v>56.930199999999999</v>
      </c>
      <c r="F2865" s="1" t="s">
        <v>97</v>
      </c>
      <c r="G2865">
        <v>235</v>
      </c>
      <c r="H2865">
        <v>146</v>
      </c>
      <c r="I2865" s="1" t="s">
        <v>295</v>
      </c>
      <c r="J2865">
        <v>1</v>
      </c>
      <c r="K2865" t="str">
        <f>IF(Tb_data[[#This Row],[previous_workers]]&lt;Tb_data[[#This Row],[workers]],"yes","no")</f>
        <v>yes</v>
      </c>
      <c r="L2865">
        <f>Tb_data[[#This Row],[workers]]-Tb_data[[#This Row],[previous_workers]]</f>
        <v>89</v>
      </c>
      <c r="M2865" s="12">
        <f>Tb_data[[#This Row],[Employees Growth]]/Tb_data[[#This Row],[previous_workers]]</f>
        <v>0.6095890410958904</v>
      </c>
    </row>
    <row r="2866" spans="1:13" x14ac:dyDescent="0.25">
      <c r="A2866" s="1" t="s">
        <v>7421</v>
      </c>
      <c r="B2866" s="1" t="s">
        <v>7422</v>
      </c>
      <c r="C2866" s="1">
        <v>21200000</v>
      </c>
      <c r="D2866" s="1" t="s">
        <v>11</v>
      </c>
      <c r="E2866">
        <v>94.899000000000001</v>
      </c>
      <c r="F2866" s="1" t="s">
        <v>152</v>
      </c>
      <c r="G2866">
        <v>118</v>
      </c>
      <c r="H2866">
        <v>73</v>
      </c>
      <c r="I2866" s="1" t="s">
        <v>164</v>
      </c>
      <c r="J2866">
        <v>2</v>
      </c>
      <c r="K2866" t="str">
        <f>IF(Tb_data[[#This Row],[previous_workers]]&lt;Tb_data[[#This Row],[workers]],"yes","no")</f>
        <v>yes</v>
      </c>
      <c r="L2866">
        <f>Tb_data[[#This Row],[workers]]-Tb_data[[#This Row],[previous_workers]]</f>
        <v>45</v>
      </c>
      <c r="M2866" s="12">
        <f>Tb_data[[#This Row],[Employees Growth]]/Tb_data[[#This Row],[previous_workers]]</f>
        <v>0.61643835616438358</v>
      </c>
    </row>
    <row r="2867" spans="1:13" x14ac:dyDescent="0.25">
      <c r="A2867" s="1" t="s">
        <v>6966</v>
      </c>
      <c r="B2867" s="1" t="s">
        <v>6967</v>
      </c>
      <c r="C2867" s="1">
        <v>61700000</v>
      </c>
      <c r="D2867" s="1" t="s">
        <v>41</v>
      </c>
      <c r="E2867">
        <v>102.5654</v>
      </c>
      <c r="F2867" s="1" t="s">
        <v>25</v>
      </c>
      <c r="G2867">
        <v>25</v>
      </c>
      <c r="H2867">
        <v>20</v>
      </c>
      <c r="I2867" s="1" t="s">
        <v>295</v>
      </c>
      <c r="J2867">
        <v>9</v>
      </c>
      <c r="K2867" t="str">
        <f>IF(Tb_data[[#This Row],[previous_workers]]&lt;Tb_data[[#This Row],[workers]],"yes","no")</f>
        <v>yes</v>
      </c>
      <c r="L2867">
        <f>Tb_data[[#This Row],[workers]]-Tb_data[[#This Row],[previous_workers]]</f>
        <v>5</v>
      </c>
      <c r="M2867" s="12">
        <f>Tb_data[[#This Row],[Employees Growth]]/Tb_data[[#This Row],[previous_workers]]</f>
        <v>0.25</v>
      </c>
    </row>
    <row r="2868" spans="1:13" x14ac:dyDescent="0.25">
      <c r="A2868" s="1" t="s">
        <v>8893</v>
      </c>
      <c r="B2868" s="1" t="s">
        <v>8894</v>
      </c>
      <c r="C2868" s="1">
        <v>5700000</v>
      </c>
      <c r="D2868" s="1" t="s">
        <v>254</v>
      </c>
      <c r="E2868">
        <v>68.106800000000007</v>
      </c>
      <c r="F2868" s="1" t="s">
        <v>156</v>
      </c>
      <c r="G2868">
        <v>29</v>
      </c>
      <c r="H2868">
        <v>21</v>
      </c>
      <c r="I2868" s="1" t="s">
        <v>74</v>
      </c>
      <c r="J2868">
        <v>3</v>
      </c>
      <c r="K2868" t="str">
        <f>IF(Tb_data[[#This Row],[previous_workers]]&lt;Tb_data[[#This Row],[workers]],"yes","no")</f>
        <v>yes</v>
      </c>
      <c r="L2868">
        <f>Tb_data[[#This Row],[workers]]-Tb_data[[#This Row],[previous_workers]]</f>
        <v>8</v>
      </c>
      <c r="M2868" s="12">
        <f>Tb_data[[#This Row],[Employees Growth]]/Tb_data[[#This Row],[previous_workers]]</f>
        <v>0.38095238095238093</v>
      </c>
    </row>
    <row r="2869" spans="1:13" x14ac:dyDescent="0.25">
      <c r="A2869" s="1" t="s">
        <v>2911</v>
      </c>
      <c r="B2869" s="1" t="s">
        <v>2912</v>
      </c>
      <c r="C2869" s="1">
        <v>4200000</v>
      </c>
      <c r="D2869" s="1" t="s">
        <v>129</v>
      </c>
      <c r="E2869">
        <v>296.46620000000001</v>
      </c>
      <c r="F2869" s="1" t="s">
        <v>86</v>
      </c>
      <c r="G2869">
        <v>105</v>
      </c>
      <c r="H2869">
        <v>40</v>
      </c>
      <c r="I2869" s="1" t="s">
        <v>117</v>
      </c>
      <c r="J2869">
        <v>2</v>
      </c>
      <c r="K2869" t="str">
        <f>IF(Tb_data[[#This Row],[previous_workers]]&lt;Tb_data[[#This Row],[workers]],"yes","no")</f>
        <v>yes</v>
      </c>
      <c r="L2869">
        <f>Tb_data[[#This Row],[workers]]-Tb_data[[#This Row],[previous_workers]]</f>
        <v>65</v>
      </c>
      <c r="M2869" s="12">
        <f>Tb_data[[#This Row],[Employees Growth]]/Tb_data[[#This Row],[previous_workers]]</f>
        <v>1.625</v>
      </c>
    </row>
    <row r="2870" spans="1:13" x14ac:dyDescent="0.25">
      <c r="A2870" s="1" t="s">
        <v>479</v>
      </c>
      <c r="B2870" s="1" t="s">
        <v>480</v>
      </c>
      <c r="C2870" s="1">
        <v>3600000</v>
      </c>
      <c r="D2870" s="1" t="s">
        <v>91</v>
      </c>
      <c r="E2870">
        <v>2029.6605999999999</v>
      </c>
      <c r="F2870" s="1" t="s">
        <v>86</v>
      </c>
      <c r="G2870">
        <v>18</v>
      </c>
      <c r="H2870">
        <v>4</v>
      </c>
      <c r="I2870" s="1" t="s">
        <v>55</v>
      </c>
      <c r="J2870">
        <v>1</v>
      </c>
      <c r="K2870" t="str">
        <f>IF(Tb_data[[#This Row],[previous_workers]]&lt;Tb_data[[#This Row],[workers]],"yes","no")</f>
        <v>yes</v>
      </c>
      <c r="L2870">
        <f>Tb_data[[#This Row],[workers]]-Tb_data[[#This Row],[previous_workers]]</f>
        <v>14</v>
      </c>
      <c r="M2870" s="12">
        <f>Tb_data[[#This Row],[Employees Growth]]/Tb_data[[#This Row],[previous_workers]]</f>
        <v>3.5</v>
      </c>
    </row>
    <row r="2871" spans="1:13" x14ac:dyDescent="0.25">
      <c r="A2871" s="1" t="s">
        <v>9429</v>
      </c>
      <c r="B2871" s="1" t="s">
        <v>9430</v>
      </c>
      <c r="C2871" s="1">
        <v>10400000</v>
      </c>
      <c r="D2871" s="1" t="s">
        <v>58</v>
      </c>
      <c r="E2871">
        <v>61.093400000000003</v>
      </c>
      <c r="F2871" s="1" t="s">
        <v>176</v>
      </c>
      <c r="G2871">
        <v>86</v>
      </c>
      <c r="H2871">
        <v>39</v>
      </c>
      <c r="I2871" s="1" t="s">
        <v>55</v>
      </c>
      <c r="J2871">
        <v>1</v>
      </c>
      <c r="K2871" t="str">
        <f>IF(Tb_data[[#This Row],[previous_workers]]&lt;Tb_data[[#This Row],[workers]],"yes","no")</f>
        <v>yes</v>
      </c>
      <c r="L2871">
        <f>Tb_data[[#This Row],[workers]]-Tb_data[[#This Row],[previous_workers]]</f>
        <v>47</v>
      </c>
      <c r="M2871" s="12">
        <f>Tb_data[[#This Row],[Employees Growth]]/Tb_data[[#This Row],[previous_workers]]</f>
        <v>1.2051282051282051</v>
      </c>
    </row>
    <row r="2872" spans="1:13" x14ac:dyDescent="0.25">
      <c r="A2872" s="1" t="s">
        <v>2006</v>
      </c>
      <c r="B2872" s="1" t="s">
        <v>2007</v>
      </c>
      <c r="C2872" s="1">
        <v>84100000</v>
      </c>
      <c r="D2872" s="1" t="s">
        <v>179</v>
      </c>
      <c r="E2872">
        <v>448.22449999999998</v>
      </c>
      <c r="F2872" s="1" t="s">
        <v>86</v>
      </c>
      <c r="G2872">
        <v>206</v>
      </c>
      <c r="H2872">
        <v>90</v>
      </c>
      <c r="I2872" s="1" t="s">
        <v>147</v>
      </c>
      <c r="J2872">
        <v>1</v>
      </c>
      <c r="K2872" t="str">
        <f>IF(Tb_data[[#This Row],[previous_workers]]&lt;Tb_data[[#This Row],[workers]],"yes","no")</f>
        <v>yes</v>
      </c>
      <c r="L2872">
        <f>Tb_data[[#This Row],[workers]]-Tb_data[[#This Row],[previous_workers]]</f>
        <v>116</v>
      </c>
      <c r="M2872" s="12">
        <f>Tb_data[[#This Row],[Employees Growth]]/Tb_data[[#This Row],[previous_workers]]</f>
        <v>1.288888888888889</v>
      </c>
    </row>
    <row r="2873" spans="1:13" x14ac:dyDescent="0.25">
      <c r="A2873" s="1" t="s">
        <v>8721</v>
      </c>
      <c r="B2873" s="1" t="s">
        <v>8722</v>
      </c>
      <c r="C2873" s="1">
        <v>10800000</v>
      </c>
      <c r="D2873" s="1" t="s">
        <v>52</v>
      </c>
      <c r="E2873">
        <v>70.803600000000003</v>
      </c>
      <c r="F2873" s="1" t="s">
        <v>124</v>
      </c>
      <c r="G2873">
        <v>15</v>
      </c>
      <c r="H2873">
        <v>7</v>
      </c>
      <c r="I2873" s="1" t="s">
        <v>74</v>
      </c>
      <c r="J2873">
        <v>1</v>
      </c>
      <c r="K2873" t="str">
        <f>IF(Tb_data[[#This Row],[previous_workers]]&lt;Tb_data[[#This Row],[workers]],"yes","no")</f>
        <v>yes</v>
      </c>
      <c r="L2873">
        <f>Tb_data[[#This Row],[workers]]-Tb_data[[#This Row],[previous_workers]]</f>
        <v>8</v>
      </c>
      <c r="M2873" s="12">
        <f>Tb_data[[#This Row],[Employees Growth]]/Tb_data[[#This Row],[previous_workers]]</f>
        <v>1.1428571428571428</v>
      </c>
    </row>
    <row r="2874" spans="1:13" x14ac:dyDescent="0.25">
      <c r="A2874" s="1" t="s">
        <v>6221</v>
      </c>
      <c r="B2874" s="1" t="s">
        <v>6222</v>
      </c>
      <c r="C2874" s="1">
        <v>4300000</v>
      </c>
      <c r="D2874" s="1" t="s">
        <v>115</v>
      </c>
      <c r="E2874">
        <v>120.944</v>
      </c>
      <c r="F2874" s="1" t="s">
        <v>25</v>
      </c>
      <c r="G2874">
        <v>37</v>
      </c>
      <c r="H2874">
        <v>24</v>
      </c>
      <c r="I2874" s="1" t="s">
        <v>1411</v>
      </c>
      <c r="J2874">
        <v>3</v>
      </c>
      <c r="K2874" t="str">
        <f>IF(Tb_data[[#This Row],[previous_workers]]&lt;Tb_data[[#This Row],[workers]],"yes","no")</f>
        <v>yes</v>
      </c>
      <c r="L2874">
        <f>Tb_data[[#This Row],[workers]]-Tb_data[[#This Row],[previous_workers]]</f>
        <v>13</v>
      </c>
      <c r="M2874" s="12">
        <f>Tb_data[[#This Row],[Employees Growth]]/Tb_data[[#This Row],[previous_workers]]</f>
        <v>0.54166666666666663</v>
      </c>
    </row>
    <row r="2875" spans="1:13" x14ac:dyDescent="0.25">
      <c r="A2875" s="1" t="s">
        <v>3155</v>
      </c>
      <c r="B2875" s="1" t="s">
        <v>3156</v>
      </c>
      <c r="C2875" s="1">
        <v>9000000</v>
      </c>
      <c r="D2875" s="1" t="s">
        <v>2568</v>
      </c>
      <c r="E2875">
        <v>272.76100000000002</v>
      </c>
      <c r="F2875" s="1" t="s">
        <v>135</v>
      </c>
      <c r="G2875">
        <v>51</v>
      </c>
      <c r="H2875">
        <v>9</v>
      </c>
      <c r="I2875" s="1" t="s">
        <v>35</v>
      </c>
      <c r="J2875">
        <v>3</v>
      </c>
      <c r="K2875" t="str">
        <f>IF(Tb_data[[#This Row],[previous_workers]]&lt;Tb_data[[#This Row],[workers]],"yes","no")</f>
        <v>yes</v>
      </c>
      <c r="L2875">
        <f>Tb_data[[#This Row],[workers]]-Tb_data[[#This Row],[previous_workers]]</f>
        <v>42</v>
      </c>
      <c r="M2875" s="12">
        <f>Tb_data[[#This Row],[Employees Growth]]/Tb_data[[#This Row],[previous_workers]]</f>
        <v>4.666666666666667</v>
      </c>
    </row>
    <row r="2876" spans="1:13" x14ac:dyDescent="0.25">
      <c r="A2876" s="1" t="s">
        <v>7399</v>
      </c>
      <c r="B2876" s="1" t="s">
        <v>7400</v>
      </c>
      <c r="C2876" s="1">
        <v>17400000</v>
      </c>
      <c r="D2876" s="1" t="s">
        <v>49</v>
      </c>
      <c r="E2876">
        <v>95.309600000000003</v>
      </c>
      <c r="F2876" s="1" t="s">
        <v>100</v>
      </c>
      <c r="G2876">
        <v>280</v>
      </c>
      <c r="H2876">
        <v>120</v>
      </c>
      <c r="I2876" s="1" t="s">
        <v>295</v>
      </c>
      <c r="J2876">
        <v>5</v>
      </c>
      <c r="K2876" t="str">
        <f>IF(Tb_data[[#This Row],[previous_workers]]&lt;Tb_data[[#This Row],[workers]],"yes","no")</f>
        <v>yes</v>
      </c>
      <c r="L2876">
        <f>Tb_data[[#This Row],[workers]]-Tb_data[[#This Row],[previous_workers]]</f>
        <v>160</v>
      </c>
      <c r="M2876" s="12">
        <f>Tb_data[[#This Row],[Employees Growth]]/Tb_data[[#This Row],[previous_workers]]</f>
        <v>1.3333333333333333</v>
      </c>
    </row>
    <row r="2877" spans="1:13" x14ac:dyDescent="0.25">
      <c r="A2877" s="1" t="s">
        <v>3187</v>
      </c>
      <c r="B2877" s="1" t="s">
        <v>3188</v>
      </c>
      <c r="C2877" s="1">
        <v>10100000</v>
      </c>
      <c r="D2877" s="1" t="s">
        <v>1002</v>
      </c>
      <c r="E2877">
        <v>269.7466</v>
      </c>
      <c r="F2877" s="1" t="s">
        <v>94</v>
      </c>
      <c r="G2877">
        <v>80</v>
      </c>
      <c r="H2877">
        <v>9</v>
      </c>
      <c r="I2877" s="1" t="s">
        <v>46</v>
      </c>
      <c r="J2877">
        <v>3</v>
      </c>
      <c r="K2877" t="str">
        <f>IF(Tb_data[[#This Row],[previous_workers]]&lt;Tb_data[[#This Row],[workers]],"yes","no")</f>
        <v>yes</v>
      </c>
      <c r="L2877">
        <f>Tb_data[[#This Row],[workers]]-Tb_data[[#This Row],[previous_workers]]</f>
        <v>71</v>
      </c>
      <c r="M2877" s="12">
        <f>Tb_data[[#This Row],[Employees Growth]]/Tb_data[[#This Row],[previous_workers]]</f>
        <v>7.8888888888888893</v>
      </c>
    </row>
    <row r="2878" spans="1:13" x14ac:dyDescent="0.25">
      <c r="A2878" s="1" t="s">
        <v>3219</v>
      </c>
      <c r="B2878" s="1" t="s">
        <v>3220</v>
      </c>
      <c r="C2878" s="1">
        <v>7600000</v>
      </c>
      <c r="D2878" s="1" t="s">
        <v>20</v>
      </c>
      <c r="E2878">
        <v>267.53969999999998</v>
      </c>
      <c r="F2878" s="1" t="s">
        <v>176</v>
      </c>
      <c r="G2878">
        <v>39</v>
      </c>
      <c r="H2878">
        <v>5</v>
      </c>
      <c r="I2878" s="1" t="s">
        <v>194</v>
      </c>
      <c r="J2878">
        <v>2</v>
      </c>
      <c r="K2878" t="str">
        <f>IF(Tb_data[[#This Row],[previous_workers]]&lt;Tb_data[[#This Row],[workers]],"yes","no")</f>
        <v>yes</v>
      </c>
      <c r="L2878">
        <f>Tb_data[[#This Row],[workers]]-Tb_data[[#This Row],[previous_workers]]</f>
        <v>34</v>
      </c>
      <c r="M2878" s="12">
        <f>Tb_data[[#This Row],[Employees Growth]]/Tb_data[[#This Row],[previous_workers]]</f>
        <v>6.8</v>
      </c>
    </row>
    <row r="2879" spans="1:13" x14ac:dyDescent="0.25">
      <c r="A2879" s="1" t="s">
        <v>3750</v>
      </c>
      <c r="B2879" s="1" t="s">
        <v>3751</v>
      </c>
      <c r="C2879" s="1">
        <v>30000000</v>
      </c>
      <c r="D2879" s="1" t="s">
        <v>33</v>
      </c>
      <c r="E2879">
        <v>225.09450000000001</v>
      </c>
      <c r="F2879" s="1" t="s">
        <v>34</v>
      </c>
      <c r="G2879">
        <v>65</v>
      </c>
      <c r="H2879">
        <v>12</v>
      </c>
      <c r="I2879" s="1" t="s">
        <v>130</v>
      </c>
      <c r="J2879">
        <v>1</v>
      </c>
      <c r="K2879" t="str">
        <f>IF(Tb_data[[#This Row],[previous_workers]]&lt;Tb_data[[#This Row],[workers]],"yes","no")</f>
        <v>yes</v>
      </c>
      <c r="L2879">
        <f>Tb_data[[#This Row],[workers]]-Tb_data[[#This Row],[previous_workers]]</f>
        <v>53</v>
      </c>
      <c r="M2879" s="12">
        <f>Tb_data[[#This Row],[Employees Growth]]/Tb_data[[#This Row],[previous_workers]]</f>
        <v>4.416666666666667</v>
      </c>
    </row>
    <row r="2880" spans="1:13" x14ac:dyDescent="0.25">
      <c r="A2880" s="1" t="s">
        <v>7837</v>
      </c>
      <c r="B2880" s="1" t="s">
        <v>7838</v>
      </c>
      <c r="C2880" s="1">
        <v>16200000</v>
      </c>
      <c r="D2880" s="1" t="s">
        <v>179</v>
      </c>
      <c r="E2880">
        <v>85.652600000000007</v>
      </c>
      <c r="F2880" s="1" t="s">
        <v>124</v>
      </c>
      <c r="G2880">
        <v>19</v>
      </c>
      <c r="H2880">
        <v>14</v>
      </c>
      <c r="I2880" s="1" t="s">
        <v>164</v>
      </c>
      <c r="J2880">
        <v>3</v>
      </c>
      <c r="K2880" t="str">
        <f>IF(Tb_data[[#This Row],[previous_workers]]&lt;Tb_data[[#This Row],[workers]],"yes","no")</f>
        <v>yes</v>
      </c>
      <c r="L2880">
        <f>Tb_data[[#This Row],[workers]]-Tb_data[[#This Row],[previous_workers]]</f>
        <v>5</v>
      </c>
      <c r="M2880" s="12">
        <f>Tb_data[[#This Row],[Employees Growth]]/Tb_data[[#This Row],[previous_workers]]</f>
        <v>0.35714285714285715</v>
      </c>
    </row>
    <row r="2881" spans="1:13" x14ac:dyDescent="0.25">
      <c r="A2881" s="1" t="s">
        <v>2685</v>
      </c>
      <c r="B2881" s="1" t="s">
        <v>2686</v>
      </c>
      <c r="C2881" s="1">
        <v>8700000</v>
      </c>
      <c r="D2881" s="1" t="s">
        <v>33</v>
      </c>
      <c r="E2881">
        <v>320.72460000000001</v>
      </c>
      <c r="F2881" s="1" t="s">
        <v>12</v>
      </c>
      <c r="G2881">
        <v>16</v>
      </c>
      <c r="H2881">
        <v>10</v>
      </c>
      <c r="I2881" s="1" t="s">
        <v>948</v>
      </c>
      <c r="J2881">
        <v>4</v>
      </c>
      <c r="K2881" t="str">
        <f>IF(Tb_data[[#This Row],[previous_workers]]&lt;Tb_data[[#This Row],[workers]],"yes","no")</f>
        <v>yes</v>
      </c>
      <c r="L2881">
        <f>Tb_data[[#This Row],[workers]]-Tb_data[[#This Row],[previous_workers]]</f>
        <v>6</v>
      </c>
      <c r="M2881" s="12">
        <f>Tb_data[[#This Row],[Employees Growth]]/Tb_data[[#This Row],[previous_workers]]</f>
        <v>0.6</v>
      </c>
    </row>
    <row r="2882" spans="1:13" x14ac:dyDescent="0.25">
      <c r="A2882" s="1" t="s">
        <v>6729</v>
      </c>
      <c r="B2882" s="1" t="s">
        <v>6730</v>
      </c>
      <c r="C2882" s="1">
        <v>81200000</v>
      </c>
      <c r="D2882" s="1" t="s">
        <v>29</v>
      </c>
      <c r="E2882">
        <v>108.4007</v>
      </c>
      <c r="F2882" s="1" t="s">
        <v>34</v>
      </c>
      <c r="G2882">
        <v>1080</v>
      </c>
      <c r="H2882">
        <v>450</v>
      </c>
      <c r="I2882" s="1" t="s">
        <v>55</v>
      </c>
      <c r="J2882">
        <v>5</v>
      </c>
      <c r="K2882" t="str">
        <f>IF(Tb_data[[#This Row],[previous_workers]]&lt;Tb_data[[#This Row],[workers]],"yes","no")</f>
        <v>yes</v>
      </c>
      <c r="L2882">
        <f>Tb_data[[#This Row],[workers]]-Tb_data[[#This Row],[previous_workers]]</f>
        <v>630</v>
      </c>
      <c r="M2882" s="12">
        <f>Tb_data[[#This Row],[Employees Growth]]/Tb_data[[#This Row],[previous_workers]]</f>
        <v>1.4</v>
      </c>
    </row>
    <row r="2883" spans="1:13" x14ac:dyDescent="0.25">
      <c r="A2883" s="1" t="s">
        <v>9373</v>
      </c>
      <c r="B2883" s="1" t="s">
        <v>9374</v>
      </c>
      <c r="C2883" s="1">
        <v>3900000</v>
      </c>
      <c r="D2883" s="1" t="s">
        <v>20</v>
      </c>
      <c r="E2883">
        <v>61.841200000000001</v>
      </c>
      <c r="F2883" s="1" t="s">
        <v>25</v>
      </c>
      <c r="G2883">
        <v>18</v>
      </c>
      <c r="H2883">
        <v>12</v>
      </c>
      <c r="I2883" s="1" t="s">
        <v>2628</v>
      </c>
      <c r="J2883">
        <v>1</v>
      </c>
      <c r="K2883" t="str">
        <f>IF(Tb_data[[#This Row],[previous_workers]]&lt;Tb_data[[#This Row],[workers]],"yes","no")</f>
        <v>yes</v>
      </c>
      <c r="L2883">
        <f>Tb_data[[#This Row],[workers]]-Tb_data[[#This Row],[previous_workers]]</f>
        <v>6</v>
      </c>
      <c r="M2883" s="12">
        <f>Tb_data[[#This Row],[Employees Growth]]/Tb_data[[#This Row],[previous_workers]]</f>
        <v>0.5</v>
      </c>
    </row>
    <row r="2884" spans="1:13" x14ac:dyDescent="0.25">
      <c r="A2884" s="1" t="s">
        <v>10056</v>
      </c>
      <c r="B2884" s="1" t="s">
        <v>10057</v>
      </c>
      <c r="C2884" s="1">
        <v>16500000</v>
      </c>
      <c r="D2884" s="1" t="s">
        <v>58</v>
      </c>
      <c r="E2884">
        <v>52.741300000000003</v>
      </c>
      <c r="F2884" s="1" t="s">
        <v>176</v>
      </c>
      <c r="G2884">
        <v>467</v>
      </c>
      <c r="H2884">
        <v>357</v>
      </c>
      <c r="I2884" s="1" t="s">
        <v>468</v>
      </c>
      <c r="J2884">
        <v>9</v>
      </c>
      <c r="K2884" t="str">
        <f>IF(Tb_data[[#This Row],[previous_workers]]&lt;Tb_data[[#This Row],[workers]],"yes","no")</f>
        <v>yes</v>
      </c>
      <c r="L2884">
        <f>Tb_data[[#This Row],[workers]]-Tb_data[[#This Row],[previous_workers]]</f>
        <v>110</v>
      </c>
      <c r="M2884" s="12">
        <f>Tb_data[[#This Row],[Employees Growth]]/Tb_data[[#This Row],[previous_workers]]</f>
        <v>0.3081232492997199</v>
      </c>
    </row>
    <row r="2885" spans="1:13" x14ac:dyDescent="0.25">
      <c r="A2885" s="1" t="s">
        <v>4511</v>
      </c>
      <c r="B2885" s="1" t="s">
        <v>4512</v>
      </c>
      <c r="C2885" s="1">
        <v>15700000</v>
      </c>
      <c r="D2885" s="1" t="s">
        <v>11</v>
      </c>
      <c r="E2885">
        <v>181.9956</v>
      </c>
      <c r="F2885" s="1" t="s">
        <v>135</v>
      </c>
      <c r="G2885">
        <v>62</v>
      </c>
      <c r="H2885">
        <v>23</v>
      </c>
      <c r="I2885" s="1" t="s">
        <v>130</v>
      </c>
      <c r="J2885">
        <v>2</v>
      </c>
      <c r="K2885" t="str">
        <f>IF(Tb_data[[#This Row],[previous_workers]]&lt;Tb_data[[#This Row],[workers]],"yes","no")</f>
        <v>yes</v>
      </c>
      <c r="L2885">
        <f>Tb_data[[#This Row],[workers]]-Tb_data[[#This Row],[previous_workers]]</f>
        <v>39</v>
      </c>
      <c r="M2885" s="12">
        <f>Tb_data[[#This Row],[Employees Growth]]/Tb_data[[#This Row],[previous_workers]]</f>
        <v>1.6956521739130435</v>
      </c>
    </row>
    <row r="2886" spans="1:13" x14ac:dyDescent="0.25">
      <c r="A2886" s="1" t="s">
        <v>7573</v>
      </c>
      <c r="B2886" s="1" t="s">
        <v>7574</v>
      </c>
      <c r="C2886" s="1">
        <v>10400000</v>
      </c>
      <c r="D2886" s="1" t="s">
        <v>664</v>
      </c>
      <c r="E2886">
        <v>91.019499999999994</v>
      </c>
      <c r="F2886" s="1" t="s">
        <v>124</v>
      </c>
      <c r="G2886">
        <v>86</v>
      </c>
      <c r="H2886">
        <v>55</v>
      </c>
      <c r="I2886" s="1" t="s">
        <v>194</v>
      </c>
      <c r="J2886">
        <v>1</v>
      </c>
      <c r="K2886" t="str">
        <f>IF(Tb_data[[#This Row],[previous_workers]]&lt;Tb_data[[#This Row],[workers]],"yes","no")</f>
        <v>yes</v>
      </c>
      <c r="L2886">
        <f>Tb_data[[#This Row],[workers]]-Tb_data[[#This Row],[previous_workers]]</f>
        <v>31</v>
      </c>
      <c r="M2886" s="12">
        <f>Tb_data[[#This Row],[Employees Growth]]/Tb_data[[#This Row],[previous_workers]]</f>
        <v>0.5636363636363636</v>
      </c>
    </row>
    <row r="2887" spans="1:13" x14ac:dyDescent="0.25">
      <c r="A2887" s="1" t="s">
        <v>7863</v>
      </c>
      <c r="B2887" s="1" t="s">
        <v>7864</v>
      </c>
      <c r="C2887" s="1">
        <v>21900000</v>
      </c>
      <c r="D2887" s="1" t="s">
        <v>49</v>
      </c>
      <c r="E2887">
        <v>85.281099999999995</v>
      </c>
      <c r="F2887" s="1" t="s">
        <v>62</v>
      </c>
      <c r="G2887">
        <v>60</v>
      </c>
      <c r="H2887">
        <v>38</v>
      </c>
      <c r="I2887" s="1" t="s">
        <v>194</v>
      </c>
      <c r="J2887">
        <v>6</v>
      </c>
      <c r="K2887" t="str">
        <f>IF(Tb_data[[#This Row],[previous_workers]]&lt;Tb_data[[#This Row],[workers]],"yes","no")</f>
        <v>yes</v>
      </c>
      <c r="L2887">
        <f>Tb_data[[#This Row],[workers]]-Tb_data[[#This Row],[previous_workers]]</f>
        <v>22</v>
      </c>
      <c r="M2887" s="12">
        <f>Tb_data[[#This Row],[Employees Growth]]/Tb_data[[#This Row],[previous_workers]]</f>
        <v>0.57894736842105265</v>
      </c>
    </row>
    <row r="2888" spans="1:13" x14ac:dyDescent="0.25">
      <c r="A2888" s="1" t="s">
        <v>9610</v>
      </c>
      <c r="B2888" s="1" t="s">
        <v>9611</v>
      </c>
      <c r="C2888" s="1">
        <v>2600000</v>
      </c>
      <c r="D2888" s="1" t="s">
        <v>254</v>
      </c>
      <c r="E2888">
        <v>59.050400000000003</v>
      </c>
      <c r="F2888" s="1" t="s">
        <v>176</v>
      </c>
      <c r="G2888">
        <v>19</v>
      </c>
      <c r="H2888">
        <v>13</v>
      </c>
      <c r="I2888" s="1" t="s">
        <v>295</v>
      </c>
      <c r="J2888">
        <v>1</v>
      </c>
      <c r="K2888" t="str">
        <f>IF(Tb_data[[#This Row],[previous_workers]]&lt;Tb_data[[#This Row],[workers]],"yes","no")</f>
        <v>yes</v>
      </c>
      <c r="L2888">
        <f>Tb_data[[#This Row],[workers]]-Tb_data[[#This Row],[previous_workers]]</f>
        <v>6</v>
      </c>
      <c r="M2888" s="12">
        <f>Tb_data[[#This Row],[Employees Growth]]/Tb_data[[#This Row],[previous_workers]]</f>
        <v>0.46153846153846156</v>
      </c>
    </row>
    <row r="2889" spans="1:13" x14ac:dyDescent="0.25">
      <c r="A2889" s="1" t="s">
        <v>7629</v>
      </c>
      <c r="B2889" s="1" t="s">
        <v>7630</v>
      </c>
      <c r="C2889" s="1">
        <v>17300000</v>
      </c>
      <c r="D2889" s="1" t="s">
        <v>29</v>
      </c>
      <c r="E2889">
        <v>89.383700000000005</v>
      </c>
      <c r="F2889" s="1" t="s">
        <v>97</v>
      </c>
      <c r="G2889">
        <v>4</v>
      </c>
      <c r="H2889">
        <v>3</v>
      </c>
      <c r="I2889" s="1" t="s">
        <v>74</v>
      </c>
      <c r="J2889">
        <v>2</v>
      </c>
      <c r="K2889" t="str">
        <f>IF(Tb_data[[#This Row],[previous_workers]]&lt;Tb_data[[#This Row],[workers]],"yes","no")</f>
        <v>yes</v>
      </c>
      <c r="L2889">
        <f>Tb_data[[#This Row],[workers]]-Tb_data[[#This Row],[previous_workers]]</f>
        <v>1</v>
      </c>
      <c r="M2889" s="12">
        <f>Tb_data[[#This Row],[Employees Growth]]/Tb_data[[#This Row],[previous_workers]]</f>
        <v>0.33333333333333331</v>
      </c>
    </row>
    <row r="2890" spans="1:13" x14ac:dyDescent="0.25">
      <c r="A2890" s="1" t="s">
        <v>9341</v>
      </c>
      <c r="B2890" s="1" t="s">
        <v>9342</v>
      </c>
      <c r="C2890" s="1">
        <v>4800000</v>
      </c>
      <c r="D2890" s="1" t="s">
        <v>221</v>
      </c>
      <c r="E2890">
        <v>62.339100000000002</v>
      </c>
      <c r="F2890" s="1" t="s">
        <v>97</v>
      </c>
      <c r="G2890">
        <v>10</v>
      </c>
      <c r="H2890">
        <v>7</v>
      </c>
      <c r="I2890" s="1" t="s">
        <v>46</v>
      </c>
      <c r="J2890">
        <v>5</v>
      </c>
      <c r="K2890" t="str">
        <f>IF(Tb_data[[#This Row],[previous_workers]]&lt;Tb_data[[#This Row],[workers]],"yes","no")</f>
        <v>yes</v>
      </c>
      <c r="L2890">
        <f>Tb_data[[#This Row],[workers]]-Tb_data[[#This Row],[previous_workers]]</f>
        <v>3</v>
      </c>
      <c r="M2890" s="12">
        <f>Tb_data[[#This Row],[Employees Growth]]/Tb_data[[#This Row],[previous_workers]]</f>
        <v>0.42857142857142855</v>
      </c>
    </row>
    <row r="2891" spans="1:13" x14ac:dyDescent="0.25">
      <c r="A2891" s="1" t="s">
        <v>4625</v>
      </c>
      <c r="B2891" s="1" t="s">
        <v>4626</v>
      </c>
      <c r="C2891" s="1">
        <v>5700000</v>
      </c>
      <c r="D2891" s="1" t="s">
        <v>91</v>
      </c>
      <c r="E2891">
        <v>177.01179999999999</v>
      </c>
      <c r="F2891" s="1" t="s">
        <v>112</v>
      </c>
      <c r="G2891">
        <v>38</v>
      </c>
      <c r="H2891">
        <v>8</v>
      </c>
      <c r="I2891" s="1" t="s">
        <v>26</v>
      </c>
      <c r="J2891">
        <v>1</v>
      </c>
      <c r="K2891" t="str">
        <f>IF(Tb_data[[#This Row],[previous_workers]]&lt;Tb_data[[#This Row],[workers]],"yes","no")</f>
        <v>yes</v>
      </c>
      <c r="L2891">
        <f>Tb_data[[#This Row],[workers]]-Tb_data[[#This Row],[previous_workers]]</f>
        <v>30</v>
      </c>
      <c r="M2891" s="12">
        <f>Tb_data[[#This Row],[Employees Growth]]/Tb_data[[#This Row],[previous_workers]]</f>
        <v>3.75</v>
      </c>
    </row>
    <row r="2892" spans="1:13" x14ac:dyDescent="0.25">
      <c r="A2892" s="1" t="s">
        <v>5384</v>
      </c>
      <c r="B2892" s="1" t="s">
        <v>5385</v>
      </c>
      <c r="C2892" s="1">
        <v>13700000</v>
      </c>
      <c r="D2892" s="1" t="s">
        <v>20</v>
      </c>
      <c r="E2892">
        <v>147.01089999999999</v>
      </c>
      <c r="F2892" s="1" t="s">
        <v>161</v>
      </c>
      <c r="G2892">
        <v>35</v>
      </c>
      <c r="H2892">
        <v>22</v>
      </c>
      <c r="I2892" s="1" t="s">
        <v>961</v>
      </c>
      <c r="J2892">
        <v>6</v>
      </c>
      <c r="K2892" t="str">
        <f>IF(Tb_data[[#This Row],[previous_workers]]&lt;Tb_data[[#This Row],[workers]],"yes","no")</f>
        <v>yes</v>
      </c>
      <c r="L2892">
        <f>Tb_data[[#This Row],[workers]]-Tb_data[[#This Row],[previous_workers]]</f>
        <v>13</v>
      </c>
      <c r="M2892" s="12">
        <f>Tb_data[[#This Row],[Employees Growth]]/Tb_data[[#This Row],[previous_workers]]</f>
        <v>0.59090909090909094</v>
      </c>
    </row>
    <row r="2893" spans="1:13" x14ac:dyDescent="0.25">
      <c r="A2893" s="1" t="s">
        <v>9838</v>
      </c>
      <c r="B2893" s="1" t="s">
        <v>9839</v>
      </c>
      <c r="C2893" s="1">
        <v>4700000</v>
      </c>
      <c r="D2893" s="1" t="s">
        <v>11</v>
      </c>
      <c r="E2893">
        <v>56.192799999999998</v>
      </c>
      <c r="F2893" s="1" t="s">
        <v>17</v>
      </c>
      <c r="G2893">
        <v>75</v>
      </c>
      <c r="H2893">
        <v>40</v>
      </c>
      <c r="I2893" s="1" t="s">
        <v>46</v>
      </c>
      <c r="J2893">
        <v>1</v>
      </c>
      <c r="K2893" t="str">
        <f>IF(Tb_data[[#This Row],[previous_workers]]&lt;Tb_data[[#This Row],[workers]],"yes","no")</f>
        <v>yes</v>
      </c>
      <c r="L2893">
        <f>Tb_data[[#This Row],[workers]]-Tb_data[[#This Row],[previous_workers]]</f>
        <v>35</v>
      </c>
      <c r="M2893" s="12">
        <f>Tb_data[[#This Row],[Employees Growth]]/Tb_data[[#This Row],[previous_workers]]</f>
        <v>0.875</v>
      </c>
    </row>
    <row r="2894" spans="1:13" x14ac:dyDescent="0.25">
      <c r="A2894" s="1" t="s">
        <v>6785</v>
      </c>
      <c r="B2894" s="1" t="s">
        <v>6786</v>
      </c>
      <c r="C2894" s="1">
        <v>2800000</v>
      </c>
      <c r="D2894" s="1" t="s">
        <v>61</v>
      </c>
      <c r="E2894">
        <v>107.0517</v>
      </c>
      <c r="F2894" s="1" t="s">
        <v>142</v>
      </c>
      <c r="G2894">
        <v>50</v>
      </c>
      <c r="H2894">
        <v>12</v>
      </c>
      <c r="I2894" s="1" t="s">
        <v>55</v>
      </c>
      <c r="J2894">
        <v>2</v>
      </c>
      <c r="K2894" t="str">
        <f>IF(Tb_data[[#This Row],[previous_workers]]&lt;Tb_data[[#This Row],[workers]],"yes","no")</f>
        <v>yes</v>
      </c>
      <c r="L2894">
        <f>Tb_data[[#This Row],[workers]]-Tb_data[[#This Row],[previous_workers]]</f>
        <v>38</v>
      </c>
      <c r="M2894" s="12">
        <f>Tb_data[[#This Row],[Employees Growth]]/Tb_data[[#This Row],[previous_workers]]</f>
        <v>3.1666666666666665</v>
      </c>
    </row>
    <row r="2895" spans="1:13" x14ac:dyDescent="0.25">
      <c r="A2895" s="1" t="s">
        <v>63</v>
      </c>
      <c r="B2895" s="1" t="s">
        <v>64</v>
      </c>
      <c r="C2895" s="1">
        <v>17300000</v>
      </c>
      <c r="D2895" s="1" t="s">
        <v>49</v>
      </c>
      <c r="E2895">
        <v>10175.755300000001</v>
      </c>
      <c r="F2895" s="1" t="s">
        <v>12</v>
      </c>
      <c r="G2895">
        <v>109</v>
      </c>
      <c r="H2895">
        <v>8</v>
      </c>
      <c r="I2895" s="1" t="s">
        <v>26</v>
      </c>
      <c r="J2895">
        <v>3</v>
      </c>
      <c r="K2895" t="str">
        <f>IF(Tb_data[[#This Row],[previous_workers]]&lt;Tb_data[[#This Row],[workers]],"yes","no")</f>
        <v>yes</v>
      </c>
      <c r="L2895">
        <f>Tb_data[[#This Row],[workers]]-Tb_data[[#This Row],[previous_workers]]</f>
        <v>101</v>
      </c>
      <c r="M2895" s="12">
        <f>Tb_data[[#This Row],[Employees Growth]]/Tb_data[[#This Row],[previous_workers]]</f>
        <v>12.625</v>
      </c>
    </row>
    <row r="2896" spans="1:13" x14ac:dyDescent="0.25">
      <c r="A2896" s="1" t="s">
        <v>8385</v>
      </c>
      <c r="B2896" s="1" t="s">
        <v>8386</v>
      </c>
      <c r="C2896" s="1">
        <v>17200000</v>
      </c>
      <c r="D2896" s="1" t="s">
        <v>483</v>
      </c>
      <c r="E2896">
        <v>76.387</v>
      </c>
      <c r="F2896" s="1" t="s">
        <v>97</v>
      </c>
      <c r="G2896">
        <v>19</v>
      </c>
      <c r="H2896">
        <v>14</v>
      </c>
      <c r="I2896" s="1" t="s">
        <v>2628</v>
      </c>
      <c r="J2896">
        <v>3</v>
      </c>
      <c r="K2896" t="str">
        <f>IF(Tb_data[[#This Row],[previous_workers]]&lt;Tb_data[[#This Row],[workers]],"yes","no")</f>
        <v>yes</v>
      </c>
      <c r="L2896">
        <f>Tb_data[[#This Row],[workers]]-Tb_data[[#This Row],[previous_workers]]</f>
        <v>5</v>
      </c>
      <c r="M2896" s="12">
        <f>Tb_data[[#This Row],[Employees Growth]]/Tb_data[[#This Row],[previous_workers]]</f>
        <v>0.35714285714285715</v>
      </c>
    </row>
    <row r="2897" spans="1:13" x14ac:dyDescent="0.25">
      <c r="A2897" s="1" t="s">
        <v>1574</v>
      </c>
      <c r="B2897" s="1" t="s">
        <v>1575</v>
      </c>
      <c r="C2897" s="1">
        <v>73200000</v>
      </c>
      <c r="D2897" s="1" t="s">
        <v>11</v>
      </c>
      <c r="E2897">
        <v>592.51890000000003</v>
      </c>
      <c r="F2897" s="1" t="s">
        <v>100</v>
      </c>
      <c r="G2897">
        <v>1995</v>
      </c>
      <c r="H2897">
        <v>478</v>
      </c>
      <c r="I2897" s="1" t="s">
        <v>295</v>
      </c>
      <c r="J2897">
        <v>5</v>
      </c>
      <c r="K2897" t="str">
        <f>IF(Tb_data[[#This Row],[previous_workers]]&lt;Tb_data[[#This Row],[workers]],"yes","no")</f>
        <v>yes</v>
      </c>
      <c r="L2897">
        <f>Tb_data[[#This Row],[workers]]-Tb_data[[#This Row],[previous_workers]]</f>
        <v>1517</v>
      </c>
      <c r="M2897" s="12">
        <f>Tb_data[[#This Row],[Employees Growth]]/Tb_data[[#This Row],[previous_workers]]</f>
        <v>3.1736401673640167</v>
      </c>
    </row>
    <row r="2898" spans="1:13" x14ac:dyDescent="0.25">
      <c r="A2898" s="1" t="s">
        <v>8467</v>
      </c>
      <c r="B2898" s="1" t="s">
        <v>8468</v>
      </c>
      <c r="C2898" s="1">
        <v>16900000</v>
      </c>
      <c r="D2898" s="1" t="s">
        <v>33</v>
      </c>
      <c r="E2898">
        <v>74.750100000000003</v>
      </c>
      <c r="F2898" s="1" t="s">
        <v>124</v>
      </c>
      <c r="G2898">
        <v>99</v>
      </c>
      <c r="H2898">
        <v>59</v>
      </c>
      <c r="I2898" s="1" t="s">
        <v>948</v>
      </c>
      <c r="J2898">
        <v>4</v>
      </c>
      <c r="K2898" t="str">
        <f>IF(Tb_data[[#This Row],[previous_workers]]&lt;Tb_data[[#This Row],[workers]],"yes","no")</f>
        <v>yes</v>
      </c>
      <c r="L2898">
        <f>Tb_data[[#This Row],[workers]]-Tb_data[[#This Row],[previous_workers]]</f>
        <v>40</v>
      </c>
      <c r="M2898" s="12">
        <f>Tb_data[[#This Row],[Employees Growth]]/Tb_data[[#This Row],[previous_workers]]</f>
        <v>0.67796610169491522</v>
      </c>
    </row>
    <row r="2899" spans="1:13" x14ac:dyDescent="0.25">
      <c r="A2899" s="1" t="s">
        <v>6159</v>
      </c>
      <c r="B2899" s="1" t="s">
        <v>6160</v>
      </c>
      <c r="C2899" s="1">
        <v>49400000</v>
      </c>
      <c r="D2899" s="1" t="s">
        <v>115</v>
      </c>
      <c r="E2899">
        <v>122.2684</v>
      </c>
      <c r="F2899" s="1" t="s">
        <v>176</v>
      </c>
      <c r="G2899">
        <v>30</v>
      </c>
      <c r="H2899">
        <v>20</v>
      </c>
      <c r="I2899" s="1" t="s">
        <v>147</v>
      </c>
      <c r="J2899">
        <v>2</v>
      </c>
      <c r="K2899" t="str">
        <f>IF(Tb_data[[#This Row],[previous_workers]]&lt;Tb_data[[#This Row],[workers]],"yes","no")</f>
        <v>yes</v>
      </c>
      <c r="L2899">
        <f>Tb_data[[#This Row],[workers]]-Tb_data[[#This Row],[previous_workers]]</f>
        <v>10</v>
      </c>
      <c r="M2899" s="12">
        <f>Tb_data[[#This Row],[Employees Growth]]/Tb_data[[#This Row],[previous_workers]]</f>
        <v>0.5</v>
      </c>
    </row>
    <row r="2900" spans="1:13" x14ac:dyDescent="0.25">
      <c r="A2900" s="1" t="s">
        <v>3856</v>
      </c>
      <c r="B2900" s="1" t="s">
        <v>3857</v>
      </c>
      <c r="C2900" s="1">
        <v>57200000</v>
      </c>
      <c r="D2900" s="1" t="s">
        <v>115</v>
      </c>
      <c r="E2900">
        <v>217.01310000000001</v>
      </c>
      <c r="F2900" s="1" t="s">
        <v>310</v>
      </c>
      <c r="G2900">
        <v>450</v>
      </c>
      <c r="H2900">
        <v>150</v>
      </c>
      <c r="I2900" s="1" t="s">
        <v>194</v>
      </c>
      <c r="J2900">
        <v>2</v>
      </c>
      <c r="K2900" t="str">
        <f>IF(Tb_data[[#This Row],[previous_workers]]&lt;Tb_data[[#This Row],[workers]],"yes","no")</f>
        <v>yes</v>
      </c>
      <c r="L2900">
        <f>Tb_data[[#This Row],[workers]]-Tb_data[[#This Row],[previous_workers]]</f>
        <v>300</v>
      </c>
      <c r="M2900" s="12">
        <f>Tb_data[[#This Row],[Employees Growth]]/Tb_data[[#This Row],[previous_workers]]</f>
        <v>2</v>
      </c>
    </row>
    <row r="2901" spans="1:13" x14ac:dyDescent="0.25">
      <c r="A2901" s="1" t="s">
        <v>450</v>
      </c>
      <c r="B2901" s="1" t="s">
        <v>451</v>
      </c>
      <c r="C2901" s="1">
        <v>2700000</v>
      </c>
      <c r="D2901" s="1" t="s">
        <v>69</v>
      </c>
      <c r="E2901">
        <v>2116.4110000000001</v>
      </c>
      <c r="F2901" s="1" t="s">
        <v>34</v>
      </c>
      <c r="G2901">
        <v>64</v>
      </c>
      <c r="H2901">
        <v>12</v>
      </c>
      <c r="I2901" s="1" t="s">
        <v>13</v>
      </c>
      <c r="J2901">
        <v>1</v>
      </c>
      <c r="K2901" t="str">
        <f>IF(Tb_data[[#This Row],[previous_workers]]&lt;Tb_data[[#This Row],[workers]],"yes","no")</f>
        <v>yes</v>
      </c>
      <c r="L2901">
        <f>Tb_data[[#This Row],[workers]]-Tb_data[[#This Row],[previous_workers]]</f>
        <v>52</v>
      </c>
      <c r="M2901" s="12">
        <f>Tb_data[[#This Row],[Employees Growth]]/Tb_data[[#This Row],[previous_workers]]</f>
        <v>4.333333333333333</v>
      </c>
    </row>
    <row r="2902" spans="1:13" x14ac:dyDescent="0.25">
      <c r="A2902" s="1" t="s">
        <v>8753</v>
      </c>
      <c r="B2902" s="1" t="s">
        <v>8754</v>
      </c>
      <c r="C2902" s="1">
        <v>6600000</v>
      </c>
      <c r="D2902" s="1" t="s">
        <v>20</v>
      </c>
      <c r="E2902">
        <v>70.343000000000004</v>
      </c>
      <c r="F2902" s="1" t="s">
        <v>156</v>
      </c>
      <c r="G2902">
        <v>42</v>
      </c>
      <c r="H2902">
        <v>26</v>
      </c>
      <c r="I2902" s="1" t="s">
        <v>1356</v>
      </c>
      <c r="J2902">
        <v>4</v>
      </c>
      <c r="K2902" t="str">
        <f>IF(Tb_data[[#This Row],[previous_workers]]&lt;Tb_data[[#This Row],[workers]],"yes","no")</f>
        <v>yes</v>
      </c>
      <c r="L2902">
        <f>Tb_data[[#This Row],[workers]]-Tb_data[[#This Row],[previous_workers]]</f>
        <v>16</v>
      </c>
      <c r="M2902" s="12">
        <f>Tb_data[[#This Row],[Employees Growth]]/Tb_data[[#This Row],[previous_workers]]</f>
        <v>0.61538461538461542</v>
      </c>
    </row>
    <row r="2903" spans="1:13" x14ac:dyDescent="0.25">
      <c r="A2903" s="1" t="s">
        <v>8975</v>
      </c>
      <c r="B2903" s="1" t="s">
        <v>8976</v>
      </c>
      <c r="C2903" s="1">
        <v>12700000</v>
      </c>
      <c r="D2903" s="1" t="s">
        <v>61</v>
      </c>
      <c r="E2903">
        <v>66.924499999999995</v>
      </c>
      <c r="F2903" s="1" t="s">
        <v>176</v>
      </c>
      <c r="G2903">
        <v>13</v>
      </c>
      <c r="H2903">
        <v>13</v>
      </c>
      <c r="I2903" s="1" t="s">
        <v>130</v>
      </c>
      <c r="J2903">
        <v>4</v>
      </c>
      <c r="K2903" t="str">
        <f>IF(Tb_data[[#This Row],[previous_workers]]&lt;Tb_data[[#This Row],[workers]],"yes","no")</f>
        <v>no</v>
      </c>
      <c r="L2903">
        <f>Tb_data[[#This Row],[workers]]-Tb_data[[#This Row],[previous_workers]]</f>
        <v>0</v>
      </c>
      <c r="M2903" s="12">
        <f>Tb_data[[#This Row],[Employees Growth]]/Tb_data[[#This Row],[previous_workers]]</f>
        <v>0</v>
      </c>
    </row>
    <row r="2904" spans="1:13" x14ac:dyDescent="0.25">
      <c r="A2904" s="1" t="s">
        <v>3287</v>
      </c>
      <c r="B2904" s="1" t="s">
        <v>3288</v>
      </c>
      <c r="C2904" s="1">
        <v>2500000</v>
      </c>
      <c r="D2904" s="1" t="s">
        <v>49</v>
      </c>
      <c r="E2904">
        <v>261.86320000000001</v>
      </c>
      <c r="F2904" s="1" t="s">
        <v>25</v>
      </c>
      <c r="G2904">
        <v>6</v>
      </c>
      <c r="H2904">
        <v>2</v>
      </c>
      <c r="I2904" s="1" t="s">
        <v>26</v>
      </c>
      <c r="J2904">
        <v>1</v>
      </c>
      <c r="K2904" t="str">
        <f>IF(Tb_data[[#This Row],[previous_workers]]&lt;Tb_data[[#This Row],[workers]],"yes","no")</f>
        <v>yes</v>
      </c>
      <c r="L2904">
        <f>Tb_data[[#This Row],[workers]]-Tb_data[[#This Row],[previous_workers]]</f>
        <v>4</v>
      </c>
      <c r="M2904" s="12">
        <f>Tb_data[[#This Row],[Employees Growth]]/Tb_data[[#This Row],[previous_workers]]</f>
        <v>2</v>
      </c>
    </row>
    <row r="2905" spans="1:13" x14ac:dyDescent="0.25">
      <c r="A2905" s="1" t="s">
        <v>2230</v>
      </c>
      <c r="B2905" s="1" t="s">
        <v>2231</v>
      </c>
      <c r="C2905" s="1">
        <v>7900000</v>
      </c>
      <c r="D2905" s="1" t="s">
        <v>49</v>
      </c>
      <c r="E2905">
        <v>395.80070000000001</v>
      </c>
      <c r="F2905" s="1" t="s">
        <v>514</v>
      </c>
      <c r="G2905">
        <v>17</v>
      </c>
      <c r="H2905">
        <v>7</v>
      </c>
      <c r="I2905" s="1" t="s">
        <v>26</v>
      </c>
      <c r="J2905">
        <v>1</v>
      </c>
      <c r="K2905" t="str">
        <f>IF(Tb_data[[#This Row],[previous_workers]]&lt;Tb_data[[#This Row],[workers]],"yes","no")</f>
        <v>yes</v>
      </c>
      <c r="L2905">
        <f>Tb_data[[#This Row],[workers]]-Tb_data[[#This Row],[previous_workers]]</f>
        <v>10</v>
      </c>
      <c r="M2905" s="12">
        <f>Tb_data[[#This Row],[Employees Growth]]/Tb_data[[#This Row],[previous_workers]]</f>
        <v>1.4285714285714286</v>
      </c>
    </row>
    <row r="2906" spans="1:13" x14ac:dyDescent="0.25">
      <c r="A2906" s="1" t="s">
        <v>5122</v>
      </c>
      <c r="B2906" s="1" t="s">
        <v>5123</v>
      </c>
      <c r="C2906" s="1">
        <v>6200000</v>
      </c>
      <c r="D2906" s="1" t="s">
        <v>380</v>
      </c>
      <c r="E2906">
        <v>156.7945</v>
      </c>
      <c r="F2906" s="1" t="s">
        <v>86</v>
      </c>
      <c r="G2906">
        <v>87</v>
      </c>
      <c r="H2906">
        <v>29</v>
      </c>
      <c r="I2906" s="1" t="s">
        <v>164</v>
      </c>
      <c r="J2906">
        <v>4</v>
      </c>
      <c r="K2906" t="str">
        <f>IF(Tb_data[[#This Row],[previous_workers]]&lt;Tb_data[[#This Row],[workers]],"yes","no")</f>
        <v>yes</v>
      </c>
      <c r="L2906">
        <f>Tb_data[[#This Row],[workers]]-Tb_data[[#This Row],[previous_workers]]</f>
        <v>58</v>
      </c>
      <c r="M2906" s="12">
        <f>Tb_data[[#This Row],[Employees Growth]]/Tb_data[[#This Row],[previous_workers]]</f>
        <v>2</v>
      </c>
    </row>
    <row r="2907" spans="1:13" x14ac:dyDescent="0.25">
      <c r="A2907" s="1" t="s">
        <v>9153</v>
      </c>
      <c r="B2907" s="1" t="s">
        <v>9154</v>
      </c>
      <c r="C2907" s="1">
        <v>151400000</v>
      </c>
      <c r="D2907" s="1" t="s">
        <v>61</v>
      </c>
      <c r="E2907">
        <v>64.803100000000001</v>
      </c>
      <c r="F2907" s="1" t="s">
        <v>156</v>
      </c>
      <c r="G2907">
        <v>93</v>
      </c>
      <c r="H2907">
        <v>96</v>
      </c>
      <c r="I2907" s="1" t="s">
        <v>948</v>
      </c>
      <c r="J2907">
        <v>11</v>
      </c>
      <c r="K2907" t="str">
        <f>IF(Tb_data[[#This Row],[previous_workers]]&lt;Tb_data[[#This Row],[workers]],"yes","no")</f>
        <v>no</v>
      </c>
      <c r="L2907">
        <f>Tb_data[[#This Row],[workers]]-Tb_data[[#This Row],[previous_workers]]</f>
        <v>-3</v>
      </c>
      <c r="M2907" s="12">
        <f>Tb_data[[#This Row],[Employees Growth]]/Tb_data[[#This Row],[previous_workers]]</f>
        <v>-3.125E-2</v>
      </c>
    </row>
    <row r="2908" spans="1:13" x14ac:dyDescent="0.25">
      <c r="A2908" s="1" t="s">
        <v>5264</v>
      </c>
      <c r="B2908" s="1" t="s">
        <v>5265</v>
      </c>
      <c r="C2908" s="1">
        <v>24700000</v>
      </c>
      <c r="D2908" s="1" t="s">
        <v>20</v>
      </c>
      <c r="E2908">
        <v>151.19059999999999</v>
      </c>
      <c r="F2908" s="1" t="s">
        <v>176</v>
      </c>
      <c r="G2908">
        <v>90</v>
      </c>
      <c r="H2908">
        <v>44</v>
      </c>
      <c r="I2908" s="1" t="s">
        <v>130</v>
      </c>
      <c r="J2908">
        <v>4</v>
      </c>
      <c r="K2908" t="str">
        <f>IF(Tb_data[[#This Row],[previous_workers]]&lt;Tb_data[[#This Row],[workers]],"yes","no")</f>
        <v>yes</v>
      </c>
      <c r="L2908">
        <f>Tb_data[[#This Row],[workers]]-Tb_data[[#This Row],[previous_workers]]</f>
        <v>46</v>
      </c>
      <c r="M2908" s="12">
        <f>Tb_data[[#This Row],[Employees Growth]]/Tb_data[[#This Row],[previous_workers]]</f>
        <v>1.0454545454545454</v>
      </c>
    </row>
    <row r="2909" spans="1:13" x14ac:dyDescent="0.25">
      <c r="A2909" s="1" t="s">
        <v>573</v>
      </c>
      <c r="B2909" s="1" t="s">
        <v>574</v>
      </c>
      <c r="C2909" s="1">
        <v>5300000</v>
      </c>
      <c r="D2909" s="1" t="s">
        <v>129</v>
      </c>
      <c r="E2909">
        <v>1733.9362000000001</v>
      </c>
      <c r="F2909" s="1" t="s">
        <v>161</v>
      </c>
      <c r="G2909">
        <v>40</v>
      </c>
      <c r="H2909">
        <v>10</v>
      </c>
      <c r="I2909" s="1" t="s">
        <v>26</v>
      </c>
      <c r="J2909">
        <v>1</v>
      </c>
      <c r="K2909" t="str">
        <f>IF(Tb_data[[#This Row],[previous_workers]]&lt;Tb_data[[#This Row],[workers]],"yes","no")</f>
        <v>yes</v>
      </c>
      <c r="L2909">
        <f>Tb_data[[#This Row],[workers]]-Tb_data[[#This Row],[previous_workers]]</f>
        <v>30</v>
      </c>
      <c r="M2909" s="12">
        <f>Tb_data[[#This Row],[Employees Growth]]/Tb_data[[#This Row],[previous_workers]]</f>
        <v>3</v>
      </c>
    </row>
    <row r="2910" spans="1:13" x14ac:dyDescent="0.25">
      <c r="A2910" s="1" t="s">
        <v>1900</v>
      </c>
      <c r="B2910" s="1" t="s">
        <v>1901</v>
      </c>
      <c r="C2910" s="1">
        <v>3700000</v>
      </c>
      <c r="D2910" s="1" t="s">
        <v>33</v>
      </c>
      <c r="E2910">
        <v>473.50279999999998</v>
      </c>
      <c r="F2910" s="1" t="s">
        <v>310</v>
      </c>
      <c r="G2910">
        <v>19</v>
      </c>
      <c r="H2910">
        <v>3</v>
      </c>
      <c r="I2910" s="1" t="s">
        <v>117</v>
      </c>
      <c r="J2910">
        <v>3</v>
      </c>
      <c r="K2910" t="str">
        <f>IF(Tb_data[[#This Row],[previous_workers]]&lt;Tb_data[[#This Row],[workers]],"yes","no")</f>
        <v>yes</v>
      </c>
      <c r="L2910">
        <f>Tb_data[[#This Row],[workers]]-Tb_data[[#This Row],[previous_workers]]</f>
        <v>16</v>
      </c>
      <c r="M2910" s="12">
        <f>Tb_data[[#This Row],[Employees Growth]]/Tb_data[[#This Row],[previous_workers]]</f>
        <v>5.333333333333333</v>
      </c>
    </row>
    <row r="2911" spans="1:13" x14ac:dyDescent="0.25">
      <c r="A2911" s="1" t="s">
        <v>8805</v>
      </c>
      <c r="B2911" s="1" t="s">
        <v>8806</v>
      </c>
      <c r="C2911" s="1">
        <v>12200000</v>
      </c>
      <c r="D2911" s="1" t="s">
        <v>11</v>
      </c>
      <c r="E2911">
        <v>69.406199999999998</v>
      </c>
      <c r="F2911" s="1" t="s">
        <v>124</v>
      </c>
      <c r="G2911">
        <v>90</v>
      </c>
      <c r="H2911">
        <v>50</v>
      </c>
      <c r="I2911" s="1" t="s">
        <v>4062</v>
      </c>
      <c r="J2911">
        <v>1</v>
      </c>
      <c r="K2911" t="str">
        <f>IF(Tb_data[[#This Row],[previous_workers]]&lt;Tb_data[[#This Row],[workers]],"yes","no")</f>
        <v>yes</v>
      </c>
      <c r="L2911">
        <f>Tb_data[[#This Row],[workers]]-Tb_data[[#This Row],[previous_workers]]</f>
        <v>40</v>
      </c>
      <c r="M2911" s="12">
        <f>Tb_data[[#This Row],[Employees Growth]]/Tb_data[[#This Row],[previous_workers]]</f>
        <v>0.8</v>
      </c>
    </row>
    <row r="2912" spans="1:13" x14ac:dyDescent="0.25">
      <c r="A2912" s="1" t="s">
        <v>3201</v>
      </c>
      <c r="B2912" s="1" t="s">
        <v>3202</v>
      </c>
      <c r="C2912" s="1">
        <v>160700000</v>
      </c>
      <c r="D2912" s="1" t="s">
        <v>129</v>
      </c>
      <c r="E2912">
        <v>269.29109999999997</v>
      </c>
      <c r="F2912" s="1" t="s">
        <v>97</v>
      </c>
      <c r="G2912">
        <v>44</v>
      </c>
      <c r="H2912">
        <v>18</v>
      </c>
      <c r="I2912" s="1" t="s">
        <v>117</v>
      </c>
      <c r="J2912">
        <v>4</v>
      </c>
      <c r="K2912" t="str">
        <f>IF(Tb_data[[#This Row],[previous_workers]]&lt;Tb_data[[#This Row],[workers]],"yes","no")</f>
        <v>yes</v>
      </c>
      <c r="L2912">
        <f>Tb_data[[#This Row],[workers]]-Tb_data[[#This Row],[previous_workers]]</f>
        <v>26</v>
      </c>
      <c r="M2912" s="12">
        <f>Tb_data[[#This Row],[Employees Growth]]/Tb_data[[#This Row],[previous_workers]]</f>
        <v>1.4444444444444444</v>
      </c>
    </row>
    <row r="2913" spans="1:13" x14ac:dyDescent="0.25">
      <c r="A2913" s="1" t="s">
        <v>3935</v>
      </c>
      <c r="B2913" s="1" t="s">
        <v>3936</v>
      </c>
      <c r="C2913" s="1">
        <v>7900000</v>
      </c>
      <c r="D2913" s="1" t="s">
        <v>69</v>
      </c>
      <c r="E2913">
        <v>210.983</v>
      </c>
      <c r="F2913" s="1" t="s">
        <v>86</v>
      </c>
      <c r="G2913">
        <v>62</v>
      </c>
      <c r="H2913">
        <v>40</v>
      </c>
      <c r="I2913" s="1" t="s">
        <v>948</v>
      </c>
      <c r="J2913">
        <v>3</v>
      </c>
      <c r="K2913" t="str">
        <f>IF(Tb_data[[#This Row],[previous_workers]]&lt;Tb_data[[#This Row],[workers]],"yes","no")</f>
        <v>yes</v>
      </c>
      <c r="L2913">
        <f>Tb_data[[#This Row],[workers]]-Tb_data[[#This Row],[previous_workers]]</f>
        <v>22</v>
      </c>
      <c r="M2913" s="12">
        <f>Tb_data[[#This Row],[Employees Growth]]/Tb_data[[#This Row],[previous_workers]]</f>
        <v>0.55000000000000004</v>
      </c>
    </row>
    <row r="2914" spans="1:13" x14ac:dyDescent="0.25">
      <c r="A2914" s="1" t="s">
        <v>818</v>
      </c>
      <c r="B2914" s="1" t="s">
        <v>819</v>
      </c>
      <c r="C2914" s="1">
        <v>12000000</v>
      </c>
      <c r="D2914" s="1" t="s">
        <v>85</v>
      </c>
      <c r="E2914">
        <v>1252.8198</v>
      </c>
      <c r="F2914" s="1" t="s">
        <v>30</v>
      </c>
      <c r="G2914">
        <v>29</v>
      </c>
      <c r="H2914">
        <v>19</v>
      </c>
      <c r="I2914" s="1" t="s">
        <v>130</v>
      </c>
      <c r="J2914">
        <v>3</v>
      </c>
      <c r="K2914" t="str">
        <f>IF(Tb_data[[#This Row],[previous_workers]]&lt;Tb_data[[#This Row],[workers]],"yes","no")</f>
        <v>yes</v>
      </c>
      <c r="L2914">
        <f>Tb_data[[#This Row],[workers]]-Tb_data[[#This Row],[previous_workers]]</f>
        <v>10</v>
      </c>
      <c r="M2914" s="12">
        <f>Tb_data[[#This Row],[Employees Growth]]/Tb_data[[#This Row],[previous_workers]]</f>
        <v>0.52631578947368418</v>
      </c>
    </row>
    <row r="2915" spans="1:13" x14ac:dyDescent="0.25">
      <c r="A2915" s="1" t="s">
        <v>9523</v>
      </c>
      <c r="B2915" s="1" t="s">
        <v>9524</v>
      </c>
      <c r="C2915" s="1">
        <v>11000000</v>
      </c>
      <c r="D2915" s="1" t="s">
        <v>61</v>
      </c>
      <c r="E2915">
        <v>59.993400000000001</v>
      </c>
      <c r="F2915" s="1" t="s">
        <v>176</v>
      </c>
      <c r="G2915">
        <v>30</v>
      </c>
      <c r="H2915">
        <v>6</v>
      </c>
      <c r="I2915" s="1" t="s">
        <v>9525</v>
      </c>
      <c r="J2915">
        <v>6</v>
      </c>
      <c r="K2915" t="str">
        <f>IF(Tb_data[[#This Row],[previous_workers]]&lt;Tb_data[[#This Row],[workers]],"yes","no")</f>
        <v>yes</v>
      </c>
      <c r="L2915">
        <f>Tb_data[[#This Row],[workers]]-Tb_data[[#This Row],[previous_workers]]</f>
        <v>24</v>
      </c>
      <c r="M2915" s="12">
        <f>Tb_data[[#This Row],[Employees Growth]]/Tb_data[[#This Row],[previous_workers]]</f>
        <v>4</v>
      </c>
    </row>
    <row r="2916" spans="1:13" x14ac:dyDescent="0.25">
      <c r="A2916" s="1" t="s">
        <v>8405</v>
      </c>
      <c r="B2916" s="1" t="s">
        <v>8406</v>
      </c>
      <c r="C2916" s="1">
        <v>61200000</v>
      </c>
      <c r="D2916" s="1" t="s">
        <v>33</v>
      </c>
      <c r="E2916">
        <v>75.838899999999995</v>
      </c>
      <c r="F2916" s="1" t="s">
        <v>21</v>
      </c>
      <c r="G2916">
        <v>250</v>
      </c>
      <c r="H2916">
        <v>150</v>
      </c>
      <c r="I2916" s="1" t="s">
        <v>1657</v>
      </c>
      <c r="J2916">
        <v>3</v>
      </c>
      <c r="K2916" t="str">
        <f>IF(Tb_data[[#This Row],[previous_workers]]&lt;Tb_data[[#This Row],[workers]],"yes","no")</f>
        <v>yes</v>
      </c>
      <c r="L2916">
        <f>Tb_data[[#This Row],[workers]]-Tb_data[[#This Row],[previous_workers]]</f>
        <v>100</v>
      </c>
      <c r="M2916" s="12">
        <f>Tb_data[[#This Row],[Employees Growth]]/Tb_data[[#This Row],[previous_workers]]</f>
        <v>0.66666666666666663</v>
      </c>
    </row>
    <row r="2917" spans="1:13" x14ac:dyDescent="0.25">
      <c r="A2917" s="1" t="s">
        <v>3589</v>
      </c>
      <c r="B2917" s="1" t="s">
        <v>3590</v>
      </c>
      <c r="C2917" s="1">
        <v>28100000</v>
      </c>
      <c r="D2917" s="1" t="s">
        <v>115</v>
      </c>
      <c r="E2917">
        <v>234.67869999999999</v>
      </c>
      <c r="F2917" s="1" t="s">
        <v>124</v>
      </c>
      <c r="G2917">
        <v>275</v>
      </c>
      <c r="H2917">
        <v>13</v>
      </c>
      <c r="I2917" s="1" t="s">
        <v>1411</v>
      </c>
      <c r="J2917">
        <v>4</v>
      </c>
      <c r="K2917" t="str">
        <f>IF(Tb_data[[#This Row],[previous_workers]]&lt;Tb_data[[#This Row],[workers]],"yes","no")</f>
        <v>yes</v>
      </c>
      <c r="L2917">
        <f>Tb_data[[#This Row],[workers]]-Tb_data[[#This Row],[previous_workers]]</f>
        <v>262</v>
      </c>
      <c r="M2917" s="12">
        <f>Tb_data[[#This Row],[Employees Growth]]/Tb_data[[#This Row],[previous_workers]]</f>
        <v>20.153846153846153</v>
      </c>
    </row>
    <row r="2918" spans="1:13" x14ac:dyDescent="0.25">
      <c r="A2918" s="1" t="s">
        <v>3173</v>
      </c>
      <c r="B2918" s="1" t="s">
        <v>3174</v>
      </c>
      <c r="C2918" s="1">
        <v>39300000</v>
      </c>
      <c r="D2918" s="1" t="s">
        <v>422</v>
      </c>
      <c r="E2918">
        <v>270.72989999999999</v>
      </c>
      <c r="F2918" s="1" t="s">
        <v>514</v>
      </c>
      <c r="G2918">
        <v>59</v>
      </c>
      <c r="H2918">
        <v>17</v>
      </c>
      <c r="I2918" s="1" t="s">
        <v>194</v>
      </c>
      <c r="J2918">
        <v>1</v>
      </c>
      <c r="K2918" t="str">
        <f>IF(Tb_data[[#This Row],[previous_workers]]&lt;Tb_data[[#This Row],[workers]],"yes","no")</f>
        <v>yes</v>
      </c>
      <c r="L2918">
        <f>Tb_data[[#This Row],[workers]]-Tb_data[[#This Row],[previous_workers]]</f>
        <v>42</v>
      </c>
      <c r="M2918" s="12">
        <f>Tb_data[[#This Row],[Employees Growth]]/Tb_data[[#This Row],[previous_workers]]</f>
        <v>2.4705882352941178</v>
      </c>
    </row>
    <row r="2919" spans="1:13" x14ac:dyDescent="0.25">
      <c r="A2919" s="1" t="s">
        <v>3057</v>
      </c>
      <c r="B2919" s="1" t="s">
        <v>3058</v>
      </c>
      <c r="C2919" s="1">
        <v>36200000</v>
      </c>
      <c r="D2919" s="1" t="s">
        <v>387</v>
      </c>
      <c r="E2919">
        <v>282.03109999999998</v>
      </c>
      <c r="F2919" s="1" t="s">
        <v>112</v>
      </c>
      <c r="G2919">
        <v>37</v>
      </c>
      <c r="H2919">
        <v>12</v>
      </c>
      <c r="I2919" s="1" t="s">
        <v>55</v>
      </c>
      <c r="J2919">
        <v>2</v>
      </c>
      <c r="K2919" t="str">
        <f>IF(Tb_data[[#This Row],[previous_workers]]&lt;Tb_data[[#This Row],[workers]],"yes","no")</f>
        <v>yes</v>
      </c>
      <c r="L2919">
        <f>Tb_data[[#This Row],[workers]]-Tb_data[[#This Row],[previous_workers]]</f>
        <v>25</v>
      </c>
      <c r="M2919" s="12">
        <f>Tb_data[[#This Row],[Employees Growth]]/Tb_data[[#This Row],[previous_workers]]</f>
        <v>2.0833333333333335</v>
      </c>
    </row>
    <row r="2920" spans="1:13" x14ac:dyDescent="0.25">
      <c r="A2920" s="1" t="s">
        <v>6867</v>
      </c>
      <c r="B2920" s="1" t="s">
        <v>6868</v>
      </c>
      <c r="C2920" s="1">
        <v>121300000</v>
      </c>
      <c r="D2920" s="1" t="s">
        <v>49</v>
      </c>
      <c r="E2920">
        <v>105.2864</v>
      </c>
      <c r="F2920" s="1" t="s">
        <v>62</v>
      </c>
      <c r="G2920">
        <v>230</v>
      </c>
      <c r="H2920">
        <v>150</v>
      </c>
      <c r="I2920" s="1" t="s">
        <v>372</v>
      </c>
      <c r="J2920">
        <v>7</v>
      </c>
      <c r="K2920" t="str">
        <f>IF(Tb_data[[#This Row],[previous_workers]]&lt;Tb_data[[#This Row],[workers]],"yes","no")</f>
        <v>yes</v>
      </c>
      <c r="L2920">
        <f>Tb_data[[#This Row],[workers]]-Tb_data[[#This Row],[previous_workers]]</f>
        <v>80</v>
      </c>
      <c r="M2920" s="12">
        <f>Tb_data[[#This Row],[Employees Growth]]/Tb_data[[#This Row],[previous_workers]]</f>
        <v>0.53333333333333333</v>
      </c>
    </row>
    <row r="2921" spans="1:13" x14ac:dyDescent="0.25">
      <c r="A2921" s="1" t="s">
        <v>1436</v>
      </c>
      <c r="B2921" s="1" t="s">
        <v>1437</v>
      </c>
      <c r="C2921" s="1">
        <v>2100000</v>
      </c>
      <c r="D2921" s="1" t="s">
        <v>33</v>
      </c>
      <c r="E2921">
        <v>655.29790000000003</v>
      </c>
      <c r="F2921" s="1" t="s">
        <v>172</v>
      </c>
      <c r="G2921">
        <v>13</v>
      </c>
      <c r="H2921">
        <v>3</v>
      </c>
      <c r="I2921" s="1" t="s">
        <v>26</v>
      </c>
      <c r="J2921">
        <v>1</v>
      </c>
      <c r="K2921" t="str">
        <f>IF(Tb_data[[#This Row],[previous_workers]]&lt;Tb_data[[#This Row],[workers]],"yes","no")</f>
        <v>yes</v>
      </c>
      <c r="L2921">
        <f>Tb_data[[#This Row],[workers]]-Tb_data[[#This Row],[previous_workers]]</f>
        <v>10</v>
      </c>
      <c r="M2921" s="12">
        <f>Tb_data[[#This Row],[Employees Growth]]/Tb_data[[#This Row],[previous_workers]]</f>
        <v>3.3333333333333335</v>
      </c>
    </row>
    <row r="2922" spans="1:13" x14ac:dyDescent="0.25">
      <c r="A2922" s="1" t="s">
        <v>3900</v>
      </c>
      <c r="B2922" s="1" t="s">
        <v>3901</v>
      </c>
      <c r="C2922" s="1">
        <v>12600000</v>
      </c>
      <c r="D2922" s="1" t="s">
        <v>627</v>
      </c>
      <c r="E2922">
        <v>213.49590000000001</v>
      </c>
      <c r="F2922" s="1" t="s">
        <v>100</v>
      </c>
      <c r="G2922">
        <v>23</v>
      </c>
      <c r="H2922">
        <v>14</v>
      </c>
      <c r="I2922" s="1" t="s">
        <v>194</v>
      </c>
      <c r="J2922">
        <v>3</v>
      </c>
      <c r="K2922" t="str">
        <f>IF(Tb_data[[#This Row],[previous_workers]]&lt;Tb_data[[#This Row],[workers]],"yes","no")</f>
        <v>yes</v>
      </c>
      <c r="L2922">
        <f>Tb_data[[#This Row],[workers]]-Tb_data[[#This Row],[previous_workers]]</f>
        <v>9</v>
      </c>
      <c r="M2922" s="12">
        <f>Tb_data[[#This Row],[Employees Growth]]/Tb_data[[#This Row],[previous_workers]]</f>
        <v>0.6428571428571429</v>
      </c>
    </row>
    <row r="2923" spans="1:13" x14ac:dyDescent="0.25">
      <c r="A2923" s="1" t="s">
        <v>4812</v>
      </c>
      <c r="B2923" s="1" t="s">
        <v>4813</v>
      </c>
      <c r="C2923" s="1">
        <v>157700000</v>
      </c>
      <c r="D2923" s="1" t="s">
        <v>49</v>
      </c>
      <c r="E2923">
        <v>169.292</v>
      </c>
      <c r="F2923" s="1" t="s">
        <v>94</v>
      </c>
      <c r="G2923">
        <v>39</v>
      </c>
      <c r="H2923">
        <v>29</v>
      </c>
      <c r="I2923" s="1" t="s">
        <v>229</v>
      </c>
      <c r="J2923">
        <v>8</v>
      </c>
      <c r="K2923" t="str">
        <f>IF(Tb_data[[#This Row],[previous_workers]]&lt;Tb_data[[#This Row],[workers]],"yes","no")</f>
        <v>yes</v>
      </c>
      <c r="L2923">
        <f>Tb_data[[#This Row],[workers]]-Tb_data[[#This Row],[previous_workers]]</f>
        <v>10</v>
      </c>
      <c r="M2923" s="12">
        <f>Tb_data[[#This Row],[Employees Growth]]/Tb_data[[#This Row],[previous_workers]]</f>
        <v>0.34482758620689657</v>
      </c>
    </row>
    <row r="2924" spans="1:13" x14ac:dyDescent="0.25">
      <c r="A2924" s="1" t="s">
        <v>3271</v>
      </c>
      <c r="B2924" s="1" t="s">
        <v>3272</v>
      </c>
      <c r="C2924" s="1">
        <v>17900000</v>
      </c>
      <c r="D2924" s="1" t="s">
        <v>41</v>
      </c>
      <c r="E2924">
        <v>262.47910000000002</v>
      </c>
      <c r="F2924" s="1" t="s">
        <v>156</v>
      </c>
      <c r="G2924">
        <v>112</v>
      </c>
      <c r="H2924">
        <v>34</v>
      </c>
      <c r="I2924" s="1" t="s">
        <v>74</v>
      </c>
      <c r="J2924">
        <v>4</v>
      </c>
      <c r="K2924" t="str">
        <f>IF(Tb_data[[#This Row],[previous_workers]]&lt;Tb_data[[#This Row],[workers]],"yes","no")</f>
        <v>yes</v>
      </c>
      <c r="L2924">
        <f>Tb_data[[#This Row],[workers]]-Tb_data[[#This Row],[previous_workers]]</f>
        <v>78</v>
      </c>
      <c r="M2924" s="12">
        <f>Tb_data[[#This Row],[Employees Growth]]/Tb_data[[#This Row],[previous_workers]]</f>
        <v>2.2941176470588234</v>
      </c>
    </row>
    <row r="2925" spans="1:13" x14ac:dyDescent="0.25">
      <c r="A2925" s="1" t="s">
        <v>836</v>
      </c>
      <c r="B2925" s="1" t="s">
        <v>4096</v>
      </c>
      <c r="C2925" s="1">
        <v>74000000</v>
      </c>
      <c r="D2925" s="1" t="s">
        <v>45</v>
      </c>
      <c r="E2925">
        <v>201.23439999999999</v>
      </c>
      <c r="F2925" s="1" t="s">
        <v>17</v>
      </c>
      <c r="G2925">
        <v>30</v>
      </c>
      <c r="H2925">
        <v>20</v>
      </c>
      <c r="I2925" s="1" t="s">
        <v>194</v>
      </c>
      <c r="J2925">
        <v>4</v>
      </c>
      <c r="K2925" t="str">
        <f>IF(Tb_data[[#This Row],[previous_workers]]&lt;Tb_data[[#This Row],[workers]],"yes","no")</f>
        <v>yes</v>
      </c>
      <c r="L2925">
        <f>Tb_data[[#This Row],[workers]]-Tb_data[[#This Row],[previous_workers]]</f>
        <v>10</v>
      </c>
      <c r="M2925" s="12">
        <f>Tb_data[[#This Row],[Employees Growth]]/Tb_data[[#This Row],[previous_workers]]</f>
        <v>0.5</v>
      </c>
    </row>
    <row r="2926" spans="1:13" x14ac:dyDescent="0.25">
      <c r="A2926" s="1" t="s">
        <v>162</v>
      </c>
      <c r="B2926" s="1" t="s">
        <v>163</v>
      </c>
      <c r="C2926" s="1">
        <v>25000000</v>
      </c>
      <c r="D2926" s="1" t="s">
        <v>61</v>
      </c>
      <c r="E2926">
        <v>5449.6419999999998</v>
      </c>
      <c r="F2926" s="1" t="s">
        <v>62</v>
      </c>
      <c r="G2926">
        <v>400</v>
      </c>
      <c r="H2926">
        <v>4</v>
      </c>
      <c r="I2926" s="1" t="s">
        <v>164</v>
      </c>
      <c r="J2926">
        <v>1</v>
      </c>
      <c r="K2926" t="str">
        <f>IF(Tb_data[[#This Row],[previous_workers]]&lt;Tb_data[[#This Row],[workers]],"yes","no")</f>
        <v>yes</v>
      </c>
      <c r="L2926">
        <f>Tb_data[[#This Row],[workers]]-Tb_data[[#This Row],[previous_workers]]</f>
        <v>396</v>
      </c>
      <c r="M2926" s="12">
        <f>Tb_data[[#This Row],[Employees Growth]]/Tb_data[[#This Row],[previous_workers]]</f>
        <v>99</v>
      </c>
    </row>
    <row r="2927" spans="1:13" x14ac:dyDescent="0.25">
      <c r="A2927" s="1" t="s">
        <v>358</v>
      </c>
      <c r="B2927" s="1" t="s">
        <v>359</v>
      </c>
      <c r="C2927" s="1">
        <v>7100000</v>
      </c>
      <c r="D2927" s="1" t="s">
        <v>20</v>
      </c>
      <c r="E2927">
        <v>2618.0194999999999</v>
      </c>
      <c r="F2927" s="1" t="s">
        <v>97</v>
      </c>
      <c r="G2927">
        <v>12</v>
      </c>
      <c r="H2927">
        <v>3</v>
      </c>
      <c r="I2927" s="1" t="s">
        <v>26</v>
      </c>
      <c r="J2927">
        <v>1</v>
      </c>
      <c r="K2927" t="str">
        <f>IF(Tb_data[[#This Row],[previous_workers]]&lt;Tb_data[[#This Row],[workers]],"yes","no")</f>
        <v>yes</v>
      </c>
      <c r="L2927">
        <f>Tb_data[[#This Row],[workers]]-Tb_data[[#This Row],[previous_workers]]</f>
        <v>9</v>
      </c>
      <c r="M2927" s="12">
        <f>Tb_data[[#This Row],[Employees Growth]]/Tb_data[[#This Row],[previous_workers]]</f>
        <v>3</v>
      </c>
    </row>
    <row r="2928" spans="1:13" x14ac:dyDescent="0.25">
      <c r="A2928" s="1" t="s">
        <v>7022</v>
      </c>
      <c r="B2928" s="1" t="s">
        <v>7023</v>
      </c>
      <c r="C2928" s="1">
        <v>17600000</v>
      </c>
      <c r="D2928" s="1" t="s">
        <v>49</v>
      </c>
      <c r="E2928">
        <v>101.6112</v>
      </c>
      <c r="F2928" s="1" t="s">
        <v>100</v>
      </c>
      <c r="G2928">
        <v>31</v>
      </c>
      <c r="H2928">
        <v>16</v>
      </c>
      <c r="I2928" s="1" t="s">
        <v>164</v>
      </c>
      <c r="J2928">
        <v>5</v>
      </c>
      <c r="K2928" t="str">
        <f>IF(Tb_data[[#This Row],[previous_workers]]&lt;Tb_data[[#This Row],[workers]],"yes","no")</f>
        <v>yes</v>
      </c>
      <c r="L2928">
        <f>Tb_data[[#This Row],[workers]]-Tb_data[[#This Row],[previous_workers]]</f>
        <v>15</v>
      </c>
      <c r="M2928" s="12">
        <f>Tb_data[[#This Row],[Employees Growth]]/Tb_data[[#This Row],[previous_workers]]</f>
        <v>0.9375</v>
      </c>
    </row>
    <row r="2929" spans="1:13" x14ac:dyDescent="0.25">
      <c r="A2929" s="1" t="s">
        <v>3730</v>
      </c>
      <c r="B2929" s="1" t="s">
        <v>3731</v>
      </c>
      <c r="C2929" s="1">
        <v>16900000</v>
      </c>
      <c r="D2929" s="1" t="s">
        <v>33</v>
      </c>
      <c r="E2929">
        <v>226.27420000000001</v>
      </c>
      <c r="F2929" s="1" t="s">
        <v>17</v>
      </c>
      <c r="G2929">
        <v>74</v>
      </c>
      <c r="H2929">
        <v>15</v>
      </c>
      <c r="I2929" s="1" t="s">
        <v>35</v>
      </c>
      <c r="J2929">
        <v>3</v>
      </c>
      <c r="K2929" t="str">
        <f>IF(Tb_data[[#This Row],[previous_workers]]&lt;Tb_data[[#This Row],[workers]],"yes","no")</f>
        <v>yes</v>
      </c>
      <c r="L2929">
        <f>Tb_data[[#This Row],[workers]]-Tb_data[[#This Row],[previous_workers]]</f>
        <v>59</v>
      </c>
      <c r="M2929" s="12">
        <f>Tb_data[[#This Row],[Employees Growth]]/Tb_data[[#This Row],[previous_workers]]</f>
        <v>3.9333333333333331</v>
      </c>
    </row>
    <row r="2930" spans="1:13" x14ac:dyDescent="0.25">
      <c r="A2930" s="1" t="s">
        <v>1184</v>
      </c>
      <c r="B2930" s="1" t="s">
        <v>1185</v>
      </c>
      <c r="C2930" s="1">
        <v>2000000</v>
      </c>
      <c r="D2930" s="1" t="s">
        <v>422</v>
      </c>
      <c r="E2930">
        <v>812.00609999999995</v>
      </c>
      <c r="F2930" s="1" t="s">
        <v>12</v>
      </c>
      <c r="G2930">
        <v>15</v>
      </c>
      <c r="H2930">
        <v>1</v>
      </c>
      <c r="I2930" s="1" t="s">
        <v>13</v>
      </c>
      <c r="J2930">
        <v>1</v>
      </c>
      <c r="K2930" t="str">
        <f>IF(Tb_data[[#This Row],[previous_workers]]&lt;Tb_data[[#This Row],[workers]],"yes","no")</f>
        <v>yes</v>
      </c>
      <c r="L2930">
        <f>Tb_data[[#This Row],[workers]]-Tb_data[[#This Row],[previous_workers]]</f>
        <v>14</v>
      </c>
      <c r="M2930" s="12">
        <f>Tb_data[[#This Row],[Employees Growth]]/Tb_data[[#This Row],[previous_workers]]</f>
        <v>14</v>
      </c>
    </row>
    <row r="2931" spans="1:13" x14ac:dyDescent="0.25">
      <c r="A2931" s="1" t="s">
        <v>1412</v>
      </c>
      <c r="B2931" s="1" t="s">
        <v>1413</v>
      </c>
      <c r="C2931" s="1">
        <v>27200000</v>
      </c>
      <c r="D2931" s="1" t="s">
        <v>49</v>
      </c>
      <c r="E2931">
        <v>670.43140000000005</v>
      </c>
      <c r="F2931" s="1" t="s">
        <v>34</v>
      </c>
      <c r="G2931">
        <v>14</v>
      </c>
      <c r="H2931">
        <v>5</v>
      </c>
      <c r="I2931" s="1" t="s">
        <v>55</v>
      </c>
      <c r="J2931">
        <v>4</v>
      </c>
      <c r="K2931" t="str">
        <f>IF(Tb_data[[#This Row],[previous_workers]]&lt;Tb_data[[#This Row],[workers]],"yes","no")</f>
        <v>yes</v>
      </c>
      <c r="L2931">
        <f>Tb_data[[#This Row],[workers]]-Tb_data[[#This Row],[previous_workers]]</f>
        <v>9</v>
      </c>
      <c r="M2931" s="12">
        <f>Tb_data[[#This Row],[Employees Growth]]/Tb_data[[#This Row],[previous_workers]]</f>
        <v>1.8</v>
      </c>
    </row>
    <row r="2932" spans="1:13" x14ac:dyDescent="0.25">
      <c r="A2932" s="1" t="s">
        <v>1696</v>
      </c>
      <c r="B2932" s="1" t="s">
        <v>1697</v>
      </c>
      <c r="C2932" s="1">
        <v>7300000</v>
      </c>
      <c r="D2932" s="1" t="s">
        <v>49</v>
      </c>
      <c r="E2932">
        <v>540.01199999999994</v>
      </c>
      <c r="F2932" s="1" t="s">
        <v>176</v>
      </c>
      <c r="G2932">
        <v>7</v>
      </c>
      <c r="H2932">
        <v>3</v>
      </c>
      <c r="I2932" s="1" t="s">
        <v>130</v>
      </c>
      <c r="J2932">
        <v>3</v>
      </c>
      <c r="K2932" t="str">
        <f>IF(Tb_data[[#This Row],[previous_workers]]&lt;Tb_data[[#This Row],[workers]],"yes","no")</f>
        <v>yes</v>
      </c>
      <c r="L2932">
        <f>Tb_data[[#This Row],[workers]]-Tb_data[[#This Row],[previous_workers]]</f>
        <v>4</v>
      </c>
      <c r="M2932" s="12">
        <f>Tb_data[[#This Row],[Employees Growth]]/Tb_data[[#This Row],[previous_workers]]</f>
        <v>1.3333333333333333</v>
      </c>
    </row>
    <row r="2933" spans="1:13" x14ac:dyDescent="0.25">
      <c r="A2933" s="1" t="s">
        <v>7671</v>
      </c>
      <c r="B2933" s="1" t="s">
        <v>7672</v>
      </c>
      <c r="C2933" s="1">
        <v>2300000</v>
      </c>
      <c r="D2933" s="1" t="s">
        <v>20</v>
      </c>
      <c r="E2933">
        <v>88.483199999999997</v>
      </c>
      <c r="F2933" s="1" t="s">
        <v>25</v>
      </c>
      <c r="G2933">
        <v>25</v>
      </c>
      <c r="H2933">
        <v>11</v>
      </c>
      <c r="I2933" s="1" t="s">
        <v>74</v>
      </c>
      <c r="J2933">
        <v>1</v>
      </c>
      <c r="K2933" t="str">
        <f>IF(Tb_data[[#This Row],[previous_workers]]&lt;Tb_data[[#This Row],[workers]],"yes","no")</f>
        <v>yes</v>
      </c>
      <c r="L2933">
        <f>Tb_data[[#This Row],[workers]]-Tb_data[[#This Row],[previous_workers]]</f>
        <v>14</v>
      </c>
      <c r="M2933" s="12">
        <f>Tb_data[[#This Row],[Employees Growth]]/Tb_data[[#This Row],[previous_workers]]</f>
        <v>1.2727272727272727</v>
      </c>
    </row>
    <row r="2934" spans="1:13" x14ac:dyDescent="0.25">
      <c r="A2934" s="1" t="s">
        <v>1970</v>
      </c>
      <c r="B2934" s="1" t="s">
        <v>1971</v>
      </c>
      <c r="C2934" s="1">
        <v>4000000</v>
      </c>
      <c r="D2934" s="1" t="s">
        <v>33</v>
      </c>
      <c r="E2934">
        <v>457.54079999999999</v>
      </c>
      <c r="F2934" s="1" t="s">
        <v>21</v>
      </c>
      <c r="G2934">
        <v>5</v>
      </c>
      <c r="H2934">
        <v>2</v>
      </c>
      <c r="I2934" s="1" t="s">
        <v>35</v>
      </c>
      <c r="J2934">
        <v>2</v>
      </c>
      <c r="K2934" t="str">
        <f>IF(Tb_data[[#This Row],[previous_workers]]&lt;Tb_data[[#This Row],[workers]],"yes","no")</f>
        <v>yes</v>
      </c>
      <c r="L2934">
        <f>Tb_data[[#This Row],[workers]]-Tb_data[[#This Row],[previous_workers]]</f>
        <v>3</v>
      </c>
      <c r="M2934" s="12">
        <f>Tb_data[[#This Row],[Employees Growth]]/Tb_data[[#This Row],[previous_workers]]</f>
        <v>1.5</v>
      </c>
    </row>
    <row r="2935" spans="1:13" x14ac:dyDescent="0.25">
      <c r="A2935" s="1" t="s">
        <v>1346</v>
      </c>
      <c r="B2935" s="1" t="s">
        <v>1347</v>
      </c>
      <c r="C2935" s="1">
        <v>10300000</v>
      </c>
      <c r="D2935" s="1" t="s">
        <v>91</v>
      </c>
      <c r="E2935">
        <v>706.2002</v>
      </c>
      <c r="F2935" s="1" t="s">
        <v>62</v>
      </c>
      <c r="G2935">
        <v>125</v>
      </c>
      <c r="H2935">
        <v>50</v>
      </c>
      <c r="I2935" s="1" t="s">
        <v>130</v>
      </c>
      <c r="J2935">
        <v>3</v>
      </c>
      <c r="K2935" t="str">
        <f>IF(Tb_data[[#This Row],[previous_workers]]&lt;Tb_data[[#This Row],[workers]],"yes","no")</f>
        <v>yes</v>
      </c>
      <c r="L2935">
        <f>Tb_data[[#This Row],[workers]]-Tb_data[[#This Row],[previous_workers]]</f>
        <v>75</v>
      </c>
      <c r="M2935" s="12">
        <f>Tb_data[[#This Row],[Employees Growth]]/Tb_data[[#This Row],[previous_workers]]</f>
        <v>1.5</v>
      </c>
    </row>
    <row r="2936" spans="1:13" x14ac:dyDescent="0.25">
      <c r="A2936" s="1" t="s">
        <v>10092</v>
      </c>
      <c r="B2936" s="1" t="s">
        <v>10093</v>
      </c>
      <c r="C2936" s="1">
        <v>29700000</v>
      </c>
      <c r="D2936" s="1" t="s">
        <v>129</v>
      </c>
      <c r="E2936">
        <v>52.203699999999998</v>
      </c>
      <c r="F2936" s="1" t="s">
        <v>97</v>
      </c>
      <c r="G2936">
        <v>187</v>
      </c>
      <c r="H2936">
        <v>127</v>
      </c>
      <c r="I2936" s="1" t="s">
        <v>147</v>
      </c>
      <c r="J2936">
        <v>1</v>
      </c>
      <c r="K2936" t="str">
        <f>IF(Tb_data[[#This Row],[previous_workers]]&lt;Tb_data[[#This Row],[workers]],"yes","no")</f>
        <v>yes</v>
      </c>
      <c r="L2936">
        <f>Tb_data[[#This Row],[workers]]-Tb_data[[#This Row],[previous_workers]]</f>
        <v>60</v>
      </c>
      <c r="M2936" s="12">
        <f>Tb_data[[#This Row],[Employees Growth]]/Tb_data[[#This Row],[previous_workers]]</f>
        <v>0.47244094488188976</v>
      </c>
    </row>
    <row r="2937" spans="1:13" x14ac:dyDescent="0.25">
      <c r="A2937" s="1" t="s">
        <v>3779</v>
      </c>
      <c r="B2937" s="1" t="s">
        <v>3780</v>
      </c>
      <c r="C2937" s="1">
        <v>6200000</v>
      </c>
      <c r="D2937" s="1" t="s">
        <v>254</v>
      </c>
      <c r="E2937">
        <v>223.154</v>
      </c>
      <c r="F2937" s="1" t="s">
        <v>94</v>
      </c>
      <c r="G2937">
        <v>15</v>
      </c>
      <c r="H2937">
        <v>6</v>
      </c>
      <c r="I2937" s="1" t="s">
        <v>130</v>
      </c>
      <c r="J2937">
        <v>3</v>
      </c>
      <c r="K2937" t="str">
        <f>IF(Tb_data[[#This Row],[previous_workers]]&lt;Tb_data[[#This Row],[workers]],"yes","no")</f>
        <v>yes</v>
      </c>
      <c r="L2937">
        <f>Tb_data[[#This Row],[workers]]-Tb_data[[#This Row],[previous_workers]]</f>
        <v>9</v>
      </c>
      <c r="M2937" s="12">
        <f>Tb_data[[#This Row],[Employees Growth]]/Tb_data[[#This Row],[previous_workers]]</f>
        <v>1.5</v>
      </c>
    </row>
    <row r="2938" spans="1:13" x14ac:dyDescent="0.25">
      <c r="A2938" s="1" t="s">
        <v>8701</v>
      </c>
      <c r="B2938" s="1" t="s">
        <v>8702</v>
      </c>
      <c r="C2938" s="1">
        <v>15100000</v>
      </c>
      <c r="D2938" s="1" t="s">
        <v>58</v>
      </c>
      <c r="E2938">
        <v>71.081100000000006</v>
      </c>
      <c r="F2938" s="1" t="s">
        <v>12</v>
      </c>
      <c r="G2938">
        <v>45</v>
      </c>
      <c r="H2938">
        <v>20</v>
      </c>
      <c r="I2938" s="1" t="s">
        <v>295</v>
      </c>
      <c r="J2938">
        <v>2</v>
      </c>
      <c r="K2938" t="str">
        <f>IF(Tb_data[[#This Row],[previous_workers]]&lt;Tb_data[[#This Row],[workers]],"yes","no")</f>
        <v>yes</v>
      </c>
      <c r="L2938">
        <f>Tb_data[[#This Row],[workers]]-Tb_data[[#This Row],[previous_workers]]</f>
        <v>25</v>
      </c>
      <c r="M2938" s="12">
        <f>Tb_data[[#This Row],[Employees Growth]]/Tb_data[[#This Row],[previous_workers]]</f>
        <v>1.25</v>
      </c>
    </row>
    <row r="2939" spans="1:13" x14ac:dyDescent="0.25">
      <c r="A2939" s="1" t="s">
        <v>2512</v>
      </c>
      <c r="B2939" s="1" t="s">
        <v>2513</v>
      </c>
      <c r="C2939" s="1">
        <v>12400000</v>
      </c>
      <c r="D2939" s="1" t="s">
        <v>16</v>
      </c>
      <c r="E2939">
        <v>345.23070000000001</v>
      </c>
      <c r="F2939" s="1" t="s">
        <v>86</v>
      </c>
      <c r="G2939">
        <v>114</v>
      </c>
      <c r="H2939">
        <v>76</v>
      </c>
      <c r="I2939" s="1" t="s">
        <v>35</v>
      </c>
      <c r="J2939">
        <v>1</v>
      </c>
      <c r="K2939" t="str">
        <f>IF(Tb_data[[#This Row],[previous_workers]]&lt;Tb_data[[#This Row],[workers]],"yes","no")</f>
        <v>yes</v>
      </c>
      <c r="L2939">
        <f>Tb_data[[#This Row],[workers]]-Tb_data[[#This Row],[previous_workers]]</f>
        <v>38</v>
      </c>
      <c r="M2939" s="12">
        <f>Tb_data[[#This Row],[Employees Growth]]/Tb_data[[#This Row],[previous_workers]]</f>
        <v>0.5</v>
      </c>
    </row>
    <row r="2940" spans="1:13" x14ac:dyDescent="0.25">
      <c r="A2940" s="1" t="s">
        <v>5506</v>
      </c>
      <c r="B2940" s="1" t="s">
        <v>5507</v>
      </c>
      <c r="C2940" s="1">
        <v>195800000</v>
      </c>
      <c r="D2940" s="1" t="s">
        <v>38</v>
      </c>
      <c r="E2940">
        <v>142.26089999999999</v>
      </c>
      <c r="F2940" s="1" t="s">
        <v>12</v>
      </c>
      <c r="G2940">
        <v>54</v>
      </c>
      <c r="H2940">
        <v>125</v>
      </c>
      <c r="I2940" s="1" t="s">
        <v>1356</v>
      </c>
      <c r="J2940">
        <v>6</v>
      </c>
      <c r="K2940" t="str">
        <f>IF(Tb_data[[#This Row],[previous_workers]]&lt;Tb_data[[#This Row],[workers]],"yes","no")</f>
        <v>no</v>
      </c>
      <c r="L2940">
        <f>Tb_data[[#This Row],[workers]]-Tb_data[[#This Row],[previous_workers]]</f>
        <v>-71</v>
      </c>
      <c r="M2940" s="12">
        <f>Tb_data[[#This Row],[Employees Growth]]/Tb_data[[#This Row],[previous_workers]]</f>
        <v>-0.56799999999999995</v>
      </c>
    </row>
    <row r="2941" spans="1:13" x14ac:dyDescent="0.25">
      <c r="A2941" s="1" t="s">
        <v>3924</v>
      </c>
      <c r="B2941" s="1" t="s">
        <v>3925</v>
      </c>
      <c r="C2941" s="1">
        <v>7000000</v>
      </c>
      <c r="D2941" s="1" t="s">
        <v>38</v>
      </c>
      <c r="E2941">
        <v>211.99619999999999</v>
      </c>
      <c r="F2941" s="1" t="s">
        <v>156</v>
      </c>
      <c r="G2941">
        <v>13</v>
      </c>
      <c r="H2941">
        <v>10</v>
      </c>
      <c r="I2941" s="1" t="s">
        <v>35</v>
      </c>
      <c r="J2941">
        <v>3</v>
      </c>
      <c r="K2941" t="str">
        <f>IF(Tb_data[[#This Row],[previous_workers]]&lt;Tb_data[[#This Row],[workers]],"yes","no")</f>
        <v>yes</v>
      </c>
      <c r="L2941">
        <f>Tb_data[[#This Row],[workers]]-Tb_data[[#This Row],[previous_workers]]</f>
        <v>3</v>
      </c>
      <c r="M2941" s="12">
        <f>Tb_data[[#This Row],[Employees Growth]]/Tb_data[[#This Row],[previous_workers]]</f>
        <v>0.3</v>
      </c>
    </row>
    <row r="2942" spans="1:13" x14ac:dyDescent="0.25">
      <c r="A2942" s="1" t="s">
        <v>5508</v>
      </c>
      <c r="B2942" s="1" t="s">
        <v>5509</v>
      </c>
      <c r="C2942" s="1">
        <v>2500000</v>
      </c>
      <c r="D2942" s="1" t="s">
        <v>20</v>
      </c>
      <c r="E2942">
        <v>142.22470000000001</v>
      </c>
      <c r="F2942" s="1" t="s">
        <v>100</v>
      </c>
      <c r="G2942">
        <v>5</v>
      </c>
      <c r="H2942">
        <v>3</v>
      </c>
      <c r="I2942" s="1" t="s">
        <v>117</v>
      </c>
      <c r="J2942">
        <v>1</v>
      </c>
      <c r="K2942" t="str">
        <f>IF(Tb_data[[#This Row],[previous_workers]]&lt;Tb_data[[#This Row],[workers]],"yes","no")</f>
        <v>yes</v>
      </c>
      <c r="L2942">
        <f>Tb_data[[#This Row],[workers]]-Tb_data[[#This Row],[previous_workers]]</f>
        <v>2</v>
      </c>
      <c r="M2942" s="12">
        <f>Tb_data[[#This Row],[Employees Growth]]/Tb_data[[#This Row],[previous_workers]]</f>
        <v>0.66666666666666663</v>
      </c>
    </row>
    <row r="2943" spans="1:13" x14ac:dyDescent="0.25">
      <c r="A2943" s="1" t="s">
        <v>3475</v>
      </c>
      <c r="B2943" s="1" t="s">
        <v>3476</v>
      </c>
      <c r="C2943" s="1">
        <v>16000000</v>
      </c>
      <c r="D2943" s="1" t="s">
        <v>69</v>
      </c>
      <c r="E2943">
        <v>244.75380000000001</v>
      </c>
      <c r="F2943" s="1" t="s">
        <v>135</v>
      </c>
      <c r="G2943">
        <v>240</v>
      </c>
      <c r="H2943">
        <v>72</v>
      </c>
      <c r="I2943" s="1" t="s">
        <v>55</v>
      </c>
      <c r="J2943">
        <v>2</v>
      </c>
      <c r="K2943" t="str">
        <f>IF(Tb_data[[#This Row],[previous_workers]]&lt;Tb_data[[#This Row],[workers]],"yes","no")</f>
        <v>yes</v>
      </c>
      <c r="L2943">
        <f>Tb_data[[#This Row],[workers]]-Tb_data[[#This Row],[previous_workers]]</f>
        <v>168</v>
      </c>
      <c r="M2943" s="12">
        <f>Tb_data[[#This Row],[Employees Growth]]/Tb_data[[#This Row],[previous_workers]]</f>
        <v>2.3333333333333335</v>
      </c>
    </row>
    <row r="2944" spans="1:13" x14ac:dyDescent="0.25">
      <c r="A2944" s="1" t="s">
        <v>5726</v>
      </c>
      <c r="B2944" s="1" t="s">
        <v>5727</v>
      </c>
      <c r="C2944" s="1">
        <v>20200000</v>
      </c>
      <c r="D2944" s="1" t="s">
        <v>69</v>
      </c>
      <c r="E2944">
        <v>133.7602</v>
      </c>
      <c r="F2944" s="1" t="s">
        <v>12</v>
      </c>
      <c r="G2944">
        <v>100</v>
      </c>
      <c r="H2944">
        <v>60</v>
      </c>
      <c r="I2944" s="1" t="s">
        <v>147</v>
      </c>
      <c r="J2944">
        <v>9</v>
      </c>
      <c r="K2944" t="str">
        <f>IF(Tb_data[[#This Row],[previous_workers]]&lt;Tb_data[[#This Row],[workers]],"yes","no")</f>
        <v>yes</v>
      </c>
      <c r="L2944">
        <f>Tb_data[[#This Row],[workers]]-Tb_data[[#This Row],[previous_workers]]</f>
        <v>40</v>
      </c>
      <c r="M2944" s="12">
        <f>Tb_data[[#This Row],[Employees Growth]]/Tb_data[[#This Row],[previous_workers]]</f>
        <v>0.66666666666666663</v>
      </c>
    </row>
    <row r="2945" spans="1:13" x14ac:dyDescent="0.25">
      <c r="A2945" s="1" t="s">
        <v>2650</v>
      </c>
      <c r="B2945" s="1" t="s">
        <v>2651</v>
      </c>
      <c r="C2945" s="1">
        <v>2400000</v>
      </c>
      <c r="D2945" s="1" t="s">
        <v>49</v>
      </c>
      <c r="E2945">
        <v>326.74770000000001</v>
      </c>
      <c r="F2945" s="1" t="s">
        <v>86</v>
      </c>
      <c r="G2945">
        <v>14</v>
      </c>
      <c r="H2945">
        <v>5</v>
      </c>
      <c r="I2945" s="1" t="s">
        <v>26</v>
      </c>
      <c r="J2945">
        <v>1</v>
      </c>
      <c r="K2945" t="str">
        <f>IF(Tb_data[[#This Row],[previous_workers]]&lt;Tb_data[[#This Row],[workers]],"yes","no")</f>
        <v>yes</v>
      </c>
      <c r="L2945">
        <f>Tb_data[[#This Row],[workers]]-Tb_data[[#This Row],[previous_workers]]</f>
        <v>9</v>
      </c>
      <c r="M2945" s="12">
        <f>Tb_data[[#This Row],[Employees Growth]]/Tb_data[[#This Row],[previous_workers]]</f>
        <v>1.8</v>
      </c>
    </row>
    <row r="2946" spans="1:13" x14ac:dyDescent="0.25">
      <c r="A2946" s="1" t="s">
        <v>3549</v>
      </c>
      <c r="B2946" s="1" t="s">
        <v>3550</v>
      </c>
      <c r="C2946" s="1">
        <v>36300000</v>
      </c>
      <c r="D2946" s="1" t="s">
        <v>41</v>
      </c>
      <c r="E2946">
        <v>237.8886</v>
      </c>
      <c r="F2946" s="1" t="s">
        <v>30</v>
      </c>
      <c r="G2946">
        <v>130</v>
      </c>
      <c r="H2946">
        <v>43</v>
      </c>
      <c r="I2946" s="1" t="s">
        <v>1411</v>
      </c>
      <c r="J2946">
        <v>2</v>
      </c>
      <c r="K2946" t="str">
        <f>IF(Tb_data[[#This Row],[previous_workers]]&lt;Tb_data[[#This Row],[workers]],"yes","no")</f>
        <v>yes</v>
      </c>
      <c r="L2946">
        <f>Tb_data[[#This Row],[workers]]-Tb_data[[#This Row],[previous_workers]]</f>
        <v>87</v>
      </c>
      <c r="M2946" s="12">
        <f>Tb_data[[#This Row],[Employees Growth]]/Tb_data[[#This Row],[previous_workers]]</f>
        <v>2.0232558139534884</v>
      </c>
    </row>
    <row r="2947" spans="1:13" x14ac:dyDescent="0.25">
      <c r="A2947" s="1" t="s">
        <v>2024</v>
      </c>
      <c r="B2947" s="1" t="s">
        <v>2025</v>
      </c>
      <c r="C2947" s="1">
        <v>3800000</v>
      </c>
      <c r="D2947" s="1" t="s">
        <v>33</v>
      </c>
      <c r="E2947">
        <v>443.18599999999998</v>
      </c>
      <c r="F2947" s="1" t="s">
        <v>30</v>
      </c>
      <c r="G2947">
        <v>6</v>
      </c>
      <c r="H2947">
        <v>5</v>
      </c>
      <c r="I2947" s="1" t="s">
        <v>26</v>
      </c>
      <c r="J2947">
        <v>2</v>
      </c>
      <c r="K2947" t="str">
        <f>IF(Tb_data[[#This Row],[previous_workers]]&lt;Tb_data[[#This Row],[workers]],"yes","no")</f>
        <v>yes</v>
      </c>
      <c r="L2947">
        <f>Tb_data[[#This Row],[workers]]-Tb_data[[#This Row],[previous_workers]]</f>
        <v>1</v>
      </c>
      <c r="M2947" s="12">
        <f>Tb_data[[#This Row],[Employees Growth]]/Tb_data[[#This Row],[previous_workers]]</f>
        <v>0.2</v>
      </c>
    </row>
    <row r="2948" spans="1:13" x14ac:dyDescent="0.25">
      <c r="A2948" s="1" t="s">
        <v>6948</v>
      </c>
      <c r="B2948" s="1" t="s">
        <v>6949</v>
      </c>
      <c r="C2948" s="1">
        <v>237600000</v>
      </c>
      <c r="D2948" s="1" t="s">
        <v>20</v>
      </c>
      <c r="E2948">
        <v>102.8096</v>
      </c>
      <c r="F2948" s="1" t="s">
        <v>25</v>
      </c>
      <c r="G2948">
        <v>843</v>
      </c>
      <c r="H2948">
        <v>625</v>
      </c>
      <c r="I2948" s="1" t="s">
        <v>3943</v>
      </c>
      <c r="J2948">
        <v>1</v>
      </c>
      <c r="K2948" t="str">
        <f>IF(Tb_data[[#This Row],[previous_workers]]&lt;Tb_data[[#This Row],[workers]],"yes","no")</f>
        <v>yes</v>
      </c>
      <c r="L2948">
        <f>Tb_data[[#This Row],[workers]]-Tb_data[[#This Row],[previous_workers]]</f>
        <v>218</v>
      </c>
      <c r="M2948" s="12">
        <f>Tb_data[[#This Row],[Employees Growth]]/Tb_data[[#This Row],[previous_workers]]</f>
        <v>0.3488</v>
      </c>
    </row>
    <row r="2949" spans="1:13" x14ac:dyDescent="0.25">
      <c r="A2949" s="1" t="s">
        <v>2624</v>
      </c>
      <c r="B2949" s="1" t="s">
        <v>2625</v>
      </c>
      <c r="C2949" s="1">
        <v>10500000</v>
      </c>
      <c r="D2949" s="1" t="s">
        <v>49</v>
      </c>
      <c r="E2949">
        <v>329.17259999999999</v>
      </c>
      <c r="F2949" s="1" t="s">
        <v>25</v>
      </c>
      <c r="G2949">
        <v>16</v>
      </c>
      <c r="H2949">
        <v>1</v>
      </c>
      <c r="I2949" s="1" t="s">
        <v>26</v>
      </c>
      <c r="J2949">
        <v>1</v>
      </c>
      <c r="K2949" t="str">
        <f>IF(Tb_data[[#This Row],[previous_workers]]&lt;Tb_data[[#This Row],[workers]],"yes","no")</f>
        <v>yes</v>
      </c>
      <c r="L2949">
        <f>Tb_data[[#This Row],[workers]]-Tb_data[[#This Row],[previous_workers]]</f>
        <v>15</v>
      </c>
      <c r="M2949" s="12">
        <f>Tb_data[[#This Row],[Employees Growth]]/Tb_data[[#This Row],[previous_workers]]</f>
        <v>15</v>
      </c>
    </row>
    <row r="2950" spans="1:13" x14ac:dyDescent="0.25">
      <c r="A2950" s="1" t="s">
        <v>6377</v>
      </c>
      <c r="B2950" s="1" t="s">
        <v>6378</v>
      </c>
      <c r="C2950" s="1">
        <v>74100000</v>
      </c>
      <c r="D2950" s="1" t="s">
        <v>49</v>
      </c>
      <c r="E2950">
        <v>116.7289</v>
      </c>
      <c r="F2950" s="1" t="s">
        <v>21</v>
      </c>
      <c r="G2950">
        <v>1605</v>
      </c>
      <c r="H2950">
        <v>654</v>
      </c>
      <c r="I2950" s="1" t="s">
        <v>117</v>
      </c>
      <c r="J2950">
        <v>5</v>
      </c>
      <c r="K2950" t="str">
        <f>IF(Tb_data[[#This Row],[previous_workers]]&lt;Tb_data[[#This Row],[workers]],"yes","no")</f>
        <v>yes</v>
      </c>
      <c r="L2950">
        <f>Tb_data[[#This Row],[workers]]-Tb_data[[#This Row],[previous_workers]]</f>
        <v>951</v>
      </c>
      <c r="M2950" s="12">
        <f>Tb_data[[#This Row],[Employees Growth]]/Tb_data[[#This Row],[previous_workers]]</f>
        <v>1.4541284403669725</v>
      </c>
    </row>
    <row r="2951" spans="1:13" x14ac:dyDescent="0.25">
      <c r="A2951" s="1" t="s">
        <v>3671</v>
      </c>
      <c r="B2951" s="1" t="s">
        <v>3672</v>
      </c>
      <c r="C2951" s="1">
        <v>226100000</v>
      </c>
      <c r="D2951" s="1" t="s">
        <v>29</v>
      </c>
      <c r="E2951">
        <v>230.03800000000001</v>
      </c>
      <c r="F2951" s="1" t="s">
        <v>124</v>
      </c>
      <c r="G2951">
        <v>1100</v>
      </c>
      <c r="H2951">
        <v>546</v>
      </c>
      <c r="I2951" s="1" t="s">
        <v>3673</v>
      </c>
      <c r="J2951">
        <v>1</v>
      </c>
      <c r="K2951" t="str">
        <f>IF(Tb_data[[#This Row],[previous_workers]]&lt;Tb_data[[#This Row],[workers]],"yes","no")</f>
        <v>yes</v>
      </c>
      <c r="L2951">
        <f>Tb_data[[#This Row],[workers]]-Tb_data[[#This Row],[previous_workers]]</f>
        <v>554</v>
      </c>
      <c r="M2951" s="12">
        <f>Tb_data[[#This Row],[Employees Growth]]/Tb_data[[#This Row],[previous_workers]]</f>
        <v>1.0146520146520146</v>
      </c>
    </row>
    <row r="2952" spans="1:13" x14ac:dyDescent="0.25">
      <c r="A2952" s="1" t="s">
        <v>5312</v>
      </c>
      <c r="B2952" s="1" t="s">
        <v>5313</v>
      </c>
      <c r="C2952" s="1">
        <v>4900000</v>
      </c>
      <c r="D2952" s="1" t="s">
        <v>33</v>
      </c>
      <c r="E2952">
        <v>149.44280000000001</v>
      </c>
      <c r="F2952" s="1" t="s">
        <v>124</v>
      </c>
      <c r="G2952">
        <v>25</v>
      </c>
      <c r="H2952">
        <v>10</v>
      </c>
      <c r="I2952" s="1" t="s">
        <v>74</v>
      </c>
      <c r="J2952">
        <v>1</v>
      </c>
      <c r="K2952" t="str">
        <f>IF(Tb_data[[#This Row],[previous_workers]]&lt;Tb_data[[#This Row],[workers]],"yes","no")</f>
        <v>yes</v>
      </c>
      <c r="L2952">
        <f>Tb_data[[#This Row],[workers]]-Tb_data[[#This Row],[previous_workers]]</f>
        <v>15</v>
      </c>
      <c r="M2952" s="12">
        <f>Tb_data[[#This Row],[Employees Growth]]/Tb_data[[#This Row],[previous_workers]]</f>
        <v>1.5</v>
      </c>
    </row>
    <row r="2953" spans="1:13" x14ac:dyDescent="0.25">
      <c r="A2953" s="1" t="s">
        <v>3639</v>
      </c>
      <c r="B2953" s="1" t="s">
        <v>3640</v>
      </c>
      <c r="C2953" s="1">
        <v>12600000</v>
      </c>
      <c r="D2953" s="1" t="s">
        <v>115</v>
      </c>
      <c r="E2953">
        <v>231.26300000000001</v>
      </c>
      <c r="F2953" s="1" t="s">
        <v>135</v>
      </c>
      <c r="G2953">
        <v>125</v>
      </c>
      <c r="H2953">
        <v>55</v>
      </c>
      <c r="I2953" s="1" t="s">
        <v>164</v>
      </c>
      <c r="J2953">
        <v>4</v>
      </c>
      <c r="K2953" t="str">
        <f>IF(Tb_data[[#This Row],[previous_workers]]&lt;Tb_data[[#This Row],[workers]],"yes","no")</f>
        <v>yes</v>
      </c>
      <c r="L2953">
        <f>Tb_data[[#This Row],[workers]]-Tb_data[[#This Row],[previous_workers]]</f>
        <v>70</v>
      </c>
      <c r="M2953" s="12">
        <f>Tb_data[[#This Row],[Employees Growth]]/Tb_data[[#This Row],[previous_workers]]</f>
        <v>1.2727272727272727</v>
      </c>
    </row>
    <row r="2954" spans="1:13" x14ac:dyDescent="0.25">
      <c r="A2954" s="1" t="s">
        <v>9401</v>
      </c>
      <c r="B2954" s="1" t="s">
        <v>9402</v>
      </c>
      <c r="C2954" s="1">
        <v>37700000</v>
      </c>
      <c r="D2954" s="1" t="s">
        <v>49</v>
      </c>
      <c r="E2954">
        <v>61.487400000000001</v>
      </c>
      <c r="F2954" s="1" t="s">
        <v>161</v>
      </c>
      <c r="G2954">
        <v>180</v>
      </c>
      <c r="H2954">
        <v>99</v>
      </c>
      <c r="I2954" s="1" t="s">
        <v>372</v>
      </c>
      <c r="J2954">
        <v>8</v>
      </c>
      <c r="K2954" t="str">
        <f>IF(Tb_data[[#This Row],[previous_workers]]&lt;Tb_data[[#This Row],[workers]],"yes","no")</f>
        <v>yes</v>
      </c>
      <c r="L2954">
        <f>Tb_data[[#This Row],[workers]]-Tb_data[[#This Row],[previous_workers]]</f>
        <v>81</v>
      </c>
      <c r="M2954" s="12">
        <f>Tb_data[[#This Row],[Employees Growth]]/Tb_data[[#This Row],[previous_workers]]</f>
        <v>0.81818181818181823</v>
      </c>
    </row>
    <row r="2955" spans="1:13" x14ac:dyDescent="0.25">
      <c r="A2955" s="1" t="s">
        <v>9554</v>
      </c>
      <c r="B2955" s="1" t="s">
        <v>9555</v>
      </c>
      <c r="C2955" s="1">
        <v>5600000</v>
      </c>
      <c r="D2955" s="1" t="s">
        <v>41</v>
      </c>
      <c r="E2955">
        <v>59.596400000000003</v>
      </c>
      <c r="F2955" s="1" t="s">
        <v>97</v>
      </c>
      <c r="G2955">
        <v>40</v>
      </c>
      <c r="H2955">
        <v>18</v>
      </c>
      <c r="I2955" s="1" t="s">
        <v>117</v>
      </c>
      <c r="J2955">
        <v>4</v>
      </c>
      <c r="K2955" t="str">
        <f>IF(Tb_data[[#This Row],[previous_workers]]&lt;Tb_data[[#This Row],[workers]],"yes","no")</f>
        <v>yes</v>
      </c>
      <c r="L2955">
        <f>Tb_data[[#This Row],[workers]]-Tb_data[[#This Row],[previous_workers]]</f>
        <v>22</v>
      </c>
      <c r="M2955" s="12">
        <f>Tb_data[[#This Row],[Employees Growth]]/Tb_data[[#This Row],[previous_workers]]</f>
        <v>1.2222222222222223</v>
      </c>
    </row>
    <row r="2956" spans="1:13" x14ac:dyDescent="0.25">
      <c r="A2956" s="1" t="s">
        <v>4894</v>
      </c>
      <c r="B2956" s="1" t="s">
        <v>4895</v>
      </c>
      <c r="C2956" s="1">
        <v>9500000</v>
      </c>
      <c r="D2956" s="1" t="s">
        <v>33</v>
      </c>
      <c r="E2956">
        <v>166.30090000000001</v>
      </c>
      <c r="F2956" s="1" t="s">
        <v>12</v>
      </c>
      <c r="G2956">
        <v>43</v>
      </c>
      <c r="H2956">
        <v>14</v>
      </c>
      <c r="I2956" s="1" t="s">
        <v>194</v>
      </c>
      <c r="J2956">
        <v>2</v>
      </c>
      <c r="K2956" t="str">
        <f>IF(Tb_data[[#This Row],[previous_workers]]&lt;Tb_data[[#This Row],[workers]],"yes","no")</f>
        <v>yes</v>
      </c>
      <c r="L2956">
        <f>Tb_data[[#This Row],[workers]]-Tb_data[[#This Row],[previous_workers]]</f>
        <v>29</v>
      </c>
      <c r="M2956" s="12">
        <f>Tb_data[[#This Row],[Employees Growth]]/Tb_data[[#This Row],[previous_workers]]</f>
        <v>2.0714285714285716</v>
      </c>
    </row>
    <row r="2957" spans="1:13" x14ac:dyDescent="0.25">
      <c r="A2957" s="1" t="s">
        <v>5408</v>
      </c>
      <c r="B2957" s="1" t="s">
        <v>5409</v>
      </c>
      <c r="C2957" s="1">
        <v>52800000</v>
      </c>
      <c r="D2957" s="1" t="s">
        <v>38</v>
      </c>
      <c r="E2957">
        <v>145.96629999999999</v>
      </c>
      <c r="F2957" s="1" t="s">
        <v>161</v>
      </c>
      <c r="G2957">
        <v>647</v>
      </c>
      <c r="H2957">
        <v>137</v>
      </c>
      <c r="I2957" s="1" t="s">
        <v>194</v>
      </c>
      <c r="J2957">
        <v>6</v>
      </c>
      <c r="K2957" t="str">
        <f>IF(Tb_data[[#This Row],[previous_workers]]&lt;Tb_data[[#This Row],[workers]],"yes","no")</f>
        <v>yes</v>
      </c>
      <c r="L2957">
        <f>Tb_data[[#This Row],[workers]]-Tb_data[[#This Row],[previous_workers]]</f>
        <v>510</v>
      </c>
      <c r="M2957" s="12">
        <f>Tb_data[[#This Row],[Employees Growth]]/Tb_data[[#This Row],[previous_workers]]</f>
        <v>3.7226277372262775</v>
      </c>
    </row>
    <row r="2958" spans="1:13" x14ac:dyDescent="0.25">
      <c r="A2958" s="1" t="s">
        <v>9686</v>
      </c>
      <c r="B2958" s="1" t="s">
        <v>9687</v>
      </c>
      <c r="C2958" s="1">
        <v>76600000</v>
      </c>
      <c r="D2958" s="1" t="s">
        <v>38</v>
      </c>
      <c r="E2958">
        <v>58.196399999999997</v>
      </c>
      <c r="F2958" s="1" t="s">
        <v>176</v>
      </c>
      <c r="G2958">
        <v>44</v>
      </c>
      <c r="H2958">
        <v>35</v>
      </c>
      <c r="I2958" s="1" t="s">
        <v>226</v>
      </c>
      <c r="J2958">
        <v>4</v>
      </c>
      <c r="K2958" t="str">
        <f>IF(Tb_data[[#This Row],[previous_workers]]&lt;Tb_data[[#This Row],[workers]],"yes","no")</f>
        <v>yes</v>
      </c>
      <c r="L2958">
        <f>Tb_data[[#This Row],[workers]]-Tb_data[[#This Row],[previous_workers]]</f>
        <v>9</v>
      </c>
      <c r="M2958" s="12">
        <f>Tb_data[[#This Row],[Employees Growth]]/Tb_data[[#This Row],[previous_workers]]</f>
        <v>0.25714285714285712</v>
      </c>
    </row>
    <row r="2959" spans="1:13" x14ac:dyDescent="0.25">
      <c r="A2959" s="1" t="s">
        <v>7403</v>
      </c>
      <c r="B2959" s="1" t="s">
        <v>7404</v>
      </c>
      <c r="C2959" s="1">
        <v>15300000</v>
      </c>
      <c r="D2959" s="1" t="s">
        <v>20</v>
      </c>
      <c r="E2959">
        <v>95.221699999999998</v>
      </c>
      <c r="F2959" s="1" t="s">
        <v>86</v>
      </c>
      <c r="G2959">
        <v>59</v>
      </c>
      <c r="H2959">
        <v>35</v>
      </c>
      <c r="I2959" s="1" t="s">
        <v>147</v>
      </c>
      <c r="J2959">
        <v>2</v>
      </c>
      <c r="K2959" t="str">
        <f>IF(Tb_data[[#This Row],[previous_workers]]&lt;Tb_data[[#This Row],[workers]],"yes","no")</f>
        <v>yes</v>
      </c>
      <c r="L2959">
        <f>Tb_data[[#This Row],[workers]]-Tb_data[[#This Row],[previous_workers]]</f>
        <v>24</v>
      </c>
      <c r="M2959" s="12">
        <f>Tb_data[[#This Row],[Employees Growth]]/Tb_data[[#This Row],[previous_workers]]</f>
        <v>0.68571428571428572</v>
      </c>
    </row>
    <row r="2960" spans="1:13" x14ac:dyDescent="0.25">
      <c r="A2960" s="1" t="s">
        <v>3708</v>
      </c>
      <c r="B2960" s="1" t="s">
        <v>3709</v>
      </c>
      <c r="C2960" s="1">
        <v>36600000</v>
      </c>
      <c r="D2960" s="1" t="s">
        <v>41</v>
      </c>
      <c r="E2960">
        <v>228.17529999999999</v>
      </c>
      <c r="F2960" s="1" t="s">
        <v>97</v>
      </c>
      <c r="G2960">
        <v>178</v>
      </c>
      <c r="H2960">
        <v>50</v>
      </c>
      <c r="I2960" s="1" t="s">
        <v>35</v>
      </c>
      <c r="J2960">
        <v>6</v>
      </c>
      <c r="K2960" t="str">
        <f>IF(Tb_data[[#This Row],[previous_workers]]&lt;Tb_data[[#This Row],[workers]],"yes","no")</f>
        <v>yes</v>
      </c>
      <c r="L2960">
        <f>Tb_data[[#This Row],[workers]]-Tb_data[[#This Row],[previous_workers]]</f>
        <v>128</v>
      </c>
      <c r="M2960" s="12">
        <f>Tb_data[[#This Row],[Employees Growth]]/Tb_data[[#This Row],[previous_workers]]</f>
        <v>2.56</v>
      </c>
    </row>
    <row r="2961" spans="1:13" x14ac:dyDescent="0.25">
      <c r="A2961" s="1" t="s">
        <v>150</v>
      </c>
      <c r="B2961" s="1" t="s">
        <v>151</v>
      </c>
      <c r="C2961" s="1">
        <v>6300000</v>
      </c>
      <c r="D2961" s="1" t="s">
        <v>29</v>
      </c>
      <c r="E2961">
        <v>5638.3886000000002</v>
      </c>
      <c r="F2961" s="1" t="s">
        <v>152</v>
      </c>
      <c r="G2961">
        <v>46</v>
      </c>
      <c r="H2961">
        <v>5</v>
      </c>
      <c r="I2961" s="1" t="s">
        <v>55</v>
      </c>
      <c r="J2961">
        <v>1</v>
      </c>
      <c r="K2961" t="str">
        <f>IF(Tb_data[[#This Row],[previous_workers]]&lt;Tb_data[[#This Row],[workers]],"yes","no")</f>
        <v>yes</v>
      </c>
      <c r="L2961">
        <f>Tb_data[[#This Row],[workers]]-Tb_data[[#This Row],[previous_workers]]</f>
        <v>41</v>
      </c>
      <c r="M2961" s="12">
        <f>Tb_data[[#This Row],[Employees Growth]]/Tb_data[[#This Row],[previous_workers]]</f>
        <v>8.1999999999999993</v>
      </c>
    </row>
    <row r="2962" spans="1:13" x14ac:dyDescent="0.25">
      <c r="A2962" s="1" t="s">
        <v>9806</v>
      </c>
      <c r="B2962" s="1" t="s">
        <v>9807</v>
      </c>
      <c r="C2962" s="1">
        <v>51400000</v>
      </c>
      <c r="D2962" s="1" t="s">
        <v>69</v>
      </c>
      <c r="E2962">
        <v>56.727400000000003</v>
      </c>
      <c r="F2962" s="1" t="s">
        <v>42</v>
      </c>
      <c r="G2962">
        <v>300</v>
      </c>
      <c r="H2962">
        <v>216</v>
      </c>
      <c r="I2962" s="1" t="s">
        <v>2407</v>
      </c>
      <c r="J2962">
        <v>2</v>
      </c>
      <c r="K2962" t="str">
        <f>IF(Tb_data[[#This Row],[previous_workers]]&lt;Tb_data[[#This Row],[workers]],"yes","no")</f>
        <v>yes</v>
      </c>
      <c r="L2962">
        <f>Tb_data[[#This Row],[workers]]-Tb_data[[#This Row],[previous_workers]]</f>
        <v>84</v>
      </c>
      <c r="M2962" s="12">
        <f>Tb_data[[#This Row],[Employees Growth]]/Tb_data[[#This Row],[previous_workers]]</f>
        <v>0.3888888888888889</v>
      </c>
    </row>
    <row r="2963" spans="1:13" x14ac:dyDescent="0.25">
      <c r="A2963" s="1" t="s">
        <v>7617</v>
      </c>
      <c r="B2963" s="1" t="s">
        <v>7618</v>
      </c>
      <c r="C2963" s="1">
        <v>4500000</v>
      </c>
      <c r="D2963" s="1" t="s">
        <v>49</v>
      </c>
      <c r="E2963">
        <v>89.583299999999994</v>
      </c>
      <c r="F2963" s="1" t="s">
        <v>86</v>
      </c>
      <c r="G2963">
        <v>21</v>
      </c>
      <c r="H2963">
        <v>17</v>
      </c>
      <c r="I2963" s="1" t="s">
        <v>226</v>
      </c>
      <c r="J2963">
        <v>3</v>
      </c>
      <c r="K2963" t="str">
        <f>IF(Tb_data[[#This Row],[previous_workers]]&lt;Tb_data[[#This Row],[workers]],"yes","no")</f>
        <v>yes</v>
      </c>
      <c r="L2963">
        <f>Tb_data[[#This Row],[workers]]-Tb_data[[#This Row],[previous_workers]]</f>
        <v>4</v>
      </c>
      <c r="M2963" s="12">
        <f>Tb_data[[#This Row],[Employees Growth]]/Tb_data[[#This Row],[previous_workers]]</f>
        <v>0.23529411764705882</v>
      </c>
    </row>
    <row r="2964" spans="1:13" x14ac:dyDescent="0.25">
      <c r="A2964" s="1" t="s">
        <v>8839</v>
      </c>
      <c r="B2964" s="1" t="s">
        <v>8840</v>
      </c>
      <c r="C2964" s="1">
        <v>3700000</v>
      </c>
      <c r="D2964" s="1" t="s">
        <v>29</v>
      </c>
      <c r="E2964">
        <v>68.825900000000004</v>
      </c>
      <c r="F2964" s="1" t="s">
        <v>156</v>
      </c>
      <c r="G2964">
        <v>21</v>
      </c>
      <c r="H2964">
        <v>12</v>
      </c>
      <c r="I2964" s="1" t="s">
        <v>55</v>
      </c>
      <c r="J2964">
        <v>2</v>
      </c>
      <c r="K2964" t="str">
        <f>IF(Tb_data[[#This Row],[previous_workers]]&lt;Tb_data[[#This Row],[workers]],"yes","no")</f>
        <v>yes</v>
      </c>
      <c r="L2964">
        <f>Tb_data[[#This Row],[workers]]-Tb_data[[#This Row],[previous_workers]]</f>
        <v>9</v>
      </c>
      <c r="M2964" s="12">
        <f>Tb_data[[#This Row],[Employees Growth]]/Tb_data[[#This Row],[previous_workers]]</f>
        <v>0.75</v>
      </c>
    </row>
    <row r="2965" spans="1:13" x14ac:dyDescent="0.25">
      <c r="A2965" s="1" t="s">
        <v>9928</v>
      </c>
      <c r="B2965" s="1" t="s">
        <v>9929</v>
      </c>
      <c r="C2965" s="1">
        <v>19300000</v>
      </c>
      <c r="D2965" s="1" t="s">
        <v>387</v>
      </c>
      <c r="E2965">
        <v>54.793399999999998</v>
      </c>
      <c r="F2965" s="1" t="s">
        <v>82</v>
      </c>
      <c r="G2965">
        <v>35</v>
      </c>
      <c r="H2965">
        <v>12</v>
      </c>
      <c r="I2965" s="1" t="s">
        <v>948</v>
      </c>
      <c r="J2965">
        <v>1</v>
      </c>
      <c r="K2965" t="str">
        <f>IF(Tb_data[[#This Row],[previous_workers]]&lt;Tb_data[[#This Row],[workers]],"yes","no")</f>
        <v>yes</v>
      </c>
      <c r="L2965">
        <f>Tb_data[[#This Row],[workers]]-Tb_data[[#This Row],[previous_workers]]</f>
        <v>23</v>
      </c>
      <c r="M2965" s="12">
        <f>Tb_data[[#This Row],[Employees Growth]]/Tb_data[[#This Row],[previous_workers]]</f>
        <v>1.9166666666666667</v>
      </c>
    </row>
    <row r="2966" spans="1:13" x14ac:dyDescent="0.25">
      <c r="A2966" s="1" t="s">
        <v>9544</v>
      </c>
      <c r="B2966" s="1" t="s">
        <v>9545</v>
      </c>
      <c r="C2966" s="1">
        <v>2000000</v>
      </c>
      <c r="D2966" s="1" t="s">
        <v>895</v>
      </c>
      <c r="E2966">
        <v>59.740200000000002</v>
      </c>
      <c r="F2966" s="1" t="s">
        <v>3264</v>
      </c>
      <c r="G2966">
        <v>11</v>
      </c>
      <c r="H2966">
        <v>7</v>
      </c>
      <c r="I2966" s="1" t="s">
        <v>836</v>
      </c>
      <c r="J2966">
        <v>1</v>
      </c>
      <c r="K2966" t="str">
        <f>IF(Tb_data[[#This Row],[previous_workers]]&lt;Tb_data[[#This Row],[workers]],"yes","no")</f>
        <v>yes</v>
      </c>
      <c r="L2966">
        <f>Tb_data[[#This Row],[workers]]-Tb_data[[#This Row],[previous_workers]]</f>
        <v>4</v>
      </c>
      <c r="M2966" s="12">
        <f>Tb_data[[#This Row],[Employees Growth]]/Tb_data[[#This Row],[previous_workers]]</f>
        <v>0.5714285714285714</v>
      </c>
    </row>
    <row r="2967" spans="1:13" x14ac:dyDescent="0.25">
      <c r="A2967" s="1" t="s">
        <v>5326</v>
      </c>
      <c r="B2967" s="1" t="s">
        <v>5327</v>
      </c>
      <c r="C2967" s="1">
        <v>147500000</v>
      </c>
      <c r="D2967" s="1" t="s">
        <v>58</v>
      </c>
      <c r="E2967">
        <v>149.1362</v>
      </c>
      <c r="F2967" s="1" t="s">
        <v>30</v>
      </c>
      <c r="G2967">
        <v>187</v>
      </c>
      <c r="H2967">
        <v>72</v>
      </c>
      <c r="I2967" s="1" t="s">
        <v>74</v>
      </c>
      <c r="J2967">
        <v>4</v>
      </c>
      <c r="K2967" t="str">
        <f>IF(Tb_data[[#This Row],[previous_workers]]&lt;Tb_data[[#This Row],[workers]],"yes","no")</f>
        <v>yes</v>
      </c>
      <c r="L2967">
        <f>Tb_data[[#This Row],[workers]]-Tb_data[[#This Row],[previous_workers]]</f>
        <v>115</v>
      </c>
      <c r="M2967" s="12">
        <f>Tb_data[[#This Row],[Employees Growth]]/Tb_data[[#This Row],[previous_workers]]</f>
        <v>1.5972222222222223</v>
      </c>
    </row>
    <row r="2968" spans="1:13" x14ac:dyDescent="0.25">
      <c r="A2968" s="1" t="s">
        <v>6936</v>
      </c>
      <c r="B2968" s="1" t="s">
        <v>6937</v>
      </c>
      <c r="C2968" s="1">
        <v>5600000</v>
      </c>
      <c r="D2968" s="1" t="s">
        <v>41</v>
      </c>
      <c r="E2968">
        <v>103.26430000000001</v>
      </c>
      <c r="F2968" s="1" t="s">
        <v>12</v>
      </c>
      <c r="G2968">
        <v>33</v>
      </c>
      <c r="H2968">
        <v>22</v>
      </c>
      <c r="I2968" s="1" t="s">
        <v>74</v>
      </c>
      <c r="J2968">
        <v>5</v>
      </c>
      <c r="K2968" t="str">
        <f>IF(Tb_data[[#This Row],[previous_workers]]&lt;Tb_data[[#This Row],[workers]],"yes","no")</f>
        <v>yes</v>
      </c>
      <c r="L2968">
        <f>Tb_data[[#This Row],[workers]]-Tb_data[[#This Row],[previous_workers]]</f>
        <v>11</v>
      </c>
      <c r="M2968" s="12">
        <f>Tb_data[[#This Row],[Employees Growth]]/Tb_data[[#This Row],[previous_workers]]</f>
        <v>0.5</v>
      </c>
    </row>
    <row r="2969" spans="1:13" x14ac:dyDescent="0.25">
      <c r="A2969" s="1" t="s">
        <v>9215</v>
      </c>
      <c r="B2969" s="1" t="s">
        <v>9216</v>
      </c>
      <c r="C2969" s="1">
        <v>74100000</v>
      </c>
      <c r="D2969" s="1" t="s">
        <v>115</v>
      </c>
      <c r="E2969">
        <v>63.925600000000003</v>
      </c>
      <c r="F2969" s="1" t="s">
        <v>12</v>
      </c>
      <c r="G2969">
        <v>184</v>
      </c>
      <c r="H2969">
        <v>238</v>
      </c>
      <c r="I2969" s="1" t="s">
        <v>35</v>
      </c>
      <c r="J2969">
        <v>7</v>
      </c>
      <c r="K2969" t="str">
        <f>IF(Tb_data[[#This Row],[previous_workers]]&lt;Tb_data[[#This Row],[workers]],"yes","no")</f>
        <v>no</v>
      </c>
      <c r="L2969">
        <f>Tb_data[[#This Row],[workers]]-Tb_data[[#This Row],[previous_workers]]</f>
        <v>-54</v>
      </c>
      <c r="M2969" s="12">
        <f>Tb_data[[#This Row],[Employees Growth]]/Tb_data[[#This Row],[previous_workers]]</f>
        <v>-0.22689075630252101</v>
      </c>
    </row>
    <row r="2970" spans="1:13" x14ac:dyDescent="0.25">
      <c r="A2970" s="1" t="s">
        <v>4463</v>
      </c>
      <c r="B2970" s="1" t="s">
        <v>4464</v>
      </c>
      <c r="C2970" s="1">
        <v>3100000</v>
      </c>
      <c r="D2970" s="1" t="s">
        <v>49</v>
      </c>
      <c r="E2970">
        <v>184.43180000000001</v>
      </c>
      <c r="F2970" s="1" t="s">
        <v>156</v>
      </c>
      <c r="G2970">
        <v>17</v>
      </c>
      <c r="H2970">
        <v>6</v>
      </c>
      <c r="I2970" s="1" t="s">
        <v>74</v>
      </c>
      <c r="J2970">
        <v>1</v>
      </c>
      <c r="K2970" t="str">
        <f>IF(Tb_data[[#This Row],[previous_workers]]&lt;Tb_data[[#This Row],[workers]],"yes","no")</f>
        <v>yes</v>
      </c>
      <c r="L2970">
        <f>Tb_data[[#This Row],[workers]]-Tb_data[[#This Row],[previous_workers]]</f>
        <v>11</v>
      </c>
      <c r="M2970" s="12">
        <f>Tb_data[[#This Row],[Employees Growth]]/Tb_data[[#This Row],[previous_workers]]</f>
        <v>1.8333333333333333</v>
      </c>
    </row>
    <row r="2971" spans="1:13" x14ac:dyDescent="0.25">
      <c r="A2971" s="1" t="s">
        <v>6713</v>
      </c>
      <c r="B2971" s="1" t="s">
        <v>6714</v>
      </c>
      <c r="C2971" s="1">
        <v>7300000</v>
      </c>
      <c r="D2971" s="1" t="s">
        <v>49</v>
      </c>
      <c r="E2971">
        <v>108.7174</v>
      </c>
      <c r="F2971" s="1" t="s">
        <v>86</v>
      </c>
      <c r="G2971">
        <v>62</v>
      </c>
      <c r="H2971">
        <v>26</v>
      </c>
      <c r="I2971" s="1" t="s">
        <v>117</v>
      </c>
      <c r="J2971">
        <v>4</v>
      </c>
      <c r="K2971" t="str">
        <f>IF(Tb_data[[#This Row],[previous_workers]]&lt;Tb_data[[#This Row],[workers]],"yes","no")</f>
        <v>yes</v>
      </c>
      <c r="L2971">
        <f>Tb_data[[#This Row],[workers]]-Tb_data[[#This Row],[previous_workers]]</f>
        <v>36</v>
      </c>
      <c r="M2971" s="12">
        <f>Tb_data[[#This Row],[Employees Growth]]/Tb_data[[#This Row],[previous_workers]]</f>
        <v>1.3846153846153846</v>
      </c>
    </row>
    <row r="2972" spans="1:13" x14ac:dyDescent="0.25">
      <c r="A2972" s="1" t="s">
        <v>6932</v>
      </c>
      <c r="B2972" s="1" t="s">
        <v>6933</v>
      </c>
      <c r="C2972" s="1">
        <v>34800000</v>
      </c>
      <c r="D2972" s="1" t="s">
        <v>49</v>
      </c>
      <c r="E2972">
        <v>103.5068</v>
      </c>
      <c r="F2972" s="1" t="s">
        <v>86</v>
      </c>
      <c r="G2972">
        <v>374</v>
      </c>
      <c r="H2972">
        <v>183</v>
      </c>
      <c r="I2972" s="1" t="s">
        <v>74</v>
      </c>
      <c r="J2972">
        <v>8</v>
      </c>
      <c r="K2972" t="str">
        <f>IF(Tb_data[[#This Row],[previous_workers]]&lt;Tb_data[[#This Row],[workers]],"yes","no")</f>
        <v>yes</v>
      </c>
      <c r="L2972">
        <f>Tb_data[[#This Row],[workers]]-Tb_data[[#This Row],[previous_workers]]</f>
        <v>191</v>
      </c>
      <c r="M2972" s="12">
        <f>Tb_data[[#This Row],[Employees Growth]]/Tb_data[[#This Row],[previous_workers]]</f>
        <v>1.0437158469945356</v>
      </c>
    </row>
    <row r="2973" spans="1:13" x14ac:dyDescent="0.25">
      <c r="A2973" s="1" t="s">
        <v>5478</v>
      </c>
      <c r="B2973" s="1" t="s">
        <v>5479</v>
      </c>
      <c r="C2973" s="1">
        <v>17800000</v>
      </c>
      <c r="D2973" s="1" t="s">
        <v>38</v>
      </c>
      <c r="E2973">
        <v>143.3253</v>
      </c>
      <c r="F2973" s="1" t="s">
        <v>156</v>
      </c>
      <c r="G2973">
        <v>20</v>
      </c>
      <c r="H2973">
        <v>15</v>
      </c>
      <c r="I2973" s="1" t="s">
        <v>2628</v>
      </c>
      <c r="J2973">
        <v>1</v>
      </c>
      <c r="K2973" t="str">
        <f>IF(Tb_data[[#This Row],[previous_workers]]&lt;Tb_data[[#This Row],[workers]],"yes","no")</f>
        <v>yes</v>
      </c>
      <c r="L2973">
        <f>Tb_data[[#This Row],[workers]]-Tb_data[[#This Row],[previous_workers]]</f>
        <v>5</v>
      </c>
      <c r="M2973" s="12">
        <f>Tb_data[[#This Row],[Employees Growth]]/Tb_data[[#This Row],[previous_workers]]</f>
        <v>0.33333333333333331</v>
      </c>
    </row>
    <row r="2974" spans="1:13" x14ac:dyDescent="0.25">
      <c r="A2974" s="1" t="s">
        <v>5066</v>
      </c>
      <c r="B2974" s="1" t="s">
        <v>5067</v>
      </c>
      <c r="C2974" s="1">
        <v>5200000</v>
      </c>
      <c r="D2974" s="1" t="s">
        <v>4064</v>
      </c>
      <c r="E2974">
        <v>158.4255</v>
      </c>
      <c r="F2974" s="1" t="s">
        <v>12</v>
      </c>
      <c r="G2974">
        <v>49</v>
      </c>
      <c r="H2974">
        <v>21</v>
      </c>
      <c r="I2974" s="1" t="s">
        <v>229</v>
      </c>
      <c r="J2974">
        <v>1</v>
      </c>
      <c r="K2974" t="str">
        <f>IF(Tb_data[[#This Row],[previous_workers]]&lt;Tb_data[[#This Row],[workers]],"yes","no")</f>
        <v>yes</v>
      </c>
      <c r="L2974">
        <f>Tb_data[[#This Row],[workers]]-Tb_data[[#This Row],[previous_workers]]</f>
        <v>28</v>
      </c>
      <c r="M2974" s="12">
        <f>Tb_data[[#This Row],[Employees Growth]]/Tb_data[[#This Row],[previous_workers]]</f>
        <v>1.3333333333333333</v>
      </c>
    </row>
    <row r="2975" spans="1:13" x14ac:dyDescent="0.25">
      <c r="A2975" s="1" t="s">
        <v>8592</v>
      </c>
      <c r="B2975" s="1" t="s">
        <v>8593</v>
      </c>
      <c r="C2975" s="1">
        <v>10600000</v>
      </c>
      <c r="D2975" s="1" t="s">
        <v>254</v>
      </c>
      <c r="E2975">
        <v>72.527199999999993</v>
      </c>
      <c r="F2975" s="1" t="s">
        <v>17</v>
      </c>
      <c r="G2975">
        <v>74</v>
      </c>
      <c r="H2975">
        <v>50</v>
      </c>
      <c r="I2975" s="1" t="s">
        <v>35</v>
      </c>
      <c r="J2975">
        <v>1</v>
      </c>
      <c r="K2975" t="str">
        <f>IF(Tb_data[[#This Row],[previous_workers]]&lt;Tb_data[[#This Row],[workers]],"yes","no")</f>
        <v>yes</v>
      </c>
      <c r="L2975">
        <f>Tb_data[[#This Row],[workers]]-Tb_data[[#This Row],[previous_workers]]</f>
        <v>24</v>
      </c>
      <c r="M2975" s="12">
        <f>Tb_data[[#This Row],[Employees Growth]]/Tb_data[[#This Row],[previous_workers]]</f>
        <v>0.48</v>
      </c>
    </row>
    <row r="2976" spans="1:13" x14ac:dyDescent="0.25">
      <c r="A2976" s="1" t="s">
        <v>893</v>
      </c>
      <c r="B2976" s="1" t="s">
        <v>894</v>
      </c>
      <c r="C2976" s="1">
        <v>15400000</v>
      </c>
      <c r="D2976" s="1" t="s">
        <v>895</v>
      </c>
      <c r="E2976">
        <v>1141.8701000000001</v>
      </c>
      <c r="F2976" s="1" t="s">
        <v>62</v>
      </c>
      <c r="G2976">
        <v>42</v>
      </c>
      <c r="H2976">
        <v>6</v>
      </c>
      <c r="I2976" s="1" t="s">
        <v>26</v>
      </c>
      <c r="J2976">
        <v>1</v>
      </c>
      <c r="K2976" t="str">
        <f>IF(Tb_data[[#This Row],[previous_workers]]&lt;Tb_data[[#This Row],[workers]],"yes","no")</f>
        <v>yes</v>
      </c>
      <c r="L2976">
        <f>Tb_data[[#This Row],[workers]]-Tb_data[[#This Row],[previous_workers]]</f>
        <v>36</v>
      </c>
      <c r="M2976" s="12">
        <f>Tb_data[[#This Row],[Employees Growth]]/Tb_data[[#This Row],[previous_workers]]</f>
        <v>6</v>
      </c>
    </row>
    <row r="2977" spans="1:13" x14ac:dyDescent="0.25">
      <c r="A2977" s="1" t="s">
        <v>1082</v>
      </c>
      <c r="B2977" s="1" t="s">
        <v>1083</v>
      </c>
      <c r="C2977" s="1">
        <v>52400000</v>
      </c>
      <c r="D2977" s="1" t="s">
        <v>129</v>
      </c>
      <c r="E2977">
        <v>895.32730000000004</v>
      </c>
      <c r="F2977" s="1" t="s">
        <v>94</v>
      </c>
      <c r="G2977">
        <v>17</v>
      </c>
      <c r="H2977">
        <v>5</v>
      </c>
      <c r="I2977" s="1" t="s">
        <v>55</v>
      </c>
      <c r="J2977">
        <v>1</v>
      </c>
      <c r="K2977" t="str">
        <f>IF(Tb_data[[#This Row],[previous_workers]]&lt;Tb_data[[#This Row],[workers]],"yes","no")</f>
        <v>yes</v>
      </c>
      <c r="L2977">
        <f>Tb_data[[#This Row],[workers]]-Tb_data[[#This Row],[previous_workers]]</f>
        <v>12</v>
      </c>
      <c r="M2977" s="12">
        <f>Tb_data[[#This Row],[Employees Growth]]/Tb_data[[#This Row],[previous_workers]]</f>
        <v>2.4</v>
      </c>
    </row>
    <row r="2978" spans="1:13" x14ac:dyDescent="0.25">
      <c r="A2978" s="1" t="s">
        <v>7156</v>
      </c>
      <c r="B2978" s="1" t="s">
        <v>7157</v>
      </c>
      <c r="C2978" s="1">
        <v>3000000</v>
      </c>
      <c r="D2978" s="1" t="s">
        <v>49</v>
      </c>
      <c r="E2978">
        <v>99.232500000000002</v>
      </c>
      <c r="F2978" s="1" t="s">
        <v>310</v>
      </c>
      <c r="G2978">
        <v>7</v>
      </c>
      <c r="H2978">
        <v>1</v>
      </c>
      <c r="I2978" s="1" t="s">
        <v>164</v>
      </c>
      <c r="J2978">
        <v>2</v>
      </c>
      <c r="K2978" t="str">
        <f>IF(Tb_data[[#This Row],[previous_workers]]&lt;Tb_data[[#This Row],[workers]],"yes","no")</f>
        <v>yes</v>
      </c>
      <c r="L2978">
        <f>Tb_data[[#This Row],[workers]]-Tb_data[[#This Row],[previous_workers]]</f>
        <v>6</v>
      </c>
      <c r="M2978" s="12">
        <f>Tb_data[[#This Row],[Employees Growth]]/Tb_data[[#This Row],[previous_workers]]</f>
        <v>6</v>
      </c>
    </row>
    <row r="2979" spans="1:13" x14ac:dyDescent="0.25">
      <c r="A2979" s="1" t="s">
        <v>4477</v>
      </c>
      <c r="B2979" s="1" t="s">
        <v>4478</v>
      </c>
      <c r="C2979" s="1">
        <v>5000000</v>
      </c>
      <c r="D2979" s="1" t="s">
        <v>61</v>
      </c>
      <c r="E2979">
        <v>183.73660000000001</v>
      </c>
      <c r="F2979" s="1" t="s">
        <v>112</v>
      </c>
      <c r="G2979">
        <v>32</v>
      </c>
      <c r="H2979">
        <v>12</v>
      </c>
      <c r="I2979" s="1" t="s">
        <v>147</v>
      </c>
      <c r="J2979">
        <v>3</v>
      </c>
      <c r="K2979" t="str">
        <f>IF(Tb_data[[#This Row],[previous_workers]]&lt;Tb_data[[#This Row],[workers]],"yes","no")</f>
        <v>yes</v>
      </c>
      <c r="L2979">
        <f>Tb_data[[#This Row],[workers]]-Tb_data[[#This Row],[previous_workers]]</f>
        <v>20</v>
      </c>
      <c r="M2979" s="12">
        <f>Tb_data[[#This Row],[Employees Growth]]/Tb_data[[#This Row],[previous_workers]]</f>
        <v>1.6666666666666667</v>
      </c>
    </row>
    <row r="2980" spans="1:13" x14ac:dyDescent="0.25">
      <c r="A2980" s="1" t="s">
        <v>3676</v>
      </c>
      <c r="B2980" s="1" t="s">
        <v>3677</v>
      </c>
      <c r="C2980" s="1">
        <v>52500000</v>
      </c>
      <c r="D2980" s="1" t="s">
        <v>483</v>
      </c>
      <c r="E2980">
        <v>229.67760000000001</v>
      </c>
      <c r="F2980" s="1" t="s">
        <v>156</v>
      </c>
      <c r="G2980">
        <v>350</v>
      </c>
      <c r="H2980">
        <v>75</v>
      </c>
      <c r="I2980" s="1" t="s">
        <v>948</v>
      </c>
      <c r="J2980">
        <v>8</v>
      </c>
      <c r="K2980" t="str">
        <f>IF(Tb_data[[#This Row],[previous_workers]]&lt;Tb_data[[#This Row],[workers]],"yes","no")</f>
        <v>yes</v>
      </c>
      <c r="L2980">
        <f>Tb_data[[#This Row],[workers]]-Tb_data[[#This Row],[previous_workers]]</f>
        <v>275</v>
      </c>
      <c r="M2980" s="12">
        <f>Tb_data[[#This Row],[Employees Growth]]/Tb_data[[#This Row],[previous_workers]]</f>
        <v>3.6666666666666665</v>
      </c>
    </row>
    <row r="2981" spans="1:13" x14ac:dyDescent="0.25">
      <c r="A2981" s="1" t="s">
        <v>7401</v>
      </c>
      <c r="B2981" s="1" t="s">
        <v>7402</v>
      </c>
      <c r="C2981" s="1">
        <v>257300000</v>
      </c>
      <c r="D2981" s="1" t="s">
        <v>49</v>
      </c>
      <c r="E2981">
        <v>95.290800000000004</v>
      </c>
      <c r="F2981" s="1" t="s">
        <v>97</v>
      </c>
      <c r="G2981">
        <v>39</v>
      </c>
      <c r="H2981">
        <v>25</v>
      </c>
      <c r="I2981" s="1" t="s">
        <v>2628</v>
      </c>
      <c r="J2981">
        <v>4</v>
      </c>
      <c r="K2981" t="str">
        <f>IF(Tb_data[[#This Row],[previous_workers]]&lt;Tb_data[[#This Row],[workers]],"yes","no")</f>
        <v>yes</v>
      </c>
      <c r="L2981">
        <f>Tb_data[[#This Row],[workers]]-Tb_data[[#This Row],[previous_workers]]</f>
        <v>14</v>
      </c>
      <c r="M2981" s="12">
        <f>Tb_data[[#This Row],[Employees Growth]]/Tb_data[[#This Row],[previous_workers]]</f>
        <v>0.56000000000000005</v>
      </c>
    </row>
    <row r="2982" spans="1:13" x14ac:dyDescent="0.25">
      <c r="A2982" s="1" t="s">
        <v>5530</v>
      </c>
      <c r="B2982" s="1" t="s">
        <v>5531</v>
      </c>
      <c r="C2982" s="1">
        <v>3000000</v>
      </c>
      <c r="D2982" s="1" t="s">
        <v>155</v>
      </c>
      <c r="E2982">
        <v>141.4342</v>
      </c>
      <c r="F2982" s="1" t="s">
        <v>86</v>
      </c>
      <c r="G2982">
        <v>24</v>
      </c>
      <c r="H2982">
        <v>11</v>
      </c>
      <c r="I2982" s="1" t="s">
        <v>147</v>
      </c>
      <c r="J2982">
        <v>1</v>
      </c>
      <c r="K2982" t="str">
        <f>IF(Tb_data[[#This Row],[previous_workers]]&lt;Tb_data[[#This Row],[workers]],"yes","no")</f>
        <v>yes</v>
      </c>
      <c r="L2982">
        <f>Tb_data[[#This Row],[workers]]-Tb_data[[#This Row],[previous_workers]]</f>
        <v>13</v>
      </c>
      <c r="M2982" s="12">
        <f>Tb_data[[#This Row],[Employees Growth]]/Tb_data[[#This Row],[previous_workers]]</f>
        <v>1.1818181818181819</v>
      </c>
    </row>
    <row r="2983" spans="1:13" x14ac:dyDescent="0.25">
      <c r="A2983" s="1" t="s">
        <v>8303</v>
      </c>
      <c r="B2983" s="1" t="s">
        <v>8304</v>
      </c>
      <c r="C2983" s="1">
        <v>10200000</v>
      </c>
      <c r="D2983" s="1" t="s">
        <v>483</v>
      </c>
      <c r="E2983">
        <v>77.637799999999999</v>
      </c>
      <c r="F2983" s="1" t="s">
        <v>100</v>
      </c>
      <c r="G2983">
        <v>23</v>
      </c>
      <c r="H2983">
        <v>12</v>
      </c>
      <c r="I2983" s="1" t="s">
        <v>35</v>
      </c>
      <c r="J2983">
        <v>3</v>
      </c>
      <c r="K2983" t="str">
        <f>IF(Tb_data[[#This Row],[previous_workers]]&lt;Tb_data[[#This Row],[workers]],"yes","no")</f>
        <v>yes</v>
      </c>
      <c r="L2983">
        <f>Tb_data[[#This Row],[workers]]-Tb_data[[#This Row],[previous_workers]]</f>
        <v>11</v>
      </c>
      <c r="M2983" s="12">
        <f>Tb_data[[#This Row],[Employees Growth]]/Tb_data[[#This Row],[previous_workers]]</f>
        <v>0.91666666666666663</v>
      </c>
    </row>
    <row r="2984" spans="1:13" x14ac:dyDescent="0.25">
      <c r="A2984" s="1" t="s">
        <v>2840</v>
      </c>
      <c r="B2984" s="1" t="s">
        <v>4076</v>
      </c>
      <c r="C2984" s="1">
        <v>14200000</v>
      </c>
      <c r="D2984" s="1" t="s">
        <v>49</v>
      </c>
      <c r="E2984">
        <v>203.40880000000001</v>
      </c>
      <c r="F2984" s="1" t="s">
        <v>25</v>
      </c>
      <c r="G2984">
        <v>65</v>
      </c>
      <c r="H2984">
        <v>12</v>
      </c>
      <c r="I2984" s="1" t="s">
        <v>130</v>
      </c>
      <c r="J2984">
        <v>1</v>
      </c>
      <c r="K2984" t="str">
        <f>IF(Tb_data[[#This Row],[previous_workers]]&lt;Tb_data[[#This Row],[workers]],"yes","no")</f>
        <v>yes</v>
      </c>
      <c r="L2984">
        <f>Tb_data[[#This Row],[workers]]-Tb_data[[#This Row],[previous_workers]]</f>
        <v>53</v>
      </c>
      <c r="M2984" s="12">
        <f>Tb_data[[#This Row],[Employees Growth]]/Tb_data[[#This Row],[previous_workers]]</f>
        <v>4.416666666666667</v>
      </c>
    </row>
    <row r="2985" spans="1:13" x14ac:dyDescent="0.25">
      <c r="A2985" s="1" t="s">
        <v>904</v>
      </c>
      <c r="B2985" s="1" t="s">
        <v>905</v>
      </c>
      <c r="C2985" s="1">
        <v>32700000</v>
      </c>
      <c r="D2985" s="1" t="s">
        <v>20</v>
      </c>
      <c r="E2985">
        <v>1127.9387999999999</v>
      </c>
      <c r="F2985" s="1" t="s">
        <v>82</v>
      </c>
      <c r="G2985">
        <v>37</v>
      </c>
      <c r="H2985">
        <v>10</v>
      </c>
      <c r="I2985" s="1" t="s">
        <v>130</v>
      </c>
      <c r="J2985">
        <v>3</v>
      </c>
      <c r="K2985" t="str">
        <f>IF(Tb_data[[#This Row],[previous_workers]]&lt;Tb_data[[#This Row],[workers]],"yes","no")</f>
        <v>yes</v>
      </c>
      <c r="L2985">
        <f>Tb_data[[#This Row],[workers]]-Tb_data[[#This Row],[previous_workers]]</f>
        <v>27</v>
      </c>
      <c r="M2985" s="12">
        <f>Tb_data[[#This Row],[Employees Growth]]/Tb_data[[#This Row],[previous_workers]]</f>
        <v>2.7</v>
      </c>
    </row>
    <row r="2986" spans="1:13" x14ac:dyDescent="0.25">
      <c r="A2986" s="1" t="s">
        <v>8873</v>
      </c>
      <c r="B2986" s="1" t="s">
        <v>8874</v>
      </c>
      <c r="C2986" s="1">
        <v>242500000</v>
      </c>
      <c r="D2986" s="1" t="s">
        <v>49</v>
      </c>
      <c r="E2986">
        <v>68.372299999999996</v>
      </c>
      <c r="F2986" s="1" t="s">
        <v>100</v>
      </c>
      <c r="G2986">
        <v>80</v>
      </c>
      <c r="H2986">
        <v>77</v>
      </c>
      <c r="I2986" s="1" t="s">
        <v>2628</v>
      </c>
      <c r="J2986">
        <v>1</v>
      </c>
      <c r="K2986" t="str">
        <f>IF(Tb_data[[#This Row],[previous_workers]]&lt;Tb_data[[#This Row],[workers]],"yes","no")</f>
        <v>yes</v>
      </c>
      <c r="L2986">
        <f>Tb_data[[#This Row],[workers]]-Tb_data[[#This Row],[previous_workers]]</f>
        <v>3</v>
      </c>
      <c r="M2986" s="12">
        <f>Tb_data[[#This Row],[Employees Growth]]/Tb_data[[#This Row],[previous_workers]]</f>
        <v>3.896103896103896E-2</v>
      </c>
    </row>
    <row r="2987" spans="1:13" x14ac:dyDescent="0.25">
      <c r="A2987" s="1" t="s">
        <v>2288</v>
      </c>
      <c r="B2987" s="1" t="s">
        <v>2289</v>
      </c>
      <c r="C2987" s="1">
        <v>9900000</v>
      </c>
      <c r="D2987" s="1" t="s">
        <v>52</v>
      </c>
      <c r="E2987">
        <v>386.11500000000001</v>
      </c>
      <c r="F2987" s="1" t="s">
        <v>12</v>
      </c>
      <c r="G2987">
        <v>80</v>
      </c>
      <c r="H2987">
        <v>30</v>
      </c>
      <c r="I2987" s="1" t="s">
        <v>1051</v>
      </c>
      <c r="J2987">
        <v>4</v>
      </c>
      <c r="K2987" t="str">
        <f>IF(Tb_data[[#This Row],[previous_workers]]&lt;Tb_data[[#This Row],[workers]],"yes","no")</f>
        <v>yes</v>
      </c>
      <c r="L2987">
        <f>Tb_data[[#This Row],[workers]]-Tb_data[[#This Row],[previous_workers]]</f>
        <v>50</v>
      </c>
      <c r="M2987" s="12">
        <f>Tb_data[[#This Row],[Employees Growth]]/Tb_data[[#This Row],[previous_workers]]</f>
        <v>1.6666666666666667</v>
      </c>
    </row>
    <row r="2988" spans="1:13" x14ac:dyDescent="0.25">
      <c r="A2988" s="1" t="s">
        <v>6779</v>
      </c>
      <c r="B2988" s="1" t="s">
        <v>6780</v>
      </c>
      <c r="C2988" s="1">
        <v>30200000</v>
      </c>
      <c r="D2988" s="1" t="s">
        <v>179</v>
      </c>
      <c r="E2988">
        <v>107.2115</v>
      </c>
      <c r="F2988" s="1" t="s">
        <v>25</v>
      </c>
      <c r="G2988">
        <v>140</v>
      </c>
      <c r="H2988">
        <v>80</v>
      </c>
      <c r="I2988" s="1" t="s">
        <v>2676</v>
      </c>
      <c r="J2988">
        <v>2</v>
      </c>
      <c r="K2988" t="str">
        <f>IF(Tb_data[[#This Row],[previous_workers]]&lt;Tb_data[[#This Row],[workers]],"yes","no")</f>
        <v>yes</v>
      </c>
      <c r="L2988">
        <f>Tb_data[[#This Row],[workers]]-Tb_data[[#This Row],[previous_workers]]</f>
        <v>60</v>
      </c>
      <c r="M2988" s="12">
        <f>Tb_data[[#This Row],[Employees Growth]]/Tb_data[[#This Row],[previous_workers]]</f>
        <v>0.75</v>
      </c>
    </row>
    <row r="2989" spans="1:13" x14ac:dyDescent="0.25">
      <c r="A2989" s="1" t="s">
        <v>1655</v>
      </c>
      <c r="B2989" s="1" t="s">
        <v>1656</v>
      </c>
      <c r="C2989" s="1">
        <v>2600000</v>
      </c>
      <c r="D2989" s="1" t="s">
        <v>41</v>
      </c>
      <c r="E2989">
        <v>557.80539999999996</v>
      </c>
      <c r="F2989" s="1" t="s">
        <v>116</v>
      </c>
      <c r="G2989">
        <v>28</v>
      </c>
      <c r="H2989">
        <v>5</v>
      </c>
      <c r="I2989" s="1" t="s">
        <v>1657</v>
      </c>
      <c r="J2989">
        <v>1</v>
      </c>
      <c r="K2989" t="str">
        <f>IF(Tb_data[[#This Row],[previous_workers]]&lt;Tb_data[[#This Row],[workers]],"yes","no")</f>
        <v>yes</v>
      </c>
      <c r="L2989">
        <f>Tb_data[[#This Row],[workers]]-Tb_data[[#This Row],[previous_workers]]</f>
        <v>23</v>
      </c>
      <c r="M2989" s="12">
        <f>Tb_data[[#This Row],[Employees Growth]]/Tb_data[[#This Row],[previous_workers]]</f>
        <v>4.5999999999999996</v>
      </c>
    </row>
    <row r="2990" spans="1:13" x14ac:dyDescent="0.25">
      <c r="A2990" s="1" t="s">
        <v>8474</v>
      </c>
      <c r="B2990" s="1" t="s">
        <v>8475</v>
      </c>
      <c r="C2990" s="1">
        <v>7600000</v>
      </c>
      <c r="D2990" s="1" t="s">
        <v>115</v>
      </c>
      <c r="E2990">
        <v>74.562899999999999</v>
      </c>
      <c r="F2990" s="1" t="s">
        <v>3264</v>
      </c>
      <c r="G2990">
        <v>50</v>
      </c>
      <c r="H2990">
        <v>33</v>
      </c>
      <c r="I2990" s="1" t="s">
        <v>1051</v>
      </c>
      <c r="J2990">
        <v>6</v>
      </c>
      <c r="K2990" t="str">
        <f>IF(Tb_data[[#This Row],[previous_workers]]&lt;Tb_data[[#This Row],[workers]],"yes","no")</f>
        <v>yes</v>
      </c>
      <c r="L2990">
        <f>Tb_data[[#This Row],[workers]]-Tb_data[[#This Row],[previous_workers]]</f>
        <v>17</v>
      </c>
      <c r="M2990" s="12">
        <f>Tb_data[[#This Row],[Employees Growth]]/Tb_data[[#This Row],[previous_workers]]</f>
        <v>0.51515151515151514</v>
      </c>
    </row>
    <row r="2991" spans="1:13" x14ac:dyDescent="0.25">
      <c r="A2991" s="1" t="s">
        <v>8899</v>
      </c>
      <c r="B2991" s="1" t="s">
        <v>8900</v>
      </c>
      <c r="C2991" s="1">
        <v>35300000</v>
      </c>
      <c r="D2991" s="1" t="s">
        <v>179</v>
      </c>
      <c r="E2991">
        <v>68.007999999999996</v>
      </c>
      <c r="F2991" s="1" t="s">
        <v>21</v>
      </c>
      <c r="G2991">
        <v>387</v>
      </c>
      <c r="H2991">
        <v>240</v>
      </c>
      <c r="I2991" s="1" t="s">
        <v>35</v>
      </c>
      <c r="J2991">
        <v>1</v>
      </c>
      <c r="K2991" t="str">
        <f>IF(Tb_data[[#This Row],[previous_workers]]&lt;Tb_data[[#This Row],[workers]],"yes","no")</f>
        <v>yes</v>
      </c>
      <c r="L2991">
        <f>Tb_data[[#This Row],[workers]]-Tb_data[[#This Row],[previous_workers]]</f>
        <v>147</v>
      </c>
      <c r="M2991" s="12">
        <f>Tb_data[[#This Row],[Employees Growth]]/Tb_data[[#This Row],[previous_workers]]</f>
        <v>0.61250000000000004</v>
      </c>
    </row>
    <row r="2992" spans="1:13" x14ac:dyDescent="0.25">
      <c r="A2992" s="1" t="s">
        <v>1194</v>
      </c>
      <c r="B2992" s="1" t="s">
        <v>1195</v>
      </c>
      <c r="C2992" s="1">
        <v>6200000</v>
      </c>
      <c r="D2992" s="1" t="s">
        <v>61</v>
      </c>
      <c r="E2992">
        <v>809.77949999999998</v>
      </c>
      <c r="F2992" s="1" t="s">
        <v>17</v>
      </c>
      <c r="G2992">
        <v>35</v>
      </c>
      <c r="H2992">
        <v>5</v>
      </c>
      <c r="I2992" s="1" t="s">
        <v>26</v>
      </c>
      <c r="J2992">
        <v>1</v>
      </c>
      <c r="K2992" t="str">
        <f>IF(Tb_data[[#This Row],[previous_workers]]&lt;Tb_data[[#This Row],[workers]],"yes","no")</f>
        <v>yes</v>
      </c>
      <c r="L2992">
        <f>Tb_data[[#This Row],[workers]]-Tb_data[[#This Row],[previous_workers]]</f>
        <v>30</v>
      </c>
      <c r="M2992" s="12">
        <f>Tb_data[[#This Row],[Employees Growth]]/Tb_data[[#This Row],[previous_workers]]</f>
        <v>6</v>
      </c>
    </row>
    <row r="2993" spans="1:13" x14ac:dyDescent="0.25">
      <c r="A2993" s="1" t="s">
        <v>9351</v>
      </c>
      <c r="B2993" s="1" t="s">
        <v>9352</v>
      </c>
      <c r="C2993" s="1">
        <v>203700000</v>
      </c>
      <c r="D2993" s="1" t="s">
        <v>49</v>
      </c>
      <c r="E2993">
        <v>62.057400000000001</v>
      </c>
      <c r="F2993" s="1" t="s">
        <v>25</v>
      </c>
      <c r="G2993">
        <v>69</v>
      </c>
      <c r="H2993">
        <v>57</v>
      </c>
      <c r="I2993" s="1" t="s">
        <v>1356</v>
      </c>
      <c r="J2993">
        <v>4</v>
      </c>
      <c r="K2993" t="str">
        <f>IF(Tb_data[[#This Row],[previous_workers]]&lt;Tb_data[[#This Row],[workers]],"yes","no")</f>
        <v>yes</v>
      </c>
      <c r="L2993">
        <f>Tb_data[[#This Row],[workers]]-Tb_data[[#This Row],[previous_workers]]</f>
        <v>12</v>
      </c>
      <c r="M2993" s="12">
        <f>Tb_data[[#This Row],[Employees Growth]]/Tb_data[[#This Row],[previous_workers]]</f>
        <v>0.21052631578947367</v>
      </c>
    </row>
    <row r="2994" spans="1:13" x14ac:dyDescent="0.25">
      <c r="A2994" s="1" t="s">
        <v>9702</v>
      </c>
      <c r="B2994" s="1" t="s">
        <v>9703</v>
      </c>
      <c r="C2994" s="1">
        <v>10300000</v>
      </c>
      <c r="D2994" s="1" t="s">
        <v>129</v>
      </c>
      <c r="E2994">
        <v>57.980200000000004</v>
      </c>
      <c r="F2994" s="1" t="s">
        <v>25</v>
      </c>
      <c r="G2994">
        <v>26</v>
      </c>
      <c r="H2994">
        <v>18</v>
      </c>
      <c r="I2994" s="1" t="s">
        <v>194</v>
      </c>
      <c r="J2994">
        <v>2</v>
      </c>
      <c r="K2994" t="str">
        <f>IF(Tb_data[[#This Row],[previous_workers]]&lt;Tb_data[[#This Row],[workers]],"yes","no")</f>
        <v>yes</v>
      </c>
      <c r="L2994">
        <f>Tb_data[[#This Row],[workers]]-Tb_data[[#This Row],[previous_workers]]</f>
        <v>8</v>
      </c>
      <c r="M2994" s="12">
        <f>Tb_data[[#This Row],[Employees Growth]]/Tb_data[[#This Row],[previous_workers]]</f>
        <v>0.44444444444444442</v>
      </c>
    </row>
    <row r="2995" spans="1:13" x14ac:dyDescent="0.25">
      <c r="A2995" s="1" t="s">
        <v>3533</v>
      </c>
      <c r="B2995" s="1" t="s">
        <v>3534</v>
      </c>
      <c r="C2995" s="1">
        <v>15000000</v>
      </c>
      <c r="D2995" s="1" t="s">
        <v>2568</v>
      </c>
      <c r="E2995">
        <v>239.68709999999999</v>
      </c>
      <c r="F2995" s="1" t="s">
        <v>135</v>
      </c>
      <c r="G2995">
        <v>140</v>
      </c>
      <c r="H2995">
        <v>37</v>
      </c>
      <c r="I2995" s="1" t="s">
        <v>130</v>
      </c>
      <c r="J2995">
        <v>4</v>
      </c>
      <c r="K2995" t="str">
        <f>IF(Tb_data[[#This Row],[previous_workers]]&lt;Tb_data[[#This Row],[workers]],"yes","no")</f>
        <v>yes</v>
      </c>
      <c r="L2995">
        <f>Tb_data[[#This Row],[workers]]-Tb_data[[#This Row],[previous_workers]]</f>
        <v>103</v>
      </c>
      <c r="M2995" s="12">
        <f>Tb_data[[#This Row],[Employees Growth]]/Tb_data[[#This Row],[previous_workers]]</f>
        <v>2.7837837837837838</v>
      </c>
    </row>
    <row r="2996" spans="1:13" x14ac:dyDescent="0.25">
      <c r="A2996" s="1" t="s">
        <v>719</v>
      </c>
      <c r="B2996" s="1" t="s">
        <v>720</v>
      </c>
      <c r="C2996" s="1">
        <v>35700000</v>
      </c>
      <c r="D2996" s="1" t="s">
        <v>49</v>
      </c>
      <c r="E2996">
        <v>1454.4016999999999</v>
      </c>
      <c r="F2996" s="1" t="s">
        <v>12</v>
      </c>
      <c r="G2996">
        <v>70</v>
      </c>
      <c r="H2996">
        <v>5</v>
      </c>
      <c r="I2996" s="1" t="s">
        <v>26</v>
      </c>
      <c r="J2996">
        <v>1</v>
      </c>
      <c r="K2996" t="str">
        <f>IF(Tb_data[[#This Row],[previous_workers]]&lt;Tb_data[[#This Row],[workers]],"yes","no")</f>
        <v>yes</v>
      </c>
      <c r="L2996">
        <f>Tb_data[[#This Row],[workers]]-Tb_data[[#This Row],[previous_workers]]</f>
        <v>65</v>
      </c>
      <c r="M2996" s="12">
        <f>Tb_data[[#This Row],[Employees Growth]]/Tb_data[[#This Row],[previous_workers]]</f>
        <v>13</v>
      </c>
    </row>
    <row r="2997" spans="1:13" x14ac:dyDescent="0.25">
      <c r="A2997" s="1" t="s">
        <v>3922</v>
      </c>
      <c r="B2997" s="1" t="s">
        <v>3923</v>
      </c>
      <c r="C2997" s="1">
        <v>6300000</v>
      </c>
      <c r="D2997" s="1" t="s">
        <v>49</v>
      </c>
      <c r="E2997">
        <v>212.01910000000001</v>
      </c>
      <c r="F2997" s="1" t="s">
        <v>100</v>
      </c>
      <c r="G2997">
        <v>27</v>
      </c>
      <c r="H2997">
        <v>15</v>
      </c>
      <c r="I2997" s="1" t="s">
        <v>26</v>
      </c>
      <c r="J2997">
        <v>1</v>
      </c>
      <c r="K2997" t="str">
        <f>IF(Tb_data[[#This Row],[previous_workers]]&lt;Tb_data[[#This Row],[workers]],"yes","no")</f>
        <v>yes</v>
      </c>
      <c r="L2997">
        <f>Tb_data[[#This Row],[workers]]-Tb_data[[#This Row],[previous_workers]]</f>
        <v>12</v>
      </c>
      <c r="M2997" s="12">
        <f>Tb_data[[#This Row],[Employees Growth]]/Tb_data[[#This Row],[previous_workers]]</f>
        <v>0.8</v>
      </c>
    </row>
    <row r="2998" spans="1:13" x14ac:dyDescent="0.25">
      <c r="A2998" s="1" t="s">
        <v>2375</v>
      </c>
      <c r="B2998" s="1" t="s">
        <v>2376</v>
      </c>
      <c r="C2998" s="1">
        <v>25600000</v>
      </c>
      <c r="D2998" s="1" t="s">
        <v>20</v>
      </c>
      <c r="E2998">
        <v>369.25290000000001</v>
      </c>
      <c r="F2998" s="1" t="s">
        <v>42</v>
      </c>
      <c r="G2998">
        <v>221</v>
      </c>
      <c r="H2998">
        <v>38</v>
      </c>
      <c r="I2998" s="1" t="s">
        <v>130</v>
      </c>
      <c r="J2998">
        <v>2</v>
      </c>
      <c r="K2998" t="str">
        <f>IF(Tb_data[[#This Row],[previous_workers]]&lt;Tb_data[[#This Row],[workers]],"yes","no")</f>
        <v>yes</v>
      </c>
      <c r="L2998">
        <f>Tb_data[[#This Row],[workers]]-Tb_data[[#This Row],[previous_workers]]</f>
        <v>183</v>
      </c>
      <c r="M2998" s="12">
        <f>Tb_data[[#This Row],[Employees Growth]]/Tb_data[[#This Row],[previous_workers]]</f>
        <v>4.8157894736842106</v>
      </c>
    </row>
    <row r="2999" spans="1:13" x14ac:dyDescent="0.25">
      <c r="A2999" s="1" t="s">
        <v>1248</v>
      </c>
      <c r="B2999" s="1" t="s">
        <v>1249</v>
      </c>
      <c r="C2999" s="1">
        <v>79600000</v>
      </c>
      <c r="D2999" s="1" t="s">
        <v>254</v>
      </c>
      <c r="E2999">
        <v>769.61739999999998</v>
      </c>
      <c r="F2999" s="1" t="s">
        <v>34</v>
      </c>
      <c r="G2999">
        <v>41</v>
      </c>
      <c r="H2999">
        <v>10</v>
      </c>
      <c r="I2999" s="1" t="s">
        <v>948</v>
      </c>
      <c r="J2999">
        <v>1</v>
      </c>
      <c r="K2999" t="str">
        <f>IF(Tb_data[[#This Row],[previous_workers]]&lt;Tb_data[[#This Row],[workers]],"yes","no")</f>
        <v>yes</v>
      </c>
      <c r="L2999">
        <f>Tb_data[[#This Row],[workers]]-Tb_data[[#This Row],[previous_workers]]</f>
        <v>31</v>
      </c>
      <c r="M2999" s="12">
        <f>Tb_data[[#This Row],[Employees Growth]]/Tb_data[[#This Row],[previous_workers]]</f>
        <v>3.1</v>
      </c>
    </row>
    <row r="3000" spans="1:13" x14ac:dyDescent="0.25">
      <c r="A3000" s="1" t="s">
        <v>9586</v>
      </c>
      <c r="B3000" s="1" t="s">
        <v>9587</v>
      </c>
      <c r="C3000" s="1">
        <v>13300000</v>
      </c>
      <c r="D3000" s="1" t="s">
        <v>41</v>
      </c>
      <c r="E3000">
        <v>59.327500000000001</v>
      </c>
      <c r="F3000" s="1" t="s">
        <v>86</v>
      </c>
      <c r="G3000">
        <v>101</v>
      </c>
      <c r="H3000">
        <v>70</v>
      </c>
      <c r="I3000" s="1" t="s">
        <v>372</v>
      </c>
      <c r="J3000">
        <v>7</v>
      </c>
      <c r="K3000" t="str">
        <f>IF(Tb_data[[#This Row],[previous_workers]]&lt;Tb_data[[#This Row],[workers]],"yes","no")</f>
        <v>yes</v>
      </c>
      <c r="L3000">
        <f>Tb_data[[#This Row],[workers]]-Tb_data[[#This Row],[previous_workers]]</f>
        <v>31</v>
      </c>
      <c r="M3000" s="12">
        <f>Tb_data[[#This Row],[Employees Growth]]/Tb_data[[#This Row],[previous_workers]]</f>
        <v>0.44285714285714284</v>
      </c>
    </row>
    <row r="3001" spans="1:13" x14ac:dyDescent="0.25">
      <c r="A3001" s="1" t="s">
        <v>1409</v>
      </c>
      <c r="B3001" s="1" t="s">
        <v>1410</v>
      </c>
      <c r="C3001" s="1">
        <v>93200000</v>
      </c>
      <c r="D3001" s="1" t="s">
        <v>52</v>
      </c>
      <c r="E3001">
        <v>670.60850000000005</v>
      </c>
      <c r="F3001" s="1" t="s">
        <v>156</v>
      </c>
      <c r="G3001">
        <v>307</v>
      </c>
      <c r="H3001">
        <v>42</v>
      </c>
      <c r="I3001" s="1" t="s">
        <v>1411</v>
      </c>
      <c r="J3001">
        <v>3</v>
      </c>
      <c r="K3001" t="str">
        <f>IF(Tb_data[[#This Row],[previous_workers]]&lt;Tb_data[[#This Row],[workers]],"yes","no")</f>
        <v>yes</v>
      </c>
      <c r="L3001">
        <f>Tb_data[[#This Row],[workers]]-Tb_data[[#This Row],[previous_workers]]</f>
        <v>265</v>
      </c>
      <c r="M3001" s="12">
        <f>Tb_data[[#This Row],[Employees Growth]]/Tb_data[[#This Row],[previous_workers]]</f>
        <v>6.3095238095238093</v>
      </c>
    </row>
    <row r="3002" spans="1:13" x14ac:dyDescent="0.25">
      <c r="A3002" s="1" t="s">
        <v>8570</v>
      </c>
      <c r="B3002" s="1" t="s">
        <v>8571</v>
      </c>
      <c r="C3002" s="1">
        <v>22500000</v>
      </c>
      <c r="D3002" s="1" t="s">
        <v>33</v>
      </c>
      <c r="E3002">
        <v>72.748599999999996</v>
      </c>
      <c r="F3002" s="1" t="s">
        <v>42</v>
      </c>
      <c r="G3002">
        <v>81</v>
      </c>
      <c r="H3002">
        <v>48</v>
      </c>
      <c r="I3002" s="1" t="s">
        <v>229</v>
      </c>
      <c r="J3002">
        <v>9</v>
      </c>
      <c r="K3002" t="str">
        <f>IF(Tb_data[[#This Row],[previous_workers]]&lt;Tb_data[[#This Row],[workers]],"yes","no")</f>
        <v>yes</v>
      </c>
      <c r="L3002">
        <f>Tb_data[[#This Row],[workers]]-Tb_data[[#This Row],[previous_workers]]</f>
        <v>33</v>
      </c>
      <c r="M3002" s="12">
        <f>Tb_data[[#This Row],[Employees Growth]]/Tb_data[[#This Row],[previous_workers]]</f>
        <v>0.6875</v>
      </c>
    </row>
    <row r="3003" spans="1:13" x14ac:dyDescent="0.25">
      <c r="A3003" s="1" t="s">
        <v>2185</v>
      </c>
      <c r="B3003" s="1" t="s">
        <v>2186</v>
      </c>
      <c r="C3003" s="1">
        <v>5800000</v>
      </c>
      <c r="D3003" s="1" t="s">
        <v>20</v>
      </c>
      <c r="E3003">
        <v>405.28739999999999</v>
      </c>
      <c r="F3003" s="1" t="s">
        <v>42</v>
      </c>
      <c r="G3003">
        <v>60</v>
      </c>
      <c r="H3003">
        <v>15</v>
      </c>
      <c r="I3003" s="1" t="s">
        <v>130</v>
      </c>
      <c r="J3003">
        <v>1</v>
      </c>
      <c r="K3003" t="str">
        <f>IF(Tb_data[[#This Row],[previous_workers]]&lt;Tb_data[[#This Row],[workers]],"yes","no")</f>
        <v>yes</v>
      </c>
      <c r="L3003">
        <f>Tb_data[[#This Row],[workers]]-Tb_data[[#This Row],[previous_workers]]</f>
        <v>45</v>
      </c>
      <c r="M3003" s="12">
        <f>Tb_data[[#This Row],[Employees Growth]]/Tb_data[[#This Row],[previous_workers]]</f>
        <v>3</v>
      </c>
    </row>
    <row r="3004" spans="1:13" x14ac:dyDescent="0.25">
      <c r="A3004" s="1" t="s">
        <v>8095</v>
      </c>
      <c r="B3004" s="1" t="s">
        <v>8096</v>
      </c>
      <c r="C3004" s="1">
        <v>2000000000</v>
      </c>
      <c r="D3004" s="1" t="s">
        <v>38</v>
      </c>
      <c r="E3004">
        <v>81.140699999999995</v>
      </c>
      <c r="F3004" s="1" t="s">
        <v>17</v>
      </c>
      <c r="G3004">
        <v>10600</v>
      </c>
      <c r="H3004">
        <v>8100</v>
      </c>
      <c r="I3004" s="1" t="s">
        <v>3992</v>
      </c>
      <c r="J3004">
        <v>1</v>
      </c>
      <c r="K3004" t="str">
        <f>IF(Tb_data[[#This Row],[previous_workers]]&lt;Tb_data[[#This Row],[workers]],"yes","no")</f>
        <v>yes</v>
      </c>
      <c r="L3004">
        <f>Tb_data[[#This Row],[workers]]-Tb_data[[#This Row],[previous_workers]]</f>
        <v>2500</v>
      </c>
      <c r="M3004" s="12">
        <f>Tb_data[[#This Row],[Employees Growth]]/Tb_data[[#This Row],[previous_workers]]</f>
        <v>0.30864197530864196</v>
      </c>
    </row>
    <row r="3005" spans="1:13" x14ac:dyDescent="0.25">
      <c r="A3005" s="1" t="s">
        <v>4976</v>
      </c>
      <c r="B3005" s="1" t="s">
        <v>4977</v>
      </c>
      <c r="C3005" s="1">
        <v>14500000</v>
      </c>
      <c r="D3005" s="1" t="s">
        <v>179</v>
      </c>
      <c r="E3005">
        <v>162.77770000000001</v>
      </c>
      <c r="F3005" s="1" t="s">
        <v>112</v>
      </c>
      <c r="G3005">
        <v>110</v>
      </c>
      <c r="H3005">
        <v>46</v>
      </c>
      <c r="I3005" s="1" t="s">
        <v>4074</v>
      </c>
      <c r="J3005">
        <v>1</v>
      </c>
      <c r="K3005" t="str">
        <f>IF(Tb_data[[#This Row],[previous_workers]]&lt;Tb_data[[#This Row],[workers]],"yes","no")</f>
        <v>yes</v>
      </c>
      <c r="L3005">
        <f>Tb_data[[#This Row],[workers]]-Tb_data[[#This Row],[previous_workers]]</f>
        <v>64</v>
      </c>
      <c r="M3005" s="12">
        <f>Tb_data[[#This Row],[Employees Growth]]/Tb_data[[#This Row],[previous_workers]]</f>
        <v>1.3913043478260869</v>
      </c>
    </row>
    <row r="3006" spans="1:13" x14ac:dyDescent="0.25">
      <c r="A3006" s="1" t="s">
        <v>1158</v>
      </c>
      <c r="B3006" s="1" t="s">
        <v>1159</v>
      </c>
      <c r="C3006" s="1">
        <v>4800000</v>
      </c>
      <c r="D3006" s="1" t="s">
        <v>422</v>
      </c>
      <c r="E3006">
        <v>827.66499999999996</v>
      </c>
      <c r="F3006" s="1" t="s">
        <v>25</v>
      </c>
      <c r="G3006">
        <v>36</v>
      </c>
      <c r="H3006">
        <v>5</v>
      </c>
      <c r="I3006" s="1" t="s">
        <v>26</v>
      </c>
      <c r="J3006">
        <v>2</v>
      </c>
      <c r="K3006" t="str">
        <f>IF(Tb_data[[#This Row],[previous_workers]]&lt;Tb_data[[#This Row],[workers]],"yes","no")</f>
        <v>yes</v>
      </c>
      <c r="L3006">
        <f>Tb_data[[#This Row],[workers]]-Tb_data[[#This Row],[previous_workers]]</f>
        <v>31</v>
      </c>
      <c r="M3006" s="12">
        <f>Tb_data[[#This Row],[Employees Growth]]/Tb_data[[#This Row],[previous_workers]]</f>
        <v>6.2</v>
      </c>
    </row>
    <row r="3007" spans="1:13" x14ac:dyDescent="0.25">
      <c r="A3007" s="1" t="s">
        <v>8933</v>
      </c>
      <c r="B3007" s="1" t="s">
        <v>8934</v>
      </c>
      <c r="C3007" s="1">
        <v>9900000</v>
      </c>
      <c r="D3007" s="1" t="s">
        <v>20</v>
      </c>
      <c r="E3007">
        <v>67.441999999999993</v>
      </c>
      <c r="F3007" s="1" t="s">
        <v>34</v>
      </c>
      <c r="G3007">
        <v>135</v>
      </c>
      <c r="H3007">
        <v>60</v>
      </c>
      <c r="I3007" s="1" t="s">
        <v>194</v>
      </c>
      <c r="J3007">
        <v>6</v>
      </c>
      <c r="K3007" t="str">
        <f>IF(Tb_data[[#This Row],[previous_workers]]&lt;Tb_data[[#This Row],[workers]],"yes","no")</f>
        <v>yes</v>
      </c>
      <c r="L3007">
        <f>Tb_data[[#This Row],[workers]]-Tb_data[[#This Row],[previous_workers]]</f>
        <v>75</v>
      </c>
      <c r="M3007" s="12">
        <f>Tb_data[[#This Row],[Employees Growth]]/Tb_data[[#This Row],[previous_workers]]</f>
        <v>1.25</v>
      </c>
    </row>
    <row r="3008" spans="1:13" x14ac:dyDescent="0.25">
      <c r="A3008" s="1" t="s">
        <v>4305</v>
      </c>
      <c r="B3008" s="1" t="s">
        <v>4306</v>
      </c>
      <c r="C3008" s="1">
        <v>2600000</v>
      </c>
      <c r="D3008" s="1" t="s">
        <v>41</v>
      </c>
      <c r="E3008">
        <v>191.0042</v>
      </c>
      <c r="F3008" s="1" t="s">
        <v>156</v>
      </c>
      <c r="G3008">
        <v>27</v>
      </c>
      <c r="H3008">
        <v>5</v>
      </c>
      <c r="I3008" s="1" t="s">
        <v>46</v>
      </c>
      <c r="J3008">
        <v>1</v>
      </c>
      <c r="K3008" t="str">
        <f>IF(Tb_data[[#This Row],[previous_workers]]&lt;Tb_data[[#This Row],[workers]],"yes","no")</f>
        <v>yes</v>
      </c>
      <c r="L3008">
        <f>Tb_data[[#This Row],[workers]]-Tb_data[[#This Row],[previous_workers]]</f>
        <v>22</v>
      </c>
      <c r="M3008" s="12">
        <f>Tb_data[[#This Row],[Employees Growth]]/Tb_data[[#This Row],[previous_workers]]</f>
        <v>4.4000000000000004</v>
      </c>
    </row>
    <row r="3009" spans="1:13" x14ac:dyDescent="0.25">
      <c r="A3009" s="1" t="s">
        <v>2177</v>
      </c>
      <c r="B3009" s="1" t="s">
        <v>2178</v>
      </c>
      <c r="C3009" s="1">
        <v>11700000</v>
      </c>
      <c r="D3009" s="1" t="s">
        <v>155</v>
      </c>
      <c r="E3009">
        <v>406.77100000000002</v>
      </c>
      <c r="F3009" s="1" t="s">
        <v>42</v>
      </c>
      <c r="G3009">
        <v>18</v>
      </c>
      <c r="H3009">
        <v>12</v>
      </c>
      <c r="I3009" s="1" t="s">
        <v>55</v>
      </c>
      <c r="J3009">
        <v>2</v>
      </c>
      <c r="K3009" t="str">
        <f>IF(Tb_data[[#This Row],[previous_workers]]&lt;Tb_data[[#This Row],[workers]],"yes","no")</f>
        <v>yes</v>
      </c>
      <c r="L3009">
        <f>Tb_data[[#This Row],[workers]]-Tb_data[[#This Row],[previous_workers]]</f>
        <v>6</v>
      </c>
      <c r="M3009" s="12">
        <f>Tb_data[[#This Row],[Employees Growth]]/Tb_data[[#This Row],[previous_workers]]</f>
        <v>0.5</v>
      </c>
    </row>
    <row r="3010" spans="1:13" x14ac:dyDescent="0.25">
      <c r="A3010" s="1" t="s">
        <v>9800</v>
      </c>
      <c r="B3010" s="1" t="s">
        <v>9801</v>
      </c>
      <c r="C3010" s="1">
        <v>12200000</v>
      </c>
      <c r="D3010" s="1" t="s">
        <v>155</v>
      </c>
      <c r="E3010">
        <v>56.774799999999999</v>
      </c>
      <c r="F3010" s="1" t="s">
        <v>12</v>
      </c>
      <c r="G3010">
        <v>85</v>
      </c>
      <c r="H3010">
        <v>45</v>
      </c>
      <c r="I3010" s="1" t="s">
        <v>295</v>
      </c>
      <c r="J3010">
        <v>7</v>
      </c>
      <c r="K3010" t="str">
        <f>IF(Tb_data[[#This Row],[previous_workers]]&lt;Tb_data[[#This Row],[workers]],"yes","no")</f>
        <v>yes</v>
      </c>
      <c r="L3010">
        <f>Tb_data[[#This Row],[workers]]-Tb_data[[#This Row],[previous_workers]]</f>
        <v>40</v>
      </c>
      <c r="M3010" s="12">
        <f>Tb_data[[#This Row],[Employees Growth]]/Tb_data[[#This Row],[previous_workers]]</f>
        <v>0.88888888888888884</v>
      </c>
    </row>
    <row r="3011" spans="1:13" x14ac:dyDescent="0.25">
      <c r="A3011" s="1" t="s">
        <v>1397</v>
      </c>
      <c r="B3011" s="1" t="s">
        <v>1398</v>
      </c>
      <c r="C3011" s="1">
        <v>4100000</v>
      </c>
      <c r="D3011" s="1" t="s">
        <v>41</v>
      </c>
      <c r="E3011">
        <v>682.87829999999997</v>
      </c>
      <c r="F3011" s="1" t="s">
        <v>42</v>
      </c>
      <c r="G3011">
        <v>54</v>
      </c>
      <c r="H3011">
        <v>12</v>
      </c>
      <c r="I3011" s="1" t="s">
        <v>130</v>
      </c>
      <c r="J3011">
        <v>2</v>
      </c>
      <c r="K3011" t="str">
        <f>IF(Tb_data[[#This Row],[previous_workers]]&lt;Tb_data[[#This Row],[workers]],"yes","no")</f>
        <v>yes</v>
      </c>
      <c r="L3011">
        <f>Tb_data[[#This Row],[workers]]-Tb_data[[#This Row],[previous_workers]]</f>
        <v>42</v>
      </c>
      <c r="M3011" s="12">
        <f>Tb_data[[#This Row],[Employees Growth]]/Tb_data[[#This Row],[previous_workers]]</f>
        <v>3.5</v>
      </c>
    </row>
    <row r="3012" spans="1:13" x14ac:dyDescent="0.25">
      <c r="A3012" s="1" t="s">
        <v>4529</v>
      </c>
      <c r="B3012" s="1" t="s">
        <v>4530</v>
      </c>
      <c r="C3012" s="1">
        <v>11300000</v>
      </c>
      <c r="D3012" s="1" t="s">
        <v>427</v>
      </c>
      <c r="E3012">
        <v>181.34399999999999</v>
      </c>
      <c r="F3012" s="1" t="s">
        <v>112</v>
      </c>
      <c r="G3012">
        <v>63</v>
      </c>
      <c r="H3012">
        <v>30</v>
      </c>
      <c r="I3012" s="1" t="s">
        <v>3931</v>
      </c>
      <c r="J3012">
        <v>4</v>
      </c>
      <c r="K3012" t="str">
        <f>IF(Tb_data[[#This Row],[previous_workers]]&lt;Tb_data[[#This Row],[workers]],"yes","no")</f>
        <v>yes</v>
      </c>
      <c r="L3012">
        <f>Tb_data[[#This Row],[workers]]-Tb_data[[#This Row],[previous_workers]]</f>
        <v>33</v>
      </c>
      <c r="M3012" s="12">
        <f>Tb_data[[#This Row],[Employees Growth]]/Tb_data[[#This Row],[previous_workers]]</f>
        <v>1.1000000000000001</v>
      </c>
    </row>
    <row r="3013" spans="1:13" x14ac:dyDescent="0.25">
      <c r="A3013" s="1" t="s">
        <v>5946</v>
      </c>
      <c r="B3013" s="1" t="s">
        <v>5947</v>
      </c>
      <c r="C3013" s="1">
        <v>48500000</v>
      </c>
      <c r="D3013" s="1" t="s">
        <v>175</v>
      </c>
      <c r="E3013">
        <v>127.8145</v>
      </c>
      <c r="F3013" s="1" t="s">
        <v>97</v>
      </c>
      <c r="G3013">
        <v>285</v>
      </c>
      <c r="H3013">
        <v>124</v>
      </c>
      <c r="I3013" s="1" t="s">
        <v>295</v>
      </c>
      <c r="J3013">
        <v>10</v>
      </c>
      <c r="K3013" t="str">
        <f>IF(Tb_data[[#This Row],[previous_workers]]&lt;Tb_data[[#This Row],[workers]],"yes","no")</f>
        <v>yes</v>
      </c>
      <c r="L3013">
        <f>Tb_data[[#This Row],[workers]]-Tb_data[[#This Row],[previous_workers]]</f>
        <v>161</v>
      </c>
      <c r="M3013" s="12">
        <f>Tb_data[[#This Row],[Employees Growth]]/Tb_data[[#This Row],[previous_workers]]</f>
        <v>1.2983870967741935</v>
      </c>
    </row>
    <row r="3014" spans="1:13" x14ac:dyDescent="0.25">
      <c r="A3014" s="1" t="s">
        <v>2977</v>
      </c>
      <c r="B3014" s="1" t="s">
        <v>2978</v>
      </c>
      <c r="C3014" s="1">
        <v>2000000</v>
      </c>
      <c r="D3014" s="1" t="s">
        <v>254</v>
      </c>
      <c r="E3014">
        <v>289.40929999999997</v>
      </c>
      <c r="F3014" s="1" t="s">
        <v>86</v>
      </c>
      <c r="G3014">
        <v>9</v>
      </c>
      <c r="H3014">
        <v>4</v>
      </c>
      <c r="I3014" s="1" t="s">
        <v>55</v>
      </c>
      <c r="J3014">
        <v>6</v>
      </c>
      <c r="K3014" t="str">
        <f>IF(Tb_data[[#This Row],[previous_workers]]&lt;Tb_data[[#This Row],[workers]],"yes","no")</f>
        <v>yes</v>
      </c>
      <c r="L3014">
        <f>Tb_data[[#This Row],[workers]]-Tb_data[[#This Row],[previous_workers]]</f>
        <v>5</v>
      </c>
      <c r="M3014" s="12">
        <f>Tb_data[[#This Row],[Employees Growth]]/Tb_data[[#This Row],[previous_workers]]</f>
        <v>1.25</v>
      </c>
    </row>
    <row r="3015" spans="1:13" x14ac:dyDescent="0.25">
      <c r="A3015" s="1" t="s">
        <v>9878</v>
      </c>
      <c r="B3015" s="1" t="s">
        <v>9879</v>
      </c>
      <c r="C3015" s="1">
        <v>7800000</v>
      </c>
      <c r="D3015" s="1" t="s">
        <v>20</v>
      </c>
      <c r="E3015">
        <v>55.596699999999998</v>
      </c>
      <c r="F3015" s="1" t="s">
        <v>62</v>
      </c>
      <c r="G3015">
        <v>40</v>
      </c>
      <c r="H3015">
        <v>32</v>
      </c>
      <c r="I3015" s="1" t="s">
        <v>229</v>
      </c>
      <c r="J3015">
        <v>1</v>
      </c>
      <c r="K3015" t="str">
        <f>IF(Tb_data[[#This Row],[previous_workers]]&lt;Tb_data[[#This Row],[workers]],"yes","no")</f>
        <v>yes</v>
      </c>
      <c r="L3015">
        <f>Tb_data[[#This Row],[workers]]-Tb_data[[#This Row],[previous_workers]]</f>
        <v>8</v>
      </c>
      <c r="M3015" s="12">
        <f>Tb_data[[#This Row],[Employees Growth]]/Tb_data[[#This Row],[previous_workers]]</f>
        <v>0.25</v>
      </c>
    </row>
    <row r="3016" spans="1:13" x14ac:dyDescent="0.25">
      <c r="A3016" s="1" t="s">
        <v>3702</v>
      </c>
      <c r="B3016" s="1" t="s">
        <v>3703</v>
      </c>
      <c r="C3016" s="1">
        <v>368600000</v>
      </c>
      <c r="D3016" s="1" t="s">
        <v>179</v>
      </c>
      <c r="E3016">
        <v>228.4546</v>
      </c>
      <c r="F3016" s="1" t="s">
        <v>97</v>
      </c>
      <c r="G3016">
        <v>224</v>
      </c>
      <c r="H3016">
        <v>104</v>
      </c>
      <c r="I3016" s="1" t="s">
        <v>948</v>
      </c>
      <c r="J3016">
        <v>1</v>
      </c>
      <c r="K3016" t="str">
        <f>IF(Tb_data[[#This Row],[previous_workers]]&lt;Tb_data[[#This Row],[workers]],"yes","no")</f>
        <v>yes</v>
      </c>
      <c r="L3016">
        <f>Tb_data[[#This Row],[workers]]-Tb_data[[#This Row],[previous_workers]]</f>
        <v>120</v>
      </c>
      <c r="M3016" s="12">
        <f>Tb_data[[#This Row],[Employees Growth]]/Tb_data[[#This Row],[previous_workers]]</f>
        <v>1.1538461538461537</v>
      </c>
    </row>
    <row r="3017" spans="1:13" x14ac:dyDescent="0.25">
      <c r="A3017" s="1" t="s">
        <v>4301</v>
      </c>
      <c r="B3017" s="1" t="s">
        <v>4302</v>
      </c>
      <c r="C3017" s="1">
        <v>4600000</v>
      </c>
      <c r="D3017" s="1" t="s">
        <v>175</v>
      </c>
      <c r="E3017">
        <v>191.0651</v>
      </c>
      <c r="F3017" s="1" t="s">
        <v>156</v>
      </c>
      <c r="G3017">
        <v>41</v>
      </c>
      <c r="H3017">
        <v>14</v>
      </c>
      <c r="I3017" s="1" t="s">
        <v>74</v>
      </c>
      <c r="J3017">
        <v>1</v>
      </c>
      <c r="K3017" t="str">
        <f>IF(Tb_data[[#This Row],[previous_workers]]&lt;Tb_data[[#This Row],[workers]],"yes","no")</f>
        <v>yes</v>
      </c>
      <c r="L3017">
        <f>Tb_data[[#This Row],[workers]]-Tb_data[[#This Row],[previous_workers]]</f>
        <v>27</v>
      </c>
      <c r="M3017" s="12">
        <f>Tb_data[[#This Row],[Employees Growth]]/Tb_data[[#This Row],[previous_workers]]</f>
        <v>1.9285714285714286</v>
      </c>
    </row>
    <row r="3018" spans="1:13" x14ac:dyDescent="0.25">
      <c r="A3018" s="1" t="s">
        <v>2749</v>
      </c>
      <c r="B3018" s="1" t="s">
        <v>2750</v>
      </c>
      <c r="C3018" s="1">
        <v>811900000</v>
      </c>
      <c r="D3018" s="1" t="s">
        <v>69</v>
      </c>
      <c r="E3018">
        <v>313.5566</v>
      </c>
      <c r="F3018" s="1" t="s">
        <v>17</v>
      </c>
      <c r="G3018">
        <v>858</v>
      </c>
      <c r="H3018">
        <v>454</v>
      </c>
      <c r="I3018" s="1" t="s">
        <v>295</v>
      </c>
      <c r="J3018">
        <v>5</v>
      </c>
      <c r="K3018" t="str">
        <f>IF(Tb_data[[#This Row],[previous_workers]]&lt;Tb_data[[#This Row],[workers]],"yes","no")</f>
        <v>yes</v>
      </c>
      <c r="L3018">
        <f>Tb_data[[#This Row],[workers]]-Tb_data[[#This Row],[previous_workers]]</f>
        <v>404</v>
      </c>
      <c r="M3018" s="12">
        <f>Tb_data[[#This Row],[Employees Growth]]/Tb_data[[#This Row],[previous_workers]]</f>
        <v>0.88986784140969166</v>
      </c>
    </row>
    <row r="3019" spans="1:13" x14ac:dyDescent="0.25">
      <c r="A3019" s="1" t="s">
        <v>47</v>
      </c>
      <c r="B3019" s="1" t="s">
        <v>48</v>
      </c>
      <c r="C3019" s="1">
        <v>21400000</v>
      </c>
      <c r="D3019" s="1" t="s">
        <v>49</v>
      </c>
      <c r="E3019">
        <v>11996.296399999999</v>
      </c>
      <c r="F3019" s="1" t="s">
        <v>12</v>
      </c>
      <c r="G3019">
        <v>37</v>
      </c>
      <c r="H3019">
        <v>5</v>
      </c>
      <c r="I3019" s="1" t="s">
        <v>26</v>
      </c>
      <c r="J3019">
        <v>1</v>
      </c>
      <c r="K3019" t="str">
        <f>IF(Tb_data[[#This Row],[previous_workers]]&lt;Tb_data[[#This Row],[workers]],"yes","no")</f>
        <v>yes</v>
      </c>
      <c r="L3019">
        <f>Tb_data[[#This Row],[workers]]-Tb_data[[#This Row],[previous_workers]]</f>
        <v>32</v>
      </c>
      <c r="M3019" s="12">
        <f>Tb_data[[#This Row],[Employees Growth]]/Tb_data[[#This Row],[previous_workers]]</f>
        <v>6.4</v>
      </c>
    </row>
    <row r="3020" spans="1:13" x14ac:dyDescent="0.25">
      <c r="A3020" s="1" t="s">
        <v>4918</v>
      </c>
      <c r="B3020" s="1" t="s">
        <v>4919</v>
      </c>
      <c r="C3020" s="1">
        <v>3700000</v>
      </c>
      <c r="D3020" s="1" t="s">
        <v>61</v>
      </c>
      <c r="E3020">
        <v>165.12549999999999</v>
      </c>
      <c r="F3020" s="1" t="s">
        <v>62</v>
      </c>
      <c r="G3020">
        <v>22</v>
      </c>
      <c r="H3020">
        <v>8</v>
      </c>
      <c r="I3020" s="1" t="s">
        <v>55</v>
      </c>
      <c r="J3020">
        <v>2</v>
      </c>
      <c r="K3020" t="str">
        <f>IF(Tb_data[[#This Row],[previous_workers]]&lt;Tb_data[[#This Row],[workers]],"yes","no")</f>
        <v>yes</v>
      </c>
      <c r="L3020">
        <f>Tb_data[[#This Row],[workers]]-Tb_data[[#This Row],[previous_workers]]</f>
        <v>14</v>
      </c>
      <c r="M3020" s="12">
        <f>Tb_data[[#This Row],[Employees Growth]]/Tb_data[[#This Row],[previous_workers]]</f>
        <v>1.75</v>
      </c>
    </row>
    <row r="3021" spans="1:13" x14ac:dyDescent="0.25">
      <c r="A3021" s="1" t="s">
        <v>6081</v>
      </c>
      <c r="B3021" s="1" t="s">
        <v>6082</v>
      </c>
      <c r="C3021" s="1">
        <v>5300000</v>
      </c>
      <c r="D3021" s="1" t="s">
        <v>483</v>
      </c>
      <c r="E3021">
        <v>124.4776</v>
      </c>
      <c r="F3021" s="1" t="s">
        <v>100</v>
      </c>
      <c r="G3021">
        <v>32</v>
      </c>
      <c r="H3021">
        <v>10</v>
      </c>
      <c r="I3021" s="1" t="s">
        <v>295</v>
      </c>
      <c r="J3021">
        <v>2</v>
      </c>
      <c r="K3021" t="str">
        <f>IF(Tb_data[[#This Row],[previous_workers]]&lt;Tb_data[[#This Row],[workers]],"yes","no")</f>
        <v>yes</v>
      </c>
      <c r="L3021">
        <f>Tb_data[[#This Row],[workers]]-Tb_data[[#This Row],[previous_workers]]</f>
        <v>22</v>
      </c>
      <c r="M3021" s="12">
        <f>Tb_data[[#This Row],[Employees Growth]]/Tb_data[[#This Row],[previous_workers]]</f>
        <v>2.2000000000000002</v>
      </c>
    </row>
    <row r="3022" spans="1:13" x14ac:dyDescent="0.25">
      <c r="A3022" s="1" t="s">
        <v>7953</v>
      </c>
      <c r="B3022" s="1" t="s">
        <v>7954</v>
      </c>
      <c r="C3022" s="1">
        <v>4200000</v>
      </c>
      <c r="D3022" s="1" t="s">
        <v>52</v>
      </c>
      <c r="E3022">
        <v>83.844700000000003</v>
      </c>
      <c r="F3022" s="1" t="s">
        <v>142</v>
      </c>
      <c r="G3022">
        <v>14</v>
      </c>
      <c r="H3022">
        <v>8</v>
      </c>
      <c r="I3022" s="1" t="s">
        <v>46</v>
      </c>
      <c r="J3022">
        <v>3</v>
      </c>
      <c r="K3022" t="str">
        <f>IF(Tb_data[[#This Row],[previous_workers]]&lt;Tb_data[[#This Row],[workers]],"yes","no")</f>
        <v>yes</v>
      </c>
      <c r="L3022">
        <f>Tb_data[[#This Row],[workers]]-Tb_data[[#This Row],[previous_workers]]</f>
        <v>6</v>
      </c>
      <c r="M3022" s="12">
        <f>Tb_data[[#This Row],[Employees Growth]]/Tb_data[[#This Row],[previous_workers]]</f>
        <v>0.75</v>
      </c>
    </row>
    <row r="3023" spans="1:13" x14ac:dyDescent="0.25">
      <c r="A3023" s="1" t="s">
        <v>2100</v>
      </c>
      <c r="B3023" s="1" t="s">
        <v>2101</v>
      </c>
      <c r="C3023" s="1">
        <v>11000000</v>
      </c>
      <c r="D3023" s="1" t="s">
        <v>91</v>
      </c>
      <c r="E3023">
        <v>425.06650000000002</v>
      </c>
      <c r="F3023" s="1" t="s">
        <v>25</v>
      </c>
      <c r="G3023">
        <v>20</v>
      </c>
      <c r="H3023">
        <v>5</v>
      </c>
      <c r="I3023" s="1" t="s">
        <v>26</v>
      </c>
      <c r="J3023">
        <v>1</v>
      </c>
      <c r="K3023" t="str">
        <f>IF(Tb_data[[#This Row],[previous_workers]]&lt;Tb_data[[#This Row],[workers]],"yes","no")</f>
        <v>yes</v>
      </c>
      <c r="L3023">
        <f>Tb_data[[#This Row],[workers]]-Tb_data[[#This Row],[previous_workers]]</f>
        <v>15</v>
      </c>
      <c r="M3023" s="12">
        <f>Tb_data[[#This Row],[Employees Growth]]/Tb_data[[#This Row],[previous_workers]]</f>
        <v>3</v>
      </c>
    </row>
    <row r="3024" spans="1:13" x14ac:dyDescent="0.25">
      <c r="A3024" s="1" t="s">
        <v>7188</v>
      </c>
      <c r="B3024" s="1" t="s">
        <v>7189</v>
      </c>
      <c r="C3024" s="1">
        <v>7800000</v>
      </c>
      <c r="D3024" s="1" t="s">
        <v>483</v>
      </c>
      <c r="E3024">
        <v>98.717500000000001</v>
      </c>
      <c r="F3024" s="1" t="s">
        <v>161</v>
      </c>
      <c r="G3024">
        <v>38</v>
      </c>
      <c r="H3024">
        <v>25</v>
      </c>
      <c r="I3024" s="1" t="s">
        <v>226</v>
      </c>
      <c r="J3024">
        <v>1</v>
      </c>
      <c r="K3024" t="str">
        <f>IF(Tb_data[[#This Row],[previous_workers]]&lt;Tb_data[[#This Row],[workers]],"yes","no")</f>
        <v>yes</v>
      </c>
      <c r="L3024">
        <f>Tb_data[[#This Row],[workers]]-Tb_data[[#This Row],[previous_workers]]</f>
        <v>13</v>
      </c>
      <c r="M3024" s="12">
        <f>Tb_data[[#This Row],[Employees Growth]]/Tb_data[[#This Row],[previous_workers]]</f>
        <v>0.52</v>
      </c>
    </row>
    <row r="3025" spans="1:13" x14ac:dyDescent="0.25">
      <c r="A3025" s="1" t="s">
        <v>510</v>
      </c>
      <c r="B3025" s="1" t="s">
        <v>511</v>
      </c>
      <c r="C3025" s="1">
        <v>61100000</v>
      </c>
      <c r="D3025" s="1" t="s">
        <v>61</v>
      </c>
      <c r="E3025">
        <v>1938.0352</v>
      </c>
      <c r="F3025" s="1" t="s">
        <v>34</v>
      </c>
      <c r="G3025">
        <v>1246</v>
      </c>
      <c r="H3025">
        <v>105</v>
      </c>
      <c r="I3025" s="1" t="s">
        <v>46</v>
      </c>
      <c r="J3025">
        <v>1</v>
      </c>
      <c r="K3025" t="str">
        <f>IF(Tb_data[[#This Row],[previous_workers]]&lt;Tb_data[[#This Row],[workers]],"yes","no")</f>
        <v>yes</v>
      </c>
      <c r="L3025">
        <f>Tb_data[[#This Row],[workers]]-Tb_data[[#This Row],[previous_workers]]</f>
        <v>1141</v>
      </c>
      <c r="M3025" s="12">
        <f>Tb_data[[#This Row],[Employees Growth]]/Tb_data[[#This Row],[previous_workers]]</f>
        <v>10.866666666666667</v>
      </c>
    </row>
    <row r="3026" spans="1:13" x14ac:dyDescent="0.25">
      <c r="A3026" s="1" t="s">
        <v>1960</v>
      </c>
      <c r="B3026" s="1" t="s">
        <v>1961</v>
      </c>
      <c r="C3026" s="1">
        <v>2000000</v>
      </c>
      <c r="D3026" s="1" t="s">
        <v>49</v>
      </c>
      <c r="E3026">
        <v>458.31009999999998</v>
      </c>
      <c r="F3026" s="1" t="s">
        <v>100</v>
      </c>
      <c r="G3026">
        <v>10</v>
      </c>
      <c r="H3026">
        <v>5</v>
      </c>
      <c r="I3026" s="1" t="s">
        <v>147</v>
      </c>
      <c r="J3026">
        <v>1</v>
      </c>
      <c r="K3026" t="str">
        <f>IF(Tb_data[[#This Row],[previous_workers]]&lt;Tb_data[[#This Row],[workers]],"yes","no")</f>
        <v>yes</v>
      </c>
      <c r="L3026">
        <f>Tb_data[[#This Row],[workers]]-Tb_data[[#This Row],[previous_workers]]</f>
        <v>5</v>
      </c>
      <c r="M3026" s="12">
        <f>Tb_data[[#This Row],[Employees Growth]]/Tb_data[[#This Row],[previous_workers]]</f>
        <v>1</v>
      </c>
    </row>
    <row r="3027" spans="1:13" x14ac:dyDescent="0.25">
      <c r="A3027" s="1" t="s">
        <v>7072</v>
      </c>
      <c r="B3027" s="1" t="s">
        <v>7073</v>
      </c>
      <c r="C3027" s="1">
        <v>34500000</v>
      </c>
      <c r="D3027" s="1" t="s">
        <v>49</v>
      </c>
      <c r="E3027">
        <v>100.62179999999999</v>
      </c>
      <c r="F3027" s="1" t="s">
        <v>34</v>
      </c>
      <c r="G3027">
        <v>497</v>
      </c>
      <c r="H3027">
        <v>304</v>
      </c>
      <c r="I3027" s="1" t="s">
        <v>295</v>
      </c>
      <c r="J3027">
        <v>3</v>
      </c>
      <c r="K3027" t="str">
        <f>IF(Tb_data[[#This Row],[previous_workers]]&lt;Tb_data[[#This Row],[workers]],"yes","no")</f>
        <v>yes</v>
      </c>
      <c r="L3027">
        <f>Tb_data[[#This Row],[workers]]-Tb_data[[#This Row],[previous_workers]]</f>
        <v>193</v>
      </c>
      <c r="M3027" s="12">
        <f>Tb_data[[#This Row],[Employees Growth]]/Tb_data[[#This Row],[previous_workers]]</f>
        <v>0.63486842105263153</v>
      </c>
    </row>
    <row r="3028" spans="1:13" x14ac:dyDescent="0.25">
      <c r="A3028" s="1" t="s">
        <v>6335</v>
      </c>
      <c r="B3028" s="1" t="s">
        <v>6336</v>
      </c>
      <c r="C3028" s="1">
        <v>3300000</v>
      </c>
      <c r="D3028" s="1" t="s">
        <v>1021</v>
      </c>
      <c r="E3028">
        <v>117.7419</v>
      </c>
      <c r="F3028" s="1" t="s">
        <v>25</v>
      </c>
      <c r="G3028">
        <v>21</v>
      </c>
      <c r="H3028">
        <v>6</v>
      </c>
      <c r="I3028" s="1" t="s">
        <v>46</v>
      </c>
      <c r="J3028">
        <v>2</v>
      </c>
      <c r="K3028" t="str">
        <f>IF(Tb_data[[#This Row],[previous_workers]]&lt;Tb_data[[#This Row],[workers]],"yes","no")</f>
        <v>yes</v>
      </c>
      <c r="L3028">
        <f>Tb_data[[#This Row],[workers]]-Tb_data[[#This Row],[previous_workers]]</f>
        <v>15</v>
      </c>
      <c r="M3028" s="12">
        <f>Tb_data[[#This Row],[Employees Growth]]/Tb_data[[#This Row],[previous_workers]]</f>
        <v>2.5</v>
      </c>
    </row>
    <row r="3029" spans="1:13" x14ac:dyDescent="0.25">
      <c r="A3029" s="1" t="s">
        <v>8325</v>
      </c>
      <c r="B3029" s="1" t="s">
        <v>8326</v>
      </c>
      <c r="C3029" s="1">
        <v>5700000</v>
      </c>
      <c r="D3029" s="1" t="s">
        <v>45</v>
      </c>
      <c r="E3029">
        <v>77.474500000000006</v>
      </c>
      <c r="F3029" s="1" t="s">
        <v>112</v>
      </c>
      <c r="G3029">
        <v>35</v>
      </c>
      <c r="H3029">
        <v>25</v>
      </c>
      <c r="I3029" s="1" t="s">
        <v>1768</v>
      </c>
      <c r="J3029">
        <v>1</v>
      </c>
      <c r="K3029" t="str">
        <f>IF(Tb_data[[#This Row],[previous_workers]]&lt;Tb_data[[#This Row],[workers]],"yes","no")</f>
        <v>yes</v>
      </c>
      <c r="L3029">
        <f>Tb_data[[#This Row],[workers]]-Tb_data[[#This Row],[previous_workers]]</f>
        <v>10</v>
      </c>
      <c r="M3029" s="12">
        <f>Tb_data[[#This Row],[Employees Growth]]/Tb_data[[#This Row],[previous_workers]]</f>
        <v>0.4</v>
      </c>
    </row>
    <row r="3030" spans="1:13" x14ac:dyDescent="0.25">
      <c r="A3030" s="1" t="s">
        <v>5568</v>
      </c>
      <c r="B3030" s="1" t="s">
        <v>5569</v>
      </c>
      <c r="C3030" s="1">
        <v>11300000</v>
      </c>
      <c r="D3030" s="1" t="s">
        <v>11</v>
      </c>
      <c r="E3030">
        <v>139.55850000000001</v>
      </c>
      <c r="F3030" s="1" t="s">
        <v>62</v>
      </c>
      <c r="G3030">
        <v>48</v>
      </c>
      <c r="H3030">
        <v>35</v>
      </c>
      <c r="I3030" s="1" t="s">
        <v>74</v>
      </c>
      <c r="J3030">
        <v>3</v>
      </c>
      <c r="K3030" t="str">
        <f>IF(Tb_data[[#This Row],[previous_workers]]&lt;Tb_data[[#This Row],[workers]],"yes","no")</f>
        <v>yes</v>
      </c>
      <c r="L3030">
        <f>Tb_data[[#This Row],[workers]]-Tb_data[[#This Row],[previous_workers]]</f>
        <v>13</v>
      </c>
      <c r="M3030" s="12">
        <f>Tb_data[[#This Row],[Employees Growth]]/Tb_data[[#This Row],[previous_workers]]</f>
        <v>0.37142857142857144</v>
      </c>
    </row>
    <row r="3031" spans="1:13" x14ac:dyDescent="0.25">
      <c r="A3031" s="1" t="s">
        <v>5658</v>
      </c>
      <c r="B3031" s="1" t="s">
        <v>5659</v>
      </c>
      <c r="C3031" s="1">
        <v>4200000</v>
      </c>
      <c r="D3031" s="1" t="s">
        <v>58</v>
      </c>
      <c r="E3031">
        <v>135.7818</v>
      </c>
      <c r="F3031" s="1" t="s">
        <v>176</v>
      </c>
      <c r="G3031">
        <v>11</v>
      </c>
      <c r="H3031">
        <v>4</v>
      </c>
      <c r="I3031" s="1" t="s">
        <v>35</v>
      </c>
      <c r="J3031">
        <v>2</v>
      </c>
      <c r="K3031" t="str">
        <f>IF(Tb_data[[#This Row],[previous_workers]]&lt;Tb_data[[#This Row],[workers]],"yes","no")</f>
        <v>yes</v>
      </c>
      <c r="L3031">
        <f>Tb_data[[#This Row],[workers]]-Tb_data[[#This Row],[previous_workers]]</f>
        <v>7</v>
      </c>
      <c r="M3031" s="12">
        <f>Tb_data[[#This Row],[Employees Growth]]/Tb_data[[#This Row],[previous_workers]]</f>
        <v>1.75</v>
      </c>
    </row>
    <row r="3032" spans="1:13" x14ac:dyDescent="0.25">
      <c r="A3032" s="1" t="s">
        <v>8071</v>
      </c>
      <c r="B3032" s="1" t="s">
        <v>8072</v>
      </c>
      <c r="C3032" s="1">
        <v>2500000</v>
      </c>
      <c r="D3032" s="1" t="s">
        <v>422</v>
      </c>
      <c r="E3032">
        <v>81.539199999999994</v>
      </c>
      <c r="F3032" s="1" t="s">
        <v>100</v>
      </c>
      <c r="G3032">
        <v>20</v>
      </c>
      <c r="H3032">
        <v>8</v>
      </c>
      <c r="I3032" s="1" t="s">
        <v>295</v>
      </c>
      <c r="J3032">
        <v>1</v>
      </c>
      <c r="K3032" t="str">
        <f>IF(Tb_data[[#This Row],[previous_workers]]&lt;Tb_data[[#This Row],[workers]],"yes","no")</f>
        <v>yes</v>
      </c>
      <c r="L3032">
        <f>Tb_data[[#This Row],[workers]]-Tb_data[[#This Row],[previous_workers]]</f>
        <v>12</v>
      </c>
      <c r="M3032" s="12">
        <f>Tb_data[[#This Row],[Employees Growth]]/Tb_data[[#This Row],[previous_workers]]</f>
        <v>1.5</v>
      </c>
    </row>
    <row r="3033" spans="1:13" x14ac:dyDescent="0.25">
      <c r="A3033" s="1" t="s">
        <v>5186</v>
      </c>
      <c r="B3033" s="1" t="s">
        <v>5187</v>
      </c>
      <c r="C3033" s="1">
        <v>3500000</v>
      </c>
      <c r="D3033" s="1" t="s">
        <v>895</v>
      </c>
      <c r="E3033">
        <v>153.95519999999999</v>
      </c>
      <c r="F3033" s="1" t="s">
        <v>30</v>
      </c>
      <c r="G3033">
        <v>1</v>
      </c>
      <c r="H3033">
        <v>1</v>
      </c>
      <c r="I3033" s="1" t="s">
        <v>295</v>
      </c>
      <c r="J3033">
        <v>2</v>
      </c>
      <c r="K3033" t="str">
        <f>IF(Tb_data[[#This Row],[previous_workers]]&lt;Tb_data[[#This Row],[workers]],"yes","no")</f>
        <v>no</v>
      </c>
      <c r="L3033">
        <f>Tb_data[[#This Row],[workers]]-Tb_data[[#This Row],[previous_workers]]</f>
        <v>0</v>
      </c>
      <c r="M3033" s="12">
        <f>Tb_data[[#This Row],[Employees Growth]]/Tb_data[[#This Row],[previous_workers]]</f>
        <v>0</v>
      </c>
    </row>
    <row r="3034" spans="1:13" x14ac:dyDescent="0.25">
      <c r="A3034" s="1" t="s">
        <v>9395</v>
      </c>
      <c r="B3034" s="1" t="s">
        <v>9396</v>
      </c>
      <c r="C3034" s="1">
        <v>3700000</v>
      </c>
      <c r="D3034" s="1" t="s">
        <v>69</v>
      </c>
      <c r="E3034">
        <v>61.541899999999998</v>
      </c>
      <c r="F3034" s="1" t="s">
        <v>30</v>
      </c>
      <c r="G3034">
        <v>26</v>
      </c>
      <c r="H3034">
        <v>18</v>
      </c>
      <c r="I3034" s="1" t="s">
        <v>4032</v>
      </c>
      <c r="J3034">
        <v>1</v>
      </c>
      <c r="K3034" t="str">
        <f>IF(Tb_data[[#This Row],[previous_workers]]&lt;Tb_data[[#This Row],[workers]],"yes","no")</f>
        <v>yes</v>
      </c>
      <c r="L3034">
        <f>Tb_data[[#This Row],[workers]]-Tb_data[[#This Row],[previous_workers]]</f>
        <v>8</v>
      </c>
      <c r="M3034" s="12">
        <f>Tb_data[[#This Row],[Employees Growth]]/Tb_data[[#This Row],[previous_workers]]</f>
        <v>0.44444444444444442</v>
      </c>
    </row>
    <row r="3035" spans="1:13" x14ac:dyDescent="0.25">
      <c r="A3035" s="1" t="s">
        <v>9546</v>
      </c>
      <c r="B3035" s="1" t="s">
        <v>9547</v>
      </c>
      <c r="C3035" s="1">
        <v>3300000</v>
      </c>
      <c r="D3035" s="1" t="s">
        <v>120</v>
      </c>
      <c r="E3035">
        <v>59.725499999999997</v>
      </c>
      <c r="F3035" s="1" t="s">
        <v>124</v>
      </c>
      <c r="G3035">
        <v>31</v>
      </c>
      <c r="H3035">
        <v>22</v>
      </c>
      <c r="I3035" s="1" t="s">
        <v>164</v>
      </c>
      <c r="J3035">
        <v>1</v>
      </c>
      <c r="K3035" t="str">
        <f>IF(Tb_data[[#This Row],[previous_workers]]&lt;Tb_data[[#This Row],[workers]],"yes","no")</f>
        <v>yes</v>
      </c>
      <c r="L3035">
        <f>Tb_data[[#This Row],[workers]]-Tb_data[[#This Row],[previous_workers]]</f>
        <v>9</v>
      </c>
      <c r="M3035" s="12">
        <f>Tb_data[[#This Row],[Employees Growth]]/Tb_data[[#This Row],[previous_workers]]</f>
        <v>0.40909090909090912</v>
      </c>
    </row>
    <row r="3036" spans="1:13" x14ac:dyDescent="0.25">
      <c r="A3036" s="1" t="s">
        <v>4123</v>
      </c>
      <c r="B3036" s="1" t="s">
        <v>4124</v>
      </c>
      <c r="C3036" s="1">
        <v>10500000</v>
      </c>
      <c r="D3036" s="1" t="s">
        <v>375</v>
      </c>
      <c r="E3036">
        <v>199.42250000000001</v>
      </c>
      <c r="F3036" s="1" t="s">
        <v>310</v>
      </c>
      <c r="G3036">
        <v>100</v>
      </c>
      <c r="H3036">
        <v>30</v>
      </c>
      <c r="I3036" s="1" t="s">
        <v>2628</v>
      </c>
      <c r="J3036">
        <v>2</v>
      </c>
      <c r="K3036" t="str">
        <f>IF(Tb_data[[#This Row],[previous_workers]]&lt;Tb_data[[#This Row],[workers]],"yes","no")</f>
        <v>yes</v>
      </c>
      <c r="L3036">
        <f>Tb_data[[#This Row],[workers]]-Tb_data[[#This Row],[previous_workers]]</f>
        <v>70</v>
      </c>
      <c r="M3036" s="12">
        <f>Tb_data[[#This Row],[Employees Growth]]/Tb_data[[#This Row],[previous_workers]]</f>
        <v>2.3333333333333335</v>
      </c>
    </row>
    <row r="3037" spans="1:13" x14ac:dyDescent="0.25">
      <c r="A3037" s="1" t="s">
        <v>7541</v>
      </c>
      <c r="B3037" s="1" t="s">
        <v>7542</v>
      </c>
      <c r="C3037" s="1">
        <v>6500000</v>
      </c>
      <c r="D3037" s="1" t="s">
        <v>895</v>
      </c>
      <c r="E3037">
        <v>91.918899999999994</v>
      </c>
      <c r="F3037" s="1" t="s">
        <v>25</v>
      </c>
      <c r="G3037">
        <v>45</v>
      </c>
      <c r="H3037">
        <v>35</v>
      </c>
      <c r="I3037" s="1" t="s">
        <v>2225</v>
      </c>
      <c r="J3037">
        <v>1</v>
      </c>
      <c r="K3037" t="str">
        <f>IF(Tb_data[[#This Row],[previous_workers]]&lt;Tb_data[[#This Row],[workers]],"yes","no")</f>
        <v>yes</v>
      </c>
      <c r="L3037">
        <f>Tb_data[[#This Row],[workers]]-Tb_data[[#This Row],[previous_workers]]</f>
        <v>10</v>
      </c>
      <c r="M3037" s="12">
        <f>Tb_data[[#This Row],[Employees Growth]]/Tb_data[[#This Row],[previous_workers]]</f>
        <v>0.2857142857142857</v>
      </c>
    </row>
    <row r="3038" spans="1:13" x14ac:dyDescent="0.25">
      <c r="A3038" s="1" t="s">
        <v>3265</v>
      </c>
      <c r="B3038" s="1" t="s">
        <v>3266</v>
      </c>
      <c r="C3038" s="1">
        <v>5400000</v>
      </c>
      <c r="D3038" s="1" t="s">
        <v>58</v>
      </c>
      <c r="E3038">
        <v>263.43200000000002</v>
      </c>
      <c r="F3038" s="1" t="s">
        <v>34</v>
      </c>
      <c r="G3038">
        <v>160</v>
      </c>
      <c r="H3038">
        <v>35</v>
      </c>
      <c r="I3038" s="1" t="s">
        <v>372</v>
      </c>
      <c r="J3038">
        <v>3</v>
      </c>
      <c r="K3038" t="str">
        <f>IF(Tb_data[[#This Row],[previous_workers]]&lt;Tb_data[[#This Row],[workers]],"yes","no")</f>
        <v>yes</v>
      </c>
      <c r="L3038">
        <f>Tb_data[[#This Row],[workers]]-Tb_data[[#This Row],[previous_workers]]</f>
        <v>125</v>
      </c>
      <c r="M3038" s="12">
        <f>Tb_data[[#This Row],[Employees Growth]]/Tb_data[[#This Row],[previous_workers]]</f>
        <v>3.5714285714285716</v>
      </c>
    </row>
    <row r="3039" spans="1:13" x14ac:dyDescent="0.25">
      <c r="A3039" s="1" t="s">
        <v>2468</v>
      </c>
      <c r="B3039" s="1" t="s">
        <v>2469</v>
      </c>
      <c r="C3039" s="1">
        <v>2900000</v>
      </c>
      <c r="D3039" s="1" t="s">
        <v>58</v>
      </c>
      <c r="E3039">
        <v>352.64409999999998</v>
      </c>
      <c r="F3039" s="1" t="s">
        <v>100</v>
      </c>
      <c r="G3039">
        <v>24</v>
      </c>
      <c r="H3039">
        <v>8</v>
      </c>
      <c r="I3039" s="1" t="s">
        <v>26</v>
      </c>
      <c r="J3039">
        <v>1</v>
      </c>
      <c r="K3039" t="str">
        <f>IF(Tb_data[[#This Row],[previous_workers]]&lt;Tb_data[[#This Row],[workers]],"yes","no")</f>
        <v>yes</v>
      </c>
      <c r="L3039">
        <f>Tb_data[[#This Row],[workers]]-Tb_data[[#This Row],[previous_workers]]</f>
        <v>16</v>
      </c>
      <c r="M3039" s="12">
        <f>Tb_data[[#This Row],[Employees Growth]]/Tb_data[[#This Row],[previous_workers]]</f>
        <v>2</v>
      </c>
    </row>
    <row r="3040" spans="1:13" x14ac:dyDescent="0.25">
      <c r="A3040" s="1" t="s">
        <v>4254</v>
      </c>
      <c r="B3040" s="1" t="s">
        <v>4255</v>
      </c>
      <c r="C3040" s="1">
        <v>23200000</v>
      </c>
      <c r="D3040" s="1" t="s">
        <v>175</v>
      </c>
      <c r="E3040">
        <v>193.8229</v>
      </c>
      <c r="F3040" s="1" t="s">
        <v>97</v>
      </c>
      <c r="G3040">
        <v>125</v>
      </c>
      <c r="H3040">
        <v>45</v>
      </c>
      <c r="I3040" s="1" t="s">
        <v>164</v>
      </c>
      <c r="J3040">
        <v>3</v>
      </c>
      <c r="K3040" t="str">
        <f>IF(Tb_data[[#This Row],[previous_workers]]&lt;Tb_data[[#This Row],[workers]],"yes","no")</f>
        <v>yes</v>
      </c>
      <c r="L3040">
        <f>Tb_data[[#This Row],[workers]]-Tb_data[[#This Row],[previous_workers]]</f>
        <v>80</v>
      </c>
      <c r="M3040" s="12">
        <f>Tb_data[[#This Row],[Employees Growth]]/Tb_data[[#This Row],[previous_workers]]</f>
        <v>1.7777777777777777</v>
      </c>
    </row>
    <row r="3041" spans="1:13" x14ac:dyDescent="0.25">
      <c r="A3041" s="1" t="s">
        <v>4006</v>
      </c>
      <c r="B3041" s="1" t="s">
        <v>4007</v>
      </c>
      <c r="C3041" s="1">
        <v>7700000</v>
      </c>
      <c r="D3041" s="1" t="s">
        <v>33</v>
      </c>
      <c r="E3041">
        <v>206.154</v>
      </c>
      <c r="F3041" s="1" t="s">
        <v>124</v>
      </c>
      <c r="G3041">
        <v>28</v>
      </c>
      <c r="H3041">
        <v>15</v>
      </c>
      <c r="I3041" s="1" t="s">
        <v>117</v>
      </c>
      <c r="J3041">
        <v>1</v>
      </c>
      <c r="K3041" t="str">
        <f>IF(Tb_data[[#This Row],[previous_workers]]&lt;Tb_data[[#This Row],[workers]],"yes","no")</f>
        <v>yes</v>
      </c>
      <c r="L3041">
        <f>Tb_data[[#This Row],[workers]]-Tb_data[[#This Row],[previous_workers]]</f>
        <v>13</v>
      </c>
      <c r="M3041" s="12">
        <f>Tb_data[[#This Row],[Employees Growth]]/Tb_data[[#This Row],[previous_workers]]</f>
        <v>0.8666666666666667</v>
      </c>
    </row>
    <row r="3042" spans="1:13" x14ac:dyDescent="0.25">
      <c r="A3042" s="1" t="s">
        <v>4607</v>
      </c>
      <c r="B3042" s="1" t="s">
        <v>4608</v>
      </c>
      <c r="C3042" s="1">
        <v>41100000</v>
      </c>
      <c r="D3042" s="1" t="s">
        <v>49</v>
      </c>
      <c r="E3042">
        <v>178.17179999999999</v>
      </c>
      <c r="F3042" s="1" t="s">
        <v>34</v>
      </c>
      <c r="G3042">
        <v>956</v>
      </c>
      <c r="H3042">
        <v>145</v>
      </c>
      <c r="I3042" s="1" t="s">
        <v>46</v>
      </c>
      <c r="J3042">
        <v>7</v>
      </c>
      <c r="K3042" t="str">
        <f>IF(Tb_data[[#This Row],[previous_workers]]&lt;Tb_data[[#This Row],[workers]],"yes","no")</f>
        <v>yes</v>
      </c>
      <c r="L3042">
        <f>Tb_data[[#This Row],[workers]]-Tb_data[[#This Row],[previous_workers]]</f>
        <v>811</v>
      </c>
      <c r="M3042" s="12">
        <f>Tb_data[[#This Row],[Employees Growth]]/Tb_data[[#This Row],[previous_workers]]</f>
        <v>5.5931034482758619</v>
      </c>
    </row>
    <row r="3043" spans="1:13" x14ac:dyDescent="0.25">
      <c r="A3043" s="1" t="s">
        <v>2867</v>
      </c>
      <c r="B3043" s="1" t="s">
        <v>2868</v>
      </c>
      <c r="C3043" s="1">
        <v>44400000</v>
      </c>
      <c r="D3043" s="1" t="s">
        <v>155</v>
      </c>
      <c r="E3043">
        <v>301.17840000000001</v>
      </c>
      <c r="F3043" s="1" t="s">
        <v>34</v>
      </c>
      <c r="G3043">
        <v>161</v>
      </c>
      <c r="H3043">
        <v>87</v>
      </c>
      <c r="I3043" s="1" t="s">
        <v>164</v>
      </c>
      <c r="J3043">
        <v>2</v>
      </c>
      <c r="K3043" t="str">
        <f>IF(Tb_data[[#This Row],[previous_workers]]&lt;Tb_data[[#This Row],[workers]],"yes","no")</f>
        <v>yes</v>
      </c>
      <c r="L3043">
        <f>Tb_data[[#This Row],[workers]]-Tb_data[[#This Row],[previous_workers]]</f>
        <v>74</v>
      </c>
      <c r="M3043" s="12">
        <f>Tb_data[[#This Row],[Employees Growth]]/Tb_data[[#This Row],[previous_workers]]</f>
        <v>0.85057471264367812</v>
      </c>
    </row>
    <row r="3044" spans="1:13" x14ac:dyDescent="0.25">
      <c r="A3044" s="1" t="s">
        <v>7587</v>
      </c>
      <c r="B3044" s="1" t="s">
        <v>7588</v>
      </c>
      <c r="C3044" s="1">
        <v>11600000</v>
      </c>
      <c r="D3044" s="1" t="s">
        <v>627</v>
      </c>
      <c r="E3044">
        <v>90.723299999999995</v>
      </c>
      <c r="F3044" s="1" t="s">
        <v>124</v>
      </c>
      <c r="G3044">
        <v>63</v>
      </c>
      <c r="H3044">
        <v>37</v>
      </c>
      <c r="I3044" s="1" t="s">
        <v>1949</v>
      </c>
      <c r="J3044">
        <v>2</v>
      </c>
      <c r="K3044" t="str">
        <f>IF(Tb_data[[#This Row],[previous_workers]]&lt;Tb_data[[#This Row],[workers]],"yes","no")</f>
        <v>yes</v>
      </c>
      <c r="L3044">
        <f>Tb_data[[#This Row],[workers]]-Tb_data[[#This Row],[previous_workers]]</f>
        <v>26</v>
      </c>
      <c r="M3044" s="12">
        <f>Tb_data[[#This Row],[Employees Growth]]/Tb_data[[#This Row],[previous_workers]]</f>
        <v>0.70270270270270274</v>
      </c>
    </row>
    <row r="3045" spans="1:13" x14ac:dyDescent="0.25">
      <c r="A3045" s="1" t="s">
        <v>5406</v>
      </c>
      <c r="B3045" s="1" t="s">
        <v>5407</v>
      </c>
      <c r="C3045" s="1">
        <v>5300000</v>
      </c>
      <c r="D3045" s="1" t="s">
        <v>38</v>
      </c>
      <c r="E3045">
        <v>146.08260000000001</v>
      </c>
      <c r="F3045" s="1" t="s">
        <v>17</v>
      </c>
      <c r="G3045">
        <v>75</v>
      </c>
      <c r="H3045">
        <v>20</v>
      </c>
      <c r="I3045" s="1" t="s">
        <v>164</v>
      </c>
      <c r="J3045">
        <v>2</v>
      </c>
      <c r="K3045" t="str">
        <f>IF(Tb_data[[#This Row],[previous_workers]]&lt;Tb_data[[#This Row],[workers]],"yes","no")</f>
        <v>yes</v>
      </c>
      <c r="L3045">
        <f>Tb_data[[#This Row],[workers]]-Tb_data[[#This Row],[previous_workers]]</f>
        <v>55</v>
      </c>
      <c r="M3045" s="12">
        <f>Tb_data[[#This Row],[Employees Growth]]/Tb_data[[#This Row],[previous_workers]]</f>
        <v>2.75</v>
      </c>
    </row>
    <row r="3046" spans="1:13" x14ac:dyDescent="0.25">
      <c r="A3046" s="1" t="s">
        <v>4675</v>
      </c>
      <c r="B3046" s="1" t="s">
        <v>4676</v>
      </c>
      <c r="C3046" s="1">
        <v>40300000</v>
      </c>
      <c r="D3046" s="1" t="s">
        <v>49</v>
      </c>
      <c r="E3046">
        <v>175.15860000000001</v>
      </c>
      <c r="F3046" s="1" t="s">
        <v>17</v>
      </c>
      <c r="G3046">
        <v>350</v>
      </c>
      <c r="H3046">
        <v>100</v>
      </c>
      <c r="I3046" s="1" t="s">
        <v>164</v>
      </c>
      <c r="J3046">
        <v>1</v>
      </c>
      <c r="K3046" t="str">
        <f>IF(Tb_data[[#This Row],[previous_workers]]&lt;Tb_data[[#This Row],[workers]],"yes","no")</f>
        <v>yes</v>
      </c>
      <c r="L3046">
        <f>Tb_data[[#This Row],[workers]]-Tb_data[[#This Row],[previous_workers]]</f>
        <v>250</v>
      </c>
      <c r="M3046" s="12">
        <f>Tb_data[[#This Row],[Employees Growth]]/Tb_data[[#This Row],[previous_workers]]</f>
        <v>2.5</v>
      </c>
    </row>
    <row r="3047" spans="1:13" x14ac:dyDescent="0.25">
      <c r="A3047" s="1" t="s">
        <v>8101</v>
      </c>
      <c r="B3047" s="1" t="s">
        <v>8102</v>
      </c>
      <c r="C3047" s="1">
        <v>23400000</v>
      </c>
      <c r="D3047" s="1" t="s">
        <v>33</v>
      </c>
      <c r="E3047">
        <v>81.118700000000004</v>
      </c>
      <c r="F3047" s="1" t="s">
        <v>94</v>
      </c>
      <c r="G3047">
        <v>28</v>
      </c>
      <c r="H3047">
        <v>21</v>
      </c>
      <c r="I3047" s="1" t="s">
        <v>35</v>
      </c>
      <c r="J3047">
        <v>6</v>
      </c>
      <c r="K3047" t="str">
        <f>IF(Tb_data[[#This Row],[previous_workers]]&lt;Tb_data[[#This Row],[workers]],"yes","no")</f>
        <v>yes</v>
      </c>
      <c r="L3047">
        <f>Tb_data[[#This Row],[workers]]-Tb_data[[#This Row],[previous_workers]]</f>
        <v>7</v>
      </c>
      <c r="M3047" s="12">
        <f>Tb_data[[#This Row],[Employees Growth]]/Tb_data[[#This Row],[previous_workers]]</f>
        <v>0.33333333333333331</v>
      </c>
    </row>
    <row r="3048" spans="1:13" x14ac:dyDescent="0.25">
      <c r="A3048" s="1" t="s">
        <v>9335</v>
      </c>
      <c r="B3048" s="1" t="s">
        <v>9336</v>
      </c>
      <c r="C3048" s="1">
        <v>25300000</v>
      </c>
      <c r="D3048" s="1" t="s">
        <v>41</v>
      </c>
      <c r="E3048">
        <v>62.404699999999998</v>
      </c>
      <c r="F3048" s="1" t="s">
        <v>156</v>
      </c>
      <c r="G3048">
        <v>106</v>
      </c>
      <c r="H3048">
        <v>70</v>
      </c>
      <c r="I3048" s="1" t="s">
        <v>147</v>
      </c>
      <c r="J3048">
        <v>6</v>
      </c>
      <c r="K3048" t="str">
        <f>IF(Tb_data[[#This Row],[previous_workers]]&lt;Tb_data[[#This Row],[workers]],"yes","no")</f>
        <v>yes</v>
      </c>
      <c r="L3048">
        <f>Tb_data[[#This Row],[workers]]-Tb_data[[#This Row],[previous_workers]]</f>
        <v>36</v>
      </c>
      <c r="M3048" s="12">
        <f>Tb_data[[#This Row],[Employees Growth]]/Tb_data[[#This Row],[previous_workers]]</f>
        <v>0.51428571428571423</v>
      </c>
    </row>
    <row r="3049" spans="1:13" x14ac:dyDescent="0.25">
      <c r="A3049" s="1" t="s">
        <v>398</v>
      </c>
      <c r="B3049" s="1" t="s">
        <v>399</v>
      </c>
      <c r="C3049" s="1">
        <v>3000000</v>
      </c>
      <c r="D3049" s="1" t="s">
        <v>115</v>
      </c>
      <c r="E3049">
        <v>2391.8562999999999</v>
      </c>
      <c r="F3049" s="1" t="s">
        <v>25</v>
      </c>
      <c r="G3049">
        <v>15</v>
      </c>
      <c r="H3049">
        <v>3</v>
      </c>
      <c r="I3049" s="1" t="s">
        <v>26</v>
      </c>
      <c r="J3049">
        <v>1</v>
      </c>
      <c r="K3049" t="str">
        <f>IF(Tb_data[[#This Row],[previous_workers]]&lt;Tb_data[[#This Row],[workers]],"yes","no")</f>
        <v>yes</v>
      </c>
      <c r="L3049">
        <f>Tb_data[[#This Row],[workers]]-Tb_data[[#This Row],[previous_workers]]</f>
        <v>12</v>
      </c>
      <c r="M3049" s="12">
        <f>Tb_data[[#This Row],[Employees Growth]]/Tb_data[[#This Row],[previous_workers]]</f>
        <v>4</v>
      </c>
    </row>
    <row r="3050" spans="1:13" x14ac:dyDescent="0.25">
      <c r="A3050" s="1" t="s">
        <v>50</v>
      </c>
      <c r="B3050" s="1" t="s">
        <v>51</v>
      </c>
      <c r="C3050" s="1">
        <v>13900000</v>
      </c>
      <c r="D3050" s="1" t="s">
        <v>52</v>
      </c>
      <c r="E3050">
        <v>11949.179</v>
      </c>
      <c r="F3050" s="1" t="s">
        <v>25</v>
      </c>
      <c r="G3050">
        <v>40</v>
      </c>
      <c r="H3050">
        <v>2</v>
      </c>
      <c r="I3050" s="1" t="s">
        <v>26</v>
      </c>
      <c r="J3050">
        <v>1</v>
      </c>
      <c r="K3050" t="str">
        <f>IF(Tb_data[[#This Row],[previous_workers]]&lt;Tb_data[[#This Row],[workers]],"yes","no")</f>
        <v>yes</v>
      </c>
      <c r="L3050">
        <f>Tb_data[[#This Row],[workers]]-Tb_data[[#This Row],[previous_workers]]</f>
        <v>38</v>
      </c>
      <c r="M3050" s="12">
        <f>Tb_data[[#This Row],[Employees Growth]]/Tb_data[[#This Row],[previous_workers]]</f>
        <v>19</v>
      </c>
    </row>
    <row r="3051" spans="1:13" x14ac:dyDescent="0.25">
      <c r="A3051" s="1" t="s">
        <v>6361</v>
      </c>
      <c r="B3051" s="1" t="s">
        <v>6362</v>
      </c>
      <c r="C3051" s="1">
        <v>31200000</v>
      </c>
      <c r="D3051" s="1" t="s">
        <v>123</v>
      </c>
      <c r="E3051">
        <v>117.04430000000001</v>
      </c>
      <c r="F3051" s="1" t="s">
        <v>152</v>
      </c>
      <c r="G3051">
        <v>130</v>
      </c>
      <c r="H3051">
        <v>100</v>
      </c>
      <c r="I3051" s="1" t="s">
        <v>372</v>
      </c>
      <c r="J3051">
        <v>2</v>
      </c>
      <c r="K3051" t="str">
        <f>IF(Tb_data[[#This Row],[previous_workers]]&lt;Tb_data[[#This Row],[workers]],"yes","no")</f>
        <v>yes</v>
      </c>
      <c r="L3051">
        <f>Tb_data[[#This Row],[workers]]-Tb_data[[#This Row],[previous_workers]]</f>
        <v>30</v>
      </c>
      <c r="M3051" s="12">
        <f>Tb_data[[#This Row],[Employees Growth]]/Tb_data[[#This Row],[previous_workers]]</f>
        <v>0.3</v>
      </c>
    </row>
    <row r="3052" spans="1:13" x14ac:dyDescent="0.25">
      <c r="A3052" s="1" t="s">
        <v>56</v>
      </c>
      <c r="B3052" s="1" t="s">
        <v>57</v>
      </c>
      <c r="C3052" s="1">
        <v>19100000</v>
      </c>
      <c r="D3052" s="1" t="s">
        <v>58</v>
      </c>
      <c r="E3052">
        <v>11622.5291</v>
      </c>
      <c r="F3052" s="1" t="s">
        <v>21</v>
      </c>
      <c r="G3052">
        <v>23</v>
      </c>
      <c r="H3052">
        <v>3</v>
      </c>
      <c r="I3052" s="1" t="s">
        <v>55</v>
      </c>
      <c r="J3052">
        <v>1</v>
      </c>
      <c r="K3052" t="str">
        <f>IF(Tb_data[[#This Row],[previous_workers]]&lt;Tb_data[[#This Row],[workers]],"yes","no")</f>
        <v>yes</v>
      </c>
      <c r="L3052">
        <f>Tb_data[[#This Row],[workers]]-Tb_data[[#This Row],[previous_workers]]</f>
        <v>20</v>
      </c>
      <c r="M3052" s="12">
        <f>Tb_data[[#This Row],[Employees Growth]]/Tb_data[[#This Row],[previous_workers]]</f>
        <v>6.666666666666667</v>
      </c>
    </row>
    <row r="3053" spans="1:13" x14ac:dyDescent="0.25">
      <c r="A3053" s="1" t="s">
        <v>4355</v>
      </c>
      <c r="B3053" s="1" t="s">
        <v>4356</v>
      </c>
      <c r="C3053" s="1">
        <v>17000000</v>
      </c>
      <c r="D3053" s="1" t="s">
        <v>52</v>
      </c>
      <c r="E3053">
        <v>188.2722</v>
      </c>
      <c r="F3053" s="1" t="s">
        <v>514</v>
      </c>
      <c r="G3053">
        <v>34</v>
      </c>
      <c r="H3053">
        <v>20</v>
      </c>
      <c r="I3053" s="1" t="s">
        <v>468</v>
      </c>
      <c r="J3053">
        <v>2</v>
      </c>
      <c r="K3053" t="str">
        <f>IF(Tb_data[[#This Row],[previous_workers]]&lt;Tb_data[[#This Row],[workers]],"yes","no")</f>
        <v>yes</v>
      </c>
      <c r="L3053">
        <f>Tb_data[[#This Row],[workers]]-Tb_data[[#This Row],[previous_workers]]</f>
        <v>14</v>
      </c>
      <c r="M3053" s="12">
        <f>Tb_data[[#This Row],[Employees Growth]]/Tb_data[[#This Row],[previous_workers]]</f>
        <v>0.7</v>
      </c>
    </row>
    <row r="3054" spans="1:13" x14ac:dyDescent="0.25">
      <c r="A3054" s="1" t="s">
        <v>5162</v>
      </c>
      <c r="B3054" s="1" t="s">
        <v>5163</v>
      </c>
      <c r="C3054" s="1">
        <v>15600000</v>
      </c>
      <c r="D3054" s="1" t="s">
        <v>115</v>
      </c>
      <c r="E3054">
        <v>154.96369999999999</v>
      </c>
      <c r="F3054" s="1" t="s">
        <v>34</v>
      </c>
      <c r="G3054">
        <v>56</v>
      </c>
      <c r="H3054">
        <v>38</v>
      </c>
      <c r="I3054" s="1" t="s">
        <v>46</v>
      </c>
      <c r="J3054">
        <v>6</v>
      </c>
      <c r="K3054" t="str">
        <f>IF(Tb_data[[#This Row],[previous_workers]]&lt;Tb_data[[#This Row],[workers]],"yes","no")</f>
        <v>yes</v>
      </c>
      <c r="L3054">
        <f>Tb_data[[#This Row],[workers]]-Tb_data[[#This Row],[previous_workers]]</f>
        <v>18</v>
      </c>
      <c r="M3054" s="12">
        <f>Tb_data[[#This Row],[Employees Growth]]/Tb_data[[#This Row],[previous_workers]]</f>
        <v>0.47368421052631576</v>
      </c>
    </row>
    <row r="3055" spans="1:13" x14ac:dyDescent="0.25">
      <c r="A3055" s="1" t="s">
        <v>2356</v>
      </c>
      <c r="B3055" s="1" t="s">
        <v>2357</v>
      </c>
      <c r="C3055" s="1">
        <v>12200000</v>
      </c>
      <c r="D3055" s="1" t="s">
        <v>38</v>
      </c>
      <c r="E3055">
        <v>371.26839999999999</v>
      </c>
      <c r="F3055" s="1" t="s">
        <v>86</v>
      </c>
      <c r="G3055">
        <v>131</v>
      </c>
      <c r="H3055">
        <v>44</v>
      </c>
      <c r="I3055" s="1" t="s">
        <v>26</v>
      </c>
      <c r="J3055">
        <v>2</v>
      </c>
      <c r="K3055" t="str">
        <f>IF(Tb_data[[#This Row],[previous_workers]]&lt;Tb_data[[#This Row],[workers]],"yes","no")</f>
        <v>yes</v>
      </c>
      <c r="L3055">
        <f>Tb_data[[#This Row],[workers]]-Tb_data[[#This Row],[previous_workers]]</f>
        <v>87</v>
      </c>
      <c r="M3055" s="12">
        <f>Tb_data[[#This Row],[Employees Growth]]/Tb_data[[#This Row],[previous_workers]]</f>
        <v>1.9772727272727273</v>
      </c>
    </row>
    <row r="3056" spans="1:13" x14ac:dyDescent="0.25">
      <c r="A3056" s="1" t="s">
        <v>4964</v>
      </c>
      <c r="B3056" s="1" t="s">
        <v>4965</v>
      </c>
      <c r="C3056" s="1">
        <v>3600000</v>
      </c>
      <c r="D3056" s="1" t="s">
        <v>254</v>
      </c>
      <c r="E3056">
        <v>163.33699999999999</v>
      </c>
      <c r="F3056" s="1" t="s">
        <v>176</v>
      </c>
      <c r="G3056">
        <v>6</v>
      </c>
      <c r="H3056">
        <v>2</v>
      </c>
      <c r="I3056" s="1" t="s">
        <v>130</v>
      </c>
      <c r="J3056">
        <v>1</v>
      </c>
      <c r="K3056" t="str">
        <f>IF(Tb_data[[#This Row],[previous_workers]]&lt;Tb_data[[#This Row],[workers]],"yes","no")</f>
        <v>yes</v>
      </c>
      <c r="L3056">
        <f>Tb_data[[#This Row],[workers]]-Tb_data[[#This Row],[previous_workers]]</f>
        <v>4</v>
      </c>
      <c r="M3056" s="12">
        <f>Tb_data[[#This Row],[Employees Growth]]/Tb_data[[#This Row],[previous_workers]]</f>
        <v>2</v>
      </c>
    </row>
    <row r="3057" spans="1:13" x14ac:dyDescent="0.25">
      <c r="A3057" s="1" t="s">
        <v>1296</v>
      </c>
      <c r="B3057" s="1" t="s">
        <v>1297</v>
      </c>
      <c r="C3057" s="1">
        <v>4000000</v>
      </c>
      <c r="D3057" s="1" t="s">
        <v>129</v>
      </c>
      <c r="E3057">
        <v>742.78430000000003</v>
      </c>
      <c r="F3057" s="1" t="s">
        <v>97</v>
      </c>
      <c r="G3057">
        <v>30</v>
      </c>
      <c r="H3057">
        <v>5</v>
      </c>
      <c r="I3057" s="1" t="s">
        <v>55</v>
      </c>
      <c r="J3057">
        <v>1</v>
      </c>
      <c r="K3057" t="str">
        <f>IF(Tb_data[[#This Row],[previous_workers]]&lt;Tb_data[[#This Row],[workers]],"yes","no")</f>
        <v>yes</v>
      </c>
      <c r="L3057">
        <f>Tb_data[[#This Row],[workers]]-Tb_data[[#This Row],[previous_workers]]</f>
        <v>25</v>
      </c>
      <c r="M3057" s="12">
        <f>Tb_data[[#This Row],[Employees Growth]]/Tb_data[[#This Row],[previous_workers]]</f>
        <v>5</v>
      </c>
    </row>
    <row r="3058" spans="1:13" x14ac:dyDescent="0.25">
      <c r="A3058" s="1" t="s">
        <v>5420</v>
      </c>
      <c r="B3058" s="1" t="s">
        <v>5421</v>
      </c>
      <c r="C3058" s="1">
        <v>68200000</v>
      </c>
      <c r="D3058" s="1" t="s">
        <v>11</v>
      </c>
      <c r="E3058">
        <v>145.37209999999999</v>
      </c>
      <c r="F3058" s="1" t="s">
        <v>176</v>
      </c>
      <c r="G3058">
        <v>179</v>
      </c>
      <c r="H3058">
        <v>69</v>
      </c>
      <c r="I3058" s="1" t="s">
        <v>4084</v>
      </c>
      <c r="J3058">
        <v>1</v>
      </c>
      <c r="K3058" t="str">
        <f>IF(Tb_data[[#This Row],[previous_workers]]&lt;Tb_data[[#This Row],[workers]],"yes","no")</f>
        <v>yes</v>
      </c>
      <c r="L3058">
        <f>Tb_data[[#This Row],[workers]]-Tb_data[[#This Row],[previous_workers]]</f>
        <v>110</v>
      </c>
      <c r="M3058" s="12">
        <f>Tb_data[[#This Row],[Employees Growth]]/Tb_data[[#This Row],[previous_workers]]</f>
        <v>1.5942028985507246</v>
      </c>
    </row>
    <row r="3059" spans="1:13" x14ac:dyDescent="0.25">
      <c r="A3059" s="1" t="s">
        <v>1416</v>
      </c>
      <c r="B3059" s="1" t="s">
        <v>1417</v>
      </c>
      <c r="C3059" s="1">
        <v>31500000</v>
      </c>
      <c r="D3059" s="1" t="s">
        <v>20</v>
      </c>
      <c r="E3059">
        <v>668.87909999999999</v>
      </c>
      <c r="F3059" s="1" t="s">
        <v>86</v>
      </c>
      <c r="G3059">
        <v>250</v>
      </c>
      <c r="H3059">
        <v>60</v>
      </c>
      <c r="I3059" s="1" t="s">
        <v>35</v>
      </c>
      <c r="J3059">
        <v>2</v>
      </c>
      <c r="K3059" t="str">
        <f>IF(Tb_data[[#This Row],[previous_workers]]&lt;Tb_data[[#This Row],[workers]],"yes","no")</f>
        <v>yes</v>
      </c>
      <c r="L3059">
        <f>Tb_data[[#This Row],[workers]]-Tb_data[[#This Row],[previous_workers]]</f>
        <v>190</v>
      </c>
      <c r="M3059" s="12">
        <f>Tb_data[[#This Row],[Employees Growth]]/Tb_data[[#This Row],[previous_workers]]</f>
        <v>3.1666666666666665</v>
      </c>
    </row>
    <row r="3060" spans="1:13" x14ac:dyDescent="0.25">
      <c r="A3060" s="1" t="s">
        <v>6059</v>
      </c>
      <c r="B3060" s="1" t="s">
        <v>6060</v>
      </c>
      <c r="C3060" s="1">
        <v>30600000</v>
      </c>
      <c r="D3060" s="1" t="s">
        <v>58</v>
      </c>
      <c r="E3060">
        <v>125.1564</v>
      </c>
      <c r="F3060" s="1" t="s">
        <v>124</v>
      </c>
      <c r="G3060">
        <v>145</v>
      </c>
      <c r="H3060">
        <v>60</v>
      </c>
      <c r="I3060" s="1" t="s">
        <v>4037</v>
      </c>
      <c r="J3060">
        <v>2</v>
      </c>
      <c r="K3060" t="str">
        <f>IF(Tb_data[[#This Row],[previous_workers]]&lt;Tb_data[[#This Row],[workers]],"yes","no")</f>
        <v>yes</v>
      </c>
      <c r="L3060">
        <f>Tb_data[[#This Row],[workers]]-Tb_data[[#This Row],[previous_workers]]</f>
        <v>85</v>
      </c>
      <c r="M3060" s="12">
        <f>Tb_data[[#This Row],[Employees Growth]]/Tb_data[[#This Row],[previous_workers]]</f>
        <v>1.4166666666666667</v>
      </c>
    </row>
    <row r="3061" spans="1:13" x14ac:dyDescent="0.25">
      <c r="A3061" s="1" t="s">
        <v>4665</v>
      </c>
      <c r="B3061" s="1" t="s">
        <v>4666</v>
      </c>
      <c r="C3061" s="1">
        <v>4600000</v>
      </c>
      <c r="D3061" s="1" t="s">
        <v>52</v>
      </c>
      <c r="E3061">
        <v>175.6917</v>
      </c>
      <c r="F3061" s="1" t="s">
        <v>514</v>
      </c>
      <c r="G3061">
        <v>23</v>
      </c>
      <c r="H3061">
        <v>9</v>
      </c>
      <c r="I3061" s="1" t="s">
        <v>130</v>
      </c>
      <c r="J3061">
        <v>1</v>
      </c>
      <c r="K3061" t="str">
        <f>IF(Tb_data[[#This Row],[previous_workers]]&lt;Tb_data[[#This Row],[workers]],"yes","no")</f>
        <v>yes</v>
      </c>
      <c r="L3061">
        <f>Tb_data[[#This Row],[workers]]-Tb_data[[#This Row],[previous_workers]]</f>
        <v>14</v>
      </c>
      <c r="M3061" s="12">
        <f>Tb_data[[#This Row],[Employees Growth]]/Tb_data[[#This Row],[previous_workers]]</f>
        <v>1.5555555555555556</v>
      </c>
    </row>
    <row r="3062" spans="1:13" x14ac:dyDescent="0.25">
      <c r="A3062" s="1" t="s">
        <v>7935</v>
      </c>
      <c r="B3062" s="1" t="s">
        <v>7936</v>
      </c>
      <c r="C3062" s="1">
        <v>28200000</v>
      </c>
      <c r="D3062" s="1" t="s">
        <v>175</v>
      </c>
      <c r="E3062">
        <v>84.199200000000005</v>
      </c>
      <c r="F3062" s="1" t="s">
        <v>62</v>
      </c>
      <c r="G3062">
        <v>93</v>
      </c>
      <c r="H3062">
        <v>61</v>
      </c>
      <c r="I3062" s="1" t="s">
        <v>46</v>
      </c>
      <c r="J3062">
        <v>3</v>
      </c>
      <c r="K3062" t="str">
        <f>IF(Tb_data[[#This Row],[previous_workers]]&lt;Tb_data[[#This Row],[workers]],"yes","no")</f>
        <v>yes</v>
      </c>
      <c r="L3062">
        <f>Tb_data[[#This Row],[workers]]-Tb_data[[#This Row],[previous_workers]]</f>
        <v>32</v>
      </c>
      <c r="M3062" s="12">
        <f>Tb_data[[#This Row],[Employees Growth]]/Tb_data[[#This Row],[previous_workers]]</f>
        <v>0.52459016393442626</v>
      </c>
    </row>
    <row r="3063" spans="1:13" x14ac:dyDescent="0.25">
      <c r="A3063" s="1" t="s">
        <v>9257</v>
      </c>
      <c r="B3063" s="1" t="s">
        <v>9258</v>
      </c>
      <c r="C3063" s="1">
        <v>5700000</v>
      </c>
      <c r="D3063" s="1" t="s">
        <v>45</v>
      </c>
      <c r="E3063">
        <v>63.305199999999999</v>
      </c>
      <c r="F3063" s="1" t="s">
        <v>25</v>
      </c>
      <c r="G3063">
        <v>48</v>
      </c>
      <c r="H3063">
        <v>36</v>
      </c>
      <c r="I3063" s="1" t="s">
        <v>1411</v>
      </c>
      <c r="J3063">
        <v>5</v>
      </c>
      <c r="K3063" t="str">
        <f>IF(Tb_data[[#This Row],[previous_workers]]&lt;Tb_data[[#This Row],[workers]],"yes","no")</f>
        <v>yes</v>
      </c>
      <c r="L3063">
        <f>Tb_data[[#This Row],[workers]]-Tb_data[[#This Row],[previous_workers]]</f>
        <v>12</v>
      </c>
      <c r="M3063" s="12">
        <f>Tb_data[[#This Row],[Employees Growth]]/Tb_data[[#This Row],[previous_workers]]</f>
        <v>0.33333333333333331</v>
      </c>
    </row>
    <row r="3064" spans="1:13" x14ac:dyDescent="0.25">
      <c r="A3064" s="1" t="s">
        <v>4176</v>
      </c>
      <c r="B3064" s="1" t="s">
        <v>4177</v>
      </c>
      <c r="C3064" s="1">
        <v>13900000</v>
      </c>
      <c r="D3064" s="1" t="s">
        <v>483</v>
      </c>
      <c r="E3064">
        <v>196.50069999999999</v>
      </c>
      <c r="F3064" s="1" t="s">
        <v>97</v>
      </c>
      <c r="G3064">
        <v>84</v>
      </c>
      <c r="H3064">
        <v>28</v>
      </c>
      <c r="I3064" s="1" t="s">
        <v>164</v>
      </c>
      <c r="J3064">
        <v>4</v>
      </c>
      <c r="K3064" t="str">
        <f>IF(Tb_data[[#This Row],[previous_workers]]&lt;Tb_data[[#This Row],[workers]],"yes","no")</f>
        <v>yes</v>
      </c>
      <c r="L3064">
        <f>Tb_data[[#This Row],[workers]]-Tb_data[[#This Row],[previous_workers]]</f>
        <v>56</v>
      </c>
      <c r="M3064" s="12">
        <f>Tb_data[[#This Row],[Employees Growth]]/Tb_data[[#This Row],[previous_workers]]</f>
        <v>2</v>
      </c>
    </row>
    <row r="3065" spans="1:13" x14ac:dyDescent="0.25">
      <c r="A3065" s="1" t="s">
        <v>8526</v>
      </c>
      <c r="B3065" s="1" t="s">
        <v>8527</v>
      </c>
      <c r="C3065" s="1">
        <v>226800000</v>
      </c>
      <c r="D3065" s="1" t="s">
        <v>627</v>
      </c>
      <c r="E3065">
        <v>73.509500000000003</v>
      </c>
      <c r="F3065" s="1" t="s">
        <v>34</v>
      </c>
      <c r="G3065">
        <v>940</v>
      </c>
      <c r="H3065">
        <v>792</v>
      </c>
      <c r="I3065" s="1" t="s">
        <v>74</v>
      </c>
      <c r="J3065">
        <v>7</v>
      </c>
      <c r="K3065" t="str">
        <f>IF(Tb_data[[#This Row],[previous_workers]]&lt;Tb_data[[#This Row],[workers]],"yes","no")</f>
        <v>yes</v>
      </c>
      <c r="L3065">
        <f>Tb_data[[#This Row],[workers]]-Tb_data[[#This Row],[previous_workers]]</f>
        <v>148</v>
      </c>
      <c r="M3065" s="12">
        <f>Tb_data[[#This Row],[Employees Growth]]/Tb_data[[#This Row],[previous_workers]]</f>
        <v>0.18686868686868688</v>
      </c>
    </row>
    <row r="3066" spans="1:13" x14ac:dyDescent="0.25">
      <c r="A3066" s="1" t="s">
        <v>6451</v>
      </c>
      <c r="B3066" s="1" t="s">
        <v>6452</v>
      </c>
      <c r="C3066" s="1">
        <v>4700000</v>
      </c>
      <c r="D3066" s="1" t="s">
        <v>895</v>
      </c>
      <c r="E3066">
        <v>115.2341</v>
      </c>
      <c r="F3066" s="1" t="s">
        <v>12</v>
      </c>
      <c r="G3066">
        <v>32</v>
      </c>
      <c r="H3066">
        <v>22</v>
      </c>
      <c r="I3066" s="1" t="s">
        <v>164</v>
      </c>
      <c r="J3066">
        <v>4</v>
      </c>
      <c r="K3066" t="str">
        <f>IF(Tb_data[[#This Row],[previous_workers]]&lt;Tb_data[[#This Row],[workers]],"yes","no")</f>
        <v>yes</v>
      </c>
      <c r="L3066">
        <f>Tb_data[[#This Row],[workers]]-Tb_data[[#This Row],[previous_workers]]</f>
        <v>10</v>
      </c>
      <c r="M3066" s="12">
        <f>Tb_data[[#This Row],[Employees Growth]]/Tb_data[[#This Row],[previous_workers]]</f>
        <v>0.45454545454545453</v>
      </c>
    </row>
    <row r="3067" spans="1:13" x14ac:dyDescent="0.25">
      <c r="A3067" s="1" t="s">
        <v>6077</v>
      </c>
      <c r="B3067" s="1" t="s">
        <v>6078</v>
      </c>
      <c r="C3067" s="1">
        <v>8900000</v>
      </c>
      <c r="D3067" s="1" t="s">
        <v>1021</v>
      </c>
      <c r="E3067">
        <v>124.57850000000001</v>
      </c>
      <c r="F3067" s="1" t="s">
        <v>97</v>
      </c>
      <c r="G3067">
        <v>103</v>
      </c>
      <c r="H3067">
        <v>32</v>
      </c>
      <c r="I3067" s="1" t="s">
        <v>147</v>
      </c>
      <c r="J3067">
        <v>4</v>
      </c>
      <c r="K3067" t="str">
        <f>IF(Tb_data[[#This Row],[previous_workers]]&lt;Tb_data[[#This Row],[workers]],"yes","no")</f>
        <v>yes</v>
      </c>
      <c r="L3067">
        <f>Tb_data[[#This Row],[workers]]-Tb_data[[#This Row],[previous_workers]]</f>
        <v>71</v>
      </c>
      <c r="M3067" s="12">
        <f>Tb_data[[#This Row],[Employees Growth]]/Tb_data[[#This Row],[previous_workers]]</f>
        <v>2.21875</v>
      </c>
    </row>
    <row r="3068" spans="1:13" x14ac:dyDescent="0.25">
      <c r="A3068" s="1" t="s">
        <v>2558</v>
      </c>
      <c r="B3068" s="1" t="s">
        <v>2559</v>
      </c>
      <c r="C3068" s="1">
        <v>11800000</v>
      </c>
      <c r="D3068" s="1" t="s">
        <v>91</v>
      </c>
      <c r="E3068">
        <v>336.71679999999998</v>
      </c>
      <c r="F3068" s="1" t="s">
        <v>86</v>
      </c>
      <c r="G3068">
        <v>100</v>
      </c>
      <c r="H3068">
        <v>80</v>
      </c>
      <c r="I3068" s="1" t="s">
        <v>194</v>
      </c>
      <c r="J3068">
        <v>1</v>
      </c>
      <c r="K3068" t="str">
        <f>IF(Tb_data[[#This Row],[previous_workers]]&lt;Tb_data[[#This Row],[workers]],"yes","no")</f>
        <v>yes</v>
      </c>
      <c r="L3068">
        <f>Tb_data[[#This Row],[workers]]-Tb_data[[#This Row],[previous_workers]]</f>
        <v>20</v>
      </c>
      <c r="M3068" s="12">
        <f>Tb_data[[#This Row],[Employees Growth]]/Tb_data[[#This Row],[previous_workers]]</f>
        <v>0.25</v>
      </c>
    </row>
    <row r="3069" spans="1:13" x14ac:dyDescent="0.25">
      <c r="A3069" s="1" t="s">
        <v>3487</v>
      </c>
      <c r="B3069" s="1" t="s">
        <v>3488</v>
      </c>
      <c r="C3069" s="1">
        <v>38000000</v>
      </c>
      <c r="D3069" s="1" t="s">
        <v>41</v>
      </c>
      <c r="E3069">
        <v>243.7345</v>
      </c>
      <c r="F3069" s="1" t="s">
        <v>97</v>
      </c>
      <c r="G3069">
        <v>145</v>
      </c>
      <c r="H3069">
        <v>60</v>
      </c>
      <c r="I3069" s="1" t="s">
        <v>117</v>
      </c>
      <c r="J3069">
        <v>2</v>
      </c>
      <c r="K3069" t="str">
        <f>IF(Tb_data[[#This Row],[previous_workers]]&lt;Tb_data[[#This Row],[workers]],"yes","no")</f>
        <v>yes</v>
      </c>
      <c r="L3069">
        <f>Tb_data[[#This Row],[workers]]-Tb_data[[#This Row],[previous_workers]]</f>
        <v>85</v>
      </c>
      <c r="M3069" s="12">
        <f>Tb_data[[#This Row],[Employees Growth]]/Tb_data[[#This Row],[previous_workers]]</f>
        <v>1.4166666666666667</v>
      </c>
    </row>
    <row r="3070" spans="1:13" x14ac:dyDescent="0.25">
      <c r="A3070" s="1" t="s">
        <v>7244</v>
      </c>
      <c r="B3070" s="1" t="s">
        <v>7245</v>
      </c>
      <c r="C3070" s="1">
        <v>5100000</v>
      </c>
      <c r="D3070" s="1" t="s">
        <v>129</v>
      </c>
      <c r="E3070">
        <v>97.772400000000005</v>
      </c>
      <c r="F3070" s="1" t="s">
        <v>176</v>
      </c>
      <c r="G3070">
        <v>8</v>
      </c>
      <c r="H3070">
        <v>4</v>
      </c>
      <c r="I3070" s="1" t="s">
        <v>130</v>
      </c>
      <c r="J3070">
        <v>4</v>
      </c>
      <c r="K3070" t="str">
        <f>IF(Tb_data[[#This Row],[previous_workers]]&lt;Tb_data[[#This Row],[workers]],"yes","no")</f>
        <v>yes</v>
      </c>
      <c r="L3070">
        <f>Tb_data[[#This Row],[workers]]-Tb_data[[#This Row],[previous_workers]]</f>
        <v>4</v>
      </c>
      <c r="M3070" s="12">
        <f>Tb_data[[#This Row],[Employees Growth]]/Tb_data[[#This Row],[previous_workers]]</f>
        <v>1</v>
      </c>
    </row>
    <row r="3071" spans="1:13" x14ac:dyDescent="0.25">
      <c r="A3071" s="1" t="s">
        <v>7220</v>
      </c>
      <c r="B3071" s="1" t="s">
        <v>7221</v>
      </c>
      <c r="C3071" s="1">
        <v>4600000</v>
      </c>
      <c r="D3071" s="1" t="s">
        <v>422</v>
      </c>
      <c r="E3071">
        <v>98.114099999999993</v>
      </c>
      <c r="F3071" s="1" t="s">
        <v>169</v>
      </c>
      <c r="G3071">
        <v>23</v>
      </c>
      <c r="H3071">
        <v>18</v>
      </c>
      <c r="I3071" s="1" t="s">
        <v>4084</v>
      </c>
      <c r="J3071">
        <v>1</v>
      </c>
      <c r="K3071" t="str">
        <f>IF(Tb_data[[#This Row],[previous_workers]]&lt;Tb_data[[#This Row],[workers]],"yes","no")</f>
        <v>yes</v>
      </c>
      <c r="L3071">
        <f>Tb_data[[#This Row],[workers]]-Tb_data[[#This Row],[previous_workers]]</f>
        <v>5</v>
      </c>
      <c r="M3071" s="12">
        <f>Tb_data[[#This Row],[Employees Growth]]/Tb_data[[#This Row],[previous_workers]]</f>
        <v>0.27777777777777779</v>
      </c>
    </row>
    <row r="3072" spans="1:13" x14ac:dyDescent="0.25">
      <c r="A3072" s="1" t="s">
        <v>10006</v>
      </c>
      <c r="B3072" s="1" t="s">
        <v>10007</v>
      </c>
      <c r="C3072" s="1">
        <v>119100000</v>
      </c>
      <c r="D3072" s="1" t="s">
        <v>20</v>
      </c>
      <c r="E3072">
        <v>53.3429</v>
      </c>
      <c r="F3072" s="1" t="s">
        <v>34</v>
      </c>
      <c r="G3072">
        <v>1308</v>
      </c>
      <c r="H3072">
        <v>1277</v>
      </c>
      <c r="I3072" s="1" t="s">
        <v>147</v>
      </c>
      <c r="J3072">
        <v>4</v>
      </c>
      <c r="K3072" t="str">
        <f>IF(Tb_data[[#This Row],[previous_workers]]&lt;Tb_data[[#This Row],[workers]],"yes","no")</f>
        <v>yes</v>
      </c>
      <c r="L3072">
        <f>Tb_data[[#This Row],[workers]]-Tb_data[[#This Row],[previous_workers]]</f>
        <v>31</v>
      </c>
      <c r="M3072" s="12">
        <f>Tb_data[[#This Row],[Employees Growth]]/Tb_data[[#This Row],[previous_workers]]</f>
        <v>2.4275646045418951E-2</v>
      </c>
    </row>
    <row r="3073" spans="1:13" x14ac:dyDescent="0.25">
      <c r="A3073" s="1" t="s">
        <v>5270</v>
      </c>
      <c r="B3073" s="1" t="s">
        <v>5271</v>
      </c>
      <c r="C3073" s="1">
        <v>7800000</v>
      </c>
      <c r="D3073" s="1" t="s">
        <v>155</v>
      </c>
      <c r="E3073">
        <v>151.06530000000001</v>
      </c>
      <c r="F3073" s="1" t="s">
        <v>82</v>
      </c>
      <c r="G3073">
        <v>49</v>
      </c>
      <c r="H3073">
        <v>30</v>
      </c>
      <c r="I3073" s="1" t="s">
        <v>295</v>
      </c>
      <c r="J3073">
        <v>4</v>
      </c>
      <c r="K3073" t="str">
        <f>IF(Tb_data[[#This Row],[previous_workers]]&lt;Tb_data[[#This Row],[workers]],"yes","no")</f>
        <v>yes</v>
      </c>
      <c r="L3073">
        <f>Tb_data[[#This Row],[workers]]-Tb_data[[#This Row],[previous_workers]]</f>
        <v>19</v>
      </c>
      <c r="M3073" s="12">
        <f>Tb_data[[#This Row],[Employees Growth]]/Tb_data[[#This Row],[previous_workers]]</f>
        <v>0.6333333333333333</v>
      </c>
    </row>
    <row r="3074" spans="1:13" x14ac:dyDescent="0.25">
      <c r="A3074" s="1" t="s">
        <v>1684</v>
      </c>
      <c r="B3074" s="1" t="s">
        <v>1685</v>
      </c>
      <c r="C3074" s="1">
        <v>16200000</v>
      </c>
      <c r="D3074" s="1" t="s">
        <v>20</v>
      </c>
      <c r="E3074">
        <v>546.95590000000004</v>
      </c>
      <c r="F3074" s="1" t="s">
        <v>94</v>
      </c>
      <c r="G3074">
        <v>75</v>
      </c>
      <c r="H3074">
        <v>15</v>
      </c>
      <c r="I3074" s="1" t="s">
        <v>55</v>
      </c>
      <c r="J3074">
        <v>2</v>
      </c>
      <c r="K3074" t="str">
        <f>IF(Tb_data[[#This Row],[previous_workers]]&lt;Tb_data[[#This Row],[workers]],"yes","no")</f>
        <v>yes</v>
      </c>
      <c r="L3074">
        <f>Tb_data[[#This Row],[workers]]-Tb_data[[#This Row],[previous_workers]]</f>
        <v>60</v>
      </c>
      <c r="M3074" s="12">
        <f>Tb_data[[#This Row],[Employees Growth]]/Tb_data[[#This Row],[previous_workers]]</f>
        <v>4</v>
      </c>
    </row>
    <row r="3075" spans="1:13" x14ac:dyDescent="0.25">
      <c r="A3075" s="1" t="s">
        <v>400</v>
      </c>
      <c r="B3075" s="1" t="s">
        <v>401</v>
      </c>
      <c r="C3075" s="1">
        <v>4900000</v>
      </c>
      <c r="D3075" s="1" t="s">
        <v>120</v>
      </c>
      <c r="E3075">
        <v>2383.9486000000002</v>
      </c>
      <c r="F3075" s="1" t="s">
        <v>112</v>
      </c>
      <c r="G3075">
        <v>36</v>
      </c>
      <c r="H3075">
        <v>5</v>
      </c>
      <c r="I3075" s="1" t="s">
        <v>26</v>
      </c>
      <c r="J3075">
        <v>1</v>
      </c>
      <c r="K3075" t="str">
        <f>IF(Tb_data[[#This Row],[previous_workers]]&lt;Tb_data[[#This Row],[workers]],"yes","no")</f>
        <v>yes</v>
      </c>
      <c r="L3075">
        <f>Tb_data[[#This Row],[workers]]-Tb_data[[#This Row],[previous_workers]]</f>
        <v>31</v>
      </c>
      <c r="M3075" s="12">
        <f>Tb_data[[#This Row],[Employees Growth]]/Tb_data[[#This Row],[previous_workers]]</f>
        <v>6.2</v>
      </c>
    </row>
    <row r="3076" spans="1:13" x14ac:dyDescent="0.25">
      <c r="A3076" s="1" t="s">
        <v>539</v>
      </c>
      <c r="B3076" s="1" t="s">
        <v>540</v>
      </c>
      <c r="C3076" s="1">
        <v>6600000</v>
      </c>
      <c r="D3076" s="1" t="s">
        <v>41</v>
      </c>
      <c r="E3076">
        <v>1820.7809999999999</v>
      </c>
      <c r="F3076" s="1" t="s">
        <v>97</v>
      </c>
      <c r="G3076">
        <v>15</v>
      </c>
      <c r="H3076">
        <v>3</v>
      </c>
      <c r="I3076" s="1" t="s">
        <v>130</v>
      </c>
      <c r="J3076">
        <v>2</v>
      </c>
      <c r="K3076" t="str">
        <f>IF(Tb_data[[#This Row],[previous_workers]]&lt;Tb_data[[#This Row],[workers]],"yes","no")</f>
        <v>yes</v>
      </c>
      <c r="L3076">
        <f>Tb_data[[#This Row],[workers]]-Tb_data[[#This Row],[previous_workers]]</f>
        <v>12</v>
      </c>
      <c r="M3076" s="12">
        <f>Tb_data[[#This Row],[Employees Growth]]/Tb_data[[#This Row],[previous_workers]]</f>
        <v>4</v>
      </c>
    </row>
    <row r="3077" spans="1:13" x14ac:dyDescent="0.25">
      <c r="A3077" s="1" t="s">
        <v>7162</v>
      </c>
      <c r="B3077" s="1" t="s">
        <v>7163</v>
      </c>
      <c r="C3077" s="1">
        <v>84100000</v>
      </c>
      <c r="D3077" s="1" t="s">
        <v>45</v>
      </c>
      <c r="E3077">
        <v>99.174000000000007</v>
      </c>
      <c r="F3077" s="1" t="s">
        <v>17</v>
      </c>
      <c r="G3077">
        <v>71</v>
      </c>
      <c r="H3077">
        <v>49</v>
      </c>
      <c r="I3077" s="1" t="s">
        <v>35</v>
      </c>
      <c r="J3077">
        <v>7</v>
      </c>
      <c r="K3077" t="str">
        <f>IF(Tb_data[[#This Row],[previous_workers]]&lt;Tb_data[[#This Row],[workers]],"yes","no")</f>
        <v>yes</v>
      </c>
      <c r="L3077">
        <f>Tb_data[[#This Row],[workers]]-Tb_data[[#This Row],[previous_workers]]</f>
        <v>22</v>
      </c>
      <c r="M3077" s="12">
        <f>Tb_data[[#This Row],[Employees Growth]]/Tb_data[[#This Row],[previous_workers]]</f>
        <v>0.44897959183673469</v>
      </c>
    </row>
    <row r="3078" spans="1:13" x14ac:dyDescent="0.25">
      <c r="A3078" s="1" t="s">
        <v>7455</v>
      </c>
      <c r="B3078" s="1" t="s">
        <v>7456</v>
      </c>
      <c r="C3078" s="1">
        <v>1000000000</v>
      </c>
      <c r="D3078" s="1" t="s">
        <v>321</v>
      </c>
      <c r="E3078">
        <v>94.258200000000002</v>
      </c>
      <c r="F3078" s="1" t="s">
        <v>17</v>
      </c>
      <c r="G3078">
        <v>2400</v>
      </c>
      <c r="H3078">
        <v>1</v>
      </c>
      <c r="I3078" s="1" t="s">
        <v>948</v>
      </c>
      <c r="J3078">
        <v>1</v>
      </c>
      <c r="K3078" t="str">
        <f>IF(Tb_data[[#This Row],[previous_workers]]&lt;Tb_data[[#This Row],[workers]],"yes","no")</f>
        <v>yes</v>
      </c>
      <c r="L3078">
        <f>Tb_data[[#This Row],[workers]]-Tb_data[[#This Row],[previous_workers]]</f>
        <v>2399</v>
      </c>
      <c r="M3078" s="12">
        <f>Tb_data[[#This Row],[Employees Growth]]/Tb_data[[#This Row],[previous_workers]]</f>
        <v>2399</v>
      </c>
    </row>
    <row r="3079" spans="1:13" x14ac:dyDescent="0.25">
      <c r="A3079" s="1" t="s">
        <v>6321</v>
      </c>
      <c r="B3079" s="1" t="s">
        <v>6322</v>
      </c>
      <c r="C3079" s="1">
        <v>194800000</v>
      </c>
      <c r="D3079" s="1" t="s">
        <v>179</v>
      </c>
      <c r="E3079">
        <v>117.9751</v>
      </c>
      <c r="F3079" s="1" t="s">
        <v>97</v>
      </c>
      <c r="G3079">
        <v>915</v>
      </c>
      <c r="H3079">
        <v>400</v>
      </c>
      <c r="I3079" s="1" t="s">
        <v>2628</v>
      </c>
      <c r="J3079">
        <v>6</v>
      </c>
      <c r="K3079" t="str">
        <f>IF(Tb_data[[#This Row],[previous_workers]]&lt;Tb_data[[#This Row],[workers]],"yes","no")</f>
        <v>yes</v>
      </c>
      <c r="L3079">
        <f>Tb_data[[#This Row],[workers]]-Tb_data[[#This Row],[previous_workers]]</f>
        <v>515</v>
      </c>
      <c r="M3079" s="12">
        <f>Tb_data[[#This Row],[Employees Growth]]/Tb_data[[#This Row],[previous_workers]]</f>
        <v>1.2875000000000001</v>
      </c>
    </row>
    <row r="3080" spans="1:13" x14ac:dyDescent="0.25">
      <c r="A3080" s="1" t="s">
        <v>535</v>
      </c>
      <c r="B3080" s="1" t="s">
        <v>536</v>
      </c>
      <c r="C3080" s="1">
        <v>4500000</v>
      </c>
      <c r="D3080" s="1" t="s">
        <v>49</v>
      </c>
      <c r="E3080">
        <v>1843.5572</v>
      </c>
      <c r="F3080" s="1" t="s">
        <v>21</v>
      </c>
      <c r="G3080">
        <v>15</v>
      </c>
      <c r="H3080">
        <v>3</v>
      </c>
      <c r="I3080" s="1" t="s">
        <v>26</v>
      </c>
      <c r="J3080">
        <v>1</v>
      </c>
      <c r="K3080" t="str">
        <f>IF(Tb_data[[#This Row],[previous_workers]]&lt;Tb_data[[#This Row],[workers]],"yes","no")</f>
        <v>yes</v>
      </c>
      <c r="L3080">
        <f>Tb_data[[#This Row],[workers]]-Tb_data[[#This Row],[previous_workers]]</f>
        <v>12</v>
      </c>
      <c r="M3080" s="12">
        <f>Tb_data[[#This Row],[Employees Growth]]/Tb_data[[#This Row],[previous_workers]]</f>
        <v>4</v>
      </c>
    </row>
    <row r="3081" spans="1:13" x14ac:dyDescent="0.25">
      <c r="A3081" s="1" t="s">
        <v>1870</v>
      </c>
      <c r="B3081" s="1" t="s">
        <v>1871</v>
      </c>
      <c r="C3081" s="1">
        <v>46300000</v>
      </c>
      <c r="D3081" s="1" t="s">
        <v>11</v>
      </c>
      <c r="E3081">
        <v>483.9554</v>
      </c>
      <c r="F3081" s="1" t="s">
        <v>12</v>
      </c>
      <c r="G3081">
        <v>110</v>
      </c>
      <c r="H3081">
        <v>22</v>
      </c>
      <c r="I3081" s="1" t="s">
        <v>46</v>
      </c>
      <c r="J3081">
        <v>7</v>
      </c>
      <c r="K3081" t="str">
        <f>IF(Tb_data[[#This Row],[previous_workers]]&lt;Tb_data[[#This Row],[workers]],"yes","no")</f>
        <v>yes</v>
      </c>
      <c r="L3081">
        <f>Tb_data[[#This Row],[workers]]-Tb_data[[#This Row],[previous_workers]]</f>
        <v>88</v>
      </c>
      <c r="M3081" s="12">
        <f>Tb_data[[#This Row],[Employees Growth]]/Tb_data[[#This Row],[previous_workers]]</f>
        <v>4</v>
      </c>
    </row>
    <row r="3082" spans="1:13" x14ac:dyDescent="0.25">
      <c r="A3082" s="1" t="s">
        <v>1535</v>
      </c>
      <c r="B3082" s="1" t="s">
        <v>1536</v>
      </c>
      <c r="C3082" s="1">
        <v>3600000</v>
      </c>
      <c r="D3082" s="1" t="s">
        <v>45</v>
      </c>
      <c r="E3082">
        <v>612.23779999999999</v>
      </c>
      <c r="F3082" s="1" t="s">
        <v>100</v>
      </c>
      <c r="G3082">
        <v>10</v>
      </c>
      <c r="H3082">
        <v>3</v>
      </c>
      <c r="I3082" s="1" t="s">
        <v>26</v>
      </c>
      <c r="J3082">
        <v>2</v>
      </c>
      <c r="K3082" t="str">
        <f>IF(Tb_data[[#This Row],[previous_workers]]&lt;Tb_data[[#This Row],[workers]],"yes","no")</f>
        <v>yes</v>
      </c>
      <c r="L3082">
        <f>Tb_data[[#This Row],[workers]]-Tb_data[[#This Row],[previous_workers]]</f>
        <v>7</v>
      </c>
      <c r="M3082" s="12">
        <f>Tb_data[[#This Row],[Employees Growth]]/Tb_data[[#This Row],[previous_workers]]</f>
        <v>2.3333333333333335</v>
      </c>
    </row>
    <row r="3083" spans="1:13" x14ac:dyDescent="0.25">
      <c r="A3083" s="1" t="s">
        <v>8548</v>
      </c>
      <c r="B3083" s="1" t="s">
        <v>8549</v>
      </c>
      <c r="C3083" s="1">
        <v>29400000</v>
      </c>
      <c r="D3083" s="1" t="s">
        <v>1021</v>
      </c>
      <c r="E3083">
        <v>73.173599999999993</v>
      </c>
      <c r="F3083" s="1" t="s">
        <v>112</v>
      </c>
      <c r="G3083">
        <v>42</v>
      </c>
      <c r="H3083">
        <v>33</v>
      </c>
      <c r="I3083" s="1" t="s">
        <v>4028</v>
      </c>
      <c r="J3083">
        <v>5</v>
      </c>
      <c r="K3083" t="str">
        <f>IF(Tb_data[[#This Row],[previous_workers]]&lt;Tb_data[[#This Row],[workers]],"yes","no")</f>
        <v>yes</v>
      </c>
      <c r="L3083">
        <f>Tb_data[[#This Row],[workers]]-Tb_data[[#This Row],[previous_workers]]</f>
        <v>9</v>
      </c>
      <c r="M3083" s="12">
        <f>Tb_data[[#This Row],[Employees Growth]]/Tb_data[[#This Row],[previous_workers]]</f>
        <v>0.27272727272727271</v>
      </c>
    </row>
    <row r="3084" spans="1:13" x14ac:dyDescent="0.25">
      <c r="A3084" s="1" t="s">
        <v>2538</v>
      </c>
      <c r="B3084" s="1" t="s">
        <v>2539</v>
      </c>
      <c r="C3084" s="1">
        <v>5100000</v>
      </c>
      <c r="D3084" s="1" t="s">
        <v>1021</v>
      </c>
      <c r="E3084">
        <v>338.65780000000001</v>
      </c>
      <c r="F3084" s="1" t="s">
        <v>124</v>
      </c>
      <c r="G3084">
        <v>22</v>
      </c>
      <c r="H3084">
        <v>2</v>
      </c>
      <c r="I3084" s="1" t="s">
        <v>130</v>
      </c>
      <c r="J3084">
        <v>3</v>
      </c>
      <c r="K3084" t="str">
        <f>IF(Tb_data[[#This Row],[previous_workers]]&lt;Tb_data[[#This Row],[workers]],"yes","no")</f>
        <v>yes</v>
      </c>
      <c r="L3084">
        <f>Tb_data[[#This Row],[workers]]-Tb_data[[#This Row],[previous_workers]]</f>
        <v>20</v>
      </c>
      <c r="M3084" s="12">
        <f>Tb_data[[#This Row],[Employees Growth]]/Tb_data[[#This Row],[previous_workers]]</f>
        <v>10</v>
      </c>
    </row>
    <row r="3085" spans="1:13" x14ac:dyDescent="0.25">
      <c r="A3085" s="1" t="s">
        <v>2820</v>
      </c>
      <c r="B3085" s="1" t="s">
        <v>2821</v>
      </c>
      <c r="C3085" s="1">
        <v>4400000</v>
      </c>
      <c r="D3085" s="1" t="s">
        <v>41</v>
      </c>
      <c r="E3085">
        <v>306.13440000000003</v>
      </c>
      <c r="F3085" s="1" t="s">
        <v>124</v>
      </c>
      <c r="G3085">
        <v>31</v>
      </c>
      <c r="H3085">
        <v>6</v>
      </c>
      <c r="I3085" s="1" t="s">
        <v>55</v>
      </c>
      <c r="J3085">
        <v>2</v>
      </c>
      <c r="K3085" t="str">
        <f>IF(Tb_data[[#This Row],[previous_workers]]&lt;Tb_data[[#This Row],[workers]],"yes","no")</f>
        <v>yes</v>
      </c>
      <c r="L3085">
        <f>Tb_data[[#This Row],[workers]]-Tb_data[[#This Row],[previous_workers]]</f>
        <v>25</v>
      </c>
      <c r="M3085" s="12">
        <f>Tb_data[[#This Row],[Employees Growth]]/Tb_data[[#This Row],[previous_workers]]</f>
        <v>4.166666666666667</v>
      </c>
    </row>
    <row r="3086" spans="1:13" x14ac:dyDescent="0.25">
      <c r="A3086" s="1" t="s">
        <v>1738</v>
      </c>
      <c r="B3086" s="1" t="s">
        <v>1739</v>
      </c>
      <c r="C3086" s="1">
        <v>75000000</v>
      </c>
      <c r="D3086" s="1" t="s">
        <v>49</v>
      </c>
      <c r="E3086">
        <v>525.5163</v>
      </c>
      <c r="F3086" s="1" t="s">
        <v>34</v>
      </c>
      <c r="G3086">
        <v>60</v>
      </c>
      <c r="H3086">
        <v>10</v>
      </c>
      <c r="I3086" s="1" t="s">
        <v>13</v>
      </c>
      <c r="J3086">
        <v>1</v>
      </c>
      <c r="K3086" t="str">
        <f>IF(Tb_data[[#This Row],[previous_workers]]&lt;Tb_data[[#This Row],[workers]],"yes","no")</f>
        <v>yes</v>
      </c>
      <c r="L3086">
        <f>Tb_data[[#This Row],[workers]]-Tb_data[[#This Row],[previous_workers]]</f>
        <v>50</v>
      </c>
      <c r="M3086" s="12">
        <f>Tb_data[[#This Row],[Employees Growth]]/Tb_data[[#This Row],[previous_workers]]</f>
        <v>5</v>
      </c>
    </row>
    <row r="3087" spans="1:13" x14ac:dyDescent="0.25">
      <c r="A3087" s="1" t="s">
        <v>1835</v>
      </c>
      <c r="B3087" s="1" t="s">
        <v>1836</v>
      </c>
      <c r="C3087" s="1">
        <v>27000000</v>
      </c>
      <c r="D3087" s="1" t="s">
        <v>49</v>
      </c>
      <c r="E3087">
        <v>493.11489999999998</v>
      </c>
      <c r="F3087" s="1" t="s">
        <v>12</v>
      </c>
      <c r="G3087">
        <v>94</v>
      </c>
      <c r="H3087">
        <v>71</v>
      </c>
      <c r="I3087" s="1" t="s">
        <v>130</v>
      </c>
      <c r="J3087">
        <v>3</v>
      </c>
      <c r="K3087" t="str">
        <f>IF(Tb_data[[#This Row],[previous_workers]]&lt;Tb_data[[#This Row],[workers]],"yes","no")</f>
        <v>yes</v>
      </c>
      <c r="L3087">
        <f>Tb_data[[#This Row],[workers]]-Tb_data[[#This Row],[previous_workers]]</f>
        <v>23</v>
      </c>
      <c r="M3087" s="12">
        <f>Tb_data[[#This Row],[Employees Growth]]/Tb_data[[#This Row],[previous_workers]]</f>
        <v>0.323943661971831</v>
      </c>
    </row>
    <row r="3088" spans="1:13" x14ac:dyDescent="0.25">
      <c r="A3088" s="1" t="s">
        <v>4631</v>
      </c>
      <c r="B3088" s="1" t="s">
        <v>4632</v>
      </c>
      <c r="C3088" s="1">
        <v>2500000</v>
      </c>
      <c r="D3088" s="1" t="s">
        <v>1853</v>
      </c>
      <c r="E3088">
        <v>176.54650000000001</v>
      </c>
      <c r="F3088" s="1" t="s">
        <v>34</v>
      </c>
      <c r="G3088">
        <v>15</v>
      </c>
      <c r="H3088">
        <v>10</v>
      </c>
      <c r="I3088" s="1" t="s">
        <v>35</v>
      </c>
      <c r="J3088">
        <v>1</v>
      </c>
      <c r="K3088" t="str">
        <f>IF(Tb_data[[#This Row],[previous_workers]]&lt;Tb_data[[#This Row],[workers]],"yes","no")</f>
        <v>yes</v>
      </c>
      <c r="L3088">
        <f>Tb_data[[#This Row],[workers]]-Tb_data[[#This Row],[previous_workers]]</f>
        <v>5</v>
      </c>
      <c r="M3088" s="12">
        <f>Tb_data[[#This Row],[Employees Growth]]/Tb_data[[#This Row],[previous_workers]]</f>
        <v>0.5</v>
      </c>
    </row>
    <row r="3089" spans="1:13" x14ac:dyDescent="0.25">
      <c r="A3089" s="1" t="s">
        <v>4922</v>
      </c>
      <c r="B3089" s="1" t="s">
        <v>4923</v>
      </c>
      <c r="C3089" s="1">
        <v>3000000</v>
      </c>
      <c r="D3089" s="1" t="s">
        <v>422</v>
      </c>
      <c r="E3089">
        <v>164.96209999999999</v>
      </c>
      <c r="F3089" s="1" t="s">
        <v>12</v>
      </c>
      <c r="G3089">
        <v>23</v>
      </c>
      <c r="H3089">
        <v>12</v>
      </c>
      <c r="I3089" s="1" t="s">
        <v>117</v>
      </c>
      <c r="J3089">
        <v>1</v>
      </c>
      <c r="K3089" t="str">
        <f>IF(Tb_data[[#This Row],[previous_workers]]&lt;Tb_data[[#This Row],[workers]],"yes","no")</f>
        <v>yes</v>
      </c>
      <c r="L3089">
        <f>Tb_data[[#This Row],[workers]]-Tb_data[[#This Row],[previous_workers]]</f>
        <v>11</v>
      </c>
      <c r="M3089" s="12">
        <f>Tb_data[[#This Row],[Employees Growth]]/Tb_data[[#This Row],[previous_workers]]</f>
        <v>0.91666666666666663</v>
      </c>
    </row>
    <row r="3090" spans="1:13" x14ac:dyDescent="0.25">
      <c r="A3090" s="1" t="s">
        <v>4587</v>
      </c>
      <c r="B3090" s="1" t="s">
        <v>4588</v>
      </c>
      <c r="C3090" s="1">
        <v>8000000</v>
      </c>
      <c r="D3090" s="1" t="s">
        <v>49</v>
      </c>
      <c r="E3090">
        <v>179.10249999999999</v>
      </c>
      <c r="F3090" s="1" t="s">
        <v>112</v>
      </c>
      <c r="G3090">
        <v>30</v>
      </c>
      <c r="H3090">
        <v>3</v>
      </c>
      <c r="I3090" s="1" t="s">
        <v>147</v>
      </c>
      <c r="J3090">
        <v>2</v>
      </c>
      <c r="K3090" t="str">
        <f>IF(Tb_data[[#This Row],[previous_workers]]&lt;Tb_data[[#This Row],[workers]],"yes","no")</f>
        <v>yes</v>
      </c>
      <c r="L3090">
        <f>Tb_data[[#This Row],[workers]]-Tb_data[[#This Row],[previous_workers]]</f>
        <v>27</v>
      </c>
      <c r="M3090" s="12">
        <f>Tb_data[[#This Row],[Employees Growth]]/Tb_data[[#This Row],[previous_workers]]</f>
        <v>9</v>
      </c>
    </row>
    <row r="3091" spans="1:13" x14ac:dyDescent="0.25">
      <c r="A3091" s="1" t="s">
        <v>7675</v>
      </c>
      <c r="B3091" s="1" t="s">
        <v>7676</v>
      </c>
      <c r="C3091" s="1">
        <v>26300000</v>
      </c>
      <c r="D3091" s="1" t="s">
        <v>45</v>
      </c>
      <c r="E3091">
        <v>88.445700000000002</v>
      </c>
      <c r="F3091" s="1" t="s">
        <v>161</v>
      </c>
      <c r="G3091">
        <v>50</v>
      </c>
      <c r="H3091">
        <v>38</v>
      </c>
      <c r="I3091" s="1" t="s">
        <v>74</v>
      </c>
      <c r="J3091">
        <v>6</v>
      </c>
      <c r="K3091" t="str">
        <f>IF(Tb_data[[#This Row],[previous_workers]]&lt;Tb_data[[#This Row],[workers]],"yes","no")</f>
        <v>yes</v>
      </c>
      <c r="L3091">
        <f>Tb_data[[#This Row],[workers]]-Tb_data[[#This Row],[previous_workers]]</f>
        <v>12</v>
      </c>
      <c r="M3091" s="12">
        <f>Tb_data[[#This Row],[Employees Growth]]/Tb_data[[#This Row],[previous_workers]]</f>
        <v>0.31578947368421051</v>
      </c>
    </row>
    <row r="3092" spans="1:13" x14ac:dyDescent="0.25">
      <c r="A3092" s="1" t="s">
        <v>4933</v>
      </c>
      <c r="B3092" s="1" t="s">
        <v>4934</v>
      </c>
      <c r="C3092" s="1">
        <v>2100000</v>
      </c>
      <c r="D3092" s="1" t="s">
        <v>427</v>
      </c>
      <c r="E3092">
        <v>164.72669999999999</v>
      </c>
      <c r="F3092" s="1" t="s">
        <v>34</v>
      </c>
      <c r="G3092">
        <v>22</v>
      </c>
      <c r="H3092">
        <v>5</v>
      </c>
      <c r="I3092" s="1" t="s">
        <v>26</v>
      </c>
      <c r="J3092">
        <v>1</v>
      </c>
      <c r="K3092" t="str">
        <f>IF(Tb_data[[#This Row],[previous_workers]]&lt;Tb_data[[#This Row],[workers]],"yes","no")</f>
        <v>yes</v>
      </c>
      <c r="L3092">
        <f>Tb_data[[#This Row],[workers]]-Tb_data[[#This Row],[previous_workers]]</f>
        <v>17</v>
      </c>
      <c r="M3092" s="12">
        <f>Tb_data[[#This Row],[Employees Growth]]/Tb_data[[#This Row],[previous_workers]]</f>
        <v>3.4</v>
      </c>
    </row>
    <row r="3093" spans="1:13" x14ac:dyDescent="0.25">
      <c r="A3093" s="1" t="s">
        <v>5086</v>
      </c>
      <c r="B3093" s="1" t="s">
        <v>5087</v>
      </c>
      <c r="C3093" s="1">
        <v>4100000</v>
      </c>
      <c r="D3093" s="1" t="s">
        <v>33</v>
      </c>
      <c r="E3093">
        <v>157.5427</v>
      </c>
      <c r="F3093" s="1" t="s">
        <v>12</v>
      </c>
      <c r="G3093">
        <v>30</v>
      </c>
      <c r="H3093">
        <v>5</v>
      </c>
      <c r="I3093" s="1" t="s">
        <v>35</v>
      </c>
      <c r="J3093">
        <v>3</v>
      </c>
      <c r="K3093" t="str">
        <f>IF(Tb_data[[#This Row],[previous_workers]]&lt;Tb_data[[#This Row],[workers]],"yes","no")</f>
        <v>yes</v>
      </c>
      <c r="L3093">
        <f>Tb_data[[#This Row],[workers]]-Tb_data[[#This Row],[previous_workers]]</f>
        <v>25</v>
      </c>
      <c r="M3093" s="12">
        <f>Tb_data[[#This Row],[Employees Growth]]/Tb_data[[#This Row],[previous_workers]]</f>
        <v>5</v>
      </c>
    </row>
    <row r="3094" spans="1:13" x14ac:dyDescent="0.25">
      <c r="A3094" s="1" t="s">
        <v>8514</v>
      </c>
      <c r="B3094" s="1" t="s">
        <v>8515</v>
      </c>
      <c r="C3094" s="1">
        <v>4200000</v>
      </c>
      <c r="D3094" s="1" t="s">
        <v>115</v>
      </c>
      <c r="E3094">
        <v>73.813400000000001</v>
      </c>
      <c r="F3094" s="1" t="s">
        <v>86</v>
      </c>
      <c r="G3094">
        <v>18</v>
      </c>
      <c r="H3094">
        <v>14</v>
      </c>
      <c r="I3094" s="1" t="s">
        <v>295</v>
      </c>
      <c r="J3094">
        <v>4</v>
      </c>
      <c r="K3094" t="str">
        <f>IF(Tb_data[[#This Row],[previous_workers]]&lt;Tb_data[[#This Row],[workers]],"yes","no")</f>
        <v>yes</v>
      </c>
      <c r="L3094">
        <f>Tb_data[[#This Row],[workers]]-Tb_data[[#This Row],[previous_workers]]</f>
        <v>4</v>
      </c>
      <c r="M3094" s="12">
        <f>Tb_data[[#This Row],[Employees Growth]]/Tb_data[[#This Row],[previous_workers]]</f>
        <v>0.2857142857142857</v>
      </c>
    </row>
    <row r="3095" spans="1:13" x14ac:dyDescent="0.25">
      <c r="A3095" s="1" t="s">
        <v>3591</v>
      </c>
      <c r="B3095" s="1" t="s">
        <v>3592</v>
      </c>
      <c r="C3095" s="1">
        <v>2400000</v>
      </c>
      <c r="D3095" s="1" t="s">
        <v>321</v>
      </c>
      <c r="E3095">
        <v>234.5942</v>
      </c>
      <c r="F3095" s="1" t="s">
        <v>100</v>
      </c>
      <c r="G3095">
        <v>12</v>
      </c>
      <c r="H3095">
        <v>4</v>
      </c>
      <c r="I3095" s="1" t="s">
        <v>55</v>
      </c>
      <c r="J3095">
        <v>2</v>
      </c>
      <c r="K3095" t="str">
        <f>IF(Tb_data[[#This Row],[previous_workers]]&lt;Tb_data[[#This Row],[workers]],"yes","no")</f>
        <v>yes</v>
      </c>
      <c r="L3095">
        <f>Tb_data[[#This Row],[workers]]-Tb_data[[#This Row],[previous_workers]]</f>
        <v>8</v>
      </c>
      <c r="M3095" s="12">
        <f>Tb_data[[#This Row],[Employees Growth]]/Tb_data[[#This Row],[previous_workers]]</f>
        <v>2</v>
      </c>
    </row>
    <row r="3096" spans="1:13" x14ac:dyDescent="0.25">
      <c r="A3096" s="1" t="s">
        <v>5358</v>
      </c>
      <c r="B3096" s="1" t="s">
        <v>5359</v>
      </c>
      <c r="C3096" s="1">
        <v>21400000</v>
      </c>
      <c r="D3096" s="1" t="s">
        <v>254</v>
      </c>
      <c r="E3096">
        <v>147.84020000000001</v>
      </c>
      <c r="F3096" s="1" t="s">
        <v>30</v>
      </c>
      <c r="G3096">
        <v>29</v>
      </c>
      <c r="H3096">
        <v>7</v>
      </c>
      <c r="I3096" s="1" t="s">
        <v>194</v>
      </c>
      <c r="J3096">
        <v>5</v>
      </c>
      <c r="K3096" t="str">
        <f>IF(Tb_data[[#This Row],[previous_workers]]&lt;Tb_data[[#This Row],[workers]],"yes","no")</f>
        <v>yes</v>
      </c>
      <c r="L3096">
        <f>Tb_data[[#This Row],[workers]]-Tb_data[[#This Row],[previous_workers]]</f>
        <v>22</v>
      </c>
      <c r="M3096" s="12">
        <f>Tb_data[[#This Row],[Employees Growth]]/Tb_data[[#This Row],[previous_workers]]</f>
        <v>3.1428571428571428</v>
      </c>
    </row>
    <row r="3097" spans="1:13" x14ac:dyDescent="0.25">
      <c r="A3097" s="1" t="s">
        <v>4828</v>
      </c>
      <c r="B3097" s="1" t="s">
        <v>4829</v>
      </c>
      <c r="C3097" s="1">
        <v>313200000</v>
      </c>
      <c r="D3097" s="1" t="s">
        <v>69</v>
      </c>
      <c r="E3097">
        <v>168.92599999999999</v>
      </c>
      <c r="F3097" s="1" t="s">
        <v>172</v>
      </c>
      <c r="G3097">
        <v>1487</v>
      </c>
      <c r="H3097">
        <v>660</v>
      </c>
      <c r="I3097" s="1" t="s">
        <v>226</v>
      </c>
      <c r="J3097">
        <v>13</v>
      </c>
      <c r="K3097" t="str">
        <f>IF(Tb_data[[#This Row],[previous_workers]]&lt;Tb_data[[#This Row],[workers]],"yes","no")</f>
        <v>yes</v>
      </c>
      <c r="L3097">
        <f>Tb_data[[#This Row],[workers]]-Tb_data[[#This Row],[previous_workers]]</f>
        <v>827</v>
      </c>
      <c r="M3097" s="12">
        <f>Tb_data[[#This Row],[Employees Growth]]/Tb_data[[#This Row],[previous_workers]]</f>
        <v>1.2530303030303029</v>
      </c>
    </row>
    <row r="3098" spans="1:13" x14ac:dyDescent="0.25">
      <c r="A3098" s="1" t="s">
        <v>7020</v>
      </c>
      <c r="B3098" s="1" t="s">
        <v>7021</v>
      </c>
      <c r="C3098" s="1">
        <v>2700000</v>
      </c>
      <c r="D3098" s="1" t="s">
        <v>33</v>
      </c>
      <c r="E3098">
        <v>101.6126</v>
      </c>
      <c r="F3098" s="1" t="s">
        <v>169</v>
      </c>
      <c r="G3098">
        <v>17</v>
      </c>
      <c r="H3098">
        <v>10</v>
      </c>
      <c r="I3098" s="1" t="s">
        <v>46</v>
      </c>
      <c r="J3098">
        <v>1</v>
      </c>
      <c r="K3098" t="str">
        <f>IF(Tb_data[[#This Row],[previous_workers]]&lt;Tb_data[[#This Row],[workers]],"yes","no")</f>
        <v>yes</v>
      </c>
      <c r="L3098">
        <f>Tb_data[[#This Row],[workers]]-Tb_data[[#This Row],[previous_workers]]</f>
        <v>7</v>
      </c>
      <c r="M3098" s="12">
        <f>Tb_data[[#This Row],[Employees Growth]]/Tb_data[[#This Row],[previous_workers]]</f>
        <v>0.7</v>
      </c>
    </row>
    <row r="3099" spans="1:13" x14ac:dyDescent="0.25">
      <c r="A3099" s="1" t="s">
        <v>8829</v>
      </c>
      <c r="B3099" s="1" t="s">
        <v>8830</v>
      </c>
      <c r="C3099" s="1">
        <v>123900000</v>
      </c>
      <c r="D3099" s="1" t="s">
        <v>20</v>
      </c>
      <c r="E3099">
        <v>68.964500000000001</v>
      </c>
      <c r="F3099" s="1" t="s">
        <v>176</v>
      </c>
      <c r="G3099">
        <v>885</v>
      </c>
      <c r="H3099">
        <v>600</v>
      </c>
      <c r="I3099" s="1" t="s">
        <v>46</v>
      </c>
      <c r="J3099">
        <v>7</v>
      </c>
      <c r="K3099" t="str">
        <f>IF(Tb_data[[#This Row],[previous_workers]]&lt;Tb_data[[#This Row],[workers]],"yes","no")</f>
        <v>yes</v>
      </c>
      <c r="L3099">
        <f>Tb_data[[#This Row],[workers]]-Tb_data[[#This Row],[previous_workers]]</f>
        <v>285</v>
      </c>
      <c r="M3099" s="12">
        <f>Tb_data[[#This Row],[Employees Growth]]/Tb_data[[#This Row],[previous_workers]]</f>
        <v>0.47499999999999998</v>
      </c>
    </row>
    <row r="3100" spans="1:13" x14ac:dyDescent="0.25">
      <c r="A3100" s="1" t="s">
        <v>296</v>
      </c>
      <c r="B3100" s="1" t="s">
        <v>297</v>
      </c>
      <c r="C3100" s="1">
        <v>7800000</v>
      </c>
      <c r="D3100" s="1" t="s">
        <v>33</v>
      </c>
      <c r="E3100">
        <v>3051.3321999999998</v>
      </c>
      <c r="F3100" s="1" t="s">
        <v>97</v>
      </c>
      <c r="G3100">
        <v>52</v>
      </c>
      <c r="H3100">
        <v>12</v>
      </c>
      <c r="I3100" s="1" t="s">
        <v>229</v>
      </c>
      <c r="J3100">
        <v>1</v>
      </c>
      <c r="K3100" t="str">
        <f>IF(Tb_data[[#This Row],[previous_workers]]&lt;Tb_data[[#This Row],[workers]],"yes","no")</f>
        <v>yes</v>
      </c>
      <c r="L3100">
        <f>Tb_data[[#This Row],[workers]]-Tb_data[[#This Row],[previous_workers]]</f>
        <v>40</v>
      </c>
      <c r="M3100" s="12">
        <f>Tb_data[[#This Row],[Employees Growth]]/Tb_data[[#This Row],[previous_workers]]</f>
        <v>3.3333333333333335</v>
      </c>
    </row>
    <row r="3101" spans="1:13" x14ac:dyDescent="0.25">
      <c r="A3101" s="1" t="s">
        <v>4495</v>
      </c>
      <c r="B3101" s="1" t="s">
        <v>4496</v>
      </c>
      <c r="C3101" s="1">
        <v>57200000</v>
      </c>
      <c r="D3101" s="1" t="s">
        <v>500</v>
      </c>
      <c r="E3101">
        <v>182.6927</v>
      </c>
      <c r="F3101" s="1" t="s">
        <v>34</v>
      </c>
      <c r="G3101">
        <v>121</v>
      </c>
      <c r="H3101">
        <v>38</v>
      </c>
      <c r="I3101" s="1" t="s">
        <v>117</v>
      </c>
      <c r="J3101">
        <v>5</v>
      </c>
      <c r="K3101" t="str">
        <f>IF(Tb_data[[#This Row],[previous_workers]]&lt;Tb_data[[#This Row],[workers]],"yes","no")</f>
        <v>yes</v>
      </c>
      <c r="L3101">
        <f>Tb_data[[#This Row],[workers]]-Tb_data[[#This Row],[previous_workers]]</f>
        <v>83</v>
      </c>
      <c r="M3101" s="12">
        <f>Tb_data[[#This Row],[Employees Growth]]/Tb_data[[#This Row],[previous_workers]]</f>
        <v>2.1842105263157894</v>
      </c>
    </row>
    <row r="3102" spans="1:13" x14ac:dyDescent="0.25">
      <c r="A3102" s="1" t="s">
        <v>1434</v>
      </c>
      <c r="B3102" s="1" t="s">
        <v>1435</v>
      </c>
      <c r="C3102" s="1">
        <v>88300000</v>
      </c>
      <c r="D3102" s="1" t="s">
        <v>123</v>
      </c>
      <c r="E3102">
        <v>656.00509999999997</v>
      </c>
      <c r="F3102" s="1" t="s">
        <v>86</v>
      </c>
      <c r="G3102">
        <v>257</v>
      </c>
      <c r="H3102">
        <v>50</v>
      </c>
      <c r="I3102" s="1" t="s">
        <v>35</v>
      </c>
      <c r="J3102">
        <v>4</v>
      </c>
      <c r="K3102" t="str">
        <f>IF(Tb_data[[#This Row],[previous_workers]]&lt;Tb_data[[#This Row],[workers]],"yes","no")</f>
        <v>yes</v>
      </c>
      <c r="L3102">
        <f>Tb_data[[#This Row],[workers]]-Tb_data[[#This Row],[previous_workers]]</f>
        <v>207</v>
      </c>
      <c r="M3102" s="12">
        <f>Tb_data[[#This Row],[Employees Growth]]/Tb_data[[#This Row],[previous_workers]]</f>
        <v>4.1399999999999997</v>
      </c>
    </row>
    <row r="3103" spans="1:13" x14ac:dyDescent="0.25">
      <c r="A3103" s="1" t="s">
        <v>3825</v>
      </c>
      <c r="B3103" s="1" t="s">
        <v>3826</v>
      </c>
      <c r="C3103" s="1">
        <v>51800000</v>
      </c>
      <c r="D3103" s="1" t="s">
        <v>49</v>
      </c>
      <c r="E3103">
        <v>219.4247</v>
      </c>
      <c r="F3103" s="1" t="s">
        <v>62</v>
      </c>
      <c r="G3103">
        <v>276</v>
      </c>
      <c r="H3103">
        <v>156</v>
      </c>
      <c r="I3103" s="1" t="s">
        <v>55</v>
      </c>
      <c r="J3103">
        <v>3</v>
      </c>
      <c r="K3103" t="str">
        <f>IF(Tb_data[[#This Row],[previous_workers]]&lt;Tb_data[[#This Row],[workers]],"yes","no")</f>
        <v>yes</v>
      </c>
      <c r="L3103">
        <f>Tb_data[[#This Row],[workers]]-Tb_data[[#This Row],[previous_workers]]</f>
        <v>120</v>
      </c>
      <c r="M3103" s="12">
        <f>Tb_data[[#This Row],[Employees Growth]]/Tb_data[[#This Row],[previous_workers]]</f>
        <v>0.76923076923076927</v>
      </c>
    </row>
    <row r="3104" spans="1:13" x14ac:dyDescent="0.25">
      <c r="A3104" s="1" t="s">
        <v>324</v>
      </c>
      <c r="B3104" s="1" t="s">
        <v>325</v>
      </c>
      <c r="C3104" s="1">
        <v>3500000</v>
      </c>
      <c r="D3104" s="1" t="s">
        <v>49</v>
      </c>
      <c r="E3104">
        <v>2795.4056999999998</v>
      </c>
      <c r="F3104" s="1" t="s">
        <v>17</v>
      </c>
      <c r="G3104">
        <v>19</v>
      </c>
      <c r="H3104">
        <v>7</v>
      </c>
      <c r="I3104" s="1" t="s">
        <v>130</v>
      </c>
      <c r="J3104">
        <v>1</v>
      </c>
      <c r="K3104" t="str">
        <f>IF(Tb_data[[#This Row],[previous_workers]]&lt;Tb_data[[#This Row],[workers]],"yes","no")</f>
        <v>yes</v>
      </c>
      <c r="L3104">
        <f>Tb_data[[#This Row],[workers]]-Tb_data[[#This Row],[previous_workers]]</f>
        <v>12</v>
      </c>
      <c r="M3104" s="12">
        <f>Tb_data[[#This Row],[Employees Growth]]/Tb_data[[#This Row],[previous_workers]]</f>
        <v>1.7142857142857142</v>
      </c>
    </row>
    <row r="3105" spans="1:13" x14ac:dyDescent="0.25">
      <c r="A3105" s="1" t="s">
        <v>2036</v>
      </c>
      <c r="B3105" s="1" t="s">
        <v>2037</v>
      </c>
      <c r="C3105" s="1">
        <v>16700000</v>
      </c>
      <c r="D3105" s="1" t="s">
        <v>20</v>
      </c>
      <c r="E3105">
        <v>440.87889999999999</v>
      </c>
      <c r="F3105" s="1" t="s">
        <v>86</v>
      </c>
      <c r="G3105">
        <v>162</v>
      </c>
      <c r="H3105">
        <v>25</v>
      </c>
      <c r="I3105" s="1" t="s">
        <v>164</v>
      </c>
      <c r="J3105">
        <v>4</v>
      </c>
      <c r="K3105" t="str">
        <f>IF(Tb_data[[#This Row],[previous_workers]]&lt;Tb_data[[#This Row],[workers]],"yes","no")</f>
        <v>yes</v>
      </c>
      <c r="L3105">
        <f>Tb_data[[#This Row],[workers]]-Tb_data[[#This Row],[previous_workers]]</f>
        <v>137</v>
      </c>
      <c r="M3105" s="12">
        <f>Tb_data[[#This Row],[Employees Growth]]/Tb_data[[#This Row],[previous_workers]]</f>
        <v>5.48</v>
      </c>
    </row>
    <row r="3106" spans="1:13" x14ac:dyDescent="0.25">
      <c r="A3106" s="1" t="s">
        <v>6849</v>
      </c>
      <c r="B3106" s="1" t="s">
        <v>6850</v>
      </c>
      <c r="C3106" s="1">
        <v>73500000</v>
      </c>
      <c r="D3106" s="1" t="s">
        <v>20</v>
      </c>
      <c r="E3106">
        <v>105.57689999999999</v>
      </c>
      <c r="F3106" s="1" t="s">
        <v>176</v>
      </c>
      <c r="G3106">
        <v>55</v>
      </c>
      <c r="H3106">
        <v>35</v>
      </c>
      <c r="I3106" s="1" t="s">
        <v>229</v>
      </c>
      <c r="J3106">
        <v>12</v>
      </c>
      <c r="K3106" t="str">
        <f>IF(Tb_data[[#This Row],[previous_workers]]&lt;Tb_data[[#This Row],[workers]],"yes","no")</f>
        <v>yes</v>
      </c>
      <c r="L3106">
        <f>Tb_data[[#This Row],[workers]]-Tb_data[[#This Row],[previous_workers]]</f>
        <v>20</v>
      </c>
      <c r="M3106" s="12">
        <f>Tb_data[[#This Row],[Employees Growth]]/Tb_data[[#This Row],[previous_workers]]</f>
        <v>0.5714285714285714</v>
      </c>
    </row>
    <row r="3107" spans="1:13" x14ac:dyDescent="0.25">
      <c r="A3107" s="1" t="s">
        <v>4661</v>
      </c>
      <c r="B3107" s="1" t="s">
        <v>4662</v>
      </c>
      <c r="C3107" s="1">
        <v>4000000</v>
      </c>
      <c r="D3107" s="1" t="s">
        <v>115</v>
      </c>
      <c r="E3107">
        <v>175.80690000000001</v>
      </c>
      <c r="F3107" s="1" t="s">
        <v>156</v>
      </c>
      <c r="G3107">
        <v>10</v>
      </c>
      <c r="H3107">
        <v>8</v>
      </c>
      <c r="I3107" s="1" t="s">
        <v>194</v>
      </c>
      <c r="J3107">
        <v>2</v>
      </c>
      <c r="K3107" t="str">
        <f>IF(Tb_data[[#This Row],[previous_workers]]&lt;Tb_data[[#This Row],[workers]],"yes","no")</f>
        <v>yes</v>
      </c>
      <c r="L3107">
        <f>Tb_data[[#This Row],[workers]]-Tb_data[[#This Row],[previous_workers]]</f>
        <v>2</v>
      </c>
      <c r="M3107" s="12">
        <f>Tb_data[[#This Row],[Employees Growth]]/Tb_data[[#This Row],[previous_workers]]</f>
        <v>0.25</v>
      </c>
    </row>
    <row r="3108" spans="1:13" x14ac:dyDescent="0.25">
      <c r="A3108" s="1" t="s">
        <v>5328</v>
      </c>
      <c r="B3108" s="1" t="s">
        <v>5329</v>
      </c>
      <c r="C3108" s="1">
        <v>37700000</v>
      </c>
      <c r="D3108" s="1" t="s">
        <v>49</v>
      </c>
      <c r="E3108">
        <v>148.94589999999999</v>
      </c>
      <c r="F3108" s="1" t="s">
        <v>176</v>
      </c>
      <c r="G3108">
        <v>180</v>
      </c>
      <c r="H3108">
        <v>92</v>
      </c>
      <c r="I3108" s="1" t="s">
        <v>55</v>
      </c>
      <c r="J3108">
        <v>3</v>
      </c>
      <c r="K3108" t="str">
        <f>IF(Tb_data[[#This Row],[previous_workers]]&lt;Tb_data[[#This Row],[workers]],"yes","no")</f>
        <v>yes</v>
      </c>
      <c r="L3108">
        <f>Tb_data[[#This Row],[workers]]-Tb_data[[#This Row],[previous_workers]]</f>
        <v>88</v>
      </c>
      <c r="M3108" s="12">
        <f>Tb_data[[#This Row],[Employees Growth]]/Tb_data[[#This Row],[previous_workers]]</f>
        <v>0.95652173913043481</v>
      </c>
    </row>
    <row r="3109" spans="1:13" x14ac:dyDescent="0.25">
      <c r="A3109" s="1" t="s">
        <v>7709</v>
      </c>
      <c r="B3109" s="1" t="s">
        <v>7710</v>
      </c>
      <c r="C3109" s="1">
        <v>35500000</v>
      </c>
      <c r="D3109" s="1" t="s">
        <v>49</v>
      </c>
      <c r="E3109">
        <v>87.880700000000004</v>
      </c>
      <c r="F3109" s="1" t="s">
        <v>176</v>
      </c>
      <c r="G3109">
        <v>47</v>
      </c>
      <c r="H3109">
        <v>32</v>
      </c>
      <c r="I3109" s="1" t="s">
        <v>147</v>
      </c>
      <c r="J3109">
        <v>1</v>
      </c>
      <c r="K3109" t="str">
        <f>IF(Tb_data[[#This Row],[previous_workers]]&lt;Tb_data[[#This Row],[workers]],"yes","no")</f>
        <v>yes</v>
      </c>
      <c r="L3109">
        <f>Tb_data[[#This Row],[workers]]-Tb_data[[#This Row],[previous_workers]]</f>
        <v>15</v>
      </c>
      <c r="M3109" s="12">
        <f>Tb_data[[#This Row],[Employees Growth]]/Tb_data[[#This Row],[previous_workers]]</f>
        <v>0.46875</v>
      </c>
    </row>
    <row r="3110" spans="1:13" x14ac:dyDescent="0.25">
      <c r="A3110" s="1" t="s">
        <v>7773</v>
      </c>
      <c r="B3110" s="1" t="s">
        <v>7774</v>
      </c>
      <c r="C3110" s="1">
        <v>3800000</v>
      </c>
      <c r="D3110" s="1" t="s">
        <v>16</v>
      </c>
      <c r="E3110">
        <v>86.728899999999996</v>
      </c>
      <c r="F3110" s="1" t="s">
        <v>17</v>
      </c>
      <c r="G3110">
        <v>196</v>
      </c>
      <c r="H3110">
        <v>50</v>
      </c>
      <c r="I3110" s="1" t="s">
        <v>26</v>
      </c>
      <c r="J3110">
        <v>1</v>
      </c>
      <c r="K3110" t="str">
        <f>IF(Tb_data[[#This Row],[previous_workers]]&lt;Tb_data[[#This Row],[workers]],"yes","no")</f>
        <v>yes</v>
      </c>
      <c r="L3110">
        <f>Tb_data[[#This Row],[workers]]-Tb_data[[#This Row],[previous_workers]]</f>
        <v>146</v>
      </c>
      <c r="M3110" s="12">
        <f>Tb_data[[#This Row],[Employees Growth]]/Tb_data[[#This Row],[previous_workers]]</f>
        <v>2.92</v>
      </c>
    </row>
    <row r="3111" spans="1:13" x14ac:dyDescent="0.25">
      <c r="A3111" s="1" t="s">
        <v>4810</v>
      </c>
      <c r="B3111" s="1" t="s">
        <v>4811</v>
      </c>
      <c r="C3111" s="1">
        <v>9300000</v>
      </c>
      <c r="D3111" s="1" t="s">
        <v>20</v>
      </c>
      <c r="E3111">
        <v>169.31829999999999</v>
      </c>
      <c r="F3111" s="1" t="s">
        <v>94</v>
      </c>
      <c r="G3111">
        <v>105</v>
      </c>
      <c r="H3111">
        <v>45</v>
      </c>
      <c r="I3111" s="1" t="s">
        <v>164</v>
      </c>
      <c r="J3111">
        <v>2</v>
      </c>
      <c r="K3111" t="str">
        <f>IF(Tb_data[[#This Row],[previous_workers]]&lt;Tb_data[[#This Row],[workers]],"yes","no")</f>
        <v>yes</v>
      </c>
      <c r="L3111">
        <f>Tb_data[[#This Row],[workers]]-Tb_data[[#This Row],[previous_workers]]</f>
        <v>60</v>
      </c>
      <c r="M3111" s="12">
        <f>Tb_data[[#This Row],[Employees Growth]]/Tb_data[[#This Row],[previous_workers]]</f>
        <v>1.3333333333333333</v>
      </c>
    </row>
    <row r="3112" spans="1:13" x14ac:dyDescent="0.25">
      <c r="A3112" s="1" t="s">
        <v>182</v>
      </c>
      <c r="B3112" s="1" t="s">
        <v>183</v>
      </c>
      <c r="C3112" s="1">
        <v>25900000</v>
      </c>
      <c r="D3112" s="1" t="s">
        <v>123</v>
      </c>
      <c r="E3112">
        <v>4899.0268999999998</v>
      </c>
      <c r="F3112" s="1" t="s">
        <v>25</v>
      </c>
      <c r="G3112">
        <v>30</v>
      </c>
      <c r="H3112">
        <v>6</v>
      </c>
      <c r="I3112" s="1" t="s">
        <v>13</v>
      </c>
      <c r="J3112">
        <v>1</v>
      </c>
      <c r="K3112" t="str">
        <f>IF(Tb_data[[#This Row],[previous_workers]]&lt;Tb_data[[#This Row],[workers]],"yes","no")</f>
        <v>yes</v>
      </c>
      <c r="L3112">
        <f>Tb_data[[#This Row],[workers]]-Tb_data[[#This Row],[previous_workers]]</f>
        <v>24</v>
      </c>
      <c r="M3112" s="12">
        <f>Tb_data[[#This Row],[Employees Growth]]/Tb_data[[#This Row],[previous_workers]]</f>
        <v>4</v>
      </c>
    </row>
    <row r="3113" spans="1:13" x14ac:dyDescent="0.25">
      <c r="A3113" s="1" t="s">
        <v>9247</v>
      </c>
      <c r="B3113" s="1" t="s">
        <v>9248</v>
      </c>
      <c r="C3113" s="1">
        <v>7600000</v>
      </c>
      <c r="D3113" s="1" t="s">
        <v>33</v>
      </c>
      <c r="E3113">
        <v>63.534500000000001</v>
      </c>
      <c r="F3113" s="1" t="s">
        <v>116</v>
      </c>
      <c r="G3113">
        <v>49</v>
      </c>
      <c r="H3113">
        <v>30</v>
      </c>
      <c r="I3113" s="1" t="s">
        <v>46</v>
      </c>
      <c r="J3113">
        <v>4</v>
      </c>
      <c r="K3113" t="str">
        <f>IF(Tb_data[[#This Row],[previous_workers]]&lt;Tb_data[[#This Row],[workers]],"yes","no")</f>
        <v>yes</v>
      </c>
      <c r="L3113">
        <f>Tb_data[[#This Row],[workers]]-Tb_data[[#This Row],[previous_workers]]</f>
        <v>19</v>
      </c>
      <c r="M3113" s="12">
        <f>Tb_data[[#This Row],[Employees Growth]]/Tb_data[[#This Row],[previous_workers]]</f>
        <v>0.6333333333333333</v>
      </c>
    </row>
    <row r="3114" spans="1:13" x14ac:dyDescent="0.25">
      <c r="A3114" s="1" t="s">
        <v>8546</v>
      </c>
      <c r="B3114" s="1" t="s">
        <v>8547</v>
      </c>
      <c r="C3114" s="1">
        <v>99000000</v>
      </c>
      <c r="D3114" s="1" t="s">
        <v>123</v>
      </c>
      <c r="E3114">
        <v>73.177400000000006</v>
      </c>
      <c r="F3114" s="1" t="s">
        <v>86</v>
      </c>
      <c r="G3114">
        <v>136</v>
      </c>
      <c r="H3114">
        <v>87</v>
      </c>
      <c r="I3114" s="1" t="s">
        <v>35</v>
      </c>
      <c r="J3114">
        <v>1</v>
      </c>
      <c r="K3114" t="str">
        <f>IF(Tb_data[[#This Row],[previous_workers]]&lt;Tb_data[[#This Row],[workers]],"yes","no")</f>
        <v>yes</v>
      </c>
      <c r="L3114">
        <f>Tb_data[[#This Row],[workers]]-Tb_data[[#This Row],[previous_workers]]</f>
        <v>49</v>
      </c>
      <c r="M3114" s="12">
        <f>Tb_data[[#This Row],[Employees Growth]]/Tb_data[[#This Row],[previous_workers]]</f>
        <v>0.56321839080459768</v>
      </c>
    </row>
    <row r="3115" spans="1:13" x14ac:dyDescent="0.25">
      <c r="A3115" s="1" t="s">
        <v>4280</v>
      </c>
      <c r="B3115" s="1" t="s">
        <v>4281</v>
      </c>
      <c r="C3115" s="1">
        <v>19800000</v>
      </c>
      <c r="D3115" s="1" t="s">
        <v>49</v>
      </c>
      <c r="E3115">
        <v>191.97219999999999</v>
      </c>
      <c r="F3115" s="1" t="s">
        <v>12</v>
      </c>
      <c r="G3115">
        <v>71</v>
      </c>
      <c r="H3115">
        <v>42</v>
      </c>
      <c r="I3115" s="1" t="s">
        <v>55</v>
      </c>
      <c r="J3115">
        <v>2</v>
      </c>
      <c r="K3115" t="str">
        <f>IF(Tb_data[[#This Row],[previous_workers]]&lt;Tb_data[[#This Row],[workers]],"yes","no")</f>
        <v>yes</v>
      </c>
      <c r="L3115">
        <f>Tb_data[[#This Row],[workers]]-Tb_data[[#This Row],[previous_workers]]</f>
        <v>29</v>
      </c>
      <c r="M3115" s="12">
        <f>Tb_data[[#This Row],[Employees Growth]]/Tb_data[[#This Row],[previous_workers]]</f>
        <v>0.69047619047619047</v>
      </c>
    </row>
    <row r="3116" spans="1:13" x14ac:dyDescent="0.25">
      <c r="A3116" s="1" t="s">
        <v>3565</v>
      </c>
      <c r="B3116" s="1" t="s">
        <v>3566</v>
      </c>
      <c r="C3116" s="1">
        <v>52400000</v>
      </c>
      <c r="D3116" s="1" t="s">
        <v>20</v>
      </c>
      <c r="E3116">
        <v>236.59829999999999</v>
      </c>
      <c r="F3116" s="1" t="s">
        <v>62</v>
      </c>
      <c r="G3116">
        <v>67</v>
      </c>
      <c r="H3116">
        <v>30</v>
      </c>
      <c r="I3116" s="1" t="s">
        <v>226</v>
      </c>
      <c r="J3116">
        <v>3</v>
      </c>
      <c r="K3116" t="str">
        <f>IF(Tb_data[[#This Row],[previous_workers]]&lt;Tb_data[[#This Row],[workers]],"yes","no")</f>
        <v>yes</v>
      </c>
      <c r="L3116">
        <f>Tb_data[[#This Row],[workers]]-Tb_data[[#This Row],[previous_workers]]</f>
        <v>37</v>
      </c>
      <c r="M3116" s="12">
        <f>Tb_data[[#This Row],[Employees Growth]]/Tb_data[[#This Row],[previous_workers]]</f>
        <v>1.2333333333333334</v>
      </c>
    </row>
    <row r="3117" spans="1:13" x14ac:dyDescent="0.25">
      <c r="A3117" s="1" t="s">
        <v>9932</v>
      </c>
      <c r="B3117" s="1" t="s">
        <v>9933</v>
      </c>
      <c r="C3117" s="1">
        <v>5300000</v>
      </c>
      <c r="D3117" s="1" t="s">
        <v>115</v>
      </c>
      <c r="E3117">
        <v>54.752600000000001</v>
      </c>
      <c r="F3117" s="1" t="s">
        <v>17</v>
      </c>
      <c r="G3117">
        <v>40</v>
      </c>
      <c r="H3117">
        <v>23</v>
      </c>
      <c r="I3117" s="1" t="s">
        <v>74</v>
      </c>
      <c r="J3117">
        <v>3</v>
      </c>
      <c r="K3117" t="str">
        <f>IF(Tb_data[[#This Row],[previous_workers]]&lt;Tb_data[[#This Row],[workers]],"yes","no")</f>
        <v>yes</v>
      </c>
      <c r="L3117">
        <f>Tb_data[[#This Row],[workers]]-Tb_data[[#This Row],[previous_workers]]</f>
        <v>17</v>
      </c>
      <c r="M3117" s="12">
        <f>Tb_data[[#This Row],[Employees Growth]]/Tb_data[[#This Row],[previous_workers]]</f>
        <v>0.73913043478260865</v>
      </c>
    </row>
    <row r="3118" spans="1:13" x14ac:dyDescent="0.25">
      <c r="A3118" s="1" t="s">
        <v>6253</v>
      </c>
      <c r="B3118" s="1" t="s">
        <v>6254</v>
      </c>
      <c r="C3118" s="1">
        <v>3000000</v>
      </c>
      <c r="D3118" s="1" t="s">
        <v>11</v>
      </c>
      <c r="E3118">
        <v>120.27379999999999</v>
      </c>
      <c r="F3118" s="1" t="s">
        <v>135</v>
      </c>
      <c r="G3118">
        <v>21</v>
      </c>
      <c r="H3118">
        <v>9</v>
      </c>
      <c r="I3118" s="1" t="s">
        <v>117</v>
      </c>
      <c r="J3118">
        <v>1</v>
      </c>
      <c r="K3118" t="str">
        <f>IF(Tb_data[[#This Row],[previous_workers]]&lt;Tb_data[[#This Row],[workers]],"yes","no")</f>
        <v>yes</v>
      </c>
      <c r="L3118">
        <f>Tb_data[[#This Row],[workers]]-Tb_data[[#This Row],[previous_workers]]</f>
        <v>12</v>
      </c>
      <c r="M3118" s="12">
        <f>Tb_data[[#This Row],[Employees Growth]]/Tb_data[[#This Row],[previous_workers]]</f>
        <v>1.3333333333333333</v>
      </c>
    </row>
    <row r="3119" spans="1:13" x14ac:dyDescent="0.25">
      <c r="A3119" s="1" t="s">
        <v>5226</v>
      </c>
      <c r="B3119" s="1" t="s">
        <v>5227</v>
      </c>
      <c r="C3119" s="1">
        <v>70100000</v>
      </c>
      <c r="D3119" s="1" t="s">
        <v>29</v>
      </c>
      <c r="E3119">
        <v>152.6224</v>
      </c>
      <c r="F3119" s="1" t="s">
        <v>34</v>
      </c>
      <c r="G3119">
        <v>1950</v>
      </c>
      <c r="H3119">
        <v>1000</v>
      </c>
      <c r="I3119" s="1" t="s">
        <v>164</v>
      </c>
      <c r="J3119">
        <v>1</v>
      </c>
      <c r="K3119" t="str">
        <f>IF(Tb_data[[#This Row],[previous_workers]]&lt;Tb_data[[#This Row],[workers]],"yes","no")</f>
        <v>yes</v>
      </c>
      <c r="L3119">
        <f>Tb_data[[#This Row],[workers]]-Tb_data[[#This Row],[previous_workers]]</f>
        <v>950</v>
      </c>
      <c r="M3119" s="12">
        <f>Tb_data[[#This Row],[Employees Growth]]/Tb_data[[#This Row],[previous_workers]]</f>
        <v>0.95</v>
      </c>
    </row>
    <row r="3120" spans="1:13" x14ac:dyDescent="0.25">
      <c r="A3120" s="1" t="s">
        <v>6443</v>
      </c>
      <c r="B3120" s="1" t="s">
        <v>6444</v>
      </c>
      <c r="C3120" s="1">
        <v>11800000</v>
      </c>
      <c r="D3120" s="1" t="s">
        <v>41</v>
      </c>
      <c r="E3120">
        <v>115.2932</v>
      </c>
      <c r="F3120" s="1" t="s">
        <v>135</v>
      </c>
      <c r="G3120">
        <v>130</v>
      </c>
      <c r="H3120">
        <v>60</v>
      </c>
      <c r="I3120" s="1" t="s">
        <v>1411</v>
      </c>
      <c r="J3120">
        <v>5</v>
      </c>
      <c r="K3120" t="str">
        <f>IF(Tb_data[[#This Row],[previous_workers]]&lt;Tb_data[[#This Row],[workers]],"yes","no")</f>
        <v>yes</v>
      </c>
      <c r="L3120">
        <f>Tb_data[[#This Row],[workers]]-Tb_data[[#This Row],[previous_workers]]</f>
        <v>70</v>
      </c>
      <c r="M3120" s="12">
        <f>Tb_data[[#This Row],[Employees Growth]]/Tb_data[[#This Row],[previous_workers]]</f>
        <v>1.1666666666666667</v>
      </c>
    </row>
    <row r="3121" spans="1:13" x14ac:dyDescent="0.25">
      <c r="A3121" s="1" t="s">
        <v>9808</v>
      </c>
      <c r="B3121" s="1" t="s">
        <v>9809</v>
      </c>
      <c r="C3121" s="1">
        <v>15000000</v>
      </c>
      <c r="D3121" s="1" t="s">
        <v>29</v>
      </c>
      <c r="E3121">
        <v>56.722499999999997</v>
      </c>
      <c r="F3121" s="1" t="s">
        <v>156</v>
      </c>
      <c r="G3121">
        <v>90</v>
      </c>
      <c r="H3121">
        <v>95</v>
      </c>
      <c r="I3121" s="1" t="s">
        <v>117</v>
      </c>
      <c r="J3121">
        <v>5</v>
      </c>
      <c r="K3121" t="str">
        <f>IF(Tb_data[[#This Row],[previous_workers]]&lt;Tb_data[[#This Row],[workers]],"yes","no")</f>
        <v>no</v>
      </c>
      <c r="L3121">
        <f>Tb_data[[#This Row],[workers]]-Tb_data[[#This Row],[previous_workers]]</f>
        <v>-5</v>
      </c>
      <c r="M3121" s="12">
        <f>Tb_data[[#This Row],[Employees Growth]]/Tb_data[[#This Row],[previous_workers]]</f>
        <v>-5.2631578947368418E-2</v>
      </c>
    </row>
    <row r="3122" spans="1:13" x14ac:dyDescent="0.25">
      <c r="A3122" s="1" t="s">
        <v>5788</v>
      </c>
      <c r="B3122" s="1" t="s">
        <v>5789</v>
      </c>
      <c r="C3122" s="1">
        <v>4000000</v>
      </c>
      <c r="D3122" s="1" t="s">
        <v>41</v>
      </c>
      <c r="E3122">
        <v>131.6037</v>
      </c>
      <c r="F3122" s="1" t="s">
        <v>86</v>
      </c>
      <c r="G3122">
        <v>26</v>
      </c>
      <c r="H3122">
        <v>12</v>
      </c>
      <c r="I3122" s="1" t="s">
        <v>194</v>
      </c>
      <c r="J3122">
        <v>3</v>
      </c>
      <c r="K3122" t="str">
        <f>IF(Tb_data[[#This Row],[previous_workers]]&lt;Tb_data[[#This Row],[workers]],"yes","no")</f>
        <v>yes</v>
      </c>
      <c r="L3122">
        <f>Tb_data[[#This Row],[workers]]-Tb_data[[#This Row],[previous_workers]]</f>
        <v>14</v>
      </c>
      <c r="M3122" s="12">
        <f>Tb_data[[#This Row],[Employees Growth]]/Tb_data[[#This Row],[previous_workers]]</f>
        <v>1.1666666666666667</v>
      </c>
    </row>
    <row r="3123" spans="1:13" x14ac:dyDescent="0.25">
      <c r="A3123" s="1" t="s">
        <v>7337</v>
      </c>
      <c r="B3123" s="1" t="s">
        <v>7338</v>
      </c>
      <c r="C3123" s="1">
        <v>4400000</v>
      </c>
      <c r="D3123" s="1" t="s">
        <v>69</v>
      </c>
      <c r="E3123">
        <v>96.397800000000004</v>
      </c>
      <c r="F3123" s="1" t="s">
        <v>86</v>
      </c>
      <c r="G3123">
        <v>15</v>
      </c>
      <c r="H3123">
        <v>12</v>
      </c>
      <c r="I3123" s="1" t="s">
        <v>194</v>
      </c>
      <c r="J3123">
        <v>1</v>
      </c>
      <c r="K3123" t="str">
        <f>IF(Tb_data[[#This Row],[previous_workers]]&lt;Tb_data[[#This Row],[workers]],"yes","no")</f>
        <v>yes</v>
      </c>
      <c r="L3123">
        <f>Tb_data[[#This Row],[workers]]-Tb_data[[#This Row],[previous_workers]]</f>
        <v>3</v>
      </c>
      <c r="M3123" s="12">
        <f>Tb_data[[#This Row],[Employees Growth]]/Tb_data[[#This Row],[previous_workers]]</f>
        <v>0.25</v>
      </c>
    </row>
    <row r="3124" spans="1:13" x14ac:dyDescent="0.25">
      <c r="A3124" s="1" t="s">
        <v>2963</v>
      </c>
      <c r="B3124" s="1" t="s">
        <v>2964</v>
      </c>
      <c r="C3124" s="1">
        <v>14300000</v>
      </c>
      <c r="D3124" s="1" t="s">
        <v>254</v>
      </c>
      <c r="E3124">
        <v>290.39210000000003</v>
      </c>
      <c r="F3124" s="1" t="s">
        <v>176</v>
      </c>
      <c r="G3124">
        <v>80</v>
      </c>
      <c r="H3124">
        <v>17</v>
      </c>
      <c r="I3124" s="1" t="s">
        <v>55</v>
      </c>
      <c r="J3124">
        <v>2</v>
      </c>
      <c r="K3124" t="str">
        <f>IF(Tb_data[[#This Row],[previous_workers]]&lt;Tb_data[[#This Row],[workers]],"yes","no")</f>
        <v>yes</v>
      </c>
      <c r="L3124">
        <f>Tb_data[[#This Row],[workers]]-Tb_data[[#This Row],[previous_workers]]</f>
        <v>63</v>
      </c>
      <c r="M3124" s="12">
        <f>Tb_data[[#This Row],[Employees Growth]]/Tb_data[[#This Row],[previous_workers]]</f>
        <v>3.7058823529411766</v>
      </c>
    </row>
    <row r="3125" spans="1:13" x14ac:dyDescent="0.25">
      <c r="A3125" s="1" t="s">
        <v>3890</v>
      </c>
      <c r="B3125" s="1" t="s">
        <v>3891</v>
      </c>
      <c r="C3125" s="1">
        <v>3000000</v>
      </c>
      <c r="D3125" s="1" t="s">
        <v>115</v>
      </c>
      <c r="E3125">
        <v>214.99469999999999</v>
      </c>
      <c r="F3125" s="1" t="s">
        <v>156</v>
      </c>
      <c r="G3125">
        <v>15</v>
      </c>
      <c r="H3125">
        <v>5</v>
      </c>
      <c r="I3125" s="1" t="s">
        <v>147</v>
      </c>
      <c r="J3125">
        <v>2</v>
      </c>
      <c r="K3125" t="str">
        <f>IF(Tb_data[[#This Row],[previous_workers]]&lt;Tb_data[[#This Row],[workers]],"yes","no")</f>
        <v>yes</v>
      </c>
      <c r="L3125">
        <f>Tb_data[[#This Row],[workers]]-Tb_data[[#This Row],[previous_workers]]</f>
        <v>10</v>
      </c>
      <c r="M3125" s="12">
        <f>Tb_data[[#This Row],[Employees Growth]]/Tb_data[[#This Row],[previous_workers]]</f>
        <v>2</v>
      </c>
    </row>
    <row r="3126" spans="1:13" x14ac:dyDescent="0.25">
      <c r="A3126" s="1" t="s">
        <v>3412</v>
      </c>
      <c r="B3126" s="1" t="s">
        <v>3413</v>
      </c>
      <c r="C3126" s="1">
        <v>2000000</v>
      </c>
      <c r="D3126" s="1" t="s">
        <v>45</v>
      </c>
      <c r="E3126">
        <v>251.3099</v>
      </c>
      <c r="F3126" s="1" t="s">
        <v>12</v>
      </c>
      <c r="G3126">
        <v>14</v>
      </c>
      <c r="H3126">
        <v>3</v>
      </c>
      <c r="I3126" s="1" t="s">
        <v>26</v>
      </c>
      <c r="J3126">
        <v>1</v>
      </c>
      <c r="K3126" t="str">
        <f>IF(Tb_data[[#This Row],[previous_workers]]&lt;Tb_data[[#This Row],[workers]],"yes","no")</f>
        <v>yes</v>
      </c>
      <c r="L3126">
        <f>Tb_data[[#This Row],[workers]]-Tb_data[[#This Row],[previous_workers]]</f>
        <v>11</v>
      </c>
      <c r="M3126" s="12">
        <f>Tb_data[[#This Row],[Employees Growth]]/Tb_data[[#This Row],[previous_workers]]</f>
        <v>3.6666666666666665</v>
      </c>
    </row>
    <row r="3127" spans="1:13" x14ac:dyDescent="0.25">
      <c r="A3127" s="1" t="s">
        <v>731</v>
      </c>
      <c r="B3127" s="1" t="s">
        <v>732</v>
      </c>
      <c r="C3127" s="1">
        <v>134200000</v>
      </c>
      <c r="D3127" s="1" t="s">
        <v>254</v>
      </c>
      <c r="E3127">
        <v>1434.9543000000001</v>
      </c>
      <c r="F3127" s="1" t="s">
        <v>62</v>
      </c>
      <c r="G3127">
        <v>308</v>
      </c>
      <c r="H3127">
        <v>27</v>
      </c>
      <c r="I3127" s="1" t="s">
        <v>130</v>
      </c>
      <c r="J3127">
        <v>4</v>
      </c>
      <c r="K3127" t="str">
        <f>IF(Tb_data[[#This Row],[previous_workers]]&lt;Tb_data[[#This Row],[workers]],"yes","no")</f>
        <v>yes</v>
      </c>
      <c r="L3127">
        <f>Tb_data[[#This Row],[workers]]-Tb_data[[#This Row],[previous_workers]]</f>
        <v>281</v>
      </c>
      <c r="M3127" s="12">
        <f>Tb_data[[#This Row],[Employees Growth]]/Tb_data[[#This Row],[previous_workers]]</f>
        <v>10.407407407407407</v>
      </c>
    </row>
    <row r="3128" spans="1:13" x14ac:dyDescent="0.25">
      <c r="A3128" s="1" t="s">
        <v>4553</v>
      </c>
      <c r="B3128" s="1" t="s">
        <v>4554</v>
      </c>
      <c r="C3128" s="1">
        <v>9200000</v>
      </c>
      <c r="D3128" s="1" t="s">
        <v>29</v>
      </c>
      <c r="E3128">
        <v>180.20060000000001</v>
      </c>
      <c r="F3128" s="1" t="s">
        <v>152</v>
      </c>
      <c r="G3128">
        <v>291</v>
      </c>
      <c r="H3128">
        <v>160</v>
      </c>
      <c r="I3128" s="1" t="s">
        <v>130</v>
      </c>
      <c r="J3128">
        <v>2</v>
      </c>
      <c r="K3128" t="str">
        <f>IF(Tb_data[[#This Row],[previous_workers]]&lt;Tb_data[[#This Row],[workers]],"yes","no")</f>
        <v>yes</v>
      </c>
      <c r="L3128">
        <f>Tb_data[[#This Row],[workers]]-Tb_data[[#This Row],[previous_workers]]</f>
        <v>131</v>
      </c>
      <c r="M3128" s="12">
        <f>Tb_data[[#This Row],[Employees Growth]]/Tb_data[[#This Row],[previous_workers]]</f>
        <v>0.81874999999999998</v>
      </c>
    </row>
    <row r="3129" spans="1:13" x14ac:dyDescent="0.25">
      <c r="A3129" s="1" t="s">
        <v>3234</v>
      </c>
      <c r="B3129" s="1" t="s">
        <v>3235</v>
      </c>
      <c r="C3129" s="1">
        <v>4400000</v>
      </c>
      <c r="D3129" s="1" t="s">
        <v>129</v>
      </c>
      <c r="E3129">
        <v>266.64769999999999</v>
      </c>
      <c r="F3129" s="1" t="s">
        <v>152</v>
      </c>
      <c r="G3129">
        <v>40</v>
      </c>
      <c r="H3129">
        <v>12</v>
      </c>
      <c r="I3129" s="1" t="s">
        <v>130</v>
      </c>
      <c r="J3129">
        <v>2</v>
      </c>
      <c r="K3129" t="str">
        <f>IF(Tb_data[[#This Row],[previous_workers]]&lt;Tb_data[[#This Row],[workers]],"yes","no")</f>
        <v>yes</v>
      </c>
      <c r="L3129">
        <f>Tb_data[[#This Row],[workers]]-Tb_data[[#This Row],[previous_workers]]</f>
        <v>28</v>
      </c>
      <c r="M3129" s="12">
        <f>Tb_data[[#This Row],[Employees Growth]]/Tb_data[[#This Row],[previous_workers]]</f>
        <v>2.3333333333333335</v>
      </c>
    </row>
    <row r="3130" spans="1:13" x14ac:dyDescent="0.25">
      <c r="A3130" s="1" t="s">
        <v>8387</v>
      </c>
      <c r="B3130" s="1" t="s">
        <v>8388</v>
      </c>
      <c r="C3130" s="1">
        <v>21900000</v>
      </c>
      <c r="D3130" s="1" t="s">
        <v>91</v>
      </c>
      <c r="E3130">
        <v>76.371799999999993</v>
      </c>
      <c r="F3130" s="1" t="s">
        <v>176</v>
      </c>
      <c r="G3130">
        <v>50</v>
      </c>
      <c r="H3130">
        <v>14</v>
      </c>
      <c r="I3130" s="1" t="s">
        <v>35</v>
      </c>
      <c r="J3130">
        <v>2</v>
      </c>
      <c r="K3130" t="str">
        <f>IF(Tb_data[[#This Row],[previous_workers]]&lt;Tb_data[[#This Row],[workers]],"yes","no")</f>
        <v>yes</v>
      </c>
      <c r="L3130">
        <f>Tb_data[[#This Row],[workers]]-Tb_data[[#This Row],[previous_workers]]</f>
        <v>36</v>
      </c>
      <c r="M3130" s="12">
        <f>Tb_data[[#This Row],[Employees Growth]]/Tb_data[[#This Row],[previous_workers]]</f>
        <v>2.5714285714285716</v>
      </c>
    </row>
    <row r="3131" spans="1:13" x14ac:dyDescent="0.25">
      <c r="A3131" s="1" t="s">
        <v>6619</v>
      </c>
      <c r="B3131" s="1" t="s">
        <v>6620</v>
      </c>
      <c r="C3131" s="1">
        <v>5200000</v>
      </c>
      <c r="D3131" s="1" t="s">
        <v>49</v>
      </c>
      <c r="E3131">
        <v>110.9888</v>
      </c>
      <c r="F3131" s="1" t="s">
        <v>112</v>
      </c>
      <c r="G3131">
        <v>16</v>
      </c>
      <c r="H3131">
        <v>9</v>
      </c>
      <c r="I3131" s="1" t="s">
        <v>226</v>
      </c>
      <c r="J3131">
        <v>5</v>
      </c>
      <c r="K3131" t="str">
        <f>IF(Tb_data[[#This Row],[previous_workers]]&lt;Tb_data[[#This Row],[workers]],"yes","no")</f>
        <v>yes</v>
      </c>
      <c r="L3131">
        <f>Tb_data[[#This Row],[workers]]-Tb_data[[#This Row],[previous_workers]]</f>
        <v>7</v>
      </c>
      <c r="M3131" s="12">
        <f>Tb_data[[#This Row],[Employees Growth]]/Tb_data[[#This Row],[previous_workers]]</f>
        <v>0.77777777777777779</v>
      </c>
    </row>
    <row r="3132" spans="1:13" x14ac:dyDescent="0.25">
      <c r="A3132" s="1" t="s">
        <v>4453</v>
      </c>
      <c r="B3132" s="1" t="s">
        <v>4454</v>
      </c>
      <c r="C3132" s="1">
        <v>35200000</v>
      </c>
      <c r="D3132" s="1" t="s">
        <v>387</v>
      </c>
      <c r="E3132">
        <v>184.79769999999999</v>
      </c>
      <c r="F3132" s="1" t="s">
        <v>124</v>
      </c>
      <c r="G3132">
        <v>180</v>
      </c>
      <c r="H3132">
        <v>70</v>
      </c>
      <c r="I3132" s="1" t="s">
        <v>74</v>
      </c>
      <c r="J3132">
        <v>1</v>
      </c>
      <c r="K3132" t="str">
        <f>IF(Tb_data[[#This Row],[previous_workers]]&lt;Tb_data[[#This Row],[workers]],"yes","no")</f>
        <v>yes</v>
      </c>
      <c r="L3132">
        <f>Tb_data[[#This Row],[workers]]-Tb_data[[#This Row],[previous_workers]]</f>
        <v>110</v>
      </c>
      <c r="M3132" s="12">
        <f>Tb_data[[#This Row],[Employees Growth]]/Tb_data[[#This Row],[previous_workers]]</f>
        <v>1.5714285714285714</v>
      </c>
    </row>
    <row r="3133" spans="1:13" x14ac:dyDescent="0.25">
      <c r="A3133" s="1" t="s">
        <v>7230</v>
      </c>
      <c r="B3133" s="1" t="s">
        <v>7231</v>
      </c>
      <c r="C3133" s="1">
        <v>108400000</v>
      </c>
      <c r="D3133" s="1" t="s">
        <v>49</v>
      </c>
      <c r="E3133">
        <v>97.964100000000002</v>
      </c>
      <c r="F3133" s="1" t="s">
        <v>62</v>
      </c>
      <c r="G3133">
        <v>574</v>
      </c>
      <c r="H3133">
        <v>367</v>
      </c>
      <c r="I3133" s="1" t="s">
        <v>164</v>
      </c>
      <c r="J3133">
        <v>5</v>
      </c>
      <c r="K3133" t="str">
        <f>IF(Tb_data[[#This Row],[previous_workers]]&lt;Tb_data[[#This Row],[workers]],"yes","no")</f>
        <v>yes</v>
      </c>
      <c r="L3133">
        <f>Tb_data[[#This Row],[workers]]-Tb_data[[#This Row],[previous_workers]]</f>
        <v>207</v>
      </c>
      <c r="M3133" s="12">
        <f>Tb_data[[#This Row],[Employees Growth]]/Tb_data[[#This Row],[previous_workers]]</f>
        <v>0.56403269754768393</v>
      </c>
    </row>
    <row r="3134" spans="1:13" x14ac:dyDescent="0.25">
      <c r="A3134" s="1" t="s">
        <v>8023</v>
      </c>
      <c r="B3134" s="1" t="s">
        <v>8024</v>
      </c>
      <c r="C3134" s="1">
        <v>10900000</v>
      </c>
      <c r="D3134" s="1" t="s">
        <v>254</v>
      </c>
      <c r="E3134">
        <v>82.378699999999995</v>
      </c>
      <c r="F3134" s="1" t="s">
        <v>514</v>
      </c>
      <c r="G3134">
        <v>49</v>
      </c>
      <c r="H3134">
        <v>23</v>
      </c>
      <c r="I3134" s="1" t="s">
        <v>2628</v>
      </c>
      <c r="J3134">
        <v>2</v>
      </c>
      <c r="K3134" t="str">
        <f>IF(Tb_data[[#This Row],[previous_workers]]&lt;Tb_data[[#This Row],[workers]],"yes","no")</f>
        <v>yes</v>
      </c>
      <c r="L3134">
        <f>Tb_data[[#This Row],[workers]]-Tb_data[[#This Row],[previous_workers]]</f>
        <v>26</v>
      </c>
      <c r="M3134" s="12">
        <f>Tb_data[[#This Row],[Employees Growth]]/Tb_data[[#This Row],[previous_workers]]</f>
        <v>1.1304347826086956</v>
      </c>
    </row>
    <row r="3135" spans="1:13" x14ac:dyDescent="0.25">
      <c r="A3135" s="1" t="s">
        <v>7473</v>
      </c>
      <c r="B3135" s="1" t="s">
        <v>7474</v>
      </c>
      <c r="C3135" s="1">
        <v>11000000</v>
      </c>
      <c r="D3135" s="1" t="s">
        <v>29</v>
      </c>
      <c r="E3135">
        <v>93.7714</v>
      </c>
      <c r="F3135" s="1" t="s">
        <v>156</v>
      </c>
      <c r="G3135">
        <v>75</v>
      </c>
      <c r="H3135">
        <v>45</v>
      </c>
      <c r="I3135" s="1" t="s">
        <v>46</v>
      </c>
      <c r="J3135">
        <v>2</v>
      </c>
      <c r="K3135" t="str">
        <f>IF(Tb_data[[#This Row],[previous_workers]]&lt;Tb_data[[#This Row],[workers]],"yes","no")</f>
        <v>yes</v>
      </c>
      <c r="L3135">
        <f>Tb_data[[#This Row],[workers]]-Tb_data[[#This Row],[previous_workers]]</f>
        <v>30</v>
      </c>
      <c r="M3135" s="12">
        <f>Tb_data[[#This Row],[Employees Growth]]/Tb_data[[#This Row],[previous_workers]]</f>
        <v>0.66666666666666663</v>
      </c>
    </row>
    <row r="3136" spans="1:13" x14ac:dyDescent="0.25">
      <c r="A3136" s="1" t="s">
        <v>6573</v>
      </c>
      <c r="B3136" s="1" t="s">
        <v>6574</v>
      </c>
      <c r="C3136" s="1">
        <v>25600000</v>
      </c>
      <c r="D3136" s="1" t="s">
        <v>49</v>
      </c>
      <c r="E3136">
        <v>112.1448</v>
      </c>
      <c r="F3136" s="1" t="s">
        <v>161</v>
      </c>
      <c r="G3136">
        <v>21</v>
      </c>
      <c r="H3136">
        <v>14</v>
      </c>
      <c r="I3136" s="1" t="s">
        <v>194</v>
      </c>
      <c r="J3136">
        <v>9</v>
      </c>
      <c r="K3136" t="str">
        <f>IF(Tb_data[[#This Row],[previous_workers]]&lt;Tb_data[[#This Row],[workers]],"yes","no")</f>
        <v>yes</v>
      </c>
      <c r="L3136">
        <f>Tb_data[[#This Row],[workers]]-Tb_data[[#This Row],[previous_workers]]</f>
        <v>7</v>
      </c>
      <c r="M3136" s="12">
        <f>Tb_data[[#This Row],[Employees Growth]]/Tb_data[[#This Row],[previous_workers]]</f>
        <v>0.5</v>
      </c>
    </row>
    <row r="3137" spans="1:13" x14ac:dyDescent="0.25">
      <c r="A3137" s="1" t="s">
        <v>3013</v>
      </c>
      <c r="B3137" s="1" t="s">
        <v>3014</v>
      </c>
      <c r="C3137" s="1">
        <v>55600000</v>
      </c>
      <c r="D3137" s="1" t="s">
        <v>33</v>
      </c>
      <c r="E3137">
        <v>285.88959999999997</v>
      </c>
      <c r="F3137" s="1" t="s">
        <v>30</v>
      </c>
      <c r="G3137">
        <v>100</v>
      </c>
      <c r="H3137">
        <v>20</v>
      </c>
      <c r="I3137" s="1" t="s">
        <v>74</v>
      </c>
      <c r="J3137">
        <v>4</v>
      </c>
      <c r="K3137" t="str">
        <f>IF(Tb_data[[#This Row],[previous_workers]]&lt;Tb_data[[#This Row],[workers]],"yes","no")</f>
        <v>yes</v>
      </c>
      <c r="L3137">
        <f>Tb_data[[#This Row],[workers]]-Tb_data[[#This Row],[previous_workers]]</f>
        <v>80</v>
      </c>
      <c r="M3137" s="12">
        <f>Tb_data[[#This Row],[Employees Growth]]/Tb_data[[#This Row],[previous_workers]]</f>
        <v>4</v>
      </c>
    </row>
    <row r="3138" spans="1:13" x14ac:dyDescent="0.25">
      <c r="A3138" s="1" t="s">
        <v>1549</v>
      </c>
      <c r="B3138" s="1" t="s">
        <v>1550</v>
      </c>
      <c r="C3138" s="1">
        <v>3800000</v>
      </c>
      <c r="D3138" s="1" t="s">
        <v>33</v>
      </c>
      <c r="E3138">
        <v>604.65920000000006</v>
      </c>
      <c r="F3138" s="1" t="s">
        <v>86</v>
      </c>
      <c r="G3138">
        <v>7</v>
      </c>
      <c r="H3138">
        <v>1</v>
      </c>
      <c r="I3138" s="1" t="s">
        <v>26</v>
      </c>
      <c r="J3138">
        <v>2</v>
      </c>
      <c r="K3138" t="str">
        <f>IF(Tb_data[[#This Row],[previous_workers]]&lt;Tb_data[[#This Row],[workers]],"yes","no")</f>
        <v>yes</v>
      </c>
      <c r="L3138">
        <f>Tb_data[[#This Row],[workers]]-Tb_data[[#This Row],[previous_workers]]</f>
        <v>6</v>
      </c>
      <c r="M3138" s="12">
        <f>Tb_data[[#This Row],[Employees Growth]]/Tb_data[[#This Row],[previous_workers]]</f>
        <v>6</v>
      </c>
    </row>
    <row r="3139" spans="1:13" x14ac:dyDescent="0.25">
      <c r="A3139" s="1" t="s">
        <v>7875</v>
      </c>
      <c r="B3139" s="1" t="s">
        <v>7876</v>
      </c>
      <c r="C3139" s="1">
        <v>3500000</v>
      </c>
      <c r="D3139" s="1" t="s">
        <v>20</v>
      </c>
      <c r="E3139">
        <v>85.047700000000006</v>
      </c>
      <c r="F3139" s="1" t="s">
        <v>86</v>
      </c>
      <c r="G3139">
        <v>14</v>
      </c>
      <c r="H3139">
        <v>7</v>
      </c>
      <c r="I3139" s="1" t="s">
        <v>35</v>
      </c>
      <c r="J3139">
        <v>2</v>
      </c>
      <c r="K3139" t="str">
        <f>IF(Tb_data[[#This Row],[previous_workers]]&lt;Tb_data[[#This Row],[workers]],"yes","no")</f>
        <v>yes</v>
      </c>
      <c r="L3139">
        <f>Tb_data[[#This Row],[workers]]-Tb_data[[#This Row],[previous_workers]]</f>
        <v>7</v>
      </c>
      <c r="M3139" s="12">
        <f>Tb_data[[#This Row],[Employees Growth]]/Tb_data[[#This Row],[previous_workers]]</f>
        <v>1</v>
      </c>
    </row>
    <row r="3140" spans="1:13" x14ac:dyDescent="0.25">
      <c r="A3140" s="1" t="s">
        <v>3378</v>
      </c>
      <c r="B3140" s="1" t="s">
        <v>3379</v>
      </c>
      <c r="C3140" s="1">
        <v>3800000</v>
      </c>
      <c r="D3140" s="1" t="s">
        <v>49</v>
      </c>
      <c r="E3140">
        <v>253.75399999999999</v>
      </c>
      <c r="F3140" s="1" t="s">
        <v>12</v>
      </c>
      <c r="G3140">
        <v>17</v>
      </c>
      <c r="H3140">
        <v>6</v>
      </c>
      <c r="I3140" s="1" t="s">
        <v>26</v>
      </c>
      <c r="J3140">
        <v>2</v>
      </c>
      <c r="K3140" t="str">
        <f>IF(Tb_data[[#This Row],[previous_workers]]&lt;Tb_data[[#This Row],[workers]],"yes","no")</f>
        <v>yes</v>
      </c>
      <c r="L3140">
        <f>Tb_data[[#This Row],[workers]]-Tb_data[[#This Row],[previous_workers]]</f>
        <v>11</v>
      </c>
      <c r="M3140" s="12">
        <f>Tb_data[[#This Row],[Employees Growth]]/Tb_data[[#This Row],[previous_workers]]</f>
        <v>1.8333333333333333</v>
      </c>
    </row>
    <row r="3141" spans="1:13" x14ac:dyDescent="0.25">
      <c r="A3141" s="1" t="s">
        <v>6571</v>
      </c>
      <c r="B3141" s="1" t="s">
        <v>6572</v>
      </c>
      <c r="C3141" s="1">
        <v>65900000</v>
      </c>
      <c r="D3141" s="1" t="s">
        <v>69</v>
      </c>
      <c r="E3141">
        <v>112.16160000000001</v>
      </c>
      <c r="F3141" s="1" t="s">
        <v>161</v>
      </c>
      <c r="G3141">
        <v>150</v>
      </c>
      <c r="H3141">
        <v>61</v>
      </c>
      <c r="I3141" s="1" t="s">
        <v>130</v>
      </c>
      <c r="J3141">
        <v>3</v>
      </c>
      <c r="K3141" t="str">
        <f>IF(Tb_data[[#This Row],[previous_workers]]&lt;Tb_data[[#This Row],[workers]],"yes","no")</f>
        <v>yes</v>
      </c>
      <c r="L3141">
        <f>Tb_data[[#This Row],[workers]]-Tb_data[[#This Row],[previous_workers]]</f>
        <v>89</v>
      </c>
      <c r="M3141" s="12">
        <f>Tb_data[[#This Row],[Employees Growth]]/Tb_data[[#This Row],[previous_workers]]</f>
        <v>1.459016393442623</v>
      </c>
    </row>
    <row r="3142" spans="1:13" x14ac:dyDescent="0.25">
      <c r="A3142" s="1" t="s">
        <v>4127</v>
      </c>
      <c r="B3142" s="1" t="s">
        <v>4128</v>
      </c>
      <c r="C3142" s="1">
        <v>140700000</v>
      </c>
      <c r="D3142" s="1" t="s">
        <v>895</v>
      </c>
      <c r="E3142">
        <v>199.0779</v>
      </c>
      <c r="F3142" s="1" t="s">
        <v>12</v>
      </c>
      <c r="G3142">
        <v>407</v>
      </c>
      <c r="H3142">
        <v>128</v>
      </c>
      <c r="I3142" s="1" t="s">
        <v>1356</v>
      </c>
      <c r="J3142">
        <v>5</v>
      </c>
      <c r="K3142" t="str">
        <f>IF(Tb_data[[#This Row],[previous_workers]]&lt;Tb_data[[#This Row],[workers]],"yes","no")</f>
        <v>yes</v>
      </c>
      <c r="L3142">
        <f>Tb_data[[#This Row],[workers]]-Tb_data[[#This Row],[previous_workers]]</f>
        <v>279</v>
      </c>
      <c r="M3142" s="12">
        <f>Tb_data[[#This Row],[Employees Growth]]/Tb_data[[#This Row],[previous_workers]]</f>
        <v>2.1796875</v>
      </c>
    </row>
    <row r="3143" spans="1:13" x14ac:dyDescent="0.25">
      <c r="A3143" s="1" t="s">
        <v>7599</v>
      </c>
      <c r="B3143" s="1" t="s">
        <v>7600</v>
      </c>
      <c r="C3143" s="1">
        <v>6700000</v>
      </c>
      <c r="D3143" s="1" t="s">
        <v>895</v>
      </c>
      <c r="E3143">
        <v>90.476799999999997</v>
      </c>
      <c r="F3143" s="1" t="s">
        <v>156</v>
      </c>
      <c r="G3143">
        <v>20</v>
      </c>
      <c r="H3143">
        <v>10</v>
      </c>
      <c r="I3143" s="1" t="s">
        <v>1411</v>
      </c>
      <c r="J3143">
        <v>2</v>
      </c>
      <c r="K3143" t="str">
        <f>IF(Tb_data[[#This Row],[previous_workers]]&lt;Tb_data[[#This Row],[workers]],"yes","no")</f>
        <v>yes</v>
      </c>
      <c r="L3143">
        <f>Tb_data[[#This Row],[workers]]-Tb_data[[#This Row],[previous_workers]]</f>
        <v>10</v>
      </c>
      <c r="M3143" s="12">
        <f>Tb_data[[#This Row],[Employees Growth]]/Tb_data[[#This Row],[previous_workers]]</f>
        <v>1</v>
      </c>
    </row>
    <row r="3144" spans="1:13" x14ac:dyDescent="0.25">
      <c r="A3144" s="1" t="s">
        <v>9413</v>
      </c>
      <c r="B3144" s="1" t="s">
        <v>9414</v>
      </c>
      <c r="C3144" s="1">
        <v>8800000</v>
      </c>
      <c r="D3144" s="1" t="s">
        <v>427</v>
      </c>
      <c r="E3144">
        <v>61.359000000000002</v>
      </c>
      <c r="F3144" s="1" t="s">
        <v>34</v>
      </c>
      <c r="G3144">
        <v>55</v>
      </c>
      <c r="H3144">
        <v>30</v>
      </c>
      <c r="I3144" s="1" t="s">
        <v>130</v>
      </c>
      <c r="J3144">
        <v>2</v>
      </c>
      <c r="K3144" t="str">
        <f>IF(Tb_data[[#This Row],[previous_workers]]&lt;Tb_data[[#This Row],[workers]],"yes","no")</f>
        <v>yes</v>
      </c>
      <c r="L3144">
        <f>Tb_data[[#This Row],[workers]]-Tb_data[[#This Row],[previous_workers]]</f>
        <v>25</v>
      </c>
      <c r="M3144" s="12">
        <f>Tb_data[[#This Row],[Employees Growth]]/Tb_data[[#This Row],[previous_workers]]</f>
        <v>0.83333333333333337</v>
      </c>
    </row>
    <row r="3145" spans="1:13" x14ac:dyDescent="0.25">
      <c r="A3145" s="1" t="s">
        <v>7100</v>
      </c>
      <c r="B3145" s="1" t="s">
        <v>7101</v>
      </c>
      <c r="C3145" s="1">
        <v>4100000</v>
      </c>
      <c r="D3145" s="1" t="s">
        <v>49</v>
      </c>
      <c r="E3145">
        <v>100.1905</v>
      </c>
      <c r="F3145" s="1" t="s">
        <v>124</v>
      </c>
      <c r="G3145">
        <v>11</v>
      </c>
      <c r="H3145">
        <v>5</v>
      </c>
      <c r="I3145" s="1" t="s">
        <v>194</v>
      </c>
      <c r="J3145">
        <v>4</v>
      </c>
      <c r="K3145" t="str">
        <f>IF(Tb_data[[#This Row],[previous_workers]]&lt;Tb_data[[#This Row],[workers]],"yes","no")</f>
        <v>yes</v>
      </c>
      <c r="L3145">
        <f>Tb_data[[#This Row],[workers]]-Tb_data[[#This Row],[previous_workers]]</f>
        <v>6</v>
      </c>
      <c r="M3145" s="12">
        <f>Tb_data[[#This Row],[Employees Growth]]/Tb_data[[#This Row],[previous_workers]]</f>
        <v>1.2</v>
      </c>
    </row>
    <row r="3146" spans="1:13" x14ac:dyDescent="0.25">
      <c r="A3146" s="1" t="s">
        <v>4121</v>
      </c>
      <c r="B3146" s="1" t="s">
        <v>4122</v>
      </c>
      <c r="C3146" s="1">
        <v>3400000</v>
      </c>
      <c r="D3146" s="1" t="s">
        <v>33</v>
      </c>
      <c r="E3146">
        <v>199.45179999999999</v>
      </c>
      <c r="F3146" s="1" t="s">
        <v>161</v>
      </c>
      <c r="G3146">
        <v>9</v>
      </c>
      <c r="H3146">
        <v>4</v>
      </c>
      <c r="I3146" s="1" t="s">
        <v>117</v>
      </c>
      <c r="J3146">
        <v>1</v>
      </c>
      <c r="K3146" t="str">
        <f>IF(Tb_data[[#This Row],[previous_workers]]&lt;Tb_data[[#This Row],[workers]],"yes","no")</f>
        <v>yes</v>
      </c>
      <c r="L3146">
        <f>Tb_data[[#This Row],[workers]]-Tb_data[[#This Row],[previous_workers]]</f>
        <v>5</v>
      </c>
      <c r="M3146" s="12">
        <f>Tb_data[[#This Row],[Employees Growth]]/Tb_data[[#This Row],[previous_workers]]</f>
        <v>1.25</v>
      </c>
    </row>
    <row r="3147" spans="1:13" x14ac:dyDescent="0.25">
      <c r="A3147" s="1" t="s">
        <v>3789</v>
      </c>
      <c r="B3147" s="1" t="s">
        <v>3790</v>
      </c>
      <c r="C3147" s="1">
        <v>179600000</v>
      </c>
      <c r="D3147" s="1" t="s">
        <v>33</v>
      </c>
      <c r="E3147">
        <v>222.56469999999999</v>
      </c>
      <c r="F3147" s="1" t="s">
        <v>34</v>
      </c>
      <c r="G3147">
        <v>451</v>
      </c>
      <c r="H3147">
        <v>179</v>
      </c>
      <c r="I3147" s="1" t="s">
        <v>35</v>
      </c>
      <c r="J3147">
        <v>6</v>
      </c>
      <c r="K3147" t="str">
        <f>IF(Tb_data[[#This Row],[previous_workers]]&lt;Tb_data[[#This Row],[workers]],"yes","no")</f>
        <v>yes</v>
      </c>
      <c r="L3147">
        <f>Tb_data[[#This Row],[workers]]-Tb_data[[#This Row],[previous_workers]]</f>
        <v>272</v>
      </c>
      <c r="M3147" s="12">
        <f>Tb_data[[#This Row],[Employees Growth]]/Tb_data[[#This Row],[previous_workers]]</f>
        <v>1.5195530726256983</v>
      </c>
    </row>
    <row r="3148" spans="1:13" x14ac:dyDescent="0.25">
      <c r="A3148" s="1" t="s">
        <v>5126</v>
      </c>
      <c r="B3148" s="1" t="s">
        <v>5127</v>
      </c>
      <c r="C3148" s="1">
        <v>4100000</v>
      </c>
      <c r="D3148" s="1" t="s">
        <v>129</v>
      </c>
      <c r="E3148">
        <v>156.6814</v>
      </c>
      <c r="F3148" s="1" t="s">
        <v>86</v>
      </c>
      <c r="G3148">
        <v>25</v>
      </c>
      <c r="H3148">
        <v>13</v>
      </c>
      <c r="I3148" s="1" t="s">
        <v>226</v>
      </c>
      <c r="J3148">
        <v>2</v>
      </c>
      <c r="K3148" t="str">
        <f>IF(Tb_data[[#This Row],[previous_workers]]&lt;Tb_data[[#This Row],[workers]],"yes","no")</f>
        <v>yes</v>
      </c>
      <c r="L3148">
        <f>Tb_data[[#This Row],[workers]]-Tb_data[[#This Row],[previous_workers]]</f>
        <v>12</v>
      </c>
      <c r="M3148" s="12">
        <f>Tb_data[[#This Row],[Employees Growth]]/Tb_data[[#This Row],[previous_workers]]</f>
        <v>0.92307692307692313</v>
      </c>
    </row>
    <row r="3149" spans="1:13" x14ac:dyDescent="0.25">
      <c r="A3149" s="1" t="s">
        <v>5052</v>
      </c>
      <c r="B3149" s="1" t="s">
        <v>5053</v>
      </c>
      <c r="C3149" s="1">
        <v>10300000</v>
      </c>
      <c r="D3149" s="1" t="s">
        <v>129</v>
      </c>
      <c r="E3149">
        <v>159.1645</v>
      </c>
      <c r="F3149" s="1" t="s">
        <v>86</v>
      </c>
      <c r="G3149">
        <v>43</v>
      </c>
      <c r="H3149">
        <v>19</v>
      </c>
      <c r="I3149" s="1" t="s">
        <v>226</v>
      </c>
      <c r="J3149">
        <v>6</v>
      </c>
      <c r="K3149" t="str">
        <f>IF(Tb_data[[#This Row],[previous_workers]]&lt;Tb_data[[#This Row],[workers]],"yes","no")</f>
        <v>yes</v>
      </c>
      <c r="L3149">
        <f>Tb_data[[#This Row],[workers]]-Tb_data[[#This Row],[previous_workers]]</f>
        <v>24</v>
      </c>
      <c r="M3149" s="12">
        <f>Tb_data[[#This Row],[Employees Growth]]/Tb_data[[#This Row],[previous_workers]]</f>
        <v>1.263157894736842</v>
      </c>
    </row>
    <row r="3150" spans="1:13" x14ac:dyDescent="0.25">
      <c r="A3150" s="1" t="s">
        <v>1428</v>
      </c>
      <c r="B3150" s="1" t="s">
        <v>1429</v>
      </c>
      <c r="C3150" s="1">
        <v>37100000</v>
      </c>
      <c r="D3150" s="1" t="s">
        <v>115</v>
      </c>
      <c r="E3150">
        <v>659.98429999999996</v>
      </c>
      <c r="F3150" s="1" t="s">
        <v>100</v>
      </c>
      <c r="G3150">
        <v>120</v>
      </c>
      <c r="H3150">
        <v>25</v>
      </c>
      <c r="I3150" s="1" t="s">
        <v>117</v>
      </c>
      <c r="J3150">
        <v>1</v>
      </c>
      <c r="K3150" t="str">
        <f>IF(Tb_data[[#This Row],[previous_workers]]&lt;Tb_data[[#This Row],[workers]],"yes","no")</f>
        <v>yes</v>
      </c>
      <c r="L3150">
        <f>Tb_data[[#This Row],[workers]]-Tb_data[[#This Row],[previous_workers]]</f>
        <v>95</v>
      </c>
      <c r="M3150" s="12">
        <f>Tb_data[[#This Row],[Employees Growth]]/Tb_data[[#This Row],[previous_workers]]</f>
        <v>3.8</v>
      </c>
    </row>
    <row r="3151" spans="1:13" x14ac:dyDescent="0.25">
      <c r="A3151" s="1" t="s">
        <v>3009</v>
      </c>
      <c r="B3151" s="1" t="s">
        <v>3010</v>
      </c>
      <c r="C3151" s="1">
        <v>17800000</v>
      </c>
      <c r="D3151" s="1" t="s">
        <v>20</v>
      </c>
      <c r="E3151">
        <v>286.28050000000002</v>
      </c>
      <c r="F3151" s="1" t="s">
        <v>86</v>
      </c>
      <c r="G3151">
        <v>86</v>
      </c>
      <c r="H3151">
        <v>26</v>
      </c>
      <c r="I3151" s="1" t="s">
        <v>46</v>
      </c>
      <c r="J3151">
        <v>4</v>
      </c>
      <c r="K3151" t="str">
        <f>IF(Tb_data[[#This Row],[previous_workers]]&lt;Tb_data[[#This Row],[workers]],"yes","no")</f>
        <v>yes</v>
      </c>
      <c r="L3151">
        <f>Tb_data[[#This Row],[workers]]-Tb_data[[#This Row],[previous_workers]]</f>
        <v>60</v>
      </c>
      <c r="M3151" s="12">
        <f>Tb_data[[#This Row],[Employees Growth]]/Tb_data[[#This Row],[previous_workers]]</f>
        <v>2.3076923076923075</v>
      </c>
    </row>
    <row r="3152" spans="1:13" x14ac:dyDescent="0.25">
      <c r="A3152" s="1" t="s">
        <v>9187</v>
      </c>
      <c r="B3152" s="1" t="s">
        <v>9188</v>
      </c>
      <c r="C3152" s="1">
        <v>9900000</v>
      </c>
      <c r="D3152" s="1" t="s">
        <v>375</v>
      </c>
      <c r="E3152">
        <v>64.303299999999993</v>
      </c>
      <c r="F3152" s="1" t="s">
        <v>25</v>
      </c>
      <c r="G3152">
        <v>25</v>
      </c>
      <c r="H3152">
        <v>10</v>
      </c>
      <c r="I3152" s="1" t="s">
        <v>117</v>
      </c>
      <c r="J3152">
        <v>1</v>
      </c>
      <c r="K3152" t="str">
        <f>IF(Tb_data[[#This Row],[previous_workers]]&lt;Tb_data[[#This Row],[workers]],"yes","no")</f>
        <v>yes</v>
      </c>
      <c r="L3152">
        <f>Tb_data[[#This Row],[workers]]-Tb_data[[#This Row],[previous_workers]]</f>
        <v>15</v>
      </c>
      <c r="M3152" s="12">
        <f>Tb_data[[#This Row],[Employees Growth]]/Tb_data[[#This Row],[previous_workers]]</f>
        <v>1.5</v>
      </c>
    </row>
    <row r="3153" spans="1:13" x14ac:dyDescent="0.25">
      <c r="A3153" s="1" t="s">
        <v>3443</v>
      </c>
      <c r="B3153" s="1" t="s">
        <v>3444</v>
      </c>
      <c r="C3153" s="1">
        <v>59200000</v>
      </c>
      <c r="D3153" s="1" t="s">
        <v>254</v>
      </c>
      <c r="E3153">
        <v>247.68</v>
      </c>
      <c r="F3153" s="1" t="s">
        <v>86</v>
      </c>
      <c r="G3153">
        <v>257</v>
      </c>
      <c r="H3153">
        <v>75</v>
      </c>
      <c r="I3153" s="1" t="s">
        <v>35</v>
      </c>
      <c r="J3153">
        <v>2</v>
      </c>
      <c r="K3153" t="str">
        <f>IF(Tb_data[[#This Row],[previous_workers]]&lt;Tb_data[[#This Row],[workers]],"yes","no")</f>
        <v>yes</v>
      </c>
      <c r="L3153">
        <f>Tb_data[[#This Row],[workers]]-Tb_data[[#This Row],[previous_workers]]</f>
        <v>182</v>
      </c>
      <c r="M3153" s="12">
        <f>Tb_data[[#This Row],[Employees Growth]]/Tb_data[[#This Row],[previous_workers]]</f>
        <v>2.4266666666666667</v>
      </c>
    </row>
    <row r="3154" spans="1:13" x14ac:dyDescent="0.25">
      <c r="A3154" s="1" t="s">
        <v>1910</v>
      </c>
      <c r="B3154" s="1" t="s">
        <v>1911</v>
      </c>
      <c r="C3154" s="1">
        <v>5100000</v>
      </c>
      <c r="D3154" s="1" t="s">
        <v>129</v>
      </c>
      <c r="E3154">
        <v>472.08269999999999</v>
      </c>
      <c r="F3154" s="1" t="s">
        <v>97</v>
      </c>
      <c r="G3154">
        <v>57</v>
      </c>
      <c r="H3154">
        <v>9</v>
      </c>
      <c r="I3154" s="1" t="s">
        <v>55</v>
      </c>
      <c r="J3154">
        <v>1</v>
      </c>
      <c r="K3154" t="str">
        <f>IF(Tb_data[[#This Row],[previous_workers]]&lt;Tb_data[[#This Row],[workers]],"yes","no")</f>
        <v>yes</v>
      </c>
      <c r="L3154">
        <f>Tb_data[[#This Row],[workers]]-Tb_data[[#This Row],[previous_workers]]</f>
        <v>48</v>
      </c>
      <c r="M3154" s="12">
        <f>Tb_data[[#This Row],[Employees Growth]]/Tb_data[[#This Row],[previous_workers]]</f>
        <v>5.333333333333333</v>
      </c>
    </row>
    <row r="3155" spans="1:13" x14ac:dyDescent="0.25">
      <c r="A3155" s="1" t="s">
        <v>7345</v>
      </c>
      <c r="B3155" s="1" t="s">
        <v>7346</v>
      </c>
      <c r="C3155" s="1">
        <v>9000000</v>
      </c>
      <c r="D3155" s="1" t="s">
        <v>387</v>
      </c>
      <c r="E3155">
        <v>96.282300000000006</v>
      </c>
      <c r="F3155" s="1" t="s">
        <v>112</v>
      </c>
      <c r="G3155">
        <v>38</v>
      </c>
      <c r="H3155">
        <v>18</v>
      </c>
      <c r="I3155" s="1" t="s">
        <v>35</v>
      </c>
      <c r="J3155">
        <v>1</v>
      </c>
      <c r="K3155" t="str">
        <f>IF(Tb_data[[#This Row],[previous_workers]]&lt;Tb_data[[#This Row],[workers]],"yes","no")</f>
        <v>yes</v>
      </c>
      <c r="L3155">
        <f>Tb_data[[#This Row],[workers]]-Tb_data[[#This Row],[previous_workers]]</f>
        <v>20</v>
      </c>
      <c r="M3155" s="12">
        <f>Tb_data[[#This Row],[Employees Growth]]/Tb_data[[#This Row],[previous_workers]]</f>
        <v>1.1111111111111112</v>
      </c>
    </row>
    <row r="3156" spans="1:13" x14ac:dyDescent="0.25">
      <c r="A3156" s="1" t="s">
        <v>8693</v>
      </c>
      <c r="B3156" s="1" t="s">
        <v>8694</v>
      </c>
      <c r="C3156" s="1">
        <v>8000000</v>
      </c>
      <c r="D3156" s="1" t="s">
        <v>33</v>
      </c>
      <c r="E3156">
        <v>71.147599999999997</v>
      </c>
      <c r="F3156" s="1" t="s">
        <v>514</v>
      </c>
      <c r="G3156">
        <v>27</v>
      </c>
      <c r="H3156">
        <v>22</v>
      </c>
      <c r="I3156" s="1" t="s">
        <v>3426</v>
      </c>
      <c r="J3156">
        <v>3</v>
      </c>
      <c r="K3156" t="str">
        <f>IF(Tb_data[[#This Row],[previous_workers]]&lt;Tb_data[[#This Row],[workers]],"yes","no")</f>
        <v>yes</v>
      </c>
      <c r="L3156">
        <f>Tb_data[[#This Row],[workers]]-Tb_data[[#This Row],[previous_workers]]</f>
        <v>5</v>
      </c>
      <c r="M3156" s="12">
        <f>Tb_data[[#This Row],[Employees Growth]]/Tb_data[[#This Row],[previous_workers]]</f>
        <v>0.22727272727272727</v>
      </c>
    </row>
    <row r="3157" spans="1:13" x14ac:dyDescent="0.25">
      <c r="A3157" s="1" t="s">
        <v>4270</v>
      </c>
      <c r="B3157" s="1" t="s">
        <v>4271</v>
      </c>
      <c r="C3157" s="1">
        <v>11100000</v>
      </c>
      <c r="D3157" s="1" t="s">
        <v>52</v>
      </c>
      <c r="E3157">
        <v>193.1156</v>
      </c>
      <c r="F3157" s="1" t="s">
        <v>86</v>
      </c>
      <c r="G3157">
        <v>214</v>
      </c>
      <c r="H3157">
        <v>55</v>
      </c>
      <c r="I3157" s="1" t="s">
        <v>55</v>
      </c>
      <c r="J3157">
        <v>2</v>
      </c>
      <c r="K3157" t="str">
        <f>IF(Tb_data[[#This Row],[previous_workers]]&lt;Tb_data[[#This Row],[workers]],"yes","no")</f>
        <v>yes</v>
      </c>
      <c r="L3157">
        <f>Tb_data[[#This Row],[workers]]-Tb_data[[#This Row],[previous_workers]]</f>
        <v>159</v>
      </c>
      <c r="M3157" s="12">
        <f>Tb_data[[#This Row],[Employees Growth]]/Tb_data[[#This Row],[previous_workers]]</f>
        <v>2.8909090909090911</v>
      </c>
    </row>
    <row r="3158" spans="1:13" x14ac:dyDescent="0.25">
      <c r="A3158" s="1" t="s">
        <v>9572</v>
      </c>
      <c r="B3158" s="1" t="s">
        <v>9573</v>
      </c>
      <c r="C3158" s="1">
        <v>2900000</v>
      </c>
      <c r="D3158" s="1" t="s">
        <v>375</v>
      </c>
      <c r="E3158">
        <v>59.477899999999998</v>
      </c>
      <c r="F3158" s="1" t="s">
        <v>34</v>
      </c>
      <c r="G3158">
        <v>12</v>
      </c>
      <c r="H3158">
        <v>15</v>
      </c>
      <c r="I3158" s="1" t="s">
        <v>1356</v>
      </c>
      <c r="J3158">
        <v>1</v>
      </c>
      <c r="K3158" t="str">
        <f>IF(Tb_data[[#This Row],[previous_workers]]&lt;Tb_data[[#This Row],[workers]],"yes","no")</f>
        <v>no</v>
      </c>
      <c r="L3158">
        <f>Tb_data[[#This Row],[workers]]-Tb_data[[#This Row],[previous_workers]]</f>
        <v>-3</v>
      </c>
      <c r="M3158" s="12">
        <f>Tb_data[[#This Row],[Employees Growth]]/Tb_data[[#This Row],[previous_workers]]</f>
        <v>-0.2</v>
      </c>
    </row>
    <row r="3159" spans="1:13" x14ac:dyDescent="0.25">
      <c r="A3159" s="1" t="s">
        <v>3781</v>
      </c>
      <c r="B3159" s="1" t="s">
        <v>3782</v>
      </c>
      <c r="C3159" s="1">
        <v>36600000</v>
      </c>
      <c r="D3159" s="1" t="s">
        <v>20</v>
      </c>
      <c r="E3159">
        <v>223.1182</v>
      </c>
      <c r="F3159" s="1" t="s">
        <v>124</v>
      </c>
      <c r="G3159">
        <v>170</v>
      </c>
      <c r="H3159">
        <v>55</v>
      </c>
      <c r="I3159" s="1" t="s">
        <v>26</v>
      </c>
      <c r="J3159">
        <v>1</v>
      </c>
      <c r="K3159" t="str">
        <f>IF(Tb_data[[#This Row],[previous_workers]]&lt;Tb_data[[#This Row],[workers]],"yes","no")</f>
        <v>yes</v>
      </c>
      <c r="L3159">
        <f>Tb_data[[#This Row],[workers]]-Tb_data[[#This Row],[previous_workers]]</f>
        <v>115</v>
      </c>
      <c r="M3159" s="12">
        <f>Tb_data[[#This Row],[Employees Growth]]/Tb_data[[#This Row],[previous_workers]]</f>
        <v>2.0909090909090908</v>
      </c>
    </row>
    <row r="3160" spans="1:13" x14ac:dyDescent="0.25">
      <c r="A3160" s="1" t="s">
        <v>454</v>
      </c>
      <c r="B3160" s="1" t="s">
        <v>455</v>
      </c>
      <c r="C3160" s="1">
        <v>5400000</v>
      </c>
      <c r="D3160" s="1" t="s">
        <v>41</v>
      </c>
      <c r="E3160">
        <v>2107.0365000000002</v>
      </c>
      <c r="F3160" s="1" t="s">
        <v>124</v>
      </c>
      <c r="G3160">
        <v>23</v>
      </c>
      <c r="H3160">
        <v>1</v>
      </c>
      <c r="I3160" s="1" t="s">
        <v>13</v>
      </c>
      <c r="J3160">
        <v>1</v>
      </c>
      <c r="K3160" t="str">
        <f>IF(Tb_data[[#This Row],[previous_workers]]&lt;Tb_data[[#This Row],[workers]],"yes","no")</f>
        <v>yes</v>
      </c>
      <c r="L3160">
        <f>Tb_data[[#This Row],[workers]]-Tb_data[[#This Row],[previous_workers]]</f>
        <v>22</v>
      </c>
      <c r="M3160" s="12">
        <f>Tb_data[[#This Row],[Employees Growth]]/Tb_data[[#This Row],[previous_workers]]</f>
        <v>22</v>
      </c>
    </row>
    <row r="3161" spans="1:13" x14ac:dyDescent="0.25">
      <c r="A3161" s="1" t="s">
        <v>7381</v>
      </c>
      <c r="B3161" s="1" t="s">
        <v>7382</v>
      </c>
      <c r="C3161" s="1">
        <v>117600000</v>
      </c>
      <c r="D3161" s="1" t="s">
        <v>254</v>
      </c>
      <c r="E3161">
        <v>95.664000000000001</v>
      </c>
      <c r="F3161" s="1" t="s">
        <v>17</v>
      </c>
      <c r="G3161">
        <v>60</v>
      </c>
      <c r="H3161">
        <v>20</v>
      </c>
      <c r="I3161" s="1" t="s">
        <v>948</v>
      </c>
      <c r="J3161">
        <v>9</v>
      </c>
      <c r="K3161" t="str">
        <f>IF(Tb_data[[#This Row],[previous_workers]]&lt;Tb_data[[#This Row],[workers]],"yes","no")</f>
        <v>yes</v>
      </c>
      <c r="L3161">
        <f>Tb_data[[#This Row],[workers]]-Tb_data[[#This Row],[previous_workers]]</f>
        <v>40</v>
      </c>
      <c r="M3161" s="12">
        <f>Tb_data[[#This Row],[Employees Growth]]/Tb_data[[#This Row],[previous_workers]]</f>
        <v>2</v>
      </c>
    </row>
    <row r="3162" spans="1:13" x14ac:dyDescent="0.25">
      <c r="A3162" s="1" t="s">
        <v>2933</v>
      </c>
      <c r="B3162" s="1" t="s">
        <v>2934</v>
      </c>
      <c r="C3162" s="1">
        <v>9100000</v>
      </c>
      <c r="D3162" s="1" t="s">
        <v>69</v>
      </c>
      <c r="E3162">
        <v>293.29000000000002</v>
      </c>
      <c r="F3162" s="1" t="s">
        <v>124</v>
      </c>
      <c r="G3162">
        <v>9</v>
      </c>
      <c r="H3162">
        <v>2</v>
      </c>
      <c r="I3162" s="1" t="s">
        <v>1051</v>
      </c>
      <c r="J3162">
        <v>1</v>
      </c>
      <c r="K3162" t="str">
        <f>IF(Tb_data[[#This Row],[previous_workers]]&lt;Tb_data[[#This Row],[workers]],"yes","no")</f>
        <v>yes</v>
      </c>
      <c r="L3162">
        <f>Tb_data[[#This Row],[workers]]-Tb_data[[#This Row],[previous_workers]]</f>
        <v>7</v>
      </c>
      <c r="M3162" s="12">
        <f>Tb_data[[#This Row],[Employees Growth]]/Tb_data[[#This Row],[previous_workers]]</f>
        <v>3.5</v>
      </c>
    </row>
    <row r="3163" spans="1:13" x14ac:dyDescent="0.25">
      <c r="A3163" s="1" t="s">
        <v>4047</v>
      </c>
      <c r="B3163" s="1" t="s">
        <v>4048</v>
      </c>
      <c r="C3163" s="1">
        <v>3600000</v>
      </c>
      <c r="D3163" s="1" t="s">
        <v>69</v>
      </c>
      <c r="E3163">
        <v>204.9546</v>
      </c>
      <c r="F3163" s="1" t="s">
        <v>21</v>
      </c>
      <c r="G3163">
        <v>115</v>
      </c>
      <c r="H3163">
        <v>50</v>
      </c>
      <c r="I3163" s="1" t="s">
        <v>117</v>
      </c>
      <c r="J3163">
        <v>2</v>
      </c>
      <c r="K3163" t="str">
        <f>IF(Tb_data[[#This Row],[previous_workers]]&lt;Tb_data[[#This Row],[workers]],"yes","no")</f>
        <v>yes</v>
      </c>
      <c r="L3163">
        <f>Tb_data[[#This Row],[workers]]-Tb_data[[#This Row],[previous_workers]]</f>
        <v>65</v>
      </c>
      <c r="M3163" s="12">
        <f>Tb_data[[#This Row],[Employees Growth]]/Tb_data[[#This Row],[previous_workers]]</f>
        <v>1.3</v>
      </c>
    </row>
    <row r="3164" spans="1:13" x14ac:dyDescent="0.25">
      <c r="A3164" s="1" t="s">
        <v>1180</v>
      </c>
      <c r="B3164" s="1" t="s">
        <v>1181</v>
      </c>
      <c r="C3164" s="1">
        <v>2400000</v>
      </c>
      <c r="D3164" s="1" t="s">
        <v>895</v>
      </c>
      <c r="E3164">
        <v>814.31399999999996</v>
      </c>
      <c r="F3164" s="1" t="s">
        <v>176</v>
      </c>
      <c r="G3164">
        <v>18</v>
      </c>
      <c r="H3164">
        <v>7</v>
      </c>
      <c r="I3164" s="1" t="s">
        <v>117</v>
      </c>
      <c r="J3164">
        <v>1</v>
      </c>
      <c r="K3164" t="str">
        <f>IF(Tb_data[[#This Row],[previous_workers]]&lt;Tb_data[[#This Row],[workers]],"yes","no")</f>
        <v>yes</v>
      </c>
      <c r="L3164">
        <f>Tb_data[[#This Row],[workers]]-Tb_data[[#This Row],[previous_workers]]</f>
        <v>11</v>
      </c>
      <c r="M3164" s="12">
        <f>Tb_data[[#This Row],[Employees Growth]]/Tb_data[[#This Row],[previous_workers]]</f>
        <v>1.5714285714285714</v>
      </c>
    </row>
    <row r="3165" spans="1:13" x14ac:dyDescent="0.25">
      <c r="A3165" s="1" t="s">
        <v>7939</v>
      </c>
      <c r="B3165" s="1" t="s">
        <v>7940</v>
      </c>
      <c r="C3165" s="1">
        <v>9700000</v>
      </c>
      <c r="D3165" s="1" t="s">
        <v>115</v>
      </c>
      <c r="E3165">
        <v>84.165099999999995</v>
      </c>
      <c r="F3165" s="1" t="s">
        <v>142</v>
      </c>
      <c r="G3165">
        <v>38</v>
      </c>
      <c r="H3165">
        <v>28</v>
      </c>
      <c r="I3165" s="1" t="s">
        <v>295</v>
      </c>
      <c r="J3165">
        <v>6</v>
      </c>
      <c r="K3165" t="str">
        <f>IF(Tb_data[[#This Row],[previous_workers]]&lt;Tb_data[[#This Row],[workers]],"yes","no")</f>
        <v>yes</v>
      </c>
      <c r="L3165">
        <f>Tb_data[[#This Row],[workers]]-Tb_data[[#This Row],[previous_workers]]</f>
        <v>10</v>
      </c>
      <c r="M3165" s="12">
        <f>Tb_data[[#This Row],[Employees Growth]]/Tb_data[[#This Row],[previous_workers]]</f>
        <v>0.35714285714285715</v>
      </c>
    </row>
    <row r="3166" spans="1:13" x14ac:dyDescent="0.25">
      <c r="A3166" s="1" t="s">
        <v>5872</v>
      </c>
      <c r="B3166" s="1" t="s">
        <v>5873</v>
      </c>
      <c r="C3166" s="1">
        <v>7800000</v>
      </c>
      <c r="D3166" s="1" t="s">
        <v>49</v>
      </c>
      <c r="E3166">
        <v>129.6061</v>
      </c>
      <c r="F3166" s="1" t="s">
        <v>86</v>
      </c>
      <c r="G3166">
        <v>30</v>
      </c>
      <c r="H3166">
        <v>9</v>
      </c>
      <c r="I3166" s="1" t="s">
        <v>55</v>
      </c>
      <c r="J3166">
        <v>2</v>
      </c>
      <c r="K3166" t="str">
        <f>IF(Tb_data[[#This Row],[previous_workers]]&lt;Tb_data[[#This Row],[workers]],"yes","no")</f>
        <v>yes</v>
      </c>
      <c r="L3166">
        <f>Tb_data[[#This Row],[workers]]-Tb_data[[#This Row],[previous_workers]]</f>
        <v>21</v>
      </c>
      <c r="M3166" s="12">
        <f>Tb_data[[#This Row],[Employees Growth]]/Tb_data[[#This Row],[previous_workers]]</f>
        <v>2.3333333333333335</v>
      </c>
    </row>
    <row r="3167" spans="1:13" x14ac:dyDescent="0.25">
      <c r="A3167" s="1" t="s">
        <v>2683</v>
      </c>
      <c r="B3167" s="1" t="s">
        <v>2684</v>
      </c>
      <c r="C3167" s="1">
        <v>3200000</v>
      </c>
      <c r="D3167" s="1" t="s">
        <v>155</v>
      </c>
      <c r="E3167">
        <v>320.88850000000002</v>
      </c>
      <c r="F3167" s="1" t="s">
        <v>176</v>
      </c>
      <c r="G3167">
        <v>12</v>
      </c>
      <c r="H3167">
        <v>5</v>
      </c>
      <c r="I3167" s="1" t="s">
        <v>55</v>
      </c>
      <c r="J3167">
        <v>1</v>
      </c>
      <c r="K3167" t="str">
        <f>IF(Tb_data[[#This Row],[previous_workers]]&lt;Tb_data[[#This Row],[workers]],"yes","no")</f>
        <v>yes</v>
      </c>
      <c r="L3167">
        <f>Tb_data[[#This Row],[workers]]-Tb_data[[#This Row],[previous_workers]]</f>
        <v>7</v>
      </c>
      <c r="M3167" s="12">
        <f>Tb_data[[#This Row],[Employees Growth]]/Tb_data[[#This Row],[previous_workers]]</f>
        <v>1.4</v>
      </c>
    </row>
    <row r="3168" spans="1:13" x14ac:dyDescent="0.25">
      <c r="A3168" s="1" t="s">
        <v>6285</v>
      </c>
      <c r="B3168" s="1" t="s">
        <v>6286</v>
      </c>
      <c r="C3168" s="1">
        <v>21800000</v>
      </c>
      <c r="D3168" s="1" t="s">
        <v>155</v>
      </c>
      <c r="E3168">
        <v>119.40689999999999</v>
      </c>
      <c r="F3168" s="1" t="s">
        <v>12</v>
      </c>
      <c r="G3168">
        <v>120</v>
      </c>
      <c r="H3168">
        <v>48</v>
      </c>
      <c r="I3168" s="1" t="s">
        <v>35</v>
      </c>
      <c r="J3168">
        <v>4</v>
      </c>
      <c r="K3168" t="str">
        <f>IF(Tb_data[[#This Row],[previous_workers]]&lt;Tb_data[[#This Row],[workers]],"yes","no")</f>
        <v>yes</v>
      </c>
      <c r="L3168">
        <f>Tb_data[[#This Row],[workers]]-Tb_data[[#This Row],[previous_workers]]</f>
        <v>72</v>
      </c>
      <c r="M3168" s="12">
        <f>Tb_data[[#This Row],[Employees Growth]]/Tb_data[[#This Row],[previous_workers]]</f>
        <v>1.5</v>
      </c>
    </row>
    <row r="3169" spans="1:13" x14ac:dyDescent="0.25">
      <c r="A3169" s="1" t="s">
        <v>3459</v>
      </c>
      <c r="B3169" s="1" t="s">
        <v>3460</v>
      </c>
      <c r="C3169" s="1">
        <v>27900000</v>
      </c>
      <c r="D3169" s="1" t="s">
        <v>1446</v>
      </c>
      <c r="E3169">
        <v>246.17599999999999</v>
      </c>
      <c r="F3169" s="1" t="s">
        <v>30</v>
      </c>
      <c r="G3169">
        <v>17</v>
      </c>
      <c r="H3169">
        <v>12</v>
      </c>
      <c r="I3169" s="1" t="s">
        <v>26</v>
      </c>
      <c r="J3169">
        <v>3</v>
      </c>
      <c r="K3169" t="str">
        <f>IF(Tb_data[[#This Row],[previous_workers]]&lt;Tb_data[[#This Row],[workers]],"yes","no")</f>
        <v>yes</v>
      </c>
      <c r="L3169">
        <f>Tb_data[[#This Row],[workers]]-Tb_data[[#This Row],[previous_workers]]</f>
        <v>5</v>
      </c>
      <c r="M3169" s="12">
        <f>Tb_data[[#This Row],[Employees Growth]]/Tb_data[[#This Row],[previous_workers]]</f>
        <v>0.41666666666666669</v>
      </c>
    </row>
    <row r="3170" spans="1:13" x14ac:dyDescent="0.25">
      <c r="A3170" s="1" t="s">
        <v>9299</v>
      </c>
      <c r="B3170" s="1" t="s">
        <v>9300</v>
      </c>
      <c r="C3170" s="1">
        <v>34700000</v>
      </c>
      <c r="D3170" s="1" t="s">
        <v>41</v>
      </c>
      <c r="E3170">
        <v>62.793300000000002</v>
      </c>
      <c r="F3170" s="1" t="s">
        <v>62</v>
      </c>
      <c r="G3170">
        <v>155</v>
      </c>
      <c r="H3170">
        <v>113</v>
      </c>
      <c r="I3170" s="1" t="s">
        <v>1051</v>
      </c>
      <c r="J3170">
        <v>5</v>
      </c>
      <c r="K3170" t="str">
        <f>IF(Tb_data[[#This Row],[previous_workers]]&lt;Tb_data[[#This Row],[workers]],"yes","no")</f>
        <v>yes</v>
      </c>
      <c r="L3170">
        <f>Tb_data[[#This Row],[workers]]-Tb_data[[#This Row],[previous_workers]]</f>
        <v>42</v>
      </c>
      <c r="M3170" s="12">
        <f>Tb_data[[#This Row],[Employees Growth]]/Tb_data[[#This Row],[previous_workers]]</f>
        <v>0.37168141592920356</v>
      </c>
    </row>
    <row r="3171" spans="1:13" x14ac:dyDescent="0.25">
      <c r="A3171" s="1" t="s">
        <v>6075</v>
      </c>
      <c r="B3171" s="1" t="s">
        <v>6076</v>
      </c>
      <c r="C3171" s="1">
        <v>6300000</v>
      </c>
      <c r="D3171" s="1" t="s">
        <v>895</v>
      </c>
      <c r="E3171">
        <v>124.62130000000001</v>
      </c>
      <c r="F3171" s="1" t="s">
        <v>12</v>
      </c>
      <c r="G3171">
        <v>41</v>
      </c>
      <c r="H3171">
        <v>15</v>
      </c>
      <c r="I3171" s="1" t="s">
        <v>229</v>
      </c>
      <c r="J3171">
        <v>1</v>
      </c>
      <c r="K3171" t="str">
        <f>IF(Tb_data[[#This Row],[previous_workers]]&lt;Tb_data[[#This Row],[workers]],"yes","no")</f>
        <v>yes</v>
      </c>
      <c r="L3171">
        <f>Tb_data[[#This Row],[workers]]-Tb_data[[#This Row],[previous_workers]]</f>
        <v>26</v>
      </c>
      <c r="M3171" s="12">
        <f>Tb_data[[#This Row],[Employees Growth]]/Tb_data[[#This Row],[previous_workers]]</f>
        <v>1.7333333333333334</v>
      </c>
    </row>
    <row r="3172" spans="1:13" x14ac:dyDescent="0.25">
      <c r="A3172" s="1" t="s">
        <v>1411</v>
      </c>
      <c r="B3172" s="1" t="s">
        <v>4098</v>
      </c>
      <c r="C3172" s="1">
        <v>3400000</v>
      </c>
      <c r="D3172" s="1" t="s">
        <v>33</v>
      </c>
      <c r="E3172">
        <v>201.16069999999999</v>
      </c>
      <c r="F3172" s="1" t="s">
        <v>25</v>
      </c>
      <c r="G3172">
        <v>25</v>
      </c>
      <c r="H3172">
        <v>11</v>
      </c>
      <c r="I3172" s="1" t="s">
        <v>147</v>
      </c>
      <c r="J3172">
        <v>3</v>
      </c>
      <c r="K3172" t="str">
        <f>IF(Tb_data[[#This Row],[previous_workers]]&lt;Tb_data[[#This Row],[workers]],"yes","no")</f>
        <v>yes</v>
      </c>
      <c r="L3172">
        <f>Tb_data[[#This Row],[workers]]-Tb_data[[#This Row],[previous_workers]]</f>
        <v>14</v>
      </c>
      <c r="M3172" s="12">
        <f>Tb_data[[#This Row],[Employees Growth]]/Tb_data[[#This Row],[previous_workers]]</f>
        <v>1.2727272727272727</v>
      </c>
    </row>
    <row r="3173" spans="1:13" x14ac:dyDescent="0.25">
      <c r="A3173" s="1" t="s">
        <v>348</v>
      </c>
      <c r="B3173" s="1" t="s">
        <v>349</v>
      </c>
      <c r="C3173" s="1">
        <v>5400000</v>
      </c>
      <c r="D3173" s="1" t="s">
        <v>20</v>
      </c>
      <c r="E3173">
        <v>2657.4126999999999</v>
      </c>
      <c r="F3173" s="1" t="s">
        <v>34</v>
      </c>
      <c r="G3173">
        <v>6</v>
      </c>
      <c r="H3173">
        <v>2</v>
      </c>
      <c r="I3173" s="1" t="s">
        <v>13</v>
      </c>
      <c r="J3173">
        <v>1</v>
      </c>
      <c r="K3173" t="str">
        <f>IF(Tb_data[[#This Row],[previous_workers]]&lt;Tb_data[[#This Row],[workers]],"yes","no")</f>
        <v>yes</v>
      </c>
      <c r="L3173">
        <f>Tb_data[[#This Row],[workers]]-Tb_data[[#This Row],[previous_workers]]</f>
        <v>4</v>
      </c>
      <c r="M3173" s="12">
        <f>Tb_data[[#This Row],[Employees Growth]]/Tb_data[[#This Row],[previous_workers]]</f>
        <v>2</v>
      </c>
    </row>
    <row r="3174" spans="1:13" x14ac:dyDescent="0.25">
      <c r="A3174" s="1" t="s">
        <v>277</v>
      </c>
      <c r="B3174" s="1" t="s">
        <v>278</v>
      </c>
      <c r="C3174" s="1">
        <v>9000000</v>
      </c>
      <c r="D3174" s="1" t="s">
        <v>38</v>
      </c>
      <c r="E3174">
        <v>3244.549</v>
      </c>
      <c r="F3174" s="1" t="s">
        <v>86</v>
      </c>
      <c r="G3174">
        <v>86</v>
      </c>
      <c r="H3174">
        <v>4</v>
      </c>
      <c r="I3174" s="1" t="s">
        <v>13</v>
      </c>
      <c r="J3174">
        <v>1</v>
      </c>
      <c r="K3174" t="str">
        <f>IF(Tb_data[[#This Row],[previous_workers]]&lt;Tb_data[[#This Row],[workers]],"yes","no")</f>
        <v>yes</v>
      </c>
      <c r="L3174">
        <f>Tb_data[[#This Row],[workers]]-Tb_data[[#This Row],[previous_workers]]</f>
        <v>82</v>
      </c>
      <c r="M3174" s="12">
        <f>Tb_data[[#This Row],[Employees Growth]]/Tb_data[[#This Row],[previous_workers]]</f>
        <v>20.5</v>
      </c>
    </row>
    <row r="3175" spans="1:13" x14ac:dyDescent="0.25">
      <c r="A3175" s="1" t="s">
        <v>8749</v>
      </c>
      <c r="B3175" s="1" t="s">
        <v>8750</v>
      </c>
      <c r="C3175" s="1">
        <v>11600000</v>
      </c>
      <c r="D3175" s="1" t="s">
        <v>61</v>
      </c>
      <c r="E3175">
        <v>70.372</v>
      </c>
      <c r="F3175" s="1" t="s">
        <v>86</v>
      </c>
      <c r="G3175">
        <v>291</v>
      </c>
      <c r="H3175">
        <v>170</v>
      </c>
      <c r="I3175" s="1" t="s">
        <v>295</v>
      </c>
      <c r="J3175">
        <v>7</v>
      </c>
      <c r="K3175" t="str">
        <f>IF(Tb_data[[#This Row],[previous_workers]]&lt;Tb_data[[#This Row],[workers]],"yes","no")</f>
        <v>yes</v>
      </c>
      <c r="L3175">
        <f>Tb_data[[#This Row],[workers]]-Tb_data[[#This Row],[previous_workers]]</f>
        <v>121</v>
      </c>
      <c r="M3175" s="12">
        <f>Tb_data[[#This Row],[Employees Growth]]/Tb_data[[#This Row],[previous_workers]]</f>
        <v>0.71176470588235297</v>
      </c>
    </row>
    <row r="3176" spans="1:13" x14ac:dyDescent="0.25">
      <c r="A3176" s="1" t="s">
        <v>6908</v>
      </c>
      <c r="B3176" s="1" t="s">
        <v>6909</v>
      </c>
      <c r="C3176" s="1">
        <v>4600000</v>
      </c>
      <c r="D3176" s="1" t="s">
        <v>20</v>
      </c>
      <c r="E3176">
        <v>103.91370000000001</v>
      </c>
      <c r="F3176" s="1" t="s">
        <v>124</v>
      </c>
      <c r="G3176">
        <v>45</v>
      </c>
      <c r="H3176">
        <v>35</v>
      </c>
      <c r="I3176" s="1" t="s">
        <v>1411</v>
      </c>
      <c r="J3176">
        <v>1</v>
      </c>
      <c r="K3176" t="str">
        <f>IF(Tb_data[[#This Row],[previous_workers]]&lt;Tb_data[[#This Row],[workers]],"yes","no")</f>
        <v>yes</v>
      </c>
      <c r="L3176">
        <f>Tb_data[[#This Row],[workers]]-Tb_data[[#This Row],[previous_workers]]</f>
        <v>10</v>
      </c>
      <c r="M3176" s="12">
        <f>Tb_data[[#This Row],[Employees Growth]]/Tb_data[[#This Row],[previous_workers]]</f>
        <v>0.2857142857142857</v>
      </c>
    </row>
    <row r="3177" spans="1:13" x14ac:dyDescent="0.25">
      <c r="A3177" s="1" t="s">
        <v>9728</v>
      </c>
      <c r="B3177" s="1" t="s">
        <v>9729</v>
      </c>
      <c r="C3177" s="1">
        <v>6800000</v>
      </c>
      <c r="D3177" s="1" t="s">
        <v>52</v>
      </c>
      <c r="E3177">
        <v>57.791699999999999</v>
      </c>
      <c r="F3177" s="1" t="s">
        <v>25</v>
      </c>
      <c r="G3177">
        <v>45</v>
      </c>
      <c r="H3177">
        <v>35</v>
      </c>
      <c r="I3177" s="1" t="s">
        <v>74</v>
      </c>
      <c r="J3177">
        <v>3</v>
      </c>
      <c r="K3177" t="str">
        <f>IF(Tb_data[[#This Row],[previous_workers]]&lt;Tb_data[[#This Row],[workers]],"yes","no")</f>
        <v>yes</v>
      </c>
      <c r="L3177">
        <f>Tb_data[[#This Row],[workers]]-Tb_data[[#This Row],[previous_workers]]</f>
        <v>10</v>
      </c>
      <c r="M3177" s="12">
        <f>Tb_data[[#This Row],[Employees Growth]]/Tb_data[[#This Row],[previous_workers]]</f>
        <v>0.2857142857142857</v>
      </c>
    </row>
    <row r="3178" spans="1:13" x14ac:dyDescent="0.25">
      <c r="A3178" s="1" t="s">
        <v>7685</v>
      </c>
      <c r="B3178" s="1" t="s">
        <v>7686</v>
      </c>
      <c r="C3178" s="1">
        <v>30300000</v>
      </c>
      <c r="D3178" s="1" t="s">
        <v>123</v>
      </c>
      <c r="E3178">
        <v>88.257800000000003</v>
      </c>
      <c r="F3178" s="1" t="s">
        <v>112</v>
      </c>
      <c r="G3178">
        <v>160</v>
      </c>
      <c r="H3178">
        <v>69</v>
      </c>
      <c r="I3178" s="1" t="s">
        <v>2611</v>
      </c>
      <c r="J3178">
        <v>2</v>
      </c>
      <c r="K3178" t="str">
        <f>IF(Tb_data[[#This Row],[previous_workers]]&lt;Tb_data[[#This Row],[workers]],"yes","no")</f>
        <v>yes</v>
      </c>
      <c r="L3178">
        <f>Tb_data[[#This Row],[workers]]-Tb_data[[#This Row],[previous_workers]]</f>
        <v>91</v>
      </c>
      <c r="M3178" s="12">
        <f>Tb_data[[#This Row],[Employees Growth]]/Tb_data[[#This Row],[previous_workers]]</f>
        <v>1.318840579710145</v>
      </c>
    </row>
    <row r="3179" spans="1:13" x14ac:dyDescent="0.25">
      <c r="A3179" s="1" t="s">
        <v>8576</v>
      </c>
      <c r="B3179" s="1" t="s">
        <v>8577</v>
      </c>
      <c r="C3179" s="1">
        <v>7200000</v>
      </c>
      <c r="D3179" s="1" t="s">
        <v>20</v>
      </c>
      <c r="E3179">
        <v>72.698899999999995</v>
      </c>
      <c r="F3179" s="1" t="s">
        <v>112</v>
      </c>
      <c r="G3179">
        <v>19</v>
      </c>
      <c r="H3179">
        <v>10</v>
      </c>
      <c r="I3179" s="1" t="s">
        <v>995</v>
      </c>
      <c r="J3179">
        <v>1</v>
      </c>
      <c r="K3179" t="str">
        <f>IF(Tb_data[[#This Row],[previous_workers]]&lt;Tb_data[[#This Row],[workers]],"yes","no")</f>
        <v>yes</v>
      </c>
      <c r="L3179">
        <f>Tb_data[[#This Row],[workers]]-Tb_data[[#This Row],[previous_workers]]</f>
        <v>9</v>
      </c>
      <c r="M3179" s="12">
        <f>Tb_data[[#This Row],[Employees Growth]]/Tb_data[[#This Row],[previous_workers]]</f>
        <v>0.9</v>
      </c>
    </row>
    <row r="3180" spans="1:13" x14ac:dyDescent="0.25">
      <c r="A3180" s="1" t="s">
        <v>4842</v>
      </c>
      <c r="B3180" s="1" t="s">
        <v>4843</v>
      </c>
      <c r="C3180" s="1">
        <v>5500000</v>
      </c>
      <c r="D3180" s="1" t="s">
        <v>11</v>
      </c>
      <c r="E3180">
        <v>168.4434</v>
      </c>
      <c r="F3180" s="1" t="s">
        <v>142</v>
      </c>
      <c r="G3180">
        <v>10</v>
      </c>
      <c r="H3180">
        <v>4</v>
      </c>
      <c r="I3180" s="1" t="s">
        <v>55</v>
      </c>
      <c r="J3180">
        <v>2</v>
      </c>
      <c r="K3180" t="str">
        <f>IF(Tb_data[[#This Row],[previous_workers]]&lt;Tb_data[[#This Row],[workers]],"yes","no")</f>
        <v>yes</v>
      </c>
      <c r="L3180">
        <f>Tb_data[[#This Row],[workers]]-Tb_data[[#This Row],[previous_workers]]</f>
        <v>6</v>
      </c>
      <c r="M3180" s="12">
        <f>Tb_data[[#This Row],[Employees Growth]]/Tb_data[[#This Row],[previous_workers]]</f>
        <v>1.5</v>
      </c>
    </row>
    <row r="3181" spans="1:13" x14ac:dyDescent="0.25">
      <c r="A3181" s="1" t="s">
        <v>2979</v>
      </c>
      <c r="B3181" s="1" t="s">
        <v>2980</v>
      </c>
      <c r="C3181" s="1">
        <v>10000000</v>
      </c>
      <c r="D3181" s="1" t="s">
        <v>52</v>
      </c>
      <c r="E3181">
        <v>289.2561</v>
      </c>
      <c r="F3181" s="1" t="s">
        <v>62</v>
      </c>
      <c r="G3181">
        <v>31</v>
      </c>
      <c r="H3181">
        <v>23</v>
      </c>
      <c r="I3181" s="1" t="s">
        <v>130</v>
      </c>
      <c r="J3181">
        <v>1</v>
      </c>
      <c r="K3181" t="str">
        <f>IF(Tb_data[[#This Row],[previous_workers]]&lt;Tb_data[[#This Row],[workers]],"yes","no")</f>
        <v>yes</v>
      </c>
      <c r="L3181">
        <f>Tb_data[[#This Row],[workers]]-Tb_data[[#This Row],[previous_workers]]</f>
        <v>8</v>
      </c>
      <c r="M3181" s="12">
        <f>Tb_data[[#This Row],[Employees Growth]]/Tb_data[[#This Row],[previous_workers]]</f>
        <v>0.34782608695652173</v>
      </c>
    </row>
    <row r="3182" spans="1:13" x14ac:dyDescent="0.25">
      <c r="A3182" s="1" t="s">
        <v>3882</v>
      </c>
      <c r="B3182" s="1" t="s">
        <v>3883</v>
      </c>
      <c r="C3182" s="1">
        <v>21700000</v>
      </c>
      <c r="D3182" s="1" t="s">
        <v>69</v>
      </c>
      <c r="E3182">
        <v>215.4435</v>
      </c>
      <c r="F3182" s="1" t="s">
        <v>12</v>
      </c>
      <c r="G3182">
        <v>56</v>
      </c>
      <c r="H3182">
        <v>30</v>
      </c>
      <c r="I3182" s="1" t="s">
        <v>117</v>
      </c>
      <c r="J3182">
        <v>4</v>
      </c>
      <c r="K3182" t="str">
        <f>IF(Tb_data[[#This Row],[previous_workers]]&lt;Tb_data[[#This Row],[workers]],"yes","no")</f>
        <v>yes</v>
      </c>
      <c r="L3182">
        <f>Tb_data[[#This Row],[workers]]-Tb_data[[#This Row],[previous_workers]]</f>
        <v>26</v>
      </c>
      <c r="M3182" s="12">
        <f>Tb_data[[#This Row],[Employees Growth]]/Tb_data[[#This Row],[previous_workers]]</f>
        <v>0.8666666666666667</v>
      </c>
    </row>
    <row r="3183" spans="1:13" x14ac:dyDescent="0.25">
      <c r="A3183" s="1" t="s">
        <v>7305</v>
      </c>
      <c r="B3183" s="1" t="s">
        <v>7306</v>
      </c>
      <c r="C3183" s="1">
        <v>14200000</v>
      </c>
      <c r="D3183" s="1" t="s">
        <v>49</v>
      </c>
      <c r="E3183">
        <v>96.997799999999998</v>
      </c>
      <c r="F3183" s="1" t="s">
        <v>34</v>
      </c>
      <c r="G3183">
        <v>43</v>
      </c>
      <c r="H3183">
        <v>21</v>
      </c>
      <c r="I3183" s="1" t="s">
        <v>1051</v>
      </c>
      <c r="J3183">
        <v>4</v>
      </c>
      <c r="K3183" t="str">
        <f>IF(Tb_data[[#This Row],[previous_workers]]&lt;Tb_data[[#This Row],[workers]],"yes","no")</f>
        <v>yes</v>
      </c>
      <c r="L3183">
        <f>Tb_data[[#This Row],[workers]]-Tb_data[[#This Row],[previous_workers]]</f>
        <v>22</v>
      </c>
      <c r="M3183" s="12">
        <f>Tb_data[[#This Row],[Employees Growth]]/Tb_data[[#This Row],[previous_workers]]</f>
        <v>1.0476190476190477</v>
      </c>
    </row>
    <row r="3184" spans="1:13" x14ac:dyDescent="0.25">
      <c r="A3184" s="1" t="s">
        <v>10044</v>
      </c>
      <c r="B3184" s="1" t="s">
        <v>10045</v>
      </c>
      <c r="C3184" s="1">
        <v>1400000000</v>
      </c>
      <c r="D3184" s="1" t="s">
        <v>49</v>
      </c>
      <c r="E3184">
        <v>52.910499999999999</v>
      </c>
      <c r="F3184" s="1" t="s">
        <v>34</v>
      </c>
      <c r="G3184">
        <v>10392</v>
      </c>
      <c r="H3184">
        <v>7036</v>
      </c>
      <c r="I3184" s="1" t="s">
        <v>836</v>
      </c>
      <c r="J3184">
        <v>14</v>
      </c>
      <c r="K3184" t="str">
        <f>IF(Tb_data[[#This Row],[previous_workers]]&lt;Tb_data[[#This Row],[workers]],"yes","no")</f>
        <v>yes</v>
      </c>
      <c r="L3184">
        <f>Tb_data[[#This Row],[workers]]-Tb_data[[#This Row],[previous_workers]]</f>
        <v>3356</v>
      </c>
      <c r="M3184" s="12">
        <f>Tb_data[[#This Row],[Employees Growth]]/Tb_data[[#This Row],[previous_workers]]</f>
        <v>0.4769755542922115</v>
      </c>
    </row>
    <row r="3185" spans="1:13" x14ac:dyDescent="0.25">
      <c r="A3185" s="1" t="s">
        <v>6329</v>
      </c>
      <c r="B3185" s="1" t="s">
        <v>6330</v>
      </c>
      <c r="C3185" s="1">
        <v>29300000</v>
      </c>
      <c r="D3185" s="1" t="s">
        <v>58</v>
      </c>
      <c r="E3185">
        <v>117.8051</v>
      </c>
      <c r="F3185" s="1" t="s">
        <v>94</v>
      </c>
      <c r="G3185">
        <v>48</v>
      </c>
      <c r="H3185">
        <v>15</v>
      </c>
      <c r="I3185" s="1" t="s">
        <v>35</v>
      </c>
      <c r="J3185">
        <v>5</v>
      </c>
      <c r="K3185" t="str">
        <f>IF(Tb_data[[#This Row],[previous_workers]]&lt;Tb_data[[#This Row],[workers]],"yes","no")</f>
        <v>yes</v>
      </c>
      <c r="L3185">
        <f>Tb_data[[#This Row],[workers]]-Tb_data[[#This Row],[previous_workers]]</f>
        <v>33</v>
      </c>
      <c r="M3185" s="12">
        <f>Tb_data[[#This Row],[Employees Growth]]/Tb_data[[#This Row],[previous_workers]]</f>
        <v>2.2000000000000002</v>
      </c>
    </row>
    <row r="3186" spans="1:13" x14ac:dyDescent="0.25">
      <c r="A3186" s="1" t="s">
        <v>5024</v>
      </c>
      <c r="B3186" s="1" t="s">
        <v>5025</v>
      </c>
      <c r="C3186" s="1">
        <v>30700000</v>
      </c>
      <c r="D3186" s="1" t="s">
        <v>49</v>
      </c>
      <c r="E3186">
        <v>160.80070000000001</v>
      </c>
      <c r="F3186" s="1" t="s">
        <v>124</v>
      </c>
      <c r="G3186">
        <v>85</v>
      </c>
      <c r="H3186">
        <v>40</v>
      </c>
      <c r="I3186" s="1" t="s">
        <v>130</v>
      </c>
      <c r="J3186">
        <v>4</v>
      </c>
      <c r="K3186" t="str">
        <f>IF(Tb_data[[#This Row],[previous_workers]]&lt;Tb_data[[#This Row],[workers]],"yes","no")</f>
        <v>yes</v>
      </c>
      <c r="L3186">
        <f>Tb_data[[#This Row],[workers]]-Tb_data[[#This Row],[previous_workers]]</f>
        <v>45</v>
      </c>
      <c r="M3186" s="12">
        <f>Tb_data[[#This Row],[Employees Growth]]/Tb_data[[#This Row],[previous_workers]]</f>
        <v>1.125</v>
      </c>
    </row>
    <row r="3187" spans="1:13" x14ac:dyDescent="0.25">
      <c r="A3187" s="1" t="s">
        <v>4329</v>
      </c>
      <c r="B3187" s="1" t="s">
        <v>4330</v>
      </c>
      <c r="C3187" s="1">
        <v>17300000</v>
      </c>
      <c r="D3187" s="1" t="s">
        <v>49</v>
      </c>
      <c r="E3187">
        <v>190.22219999999999</v>
      </c>
      <c r="F3187" s="1" t="s">
        <v>176</v>
      </c>
      <c r="G3187">
        <v>28</v>
      </c>
      <c r="H3187">
        <v>15</v>
      </c>
      <c r="I3187" s="1" t="s">
        <v>74</v>
      </c>
      <c r="J3187">
        <v>2</v>
      </c>
      <c r="K3187" t="str">
        <f>IF(Tb_data[[#This Row],[previous_workers]]&lt;Tb_data[[#This Row],[workers]],"yes","no")</f>
        <v>yes</v>
      </c>
      <c r="L3187">
        <f>Tb_data[[#This Row],[workers]]-Tb_data[[#This Row],[previous_workers]]</f>
        <v>13</v>
      </c>
      <c r="M3187" s="12">
        <f>Tb_data[[#This Row],[Employees Growth]]/Tb_data[[#This Row],[previous_workers]]</f>
        <v>0.8666666666666667</v>
      </c>
    </row>
    <row r="3188" spans="1:13" x14ac:dyDescent="0.25">
      <c r="A3188" s="1" t="s">
        <v>8355</v>
      </c>
      <c r="B3188" s="1" t="s">
        <v>8356</v>
      </c>
      <c r="C3188" s="1">
        <v>5900000</v>
      </c>
      <c r="D3188" s="1" t="s">
        <v>49</v>
      </c>
      <c r="E3188">
        <v>76.925600000000003</v>
      </c>
      <c r="F3188" s="1" t="s">
        <v>124</v>
      </c>
      <c r="G3188">
        <v>48</v>
      </c>
      <c r="H3188">
        <v>50</v>
      </c>
      <c r="I3188" s="1" t="s">
        <v>147</v>
      </c>
      <c r="J3188">
        <v>6</v>
      </c>
      <c r="K3188" t="str">
        <f>IF(Tb_data[[#This Row],[previous_workers]]&lt;Tb_data[[#This Row],[workers]],"yes","no")</f>
        <v>no</v>
      </c>
      <c r="L3188">
        <f>Tb_data[[#This Row],[workers]]-Tb_data[[#This Row],[previous_workers]]</f>
        <v>-2</v>
      </c>
      <c r="M3188" s="12">
        <f>Tb_data[[#This Row],[Employees Growth]]/Tb_data[[#This Row],[previous_workers]]</f>
        <v>-0.04</v>
      </c>
    </row>
    <row r="3189" spans="1:13" x14ac:dyDescent="0.25">
      <c r="A3189" s="1" t="s">
        <v>3256</v>
      </c>
      <c r="B3189" s="1" t="s">
        <v>3257</v>
      </c>
      <c r="C3189" s="1">
        <v>12700000</v>
      </c>
      <c r="D3189" s="1" t="s">
        <v>422</v>
      </c>
      <c r="E3189">
        <v>264.18889999999999</v>
      </c>
      <c r="F3189" s="1" t="s">
        <v>135</v>
      </c>
      <c r="G3189">
        <v>400</v>
      </c>
      <c r="H3189">
        <v>120</v>
      </c>
      <c r="I3189" s="1" t="s">
        <v>130</v>
      </c>
      <c r="J3189">
        <v>3</v>
      </c>
      <c r="K3189" t="str">
        <f>IF(Tb_data[[#This Row],[previous_workers]]&lt;Tb_data[[#This Row],[workers]],"yes","no")</f>
        <v>yes</v>
      </c>
      <c r="L3189">
        <f>Tb_data[[#This Row],[workers]]-Tb_data[[#This Row],[previous_workers]]</f>
        <v>280</v>
      </c>
      <c r="M3189" s="12">
        <f>Tb_data[[#This Row],[Employees Growth]]/Tb_data[[#This Row],[previous_workers]]</f>
        <v>2.3333333333333335</v>
      </c>
    </row>
    <row r="3190" spans="1:13" x14ac:dyDescent="0.25">
      <c r="A3190" s="1" t="s">
        <v>9918</v>
      </c>
      <c r="B3190" s="1" t="s">
        <v>9919</v>
      </c>
      <c r="C3190" s="1">
        <v>3300000</v>
      </c>
      <c r="D3190" s="1" t="s">
        <v>11</v>
      </c>
      <c r="E3190">
        <v>54.95</v>
      </c>
      <c r="F3190" s="1" t="s">
        <v>176</v>
      </c>
      <c r="G3190">
        <v>10</v>
      </c>
      <c r="H3190">
        <v>9</v>
      </c>
      <c r="I3190" s="1" t="s">
        <v>147</v>
      </c>
      <c r="J3190">
        <v>4</v>
      </c>
      <c r="K3190" t="str">
        <f>IF(Tb_data[[#This Row],[previous_workers]]&lt;Tb_data[[#This Row],[workers]],"yes","no")</f>
        <v>yes</v>
      </c>
      <c r="L3190">
        <f>Tb_data[[#This Row],[workers]]-Tb_data[[#This Row],[previous_workers]]</f>
        <v>1</v>
      </c>
      <c r="M3190" s="12">
        <f>Tb_data[[#This Row],[Employees Growth]]/Tb_data[[#This Row],[previous_workers]]</f>
        <v>0.1111111111111111</v>
      </c>
    </row>
    <row r="3191" spans="1:13" x14ac:dyDescent="0.25">
      <c r="A3191" s="1" t="s">
        <v>9241</v>
      </c>
      <c r="B3191" s="1" t="s">
        <v>9242</v>
      </c>
      <c r="C3191" s="1">
        <v>2300000</v>
      </c>
      <c r="D3191" s="1" t="s">
        <v>49</v>
      </c>
      <c r="E3191">
        <v>63.615000000000002</v>
      </c>
      <c r="F3191" s="1" t="s">
        <v>12</v>
      </c>
      <c r="G3191">
        <v>15</v>
      </c>
      <c r="H3191">
        <v>9</v>
      </c>
      <c r="I3191" s="1" t="s">
        <v>3426</v>
      </c>
      <c r="J3191">
        <v>1</v>
      </c>
      <c r="K3191" t="str">
        <f>IF(Tb_data[[#This Row],[previous_workers]]&lt;Tb_data[[#This Row],[workers]],"yes","no")</f>
        <v>yes</v>
      </c>
      <c r="L3191">
        <f>Tb_data[[#This Row],[workers]]-Tb_data[[#This Row],[previous_workers]]</f>
        <v>6</v>
      </c>
      <c r="M3191" s="12">
        <f>Tb_data[[#This Row],[Employees Growth]]/Tb_data[[#This Row],[previous_workers]]</f>
        <v>0.66666666666666663</v>
      </c>
    </row>
    <row r="3192" spans="1:13" x14ac:dyDescent="0.25">
      <c r="A3192" s="1" t="s">
        <v>998</v>
      </c>
      <c r="B3192" s="1" t="s">
        <v>999</v>
      </c>
      <c r="C3192" s="1">
        <v>5900000</v>
      </c>
      <c r="D3192" s="1" t="s">
        <v>129</v>
      </c>
      <c r="E3192">
        <v>1002.4813</v>
      </c>
      <c r="F3192" s="1" t="s">
        <v>97</v>
      </c>
      <c r="G3192">
        <v>70</v>
      </c>
      <c r="H3192">
        <v>6</v>
      </c>
      <c r="I3192" s="1" t="s">
        <v>117</v>
      </c>
      <c r="J3192">
        <v>1</v>
      </c>
      <c r="K3192" t="str">
        <f>IF(Tb_data[[#This Row],[previous_workers]]&lt;Tb_data[[#This Row],[workers]],"yes","no")</f>
        <v>yes</v>
      </c>
      <c r="L3192">
        <f>Tb_data[[#This Row],[workers]]-Tb_data[[#This Row],[previous_workers]]</f>
        <v>64</v>
      </c>
      <c r="M3192" s="12">
        <f>Tb_data[[#This Row],[Employees Growth]]/Tb_data[[#This Row],[previous_workers]]</f>
        <v>10.666666666666666</v>
      </c>
    </row>
    <row r="3193" spans="1:13" x14ac:dyDescent="0.25">
      <c r="A3193" s="1" t="s">
        <v>623</v>
      </c>
      <c r="B3193" s="1" t="s">
        <v>624</v>
      </c>
      <c r="C3193" s="1">
        <v>726100000</v>
      </c>
      <c r="D3193" s="1" t="s">
        <v>29</v>
      </c>
      <c r="E3193">
        <v>1634.6901</v>
      </c>
      <c r="F3193" s="1" t="s">
        <v>34</v>
      </c>
      <c r="G3193">
        <v>164</v>
      </c>
      <c r="H3193">
        <v>26</v>
      </c>
      <c r="I3193" s="1" t="s">
        <v>164</v>
      </c>
      <c r="J3193">
        <v>4</v>
      </c>
      <c r="K3193" t="str">
        <f>IF(Tb_data[[#This Row],[previous_workers]]&lt;Tb_data[[#This Row],[workers]],"yes","no")</f>
        <v>yes</v>
      </c>
      <c r="L3193">
        <f>Tb_data[[#This Row],[workers]]-Tb_data[[#This Row],[previous_workers]]</f>
        <v>138</v>
      </c>
      <c r="M3193" s="12">
        <f>Tb_data[[#This Row],[Employees Growth]]/Tb_data[[#This Row],[previous_workers]]</f>
        <v>5.3076923076923075</v>
      </c>
    </row>
    <row r="3194" spans="1:13" x14ac:dyDescent="0.25">
      <c r="A3194" s="1" t="s">
        <v>131</v>
      </c>
      <c r="B3194" s="1" t="s">
        <v>132</v>
      </c>
      <c r="C3194" s="1">
        <v>45200000</v>
      </c>
      <c r="D3194" s="1" t="s">
        <v>20</v>
      </c>
      <c r="E3194">
        <v>6145.4571999999998</v>
      </c>
      <c r="F3194" s="1" t="s">
        <v>124</v>
      </c>
      <c r="G3194">
        <v>27</v>
      </c>
      <c r="H3194">
        <v>7</v>
      </c>
      <c r="I3194" s="1" t="s">
        <v>55</v>
      </c>
      <c r="J3194">
        <v>2</v>
      </c>
      <c r="K3194" t="str">
        <f>IF(Tb_data[[#This Row],[previous_workers]]&lt;Tb_data[[#This Row],[workers]],"yes","no")</f>
        <v>yes</v>
      </c>
      <c r="L3194">
        <f>Tb_data[[#This Row],[workers]]-Tb_data[[#This Row],[previous_workers]]</f>
        <v>20</v>
      </c>
      <c r="M3194" s="12">
        <f>Tb_data[[#This Row],[Employees Growth]]/Tb_data[[#This Row],[previous_workers]]</f>
        <v>2.8571428571428572</v>
      </c>
    </row>
    <row r="3195" spans="1:13" x14ac:dyDescent="0.25">
      <c r="A3195" s="1" t="s">
        <v>9960</v>
      </c>
      <c r="B3195" s="1" t="s">
        <v>9961</v>
      </c>
      <c r="C3195" s="1">
        <v>7400000</v>
      </c>
      <c r="D3195" s="1" t="s">
        <v>61</v>
      </c>
      <c r="E3195">
        <v>54.183100000000003</v>
      </c>
      <c r="F3195" s="1" t="s">
        <v>12</v>
      </c>
      <c r="G3195">
        <v>55</v>
      </c>
      <c r="H3195">
        <v>35</v>
      </c>
      <c r="I3195" s="1" t="s">
        <v>35</v>
      </c>
      <c r="J3195">
        <v>1</v>
      </c>
      <c r="K3195" t="str">
        <f>IF(Tb_data[[#This Row],[previous_workers]]&lt;Tb_data[[#This Row],[workers]],"yes","no")</f>
        <v>yes</v>
      </c>
      <c r="L3195">
        <f>Tb_data[[#This Row],[workers]]-Tb_data[[#This Row],[previous_workers]]</f>
        <v>20</v>
      </c>
      <c r="M3195" s="12">
        <f>Tb_data[[#This Row],[Employees Growth]]/Tb_data[[#This Row],[previous_workers]]</f>
        <v>0.5714285714285714</v>
      </c>
    </row>
    <row r="3196" spans="1:13" x14ac:dyDescent="0.25">
      <c r="A3196" s="1" t="s">
        <v>117</v>
      </c>
      <c r="B3196" s="1" t="s">
        <v>4112</v>
      </c>
      <c r="C3196" s="1">
        <v>37400000</v>
      </c>
      <c r="D3196" s="1" t="s">
        <v>33</v>
      </c>
      <c r="E3196">
        <v>199.70869999999999</v>
      </c>
      <c r="F3196" s="1" t="s">
        <v>124</v>
      </c>
      <c r="G3196">
        <v>50</v>
      </c>
      <c r="H3196">
        <v>30</v>
      </c>
      <c r="I3196" s="1" t="s">
        <v>194</v>
      </c>
      <c r="J3196">
        <v>2</v>
      </c>
      <c r="K3196" t="str">
        <f>IF(Tb_data[[#This Row],[previous_workers]]&lt;Tb_data[[#This Row],[workers]],"yes","no")</f>
        <v>yes</v>
      </c>
      <c r="L3196">
        <f>Tb_data[[#This Row],[workers]]-Tb_data[[#This Row],[previous_workers]]</f>
        <v>20</v>
      </c>
      <c r="M3196" s="12">
        <f>Tb_data[[#This Row],[Employees Growth]]/Tb_data[[#This Row],[previous_workers]]</f>
        <v>0.66666666666666663</v>
      </c>
    </row>
    <row r="3197" spans="1:13" x14ac:dyDescent="0.25">
      <c r="A3197" s="1" t="s">
        <v>5240</v>
      </c>
      <c r="B3197" s="1" t="s">
        <v>5241</v>
      </c>
      <c r="C3197" s="1">
        <v>34800000</v>
      </c>
      <c r="D3197" s="1" t="s">
        <v>129</v>
      </c>
      <c r="E3197">
        <v>152.00120000000001</v>
      </c>
      <c r="F3197" s="1" t="s">
        <v>156</v>
      </c>
      <c r="G3197">
        <v>142</v>
      </c>
      <c r="H3197">
        <v>40</v>
      </c>
      <c r="I3197" s="1" t="s">
        <v>948</v>
      </c>
      <c r="J3197">
        <v>5</v>
      </c>
      <c r="K3197" t="str">
        <f>IF(Tb_data[[#This Row],[previous_workers]]&lt;Tb_data[[#This Row],[workers]],"yes","no")</f>
        <v>yes</v>
      </c>
      <c r="L3197">
        <f>Tb_data[[#This Row],[workers]]-Tb_data[[#This Row],[previous_workers]]</f>
        <v>102</v>
      </c>
      <c r="M3197" s="12">
        <f>Tb_data[[#This Row],[Employees Growth]]/Tb_data[[#This Row],[previous_workers]]</f>
        <v>2.5499999999999998</v>
      </c>
    </row>
    <row r="3198" spans="1:13" x14ac:dyDescent="0.25">
      <c r="A3198" s="1" t="s">
        <v>7385</v>
      </c>
      <c r="B3198" s="1" t="s">
        <v>7386</v>
      </c>
      <c r="C3198" s="1">
        <v>3900000</v>
      </c>
      <c r="D3198" s="1" t="s">
        <v>422</v>
      </c>
      <c r="E3198">
        <v>95.589600000000004</v>
      </c>
      <c r="F3198" s="1" t="s">
        <v>176</v>
      </c>
      <c r="G3198">
        <v>17</v>
      </c>
      <c r="H3198">
        <v>9</v>
      </c>
      <c r="I3198" s="1" t="s">
        <v>117</v>
      </c>
      <c r="J3198">
        <v>3</v>
      </c>
      <c r="K3198" t="str">
        <f>IF(Tb_data[[#This Row],[previous_workers]]&lt;Tb_data[[#This Row],[workers]],"yes","no")</f>
        <v>yes</v>
      </c>
      <c r="L3198">
        <f>Tb_data[[#This Row],[workers]]-Tb_data[[#This Row],[previous_workers]]</f>
        <v>8</v>
      </c>
      <c r="M3198" s="12">
        <f>Tb_data[[#This Row],[Employees Growth]]/Tb_data[[#This Row],[previous_workers]]</f>
        <v>0.88888888888888884</v>
      </c>
    </row>
    <row r="3199" spans="1:13" x14ac:dyDescent="0.25">
      <c r="A3199" s="1" t="s">
        <v>6169</v>
      </c>
      <c r="B3199" s="1" t="s">
        <v>6170</v>
      </c>
      <c r="C3199" s="1">
        <v>325900000</v>
      </c>
      <c r="D3199" s="1" t="s">
        <v>20</v>
      </c>
      <c r="E3199">
        <v>121.8995</v>
      </c>
      <c r="F3199" s="1" t="s">
        <v>34</v>
      </c>
      <c r="G3199">
        <v>644</v>
      </c>
      <c r="H3199">
        <v>416</v>
      </c>
      <c r="I3199" s="1" t="s">
        <v>229</v>
      </c>
      <c r="J3199">
        <v>4</v>
      </c>
      <c r="K3199" t="str">
        <f>IF(Tb_data[[#This Row],[previous_workers]]&lt;Tb_data[[#This Row],[workers]],"yes","no")</f>
        <v>yes</v>
      </c>
      <c r="L3199">
        <f>Tb_data[[#This Row],[workers]]-Tb_data[[#This Row],[previous_workers]]</f>
        <v>228</v>
      </c>
      <c r="M3199" s="12">
        <f>Tb_data[[#This Row],[Employees Growth]]/Tb_data[[#This Row],[previous_workers]]</f>
        <v>0.54807692307692313</v>
      </c>
    </row>
    <row r="3200" spans="1:13" x14ac:dyDescent="0.25">
      <c r="A3200" s="1" t="s">
        <v>2923</v>
      </c>
      <c r="B3200" s="1" t="s">
        <v>2924</v>
      </c>
      <c r="C3200" s="1">
        <v>3800000</v>
      </c>
      <c r="D3200" s="1" t="s">
        <v>20</v>
      </c>
      <c r="E3200">
        <v>295.43459999999999</v>
      </c>
      <c r="F3200" s="1" t="s">
        <v>176</v>
      </c>
      <c r="G3200">
        <v>17</v>
      </c>
      <c r="H3200">
        <v>10</v>
      </c>
      <c r="I3200" s="1" t="s">
        <v>194</v>
      </c>
      <c r="J3200">
        <v>1</v>
      </c>
      <c r="K3200" t="str">
        <f>IF(Tb_data[[#This Row],[previous_workers]]&lt;Tb_data[[#This Row],[workers]],"yes","no")</f>
        <v>yes</v>
      </c>
      <c r="L3200">
        <f>Tb_data[[#This Row],[workers]]-Tb_data[[#This Row],[previous_workers]]</f>
        <v>7</v>
      </c>
      <c r="M3200" s="12">
        <f>Tb_data[[#This Row],[Employees Growth]]/Tb_data[[#This Row],[previous_workers]]</f>
        <v>0.7</v>
      </c>
    </row>
    <row r="3201" spans="1:13" x14ac:dyDescent="0.25">
      <c r="A3201" s="1" t="s">
        <v>5008</v>
      </c>
      <c r="B3201" s="1" t="s">
        <v>5009</v>
      </c>
      <c r="C3201" s="1">
        <v>7000000</v>
      </c>
      <c r="D3201" s="1" t="s">
        <v>61</v>
      </c>
      <c r="E3201">
        <v>161.46799999999999</v>
      </c>
      <c r="F3201" s="1" t="s">
        <v>34</v>
      </c>
      <c r="G3201">
        <v>13</v>
      </c>
      <c r="H3201">
        <v>4</v>
      </c>
      <c r="I3201" s="1" t="s">
        <v>130</v>
      </c>
      <c r="J3201">
        <v>2</v>
      </c>
      <c r="K3201" t="str">
        <f>IF(Tb_data[[#This Row],[previous_workers]]&lt;Tb_data[[#This Row],[workers]],"yes","no")</f>
        <v>yes</v>
      </c>
      <c r="L3201">
        <f>Tb_data[[#This Row],[workers]]-Tb_data[[#This Row],[previous_workers]]</f>
        <v>9</v>
      </c>
      <c r="M3201" s="12">
        <f>Tb_data[[#This Row],[Employees Growth]]/Tb_data[[#This Row],[previous_workers]]</f>
        <v>2.25</v>
      </c>
    </row>
    <row r="3202" spans="1:13" x14ac:dyDescent="0.25">
      <c r="A3202" s="1" t="s">
        <v>9678</v>
      </c>
      <c r="B3202" s="1" t="s">
        <v>9679</v>
      </c>
      <c r="C3202" s="1">
        <v>134800000</v>
      </c>
      <c r="D3202" s="1" t="s">
        <v>20</v>
      </c>
      <c r="E3202">
        <v>58.229500000000002</v>
      </c>
      <c r="F3202" s="1" t="s">
        <v>156</v>
      </c>
      <c r="G3202">
        <v>646</v>
      </c>
      <c r="H3202">
        <v>451</v>
      </c>
      <c r="I3202" s="1" t="s">
        <v>948</v>
      </c>
      <c r="J3202">
        <v>11</v>
      </c>
      <c r="K3202" t="str">
        <f>IF(Tb_data[[#This Row],[previous_workers]]&lt;Tb_data[[#This Row],[workers]],"yes","no")</f>
        <v>yes</v>
      </c>
      <c r="L3202">
        <f>Tb_data[[#This Row],[workers]]-Tb_data[[#This Row],[previous_workers]]</f>
        <v>195</v>
      </c>
      <c r="M3202" s="12">
        <f>Tb_data[[#This Row],[Employees Growth]]/Tb_data[[#This Row],[previous_workers]]</f>
        <v>0.43237250554323725</v>
      </c>
    </row>
    <row r="3203" spans="1:13" x14ac:dyDescent="0.25">
      <c r="A3203" s="1" t="s">
        <v>591</v>
      </c>
      <c r="B3203" s="1" t="s">
        <v>592</v>
      </c>
      <c r="C3203" s="1">
        <v>7400000</v>
      </c>
      <c r="D3203" s="1" t="s">
        <v>155</v>
      </c>
      <c r="E3203">
        <v>1699.3732</v>
      </c>
      <c r="F3203" s="1" t="s">
        <v>62</v>
      </c>
      <c r="G3203">
        <v>35</v>
      </c>
      <c r="H3203">
        <v>10</v>
      </c>
      <c r="I3203" s="1" t="s">
        <v>13</v>
      </c>
      <c r="J3203">
        <v>1</v>
      </c>
      <c r="K3203" t="str">
        <f>IF(Tb_data[[#This Row],[previous_workers]]&lt;Tb_data[[#This Row],[workers]],"yes","no")</f>
        <v>yes</v>
      </c>
      <c r="L3203">
        <f>Tb_data[[#This Row],[workers]]-Tb_data[[#This Row],[previous_workers]]</f>
        <v>25</v>
      </c>
      <c r="M3203" s="12">
        <f>Tb_data[[#This Row],[Employees Growth]]/Tb_data[[#This Row],[previous_workers]]</f>
        <v>2.5</v>
      </c>
    </row>
    <row r="3204" spans="1:13" x14ac:dyDescent="0.25">
      <c r="A3204" s="1" t="s">
        <v>5322</v>
      </c>
      <c r="B3204" s="1" t="s">
        <v>5323</v>
      </c>
      <c r="C3204" s="1">
        <v>218400000</v>
      </c>
      <c r="D3204" s="1" t="s">
        <v>45</v>
      </c>
      <c r="E3204">
        <v>149.35050000000001</v>
      </c>
      <c r="F3204" s="1" t="s">
        <v>156</v>
      </c>
      <c r="G3204">
        <v>1200</v>
      </c>
      <c r="H3204">
        <v>363</v>
      </c>
      <c r="I3204" s="1" t="s">
        <v>2225</v>
      </c>
      <c r="J3204">
        <v>7</v>
      </c>
      <c r="K3204" t="str">
        <f>IF(Tb_data[[#This Row],[previous_workers]]&lt;Tb_data[[#This Row],[workers]],"yes","no")</f>
        <v>yes</v>
      </c>
      <c r="L3204">
        <f>Tb_data[[#This Row],[workers]]-Tb_data[[#This Row],[previous_workers]]</f>
        <v>837</v>
      </c>
      <c r="M3204" s="12">
        <f>Tb_data[[#This Row],[Employees Growth]]/Tb_data[[#This Row],[previous_workers]]</f>
        <v>2.3057851239669422</v>
      </c>
    </row>
    <row r="3205" spans="1:13" x14ac:dyDescent="0.25">
      <c r="A3205" s="1" t="s">
        <v>9447</v>
      </c>
      <c r="B3205" s="1" t="s">
        <v>9448</v>
      </c>
      <c r="C3205" s="1">
        <v>178700000</v>
      </c>
      <c r="D3205" s="1" t="s">
        <v>33</v>
      </c>
      <c r="E3205">
        <v>60.902900000000002</v>
      </c>
      <c r="F3205" s="1" t="s">
        <v>124</v>
      </c>
      <c r="G3205">
        <v>135</v>
      </c>
      <c r="H3205">
        <v>90</v>
      </c>
      <c r="I3205" s="1" t="s">
        <v>995</v>
      </c>
      <c r="J3205">
        <v>3</v>
      </c>
      <c r="K3205" t="str">
        <f>IF(Tb_data[[#This Row],[previous_workers]]&lt;Tb_data[[#This Row],[workers]],"yes","no")</f>
        <v>yes</v>
      </c>
      <c r="L3205">
        <f>Tb_data[[#This Row],[workers]]-Tb_data[[#This Row],[previous_workers]]</f>
        <v>45</v>
      </c>
      <c r="M3205" s="12">
        <f>Tb_data[[#This Row],[Employees Growth]]/Tb_data[[#This Row],[previous_workers]]</f>
        <v>0.5</v>
      </c>
    </row>
    <row r="3206" spans="1:13" x14ac:dyDescent="0.25">
      <c r="A3206" s="1" t="s">
        <v>8941</v>
      </c>
      <c r="B3206" s="1" t="s">
        <v>8942</v>
      </c>
      <c r="C3206" s="1">
        <v>492600000</v>
      </c>
      <c r="D3206" s="1" t="s">
        <v>69</v>
      </c>
      <c r="E3206">
        <v>67.408500000000004</v>
      </c>
      <c r="F3206" s="1" t="s">
        <v>30</v>
      </c>
      <c r="G3206">
        <v>833</v>
      </c>
      <c r="H3206">
        <v>543</v>
      </c>
      <c r="I3206" s="1" t="s">
        <v>2840</v>
      </c>
      <c r="J3206">
        <v>5</v>
      </c>
      <c r="K3206" t="str">
        <f>IF(Tb_data[[#This Row],[previous_workers]]&lt;Tb_data[[#This Row],[workers]],"yes","no")</f>
        <v>yes</v>
      </c>
      <c r="L3206">
        <f>Tb_data[[#This Row],[workers]]-Tb_data[[#This Row],[previous_workers]]</f>
        <v>290</v>
      </c>
      <c r="M3206" s="12">
        <f>Tb_data[[#This Row],[Employees Growth]]/Tb_data[[#This Row],[previous_workers]]</f>
        <v>0.53406998158379371</v>
      </c>
    </row>
    <row r="3207" spans="1:13" x14ac:dyDescent="0.25">
      <c r="A3207" s="1" t="s">
        <v>5818</v>
      </c>
      <c r="B3207" s="1" t="s">
        <v>5819</v>
      </c>
      <c r="C3207" s="1">
        <v>26700000</v>
      </c>
      <c r="D3207" s="1" t="s">
        <v>69</v>
      </c>
      <c r="E3207">
        <v>130.7508</v>
      </c>
      <c r="F3207" s="1" t="s">
        <v>86</v>
      </c>
      <c r="G3207">
        <v>126</v>
      </c>
      <c r="H3207">
        <v>57</v>
      </c>
      <c r="I3207" s="1" t="s">
        <v>46</v>
      </c>
      <c r="J3207">
        <v>2</v>
      </c>
      <c r="K3207" t="str">
        <f>IF(Tb_data[[#This Row],[previous_workers]]&lt;Tb_data[[#This Row],[workers]],"yes","no")</f>
        <v>yes</v>
      </c>
      <c r="L3207">
        <f>Tb_data[[#This Row],[workers]]-Tb_data[[#This Row],[previous_workers]]</f>
        <v>69</v>
      </c>
      <c r="M3207" s="12">
        <f>Tb_data[[#This Row],[Employees Growth]]/Tb_data[[#This Row],[previous_workers]]</f>
        <v>1.2105263157894737</v>
      </c>
    </row>
    <row r="3208" spans="1:13" x14ac:dyDescent="0.25">
      <c r="A3208" s="1" t="s">
        <v>1868</v>
      </c>
      <c r="B3208" s="1" t="s">
        <v>1869</v>
      </c>
      <c r="C3208" s="1">
        <v>12100000</v>
      </c>
      <c r="D3208" s="1" t="s">
        <v>627</v>
      </c>
      <c r="E3208">
        <v>484.589</v>
      </c>
      <c r="F3208" s="1" t="s">
        <v>514</v>
      </c>
      <c r="G3208">
        <v>63</v>
      </c>
      <c r="H3208">
        <v>28</v>
      </c>
      <c r="I3208" s="1" t="s">
        <v>55</v>
      </c>
      <c r="J3208">
        <v>2</v>
      </c>
      <c r="K3208" t="str">
        <f>IF(Tb_data[[#This Row],[previous_workers]]&lt;Tb_data[[#This Row],[workers]],"yes","no")</f>
        <v>yes</v>
      </c>
      <c r="L3208">
        <f>Tb_data[[#This Row],[workers]]-Tb_data[[#This Row],[previous_workers]]</f>
        <v>35</v>
      </c>
      <c r="M3208" s="12">
        <f>Tb_data[[#This Row],[Employees Growth]]/Tb_data[[#This Row],[previous_workers]]</f>
        <v>1.25</v>
      </c>
    </row>
    <row r="3209" spans="1:13" x14ac:dyDescent="0.25">
      <c r="A3209" s="1" t="s">
        <v>9065</v>
      </c>
      <c r="B3209" s="1" t="s">
        <v>9066</v>
      </c>
      <c r="C3209" s="1">
        <v>3200000</v>
      </c>
      <c r="D3209" s="1" t="s">
        <v>52</v>
      </c>
      <c r="E3209">
        <v>65.864599999999996</v>
      </c>
      <c r="F3209" s="1" t="s">
        <v>62</v>
      </c>
      <c r="G3209">
        <v>9</v>
      </c>
      <c r="H3209">
        <v>3</v>
      </c>
      <c r="I3209" s="1" t="s">
        <v>164</v>
      </c>
      <c r="J3209">
        <v>1</v>
      </c>
      <c r="K3209" t="str">
        <f>IF(Tb_data[[#This Row],[previous_workers]]&lt;Tb_data[[#This Row],[workers]],"yes","no")</f>
        <v>yes</v>
      </c>
      <c r="L3209">
        <f>Tb_data[[#This Row],[workers]]-Tb_data[[#This Row],[previous_workers]]</f>
        <v>6</v>
      </c>
      <c r="M3209" s="12">
        <f>Tb_data[[#This Row],[Employees Growth]]/Tb_data[[#This Row],[previous_workers]]</f>
        <v>2</v>
      </c>
    </row>
    <row r="3210" spans="1:13" x14ac:dyDescent="0.25">
      <c r="A3210" s="1" t="s">
        <v>322</v>
      </c>
      <c r="B3210" s="1" t="s">
        <v>323</v>
      </c>
      <c r="C3210" s="1">
        <v>79000000</v>
      </c>
      <c r="D3210" s="1" t="s">
        <v>11</v>
      </c>
      <c r="E3210">
        <v>2804.9504000000002</v>
      </c>
      <c r="F3210" s="1" t="s">
        <v>25</v>
      </c>
      <c r="G3210">
        <v>196</v>
      </c>
      <c r="H3210">
        <v>32</v>
      </c>
      <c r="I3210" s="1" t="s">
        <v>26</v>
      </c>
      <c r="J3210">
        <v>1</v>
      </c>
      <c r="K3210" t="str">
        <f>IF(Tb_data[[#This Row],[previous_workers]]&lt;Tb_data[[#This Row],[workers]],"yes","no")</f>
        <v>yes</v>
      </c>
      <c r="L3210">
        <f>Tb_data[[#This Row],[workers]]-Tb_data[[#This Row],[previous_workers]]</f>
        <v>164</v>
      </c>
      <c r="M3210" s="12">
        <f>Tb_data[[#This Row],[Employees Growth]]/Tb_data[[#This Row],[previous_workers]]</f>
        <v>5.125</v>
      </c>
    </row>
    <row r="3211" spans="1:13" x14ac:dyDescent="0.25">
      <c r="A3211" s="1" t="s">
        <v>9754</v>
      </c>
      <c r="B3211" s="1" t="s">
        <v>9755</v>
      </c>
      <c r="C3211" s="1">
        <v>152500000</v>
      </c>
      <c r="D3211" s="1" t="s">
        <v>49</v>
      </c>
      <c r="E3211">
        <v>57.2258</v>
      </c>
      <c r="F3211" s="1" t="s">
        <v>169</v>
      </c>
      <c r="G3211">
        <v>751</v>
      </c>
      <c r="H3211">
        <v>564</v>
      </c>
      <c r="I3211" s="1" t="s">
        <v>194</v>
      </c>
      <c r="J3211">
        <v>5</v>
      </c>
      <c r="K3211" t="str">
        <f>IF(Tb_data[[#This Row],[previous_workers]]&lt;Tb_data[[#This Row],[workers]],"yes","no")</f>
        <v>yes</v>
      </c>
      <c r="L3211">
        <f>Tb_data[[#This Row],[workers]]-Tb_data[[#This Row],[previous_workers]]</f>
        <v>187</v>
      </c>
      <c r="M3211" s="12">
        <f>Tb_data[[#This Row],[Employees Growth]]/Tb_data[[#This Row],[previous_workers]]</f>
        <v>0.33156028368794327</v>
      </c>
    </row>
    <row r="3212" spans="1:13" x14ac:dyDescent="0.25">
      <c r="A3212" s="1" t="s">
        <v>4419</v>
      </c>
      <c r="B3212" s="1" t="s">
        <v>4420</v>
      </c>
      <c r="C3212" s="1">
        <v>534000000</v>
      </c>
      <c r="D3212" s="1" t="s">
        <v>254</v>
      </c>
      <c r="E3212">
        <v>186.0599</v>
      </c>
      <c r="F3212" s="1" t="s">
        <v>176</v>
      </c>
      <c r="G3212">
        <v>1505</v>
      </c>
      <c r="H3212">
        <v>888</v>
      </c>
      <c r="I3212" s="1" t="s">
        <v>2407</v>
      </c>
      <c r="J3212">
        <v>11</v>
      </c>
      <c r="K3212" t="str">
        <f>IF(Tb_data[[#This Row],[previous_workers]]&lt;Tb_data[[#This Row],[workers]],"yes","no")</f>
        <v>yes</v>
      </c>
      <c r="L3212">
        <f>Tb_data[[#This Row],[workers]]-Tb_data[[#This Row],[previous_workers]]</f>
        <v>617</v>
      </c>
      <c r="M3212" s="12">
        <f>Tb_data[[#This Row],[Employees Growth]]/Tb_data[[#This Row],[previous_workers]]</f>
        <v>0.69481981981981977</v>
      </c>
    </row>
    <row r="3213" spans="1:13" x14ac:dyDescent="0.25">
      <c r="A3213" s="1" t="s">
        <v>5040</v>
      </c>
      <c r="B3213" s="1" t="s">
        <v>5041</v>
      </c>
      <c r="C3213" s="1">
        <v>3900000</v>
      </c>
      <c r="D3213" s="1" t="s">
        <v>254</v>
      </c>
      <c r="E3213">
        <v>159.82310000000001</v>
      </c>
      <c r="F3213" s="1" t="s">
        <v>86</v>
      </c>
      <c r="G3213">
        <v>33</v>
      </c>
      <c r="H3213">
        <v>14</v>
      </c>
      <c r="I3213" s="1" t="s">
        <v>46</v>
      </c>
      <c r="J3213">
        <v>3</v>
      </c>
      <c r="K3213" t="str">
        <f>IF(Tb_data[[#This Row],[previous_workers]]&lt;Tb_data[[#This Row],[workers]],"yes","no")</f>
        <v>yes</v>
      </c>
      <c r="L3213">
        <f>Tb_data[[#This Row],[workers]]-Tb_data[[#This Row],[previous_workers]]</f>
        <v>19</v>
      </c>
      <c r="M3213" s="12">
        <f>Tb_data[[#This Row],[Employees Growth]]/Tb_data[[#This Row],[previous_workers]]</f>
        <v>1.3571428571428572</v>
      </c>
    </row>
    <row r="3214" spans="1:13" x14ac:dyDescent="0.25">
      <c r="A3214" s="1" t="s">
        <v>3529</v>
      </c>
      <c r="B3214" s="1" t="s">
        <v>3530</v>
      </c>
      <c r="C3214" s="1">
        <v>3400000</v>
      </c>
      <c r="D3214" s="1" t="s">
        <v>69</v>
      </c>
      <c r="E3214">
        <v>239.828</v>
      </c>
      <c r="F3214" s="1" t="s">
        <v>86</v>
      </c>
      <c r="G3214">
        <v>10</v>
      </c>
      <c r="H3214">
        <v>2</v>
      </c>
      <c r="I3214" s="1" t="s">
        <v>117</v>
      </c>
      <c r="J3214">
        <v>2</v>
      </c>
      <c r="K3214" t="str">
        <f>IF(Tb_data[[#This Row],[previous_workers]]&lt;Tb_data[[#This Row],[workers]],"yes","no")</f>
        <v>yes</v>
      </c>
      <c r="L3214">
        <f>Tb_data[[#This Row],[workers]]-Tb_data[[#This Row],[previous_workers]]</f>
        <v>8</v>
      </c>
      <c r="M3214" s="12">
        <f>Tb_data[[#This Row],[Employees Growth]]/Tb_data[[#This Row],[previous_workers]]</f>
        <v>4</v>
      </c>
    </row>
    <row r="3215" spans="1:13" x14ac:dyDescent="0.25">
      <c r="A3215" s="1" t="s">
        <v>1771</v>
      </c>
      <c r="B3215" s="1" t="s">
        <v>1772</v>
      </c>
      <c r="C3215" s="1">
        <v>21700000</v>
      </c>
      <c r="D3215" s="1" t="s">
        <v>115</v>
      </c>
      <c r="E3215">
        <v>510.65469999999999</v>
      </c>
      <c r="F3215" s="1" t="s">
        <v>86</v>
      </c>
      <c r="G3215">
        <v>218</v>
      </c>
      <c r="H3215">
        <v>58</v>
      </c>
      <c r="I3215" s="1" t="s">
        <v>117</v>
      </c>
      <c r="J3215">
        <v>2</v>
      </c>
      <c r="K3215" t="str">
        <f>IF(Tb_data[[#This Row],[previous_workers]]&lt;Tb_data[[#This Row],[workers]],"yes","no")</f>
        <v>yes</v>
      </c>
      <c r="L3215">
        <f>Tb_data[[#This Row],[workers]]-Tb_data[[#This Row],[previous_workers]]</f>
        <v>160</v>
      </c>
      <c r="M3215" s="12">
        <f>Tb_data[[#This Row],[Employees Growth]]/Tb_data[[#This Row],[previous_workers]]</f>
        <v>2.7586206896551726</v>
      </c>
    </row>
    <row r="3216" spans="1:13" x14ac:dyDescent="0.25">
      <c r="A3216" s="1" t="s">
        <v>9107</v>
      </c>
      <c r="B3216" s="1" t="s">
        <v>9108</v>
      </c>
      <c r="C3216" s="1">
        <v>11200000</v>
      </c>
      <c r="D3216" s="1" t="s">
        <v>61</v>
      </c>
      <c r="E3216">
        <v>65.297300000000007</v>
      </c>
      <c r="F3216" s="1" t="s">
        <v>12</v>
      </c>
      <c r="G3216">
        <v>57</v>
      </c>
      <c r="H3216">
        <v>34</v>
      </c>
      <c r="I3216" s="1" t="s">
        <v>74</v>
      </c>
      <c r="J3216">
        <v>4</v>
      </c>
      <c r="K3216" t="str">
        <f>IF(Tb_data[[#This Row],[previous_workers]]&lt;Tb_data[[#This Row],[workers]],"yes","no")</f>
        <v>yes</v>
      </c>
      <c r="L3216">
        <f>Tb_data[[#This Row],[workers]]-Tb_data[[#This Row],[previous_workers]]</f>
        <v>23</v>
      </c>
      <c r="M3216" s="12">
        <f>Tb_data[[#This Row],[Employees Growth]]/Tb_data[[#This Row],[previous_workers]]</f>
        <v>0.67647058823529416</v>
      </c>
    </row>
    <row r="3217" spans="1:13" x14ac:dyDescent="0.25">
      <c r="A3217" s="1" t="s">
        <v>2134</v>
      </c>
      <c r="B3217" s="1" t="s">
        <v>2135</v>
      </c>
      <c r="C3217" s="1">
        <v>2900000</v>
      </c>
      <c r="D3217" s="1" t="s">
        <v>41</v>
      </c>
      <c r="E3217">
        <v>416.7878</v>
      </c>
      <c r="F3217" s="1" t="s">
        <v>97</v>
      </c>
      <c r="G3217">
        <v>42</v>
      </c>
      <c r="H3217">
        <v>18</v>
      </c>
      <c r="I3217" s="1" t="s">
        <v>117</v>
      </c>
      <c r="J3217">
        <v>1</v>
      </c>
      <c r="K3217" t="str">
        <f>IF(Tb_data[[#This Row],[previous_workers]]&lt;Tb_data[[#This Row],[workers]],"yes","no")</f>
        <v>yes</v>
      </c>
      <c r="L3217">
        <f>Tb_data[[#This Row],[workers]]-Tb_data[[#This Row],[previous_workers]]</f>
        <v>24</v>
      </c>
      <c r="M3217" s="12">
        <f>Tb_data[[#This Row],[Employees Growth]]/Tb_data[[#This Row],[previous_workers]]</f>
        <v>1.3333333333333333</v>
      </c>
    </row>
    <row r="3218" spans="1:13" x14ac:dyDescent="0.25">
      <c r="A3218" s="1" t="s">
        <v>946</v>
      </c>
      <c r="B3218" s="1" t="s">
        <v>947</v>
      </c>
      <c r="C3218" s="1">
        <v>374200000</v>
      </c>
      <c r="D3218" s="1" t="s">
        <v>20</v>
      </c>
      <c r="E3218">
        <v>1064.5360000000001</v>
      </c>
      <c r="F3218" s="1" t="s">
        <v>34</v>
      </c>
      <c r="G3218">
        <v>4572</v>
      </c>
      <c r="H3218">
        <v>398</v>
      </c>
      <c r="I3218" s="1" t="s">
        <v>948</v>
      </c>
      <c r="J3218">
        <v>2</v>
      </c>
      <c r="K3218" t="str">
        <f>IF(Tb_data[[#This Row],[previous_workers]]&lt;Tb_data[[#This Row],[workers]],"yes","no")</f>
        <v>yes</v>
      </c>
      <c r="L3218">
        <f>Tb_data[[#This Row],[workers]]-Tb_data[[#This Row],[previous_workers]]</f>
        <v>4174</v>
      </c>
      <c r="M3218" s="12">
        <f>Tb_data[[#This Row],[Employees Growth]]/Tb_data[[#This Row],[previous_workers]]</f>
        <v>10.487437185929648</v>
      </c>
    </row>
    <row r="3219" spans="1:13" x14ac:dyDescent="0.25">
      <c r="A3219" s="1" t="s">
        <v>1485</v>
      </c>
      <c r="B3219" s="1" t="s">
        <v>1486</v>
      </c>
      <c r="C3219" s="1">
        <v>4200000</v>
      </c>
      <c r="D3219" s="1" t="s">
        <v>29</v>
      </c>
      <c r="E3219">
        <v>630.81579999999997</v>
      </c>
      <c r="F3219" s="1" t="s">
        <v>34</v>
      </c>
      <c r="G3219">
        <v>47</v>
      </c>
      <c r="H3219">
        <v>12</v>
      </c>
      <c r="I3219" s="1" t="s">
        <v>26</v>
      </c>
      <c r="J3219">
        <v>1</v>
      </c>
      <c r="K3219" t="str">
        <f>IF(Tb_data[[#This Row],[previous_workers]]&lt;Tb_data[[#This Row],[workers]],"yes","no")</f>
        <v>yes</v>
      </c>
      <c r="L3219">
        <f>Tb_data[[#This Row],[workers]]-Tb_data[[#This Row],[previous_workers]]</f>
        <v>35</v>
      </c>
      <c r="M3219" s="12">
        <f>Tb_data[[#This Row],[Employees Growth]]/Tb_data[[#This Row],[previous_workers]]</f>
        <v>2.9166666666666665</v>
      </c>
    </row>
    <row r="3220" spans="1:13" x14ac:dyDescent="0.25">
      <c r="A3220" s="1" t="s">
        <v>619</v>
      </c>
      <c r="B3220" s="1" t="s">
        <v>620</v>
      </c>
      <c r="C3220" s="1">
        <v>2200000</v>
      </c>
      <c r="D3220" s="1" t="s">
        <v>254</v>
      </c>
      <c r="E3220">
        <v>1648.4583</v>
      </c>
      <c r="F3220" s="1" t="s">
        <v>135</v>
      </c>
      <c r="G3220">
        <v>16</v>
      </c>
      <c r="H3220">
        <v>1</v>
      </c>
      <c r="I3220" s="1" t="s">
        <v>164</v>
      </c>
      <c r="J3220">
        <v>1</v>
      </c>
      <c r="K3220" t="str">
        <f>IF(Tb_data[[#This Row],[previous_workers]]&lt;Tb_data[[#This Row],[workers]],"yes","no")</f>
        <v>yes</v>
      </c>
      <c r="L3220">
        <f>Tb_data[[#This Row],[workers]]-Tb_data[[#This Row],[previous_workers]]</f>
        <v>15</v>
      </c>
      <c r="M3220" s="12">
        <f>Tb_data[[#This Row],[Employees Growth]]/Tb_data[[#This Row],[previous_workers]]</f>
        <v>15</v>
      </c>
    </row>
    <row r="3221" spans="1:13" x14ac:dyDescent="0.25">
      <c r="A3221" s="1" t="s">
        <v>326</v>
      </c>
      <c r="B3221" s="1" t="s">
        <v>327</v>
      </c>
      <c r="C3221" s="1">
        <v>38800000</v>
      </c>
      <c r="D3221" s="1" t="s">
        <v>49</v>
      </c>
      <c r="E3221">
        <v>2781.5682000000002</v>
      </c>
      <c r="F3221" s="1" t="s">
        <v>34</v>
      </c>
      <c r="G3221">
        <v>375</v>
      </c>
      <c r="H3221">
        <v>75</v>
      </c>
      <c r="I3221" s="1" t="s">
        <v>26</v>
      </c>
      <c r="J3221">
        <v>1</v>
      </c>
      <c r="K3221" t="str">
        <f>IF(Tb_data[[#This Row],[previous_workers]]&lt;Tb_data[[#This Row],[workers]],"yes","no")</f>
        <v>yes</v>
      </c>
      <c r="L3221">
        <f>Tb_data[[#This Row],[workers]]-Tb_data[[#This Row],[previous_workers]]</f>
        <v>300</v>
      </c>
      <c r="M3221" s="12">
        <f>Tb_data[[#This Row],[Employees Growth]]/Tb_data[[#This Row],[previous_workers]]</f>
        <v>4</v>
      </c>
    </row>
    <row r="3222" spans="1:13" x14ac:dyDescent="0.25">
      <c r="A3222" s="1" t="s">
        <v>5302</v>
      </c>
      <c r="B3222" s="1" t="s">
        <v>5303</v>
      </c>
      <c r="C3222" s="1">
        <v>42200000</v>
      </c>
      <c r="D3222" s="1" t="s">
        <v>49</v>
      </c>
      <c r="E3222">
        <v>150.03200000000001</v>
      </c>
      <c r="F3222" s="1" t="s">
        <v>172</v>
      </c>
      <c r="G3222">
        <v>2979</v>
      </c>
      <c r="H3222">
        <v>1468</v>
      </c>
      <c r="I3222" s="1" t="s">
        <v>295</v>
      </c>
      <c r="J3222">
        <v>3</v>
      </c>
      <c r="K3222" t="str">
        <f>IF(Tb_data[[#This Row],[previous_workers]]&lt;Tb_data[[#This Row],[workers]],"yes","no")</f>
        <v>yes</v>
      </c>
      <c r="L3222">
        <f>Tb_data[[#This Row],[workers]]-Tb_data[[#This Row],[previous_workers]]</f>
        <v>1511</v>
      </c>
      <c r="M3222" s="12">
        <f>Tb_data[[#This Row],[Employees Growth]]/Tb_data[[#This Row],[previous_workers]]</f>
        <v>1.0292915531335149</v>
      </c>
    </row>
    <row r="3223" spans="1:13" x14ac:dyDescent="0.25">
      <c r="A3223" s="1" t="s">
        <v>7751</v>
      </c>
      <c r="B3223" s="1" t="s">
        <v>7752</v>
      </c>
      <c r="C3223" s="1">
        <v>3300000</v>
      </c>
      <c r="D3223" s="1" t="s">
        <v>16</v>
      </c>
      <c r="E3223">
        <v>87.132000000000005</v>
      </c>
      <c r="F3223" s="1" t="s">
        <v>62</v>
      </c>
      <c r="G3223">
        <v>19</v>
      </c>
      <c r="H3223">
        <v>15</v>
      </c>
      <c r="I3223" s="1" t="s">
        <v>948</v>
      </c>
      <c r="J3223">
        <v>1</v>
      </c>
      <c r="K3223" t="str">
        <f>IF(Tb_data[[#This Row],[previous_workers]]&lt;Tb_data[[#This Row],[workers]],"yes","no")</f>
        <v>yes</v>
      </c>
      <c r="L3223">
        <f>Tb_data[[#This Row],[workers]]-Tb_data[[#This Row],[previous_workers]]</f>
        <v>4</v>
      </c>
      <c r="M3223" s="12">
        <f>Tb_data[[#This Row],[Employees Growth]]/Tb_data[[#This Row],[previous_workers]]</f>
        <v>0.26666666666666666</v>
      </c>
    </row>
    <row r="3224" spans="1:13" x14ac:dyDescent="0.25">
      <c r="A3224" s="1" t="s">
        <v>5950</v>
      </c>
      <c r="B3224" s="1" t="s">
        <v>5951</v>
      </c>
      <c r="C3224" s="1">
        <v>2900000</v>
      </c>
      <c r="D3224" s="1" t="s">
        <v>20</v>
      </c>
      <c r="E3224">
        <v>127.66840000000001</v>
      </c>
      <c r="F3224" s="1" t="s">
        <v>25</v>
      </c>
      <c r="G3224">
        <v>34</v>
      </c>
      <c r="H3224">
        <v>12</v>
      </c>
      <c r="I3224" s="1" t="s">
        <v>74</v>
      </c>
      <c r="J3224">
        <v>2</v>
      </c>
      <c r="K3224" t="str">
        <f>IF(Tb_data[[#This Row],[previous_workers]]&lt;Tb_data[[#This Row],[workers]],"yes","no")</f>
        <v>yes</v>
      </c>
      <c r="L3224">
        <f>Tb_data[[#This Row],[workers]]-Tb_data[[#This Row],[previous_workers]]</f>
        <v>22</v>
      </c>
      <c r="M3224" s="12">
        <f>Tb_data[[#This Row],[Employees Growth]]/Tb_data[[#This Row],[previous_workers]]</f>
        <v>1.8333333333333333</v>
      </c>
    </row>
    <row r="3225" spans="1:13" x14ac:dyDescent="0.25">
      <c r="A3225" s="1" t="s">
        <v>900</v>
      </c>
      <c r="B3225" s="1" t="s">
        <v>901</v>
      </c>
      <c r="C3225" s="1">
        <v>211200000</v>
      </c>
      <c r="D3225" s="1" t="s">
        <v>91</v>
      </c>
      <c r="E3225">
        <v>1133.4248</v>
      </c>
      <c r="F3225" s="1" t="s">
        <v>12</v>
      </c>
      <c r="G3225">
        <v>118</v>
      </c>
      <c r="H3225">
        <v>19</v>
      </c>
      <c r="I3225" s="1" t="s">
        <v>55</v>
      </c>
      <c r="J3225">
        <v>1</v>
      </c>
      <c r="K3225" t="str">
        <f>IF(Tb_data[[#This Row],[previous_workers]]&lt;Tb_data[[#This Row],[workers]],"yes","no")</f>
        <v>yes</v>
      </c>
      <c r="L3225">
        <f>Tb_data[[#This Row],[workers]]-Tb_data[[#This Row],[previous_workers]]</f>
        <v>99</v>
      </c>
      <c r="M3225" s="12">
        <f>Tb_data[[#This Row],[Employees Growth]]/Tb_data[[#This Row],[previous_workers]]</f>
        <v>5.2105263157894735</v>
      </c>
    </row>
    <row r="3226" spans="1:13" x14ac:dyDescent="0.25">
      <c r="A3226" s="1" t="s">
        <v>222</v>
      </c>
      <c r="B3226" s="1" t="s">
        <v>223</v>
      </c>
      <c r="C3226" s="1">
        <v>8200000</v>
      </c>
      <c r="D3226" s="1" t="s">
        <v>29</v>
      </c>
      <c r="E3226">
        <v>4138.1126000000004</v>
      </c>
      <c r="F3226" s="1" t="s">
        <v>17</v>
      </c>
      <c r="G3226">
        <v>78</v>
      </c>
      <c r="H3226">
        <v>11</v>
      </c>
      <c r="I3226" s="1" t="s">
        <v>13</v>
      </c>
      <c r="J3226">
        <v>1</v>
      </c>
      <c r="K3226" t="str">
        <f>IF(Tb_data[[#This Row],[previous_workers]]&lt;Tb_data[[#This Row],[workers]],"yes","no")</f>
        <v>yes</v>
      </c>
      <c r="L3226">
        <f>Tb_data[[#This Row],[workers]]-Tb_data[[#This Row],[previous_workers]]</f>
        <v>67</v>
      </c>
      <c r="M3226" s="12">
        <f>Tb_data[[#This Row],[Employees Growth]]/Tb_data[[#This Row],[previous_workers]]</f>
        <v>6.0909090909090908</v>
      </c>
    </row>
    <row r="3227" spans="1:13" x14ac:dyDescent="0.25">
      <c r="A3227" s="1" t="s">
        <v>9948</v>
      </c>
      <c r="B3227" s="1" t="s">
        <v>9949</v>
      </c>
      <c r="C3227" s="1">
        <v>17600000</v>
      </c>
      <c r="D3227" s="1" t="s">
        <v>29</v>
      </c>
      <c r="E3227">
        <v>54.430399999999999</v>
      </c>
      <c r="F3227" s="1" t="s">
        <v>12</v>
      </c>
      <c r="G3227">
        <v>84</v>
      </c>
      <c r="H3227">
        <v>65</v>
      </c>
      <c r="I3227" s="1" t="s">
        <v>1949</v>
      </c>
      <c r="J3227">
        <v>1</v>
      </c>
      <c r="K3227" t="str">
        <f>IF(Tb_data[[#This Row],[previous_workers]]&lt;Tb_data[[#This Row],[workers]],"yes","no")</f>
        <v>yes</v>
      </c>
      <c r="L3227">
        <f>Tb_data[[#This Row],[workers]]-Tb_data[[#This Row],[previous_workers]]</f>
        <v>19</v>
      </c>
      <c r="M3227" s="12">
        <f>Tb_data[[#This Row],[Employees Growth]]/Tb_data[[#This Row],[previous_workers]]</f>
        <v>0.29230769230769232</v>
      </c>
    </row>
    <row r="3228" spans="1:13" x14ac:dyDescent="0.25">
      <c r="A3228" s="1" t="s">
        <v>601</v>
      </c>
      <c r="B3228" s="1" t="s">
        <v>602</v>
      </c>
      <c r="C3228" s="1">
        <v>8800000</v>
      </c>
      <c r="D3228" s="1" t="s">
        <v>49</v>
      </c>
      <c r="E3228">
        <v>1677.2330999999999</v>
      </c>
      <c r="F3228" s="1" t="s">
        <v>30</v>
      </c>
      <c r="G3228">
        <v>15</v>
      </c>
      <c r="H3228">
        <v>3</v>
      </c>
      <c r="I3228" s="1" t="s">
        <v>26</v>
      </c>
      <c r="J3228">
        <v>2</v>
      </c>
      <c r="K3228" t="str">
        <f>IF(Tb_data[[#This Row],[previous_workers]]&lt;Tb_data[[#This Row],[workers]],"yes","no")</f>
        <v>yes</v>
      </c>
      <c r="L3228">
        <f>Tb_data[[#This Row],[workers]]-Tb_data[[#This Row],[previous_workers]]</f>
        <v>12</v>
      </c>
      <c r="M3228" s="12">
        <f>Tb_data[[#This Row],[Employees Growth]]/Tb_data[[#This Row],[previous_workers]]</f>
        <v>4</v>
      </c>
    </row>
    <row r="3229" spans="1:13" x14ac:dyDescent="0.25">
      <c r="A3229" s="1" t="s">
        <v>8043</v>
      </c>
      <c r="B3229" s="1" t="s">
        <v>8044</v>
      </c>
      <c r="C3229" s="1">
        <v>3400000</v>
      </c>
      <c r="D3229" s="1" t="s">
        <v>20</v>
      </c>
      <c r="E3229">
        <v>81.939400000000006</v>
      </c>
      <c r="F3229" s="1" t="s">
        <v>62</v>
      </c>
      <c r="G3229">
        <v>20</v>
      </c>
      <c r="H3229">
        <v>17</v>
      </c>
      <c r="I3229" s="1" t="s">
        <v>194</v>
      </c>
      <c r="J3229">
        <v>3</v>
      </c>
      <c r="K3229" t="str">
        <f>IF(Tb_data[[#This Row],[previous_workers]]&lt;Tb_data[[#This Row],[workers]],"yes","no")</f>
        <v>yes</v>
      </c>
      <c r="L3229">
        <f>Tb_data[[#This Row],[workers]]-Tb_data[[#This Row],[previous_workers]]</f>
        <v>3</v>
      </c>
      <c r="M3229" s="12">
        <f>Tb_data[[#This Row],[Employees Growth]]/Tb_data[[#This Row],[previous_workers]]</f>
        <v>0.17647058823529413</v>
      </c>
    </row>
    <row r="3230" spans="1:13" x14ac:dyDescent="0.25">
      <c r="A3230" s="1" t="s">
        <v>186</v>
      </c>
      <c r="B3230" s="1" t="s">
        <v>187</v>
      </c>
      <c r="C3230" s="1">
        <v>42400000</v>
      </c>
      <c r="D3230" s="1" t="s">
        <v>52</v>
      </c>
      <c r="E3230">
        <v>4820.2664999999997</v>
      </c>
      <c r="F3230" s="1" t="s">
        <v>86</v>
      </c>
      <c r="G3230">
        <v>254</v>
      </c>
      <c r="H3230">
        <v>25</v>
      </c>
      <c r="I3230" s="1" t="s">
        <v>130</v>
      </c>
      <c r="J3230">
        <v>2</v>
      </c>
      <c r="K3230" t="str">
        <f>IF(Tb_data[[#This Row],[previous_workers]]&lt;Tb_data[[#This Row],[workers]],"yes","no")</f>
        <v>yes</v>
      </c>
      <c r="L3230">
        <f>Tb_data[[#This Row],[workers]]-Tb_data[[#This Row],[previous_workers]]</f>
        <v>229</v>
      </c>
      <c r="M3230" s="12">
        <f>Tb_data[[#This Row],[Employees Growth]]/Tb_data[[#This Row],[previous_workers]]</f>
        <v>9.16</v>
      </c>
    </row>
    <row r="3231" spans="1:13" x14ac:dyDescent="0.25">
      <c r="A3231" s="1" t="s">
        <v>267</v>
      </c>
      <c r="B3231" s="1" t="s">
        <v>268</v>
      </c>
      <c r="C3231" s="1">
        <v>13700000</v>
      </c>
      <c r="D3231" s="1" t="s">
        <v>61</v>
      </c>
      <c r="E3231">
        <v>3350.0091000000002</v>
      </c>
      <c r="F3231" s="1" t="s">
        <v>62</v>
      </c>
      <c r="G3231">
        <v>54</v>
      </c>
      <c r="H3231">
        <v>10</v>
      </c>
      <c r="I3231" s="1" t="s">
        <v>26</v>
      </c>
      <c r="J3231">
        <v>1</v>
      </c>
      <c r="K3231" t="str">
        <f>IF(Tb_data[[#This Row],[previous_workers]]&lt;Tb_data[[#This Row],[workers]],"yes","no")</f>
        <v>yes</v>
      </c>
      <c r="L3231">
        <f>Tb_data[[#This Row],[workers]]-Tb_data[[#This Row],[previous_workers]]</f>
        <v>44</v>
      </c>
      <c r="M3231" s="12">
        <f>Tb_data[[#This Row],[Employees Growth]]/Tb_data[[#This Row],[previous_workers]]</f>
        <v>4.4000000000000004</v>
      </c>
    </row>
    <row r="3232" spans="1:13" x14ac:dyDescent="0.25">
      <c r="A3232" s="1" t="s">
        <v>5626</v>
      </c>
      <c r="B3232" s="1" t="s">
        <v>5627</v>
      </c>
      <c r="C3232" s="1">
        <v>2900000</v>
      </c>
      <c r="D3232" s="1" t="s">
        <v>38</v>
      </c>
      <c r="E3232">
        <v>136.98140000000001</v>
      </c>
      <c r="F3232" s="1" t="s">
        <v>176</v>
      </c>
      <c r="G3232">
        <v>17</v>
      </c>
      <c r="H3232">
        <v>10</v>
      </c>
      <c r="I3232" s="1" t="s">
        <v>117</v>
      </c>
      <c r="J3232">
        <v>1</v>
      </c>
      <c r="K3232" t="str">
        <f>IF(Tb_data[[#This Row],[previous_workers]]&lt;Tb_data[[#This Row],[workers]],"yes","no")</f>
        <v>yes</v>
      </c>
      <c r="L3232">
        <f>Tb_data[[#This Row],[workers]]-Tb_data[[#This Row],[previous_workers]]</f>
        <v>7</v>
      </c>
      <c r="M3232" s="12">
        <f>Tb_data[[#This Row],[Employees Growth]]/Tb_data[[#This Row],[previous_workers]]</f>
        <v>0.7</v>
      </c>
    </row>
    <row r="3233" spans="1:13" x14ac:dyDescent="0.25">
      <c r="A3233" s="1" t="s">
        <v>2438</v>
      </c>
      <c r="B3233" s="1" t="s">
        <v>2439</v>
      </c>
      <c r="C3233" s="1">
        <v>17300000</v>
      </c>
      <c r="D3233" s="1" t="s">
        <v>20</v>
      </c>
      <c r="E3233">
        <v>356.86829999999998</v>
      </c>
      <c r="F3233" s="1" t="s">
        <v>34</v>
      </c>
      <c r="G3233">
        <v>69</v>
      </c>
      <c r="H3233">
        <v>11</v>
      </c>
      <c r="I3233" s="1" t="s">
        <v>55</v>
      </c>
      <c r="J3233">
        <v>2</v>
      </c>
      <c r="K3233" t="str">
        <f>IF(Tb_data[[#This Row],[previous_workers]]&lt;Tb_data[[#This Row],[workers]],"yes","no")</f>
        <v>yes</v>
      </c>
      <c r="L3233">
        <f>Tb_data[[#This Row],[workers]]-Tb_data[[#This Row],[previous_workers]]</f>
        <v>58</v>
      </c>
      <c r="M3233" s="12">
        <f>Tb_data[[#This Row],[Employees Growth]]/Tb_data[[#This Row],[previous_workers]]</f>
        <v>5.2727272727272725</v>
      </c>
    </row>
    <row r="3234" spans="1:13" x14ac:dyDescent="0.25">
      <c r="A3234" s="1" t="s">
        <v>6835</v>
      </c>
      <c r="B3234" s="1" t="s">
        <v>6836</v>
      </c>
      <c r="C3234" s="1">
        <v>6900000</v>
      </c>
      <c r="D3234" s="1" t="s">
        <v>58</v>
      </c>
      <c r="E3234">
        <v>105.7624</v>
      </c>
      <c r="F3234" s="1" t="s">
        <v>161</v>
      </c>
      <c r="G3234">
        <v>40</v>
      </c>
      <c r="H3234">
        <v>28</v>
      </c>
      <c r="I3234" s="1" t="s">
        <v>194</v>
      </c>
      <c r="J3234">
        <v>4</v>
      </c>
      <c r="K3234" t="str">
        <f>IF(Tb_data[[#This Row],[previous_workers]]&lt;Tb_data[[#This Row],[workers]],"yes","no")</f>
        <v>yes</v>
      </c>
      <c r="L3234">
        <f>Tb_data[[#This Row],[workers]]-Tb_data[[#This Row],[previous_workers]]</f>
        <v>12</v>
      </c>
      <c r="M3234" s="12">
        <f>Tb_data[[#This Row],[Employees Growth]]/Tb_data[[#This Row],[previous_workers]]</f>
        <v>0.42857142857142855</v>
      </c>
    </row>
    <row r="3235" spans="1:13" x14ac:dyDescent="0.25">
      <c r="A3235" s="1" t="s">
        <v>6063</v>
      </c>
      <c r="B3235" s="1" t="s">
        <v>6064</v>
      </c>
      <c r="C3235" s="1">
        <v>11000000</v>
      </c>
      <c r="D3235" s="1" t="s">
        <v>45</v>
      </c>
      <c r="E3235">
        <v>125.1233</v>
      </c>
      <c r="F3235" s="1" t="s">
        <v>62</v>
      </c>
      <c r="G3235">
        <v>52</v>
      </c>
      <c r="H3235">
        <v>32</v>
      </c>
      <c r="I3235" s="1" t="s">
        <v>74</v>
      </c>
      <c r="J3235">
        <v>3</v>
      </c>
      <c r="K3235" t="str">
        <f>IF(Tb_data[[#This Row],[previous_workers]]&lt;Tb_data[[#This Row],[workers]],"yes","no")</f>
        <v>yes</v>
      </c>
      <c r="L3235">
        <f>Tb_data[[#This Row],[workers]]-Tb_data[[#This Row],[previous_workers]]</f>
        <v>20</v>
      </c>
      <c r="M3235" s="12">
        <f>Tb_data[[#This Row],[Employees Growth]]/Tb_data[[#This Row],[previous_workers]]</f>
        <v>0.625</v>
      </c>
    </row>
    <row r="3236" spans="1:13" x14ac:dyDescent="0.25">
      <c r="A3236" s="1" t="s">
        <v>6375</v>
      </c>
      <c r="B3236" s="1" t="s">
        <v>6376</v>
      </c>
      <c r="C3236" s="1">
        <v>2300000</v>
      </c>
      <c r="D3236" s="1" t="s">
        <v>20</v>
      </c>
      <c r="E3236">
        <v>116.7363</v>
      </c>
      <c r="F3236" s="1" t="s">
        <v>161</v>
      </c>
      <c r="G3236">
        <v>15</v>
      </c>
      <c r="H3236">
        <v>8</v>
      </c>
      <c r="I3236" s="1" t="s">
        <v>130</v>
      </c>
      <c r="J3236">
        <v>2</v>
      </c>
      <c r="K3236" t="str">
        <f>IF(Tb_data[[#This Row],[previous_workers]]&lt;Tb_data[[#This Row],[workers]],"yes","no")</f>
        <v>yes</v>
      </c>
      <c r="L3236">
        <f>Tb_data[[#This Row],[workers]]-Tb_data[[#This Row],[previous_workers]]</f>
        <v>7</v>
      </c>
      <c r="M3236" s="12">
        <f>Tb_data[[#This Row],[Employees Growth]]/Tb_data[[#This Row],[previous_workers]]</f>
        <v>0.875</v>
      </c>
    </row>
    <row r="3237" spans="1:13" x14ac:dyDescent="0.25">
      <c r="A3237" s="1" t="s">
        <v>1096</v>
      </c>
      <c r="B3237" s="1" t="s">
        <v>1097</v>
      </c>
      <c r="C3237" s="1">
        <v>5100000</v>
      </c>
      <c r="D3237" s="1" t="s">
        <v>41</v>
      </c>
      <c r="E3237">
        <v>870.54570000000001</v>
      </c>
      <c r="F3237" s="1" t="s">
        <v>156</v>
      </c>
      <c r="G3237">
        <v>28</v>
      </c>
      <c r="H3237">
        <v>2</v>
      </c>
      <c r="I3237" s="1" t="s">
        <v>117</v>
      </c>
      <c r="J3237">
        <v>1</v>
      </c>
      <c r="K3237" t="str">
        <f>IF(Tb_data[[#This Row],[previous_workers]]&lt;Tb_data[[#This Row],[workers]],"yes","no")</f>
        <v>yes</v>
      </c>
      <c r="L3237">
        <f>Tb_data[[#This Row],[workers]]-Tb_data[[#This Row],[previous_workers]]</f>
        <v>26</v>
      </c>
      <c r="M3237" s="12">
        <f>Tb_data[[#This Row],[Employees Growth]]/Tb_data[[#This Row],[previous_workers]]</f>
        <v>13</v>
      </c>
    </row>
    <row r="3238" spans="1:13" x14ac:dyDescent="0.25">
      <c r="A3238" s="1" t="s">
        <v>4800</v>
      </c>
      <c r="B3238" s="1" t="s">
        <v>4801</v>
      </c>
      <c r="C3238" s="1">
        <v>5300000</v>
      </c>
      <c r="D3238" s="1" t="s">
        <v>38</v>
      </c>
      <c r="E3238">
        <v>169.76150000000001</v>
      </c>
      <c r="F3238" s="1" t="s">
        <v>310</v>
      </c>
      <c r="G3238">
        <v>30</v>
      </c>
      <c r="H3238">
        <v>20</v>
      </c>
      <c r="I3238" s="1" t="s">
        <v>2225</v>
      </c>
      <c r="J3238">
        <v>5</v>
      </c>
      <c r="K3238" t="str">
        <f>IF(Tb_data[[#This Row],[previous_workers]]&lt;Tb_data[[#This Row],[workers]],"yes","no")</f>
        <v>yes</v>
      </c>
      <c r="L3238">
        <f>Tb_data[[#This Row],[workers]]-Tb_data[[#This Row],[previous_workers]]</f>
        <v>10</v>
      </c>
      <c r="M3238" s="12">
        <f>Tb_data[[#This Row],[Employees Growth]]/Tb_data[[#This Row],[previous_workers]]</f>
        <v>0.5</v>
      </c>
    </row>
    <row r="3239" spans="1:13" x14ac:dyDescent="0.25">
      <c r="A3239" s="1" t="s">
        <v>434</v>
      </c>
      <c r="B3239" s="1" t="s">
        <v>435</v>
      </c>
      <c r="C3239" s="1">
        <v>12000000</v>
      </c>
      <c r="D3239" s="1" t="s">
        <v>61</v>
      </c>
      <c r="E3239">
        <v>2230.9276</v>
      </c>
      <c r="F3239" s="1" t="s">
        <v>169</v>
      </c>
      <c r="G3239">
        <v>80</v>
      </c>
      <c r="H3239">
        <v>40</v>
      </c>
      <c r="I3239" s="1" t="s">
        <v>13</v>
      </c>
      <c r="J3239">
        <v>1</v>
      </c>
      <c r="K3239" t="str">
        <f>IF(Tb_data[[#This Row],[previous_workers]]&lt;Tb_data[[#This Row],[workers]],"yes","no")</f>
        <v>yes</v>
      </c>
      <c r="L3239">
        <f>Tb_data[[#This Row],[workers]]-Tb_data[[#This Row],[previous_workers]]</f>
        <v>40</v>
      </c>
      <c r="M3239" s="12">
        <f>Tb_data[[#This Row],[Employees Growth]]/Tb_data[[#This Row],[previous_workers]]</f>
        <v>1</v>
      </c>
    </row>
    <row r="3240" spans="1:13" x14ac:dyDescent="0.25">
      <c r="A3240" s="1" t="s">
        <v>5182</v>
      </c>
      <c r="B3240" s="1" t="s">
        <v>5183</v>
      </c>
      <c r="C3240" s="1">
        <v>52300000</v>
      </c>
      <c r="D3240" s="1" t="s">
        <v>627</v>
      </c>
      <c r="E3240">
        <v>154.24870000000001</v>
      </c>
      <c r="F3240" s="1" t="s">
        <v>176</v>
      </c>
      <c r="G3240">
        <v>313</v>
      </c>
      <c r="H3240">
        <v>226</v>
      </c>
      <c r="I3240" s="1" t="s">
        <v>4065</v>
      </c>
      <c r="J3240">
        <v>4</v>
      </c>
      <c r="K3240" t="str">
        <f>IF(Tb_data[[#This Row],[previous_workers]]&lt;Tb_data[[#This Row],[workers]],"yes","no")</f>
        <v>yes</v>
      </c>
      <c r="L3240">
        <f>Tb_data[[#This Row],[workers]]-Tb_data[[#This Row],[previous_workers]]</f>
        <v>87</v>
      </c>
      <c r="M3240" s="12">
        <f>Tb_data[[#This Row],[Employees Growth]]/Tb_data[[#This Row],[previous_workers]]</f>
        <v>0.38495575221238937</v>
      </c>
    </row>
    <row r="3241" spans="1:13" x14ac:dyDescent="0.25">
      <c r="A3241" s="1" t="s">
        <v>2654</v>
      </c>
      <c r="B3241" s="1" t="s">
        <v>2655</v>
      </c>
      <c r="C3241" s="1">
        <v>19400000</v>
      </c>
      <c r="D3241" s="1" t="s">
        <v>91</v>
      </c>
      <c r="E3241">
        <v>325.00920000000002</v>
      </c>
      <c r="F3241" s="1" t="s">
        <v>86</v>
      </c>
      <c r="G3241">
        <v>45</v>
      </c>
      <c r="H3241">
        <v>15</v>
      </c>
      <c r="I3241" s="1" t="s">
        <v>1051</v>
      </c>
      <c r="J3241">
        <v>1</v>
      </c>
      <c r="K3241" t="str">
        <f>IF(Tb_data[[#This Row],[previous_workers]]&lt;Tb_data[[#This Row],[workers]],"yes","no")</f>
        <v>yes</v>
      </c>
      <c r="L3241">
        <f>Tb_data[[#This Row],[workers]]-Tb_data[[#This Row],[previous_workers]]</f>
        <v>30</v>
      </c>
      <c r="M3241" s="12">
        <f>Tb_data[[#This Row],[Employees Growth]]/Tb_data[[#This Row],[previous_workers]]</f>
        <v>2</v>
      </c>
    </row>
    <row r="3242" spans="1:13" x14ac:dyDescent="0.25">
      <c r="A3242" s="1" t="s">
        <v>3485</v>
      </c>
      <c r="B3242" s="1" t="s">
        <v>3486</v>
      </c>
      <c r="C3242" s="1">
        <v>37700000</v>
      </c>
      <c r="D3242" s="1" t="s">
        <v>52</v>
      </c>
      <c r="E3242">
        <v>243.77070000000001</v>
      </c>
      <c r="F3242" s="1" t="s">
        <v>34</v>
      </c>
      <c r="G3242">
        <v>386</v>
      </c>
      <c r="H3242">
        <v>135</v>
      </c>
      <c r="I3242" s="1" t="s">
        <v>46</v>
      </c>
      <c r="J3242">
        <v>3</v>
      </c>
      <c r="K3242" t="str">
        <f>IF(Tb_data[[#This Row],[previous_workers]]&lt;Tb_data[[#This Row],[workers]],"yes","no")</f>
        <v>yes</v>
      </c>
      <c r="L3242">
        <f>Tb_data[[#This Row],[workers]]-Tb_data[[#This Row],[previous_workers]]</f>
        <v>251</v>
      </c>
      <c r="M3242" s="12">
        <f>Tb_data[[#This Row],[Employees Growth]]/Tb_data[[#This Row],[previous_workers]]</f>
        <v>1.8592592592592592</v>
      </c>
    </row>
    <row r="3243" spans="1:13" x14ac:dyDescent="0.25">
      <c r="A3243" s="1" t="s">
        <v>4170</v>
      </c>
      <c r="B3243" s="1" t="s">
        <v>4171</v>
      </c>
      <c r="C3243" s="1">
        <v>2900000</v>
      </c>
      <c r="D3243" s="1" t="s">
        <v>52</v>
      </c>
      <c r="E3243">
        <v>196.78039999999999</v>
      </c>
      <c r="F3243" s="1" t="s">
        <v>100</v>
      </c>
      <c r="G3243">
        <v>23</v>
      </c>
      <c r="H3243">
        <v>15</v>
      </c>
      <c r="I3243" s="1" t="s">
        <v>117</v>
      </c>
      <c r="J3243">
        <v>1</v>
      </c>
      <c r="K3243" t="str">
        <f>IF(Tb_data[[#This Row],[previous_workers]]&lt;Tb_data[[#This Row],[workers]],"yes","no")</f>
        <v>yes</v>
      </c>
      <c r="L3243">
        <f>Tb_data[[#This Row],[workers]]-Tb_data[[#This Row],[previous_workers]]</f>
        <v>8</v>
      </c>
      <c r="M3243" s="12">
        <f>Tb_data[[#This Row],[Employees Growth]]/Tb_data[[#This Row],[previous_workers]]</f>
        <v>0.53333333333333333</v>
      </c>
    </row>
    <row r="3244" spans="1:13" x14ac:dyDescent="0.25">
      <c r="A3244" s="1" t="s">
        <v>1363</v>
      </c>
      <c r="B3244" s="1" t="s">
        <v>1364</v>
      </c>
      <c r="C3244" s="1">
        <v>49100000</v>
      </c>
      <c r="D3244" s="1" t="s">
        <v>41</v>
      </c>
      <c r="E3244">
        <v>698.50289999999995</v>
      </c>
      <c r="F3244" s="1" t="s">
        <v>100</v>
      </c>
      <c r="G3244">
        <v>12</v>
      </c>
      <c r="H3244">
        <v>5</v>
      </c>
      <c r="I3244" s="1" t="s">
        <v>26</v>
      </c>
      <c r="J3244">
        <v>1</v>
      </c>
      <c r="K3244" t="str">
        <f>IF(Tb_data[[#This Row],[previous_workers]]&lt;Tb_data[[#This Row],[workers]],"yes","no")</f>
        <v>yes</v>
      </c>
      <c r="L3244">
        <f>Tb_data[[#This Row],[workers]]-Tb_data[[#This Row],[previous_workers]]</f>
        <v>7</v>
      </c>
      <c r="M3244" s="12">
        <f>Tb_data[[#This Row],[Employees Growth]]/Tb_data[[#This Row],[previous_workers]]</f>
        <v>1.4</v>
      </c>
    </row>
    <row r="3245" spans="1:13" x14ac:dyDescent="0.25">
      <c r="A3245" s="1" t="s">
        <v>1168</v>
      </c>
      <c r="B3245" s="1" t="s">
        <v>1169</v>
      </c>
      <c r="C3245" s="1">
        <v>2900000</v>
      </c>
      <c r="D3245" s="1" t="s">
        <v>49</v>
      </c>
      <c r="E3245">
        <v>817.2645</v>
      </c>
      <c r="F3245" s="1" t="s">
        <v>86</v>
      </c>
      <c r="G3245">
        <v>20</v>
      </c>
      <c r="H3245">
        <v>46</v>
      </c>
      <c r="I3245" s="1" t="s">
        <v>130</v>
      </c>
      <c r="J3245">
        <v>2</v>
      </c>
      <c r="K3245" t="str">
        <f>IF(Tb_data[[#This Row],[previous_workers]]&lt;Tb_data[[#This Row],[workers]],"yes","no")</f>
        <v>no</v>
      </c>
      <c r="L3245">
        <f>Tb_data[[#This Row],[workers]]-Tb_data[[#This Row],[previous_workers]]</f>
        <v>-26</v>
      </c>
      <c r="M3245" s="12">
        <f>Tb_data[[#This Row],[Employees Growth]]/Tb_data[[#This Row],[previous_workers]]</f>
        <v>-0.56521739130434778</v>
      </c>
    </row>
    <row r="3246" spans="1:13" x14ac:dyDescent="0.25">
      <c r="A3246" s="1" t="s">
        <v>7961</v>
      </c>
      <c r="B3246" s="1" t="s">
        <v>7962</v>
      </c>
      <c r="C3246" s="1">
        <v>16800000</v>
      </c>
      <c r="D3246" s="1" t="s">
        <v>38</v>
      </c>
      <c r="E3246">
        <v>83.652199999999993</v>
      </c>
      <c r="F3246" s="1" t="s">
        <v>124</v>
      </c>
      <c r="G3246">
        <v>48</v>
      </c>
      <c r="H3246">
        <v>30</v>
      </c>
      <c r="I3246" s="1" t="s">
        <v>194</v>
      </c>
      <c r="J3246">
        <v>1</v>
      </c>
      <c r="K3246" t="str">
        <f>IF(Tb_data[[#This Row],[previous_workers]]&lt;Tb_data[[#This Row],[workers]],"yes","no")</f>
        <v>yes</v>
      </c>
      <c r="L3246">
        <f>Tb_data[[#This Row],[workers]]-Tb_data[[#This Row],[previous_workers]]</f>
        <v>18</v>
      </c>
      <c r="M3246" s="12">
        <f>Tb_data[[#This Row],[Employees Growth]]/Tb_data[[#This Row],[previous_workers]]</f>
        <v>0.6</v>
      </c>
    </row>
    <row r="3247" spans="1:13" x14ac:dyDescent="0.25">
      <c r="A3247" s="1" t="s">
        <v>2703</v>
      </c>
      <c r="B3247" s="1" t="s">
        <v>2704</v>
      </c>
      <c r="C3247" s="1">
        <v>130700000</v>
      </c>
      <c r="D3247" s="1" t="s">
        <v>20</v>
      </c>
      <c r="E3247">
        <v>318.50790000000001</v>
      </c>
      <c r="F3247" s="1" t="s">
        <v>25</v>
      </c>
      <c r="G3247">
        <v>71</v>
      </c>
      <c r="H3247">
        <v>39</v>
      </c>
      <c r="I3247" s="1" t="s">
        <v>164</v>
      </c>
      <c r="J3247">
        <v>2</v>
      </c>
      <c r="K3247" t="str">
        <f>IF(Tb_data[[#This Row],[previous_workers]]&lt;Tb_data[[#This Row],[workers]],"yes","no")</f>
        <v>yes</v>
      </c>
      <c r="L3247">
        <f>Tb_data[[#This Row],[workers]]-Tb_data[[#This Row],[previous_workers]]</f>
        <v>32</v>
      </c>
      <c r="M3247" s="12">
        <f>Tb_data[[#This Row],[Employees Growth]]/Tb_data[[#This Row],[previous_workers]]</f>
        <v>0.82051282051282048</v>
      </c>
    </row>
    <row r="3248" spans="1:13" x14ac:dyDescent="0.25">
      <c r="A3248" s="1" t="s">
        <v>6880</v>
      </c>
      <c r="B3248" s="1" t="s">
        <v>6881</v>
      </c>
      <c r="C3248" s="1">
        <v>20100000</v>
      </c>
      <c r="D3248" s="1" t="s">
        <v>49</v>
      </c>
      <c r="E3248">
        <v>104.8366</v>
      </c>
      <c r="F3248" s="1" t="s">
        <v>25</v>
      </c>
      <c r="G3248">
        <v>37</v>
      </c>
      <c r="H3248">
        <v>21</v>
      </c>
      <c r="I3248" s="1" t="s">
        <v>46</v>
      </c>
      <c r="J3248">
        <v>6</v>
      </c>
      <c r="K3248" t="str">
        <f>IF(Tb_data[[#This Row],[previous_workers]]&lt;Tb_data[[#This Row],[workers]],"yes","no")</f>
        <v>yes</v>
      </c>
      <c r="L3248">
        <f>Tb_data[[#This Row],[workers]]-Tb_data[[#This Row],[previous_workers]]</f>
        <v>16</v>
      </c>
      <c r="M3248" s="12">
        <f>Tb_data[[#This Row],[Employees Growth]]/Tb_data[[#This Row],[previous_workers]]</f>
        <v>0.76190476190476186</v>
      </c>
    </row>
    <row r="3249" spans="1:13" x14ac:dyDescent="0.25">
      <c r="A3249" s="1" t="s">
        <v>7697</v>
      </c>
      <c r="B3249" s="1" t="s">
        <v>7698</v>
      </c>
      <c r="C3249" s="1">
        <v>38800000</v>
      </c>
      <c r="D3249" s="1" t="s">
        <v>20</v>
      </c>
      <c r="E3249">
        <v>88.103499999999997</v>
      </c>
      <c r="F3249" s="1" t="s">
        <v>34</v>
      </c>
      <c r="G3249">
        <v>1664</v>
      </c>
      <c r="H3249">
        <v>683</v>
      </c>
      <c r="I3249" s="1" t="s">
        <v>117</v>
      </c>
      <c r="J3249">
        <v>4</v>
      </c>
      <c r="K3249" t="str">
        <f>IF(Tb_data[[#This Row],[previous_workers]]&lt;Tb_data[[#This Row],[workers]],"yes","no")</f>
        <v>yes</v>
      </c>
      <c r="L3249">
        <f>Tb_data[[#This Row],[workers]]-Tb_data[[#This Row],[previous_workers]]</f>
        <v>981</v>
      </c>
      <c r="M3249" s="12">
        <f>Tb_data[[#This Row],[Employees Growth]]/Tb_data[[#This Row],[previous_workers]]</f>
        <v>1.4363103953147878</v>
      </c>
    </row>
    <row r="3250" spans="1:13" x14ac:dyDescent="0.25">
      <c r="A3250" s="1" t="s">
        <v>2633</v>
      </c>
      <c r="B3250" s="1" t="s">
        <v>2634</v>
      </c>
      <c r="C3250" s="1">
        <v>101600000</v>
      </c>
      <c r="D3250" s="1" t="s">
        <v>52</v>
      </c>
      <c r="E3250">
        <v>328.55810000000002</v>
      </c>
      <c r="F3250" s="1" t="s">
        <v>310</v>
      </c>
      <c r="G3250">
        <v>1420</v>
      </c>
      <c r="H3250">
        <v>620</v>
      </c>
      <c r="I3250" s="1" t="s">
        <v>46</v>
      </c>
      <c r="J3250">
        <v>4</v>
      </c>
      <c r="K3250" t="str">
        <f>IF(Tb_data[[#This Row],[previous_workers]]&lt;Tb_data[[#This Row],[workers]],"yes","no")</f>
        <v>yes</v>
      </c>
      <c r="L3250">
        <f>Tb_data[[#This Row],[workers]]-Tb_data[[#This Row],[previous_workers]]</f>
        <v>800</v>
      </c>
      <c r="M3250" s="12">
        <f>Tb_data[[#This Row],[Employees Growth]]/Tb_data[[#This Row],[previous_workers]]</f>
        <v>1.2903225806451613</v>
      </c>
    </row>
    <row r="3251" spans="1:13" x14ac:dyDescent="0.25">
      <c r="A3251" s="1" t="s">
        <v>7821</v>
      </c>
      <c r="B3251" s="1" t="s">
        <v>7822</v>
      </c>
      <c r="C3251" s="1">
        <v>17400000</v>
      </c>
      <c r="D3251" s="1" t="s">
        <v>380</v>
      </c>
      <c r="E3251">
        <v>86.008399999999995</v>
      </c>
      <c r="F3251" s="1" t="s">
        <v>86</v>
      </c>
      <c r="G3251">
        <v>79</v>
      </c>
      <c r="H3251">
        <v>63</v>
      </c>
      <c r="I3251" s="1" t="s">
        <v>147</v>
      </c>
      <c r="J3251">
        <v>8</v>
      </c>
      <c r="K3251" t="str">
        <f>IF(Tb_data[[#This Row],[previous_workers]]&lt;Tb_data[[#This Row],[workers]],"yes","no")</f>
        <v>yes</v>
      </c>
      <c r="L3251">
        <f>Tb_data[[#This Row],[workers]]-Tb_data[[#This Row],[previous_workers]]</f>
        <v>16</v>
      </c>
      <c r="M3251" s="12">
        <f>Tb_data[[#This Row],[Employees Growth]]/Tb_data[[#This Row],[previous_workers]]</f>
        <v>0.25396825396825395</v>
      </c>
    </row>
    <row r="3252" spans="1:13" x14ac:dyDescent="0.25">
      <c r="A3252" s="1" t="s">
        <v>7435</v>
      </c>
      <c r="B3252" s="1" t="s">
        <v>7436</v>
      </c>
      <c r="C3252" s="1">
        <v>15700000</v>
      </c>
      <c r="D3252" s="1" t="s">
        <v>427</v>
      </c>
      <c r="E3252">
        <v>94.618200000000002</v>
      </c>
      <c r="F3252" s="1" t="s">
        <v>25</v>
      </c>
      <c r="G3252">
        <v>38</v>
      </c>
      <c r="H3252">
        <v>14</v>
      </c>
      <c r="I3252" s="1" t="s">
        <v>1356</v>
      </c>
      <c r="J3252">
        <v>7</v>
      </c>
      <c r="K3252" t="str">
        <f>IF(Tb_data[[#This Row],[previous_workers]]&lt;Tb_data[[#This Row],[workers]],"yes","no")</f>
        <v>yes</v>
      </c>
      <c r="L3252">
        <f>Tb_data[[#This Row],[workers]]-Tb_data[[#This Row],[previous_workers]]</f>
        <v>24</v>
      </c>
      <c r="M3252" s="12">
        <f>Tb_data[[#This Row],[Employees Growth]]/Tb_data[[#This Row],[previous_workers]]</f>
        <v>1.7142857142857142</v>
      </c>
    </row>
    <row r="3253" spans="1:13" x14ac:dyDescent="0.25">
      <c r="A3253" s="1" t="s">
        <v>4764</v>
      </c>
      <c r="B3253" s="1" t="s">
        <v>4765</v>
      </c>
      <c r="C3253" s="1">
        <v>3300000</v>
      </c>
      <c r="D3253" s="1" t="s">
        <v>52</v>
      </c>
      <c r="E3253">
        <v>172.08070000000001</v>
      </c>
      <c r="F3253" s="1" t="s">
        <v>161</v>
      </c>
      <c r="G3253">
        <v>10</v>
      </c>
      <c r="H3253">
        <v>5</v>
      </c>
      <c r="I3253" s="1" t="s">
        <v>164</v>
      </c>
      <c r="J3253">
        <v>3</v>
      </c>
      <c r="K3253" t="str">
        <f>IF(Tb_data[[#This Row],[previous_workers]]&lt;Tb_data[[#This Row],[workers]],"yes","no")</f>
        <v>yes</v>
      </c>
      <c r="L3253">
        <f>Tb_data[[#This Row],[workers]]-Tb_data[[#This Row],[previous_workers]]</f>
        <v>5</v>
      </c>
      <c r="M3253" s="12">
        <f>Tb_data[[#This Row],[Employees Growth]]/Tb_data[[#This Row],[previous_workers]]</f>
        <v>1</v>
      </c>
    </row>
    <row r="3254" spans="1:13" x14ac:dyDescent="0.25">
      <c r="A3254" s="1" t="s">
        <v>5004</v>
      </c>
      <c r="B3254" s="1" t="s">
        <v>5005</v>
      </c>
      <c r="C3254" s="1">
        <v>9500000</v>
      </c>
      <c r="D3254" s="1" t="s">
        <v>91</v>
      </c>
      <c r="E3254">
        <v>161.66139999999999</v>
      </c>
      <c r="F3254" s="1" t="s">
        <v>100</v>
      </c>
      <c r="G3254">
        <v>70</v>
      </c>
      <c r="H3254">
        <v>30</v>
      </c>
      <c r="I3254" s="1" t="s">
        <v>948</v>
      </c>
      <c r="J3254">
        <v>1</v>
      </c>
      <c r="K3254" t="str">
        <f>IF(Tb_data[[#This Row],[previous_workers]]&lt;Tb_data[[#This Row],[workers]],"yes","no")</f>
        <v>yes</v>
      </c>
      <c r="L3254">
        <f>Tb_data[[#This Row],[workers]]-Tb_data[[#This Row],[previous_workers]]</f>
        <v>40</v>
      </c>
      <c r="M3254" s="12">
        <f>Tb_data[[#This Row],[Employees Growth]]/Tb_data[[#This Row],[previous_workers]]</f>
        <v>1.3333333333333333</v>
      </c>
    </row>
    <row r="3255" spans="1:13" x14ac:dyDescent="0.25">
      <c r="A3255" s="1" t="s">
        <v>5274</v>
      </c>
      <c r="B3255" s="1" t="s">
        <v>5275</v>
      </c>
      <c r="C3255" s="1">
        <v>2300000</v>
      </c>
      <c r="D3255" s="1" t="s">
        <v>49</v>
      </c>
      <c r="E3255">
        <v>151.0411</v>
      </c>
      <c r="F3255" s="1" t="s">
        <v>135</v>
      </c>
      <c r="G3255">
        <v>78</v>
      </c>
      <c r="H3255">
        <v>42</v>
      </c>
      <c r="I3255" s="1" t="s">
        <v>35</v>
      </c>
      <c r="J3255">
        <v>1</v>
      </c>
      <c r="K3255" t="str">
        <f>IF(Tb_data[[#This Row],[previous_workers]]&lt;Tb_data[[#This Row],[workers]],"yes","no")</f>
        <v>yes</v>
      </c>
      <c r="L3255">
        <f>Tb_data[[#This Row],[workers]]-Tb_data[[#This Row],[previous_workers]]</f>
        <v>36</v>
      </c>
      <c r="M3255" s="12">
        <f>Tb_data[[#This Row],[Employees Growth]]/Tb_data[[#This Row],[previous_workers]]</f>
        <v>0.8571428571428571</v>
      </c>
    </row>
    <row r="3256" spans="1:13" x14ac:dyDescent="0.25">
      <c r="A3256" s="1" t="s">
        <v>92</v>
      </c>
      <c r="B3256" s="1" t="s">
        <v>93</v>
      </c>
      <c r="C3256" s="1">
        <v>128200000</v>
      </c>
      <c r="D3256" s="1" t="s">
        <v>20</v>
      </c>
      <c r="E3256">
        <v>7426.8072000000002</v>
      </c>
      <c r="F3256" s="1" t="s">
        <v>94</v>
      </c>
      <c r="G3256">
        <v>191</v>
      </c>
      <c r="H3256">
        <v>14</v>
      </c>
      <c r="I3256" s="1" t="s">
        <v>13</v>
      </c>
      <c r="J3256">
        <v>1</v>
      </c>
      <c r="K3256" t="str">
        <f>IF(Tb_data[[#This Row],[previous_workers]]&lt;Tb_data[[#This Row],[workers]],"yes","no")</f>
        <v>yes</v>
      </c>
      <c r="L3256">
        <f>Tb_data[[#This Row],[workers]]-Tb_data[[#This Row],[previous_workers]]</f>
        <v>177</v>
      </c>
      <c r="M3256" s="12">
        <f>Tb_data[[#This Row],[Employees Growth]]/Tb_data[[#This Row],[previous_workers]]</f>
        <v>12.642857142857142</v>
      </c>
    </row>
    <row r="3257" spans="1:13" x14ac:dyDescent="0.25">
      <c r="A3257" s="1" t="s">
        <v>2502</v>
      </c>
      <c r="B3257" s="1" t="s">
        <v>2503</v>
      </c>
      <c r="C3257" s="1">
        <v>26600000</v>
      </c>
      <c r="D3257" s="1" t="s">
        <v>20</v>
      </c>
      <c r="E3257">
        <v>347.05079999999998</v>
      </c>
      <c r="F3257" s="1" t="s">
        <v>156</v>
      </c>
      <c r="G3257">
        <v>28</v>
      </c>
      <c r="H3257">
        <v>8</v>
      </c>
      <c r="I3257" s="1" t="s">
        <v>13</v>
      </c>
      <c r="J3257">
        <v>1</v>
      </c>
      <c r="K3257" t="str">
        <f>IF(Tb_data[[#This Row],[previous_workers]]&lt;Tb_data[[#This Row],[workers]],"yes","no")</f>
        <v>yes</v>
      </c>
      <c r="L3257">
        <f>Tb_data[[#This Row],[workers]]-Tb_data[[#This Row],[previous_workers]]</f>
        <v>20</v>
      </c>
      <c r="M3257" s="12">
        <f>Tb_data[[#This Row],[Employees Growth]]/Tb_data[[#This Row],[previous_workers]]</f>
        <v>2.5</v>
      </c>
    </row>
    <row r="3258" spans="1:13" x14ac:dyDescent="0.25">
      <c r="A3258" s="1" t="s">
        <v>1005</v>
      </c>
      <c r="B3258" s="1" t="s">
        <v>1006</v>
      </c>
      <c r="C3258" s="1">
        <v>18600000</v>
      </c>
      <c r="D3258" s="1" t="s">
        <v>664</v>
      </c>
      <c r="E3258">
        <v>998.02930000000003</v>
      </c>
      <c r="F3258" s="1" t="s">
        <v>169</v>
      </c>
      <c r="G3258">
        <v>180</v>
      </c>
      <c r="H3258">
        <v>30</v>
      </c>
      <c r="I3258" s="1" t="s">
        <v>55</v>
      </c>
      <c r="J3258">
        <v>2</v>
      </c>
      <c r="K3258" t="str">
        <f>IF(Tb_data[[#This Row],[previous_workers]]&lt;Tb_data[[#This Row],[workers]],"yes","no")</f>
        <v>yes</v>
      </c>
      <c r="L3258">
        <f>Tb_data[[#This Row],[workers]]-Tb_data[[#This Row],[previous_workers]]</f>
        <v>150</v>
      </c>
      <c r="M3258" s="12">
        <f>Tb_data[[#This Row],[Employees Growth]]/Tb_data[[#This Row],[previous_workers]]</f>
        <v>5</v>
      </c>
    </row>
    <row r="3259" spans="1:13" x14ac:dyDescent="0.25">
      <c r="A3259" s="1" t="s">
        <v>2274</v>
      </c>
      <c r="B3259" s="1" t="s">
        <v>2275</v>
      </c>
      <c r="C3259" s="1">
        <v>3400000</v>
      </c>
      <c r="D3259" s="1" t="s">
        <v>129</v>
      </c>
      <c r="E3259">
        <v>387.35140000000001</v>
      </c>
      <c r="F3259" s="1" t="s">
        <v>514</v>
      </c>
      <c r="G3259">
        <v>11</v>
      </c>
      <c r="H3259">
        <v>6</v>
      </c>
      <c r="I3259" s="1" t="s">
        <v>74</v>
      </c>
      <c r="J3259">
        <v>2</v>
      </c>
      <c r="K3259" t="str">
        <f>IF(Tb_data[[#This Row],[previous_workers]]&lt;Tb_data[[#This Row],[workers]],"yes","no")</f>
        <v>yes</v>
      </c>
      <c r="L3259">
        <f>Tb_data[[#This Row],[workers]]-Tb_data[[#This Row],[previous_workers]]</f>
        <v>5</v>
      </c>
      <c r="M3259" s="12">
        <f>Tb_data[[#This Row],[Employees Growth]]/Tb_data[[#This Row],[previous_workers]]</f>
        <v>0.83333333333333337</v>
      </c>
    </row>
    <row r="3260" spans="1:13" x14ac:dyDescent="0.25">
      <c r="A3260" s="1" t="s">
        <v>213</v>
      </c>
      <c r="B3260" s="1" t="s">
        <v>214</v>
      </c>
      <c r="C3260" s="1">
        <v>20900000</v>
      </c>
      <c r="D3260" s="1" t="s">
        <v>115</v>
      </c>
      <c r="E3260">
        <v>4266.8158000000003</v>
      </c>
      <c r="F3260" s="1" t="s">
        <v>86</v>
      </c>
      <c r="G3260">
        <v>258</v>
      </c>
      <c r="H3260">
        <v>28</v>
      </c>
      <c r="I3260" s="1" t="s">
        <v>55</v>
      </c>
      <c r="J3260">
        <v>1</v>
      </c>
      <c r="K3260" t="str">
        <f>IF(Tb_data[[#This Row],[previous_workers]]&lt;Tb_data[[#This Row],[workers]],"yes","no")</f>
        <v>yes</v>
      </c>
      <c r="L3260">
        <f>Tb_data[[#This Row],[workers]]-Tb_data[[#This Row],[previous_workers]]</f>
        <v>230</v>
      </c>
      <c r="M3260" s="12">
        <f>Tb_data[[#This Row],[Employees Growth]]/Tb_data[[#This Row],[previous_workers]]</f>
        <v>8.2142857142857135</v>
      </c>
    </row>
    <row r="3261" spans="1:13" x14ac:dyDescent="0.25">
      <c r="A3261" s="1" t="s">
        <v>2122</v>
      </c>
      <c r="B3261" s="1" t="s">
        <v>2123</v>
      </c>
      <c r="C3261" s="1">
        <v>2600000</v>
      </c>
      <c r="D3261" s="1" t="s">
        <v>38</v>
      </c>
      <c r="E3261">
        <v>419.59750000000003</v>
      </c>
      <c r="F3261" s="1" t="s">
        <v>176</v>
      </c>
      <c r="G3261">
        <v>43</v>
      </c>
      <c r="H3261">
        <v>4</v>
      </c>
      <c r="I3261" s="1" t="s">
        <v>13</v>
      </c>
      <c r="J3261">
        <v>1</v>
      </c>
      <c r="K3261" t="str">
        <f>IF(Tb_data[[#This Row],[previous_workers]]&lt;Tb_data[[#This Row],[workers]],"yes","no")</f>
        <v>yes</v>
      </c>
      <c r="L3261">
        <f>Tb_data[[#This Row],[workers]]-Tb_data[[#This Row],[previous_workers]]</f>
        <v>39</v>
      </c>
      <c r="M3261" s="12">
        <f>Tb_data[[#This Row],[Employees Growth]]/Tb_data[[#This Row],[previous_workers]]</f>
        <v>9.75</v>
      </c>
    </row>
    <row r="3262" spans="1:13" x14ac:dyDescent="0.25">
      <c r="A3262" s="1" t="s">
        <v>2163</v>
      </c>
      <c r="B3262" s="1" t="s">
        <v>2164</v>
      </c>
      <c r="C3262" s="1">
        <v>28400000</v>
      </c>
      <c r="D3262" s="1" t="s">
        <v>49</v>
      </c>
      <c r="E3262">
        <v>409.89780000000002</v>
      </c>
      <c r="F3262" s="1" t="s">
        <v>62</v>
      </c>
      <c r="G3262">
        <v>273</v>
      </c>
      <c r="H3262">
        <v>120</v>
      </c>
      <c r="I3262" s="1" t="s">
        <v>961</v>
      </c>
      <c r="J3262">
        <v>6</v>
      </c>
      <c r="K3262" t="str">
        <f>IF(Tb_data[[#This Row],[previous_workers]]&lt;Tb_data[[#This Row],[workers]],"yes","no")</f>
        <v>yes</v>
      </c>
      <c r="L3262">
        <f>Tb_data[[#This Row],[workers]]-Tb_data[[#This Row],[previous_workers]]</f>
        <v>153</v>
      </c>
      <c r="M3262" s="12">
        <f>Tb_data[[#This Row],[Employees Growth]]/Tb_data[[#This Row],[previous_workers]]</f>
        <v>1.2749999999999999</v>
      </c>
    </row>
    <row r="3263" spans="1:13" x14ac:dyDescent="0.25">
      <c r="A3263" s="1" t="s">
        <v>1202</v>
      </c>
      <c r="B3263" s="1" t="s">
        <v>1203</v>
      </c>
      <c r="C3263" s="1">
        <v>7500000</v>
      </c>
      <c r="D3263" s="1" t="s">
        <v>254</v>
      </c>
      <c r="E3263">
        <v>807.77409999999998</v>
      </c>
      <c r="F3263" s="1" t="s">
        <v>124</v>
      </c>
      <c r="G3263">
        <v>18</v>
      </c>
      <c r="H3263">
        <v>6</v>
      </c>
      <c r="I3263" s="1" t="s">
        <v>26</v>
      </c>
      <c r="J3263">
        <v>1</v>
      </c>
      <c r="K3263" t="str">
        <f>IF(Tb_data[[#This Row],[previous_workers]]&lt;Tb_data[[#This Row],[workers]],"yes","no")</f>
        <v>yes</v>
      </c>
      <c r="L3263">
        <f>Tb_data[[#This Row],[workers]]-Tb_data[[#This Row],[previous_workers]]</f>
        <v>12</v>
      </c>
      <c r="M3263" s="12">
        <f>Tb_data[[#This Row],[Employees Growth]]/Tb_data[[#This Row],[previous_workers]]</f>
        <v>2</v>
      </c>
    </row>
    <row r="3264" spans="1:13" x14ac:dyDescent="0.25">
      <c r="A3264" s="1" t="s">
        <v>9165</v>
      </c>
      <c r="B3264" s="1" t="s">
        <v>9166</v>
      </c>
      <c r="C3264" s="1">
        <v>4100000</v>
      </c>
      <c r="D3264" s="1" t="s">
        <v>49</v>
      </c>
      <c r="E3264">
        <v>64.606999999999999</v>
      </c>
      <c r="F3264" s="1" t="s">
        <v>176</v>
      </c>
      <c r="G3264">
        <v>25</v>
      </c>
      <c r="H3264">
        <v>20</v>
      </c>
      <c r="I3264" s="1" t="s">
        <v>1051</v>
      </c>
      <c r="J3264">
        <v>4</v>
      </c>
      <c r="K3264" t="str">
        <f>IF(Tb_data[[#This Row],[previous_workers]]&lt;Tb_data[[#This Row],[workers]],"yes","no")</f>
        <v>yes</v>
      </c>
      <c r="L3264">
        <f>Tb_data[[#This Row],[workers]]-Tb_data[[#This Row],[previous_workers]]</f>
        <v>5</v>
      </c>
      <c r="M3264" s="12">
        <f>Tb_data[[#This Row],[Employees Growth]]/Tb_data[[#This Row],[previous_workers]]</f>
        <v>0.25</v>
      </c>
    </row>
    <row r="3265" spans="1:13" x14ac:dyDescent="0.25">
      <c r="A3265" s="1" t="s">
        <v>7765</v>
      </c>
      <c r="B3265" s="1" t="s">
        <v>7766</v>
      </c>
      <c r="C3265" s="1">
        <v>7300000</v>
      </c>
      <c r="D3265" s="1" t="s">
        <v>1002</v>
      </c>
      <c r="E3265">
        <v>86.929500000000004</v>
      </c>
      <c r="F3265" s="1" t="s">
        <v>100</v>
      </c>
      <c r="G3265">
        <v>55</v>
      </c>
      <c r="H3265">
        <v>45</v>
      </c>
      <c r="I3265" s="1" t="s">
        <v>4069</v>
      </c>
      <c r="J3265">
        <v>2</v>
      </c>
      <c r="K3265" t="str">
        <f>IF(Tb_data[[#This Row],[previous_workers]]&lt;Tb_data[[#This Row],[workers]],"yes","no")</f>
        <v>yes</v>
      </c>
      <c r="L3265">
        <f>Tb_data[[#This Row],[workers]]-Tb_data[[#This Row],[previous_workers]]</f>
        <v>10</v>
      </c>
      <c r="M3265" s="12">
        <f>Tb_data[[#This Row],[Employees Growth]]/Tb_data[[#This Row],[previous_workers]]</f>
        <v>0.22222222222222221</v>
      </c>
    </row>
    <row r="3266" spans="1:13" x14ac:dyDescent="0.25">
      <c r="A3266" s="1" t="s">
        <v>6407</v>
      </c>
      <c r="B3266" s="1" t="s">
        <v>6408</v>
      </c>
      <c r="C3266" s="1">
        <v>3500000</v>
      </c>
      <c r="D3266" s="1" t="s">
        <v>483</v>
      </c>
      <c r="E3266">
        <v>116.0667</v>
      </c>
      <c r="F3266" s="1" t="s">
        <v>12</v>
      </c>
      <c r="G3266">
        <v>10</v>
      </c>
      <c r="H3266">
        <v>6</v>
      </c>
      <c r="I3266" s="1" t="s">
        <v>164</v>
      </c>
      <c r="J3266">
        <v>1</v>
      </c>
      <c r="K3266" t="str">
        <f>IF(Tb_data[[#This Row],[previous_workers]]&lt;Tb_data[[#This Row],[workers]],"yes","no")</f>
        <v>yes</v>
      </c>
      <c r="L3266">
        <f>Tb_data[[#This Row],[workers]]-Tb_data[[#This Row],[previous_workers]]</f>
        <v>4</v>
      </c>
      <c r="M3266" s="12">
        <f>Tb_data[[#This Row],[Employees Growth]]/Tb_data[[#This Row],[previous_workers]]</f>
        <v>0.66666666666666663</v>
      </c>
    </row>
    <row r="3267" spans="1:13" x14ac:dyDescent="0.25">
      <c r="A3267" s="1" t="s">
        <v>4990</v>
      </c>
      <c r="B3267" s="1" t="s">
        <v>4991</v>
      </c>
      <c r="C3267" s="1">
        <v>5800000</v>
      </c>
      <c r="D3267" s="1" t="s">
        <v>33</v>
      </c>
      <c r="E3267">
        <v>162.1687</v>
      </c>
      <c r="F3267" s="1" t="s">
        <v>100</v>
      </c>
      <c r="G3267">
        <v>67</v>
      </c>
      <c r="H3267">
        <v>18</v>
      </c>
      <c r="I3267" s="1" t="s">
        <v>117</v>
      </c>
      <c r="J3267">
        <v>2</v>
      </c>
      <c r="K3267" t="str">
        <f>IF(Tb_data[[#This Row],[previous_workers]]&lt;Tb_data[[#This Row],[workers]],"yes","no")</f>
        <v>yes</v>
      </c>
      <c r="L3267">
        <f>Tb_data[[#This Row],[workers]]-Tb_data[[#This Row],[previous_workers]]</f>
        <v>49</v>
      </c>
      <c r="M3267" s="12">
        <f>Tb_data[[#This Row],[Employees Growth]]/Tb_data[[#This Row],[previous_workers]]</f>
        <v>2.7222222222222223</v>
      </c>
    </row>
    <row r="3268" spans="1:13" x14ac:dyDescent="0.25">
      <c r="A3268" s="1" t="s">
        <v>3025</v>
      </c>
      <c r="B3268" s="1" t="s">
        <v>3026</v>
      </c>
      <c r="C3268" s="1">
        <v>3000000</v>
      </c>
      <c r="D3268" s="1" t="s">
        <v>627</v>
      </c>
      <c r="E3268">
        <v>284.89839999999998</v>
      </c>
      <c r="F3268" s="1" t="s">
        <v>176</v>
      </c>
      <c r="G3268">
        <v>5</v>
      </c>
      <c r="H3268">
        <v>2</v>
      </c>
      <c r="I3268" s="1" t="s">
        <v>26</v>
      </c>
      <c r="J3268">
        <v>1</v>
      </c>
      <c r="K3268" t="str">
        <f>IF(Tb_data[[#This Row],[previous_workers]]&lt;Tb_data[[#This Row],[workers]],"yes","no")</f>
        <v>yes</v>
      </c>
      <c r="L3268">
        <f>Tb_data[[#This Row],[workers]]-Tb_data[[#This Row],[previous_workers]]</f>
        <v>3</v>
      </c>
      <c r="M3268" s="12">
        <f>Tb_data[[#This Row],[Employees Growth]]/Tb_data[[#This Row],[previous_workers]]</f>
        <v>1.5</v>
      </c>
    </row>
    <row r="3269" spans="1:13" x14ac:dyDescent="0.25">
      <c r="A3269" s="1" t="s">
        <v>7735</v>
      </c>
      <c r="B3269" s="1" t="s">
        <v>7736</v>
      </c>
      <c r="C3269" s="1">
        <v>3100000</v>
      </c>
      <c r="D3269" s="1" t="s">
        <v>38</v>
      </c>
      <c r="E3269">
        <v>87.468800000000002</v>
      </c>
      <c r="F3269" s="1" t="s">
        <v>12</v>
      </c>
      <c r="G3269">
        <v>5</v>
      </c>
      <c r="H3269">
        <v>5</v>
      </c>
      <c r="I3269" s="1" t="s">
        <v>147</v>
      </c>
      <c r="J3269">
        <v>3</v>
      </c>
      <c r="K3269" t="str">
        <f>IF(Tb_data[[#This Row],[previous_workers]]&lt;Tb_data[[#This Row],[workers]],"yes","no")</f>
        <v>no</v>
      </c>
      <c r="L3269">
        <f>Tb_data[[#This Row],[workers]]-Tb_data[[#This Row],[previous_workers]]</f>
        <v>0</v>
      </c>
      <c r="M3269" s="12">
        <f>Tb_data[[#This Row],[Employees Growth]]/Tb_data[[#This Row],[previous_workers]]</f>
        <v>0</v>
      </c>
    </row>
    <row r="3270" spans="1:13" x14ac:dyDescent="0.25">
      <c r="A3270" s="1" t="s">
        <v>5612</v>
      </c>
      <c r="B3270" s="1" t="s">
        <v>5613</v>
      </c>
      <c r="C3270" s="1">
        <v>24800000</v>
      </c>
      <c r="D3270" s="1" t="s">
        <v>49</v>
      </c>
      <c r="E3270">
        <v>137.4932</v>
      </c>
      <c r="F3270" s="1" t="s">
        <v>161</v>
      </c>
      <c r="G3270">
        <v>130</v>
      </c>
      <c r="H3270">
        <v>33</v>
      </c>
      <c r="I3270" s="1" t="s">
        <v>948</v>
      </c>
      <c r="J3270">
        <v>4</v>
      </c>
      <c r="K3270" t="str">
        <f>IF(Tb_data[[#This Row],[previous_workers]]&lt;Tb_data[[#This Row],[workers]],"yes","no")</f>
        <v>yes</v>
      </c>
      <c r="L3270">
        <f>Tb_data[[#This Row],[workers]]-Tb_data[[#This Row],[previous_workers]]</f>
        <v>97</v>
      </c>
      <c r="M3270" s="12">
        <f>Tb_data[[#This Row],[Employees Growth]]/Tb_data[[#This Row],[previous_workers]]</f>
        <v>2.9393939393939394</v>
      </c>
    </row>
    <row r="3271" spans="1:13" x14ac:dyDescent="0.25">
      <c r="A3271" s="1" t="s">
        <v>490</v>
      </c>
      <c r="B3271" s="1" t="s">
        <v>491</v>
      </c>
      <c r="C3271" s="1">
        <v>2300000</v>
      </c>
      <c r="D3271" s="1" t="s">
        <v>49</v>
      </c>
      <c r="E3271">
        <v>2004.3858</v>
      </c>
      <c r="F3271" s="1" t="s">
        <v>42</v>
      </c>
      <c r="G3271">
        <v>5</v>
      </c>
      <c r="H3271">
        <v>2</v>
      </c>
      <c r="I3271" s="1" t="s">
        <v>55</v>
      </c>
      <c r="J3271">
        <v>1</v>
      </c>
      <c r="K3271" t="str">
        <f>IF(Tb_data[[#This Row],[previous_workers]]&lt;Tb_data[[#This Row],[workers]],"yes","no")</f>
        <v>yes</v>
      </c>
      <c r="L3271">
        <f>Tb_data[[#This Row],[workers]]-Tb_data[[#This Row],[previous_workers]]</f>
        <v>3</v>
      </c>
      <c r="M3271" s="12">
        <f>Tb_data[[#This Row],[Employees Growth]]/Tb_data[[#This Row],[previous_workers]]</f>
        <v>1.5</v>
      </c>
    </row>
    <row r="3272" spans="1:13" x14ac:dyDescent="0.25">
      <c r="A3272" s="1" t="s">
        <v>3787</v>
      </c>
      <c r="B3272" s="1" t="s">
        <v>3788</v>
      </c>
      <c r="C3272" s="1">
        <v>84100000</v>
      </c>
      <c r="D3272" s="1" t="s">
        <v>49</v>
      </c>
      <c r="E3272">
        <v>222.6079</v>
      </c>
      <c r="F3272" s="1" t="s">
        <v>21</v>
      </c>
      <c r="G3272">
        <v>105</v>
      </c>
      <c r="H3272">
        <v>121</v>
      </c>
      <c r="I3272" s="1" t="s">
        <v>295</v>
      </c>
      <c r="J3272">
        <v>2</v>
      </c>
      <c r="K3272" t="str">
        <f>IF(Tb_data[[#This Row],[previous_workers]]&lt;Tb_data[[#This Row],[workers]],"yes","no")</f>
        <v>no</v>
      </c>
      <c r="L3272">
        <f>Tb_data[[#This Row],[workers]]-Tb_data[[#This Row],[previous_workers]]</f>
        <v>-16</v>
      </c>
      <c r="M3272" s="12">
        <f>Tb_data[[#This Row],[Employees Growth]]/Tb_data[[#This Row],[previous_workers]]</f>
        <v>-0.13223140495867769</v>
      </c>
    </row>
    <row r="3273" spans="1:13" x14ac:dyDescent="0.25">
      <c r="A3273" s="1" t="s">
        <v>6823</v>
      </c>
      <c r="B3273" s="1" t="s">
        <v>6824</v>
      </c>
      <c r="C3273" s="1">
        <v>7200000</v>
      </c>
      <c r="D3273" s="1" t="s">
        <v>11</v>
      </c>
      <c r="E3273">
        <v>106.05840000000001</v>
      </c>
      <c r="F3273" s="1" t="s">
        <v>25</v>
      </c>
      <c r="G3273">
        <v>21</v>
      </c>
      <c r="H3273">
        <v>12</v>
      </c>
      <c r="I3273" s="1" t="s">
        <v>229</v>
      </c>
      <c r="J3273">
        <v>5</v>
      </c>
      <c r="K3273" t="str">
        <f>IF(Tb_data[[#This Row],[previous_workers]]&lt;Tb_data[[#This Row],[workers]],"yes","no")</f>
        <v>yes</v>
      </c>
      <c r="L3273">
        <f>Tb_data[[#This Row],[workers]]-Tb_data[[#This Row],[previous_workers]]</f>
        <v>9</v>
      </c>
      <c r="M3273" s="12">
        <f>Tb_data[[#This Row],[Employees Growth]]/Tb_data[[#This Row],[previous_workers]]</f>
        <v>0.75</v>
      </c>
    </row>
    <row r="3274" spans="1:13" x14ac:dyDescent="0.25">
      <c r="A3274" s="1" t="s">
        <v>9978</v>
      </c>
      <c r="B3274" s="1" t="s">
        <v>9979</v>
      </c>
      <c r="C3274" s="1">
        <v>9700000</v>
      </c>
      <c r="D3274" s="1" t="s">
        <v>41</v>
      </c>
      <c r="E3274">
        <v>53.825899999999997</v>
      </c>
      <c r="F3274" s="1" t="s">
        <v>135</v>
      </c>
      <c r="G3274">
        <v>32</v>
      </c>
      <c r="H3274">
        <v>15</v>
      </c>
      <c r="I3274" s="1" t="s">
        <v>46</v>
      </c>
      <c r="J3274">
        <v>4</v>
      </c>
      <c r="K3274" t="str">
        <f>IF(Tb_data[[#This Row],[previous_workers]]&lt;Tb_data[[#This Row],[workers]],"yes","no")</f>
        <v>yes</v>
      </c>
      <c r="L3274">
        <f>Tb_data[[#This Row],[workers]]-Tb_data[[#This Row],[previous_workers]]</f>
        <v>17</v>
      </c>
      <c r="M3274" s="12">
        <f>Tb_data[[#This Row],[Employees Growth]]/Tb_data[[#This Row],[previous_workers]]</f>
        <v>1.1333333333333333</v>
      </c>
    </row>
    <row r="3275" spans="1:13" x14ac:dyDescent="0.25">
      <c r="A3275" s="1" t="s">
        <v>6869</v>
      </c>
      <c r="B3275" s="1" t="s">
        <v>6870</v>
      </c>
      <c r="C3275" s="1">
        <v>6200000</v>
      </c>
      <c r="D3275" s="1" t="s">
        <v>33</v>
      </c>
      <c r="E3275">
        <v>105.191</v>
      </c>
      <c r="F3275" s="1" t="s">
        <v>30</v>
      </c>
      <c r="G3275">
        <v>18</v>
      </c>
      <c r="H3275">
        <v>8</v>
      </c>
      <c r="I3275" s="1" t="s">
        <v>117</v>
      </c>
      <c r="J3275">
        <v>4</v>
      </c>
      <c r="K3275" t="str">
        <f>IF(Tb_data[[#This Row],[previous_workers]]&lt;Tb_data[[#This Row],[workers]],"yes","no")</f>
        <v>yes</v>
      </c>
      <c r="L3275">
        <f>Tb_data[[#This Row],[workers]]-Tb_data[[#This Row],[previous_workers]]</f>
        <v>10</v>
      </c>
      <c r="M3275" s="12">
        <f>Tb_data[[#This Row],[Employees Growth]]/Tb_data[[#This Row],[previous_workers]]</f>
        <v>1.25</v>
      </c>
    </row>
    <row r="3276" spans="1:13" x14ac:dyDescent="0.25">
      <c r="A3276" s="1" t="s">
        <v>5228</v>
      </c>
      <c r="B3276" s="1" t="s">
        <v>5229</v>
      </c>
      <c r="C3276" s="1">
        <v>25400000</v>
      </c>
      <c r="D3276" s="1" t="s">
        <v>33</v>
      </c>
      <c r="E3276">
        <v>152.61789999999999</v>
      </c>
      <c r="F3276" s="1" t="s">
        <v>34</v>
      </c>
      <c r="G3276">
        <v>120</v>
      </c>
      <c r="H3276">
        <v>48</v>
      </c>
      <c r="I3276" s="1" t="s">
        <v>1051</v>
      </c>
      <c r="J3276">
        <v>1</v>
      </c>
      <c r="K3276" t="str">
        <f>IF(Tb_data[[#This Row],[previous_workers]]&lt;Tb_data[[#This Row],[workers]],"yes","no")</f>
        <v>yes</v>
      </c>
      <c r="L3276">
        <f>Tb_data[[#This Row],[workers]]-Tb_data[[#This Row],[previous_workers]]</f>
        <v>72</v>
      </c>
      <c r="M3276" s="12">
        <f>Tb_data[[#This Row],[Employees Growth]]/Tb_data[[#This Row],[previous_workers]]</f>
        <v>1.5</v>
      </c>
    </row>
    <row r="3277" spans="1:13" x14ac:dyDescent="0.25">
      <c r="A3277" s="1" t="s">
        <v>1888</v>
      </c>
      <c r="B3277" s="1" t="s">
        <v>1889</v>
      </c>
      <c r="C3277" s="1">
        <v>26600000</v>
      </c>
      <c r="D3277" s="1" t="s">
        <v>41</v>
      </c>
      <c r="E3277">
        <v>476.87759999999997</v>
      </c>
      <c r="F3277" s="1" t="s">
        <v>176</v>
      </c>
      <c r="G3277">
        <v>160</v>
      </c>
      <c r="H3277">
        <v>25</v>
      </c>
      <c r="I3277" s="1" t="s">
        <v>194</v>
      </c>
      <c r="J3277">
        <v>3</v>
      </c>
      <c r="K3277" t="str">
        <f>IF(Tb_data[[#This Row],[previous_workers]]&lt;Tb_data[[#This Row],[workers]],"yes","no")</f>
        <v>yes</v>
      </c>
      <c r="L3277">
        <f>Tb_data[[#This Row],[workers]]-Tb_data[[#This Row],[previous_workers]]</f>
        <v>135</v>
      </c>
      <c r="M3277" s="12">
        <f>Tb_data[[#This Row],[Employees Growth]]/Tb_data[[#This Row],[previous_workers]]</f>
        <v>5.4</v>
      </c>
    </row>
    <row r="3278" spans="1:13" x14ac:dyDescent="0.25">
      <c r="A3278" s="1" t="s">
        <v>820</v>
      </c>
      <c r="B3278" s="1" t="s">
        <v>821</v>
      </c>
      <c r="C3278" s="1">
        <v>15300000</v>
      </c>
      <c r="D3278" s="1" t="s">
        <v>16</v>
      </c>
      <c r="E3278">
        <v>1248.1117999999999</v>
      </c>
      <c r="F3278" s="1" t="s">
        <v>152</v>
      </c>
      <c r="G3278">
        <v>22</v>
      </c>
      <c r="H3278">
        <v>7</v>
      </c>
      <c r="I3278" s="1" t="s">
        <v>26</v>
      </c>
      <c r="J3278">
        <v>1</v>
      </c>
      <c r="K3278" t="str">
        <f>IF(Tb_data[[#This Row],[previous_workers]]&lt;Tb_data[[#This Row],[workers]],"yes","no")</f>
        <v>yes</v>
      </c>
      <c r="L3278">
        <f>Tb_data[[#This Row],[workers]]-Tb_data[[#This Row],[previous_workers]]</f>
        <v>15</v>
      </c>
      <c r="M3278" s="12">
        <f>Tb_data[[#This Row],[Employees Growth]]/Tb_data[[#This Row],[previous_workers]]</f>
        <v>2.1428571428571428</v>
      </c>
    </row>
    <row r="3279" spans="1:13" x14ac:dyDescent="0.25">
      <c r="A3279" s="1" t="s">
        <v>3246</v>
      </c>
      <c r="B3279" s="1" t="s">
        <v>3247</v>
      </c>
      <c r="C3279" s="1">
        <v>16100000</v>
      </c>
      <c r="D3279" s="1" t="s">
        <v>254</v>
      </c>
      <c r="E3279">
        <v>265.80200000000002</v>
      </c>
      <c r="F3279" s="1" t="s">
        <v>161</v>
      </c>
      <c r="G3279">
        <v>44</v>
      </c>
      <c r="H3279">
        <v>21</v>
      </c>
      <c r="I3279" s="1" t="s">
        <v>74</v>
      </c>
      <c r="J3279">
        <v>1</v>
      </c>
      <c r="K3279" t="str">
        <f>IF(Tb_data[[#This Row],[previous_workers]]&lt;Tb_data[[#This Row],[workers]],"yes","no")</f>
        <v>yes</v>
      </c>
      <c r="L3279">
        <f>Tb_data[[#This Row],[workers]]-Tb_data[[#This Row],[previous_workers]]</f>
        <v>23</v>
      </c>
      <c r="M3279" s="12">
        <f>Tb_data[[#This Row],[Employees Growth]]/Tb_data[[#This Row],[previous_workers]]</f>
        <v>1.0952380952380953</v>
      </c>
    </row>
    <row r="3280" spans="1:13" x14ac:dyDescent="0.25">
      <c r="A3280" s="1" t="s">
        <v>27</v>
      </c>
      <c r="B3280" s="1" t="s">
        <v>28</v>
      </c>
      <c r="C3280" s="1">
        <v>22500000</v>
      </c>
      <c r="D3280" s="1" t="s">
        <v>29</v>
      </c>
      <c r="E3280">
        <v>18166.406999999999</v>
      </c>
      <c r="F3280" s="1" t="s">
        <v>30</v>
      </c>
      <c r="G3280">
        <v>25</v>
      </c>
      <c r="H3280">
        <v>6</v>
      </c>
      <c r="I3280" s="1" t="s">
        <v>26</v>
      </c>
      <c r="J3280">
        <v>1</v>
      </c>
      <c r="K3280" t="str">
        <f>IF(Tb_data[[#This Row],[previous_workers]]&lt;Tb_data[[#This Row],[workers]],"yes","no")</f>
        <v>yes</v>
      </c>
      <c r="L3280">
        <f>Tb_data[[#This Row],[workers]]-Tb_data[[#This Row],[previous_workers]]</f>
        <v>19</v>
      </c>
      <c r="M3280" s="12">
        <f>Tb_data[[#This Row],[Employees Growth]]/Tb_data[[#This Row],[previous_workers]]</f>
        <v>3.1666666666666665</v>
      </c>
    </row>
    <row r="3281" spans="1:13" x14ac:dyDescent="0.25">
      <c r="A3281" s="1" t="s">
        <v>1051</v>
      </c>
      <c r="B3281" s="1" t="s">
        <v>4103</v>
      </c>
      <c r="C3281" s="1">
        <v>4100000</v>
      </c>
      <c r="D3281" s="1" t="s">
        <v>321</v>
      </c>
      <c r="E3281">
        <v>200.93389999999999</v>
      </c>
      <c r="F3281" s="1" t="s">
        <v>161</v>
      </c>
      <c r="G3281">
        <v>19</v>
      </c>
      <c r="H3281">
        <v>6</v>
      </c>
      <c r="I3281" s="1" t="s">
        <v>55</v>
      </c>
      <c r="J3281">
        <v>2</v>
      </c>
      <c r="K3281" t="str">
        <f>IF(Tb_data[[#This Row],[previous_workers]]&lt;Tb_data[[#This Row],[workers]],"yes","no")</f>
        <v>yes</v>
      </c>
      <c r="L3281">
        <f>Tb_data[[#This Row],[workers]]-Tb_data[[#This Row],[previous_workers]]</f>
        <v>13</v>
      </c>
      <c r="M3281" s="12">
        <f>Tb_data[[#This Row],[Employees Growth]]/Tb_data[[#This Row],[previous_workers]]</f>
        <v>2.1666666666666665</v>
      </c>
    </row>
    <row r="3282" spans="1:13" x14ac:dyDescent="0.25">
      <c r="A3282" s="1" t="s">
        <v>7080</v>
      </c>
      <c r="B3282" s="1" t="s">
        <v>7081</v>
      </c>
      <c r="C3282" s="1">
        <v>26800000</v>
      </c>
      <c r="D3282" s="1" t="s">
        <v>175</v>
      </c>
      <c r="E3282">
        <v>100.5809</v>
      </c>
      <c r="F3282" s="1" t="s">
        <v>124</v>
      </c>
      <c r="G3282">
        <v>105</v>
      </c>
      <c r="H3282">
        <v>65</v>
      </c>
      <c r="I3282" s="1" t="s">
        <v>2676</v>
      </c>
      <c r="J3282">
        <v>1</v>
      </c>
      <c r="K3282" t="str">
        <f>IF(Tb_data[[#This Row],[previous_workers]]&lt;Tb_data[[#This Row],[workers]],"yes","no")</f>
        <v>yes</v>
      </c>
      <c r="L3282">
        <f>Tb_data[[#This Row],[workers]]-Tb_data[[#This Row],[previous_workers]]</f>
        <v>40</v>
      </c>
      <c r="M3282" s="12">
        <f>Tb_data[[#This Row],[Employees Growth]]/Tb_data[[#This Row],[previous_workers]]</f>
        <v>0.61538461538461542</v>
      </c>
    </row>
    <row r="3283" spans="1:13" x14ac:dyDescent="0.25">
      <c r="A3283" s="1" t="s">
        <v>6369</v>
      </c>
      <c r="B3283" s="1" t="s">
        <v>6370</v>
      </c>
      <c r="C3283" s="1">
        <v>4300000</v>
      </c>
      <c r="D3283" s="1" t="s">
        <v>38</v>
      </c>
      <c r="E3283">
        <v>116.96080000000001</v>
      </c>
      <c r="F3283" s="1" t="s">
        <v>25</v>
      </c>
      <c r="G3283">
        <v>17</v>
      </c>
      <c r="H3283">
        <v>15</v>
      </c>
      <c r="I3283" s="1" t="s">
        <v>194</v>
      </c>
      <c r="J3283">
        <v>1</v>
      </c>
      <c r="K3283" t="str">
        <f>IF(Tb_data[[#This Row],[previous_workers]]&lt;Tb_data[[#This Row],[workers]],"yes","no")</f>
        <v>yes</v>
      </c>
      <c r="L3283">
        <f>Tb_data[[#This Row],[workers]]-Tb_data[[#This Row],[previous_workers]]</f>
        <v>2</v>
      </c>
      <c r="M3283" s="12">
        <f>Tb_data[[#This Row],[Employees Growth]]/Tb_data[[#This Row],[previous_workers]]</f>
        <v>0.13333333333333333</v>
      </c>
    </row>
    <row r="3284" spans="1:13" x14ac:dyDescent="0.25">
      <c r="A3284" s="1" t="s">
        <v>9383</v>
      </c>
      <c r="B3284" s="1" t="s">
        <v>9384</v>
      </c>
      <c r="C3284" s="1">
        <v>15700000</v>
      </c>
      <c r="D3284" s="1" t="s">
        <v>427</v>
      </c>
      <c r="E3284">
        <v>61.7196</v>
      </c>
      <c r="F3284" s="1" t="s">
        <v>25</v>
      </c>
      <c r="G3284">
        <v>120</v>
      </c>
      <c r="H3284">
        <v>40</v>
      </c>
      <c r="I3284" s="1" t="s">
        <v>3843</v>
      </c>
      <c r="J3284">
        <v>1</v>
      </c>
      <c r="K3284" t="str">
        <f>IF(Tb_data[[#This Row],[previous_workers]]&lt;Tb_data[[#This Row],[workers]],"yes","no")</f>
        <v>yes</v>
      </c>
      <c r="L3284">
        <f>Tb_data[[#This Row],[workers]]-Tb_data[[#This Row],[previous_workers]]</f>
        <v>80</v>
      </c>
      <c r="M3284" s="12">
        <f>Tb_data[[#This Row],[Employees Growth]]/Tb_data[[#This Row],[previous_workers]]</f>
        <v>2</v>
      </c>
    </row>
    <row r="3285" spans="1:13" x14ac:dyDescent="0.25">
      <c r="A3285" s="1" t="s">
        <v>3647</v>
      </c>
      <c r="B3285" s="1" t="s">
        <v>3648</v>
      </c>
      <c r="C3285" s="1">
        <v>5100000</v>
      </c>
      <c r="D3285" s="1" t="s">
        <v>16</v>
      </c>
      <c r="E3285">
        <v>231.02889999999999</v>
      </c>
      <c r="F3285" s="1" t="s">
        <v>176</v>
      </c>
      <c r="G3285">
        <v>23</v>
      </c>
      <c r="H3285">
        <v>3</v>
      </c>
      <c r="I3285" s="1" t="s">
        <v>164</v>
      </c>
      <c r="J3285">
        <v>3</v>
      </c>
      <c r="K3285" t="str">
        <f>IF(Tb_data[[#This Row],[previous_workers]]&lt;Tb_data[[#This Row],[workers]],"yes","no")</f>
        <v>yes</v>
      </c>
      <c r="L3285">
        <f>Tb_data[[#This Row],[workers]]-Tb_data[[#This Row],[previous_workers]]</f>
        <v>20</v>
      </c>
      <c r="M3285" s="12">
        <f>Tb_data[[#This Row],[Employees Growth]]/Tb_data[[#This Row],[previous_workers]]</f>
        <v>6.666666666666667</v>
      </c>
    </row>
    <row r="3286" spans="1:13" x14ac:dyDescent="0.25">
      <c r="A3286" s="1" t="s">
        <v>5498</v>
      </c>
      <c r="B3286" s="1" t="s">
        <v>5499</v>
      </c>
      <c r="C3286" s="1">
        <v>2700000</v>
      </c>
      <c r="D3286" s="1" t="s">
        <v>29</v>
      </c>
      <c r="E3286">
        <v>142.86600000000001</v>
      </c>
      <c r="F3286" s="1" t="s">
        <v>25</v>
      </c>
      <c r="G3286">
        <v>13</v>
      </c>
      <c r="H3286">
        <v>5</v>
      </c>
      <c r="I3286" s="1" t="s">
        <v>147</v>
      </c>
      <c r="J3286">
        <v>1</v>
      </c>
      <c r="K3286" t="str">
        <f>IF(Tb_data[[#This Row],[previous_workers]]&lt;Tb_data[[#This Row],[workers]],"yes","no")</f>
        <v>yes</v>
      </c>
      <c r="L3286">
        <f>Tb_data[[#This Row],[workers]]-Tb_data[[#This Row],[previous_workers]]</f>
        <v>8</v>
      </c>
      <c r="M3286" s="12">
        <f>Tb_data[[#This Row],[Employees Growth]]/Tb_data[[#This Row],[previous_workers]]</f>
        <v>1.6</v>
      </c>
    </row>
    <row r="3287" spans="1:13" x14ac:dyDescent="0.25">
      <c r="A3287" s="1" t="s">
        <v>2941</v>
      </c>
      <c r="B3287" s="1" t="s">
        <v>2942</v>
      </c>
      <c r="C3287" s="1">
        <v>34200000</v>
      </c>
      <c r="D3287" s="1" t="s">
        <v>20</v>
      </c>
      <c r="E3287">
        <v>292.32060000000001</v>
      </c>
      <c r="F3287" s="1" t="s">
        <v>34</v>
      </c>
      <c r="G3287">
        <v>442</v>
      </c>
      <c r="H3287">
        <v>143</v>
      </c>
      <c r="I3287" s="1" t="s">
        <v>55</v>
      </c>
      <c r="J3287">
        <v>1</v>
      </c>
      <c r="K3287" t="str">
        <f>IF(Tb_data[[#This Row],[previous_workers]]&lt;Tb_data[[#This Row],[workers]],"yes","no")</f>
        <v>yes</v>
      </c>
      <c r="L3287">
        <f>Tb_data[[#This Row],[workers]]-Tb_data[[#This Row],[previous_workers]]</f>
        <v>299</v>
      </c>
      <c r="M3287" s="12">
        <f>Tb_data[[#This Row],[Employees Growth]]/Tb_data[[#This Row],[previous_workers]]</f>
        <v>2.0909090909090908</v>
      </c>
    </row>
    <row r="3288" spans="1:13" x14ac:dyDescent="0.25">
      <c r="A3288" s="1" t="s">
        <v>4818</v>
      </c>
      <c r="B3288" s="1" t="s">
        <v>4819</v>
      </c>
      <c r="C3288" s="1">
        <v>119800000</v>
      </c>
      <c r="D3288" s="1" t="s">
        <v>61</v>
      </c>
      <c r="E3288">
        <v>169.1087</v>
      </c>
      <c r="F3288" s="1" t="s">
        <v>161</v>
      </c>
      <c r="G3288">
        <v>637</v>
      </c>
      <c r="H3288">
        <v>249</v>
      </c>
      <c r="I3288" s="1" t="s">
        <v>147</v>
      </c>
      <c r="J3288">
        <v>3</v>
      </c>
      <c r="K3288" t="str">
        <f>IF(Tb_data[[#This Row],[previous_workers]]&lt;Tb_data[[#This Row],[workers]],"yes","no")</f>
        <v>yes</v>
      </c>
      <c r="L3288">
        <f>Tb_data[[#This Row],[workers]]-Tb_data[[#This Row],[previous_workers]]</f>
        <v>388</v>
      </c>
      <c r="M3288" s="12">
        <f>Tb_data[[#This Row],[Employees Growth]]/Tb_data[[#This Row],[previous_workers]]</f>
        <v>1.5582329317269077</v>
      </c>
    </row>
    <row r="3289" spans="1:13" x14ac:dyDescent="0.25">
      <c r="A3289" s="1" t="s">
        <v>8281</v>
      </c>
      <c r="B3289" s="1" t="s">
        <v>8282</v>
      </c>
      <c r="C3289" s="1">
        <v>43100000</v>
      </c>
      <c r="D3289" s="1" t="s">
        <v>20</v>
      </c>
      <c r="E3289">
        <v>77.986999999999995</v>
      </c>
      <c r="F3289" s="1" t="s">
        <v>34</v>
      </c>
      <c r="G3289">
        <v>156</v>
      </c>
      <c r="H3289">
        <v>89</v>
      </c>
      <c r="I3289" s="1" t="s">
        <v>948</v>
      </c>
      <c r="J3289">
        <v>3</v>
      </c>
      <c r="K3289" t="str">
        <f>IF(Tb_data[[#This Row],[previous_workers]]&lt;Tb_data[[#This Row],[workers]],"yes","no")</f>
        <v>yes</v>
      </c>
      <c r="L3289">
        <f>Tb_data[[#This Row],[workers]]-Tb_data[[#This Row],[previous_workers]]</f>
        <v>67</v>
      </c>
      <c r="M3289" s="12">
        <f>Tb_data[[#This Row],[Employees Growth]]/Tb_data[[#This Row],[previous_workers]]</f>
        <v>0.7528089887640449</v>
      </c>
    </row>
    <row r="3290" spans="1:13" x14ac:dyDescent="0.25">
      <c r="A3290" s="1" t="s">
        <v>8855</v>
      </c>
      <c r="B3290" s="1" t="s">
        <v>8856</v>
      </c>
      <c r="C3290" s="1">
        <v>11400000</v>
      </c>
      <c r="D3290" s="1" t="s">
        <v>179</v>
      </c>
      <c r="E3290">
        <v>68.589500000000001</v>
      </c>
      <c r="F3290" s="1" t="s">
        <v>161</v>
      </c>
      <c r="G3290">
        <v>70</v>
      </c>
      <c r="H3290">
        <v>40</v>
      </c>
      <c r="I3290" s="1" t="s">
        <v>948</v>
      </c>
      <c r="J3290">
        <v>6</v>
      </c>
      <c r="K3290" t="str">
        <f>IF(Tb_data[[#This Row],[previous_workers]]&lt;Tb_data[[#This Row],[workers]],"yes","no")</f>
        <v>yes</v>
      </c>
      <c r="L3290">
        <f>Tb_data[[#This Row],[workers]]-Tb_data[[#This Row],[previous_workers]]</f>
        <v>30</v>
      </c>
      <c r="M3290" s="12">
        <f>Tb_data[[#This Row],[Employees Growth]]/Tb_data[[#This Row],[previous_workers]]</f>
        <v>0.75</v>
      </c>
    </row>
    <row r="3291" spans="1:13" x14ac:dyDescent="0.25">
      <c r="A3291" s="1" t="s">
        <v>3959</v>
      </c>
      <c r="B3291" s="1" t="s">
        <v>3960</v>
      </c>
      <c r="C3291" s="1">
        <v>206100000</v>
      </c>
      <c r="D3291" s="1" t="s">
        <v>61</v>
      </c>
      <c r="E3291">
        <v>209.1756</v>
      </c>
      <c r="F3291" s="1" t="s">
        <v>30</v>
      </c>
      <c r="G3291">
        <v>550</v>
      </c>
      <c r="H3291">
        <v>280</v>
      </c>
      <c r="I3291" s="1" t="s">
        <v>117</v>
      </c>
      <c r="J3291">
        <v>5</v>
      </c>
      <c r="K3291" t="str">
        <f>IF(Tb_data[[#This Row],[previous_workers]]&lt;Tb_data[[#This Row],[workers]],"yes","no")</f>
        <v>yes</v>
      </c>
      <c r="L3291">
        <f>Tb_data[[#This Row],[workers]]-Tb_data[[#This Row],[previous_workers]]</f>
        <v>270</v>
      </c>
      <c r="M3291" s="12">
        <f>Tb_data[[#This Row],[Employees Growth]]/Tb_data[[#This Row],[previous_workers]]</f>
        <v>0.9642857142857143</v>
      </c>
    </row>
    <row r="3292" spans="1:13" x14ac:dyDescent="0.25">
      <c r="A3292" s="1" t="s">
        <v>153</v>
      </c>
      <c r="B3292" s="1" t="s">
        <v>154</v>
      </c>
      <c r="C3292" s="1">
        <v>9800000</v>
      </c>
      <c r="D3292" s="1" t="s">
        <v>155</v>
      </c>
      <c r="E3292">
        <v>5638.0311000000002</v>
      </c>
      <c r="F3292" s="1" t="s">
        <v>156</v>
      </c>
      <c r="G3292">
        <v>86</v>
      </c>
      <c r="H3292">
        <v>3</v>
      </c>
      <c r="I3292" s="1" t="s">
        <v>26</v>
      </c>
      <c r="J3292">
        <v>1</v>
      </c>
      <c r="K3292" t="str">
        <f>IF(Tb_data[[#This Row],[previous_workers]]&lt;Tb_data[[#This Row],[workers]],"yes","no")</f>
        <v>yes</v>
      </c>
      <c r="L3292">
        <f>Tb_data[[#This Row],[workers]]-Tb_data[[#This Row],[previous_workers]]</f>
        <v>83</v>
      </c>
      <c r="M3292" s="12">
        <f>Tb_data[[#This Row],[Employees Growth]]/Tb_data[[#This Row],[previous_workers]]</f>
        <v>27.666666666666668</v>
      </c>
    </row>
    <row r="3293" spans="1:13" x14ac:dyDescent="0.25">
      <c r="A3293" s="1" t="s">
        <v>8771</v>
      </c>
      <c r="B3293" s="1" t="s">
        <v>8772</v>
      </c>
      <c r="C3293" s="1">
        <v>10600000</v>
      </c>
      <c r="D3293" s="1" t="s">
        <v>33</v>
      </c>
      <c r="E3293">
        <v>69.985699999999994</v>
      </c>
      <c r="F3293" s="1" t="s">
        <v>176</v>
      </c>
      <c r="G3293">
        <v>48</v>
      </c>
      <c r="H3293">
        <v>18</v>
      </c>
      <c r="I3293" s="1" t="s">
        <v>117</v>
      </c>
      <c r="J3293">
        <v>6</v>
      </c>
      <c r="K3293" t="str">
        <f>IF(Tb_data[[#This Row],[previous_workers]]&lt;Tb_data[[#This Row],[workers]],"yes","no")</f>
        <v>yes</v>
      </c>
      <c r="L3293">
        <f>Tb_data[[#This Row],[workers]]-Tb_data[[#This Row],[previous_workers]]</f>
        <v>30</v>
      </c>
      <c r="M3293" s="12">
        <f>Tb_data[[#This Row],[Employees Growth]]/Tb_data[[#This Row],[previous_workers]]</f>
        <v>1.6666666666666667</v>
      </c>
    </row>
    <row r="3294" spans="1:13" x14ac:dyDescent="0.25">
      <c r="A3294" s="1" t="s">
        <v>5598</v>
      </c>
      <c r="B3294" s="1" t="s">
        <v>5599</v>
      </c>
      <c r="C3294" s="1">
        <v>90100000</v>
      </c>
      <c r="D3294" s="1" t="s">
        <v>69</v>
      </c>
      <c r="E3294">
        <v>138.3466</v>
      </c>
      <c r="F3294" s="1" t="s">
        <v>86</v>
      </c>
      <c r="G3294">
        <v>58</v>
      </c>
      <c r="H3294">
        <v>38</v>
      </c>
      <c r="I3294" s="1" t="s">
        <v>117</v>
      </c>
      <c r="J3294">
        <v>2</v>
      </c>
      <c r="K3294" t="str">
        <f>IF(Tb_data[[#This Row],[previous_workers]]&lt;Tb_data[[#This Row],[workers]],"yes","no")</f>
        <v>yes</v>
      </c>
      <c r="L3294">
        <f>Tb_data[[#This Row],[workers]]-Tb_data[[#This Row],[previous_workers]]</f>
        <v>20</v>
      </c>
      <c r="M3294" s="12">
        <f>Tb_data[[#This Row],[Employees Growth]]/Tb_data[[#This Row],[previous_workers]]</f>
        <v>0.52631578947368418</v>
      </c>
    </row>
    <row r="3295" spans="1:13" x14ac:dyDescent="0.25">
      <c r="A3295" s="1" t="s">
        <v>3771</v>
      </c>
      <c r="B3295" s="1" t="s">
        <v>3772</v>
      </c>
      <c r="C3295" s="1">
        <v>21600000</v>
      </c>
      <c r="D3295" s="1" t="s">
        <v>427</v>
      </c>
      <c r="E3295">
        <v>223.5257</v>
      </c>
      <c r="F3295" s="1" t="s">
        <v>62</v>
      </c>
      <c r="G3295">
        <v>165</v>
      </c>
      <c r="H3295">
        <v>90</v>
      </c>
      <c r="I3295" s="1" t="s">
        <v>26</v>
      </c>
      <c r="J3295">
        <v>2</v>
      </c>
      <c r="K3295" t="str">
        <f>IF(Tb_data[[#This Row],[previous_workers]]&lt;Tb_data[[#This Row],[workers]],"yes","no")</f>
        <v>yes</v>
      </c>
      <c r="L3295">
        <f>Tb_data[[#This Row],[workers]]-Tb_data[[#This Row],[previous_workers]]</f>
        <v>75</v>
      </c>
      <c r="M3295" s="12">
        <f>Tb_data[[#This Row],[Employees Growth]]/Tb_data[[#This Row],[previous_workers]]</f>
        <v>0.83333333333333337</v>
      </c>
    </row>
    <row r="3296" spans="1:13" x14ac:dyDescent="0.25">
      <c r="A3296" s="1" t="s">
        <v>2223</v>
      </c>
      <c r="B3296" s="1" t="s">
        <v>2224</v>
      </c>
      <c r="C3296" s="1">
        <v>33500000</v>
      </c>
      <c r="D3296" s="1" t="s">
        <v>11</v>
      </c>
      <c r="E3296">
        <v>397.3707</v>
      </c>
      <c r="F3296" s="1" t="s">
        <v>112</v>
      </c>
      <c r="G3296">
        <v>257</v>
      </c>
      <c r="H3296">
        <v>55</v>
      </c>
      <c r="I3296" s="1" t="s">
        <v>2225</v>
      </c>
      <c r="J3296">
        <v>2</v>
      </c>
      <c r="K3296" t="str">
        <f>IF(Tb_data[[#This Row],[previous_workers]]&lt;Tb_data[[#This Row],[workers]],"yes","no")</f>
        <v>yes</v>
      </c>
      <c r="L3296">
        <f>Tb_data[[#This Row],[workers]]-Tb_data[[#This Row],[previous_workers]]</f>
        <v>202</v>
      </c>
      <c r="M3296" s="12">
        <f>Tb_data[[#This Row],[Employees Growth]]/Tb_data[[#This Row],[previous_workers]]</f>
        <v>3.6727272727272728</v>
      </c>
    </row>
    <row r="3297" spans="1:13" x14ac:dyDescent="0.25">
      <c r="A3297" s="1" t="s">
        <v>5718</v>
      </c>
      <c r="B3297" s="1" t="s">
        <v>5719</v>
      </c>
      <c r="C3297" s="1">
        <v>85400000</v>
      </c>
      <c r="D3297" s="1" t="s">
        <v>61</v>
      </c>
      <c r="E3297">
        <v>133.95230000000001</v>
      </c>
      <c r="F3297" s="1" t="s">
        <v>12</v>
      </c>
      <c r="G3297">
        <v>371</v>
      </c>
      <c r="H3297">
        <v>129</v>
      </c>
      <c r="I3297" s="1" t="s">
        <v>372</v>
      </c>
      <c r="J3297">
        <v>5</v>
      </c>
      <c r="K3297" t="str">
        <f>IF(Tb_data[[#This Row],[previous_workers]]&lt;Tb_data[[#This Row],[workers]],"yes","no")</f>
        <v>yes</v>
      </c>
      <c r="L3297">
        <f>Tb_data[[#This Row],[workers]]-Tb_data[[#This Row],[previous_workers]]</f>
        <v>242</v>
      </c>
      <c r="M3297" s="12">
        <f>Tb_data[[#This Row],[Employees Growth]]/Tb_data[[#This Row],[previous_workers]]</f>
        <v>1.875968992248062</v>
      </c>
    </row>
    <row r="3298" spans="1:13" x14ac:dyDescent="0.25">
      <c r="A3298" s="1" t="s">
        <v>1232</v>
      </c>
      <c r="B3298" s="1" t="s">
        <v>1233</v>
      </c>
      <c r="C3298" s="1">
        <v>8900000</v>
      </c>
      <c r="D3298" s="1" t="s">
        <v>129</v>
      </c>
      <c r="E3298">
        <v>783.74760000000003</v>
      </c>
      <c r="F3298" s="1" t="s">
        <v>97</v>
      </c>
      <c r="G3298">
        <v>38</v>
      </c>
      <c r="H3298">
        <v>9</v>
      </c>
      <c r="I3298" s="1" t="s">
        <v>164</v>
      </c>
      <c r="J3298">
        <v>2</v>
      </c>
      <c r="K3298" t="str">
        <f>IF(Tb_data[[#This Row],[previous_workers]]&lt;Tb_data[[#This Row],[workers]],"yes","no")</f>
        <v>yes</v>
      </c>
      <c r="L3298">
        <f>Tb_data[[#This Row],[workers]]-Tb_data[[#This Row],[previous_workers]]</f>
        <v>29</v>
      </c>
      <c r="M3298" s="12">
        <f>Tb_data[[#This Row],[Employees Growth]]/Tb_data[[#This Row],[previous_workers]]</f>
        <v>3.2222222222222223</v>
      </c>
    </row>
    <row r="3299" spans="1:13" x14ac:dyDescent="0.25">
      <c r="A3299" s="1" t="s">
        <v>1519</v>
      </c>
      <c r="B3299" s="1" t="s">
        <v>1520</v>
      </c>
      <c r="C3299" s="1">
        <v>11300000</v>
      </c>
      <c r="D3299" s="1" t="s">
        <v>61</v>
      </c>
      <c r="E3299">
        <v>617.1164</v>
      </c>
      <c r="F3299" s="1" t="s">
        <v>86</v>
      </c>
      <c r="G3299">
        <v>48</v>
      </c>
      <c r="H3299">
        <v>20</v>
      </c>
      <c r="I3299" s="1" t="s">
        <v>117</v>
      </c>
      <c r="J3299">
        <v>2</v>
      </c>
      <c r="K3299" t="str">
        <f>IF(Tb_data[[#This Row],[previous_workers]]&lt;Tb_data[[#This Row],[workers]],"yes","no")</f>
        <v>yes</v>
      </c>
      <c r="L3299">
        <f>Tb_data[[#This Row],[workers]]-Tb_data[[#This Row],[previous_workers]]</f>
        <v>28</v>
      </c>
      <c r="M3299" s="12">
        <f>Tb_data[[#This Row],[Employees Growth]]/Tb_data[[#This Row],[previous_workers]]</f>
        <v>1.4</v>
      </c>
    </row>
    <row r="3300" spans="1:13" x14ac:dyDescent="0.25">
      <c r="A3300" s="1" t="s">
        <v>3139</v>
      </c>
      <c r="B3300" s="1" t="s">
        <v>3140</v>
      </c>
      <c r="C3300" s="1">
        <v>2700000</v>
      </c>
      <c r="D3300" s="1" t="s">
        <v>664</v>
      </c>
      <c r="E3300">
        <v>273.98630000000003</v>
      </c>
      <c r="F3300" s="1" t="s">
        <v>124</v>
      </c>
      <c r="G3300">
        <v>23</v>
      </c>
      <c r="H3300">
        <v>7</v>
      </c>
      <c r="I3300" s="1" t="s">
        <v>35</v>
      </c>
      <c r="J3300">
        <v>1</v>
      </c>
      <c r="K3300" t="str">
        <f>IF(Tb_data[[#This Row],[previous_workers]]&lt;Tb_data[[#This Row],[workers]],"yes","no")</f>
        <v>yes</v>
      </c>
      <c r="L3300">
        <f>Tb_data[[#This Row],[workers]]-Tb_data[[#This Row],[previous_workers]]</f>
        <v>16</v>
      </c>
      <c r="M3300" s="12">
        <f>Tb_data[[#This Row],[Employees Growth]]/Tb_data[[#This Row],[previous_workers]]</f>
        <v>2.2857142857142856</v>
      </c>
    </row>
    <row r="3301" spans="1:13" x14ac:dyDescent="0.25">
      <c r="A3301" s="1" t="s">
        <v>3663</v>
      </c>
      <c r="B3301" s="1" t="s">
        <v>3664</v>
      </c>
      <c r="C3301" s="1">
        <v>24800000</v>
      </c>
      <c r="D3301" s="1" t="s">
        <v>49</v>
      </c>
      <c r="E3301">
        <v>230.42169999999999</v>
      </c>
      <c r="F3301" s="1" t="s">
        <v>152</v>
      </c>
      <c r="G3301">
        <v>400</v>
      </c>
      <c r="H3301">
        <v>200</v>
      </c>
      <c r="I3301" s="1" t="s">
        <v>229</v>
      </c>
      <c r="J3301">
        <v>5</v>
      </c>
      <c r="K3301" t="str">
        <f>IF(Tb_data[[#This Row],[previous_workers]]&lt;Tb_data[[#This Row],[workers]],"yes","no")</f>
        <v>yes</v>
      </c>
      <c r="L3301">
        <f>Tb_data[[#This Row],[workers]]-Tb_data[[#This Row],[previous_workers]]</f>
        <v>200</v>
      </c>
      <c r="M3301" s="12">
        <f>Tb_data[[#This Row],[Employees Growth]]/Tb_data[[#This Row],[previous_workers]]</f>
        <v>1</v>
      </c>
    </row>
    <row r="3302" spans="1:13" x14ac:dyDescent="0.25">
      <c r="A3302" s="1" t="s">
        <v>9179</v>
      </c>
      <c r="B3302" s="1" t="s">
        <v>9180</v>
      </c>
      <c r="C3302" s="1">
        <v>6500000</v>
      </c>
      <c r="D3302" s="1" t="s">
        <v>38</v>
      </c>
      <c r="E3302">
        <v>64.377300000000005</v>
      </c>
      <c r="F3302" s="1" t="s">
        <v>3264</v>
      </c>
      <c r="G3302">
        <v>28</v>
      </c>
      <c r="H3302">
        <v>24</v>
      </c>
      <c r="I3302" s="1" t="s">
        <v>836</v>
      </c>
      <c r="J3302">
        <v>1</v>
      </c>
      <c r="K3302" t="str">
        <f>IF(Tb_data[[#This Row],[previous_workers]]&lt;Tb_data[[#This Row],[workers]],"yes","no")</f>
        <v>yes</v>
      </c>
      <c r="L3302">
        <f>Tb_data[[#This Row],[workers]]-Tb_data[[#This Row],[previous_workers]]</f>
        <v>4</v>
      </c>
      <c r="M3302" s="12">
        <f>Tb_data[[#This Row],[Employees Growth]]/Tb_data[[#This Row],[previous_workers]]</f>
        <v>0.16666666666666666</v>
      </c>
    </row>
    <row r="3303" spans="1:13" x14ac:dyDescent="0.25">
      <c r="A3303" s="1" t="s">
        <v>3603</v>
      </c>
      <c r="B3303" s="1" t="s">
        <v>3604</v>
      </c>
      <c r="C3303" s="1">
        <v>3700000</v>
      </c>
      <c r="D3303" s="1" t="s">
        <v>69</v>
      </c>
      <c r="E3303">
        <v>233.68180000000001</v>
      </c>
      <c r="F3303" s="1" t="s">
        <v>62</v>
      </c>
      <c r="G3303">
        <v>28</v>
      </c>
      <c r="H3303">
        <v>12</v>
      </c>
      <c r="I3303" s="1" t="s">
        <v>46</v>
      </c>
      <c r="J3303">
        <v>2</v>
      </c>
      <c r="K3303" t="str">
        <f>IF(Tb_data[[#This Row],[previous_workers]]&lt;Tb_data[[#This Row],[workers]],"yes","no")</f>
        <v>yes</v>
      </c>
      <c r="L3303">
        <f>Tb_data[[#This Row],[workers]]-Tb_data[[#This Row],[previous_workers]]</f>
        <v>16</v>
      </c>
      <c r="M3303" s="12">
        <f>Tb_data[[#This Row],[Employees Growth]]/Tb_data[[#This Row],[previous_workers]]</f>
        <v>1.3333333333333333</v>
      </c>
    </row>
    <row r="3304" spans="1:13" x14ac:dyDescent="0.25">
      <c r="A3304" s="1" t="s">
        <v>3665</v>
      </c>
      <c r="B3304" s="1" t="s">
        <v>3666</v>
      </c>
      <c r="C3304" s="1">
        <v>78600000</v>
      </c>
      <c r="D3304" s="1" t="s">
        <v>49</v>
      </c>
      <c r="E3304">
        <v>230.25559999999999</v>
      </c>
      <c r="F3304" s="1" t="s">
        <v>100</v>
      </c>
      <c r="G3304">
        <v>443</v>
      </c>
      <c r="H3304">
        <v>214</v>
      </c>
      <c r="I3304" s="1" t="s">
        <v>468</v>
      </c>
      <c r="J3304">
        <v>2</v>
      </c>
      <c r="K3304" t="str">
        <f>IF(Tb_data[[#This Row],[previous_workers]]&lt;Tb_data[[#This Row],[workers]],"yes","no")</f>
        <v>yes</v>
      </c>
      <c r="L3304">
        <f>Tb_data[[#This Row],[workers]]-Tb_data[[#This Row],[previous_workers]]</f>
        <v>229</v>
      </c>
      <c r="M3304" s="12">
        <f>Tb_data[[#This Row],[Employees Growth]]/Tb_data[[#This Row],[previous_workers]]</f>
        <v>1.0700934579439252</v>
      </c>
    </row>
    <row r="3305" spans="1:13" x14ac:dyDescent="0.25">
      <c r="A3305" s="1" t="s">
        <v>6161</v>
      </c>
      <c r="B3305" s="1" t="s">
        <v>6162</v>
      </c>
      <c r="C3305" s="1">
        <v>68700000</v>
      </c>
      <c r="D3305" s="1" t="s">
        <v>58</v>
      </c>
      <c r="E3305">
        <v>122.22799999999999</v>
      </c>
      <c r="F3305" s="1" t="s">
        <v>100</v>
      </c>
      <c r="G3305">
        <v>68</v>
      </c>
      <c r="H3305">
        <v>40</v>
      </c>
      <c r="I3305" s="1" t="s">
        <v>130</v>
      </c>
      <c r="J3305">
        <v>5</v>
      </c>
      <c r="K3305" t="str">
        <f>IF(Tb_data[[#This Row],[previous_workers]]&lt;Tb_data[[#This Row],[workers]],"yes","no")</f>
        <v>yes</v>
      </c>
      <c r="L3305">
        <f>Tb_data[[#This Row],[workers]]-Tb_data[[#This Row],[previous_workers]]</f>
        <v>28</v>
      </c>
      <c r="M3305" s="12">
        <f>Tb_data[[#This Row],[Employees Growth]]/Tb_data[[#This Row],[previous_workers]]</f>
        <v>0.7</v>
      </c>
    </row>
    <row r="3306" spans="1:13" x14ac:dyDescent="0.25">
      <c r="A3306" s="1" t="s">
        <v>8616</v>
      </c>
      <c r="B3306" s="1" t="s">
        <v>8617</v>
      </c>
      <c r="C3306" s="1">
        <v>2200000</v>
      </c>
      <c r="D3306" s="1" t="s">
        <v>155</v>
      </c>
      <c r="E3306">
        <v>72.236999999999995</v>
      </c>
      <c r="F3306" s="1" t="s">
        <v>62</v>
      </c>
      <c r="G3306">
        <v>7</v>
      </c>
      <c r="H3306">
        <v>4</v>
      </c>
      <c r="I3306" s="1" t="s">
        <v>55</v>
      </c>
      <c r="J3306">
        <v>1</v>
      </c>
      <c r="K3306" t="str">
        <f>IF(Tb_data[[#This Row],[previous_workers]]&lt;Tb_data[[#This Row],[workers]],"yes","no")</f>
        <v>yes</v>
      </c>
      <c r="L3306">
        <f>Tb_data[[#This Row],[workers]]-Tb_data[[#This Row],[previous_workers]]</f>
        <v>3</v>
      </c>
      <c r="M3306" s="12">
        <f>Tb_data[[#This Row],[Employees Growth]]/Tb_data[[#This Row],[previous_workers]]</f>
        <v>0.75</v>
      </c>
    </row>
    <row r="3307" spans="1:13" x14ac:dyDescent="0.25">
      <c r="A3307" s="1" t="s">
        <v>2847</v>
      </c>
      <c r="B3307" s="1" t="s">
        <v>2848</v>
      </c>
      <c r="C3307" s="1">
        <v>35900000</v>
      </c>
      <c r="D3307" s="1" t="s">
        <v>254</v>
      </c>
      <c r="E3307">
        <v>303.39240000000001</v>
      </c>
      <c r="F3307" s="1" t="s">
        <v>34</v>
      </c>
      <c r="G3307">
        <v>330</v>
      </c>
      <c r="H3307">
        <v>60</v>
      </c>
      <c r="I3307" s="1" t="s">
        <v>147</v>
      </c>
      <c r="J3307">
        <v>2</v>
      </c>
      <c r="K3307" t="str">
        <f>IF(Tb_data[[#This Row],[previous_workers]]&lt;Tb_data[[#This Row],[workers]],"yes","no")</f>
        <v>yes</v>
      </c>
      <c r="L3307">
        <f>Tb_data[[#This Row],[workers]]-Tb_data[[#This Row],[previous_workers]]</f>
        <v>270</v>
      </c>
      <c r="M3307" s="12">
        <f>Tb_data[[#This Row],[Employees Growth]]/Tb_data[[#This Row],[previous_workers]]</f>
        <v>4.5</v>
      </c>
    </row>
    <row r="3308" spans="1:13" x14ac:dyDescent="0.25">
      <c r="A3308" s="1" t="s">
        <v>1949</v>
      </c>
      <c r="B3308" s="1" t="s">
        <v>4094</v>
      </c>
      <c r="C3308" s="1">
        <v>5800000</v>
      </c>
      <c r="D3308" s="1" t="s">
        <v>254</v>
      </c>
      <c r="E3308">
        <v>201.3768</v>
      </c>
      <c r="F3308" s="1" t="s">
        <v>100</v>
      </c>
      <c r="G3308">
        <v>11</v>
      </c>
      <c r="H3308">
        <v>5</v>
      </c>
      <c r="I3308" s="1" t="s">
        <v>26</v>
      </c>
      <c r="J3308">
        <v>2</v>
      </c>
      <c r="K3308" t="str">
        <f>IF(Tb_data[[#This Row],[previous_workers]]&lt;Tb_data[[#This Row],[workers]],"yes","no")</f>
        <v>yes</v>
      </c>
      <c r="L3308">
        <f>Tb_data[[#This Row],[workers]]-Tb_data[[#This Row],[previous_workers]]</f>
        <v>6</v>
      </c>
      <c r="M3308" s="12">
        <f>Tb_data[[#This Row],[Employees Growth]]/Tb_data[[#This Row],[previous_workers]]</f>
        <v>1.2</v>
      </c>
    </row>
    <row r="3309" spans="1:13" x14ac:dyDescent="0.25">
      <c r="A3309" s="1" t="s">
        <v>9355</v>
      </c>
      <c r="B3309" s="1" t="s">
        <v>9356</v>
      </c>
      <c r="C3309" s="1">
        <v>10800000</v>
      </c>
      <c r="D3309" s="1" t="s">
        <v>52</v>
      </c>
      <c r="E3309">
        <v>62.0379</v>
      </c>
      <c r="F3309" s="1" t="s">
        <v>142</v>
      </c>
      <c r="G3309">
        <v>21</v>
      </c>
      <c r="H3309">
        <v>15</v>
      </c>
      <c r="I3309" s="1" t="s">
        <v>130</v>
      </c>
      <c r="J3309">
        <v>4</v>
      </c>
      <c r="K3309" t="str">
        <f>IF(Tb_data[[#This Row],[previous_workers]]&lt;Tb_data[[#This Row],[workers]],"yes","no")</f>
        <v>yes</v>
      </c>
      <c r="L3309">
        <f>Tb_data[[#This Row],[workers]]-Tb_data[[#This Row],[previous_workers]]</f>
        <v>6</v>
      </c>
      <c r="M3309" s="12">
        <f>Tb_data[[#This Row],[Employees Growth]]/Tb_data[[#This Row],[previous_workers]]</f>
        <v>0.4</v>
      </c>
    </row>
    <row r="3310" spans="1:13" x14ac:dyDescent="0.25">
      <c r="A3310" s="1" t="s">
        <v>4535</v>
      </c>
      <c r="B3310" s="1" t="s">
        <v>4536</v>
      </c>
      <c r="C3310" s="1">
        <v>61900000</v>
      </c>
      <c r="D3310" s="1" t="s">
        <v>175</v>
      </c>
      <c r="E3310">
        <v>180.9161</v>
      </c>
      <c r="F3310" s="1" t="s">
        <v>97</v>
      </c>
      <c r="G3310">
        <v>352</v>
      </c>
      <c r="H3310">
        <v>125</v>
      </c>
      <c r="I3310" s="1" t="s">
        <v>46</v>
      </c>
      <c r="J3310">
        <v>7</v>
      </c>
      <c r="K3310" t="str">
        <f>IF(Tb_data[[#This Row],[previous_workers]]&lt;Tb_data[[#This Row],[workers]],"yes","no")</f>
        <v>yes</v>
      </c>
      <c r="L3310">
        <f>Tb_data[[#This Row],[workers]]-Tb_data[[#This Row],[previous_workers]]</f>
        <v>227</v>
      </c>
      <c r="M3310" s="12">
        <f>Tb_data[[#This Row],[Employees Growth]]/Tb_data[[#This Row],[previous_workers]]</f>
        <v>1.8160000000000001</v>
      </c>
    </row>
    <row r="3311" spans="1:13" x14ac:dyDescent="0.25">
      <c r="A3311" s="1" t="s">
        <v>4982</v>
      </c>
      <c r="B3311" s="1" t="s">
        <v>4983</v>
      </c>
      <c r="C3311" s="1">
        <v>2700000</v>
      </c>
      <c r="D3311" s="1" t="s">
        <v>33</v>
      </c>
      <c r="E3311">
        <v>162.48570000000001</v>
      </c>
      <c r="F3311" s="1" t="s">
        <v>161</v>
      </c>
      <c r="G3311">
        <v>40</v>
      </c>
      <c r="H3311">
        <v>10</v>
      </c>
      <c r="I3311" s="1" t="s">
        <v>55</v>
      </c>
      <c r="J3311">
        <v>1</v>
      </c>
      <c r="K3311" t="str">
        <f>IF(Tb_data[[#This Row],[previous_workers]]&lt;Tb_data[[#This Row],[workers]],"yes","no")</f>
        <v>yes</v>
      </c>
      <c r="L3311">
        <f>Tb_data[[#This Row],[workers]]-Tb_data[[#This Row],[previous_workers]]</f>
        <v>30</v>
      </c>
      <c r="M3311" s="12">
        <f>Tb_data[[#This Row],[Employees Growth]]/Tb_data[[#This Row],[previous_workers]]</f>
        <v>3</v>
      </c>
    </row>
    <row r="3312" spans="1:13" x14ac:dyDescent="0.25">
      <c r="A3312" s="1" t="s">
        <v>8463</v>
      </c>
      <c r="B3312" s="1" t="s">
        <v>8464</v>
      </c>
      <c r="C3312" s="1">
        <v>6500000</v>
      </c>
      <c r="D3312" s="1" t="s">
        <v>254</v>
      </c>
      <c r="E3312">
        <v>74.826300000000003</v>
      </c>
      <c r="F3312" s="1" t="s">
        <v>17</v>
      </c>
      <c r="G3312">
        <v>15</v>
      </c>
      <c r="H3312">
        <v>5</v>
      </c>
      <c r="I3312" s="1" t="s">
        <v>117</v>
      </c>
      <c r="J3312">
        <v>3</v>
      </c>
      <c r="K3312" t="str">
        <f>IF(Tb_data[[#This Row],[previous_workers]]&lt;Tb_data[[#This Row],[workers]],"yes","no")</f>
        <v>yes</v>
      </c>
      <c r="L3312">
        <f>Tb_data[[#This Row],[workers]]-Tb_data[[#This Row],[previous_workers]]</f>
        <v>10</v>
      </c>
      <c r="M3312" s="12">
        <f>Tb_data[[#This Row],[Employees Growth]]/Tb_data[[#This Row],[previous_workers]]</f>
        <v>2</v>
      </c>
    </row>
    <row r="3313" spans="1:13" x14ac:dyDescent="0.25">
      <c r="A3313" s="1" t="s">
        <v>5084</v>
      </c>
      <c r="B3313" s="1" t="s">
        <v>5085</v>
      </c>
      <c r="C3313" s="1">
        <v>4300000</v>
      </c>
      <c r="D3313" s="1" t="s">
        <v>61</v>
      </c>
      <c r="E3313">
        <v>157.59370000000001</v>
      </c>
      <c r="F3313" s="1" t="s">
        <v>62</v>
      </c>
      <c r="G3313">
        <v>7</v>
      </c>
      <c r="H3313">
        <v>3</v>
      </c>
      <c r="I3313" s="1" t="s">
        <v>55</v>
      </c>
      <c r="J3313">
        <v>2</v>
      </c>
      <c r="K3313" t="str">
        <f>IF(Tb_data[[#This Row],[previous_workers]]&lt;Tb_data[[#This Row],[workers]],"yes","no")</f>
        <v>yes</v>
      </c>
      <c r="L3313">
        <f>Tb_data[[#This Row],[workers]]-Tb_data[[#This Row],[previous_workers]]</f>
        <v>4</v>
      </c>
      <c r="M3313" s="12">
        <f>Tb_data[[#This Row],[Employees Growth]]/Tb_data[[#This Row],[previous_workers]]</f>
        <v>1.3333333333333333</v>
      </c>
    </row>
    <row r="3314" spans="1:13" x14ac:dyDescent="0.25">
      <c r="A3314" s="1" t="s">
        <v>4639</v>
      </c>
      <c r="B3314" s="1" t="s">
        <v>4640</v>
      </c>
      <c r="C3314" s="1">
        <v>45300000</v>
      </c>
      <c r="D3314" s="1" t="s">
        <v>20</v>
      </c>
      <c r="E3314">
        <v>176.26759999999999</v>
      </c>
      <c r="F3314" s="1" t="s">
        <v>62</v>
      </c>
      <c r="G3314">
        <v>230</v>
      </c>
      <c r="H3314">
        <v>75</v>
      </c>
      <c r="I3314" s="1" t="s">
        <v>194</v>
      </c>
      <c r="J3314">
        <v>7</v>
      </c>
      <c r="K3314" t="str">
        <f>IF(Tb_data[[#This Row],[previous_workers]]&lt;Tb_data[[#This Row],[workers]],"yes","no")</f>
        <v>yes</v>
      </c>
      <c r="L3314">
        <f>Tb_data[[#This Row],[workers]]-Tb_data[[#This Row],[previous_workers]]</f>
        <v>155</v>
      </c>
      <c r="M3314" s="12">
        <f>Tb_data[[#This Row],[Employees Growth]]/Tb_data[[#This Row],[previous_workers]]</f>
        <v>2.0666666666666669</v>
      </c>
    </row>
    <row r="3315" spans="1:13" x14ac:dyDescent="0.25">
      <c r="A3315" s="1" t="s">
        <v>4651</v>
      </c>
      <c r="B3315" s="1" t="s">
        <v>4652</v>
      </c>
      <c r="C3315" s="1">
        <v>4400000</v>
      </c>
      <c r="D3315" s="1" t="s">
        <v>41</v>
      </c>
      <c r="E3315">
        <v>176.08760000000001</v>
      </c>
      <c r="F3315" s="1" t="s">
        <v>62</v>
      </c>
      <c r="G3315">
        <v>11</v>
      </c>
      <c r="H3315">
        <v>6</v>
      </c>
      <c r="I3315" s="1" t="s">
        <v>35</v>
      </c>
      <c r="J3315">
        <v>3</v>
      </c>
      <c r="K3315" t="str">
        <f>IF(Tb_data[[#This Row],[previous_workers]]&lt;Tb_data[[#This Row],[workers]],"yes","no")</f>
        <v>yes</v>
      </c>
      <c r="L3315">
        <f>Tb_data[[#This Row],[workers]]-Tb_data[[#This Row],[previous_workers]]</f>
        <v>5</v>
      </c>
      <c r="M3315" s="12">
        <f>Tb_data[[#This Row],[Employees Growth]]/Tb_data[[#This Row],[previous_workers]]</f>
        <v>0.83333333333333337</v>
      </c>
    </row>
    <row r="3316" spans="1:13" x14ac:dyDescent="0.25">
      <c r="A3316" s="1" t="s">
        <v>8265</v>
      </c>
      <c r="B3316" s="1" t="s">
        <v>8266</v>
      </c>
      <c r="C3316" s="1">
        <v>37200000</v>
      </c>
      <c r="D3316" s="1" t="s">
        <v>1021</v>
      </c>
      <c r="E3316">
        <v>78.240200000000002</v>
      </c>
      <c r="F3316" s="1" t="s">
        <v>112</v>
      </c>
      <c r="G3316">
        <v>164</v>
      </c>
      <c r="H3316">
        <v>108</v>
      </c>
      <c r="I3316" s="1" t="s">
        <v>468</v>
      </c>
      <c r="J3316">
        <v>1</v>
      </c>
      <c r="K3316" t="str">
        <f>IF(Tb_data[[#This Row],[previous_workers]]&lt;Tb_data[[#This Row],[workers]],"yes","no")</f>
        <v>yes</v>
      </c>
      <c r="L3316">
        <f>Tb_data[[#This Row],[workers]]-Tb_data[[#This Row],[previous_workers]]</f>
        <v>56</v>
      </c>
      <c r="M3316" s="12">
        <f>Tb_data[[#This Row],[Employees Growth]]/Tb_data[[#This Row],[previous_workers]]</f>
        <v>0.51851851851851849</v>
      </c>
    </row>
    <row r="3317" spans="1:13" x14ac:dyDescent="0.25">
      <c r="A3317" s="1" t="s">
        <v>3667</v>
      </c>
      <c r="B3317" s="1" t="s">
        <v>3668</v>
      </c>
      <c r="C3317" s="1">
        <v>11900000</v>
      </c>
      <c r="D3317" s="1" t="s">
        <v>61</v>
      </c>
      <c r="E3317">
        <v>230.22280000000001</v>
      </c>
      <c r="F3317" s="1" t="s">
        <v>62</v>
      </c>
      <c r="G3317">
        <v>12</v>
      </c>
      <c r="H3317">
        <v>10</v>
      </c>
      <c r="I3317" s="1" t="s">
        <v>130</v>
      </c>
      <c r="J3317">
        <v>1</v>
      </c>
      <c r="K3317" t="str">
        <f>IF(Tb_data[[#This Row],[previous_workers]]&lt;Tb_data[[#This Row],[workers]],"yes","no")</f>
        <v>yes</v>
      </c>
      <c r="L3317">
        <f>Tb_data[[#This Row],[workers]]-Tb_data[[#This Row],[previous_workers]]</f>
        <v>2</v>
      </c>
      <c r="M3317" s="12">
        <f>Tb_data[[#This Row],[Employees Growth]]/Tb_data[[#This Row],[previous_workers]]</f>
        <v>0.2</v>
      </c>
    </row>
    <row r="3318" spans="1:13" x14ac:dyDescent="0.25">
      <c r="A3318" s="1" t="s">
        <v>914</v>
      </c>
      <c r="B3318" s="1" t="s">
        <v>915</v>
      </c>
      <c r="C3318" s="1">
        <v>8800000</v>
      </c>
      <c r="D3318" s="1" t="s">
        <v>33</v>
      </c>
      <c r="E3318">
        <v>1110.7164</v>
      </c>
      <c r="F3318" s="1" t="s">
        <v>156</v>
      </c>
      <c r="G3318">
        <v>7</v>
      </c>
      <c r="H3318">
        <v>6</v>
      </c>
      <c r="I3318" s="1" t="s">
        <v>26</v>
      </c>
      <c r="J3318">
        <v>1</v>
      </c>
      <c r="K3318" t="str">
        <f>IF(Tb_data[[#This Row],[previous_workers]]&lt;Tb_data[[#This Row],[workers]],"yes","no")</f>
        <v>yes</v>
      </c>
      <c r="L3318">
        <f>Tb_data[[#This Row],[workers]]-Tb_data[[#This Row],[previous_workers]]</f>
        <v>1</v>
      </c>
      <c r="M3318" s="12">
        <f>Tb_data[[#This Row],[Employees Growth]]/Tb_data[[#This Row],[previous_workers]]</f>
        <v>0.16666666666666666</v>
      </c>
    </row>
    <row r="3319" spans="1:13" x14ac:dyDescent="0.25">
      <c r="A3319" s="1" t="s">
        <v>7513</v>
      </c>
      <c r="B3319" s="1" t="s">
        <v>7514</v>
      </c>
      <c r="C3319" s="1">
        <v>83100000</v>
      </c>
      <c r="D3319" s="1" t="s">
        <v>236</v>
      </c>
      <c r="E3319">
        <v>92.775400000000005</v>
      </c>
      <c r="F3319" s="1" t="s">
        <v>514</v>
      </c>
      <c r="G3319">
        <v>646</v>
      </c>
      <c r="H3319">
        <v>116</v>
      </c>
      <c r="I3319" s="1" t="s">
        <v>4069</v>
      </c>
      <c r="J3319">
        <v>4</v>
      </c>
      <c r="K3319" t="str">
        <f>IF(Tb_data[[#This Row],[previous_workers]]&lt;Tb_data[[#This Row],[workers]],"yes","no")</f>
        <v>yes</v>
      </c>
      <c r="L3319">
        <f>Tb_data[[#This Row],[workers]]-Tb_data[[#This Row],[previous_workers]]</f>
        <v>530</v>
      </c>
      <c r="M3319" s="12">
        <f>Tb_data[[#This Row],[Employees Growth]]/Tb_data[[#This Row],[previous_workers]]</f>
        <v>4.568965517241379</v>
      </c>
    </row>
    <row r="3320" spans="1:13" x14ac:dyDescent="0.25">
      <c r="A3320" s="1" t="s">
        <v>2931</v>
      </c>
      <c r="B3320" s="1" t="s">
        <v>2932</v>
      </c>
      <c r="C3320" s="1">
        <v>38400000</v>
      </c>
      <c r="D3320" s="1" t="s">
        <v>179</v>
      </c>
      <c r="E3320">
        <v>293.34960000000001</v>
      </c>
      <c r="F3320" s="1" t="s">
        <v>12</v>
      </c>
      <c r="G3320">
        <v>83</v>
      </c>
      <c r="H3320">
        <v>58</v>
      </c>
      <c r="I3320" s="1" t="s">
        <v>46</v>
      </c>
      <c r="J3320">
        <v>5</v>
      </c>
      <c r="K3320" t="str">
        <f>IF(Tb_data[[#This Row],[previous_workers]]&lt;Tb_data[[#This Row],[workers]],"yes","no")</f>
        <v>yes</v>
      </c>
      <c r="L3320">
        <f>Tb_data[[#This Row],[workers]]-Tb_data[[#This Row],[previous_workers]]</f>
        <v>25</v>
      </c>
      <c r="M3320" s="12">
        <f>Tb_data[[#This Row],[Employees Growth]]/Tb_data[[#This Row],[previous_workers]]</f>
        <v>0.43103448275862066</v>
      </c>
    </row>
    <row r="3321" spans="1:13" x14ac:dyDescent="0.25">
      <c r="A3321" s="1" t="s">
        <v>8989</v>
      </c>
      <c r="B3321" s="1" t="s">
        <v>8990</v>
      </c>
      <c r="C3321" s="1">
        <v>2100000</v>
      </c>
      <c r="D3321" s="1" t="s">
        <v>61</v>
      </c>
      <c r="E3321">
        <v>66.794300000000007</v>
      </c>
      <c r="F3321" s="1" t="s">
        <v>12</v>
      </c>
      <c r="G3321">
        <v>1</v>
      </c>
      <c r="H3321">
        <v>1</v>
      </c>
      <c r="I3321" s="1" t="s">
        <v>117</v>
      </c>
      <c r="J3321">
        <v>2</v>
      </c>
      <c r="K3321" t="str">
        <f>IF(Tb_data[[#This Row],[previous_workers]]&lt;Tb_data[[#This Row],[workers]],"yes","no")</f>
        <v>no</v>
      </c>
      <c r="L3321">
        <f>Tb_data[[#This Row],[workers]]-Tb_data[[#This Row],[previous_workers]]</f>
        <v>0</v>
      </c>
      <c r="M3321" s="12">
        <f>Tb_data[[#This Row],[Employees Growth]]/Tb_data[[#This Row],[previous_workers]]</f>
        <v>0</v>
      </c>
    </row>
    <row r="3322" spans="1:13" x14ac:dyDescent="0.25">
      <c r="A3322" s="1" t="s">
        <v>6483</v>
      </c>
      <c r="B3322" s="1" t="s">
        <v>6484</v>
      </c>
      <c r="C3322" s="1">
        <v>12100000</v>
      </c>
      <c r="D3322" s="1" t="s">
        <v>1557</v>
      </c>
      <c r="E3322">
        <v>114.4235</v>
      </c>
      <c r="F3322" s="1" t="s">
        <v>161</v>
      </c>
      <c r="G3322">
        <v>850</v>
      </c>
      <c r="H3322">
        <v>385</v>
      </c>
      <c r="I3322" s="1" t="s">
        <v>164</v>
      </c>
      <c r="J3322">
        <v>6</v>
      </c>
      <c r="K3322" t="str">
        <f>IF(Tb_data[[#This Row],[previous_workers]]&lt;Tb_data[[#This Row],[workers]],"yes","no")</f>
        <v>yes</v>
      </c>
      <c r="L3322">
        <f>Tb_data[[#This Row],[workers]]-Tb_data[[#This Row],[previous_workers]]</f>
        <v>465</v>
      </c>
      <c r="M3322" s="12">
        <f>Tb_data[[#This Row],[Employees Growth]]/Tb_data[[#This Row],[previous_workers]]</f>
        <v>1.2077922077922079</v>
      </c>
    </row>
    <row r="3323" spans="1:13" x14ac:dyDescent="0.25">
      <c r="A3323" s="1" t="s">
        <v>8620</v>
      </c>
      <c r="B3323" s="1" t="s">
        <v>8621</v>
      </c>
      <c r="C3323" s="1">
        <v>10200000</v>
      </c>
      <c r="D3323" s="1" t="s">
        <v>49</v>
      </c>
      <c r="E3323">
        <v>72.221699999999998</v>
      </c>
      <c r="F3323" s="1" t="s">
        <v>86</v>
      </c>
      <c r="G3323">
        <v>48</v>
      </c>
      <c r="H3323">
        <v>25</v>
      </c>
      <c r="I3323" s="1" t="s">
        <v>948</v>
      </c>
      <c r="J3323">
        <v>2</v>
      </c>
      <c r="K3323" t="str">
        <f>IF(Tb_data[[#This Row],[previous_workers]]&lt;Tb_data[[#This Row],[workers]],"yes","no")</f>
        <v>yes</v>
      </c>
      <c r="L3323">
        <f>Tb_data[[#This Row],[workers]]-Tb_data[[#This Row],[previous_workers]]</f>
        <v>23</v>
      </c>
      <c r="M3323" s="12">
        <f>Tb_data[[#This Row],[Employees Growth]]/Tb_data[[#This Row],[previous_workers]]</f>
        <v>0.92</v>
      </c>
    </row>
    <row r="3324" spans="1:13" x14ac:dyDescent="0.25">
      <c r="A3324" s="1" t="s">
        <v>9592</v>
      </c>
      <c r="B3324" s="1" t="s">
        <v>9593</v>
      </c>
      <c r="C3324" s="1">
        <v>24200000</v>
      </c>
      <c r="D3324" s="1" t="s">
        <v>20</v>
      </c>
      <c r="E3324">
        <v>59.279400000000003</v>
      </c>
      <c r="F3324" s="1" t="s">
        <v>112</v>
      </c>
      <c r="G3324">
        <v>114</v>
      </c>
      <c r="H3324">
        <v>94</v>
      </c>
      <c r="I3324" s="1" t="s">
        <v>4071</v>
      </c>
      <c r="J3324">
        <v>1</v>
      </c>
      <c r="K3324" t="str">
        <f>IF(Tb_data[[#This Row],[previous_workers]]&lt;Tb_data[[#This Row],[workers]],"yes","no")</f>
        <v>yes</v>
      </c>
      <c r="L3324">
        <f>Tb_data[[#This Row],[workers]]-Tb_data[[#This Row],[previous_workers]]</f>
        <v>20</v>
      </c>
      <c r="M3324" s="12">
        <f>Tb_data[[#This Row],[Employees Growth]]/Tb_data[[#This Row],[previous_workers]]</f>
        <v>0.21276595744680851</v>
      </c>
    </row>
    <row r="3325" spans="1:13" x14ac:dyDescent="0.25">
      <c r="A3325" s="1" t="s">
        <v>7092</v>
      </c>
      <c r="B3325" s="1" t="s">
        <v>7093</v>
      </c>
      <c r="C3325" s="1">
        <v>182300000</v>
      </c>
      <c r="D3325" s="1" t="s">
        <v>375</v>
      </c>
      <c r="E3325">
        <v>100.4319</v>
      </c>
      <c r="F3325" s="1" t="s">
        <v>112</v>
      </c>
      <c r="G3325">
        <v>1036</v>
      </c>
      <c r="H3325">
        <v>620</v>
      </c>
      <c r="I3325" s="1" t="s">
        <v>961</v>
      </c>
      <c r="J3325">
        <v>10</v>
      </c>
      <c r="K3325" t="str">
        <f>IF(Tb_data[[#This Row],[previous_workers]]&lt;Tb_data[[#This Row],[workers]],"yes","no")</f>
        <v>yes</v>
      </c>
      <c r="L3325">
        <f>Tb_data[[#This Row],[workers]]-Tb_data[[#This Row],[previous_workers]]</f>
        <v>416</v>
      </c>
      <c r="M3325" s="12">
        <f>Tb_data[[#This Row],[Employees Growth]]/Tb_data[[#This Row],[previous_workers]]</f>
        <v>0.67096774193548392</v>
      </c>
    </row>
    <row r="3326" spans="1:13" x14ac:dyDescent="0.25">
      <c r="A3326" s="1" t="s">
        <v>541</v>
      </c>
      <c r="B3326" s="1" t="s">
        <v>542</v>
      </c>
      <c r="C3326" s="1">
        <v>10700000</v>
      </c>
      <c r="D3326" s="1" t="s">
        <v>33</v>
      </c>
      <c r="E3326">
        <v>1813.5417</v>
      </c>
      <c r="F3326" s="1" t="s">
        <v>34</v>
      </c>
      <c r="G3326">
        <v>4</v>
      </c>
      <c r="H3326">
        <v>2</v>
      </c>
      <c r="I3326" s="1" t="s">
        <v>26</v>
      </c>
      <c r="J3326">
        <v>1</v>
      </c>
      <c r="K3326" t="str">
        <f>IF(Tb_data[[#This Row],[previous_workers]]&lt;Tb_data[[#This Row],[workers]],"yes","no")</f>
        <v>yes</v>
      </c>
      <c r="L3326">
        <f>Tb_data[[#This Row],[workers]]-Tb_data[[#This Row],[previous_workers]]</f>
        <v>2</v>
      </c>
      <c r="M3326" s="12">
        <f>Tb_data[[#This Row],[Employees Growth]]/Tb_data[[#This Row],[previous_workers]]</f>
        <v>1</v>
      </c>
    </row>
    <row r="3327" spans="1:13" x14ac:dyDescent="0.25">
      <c r="A3327" s="1" t="s">
        <v>5716</v>
      </c>
      <c r="B3327" s="1" t="s">
        <v>5717</v>
      </c>
      <c r="C3327" s="1">
        <v>33900000</v>
      </c>
      <c r="D3327" s="1" t="s">
        <v>236</v>
      </c>
      <c r="E3327">
        <v>133.98650000000001</v>
      </c>
      <c r="F3327" s="1" t="s">
        <v>100</v>
      </c>
      <c r="G3327">
        <v>17</v>
      </c>
      <c r="H3327">
        <v>10</v>
      </c>
      <c r="I3327" s="1" t="s">
        <v>295</v>
      </c>
      <c r="J3327">
        <v>8</v>
      </c>
      <c r="K3327" t="str">
        <f>IF(Tb_data[[#This Row],[previous_workers]]&lt;Tb_data[[#This Row],[workers]],"yes","no")</f>
        <v>yes</v>
      </c>
      <c r="L3327">
        <f>Tb_data[[#This Row],[workers]]-Tb_data[[#This Row],[previous_workers]]</f>
        <v>7</v>
      </c>
      <c r="M3327" s="12">
        <f>Tb_data[[#This Row],[Employees Growth]]/Tb_data[[#This Row],[previous_workers]]</f>
        <v>0.7</v>
      </c>
    </row>
    <row r="3328" spans="1:13" x14ac:dyDescent="0.25">
      <c r="A3328" s="1" t="s">
        <v>739</v>
      </c>
      <c r="B3328" s="1" t="s">
        <v>740</v>
      </c>
      <c r="C3328" s="1">
        <v>2300000</v>
      </c>
      <c r="D3328" s="1" t="s">
        <v>20</v>
      </c>
      <c r="E3328">
        <v>1423.4909</v>
      </c>
      <c r="F3328" s="1" t="s">
        <v>100</v>
      </c>
      <c r="G3328">
        <v>14</v>
      </c>
      <c r="H3328">
        <v>3</v>
      </c>
      <c r="I3328" s="1" t="s">
        <v>13</v>
      </c>
      <c r="J3328">
        <v>1</v>
      </c>
      <c r="K3328" t="str">
        <f>IF(Tb_data[[#This Row],[previous_workers]]&lt;Tb_data[[#This Row],[workers]],"yes","no")</f>
        <v>yes</v>
      </c>
      <c r="L3328">
        <f>Tb_data[[#This Row],[workers]]-Tb_data[[#This Row],[previous_workers]]</f>
        <v>11</v>
      </c>
      <c r="M3328" s="12">
        <f>Tb_data[[#This Row],[Employees Growth]]/Tb_data[[#This Row],[previous_workers]]</f>
        <v>3.6666666666666665</v>
      </c>
    </row>
    <row r="3329" spans="1:13" x14ac:dyDescent="0.25">
      <c r="A3329" s="1" t="s">
        <v>5792</v>
      </c>
      <c r="B3329" s="1" t="s">
        <v>5793</v>
      </c>
      <c r="C3329" s="1">
        <v>28400000</v>
      </c>
      <c r="D3329" s="1" t="s">
        <v>179</v>
      </c>
      <c r="E3329">
        <v>131.59780000000001</v>
      </c>
      <c r="F3329" s="1" t="s">
        <v>112</v>
      </c>
      <c r="G3329">
        <v>87</v>
      </c>
      <c r="H3329">
        <v>45</v>
      </c>
      <c r="I3329" s="1" t="s">
        <v>229</v>
      </c>
      <c r="J3329">
        <v>7</v>
      </c>
      <c r="K3329" t="str">
        <f>IF(Tb_data[[#This Row],[previous_workers]]&lt;Tb_data[[#This Row],[workers]],"yes","no")</f>
        <v>yes</v>
      </c>
      <c r="L3329">
        <f>Tb_data[[#This Row],[workers]]-Tb_data[[#This Row],[previous_workers]]</f>
        <v>42</v>
      </c>
      <c r="M3329" s="12">
        <f>Tb_data[[#This Row],[Employees Growth]]/Tb_data[[#This Row],[previous_workers]]</f>
        <v>0.93333333333333335</v>
      </c>
    </row>
    <row r="3330" spans="1:13" x14ac:dyDescent="0.25">
      <c r="A3330" s="1" t="s">
        <v>5320</v>
      </c>
      <c r="B3330" s="1" t="s">
        <v>5321</v>
      </c>
      <c r="C3330" s="1">
        <v>2500000</v>
      </c>
      <c r="D3330" s="1" t="s">
        <v>69</v>
      </c>
      <c r="E3330">
        <v>149.4059</v>
      </c>
      <c r="F3330" s="1" t="s">
        <v>152</v>
      </c>
      <c r="G3330">
        <v>250</v>
      </c>
      <c r="H3330">
        <v>100</v>
      </c>
      <c r="I3330" s="1" t="s">
        <v>1657</v>
      </c>
      <c r="J3330">
        <v>1</v>
      </c>
      <c r="K3330" t="str">
        <f>IF(Tb_data[[#This Row],[previous_workers]]&lt;Tb_data[[#This Row],[workers]],"yes","no")</f>
        <v>yes</v>
      </c>
      <c r="L3330">
        <f>Tb_data[[#This Row],[workers]]-Tb_data[[#This Row],[previous_workers]]</f>
        <v>150</v>
      </c>
      <c r="M3330" s="12">
        <f>Tb_data[[#This Row],[Employees Growth]]/Tb_data[[#This Row],[previous_workers]]</f>
        <v>1.5</v>
      </c>
    </row>
    <row r="3331" spans="1:13" x14ac:dyDescent="0.25">
      <c r="A3331" s="1" t="s">
        <v>4581</v>
      </c>
      <c r="B3331" s="1" t="s">
        <v>4582</v>
      </c>
      <c r="C3331" s="1">
        <v>9500000</v>
      </c>
      <c r="D3331" s="1" t="s">
        <v>3768</v>
      </c>
      <c r="E3331">
        <v>179.2604</v>
      </c>
      <c r="F3331" s="1" t="s">
        <v>169</v>
      </c>
      <c r="G3331">
        <v>64</v>
      </c>
      <c r="H3331">
        <v>30</v>
      </c>
      <c r="I3331" s="1" t="s">
        <v>35</v>
      </c>
      <c r="J3331">
        <v>3</v>
      </c>
      <c r="K3331" t="str">
        <f>IF(Tb_data[[#This Row],[previous_workers]]&lt;Tb_data[[#This Row],[workers]],"yes","no")</f>
        <v>yes</v>
      </c>
      <c r="L3331">
        <f>Tb_data[[#This Row],[workers]]-Tb_data[[#This Row],[previous_workers]]</f>
        <v>34</v>
      </c>
      <c r="M3331" s="12">
        <f>Tb_data[[#This Row],[Employees Growth]]/Tb_data[[#This Row],[previous_workers]]</f>
        <v>1.1333333333333333</v>
      </c>
    </row>
    <row r="3332" spans="1:13" x14ac:dyDescent="0.25">
      <c r="A3332" s="1" t="s">
        <v>9481</v>
      </c>
      <c r="B3332" s="1" t="s">
        <v>9482</v>
      </c>
      <c r="C3332" s="1">
        <v>4100000</v>
      </c>
      <c r="D3332" s="1" t="s">
        <v>33</v>
      </c>
      <c r="E3332">
        <v>60.497599999999998</v>
      </c>
      <c r="F3332" s="1" t="s">
        <v>12</v>
      </c>
      <c r="G3332">
        <v>28</v>
      </c>
      <c r="H3332">
        <v>20</v>
      </c>
      <c r="I3332" s="1" t="s">
        <v>164</v>
      </c>
      <c r="J3332">
        <v>4</v>
      </c>
      <c r="K3332" t="str">
        <f>IF(Tb_data[[#This Row],[previous_workers]]&lt;Tb_data[[#This Row],[workers]],"yes","no")</f>
        <v>yes</v>
      </c>
      <c r="L3332">
        <f>Tb_data[[#This Row],[workers]]-Tb_data[[#This Row],[previous_workers]]</f>
        <v>8</v>
      </c>
      <c r="M3332" s="12">
        <f>Tb_data[[#This Row],[Employees Growth]]/Tb_data[[#This Row],[previous_workers]]</f>
        <v>0.4</v>
      </c>
    </row>
    <row r="3333" spans="1:13" x14ac:dyDescent="0.25">
      <c r="A3333" s="1" t="s">
        <v>4732</v>
      </c>
      <c r="B3333" s="1" t="s">
        <v>4733</v>
      </c>
      <c r="C3333" s="1">
        <v>57000000</v>
      </c>
      <c r="D3333" s="1" t="s">
        <v>45</v>
      </c>
      <c r="E3333">
        <v>173.55779999999999</v>
      </c>
      <c r="F3333" s="1" t="s">
        <v>514</v>
      </c>
      <c r="G3333">
        <v>164</v>
      </c>
      <c r="H3333">
        <v>117</v>
      </c>
      <c r="I3333" s="1" t="s">
        <v>1411</v>
      </c>
      <c r="J3333">
        <v>2</v>
      </c>
      <c r="K3333" t="str">
        <f>IF(Tb_data[[#This Row],[previous_workers]]&lt;Tb_data[[#This Row],[workers]],"yes","no")</f>
        <v>yes</v>
      </c>
      <c r="L3333">
        <f>Tb_data[[#This Row],[workers]]-Tb_data[[#This Row],[previous_workers]]</f>
        <v>47</v>
      </c>
      <c r="M3333" s="12">
        <f>Tb_data[[#This Row],[Employees Growth]]/Tb_data[[#This Row],[previous_workers]]</f>
        <v>0.40170940170940173</v>
      </c>
    </row>
    <row r="3334" spans="1:13" x14ac:dyDescent="0.25">
      <c r="A3334" s="1" t="s">
        <v>8413</v>
      </c>
      <c r="B3334" s="1" t="s">
        <v>8414</v>
      </c>
      <c r="C3334" s="1">
        <v>5800000</v>
      </c>
      <c r="D3334" s="1" t="s">
        <v>61</v>
      </c>
      <c r="E3334">
        <v>75.730699999999999</v>
      </c>
      <c r="F3334" s="1" t="s">
        <v>116</v>
      </c>
      <c r="G3334">
        <v>28</v>
      </c>
      <c r="H3334">
        <v>22</v>
      </c>
      <c r="I3334" s="1" t="s">
        <v>117</v>
      </c>
      <c r="J3334">
        <v>1</v>
      </c>
      <c r="K3334" t="str">
        <f>IF(Tb_data[[#This Row],[previous_workers]]&lt;Tb_data[[#This Row],[workers]],"yes","no")</f>
        <v>yes</v>
      </c>
      <c r="L3334">
        <f>Tb_data[[#This Row],[workers]]-Tb_data[[#This Row],[previous_workers]]</f>
        <v>6</v>
      </c>
      <c r="M3334" s="12">
        <f>Tb_data[[#This Row],[Employees Growth]]/Tb_data[[#This Row],[previous_workers]]</f>
        <v>0.27272727272727271</v>
      </c>
    </row>
    <row r="3335" spans="1:13" x14ac:dyDescent="0.25">
      <c r="A3335" s="1" t="s">
        <v>3815</v>
      </c>
      <c r="B3335" s="1" t="s">
        <v>3816</v>
      </c>
      <c r="C3335" s="1">
        <v>8100000</v>
      </c>
      <c r="D3335" s="1" t="s">
        <v>49</v>
      </c>
      <c r="E3335">
        <v>220.41909999999999</v>
      </c>
      <c r="F3335" s="1" t="s">
        <v>86</v>
      </c>
      <c r="G3335">
        <v>100</v>
      </c>
      <c r="H3335">
        <v>30</v>
      </c>
      <c r="I3335" s="1" t="s">
        <v>164</v>
      </c>
      <c r="J3335">
        <v>2</v>
      </c>
      <c r="K3335" t="str">
        <f>IF(Tb_data[[#This Row],[previous_workers]]&lt;Tb_data[[#This Row],[workers]],"yes","no")</f>
        <v>yes</v>
      </c>
      <c r="L3335">
        <f>Tb_data[[#This Row],[workers]]-Tb_data[[#This Row],[previous_workers]]</f>
        <v>70</v>
      </c>
      <c r="M3335" s="12">
        <f>Tb_data[[#This Row],[Employees Growth]]/Tb_data[[#This Row],[previous_workers]]</f>
        <v>2.3333333333333335</v>
      </c>
    </row>
    <row r="3336" spans="1:13" x14ac:dyDescent="0.25">
      <c r="A3336" s="1" t="s">
        <v>2191</v>
      </c>
      <c r="B3336" s="1" t="s">
        <v>2192</v>
      </c>
      <c r="C3336" s="1">
        <v>4200000</v>
      </c>
      <c r="D3336" s="1" t="s">
        <v>129</v>
      </c>
      <c r="E3336">
        <v>403.69549999999998</v>
      </c>
      <c r="F3336" s="1" t="s">
        <v>176</v>
      </c>
      <c r="G3336">
        <v>60</v>
      </c>
      <c r="H3336">
        <v>5</v>
      </c>
      <c r="I3336" s="1" t="s">
        <v>46</v>
      </c>
      <c r="J3336">
        <v>1</v>
      </c>
      <c r="K3336" t="str">
        <f>IF(Tb_data[[#This Row],[previous_workers]]&lt;Tb_data[[#This Row],[workers]],"yes","no")</f>
        <v>yes</v>
      </c>
      <c r="L3336">
        <f>Tb_data[[#This Row],[workers]]-Tb_data[[#This Row],[previous_workers]]</f>
        <v>55</v>
      </c>
      <c r="M3336" s="12">
        <f>Tb_data[[#This Row],[Employees Growth]]/Tb_data[[#This Row],[previous_workers]]</f>
        <v>11</v>
      </c>
    </row>
    <row r="3337" spans="1:13" x14ac:dyDescent="0.25">
      <c r="A3337" s="1" t="s">
        <v>6521</v>
      </c>
      <c r="B3337" s="1" t="s">
        <v>6522</v>
      </c>
      <c r="C3337" s="1">
        <v>383000000</v>
      </c>
      <c r="D3337" s="1" t="s">
        <v>129</v>
      </c>
      <c r="E3337">
        <v>113.3023</v>
      </c>
      <c r="F3337" s="1" t="s">
        <v>142</v>
      </c>
      <c r="G3337">
        <v>3003</v>
      </c>
      <c r="H3337">
        <v>1963</v>
      </c>
      <c r="I3337" s="1" t="s">
        <v>1411</v>
      </c>
      <c r="J3337">
        <v>1</v>
      </c>
      <c r="K3337" t="str">
        <f>IF(Tb_data[[#This Row],[previous_workers]]&lt;Tb_data[[#This Row],[workers]],"yes","no")</f>
        <v>yes</v>
      </c>
      <c r="L3337">
        <f>Tb_data[[#This Row],[workers]]-Tb_data[[#This Row],[previous_workers]]</f>
        <v>1040</v>
      </c>
      <c r="M3337" s="12">
        <f>Tb_data[[#This Row],[Employees Growth]]/Tb_data[[#This Row],[previous_workers]]</f>
        <v>0.5298013245033113</v>
      </c>
    </row>
    <row r="3338" spans="1:13" x14ac:dyDescent="0.25">
      <c r="A3338" s="1" t="s">
        <v>6693</v>
      </c>
      <c r="B3338" s="1" t="s">
        <v>6694</v>
      </c>
      <c r="C3338" s="1">
        <v>80500000</v>
      </c>
      <c r="D3338" s="1" t="s">
        <v>61</v>
      </c>
      <c r="E3338">
        <v>109.4212</v>
      </c>
      <c r="F3338" s="1" t="s">
        <v>34</v>
      </c>
      <c r="G3338">
        <v>901</v>
      </c>
      <c r="H3338">
        <v>249</v>
      </c>
      <c r="I3338" s="1" t="s">
        <v>295</v>
      </c>
      <c r="J3338">
        <v>9</v>
      </c>
      <c r="K3338" t="str">
        <f>IF(Tb_data[[#This Row],[previous_workers]]&lt;Tb_data[[#This Row],[workers]],"yes","no")</f>
        <v>yes</v>
      </c>
      <c r="L3338">
        <f>Tb_data[[#This Row],[workers]]-Tb_data[[#This Row],[previous_workers]]</f>
        <v>652</v>
      </c>
      <c r="M3338" s="12">
        <f>Tb_data[[#This Row],[Employees Growth]]/Tb_data[[#This Row],[previous_workers]]</f>
        <v>2.6184738955823295</v>
      </c>
    </row>
    <row r="3339" spans="1:13" x14ac:dyDescent="0.25">
      <c r="A3339" s="1" t="s">
        <v>9145</v>
      </c>
      <c r="B3339" s="1" t="s">
        <v>9146</v>
      </c>
      <c r="C3339" s="1">
        <v>10300000</v>
      </c>
      <c r="D3339" s="1" t="s">
        <v>49</v>
      </c>
      <c r="E3339">
        <v>64.853700000000003</v>
      </c>
      <c r="F3339" s="1" t="s">
        <v>12</v>
      </c>
      <c r="G3339">
        <v>24</v>
      </c>
      <c r="H3339">
        <v>12</v>
      </c>
      <c r="I3339" s="1" t="s">
        <v>1356</v>
      </c>
      <c r="J3339">
        <v>2</v>
      </c>
      <c r="K3339" t="str">
        <f>IF(Tb_data[[#This Row],[previous_workers]]&lt;Tb_data[[#This Row],[workers]],"yes","no")</f>
        <v>yes</v>
      </c>
      <c r="L3339">
        <f>Tb_data[[#This Row],[workers]]-Tb_data[[#This Row],[previous_workers]]</f>
        <v>12</v>
      </c>
      <c r="M3339" s="12">
        <f>Tb_data[[#This Row],[Employees Growth]]/Tb_data[[#This Row],[previous_workers]]</f>
        <v>1</v>
      </c>
    </row>
    <row r="3340" spans="1:13" x14ac:dyDescent="0.25">
      <c r="A3340" s="1" t="s">
        <v>9798</v>
      </c>
      <c r="B3340" s="1" t="s">
        <v>9799</v>
      </c>
      <c r="C3340" s="1">
        <v>10000000</v>
      </c>
      <c r="D3340" s="1" t="s">
        <v>49</v>
      </c>
      <c r="E3340">
        <v>56.775700000000001</v>
      </c>
      <c r="F3340" s="1" t="s">
        <v>34</v>
      </c>
      <c r="G3340">
        <v>28</v>
      </c>
      <c r="H3340">
        <v>13</v>
      </c>
      <c r="I3340" s="1" t="s">
        <v>1622</v>
      </c>
      <c r="J3340">
        <v>8</v>
      </c>
      <c r="K3340" t="str">
        <f>IF(Tb_data[[#This Row],[previous_workers]]&lt;Tb_data[[#This Row],[workers]],"yes","no")</f>
        <v>yes</v>
      </c>
      <c r="L3340">
        <f>Tb_data[[#This Row],[workers]]-Tb_data[[#This Row],[previous_workers]]</f>
        <v>15</v>
      </c>
      <c r="M3340" s="12">
        <f>Tb_data[[#This Row],[Employees Growth]]/Tb_data[[#This Row],[previous_workers]]</f>
        <v>1.1538461538461537</v>
      </c>
    </row>
    <row r="3341" spans="1:13" x14ac:dyDescent="0.25">
      <c r="A3341" s="1" t="s">
        <v>7387</v>
      </c>
      <c r="B3341" s="1" t="s">
        <v>7388</v>
      </c>
      <c r="C3341" s="1">
        <v>10800000</v>
      </c>
      <c r="D3341" s="1" t="s">
        <v>254</v>
      </c>
      <c r="E3341">
        <v>95.436899999999994</v>
      </c>
      <c r="F3341" s="1" t="s">
        <v>176</v>
      </c>
      <c r="G3341">
        <v>30</v>
      </c>
      <c r="H3341">
        <v>11</v>
      </c>
      <c r="I3341" s="1" t="s">
        <v>26</v>
      </c>
      <c r="J3341">
        <v>2</v>
      </c>
      <c r="K3341" t="str">
        <f>IF(Tb_data[[#This Row],[previous_workers]]&lt;Tb_data[[#This Row],[workers]],"yes","no")</f>
        <v>yes</v>
      </c>
      <c r="L3341">
        <f>Tb_data[[#This Row],[workers]]-Tb_data[[#This Row],[previous_workers]]</f>
        <v>19</v>
      </c>
      <c r="M3341" s="12">
        <f>Tb_data[[#This Row],[Employees Growth]]/Tb_data[[#This Row],[previous_workers]]</f>
        <v>1.7272727272727273</v>
      </c>
    </row>
    <row r="3342" spans="1:13" x14ac:dyDescent="0.25">
      <c r="A3342" s="1" t="s">
        <v>8441</v>
      </c>
      <c r="B3342" s="1" t="s">
        <v>8442</v>
      </c>
      <c r="C3342" s="1">
        <v>2000000</v>
      </c>
      <c r="D3342" s="1" t="s">
        <v>129</v>
      </c>
      <c r="E3342">
        <v>75.043999999999997</v>
      </c>
      <c r="F3342" s="1" t="s">
        <v>86</v>
      </c>
      <c r="G3342">
        <v>20</v>
      </c>
      <c r="H3342">
        <v>9</v>
      </c>
      <c r="I3342" s="1" t="s">
        <v>147</v>
      </c>
      <c r="J3342">
        <v>1</v>
      </c>
      <c r="K3342" t="str">
        <f>IF(Tb_data[[#This Row],[previous_workers]]&lt;Tb_data[[#This Row],[workers]],"yes","no")</f>
        <v>yes</v>
      </c>
      <c r="L3342">
        <f>Tb_data[[#This Row],[workers]]-Tb_data[[#This Row],[previous_workers]]</f>
        <v>11</v>
      </c>
      <c r="M3342" s="12">
        <f>Tb_data[[#This Row],[Employees Growth]]/Tb_data[[#This Row],[previous_workers]]</f>
        <v>1.2222222222222223</v>
      </c>
    </row>
    <row r="3343" spans="1:13" x14ac:dyDescent="0.25">
      <c r="A3343" s="1" t="s">
        <v>3764</v>
      </c>
      <c r="B3343" s="1" t="s">
        <v>3765</v>
      </c>
      <c r="C3343" s="1">
        <v>3400000</v>
      </c>
      <c r="D3343" s="1" t="s">
        <v>20</v>
      </c>
      <c r="E3343">
        <v>224.1388</v>
      </c>
      <c r="F3343" s="1" t="s">
        <v>112</v>
      </c>
      <c r="G3343">
        <v>14</v>
      </c>
      <c r="H3343">
        <v>3</v>
      </c>
      <c r="I3343" s="1" t="s">
        <v>46</v>
      </c>
      <c r="J3343">
        <v>2</v>
      </c>
      <c r="K3343" t="str">
        <f>IF(Tb_data[[#This Row],[previous_workers]]&lt;Tb_data[[#This Row],[workers]],"yes","no")</f>
        <v>yes</v>
      </c>
      <c r="L3343">
        <f>Tb_data[[#This Row],[workers]]-Tb_data[[#This Row],[previous_workers]]</f>
        <v>11</v>
      </c>
      <c r="M3343" s="12">
        <f>Tb_data[[#This Row],[Employees Growth]]/Tb_data[[#This Row],[previous_workers]]</f>
        <v>3.6666666666666665</v>
      </c>
    </row>
    <row r="3344" spans="1:13" x14ac:dyDescent="0.25">
      <c r="A3344" s="1" t="s">
        <v>165</v>
      </c>
      <c r="B3344" s="1" t="s">
        <v>166</v>
      </c>
      <c r="C3344" s="1">
        <v>42500000</v>
      </c>
      <c r="D3344" s="1" t="s">
        <v>91</v>
      </c>
      <c r="E3344">
        <v>5416.8842000000004</v>
      </c>
      <c r="F3344" s="1" t="s">
        <v>86</v>
      </c>
      <c r="G3344">
        <v>430</v>
      </c>
      <c r="H3344">
        <v>17</v>
      </c>
      <c r="I3344" s="1" t="s">
        <v>26</v>
      </c>
      <c r="J3344">
        <v>2</v>
      </c>
      <c r="K3344" t="str">
        <f>IF(Tb_data[[#This Row],[previous_workers]]&lt;Tb_data[[#This Row],[workers]],"yes","no")</f>
        <v>yes</v>
      </c>
      <c r="L3344">
        <f>Tb_data[[#This Row],[workers]]-Tb_data[[#This Row],[previous_workers]]</f>
        <v>413</v>
      </c>
      <c r="M3344" s="12">
        <f>Tb_data[[#This Row],[Employees Growth]]/Tb_data[[#This Row],[previous_workers]]</f>
        <v>24.294117647058822</v>
      </c>
    </row>
    <row r="3345" spans="1:13" x14ac:dyDescent="0.25">
      <c r="A3345" s="1" t="s">
        <v>9123</v>
      </c>
      <c r="B3345" s="1" t="s">
        <v>9124</v>
      </c>
      <c r="C3345" s="1">
        <v>3700000</v>
      </c>
      <c r="D3345" s="1" t="s">
        <v>20</v>
      </c>
      <c r="E3345">
        <v>65.101900000000001</v>
      </c>
      <c r="F3345" s="1" t="s">
        <v>86</v>
      </c>
      <c r="G3345">
        <v>28</v>
      </c>
      <c r="H3345">
        <v>36</v>
      </c>
      <c r="I3345" s="1" t="s">
        <v>194</v>
      </c>
      <c r="J3345">
        <v>4</v>
      </c>
      <c r="K3345" t="str">
        <f>IF(Tb_data[[#This Row],[previous_workers]]&lt;Tb_data[[#This Row],[workers]],"yes","no")</f>
        <v>no</v>
      </c>
      <c r="L3345">
        <f>Tb_data[[#This Row],[workers]]-Tb_data[[#This Row],[previous_workers]]</f>
        <v>-8</v>
      </c>
      <c r="M3345" s="12">
        <f>Tb_data[[#This Row],[Employees Growth]]/Tb_data[[#This Row],[previous_workers]]</f>
        <v>-0.22222222222222221</v>
      </c>
    </row>
    <row r="3346" spans="1:13" x14ac:dyDescent="0.25">
      <c r="A3346" s="1" t="s">
        <v>7767</v>
      </c>
      <c r="B3346" s="1" t="s">
        <v>7768</v>
      </c>
      <c r="C3346" s="1">
        <v>18100000</v>
      </c>
      <c r="D3346" s="1" t="s">
        <v>20</v>
      </c>
      <c r="E3346">
        <v>86.819900000000004</v>
      </c>
      <c r="F3346" s="1" t="s">
        <v>86</v>
      </c>
      <c r="G3346">
        <v>150</v>
      </c>
      <c r="H3346">
        <v>51</v>
      </c>
      <c r="I3346" s="1" t="s">
        <v>2611</v>
      </c>
      <c r="J3346">
        <v>3</v>
      </c>
      <c r="K3346" t="str">
        <f>IF(Tb_data[[#This Row],[previous_workers]]&lt;Tb_data[[#This Row],[workers]],"yes","no")</f>
        <v>yes</v>
      </c>
      <c r="L3346">
        <f>Tb_data[[#This Row],[workers]]-Tb_data[[#This Row],[previous_workers]]</f>
        <v>99</v>
      </c>
      <c r="M3346" s="12">
        <f>Tb_data[[#This Row],[Employees Growth]]/Tb_data[[#This Row],[previous_workers]]</f>
        <v>1.9411764705882353</v>
      </c>
    </row>
    <row r="3347" spans="1:13" x14ac:dyDescent="0.25">
      <c r="A3347" s="1" t="s">
        <v>1033</v>
      </c>
      <c r="B3347" s="1" t="s">
        <v>1034</v>
      </c>
      <c r="C3347" s="1">
        <v>5800000</v>
      </c>
      <c r="D3347" s="1" t="s">
        <v>129</v>
      </c>
      <c r="E3347">
        <v>966.17039999999997</v>
      </c>
      <c r="F3347" s="1" t="s">
        <v>152</v>
      </c>
      <c r="G3347">
        <v>20</v>
      </c>
      <c r="H3347">
        <v>4</v>
      </c>
      <c r="I3347" s="1" t="s">
        <v>26</v>
      </c>
      <c r="J3347">
        <v>1</v>
      </c>
      <c r="K3347" t="str">
        <f>IF(Tb_data[[#This Row],[previous_workers]]&lt;Tb_data[[#This Row],[workers]],"yes","no")</f>
        <v>yes</v>
      </c>
      <c r="L3347">
        <f>Tb_data[[#This Row],[workers]]-Tb_data[[#This Row],[previous_workers]]</f>
        <v>16</v>
      </c>
      <c r="M3347" s="12">
        <f>Tb_data[[#This Row],[Employees Growth]]/Tb_data[[#This Row],[previous_workers]]</f>
        <v>4</v>
      </c>
    </row>
    <row r="3348" spans="1:13" x14ac:dyDescent="0.25">
      <c r="A3348" s="1" t="s">
        <v>3944</v>
      </c>
      <c r="B3348" s="1" t="s">
        <v>3945</v>
      </c>
      <c r="C3348" s="1">
        <v>13300000</v>
      </c>
      <c r="D3348" s="1" t="s">
        <v>58</v>
      </c>
      <c r="E3348">
        <v>210.2371</v>
      </c>
      <c r="F3348" s="1" t="s">
        <v>25</v>
      </c>
      <c r="G3348">
        <v>136</v>
      </c>
      <c r="H3348">
        <v>53</v>
      </c>
      <c r="I3348" s="1" t="s">
        <v>74</v>
      </c>
      <c r="J3348">
        <v>1</v>
      </c>
      <c r="K3348" t="str">
        <f>IF(Tb_data[[#This Row],[previous_workers]]&lt;Tb_data[[#This Row],[workers]],"yes","no")</f>
        <v>yes</v>
      </c>
      <c r="L3348">
        <f>Tb_data[[#This Row],[workers]]-Tb_data[[#This Row],[previous_workers]]</f>
        <v>83</v>
      </c>
      <c r="M3348" s="12">
        <f>Tb_data[[#This Row],[Employees Growth]]/Tb_data[[#This Row],[previous_workers]]</f>
        <v>1.5660377358490567</v>
      </c>
    </row>
    <row r="3349" spans="1:13" x14ac:dyDescent="0.25">
      <c r="A3349" s="1" t="s">
        <v>473</v>
      </c>
      <c r="B3349" s="1" t="s">
        <v>474</v>
      </c>
      <c r="C3349" s="1">
        <v>2200000</v>
      </c>
      <c r="D3349" s="1" t="s">
        <v>49</v>
      </c>
      <c r="E3349">
        <v>2047.1978999999999</v>
      </c>
      <c r="F3349" s="1" t="s">
        <v>94</v>
      </c>
      <c r="G3349">
        <v>10</v>
      </c>
      <c r="H3349">
        <v>2</v>
      </c>
      <c r="I3349" s="1" t="s">
        <v>26</v>
      </c>
      <c r="J3349">
        <v>1</v>
      </c>
      <c r="K3349" t="str">
        <f>IF(Tb_data[[#This Row],[previous_workers]]&lt;Tb_data[[#This Row],[workers]],"yes","no")</f>
        <v>yes</v>
      </c>
      <c r="L3349">
        <f>Tb_data[[#This Row],[workers]]-Tb_data[[#This Row],[previous_workers]]</f>
        <v>8</v>
      </c>
      <c r="M3349" s="12">
        <f>Tb_data[[#This Row],[Employees Growth]]/Tb_data[[#This Row],[previous_workers]]</f>
        <v>4</v>
      </c>
    </row>
    <row r="3350" spans="1:13" x14ac:dyDescent="0.25">
      <c r="A3350" s="1" t="s">
        <v>3714</v>
      </c>
      <c r="B3350" s="1" t="s">
        <v>3715</v>
      </c>
      <c r="C3350" s="1">
        <v>14500000</v>
      </c>
      <c r="D3350" s="1" t="s">
        <v>45</v>
      </c>
      <c r="E3350">
        <v>227.5677</v>
      </c>
      <c r="F3350" s="1" t="s">
        <v>17</v>
      </c>
      <c r="G3350">
        <v>20</v>
      </c>
      <c r="H3350">
        <v>7</v>
      </c>
      <c r="I3350" s="1" t="s">
        <v>55</v>
      </c>
      <c r="J3350">
        <v>2</v>
      </c>
      <c r="K3350" t="str">
        <f>IF(Tb_data[[#This Row],[previous_workers]]&lt;Tb_data[[#This Row],[workers]],"yes","no")</f>
        <v>yes</v>
      </c>
      <c r="L3350">
        <f>Tb_data[[#This Row],[workers]]-Tb_data[[#This Row],[previous_workers]]</f>
        <v>13</v>
      </c>
      <c r="M3350" s="12">
        <f>Tb_data[[#This Row],[Employees Growth]]/Tb_data[[#This Row],[previous_workers]]</f>
        <v>1.8571428571428572</v>
      </c>
    </row>
    <row r="3351" spans="1:13" x14ac:dyDescent="0.25">
      <c r="A3351" s="1" t="s">
        <v>6505</v>
      </c>
      <c r="B3351" s="1" t="s">
        <v>6506</v>
      </c>
      <c r="C3351" s="1">
        <v>3800000</v>
      </c>
      <c r="D3351" s="1" t="s">
        <v>29</v>
      </c>
      <c r="E3351">
        <v>113.7139</v>
      </c>
      <c r="F3351" s="1" t="s">
        <v>86</v>
      </c>
      <c r="G3351">
        <v>30</v>
      </c>
      <c r="H3351">
        <v>10</v>
      </c>
      <c r="I3351" s="1" t="s">
        <v>194</v>
      </c>
      <c r="J3351">
        <v>1</v>
      </c>
      <c r="K3351" t="str">
        <f>IF(Tb_data[[#This Row],[previous_workers]]&lt;Tb_data[[#This Row],[workers]],"yes","no")</f>
        <v>yes</v>
      </c>
      <c r="L3351">
        <f>Tb_data[[#This Row],[workers]]-Tb_data[[#This Row],[previous_workers]]</f>
        <v>20</v>
      </c>
      <c r="M3351" s="12">
        <f>Tb_data[[#This Row],[Employees Growth]]/Tb_data[[#This Row],[previous_workers]]</f>
        <v>2</v>
      </c>
    </row>
    <row r="3352" spans="1:13" x14ac:dyDescent="0.25">
      <c r="A3352" s="1" t="s">
        <v>2338</v>
      </c>
      <c r="B3352" s="1" t="s">
        <v>2339</v>
      </c>
      <c r="C3352" s="1">
        <v>5900000</v>
      </c>
      <c r="D3352" s="1" t="s">
        <v>387</v>
      </c>
      <c r="E3352">
        <v>376.34289999999999</v>
      </c>
      <c r="F3352" s="1" t="s">
        <v>86</v>
      </c>
      <c r="G3352">
        <v>28</v>
      </c>
      <c r="H3352">
        <v>10</v>
      </c>
      <c r="I3352" s="1" t="s">
        <v>74</v>
      </c>
      <c r="J3352">
        <v>2</v>
      </c>
      <c r="K3352" t="str">
        <f>IF(Tb_data[[#This Row],[previous_workers]]&lt;Tb_data[[#This Row],[workers]],"yes","no")</f>
        <v>yes</v>
      </c>
      <c r="L3352">
        <f>Tb_data[[#This Row],[workers]]-Tb_data[[#This Row],[previous_workers]]</f>
        <v>18</v>
      </c>
      <c r="M3352" s="12">
        <f>Tb_data[[#This Row],[Employees Growth]]/Tb_data[[#This Row],[previous_workers]]</f>
        <v>1.8</v>
      </c>
    </row>
    <row r="3353" spans="1:13" x14ac:dyDescent="0.25">
      <c r="A3353" s="1" t="s">
        <v>7256</v>
      </c>
      <c r="B3353" s="1" t="s">
        <v>7257</v>
      </c>
      <c r="C3353" s="1">
        <v>30300000</v>
      </c>
      <c r="D3353" s="1" t="s">
        <v>29</v>
      </c>
      <c r="E3353">
        <v>97.612899999999996</v>
      </c>
      <c r="F3353" s="1" t="s">
        <v>112</v>
      </c>
      <c r="G3353">
        <v>21</v>
      </c>
      <c r="H3353">
        <v>16</v>
      </c>
      <c r="I3353" s="1" t="s">
        <v>2628</v>
      </c>
      <c r="J3353">
        <v>1</v>
      </c>
      <c r="K3353" t="str">
        <f>IF(Tb_data[[#This Row],[previous_workers]]&lt;Tb_data[[#This Row],[workers]],"yes","no")</f>
        <v>yes</v>
      </c>
      <c r="L3353">
        <f>Tb_data[[#This Row],[workers]]-Tb_data[[#This Row],[previous_workers]]</f>
        <v>5</v>
      </c>
      <c r="M3353" s="12">
        <f>Tb_data[[#This Row],[Employees Growth]]/Tb_data[[#This Row],[previous_workers]]</f>
        <v>0.3125</v>
      </c>
    </row>
    <row r="3354" spans="1:13" x14ac:dyDescent="0.25">
      <c r="A3354" s="1" t="s">
        <v>5928</v>
      </c>
      <c r="B3354" s="1" t="s">
        <v>5929</v>
      </c>
      <c r="C3354" s="1">
        <v>7400000</v>
      </c>
      <c r="D3354" s="1" t="s">
        <v>427</v>
      </c>
      <c r="E3354">
        <v>128.21430000000001</v>
      </c>
      <c r="F3354" s="1" t="s">
        <v>156</v>
      </c>
      <c r="G3354">
        <v>54</v>
      </c>
      <c r="H3354">
        <v>33</v>
      </c>
      <c r="I3354" s="1" t="s">
        <v>46</v>
      </c>
      <c r="J3354">
        <v>3</v>
      </c>
      <c r="K3354" t="str">
        <f>IF(Tb_data[[#This Row],[previous_workers]]&lt;Tb_data[[#This Row],[workers]],"yes","no")</f>
        <v>yes</v>
      </c>
      <c r="L3354">
        <f>Tb_data[[#This Row],[workers]]-Tb_data[[#This Row],[previous_workers]]</f>
        <v>21</v>
      </c>
      <c r="M3354" s="12">
        <f>Tb_data[[#This Row],[Employees Growth]]/Tb_data[[#This Row],[previous_workers]]</f>
        <v>0.63636363636363635</v>
      </c>
    </row>
    <row r="3355" spans="1:13" x14ac:dyDescent="0.25">
      <c r="A3355" s="1" t="s">
        <v>8205</v>
      </c>
      <c r="B3355" s="1" t="s">
        <v>8206</v>
      </c>
      <c r="C3355" s="1">
        <v>59400000</v>
      </c>
      <c r="D3355" s="1" t="s">
        <v>20</v>
      </c>
      <c r="E3355">
        <v>79.4572</v>
      </c>
      <c r="F3355" s="1" t="s">
        <v>25</v>
      </c>
      <c r="G3355">
        <v>74</v>
      </c>
      <c r="H3355">
        <v>48</v>
      </c>
      <c r="I3355" s="1" t="s">
        <v>194</v>
      </c>
      <c r="J3355">
        <v>5</v>
      </c>
      <c r="K3355" t="str">
        <f>IF(Tb_data[[#This Row],[previous_workers]]&lt;Tb_data[[#This Row],[workers]],"yes","no")</f>
        <v>yes</v>
      </c>
      <c r="L3355">
        <f>Tb_data[[#This Row],[workers]]-Tb_data[[#This Row],[previous_workers]]</f>
        <v>26</v>
      </c>
      <c r="M3355" s="12">
        <f>Tb_data[[#This Row],[Employees Growth]]/Tb_data[[#This Row],[previous_workers]]</f>
        <v>0.54166666666666663</v>
      </c>
    </row>
    <row r="3356" spans="1:13" x14ac:dyDescent="0.25">
      <c r="A3356" s="1" t="s">
        <v>9001</v>
      </c>
      <c r="B3356" s="1" t="s">
        <v>9002</v>
      </c>
      <c r="C3356" s="1">
        <v>8700000</v>
      </c>
      <c r="D3356" s="1" t="s">
        <v>33</v>
      </c>
      <c r="E3356">
        <v>66.581999999999994</v>
      </c>
      <c r="F3356" s="1" t="s">
        <v>25</v>
      </c>
      <c r="G3356">
        <v>22</v>
      </c>
      <c r="H3356">
        <v>18</v>
      </c>
      <c r="I3356" s="1" t="s">
        <v>35</v>
      </c>
      <c r="J3356">
        <v>2</v>
      </c>
      <c r="K3356" t="str">
        <f>IF(Tb_data[[#This Row],[previous_workers]]&lt;Tb_data[[#This Row],[workers]],"yes","no")</f>
        <v>yes</v>
      </c>
      <c r="L3356">
        <f>Tb_data[[#This Row],[workers]]-Tb_data[[#This Row],[previous_workers]]</f>
        <v>4</v>
      </c>
      <c r="M3356" s="12">
        <f>Tb_data[[#This Row],[Employees Growth]]/Tb_data[[#This Row],[previous_workers]]</f>
        <v>0.22222222222222221</v>
      </c>
    </row>
    <row r="3357" spans="1:13" x14ac:dyDescent="0.25">
      <c r="A3357" s="1" t="s">
        <v>4816</v>
      </c>
      <c r="B3357" s="1" t="s">
        <v>4817</v>
      </c>
      <c r="C3357" s="1">
        <v>62100000</v>
      </c>
      <c r="D3357" s="1" t="s">
        <v>61</v>
      </c>
      <c r="E3357">
        <v>169.12100000000001</v>
      </c>
      <c r="F3357" s="1" t="s">
        <v>176</v>
      </c>
      <c r="G3357">
        <v>142</v>
      </c>
      <c r="H3357">
        <v>115</v>
      </c>
      <c r="I3357" s="1" t="s">
        <v>35</v>
      </c>
      <c r="J3357">
        <v>3</v>
      </c>
      <c r="K3357" t="str">
        <f>IF(Tb_data[[#This Row],[previous_workers]]&lt;Tb_data[[#This Row],[workers]],"yes","no")</f>
        <v>yes</v>
      </c>
      <c r="L3357">
        <f>Tb_data[[#This Row],[workers]]-Tb_data[[#This Row],[previous_workers]]</f>
        <v>27</v>
      </c>
      <c r="M3357" s="12">
        <f>Tb_data[[#This Row],[Employees Growth]]/Tb_data[[#This Row],[previous_workers]]</f>
        <v>0.23478260869565218</v>
      </c>
    </row>
    <row r="3358" spans="1:13" x14ac:dyDescent="0.25">
      <c r="A3358" s="1" t="s">
        <v>3357</v>
      </c>
      <c r="B3358" s="1" t="s">
        <v>3358</v>
      </c>
      <c r="C3358" s="1">
        <v>2600000</v>
      </c>
      <c r="D3358" s="1" t="s">
        <v>49</v>
      </c>
      <c r="E3358">
        <v>255.2527</v>
      </c>
      <c r="F3358" s="1" t="s">
        <v>12</v>
      </c>
      <c r="G3358">
        <v>11</v>
      </c>
      <c r="H3358">
        <v>4</v>
      </c>
      <c r="I3358" s="1" t="s">
        <v>55</v>
      </c>
      <c r="J3358">
        <v>2</v>
      </c>
      <c r="K3358" t="str">
        <f>IF(Tb_data[[#This Row],[previous_workers]]&lt;Tb_data[[#This Row],[workers]],"yes","no")</f>
        <v>yes</v>
      </c>
      <c r="L3358">
        <f>Tb_data[[#This Row],[workers]]-Tb_data[[#This Row],[previous_workers]]</f>
        <v>7</v>
      </c>
      <c r="M3358" s="12">
        <f>Tb_data[[#This Row],[Employees Growth]]/Tb_data[[#This Row],[previous_workers]]</f>
        <v>1.75</v>
      </c>
    </row>
    <row r="3359" spans="1:13" x14ac:dyDescent="0.25">
      <c r="A3359" s="1" t="s">
        <v>3055</v>
      </c>
      <c r="B3359" s="1" t="s">
        <v>3056</v>
      </c>
      <c r="C3359" s="1">
        <v>8300000</v>
      </c>
      <c r="D3359" s="1" t="s">
        <v>254</v>
      </c>
      <c r="E3359">
        <v>282.1103</v>
      </c>
      <c r="F3359" s="1" t="s">
        <v>156</v>
      </c>
      <c r="G3359">
        <v>65</v>
      </c>
      <c r="H3359">
        <v>10</v>
      </c>
      <c r="I3359" s="1" t="s">
        <v>26</v>
      </c>
      <c r="J3359">
        <v>1</v>
      </c>
      <c r="K3359" t="str">
        <f>IF(Tb_data[[#This Row],[previous_workers]]&lt;Tb_data[[#This Row],[workers]],"yes","no")</f>
        <v>yes</v>
      </c>
      <c r="L3359">
        <f>Tb_data[[#This Row],[workers]]-Tb_data[[#This Row],[previous_workers]]</f>
        <v>55</v>
      </c>
      <c r="M3359" s="12">
        <f>Tb_data[[#This Row],[Employees Growth]]/Tb_data[[#This Row],[previous_workers]]</f>
        <v>5.5</v>
      </c>
    </row>
    <row r="3360" spans="1:13" x14ac:dyDescent="0.25">
      <c r="A3360" s="1" t="s">
        <v>6053</v>
      </c>
      <c r="B3360" s="1" t="s">
        <v>6054</v>
      </c>
      <c r="C3360" s="1">
        <v>2600000</v>
      </c>
      <c r="D3360" s="1" t="s">
        <v>115</v>
      </c>
      <c r="E3360">
        <v>125.4637</v>
      </c>
      <c r="F3360" s="1" t="s">
        <v>34</v>
      </c>
      <c r="G3360">
        <v>5</v>
      </c>
      <c r="H3360">
        <v>2</v>
      </c>
      <c r="I3360" s="1" t="s">
        <v>55</v>
      </c>
      <c r="J3360">
        <v>2</v>
      </c>
      <c r="K3360" t="str">
        <f>IF(Tb_data[[#This Row],[previous_workers]]&lt;Tb_data[[#This Row],[workers]],"yes","no")</f>
        <v>yes</v>
      </c>
      <c r="L3360">
        <f>Tb_data[[#This Row],[workers]]-Tb_data[[#This Row],[previous_workers]]</f>
        <v>3</v>
      </c>
      <c r="M3360" s="12">
        <f>Tb_data[[#This Row],[Employees Growth]]/Tb_data[[#This Row],[previous_workers]]</f>
        <v>1.5</v>
      </c>
    </row>
    <row r="3361" spans="1:13" x14ac:dyDescent="0.25">
      <c r="A3361" s="1" t="s">
        <v>7363</v>
      </c>
      <c r="B3361" s="1" t="s">
        <v>7364</v>
      </c>
      <c r="C3361" s="1">
        <v>73200000</v>
      </c>
      <c r="D3361" s="1" t="s">
        <v>41</v>
      </c>
      <c r="E3361">
        <v>95.834199999999996</v>
      </c>
      <c r="F3361" s="1" t="s">
        <v>30</v>
      </c>
      <c r="G3361">
        <v>300</v>
      </c>
      <c r="H3361">
        <v>170</v>
      </c>
      <c r="I3361" s="1" t="s">
        <v>2225</v>
      </c>
      <c r="J3361">
        <v>3</v>
      </c>
      <c r="K3361" t="str">
        <f>IF(Tb_data[[#This Row],[previous_workers]]&lt;Tb_data[[#This Row],[workers]],"yes","no")</f>
        <v>yes</v>
      </c>
      <c r="L3361">
        <f>Tb_data[[#This Row],[workers]]-Tb_data[[#This Row],[previous_workers]]</f>
        <v>130</v>
      </c>
      <c r="M3361" s="12">
        <f>Tb_data[[#This Row],[Employees Growth]]/Tb_data[[#This Row],[previous_workers]]</f>
        <v>0.76470588235294112</v>
      </c>
    </row>
    <row r="3362" spans="1:13" x14ac:dyDescent="0.25">
      <c r="A3362" s="1" t="s">
        <v>3579</v>
      </c>
      <c r="B3362" s="1" t="s">
        <v>3580</v>
      </c>
      <c r="C3362" s="1">
        <v>3600000</v>
      </c>
      <c r="D3362" s="1" t="s">
        <v>61</v>
      </c>
      <c r="E3362">
        <v>236.01949999999999</v>
      </c>
      <c r="F3362" s="1" t="s">
        <v>176</v>
      </c>
      <c r="G3362">
        <v>14</v>
      </c>
      <c r="H3362">
        <v>10</v>
      </c>
      <c r="I3362" s="1" t="s">
        <v>117</v>
      </c>
      <c r="J3362">
        <v>2</v>
      </c>
      <c r="K3362" t="str">
        <f>IF(Tb_data[[#This Row],[previous_workers]]&lt;Tb_data[[#This Row],[workers]],"yes","no")</f>
        <v>yes</v>
      </c>
      <c r="L3362">
        <f>Tb_data[[#This Row],[workers]]-Tb_data[[#This Row],[previous_workers]]</f>
        <v>4</v>
      </c>
      <c r="M3362" s="12">
        <f>Tb_data[[#This Row],[Employees Growth]]/Tb_data[[#This Row],[previous_workers]]</f>
        <v>0.4</v>
      </c>
    </row>
    <row r="3363" spans="1:13" x14ac:dyDescent="0.25">
      <c r="A3363" s="1" t="s">
        <v>697</v>
      </c>
      <c r="B3363" s="1" t="s">
        <v>698</v>
      </c>
      <c r="C3363" s="1">
        <v>65200000</v>
      </c>
      <c r="D3363" s="1" t="s">
        <v>49</v>
      </c>
      <c r="E3363">
        <v>1482.0707</v>
      </c>
      <c r="F3363" s="1" t="s">
        <v>12</v>
      </c>
      <c r="G3363">
        <v>203</v>
      </c>
      <c r="H3363">
        <v>140</v>
      </c>
      <c r="I3363" s="1" t="s">
        <v>295</v>
      </c>
      <c r="J3363">
        <v>2</v>
      </c>
      <c r="K3363" t="str">
        <f>IF(Tb_data[[#This Row],[previous_workers]]&lt;Tb_data[[#This Row],[workers]],"yes","no")</f>
        <v>yes</v>
      </c>
      <c r="L3363">
        <f>Tb_data[[#This Row],[workers]]-Tb_data[[#This Row],[previous_workers]]</f>
        <v>63</v>
      </c>
      <c r="M3363" s="12">
        <f>Tb_data[[#This Row],[Employees Growth]]/Tb_data[[#This Row],[previous_workers]]</f>
        <v>0.45</v>
      </c>
    </row>
    <row r="3364" spans="1:13" x14ac:dyDescent="0.25">
      <c r="A3364" s="1" t="s">
        <v>1214</v>
      </c>
      <c r="B3364" s="1" t="s">
        <v>1215</v>
      </c>
      <c r="C3364" s="1">
        <v>2200000</v>
      </c>
      <c r="D3364" s="1" t="s">
        <v>129</v>
      </c>
      <c r="E3364">
        <v>797.33510000000001</v>
      </c>
      <c r="F3364" s="1" t="s">
        <v>156</v>
      </c>
      <c r="G3364">
        <v>72</v>
      </c>
      <c r="H3364">
        <v>2</v>
      </c>
      <c r="I3364" s="1" t="s">
        <v>46</v>
      </c>
      <c r="J3364">
        <v>1</v>
      </c>
      <c r="K3364" t="str">
        <f>IF(Tb_data[[#This Row],[previous_workers]]&lt;Tb_data[[#This Row],[workers]],"yes","no")</f>
        <v>yes</v>
      </c>
      <c r="L3364">
        <f>Tb_data[[#This Row],[workers]]-Tb_data[[#This Row],[previous_workers]]</f>
        <v>70</v>
      </c>
      <c r="M3364" s="12">
        <f>Tb_data[[#This Row],[Employees Growth]]/Tb_data[[#This Row],[previous_workers]]</f>
        <v>35</v>
      </c>
    </row>
    <row r="3365" spans="1:13" x14ac:dyDescent="0.25">
      <c r="A3365" s="1" t="s">
        <v>164</v>
      </c>
      <c r="B3365" s="1" t="s">
        <v>4114</v>
      </c>
      <c r="C3365" s="1">
        <v>19700000</v>
      </c>
      <c r="D3365" s="1" t="s">
        <v>664</v>
      </c>
      <c r="E3365">
        <v>199.62200000000001</v>
      </c>
      <c r="F3365" s="1" t="s">
        <v>12</v>
      </c>
      <c r="G3365">
        <v>84</v>
      </c>
      <c r="H3365">
        <v>42</v>
      </c>
      <c r="I3365" s="1" t="s">
        <v>194</v>
      </c>
      <c r="J3365">
        <v>6</v>
      </c>
      <c r="K3365" t="str">
        <f>IF(Tb_data[[#This Row],[previous_workers]]&lt;Tb_data[[#This Row],[workers]],"yes","no")</f>
        <v>yes</v>
      </c>
      <c r="L3365">
        <f>Tb_data[[#This Row],[workers]]-Tb_data[[#This Row],[previous_workers]]</f>
        <v>42</v>
      </c>
      <c r="M3365" s="12">
        <f>Tb_data[[#This Row],[Employees Growth]]/Tb_data[[#This Row],[previous_workers]]</f>
        <v>1</v>
      </c>
    </row>
    <row r="3366" spans="1:13" x14ac:dyDescent="0.25">
      <c r="A3366" s="1" t="s">
        <v>319</v>
      </c>
      <c r="B3366" s="1" t="s">
        <v>320</v>
      </c>
      <c r="C3366" s="1">
        <v>6600000</v>
      </c>
      <c r="D3366" s="1" t="s">
        <v>321</v>
      </c>
      <c r="E3366">
        <v>2812.6795999999999</v>
      </c>
      <c r="F3366" s="1" t="s">
        <v>176</v>
      </c>
      <c r="G3366">
        <v>60</v>
      </c>
      <c r="H3366">
        <v>15</v>
      </c>
      <c r="I3366" s="1" t="s">
        <v>26</v>
      </c>
      <c r="J3366">
        <v>1</v>
      </c>
      <c r="K3366" t="str">
        <f>IF(Tb_data[[#This Row],[previous_workers]]&lt;Tb_data[[#This Row],[workers]],"yes","no")</f>
        <v>yes</v>
      </c>
      <c r="L3366">
        <f>Tb_data[[#This Row],[workers]]-Tb_data[[#This Row],[previous_workers]]</f>
        <v>45</v>
      </c>
      <c r="M3366" s="12">
        <f>Tb_data[[#This Row],[Employees Growth]]/Tb_data[[#This Row],[previous_workers]]</f>
        <v>3</v>
      </c>
    </row>
    <row r="3367" spans="1:13" x14ac:dyDescent="0.25">
      <c r="A3367" s="1" t="s">
        <v>6621</v>
      </c>
      <c r="B3367" s="1" t="s">
        <v>6622</v>
      </c>
      <c r="C3367" s="1">
        <v>14400000</v>
      </c>
      <c r="D3367" s="1" t="s">
        <v>91</v>
      </c>
      <c r="E3367">
        <v>110.9881</v>
      </c>
      <c r="F3367" s="1" t="s">
        <v>172</v>
      </c>
      <c r="G3367">
        <v>31</v>
      </c>
      <c r="H3367">
        <v>21</v>
      </c>
      <c r="I3367" s="1" t="s">
        <v>3426</v>
      </c>
      <c r="J3367">
        <v>4</v>
      </c>
      <c r="K3367" t="str">
        <f>IF(Tb_data[[#This Row],[previous_workers]]&lt;Tb_data[[#This Row],[workers]],"yes","no")</f>
        <v>yes</v>
      </c>
      <c r="L3367">
        <f>Tb_data[[#This Row],[workers]]-Tb_data[[#This Row],[previous_workers]]</f>
        <v>10</v>
      </c>
      <c r="M3367" s="12">
        <f>Tb_data[[#This Row],[Employees Growth]]/Tb_data[[#This Row],[previous_workers]]</f>
        <v>0.47619047619047616</v>
      </c>
    </row>
    <row r="3368" spans="1:13" x14ac:dyDescent="0.25">
      <c r="A3368" s="1" t="s">
        <v>6403</v>
      </c>
      <c r="B3368" s="1" t="s">
        <v>6404</v>
      </c>
      <c r="C3368" s="1">
        <v>575100000</v>
      </c>
      <c r="D3368" s="1" t="s">
        <v>33</v>
      </c>
      <c r="E3368">
        <v>116.1494</v>
      </c>
      <c r="F3368" s="1" t="s">
        <v>124</v>
      </c>
      <c r="G3368">
        <v>1840</v>
      </c>
      <c r="H3368">
        <v>908</v>
      </c>
      <c r="I3368" s="1" t="s">
        <v>1657</v>
      </c>
      <c r="J3368">
        <v>4</v>
      </c>
      <c r="K3368" t="str">
        <f>IF(Tb_data[[#This Row],[previous_workers]]&lt;Tb_data[[#This Row],[workers]],"yes","no")</f>
        <v>yes</v>
      </c>
      <c r="L3368">
        <f>Tb_data[[#This Row],[workers]]-Tb_data[[#This Row],[previous_workers]]</f>
        <v>932</v>
      </c>
      <c r="M3368" s="12">
        <f>Tb_data[[#This Row],[Employees Growth]]/Tb_data[[#This Row],[previous_workers]]</f>
        <v>1.026431718061674</v>
      </c>
    </row>
    <row r="3369" spans="1:13" x14ac:dyDescent="0.25">
      <c r="A3369" s="1" t="s">
        <v>2492</v>
      </c>
      <c r="B3369" s="1" t="s">
        <v>2493</v>
      </c>
      <c r="C3369" s="1">
        <v>14200000</v>
      </c>
      <c r="D3369" s="1" t="s">
        <v>49</v>
      </c>
      <c r="E3369">
        <v>349.11559999999997</v>
      </c>
      <c r="F3369" s="1" t="s">
        <v>12</v>
      </c>
      <c r="G3369">
        <v>64</v>
      </c>
      <c r="H3369">
        <v>23</v>
      </c>
      <c r="I3369" s="1" t="s">
        <v>130</v>
      </c>
      <c r="J3369">
        <v>3</v>
      </c>
      <c r="K3369" t="str">
        <f>IF(Tb_data[[#This Row],[previous_workers]]&lt;Tb_data[[#This Row],[workers]],"yes","no")</f>
        <v>yes</v>
      </c>
      <c r="L3369">
        <f>Tb_data[[#This Row],[workers]]-Tb_data[[#This Row],[previous_workers]]</f>
        <v>41</v>
      </c>
      <c r="M3369" s="12">
        <f>Tb_data[[#This Row],[Employees Growth]]/Tb_data[[#This Row],[previous_workers]]</f>
        <v>1.7826086956521738</v>
      </c>
    </row>
    <row r="3370" spans="1:13" x14ac:dyDescent="0.25">
      <c r="A3370" s="1" t="s">
        <v>8357</v>
      </c>
      <c r="B3370" s="1" t="s">
        <v>8358</v>
      </c>
      <c r="C3370" s="1">
        <v>649100000</v>
      </c>
      <c r="D3370" s="1" t="s">
        <v>29</v>
      </c>
      <c r="E3370">
        <v>76.890600000000006</v>
      </c>
      <c r="F3370" s="1" t="s">
        <v>124</v>
      </c>
      <c r="G3370">
        <v>2480</v>
      </c>
      <c r="H3370">
        <v>1610</v>
      </c>
      <c r="I3370" s="1" t="s">
        <v>1949</v>
      </c>
      <c r="J3370">
        <v>10</v>
      </c>
      <c r="K3370" t="str">
        <f>IF(Tb_data[[#This Row],[previous_workers]]&lt;Tb_data[[#This Row],[workers]],"yes","no")</f>
        <v>yes</v>
      </c>
      <c r="L3370">
        <f>Tb_data[[#This Row],[workers]]-Tb_data[[#This Row],[previous_workers]]</f>
        <v>870</v>
      </c>
      <c r="M3370" s="12">
        <f>Tb_data[[#This Row],[Employees Growth]]/Tb_data[[#This Row],[previous_workers]]</f>
        <v>0.54037267080745344</v>
      </c>
    </row>
    <row r="3371" spans="1:13" x14ac:dyDescent="0.25">
      <c r="A3371" s="1" t="s">
        <v>769</v>
      </c>
      <c r="B3371" s="1" t="s">
        <v>770</v>
      </c>
      <c r="C3371" s="1">
        <v>2000000</v>
      </c>
      <c r="D3371" s="1" t="s">
        <v>129</v>
      </c>
      <c r="E3371">
        <v>1358.9992999999999</v>
      </c>
      <c r="F3371" s="1" t="s">
        <v>94</v>
      </c>
      <c r="G3371">
        <v>5</v>
      </c>
      <c r="H3371">
        <v>2</v>
      </c>
      <c r="I3371" s="1" t="s">
        <v>164</v>
      </c>
      <c r="J3371">
        <v>1</v>
      </c>
      <c r="K3371" t="str">
        <f>IF(Tb_data[[#This Row],[previous_workers]]&lt;Tb_data[[#This Row],[workers]],"yes","no")</f>
        <v>yes</v>
      </c>
      <c r="L3371">
        <f>Tb_data[[#This Row],[workers]]-Tb_data[[#This Row],[previous_workers]]</f>
        <v>3</v>
      </c>
      <c r="M3371" s="12">
        <f>Tb_data[[#This Row],[Employees Growth]]/Tb_data[[#This Row],[previous_workers]]</f>
        <v>1.5</v>
      </c>
    </row>
    <row r="3372" spans="1:13" x14ac:dyDescent="0.25">
      <c r="A3372" s="1" t="s">
        <v>8731</v>
      </c>
      <c r="B3372" s="1" t="s">
        <v>8732</v>
      </c>
      <c r="C3372" s="1">
        <v>11300000</v>
      </c>
      <c r="D3372" s="1" t="s">
        <v>91</v>
      </c>
      <c r="E3372">
        <v>70.535899999999998</v>
      </c>
      <c r="F3372" s="1" t="s">
        <v>112</v>
      </c>
      <c r="G3372">
        <v>72</v>
      </c>
      <c r="H3372">
        <v>41</v>
      </c>
      <c r="I3372" s="1" t="s">
        <v>295</v>
      </c>
      <c r="J3372">
        <v>1</v>
      </c>
      <c r="K3372" t="str">
        <f>IF(Tb_data[[#This Row],[previous_workers]]&lt;Tb_data[[#This Row],[workers]],"yes","no")</f>
        <v>yes</v>
      </c>
      <c r="L3372">
        <f>Tb_data[[#This Row],[workers]]-Tb_data[[#This Row],[previous_workers]]</f>
        <v>31</v>
      </c>
      <c r="M3372" s="12">
        <f>Tb_data[[#This Row],[Employees Growth]]/Tb_data[[#This Row],[previous_workers]]</f>
        <v>0.75609756097560976</v>
      </c>
    </row>
    <row r="3373" spans="1:13" x14ac:dyDescent="0.25">
      <c r="A3373" s="1" t="s">
        <v>8015</v>
      </c>
      <c r="B3373" s="1" t="s">
        <v>8016</v>
      </c>
      <c r="C3373" s="1">
        <v>15300000</v>
      </c>
      <c r="D3373" s="1" t="s">
        <v>33</v>
      </c>
      <c r="E3373">
        <v>82.468100000000007</v>
      </c>
      <c r="F3373" s="1" t="s">
        <v>86</v>
      </c>
      <c r="G3373">
        <v>103</v>
      </c>
      <c r="H3373">
        <v>73</v>
      </c>
      <c r="I3373" s="1" t="s">
        <v>1051</v>
      </c>
      <c r="J3373">
        <v>9</v>
      </c>
      <c r="K3373" t="str">
        <f>IF(Tb_data[[#This Row],[previous_workers]]&lt;Tb_data[[#This Row],[workers]],"yes","no")</f>
        <v>yes</v>
      </c>
      <c r="L3373">
        <f>Tb_data[[#This Row],[workers]]-Tb_data[[#This Row],[previous_workers]]</f>
        <v>30</v>
      </c>
      <c r="M3373" s="12">
        <f>Tb_data[[#This Row],[Employees Growth]]/Tb_data[[#This Row],[previous_workers]]</f>
        <v>0.41095890410958902</v>
      </c>
    </row>
    <row r="3374" spans="1:13" x14ac:dyDescent="0.25">
      <c r="A3374" s="1" t="s">
        <v>1049</v>
      </c>
      <c r="B3374" s="1" t="s">
        <v>1050</v>
      </c>
      <c r="C3374" s="1">
        <v>2000000</v>
      </c>
      <c r="D3374" s="1" t="s">
        <v>69</v>
      </c>
      <c r="E3374">
        <v>935.03480000000002</v>
      </c>
      <c r="F3374" s="1" t="s">
        <v>176</v>
      </c>
      <c r="G3374">
        <v>5</v>
      </c>
      <c r="H3374">
        <v>13</v>
      </c>
      <c r="I3374" s="1" t="s">
        <v>1051</v>
      </c>
      <c r="J3374">
        <v>1</v>
      </c>
      <c r="K3374" t="str">
        <f>IF(Tb_data[[#This Row],[previous_workers]]&lt;Tb_data[[#This Row],[workers]],"yes","no")</f>
        <v>no</v>
      </c>
      <c r="L3374">
        <f>Tb_data[[#This Row],[workers]]-Tb_data[[#This Row],[previous_workers]]</f>
        <v>-8</v>
      </c>
      <c r="M3374" s="12">
        <f>Tb_data[[#This Row],[Employees Growth]]/Tb_data[[#This Row],[previous_workers]]</f>
        <v>-0.61538461538461542</v>
      </c>
    </row>
    <row r="3375" spans="1:13" x14ac:dyDescent="0.25">
      <c r="A3375" s="1" t="s">
        <v>273</v>
      </c>
      <c r="B3375" s="1" t="s">
        <v>274</v>
      </c>
      <c r="C3375" s="1">
        <v>102900000</v>
      </c>
      <c r="D3375" s="1" t="s">
        <v>115</v>
      </c>
      <c r="E3375">
        <v>3307.1657</v>
      </c>
      <c r="F3375" s="1" t="s">
        <v>124</v>
      </c>
      <c r="G3375">
        <v>585</v>
      </c>
      <c r="H3375">
        <v>15</v>
      </c>
      <c r="I3375" s="1" t="s">
        <v>13</v>
      </c>
      <c r="J3375">
        <v>2</v>
      </c>
      <c r="K3375" t="str">
        <f>IF(Tb_data[[#This Row],[previous_workers]]&lt;Tb_data[[#This Row],[workers]],"yes","no")</f>
        <v>yes</v>
      </c>
      <c r="L3375">
        <f>Tb_data[[#This Row],[workers]]-Tb_data[[#This Row],[previous_workers]]</f>
        <v>570</v>
      </c>
      <c r="M3375" s="12">
        <f>Tb_data[[#This Row],[Employees Growth]]/Tb_data[[#This Row],[previous_workers]]</f>
        <v>38</v>
      </c>
    </row>
    <row r="3376" spans="1:13" x14ac:dyDescent="0.25">
      <c r="A3376" s="1" t="s">
        <v>855</v>
      </c>
      <c r="B3376" s="1" t="s">
        <v>856</v>
      </c>
      <c r="C3376" s="1">
        <v>30800000</v>
      </c>
      <c r="D3376" s="1" t="s">
        <v>61</v>
      </c>
      <c r="E3376">
        <v>1202.6660999999999</v>
      </c>
      <c r="F3376" s="1" t="s">
        <v>86</v>
      </c>
      <c r="G3376">
        <v>41</v>
      </c>
      <c r="H3376">
        <v>28</v>
      </c>
      <c r="I3376" s="1" t="s">
        <v>164</v>
      </c>
      <c r="J3376">
        <v>2</v>
      </c>
      <c r="K3376" t="str">
        <f>IF(Tb_data[[#This Row],[previous_workers]]&lt;Tb_data[[#This Row],[workers]],"yes","no")</f>
        <v>yes</v>
      </c>
      <c r="L3376">
        <f>Tb_data[[#This Row],[workers]]-Tb_data[[#This Row],[previous_workers]]</f>
        <v>13</v>
      </c>
      <c r="M3376" s="12">
        <f>Tb_data[[#This Row],[Employees Growth]]/Tb_data[[#This Row],[previous_workers]]</f>
        <v>0.4642857142857143</v>
      </c>
    </row>
    <row r="3377" spans="1:13" x14ac:dyDescent="0.25">
      <c r="A3377" s="1" t="s">
        <v>5954</v>
      </c>
      <c r="B3377" s="1" t="s">
        <v>5955</v>
      </c>
      <c r="C3377" s="1">
        <v>25400000</v>
      </c>
      <c r="D3377" s="1" t="s">
        <v>254</v>
      </c>
      <c r="E3377">
        <v>127.6157</v>
      </c>
      <c r="F3377" s="1" t="s">
        <v>86</v>
      </c>
      <c r="G3377">
        <v>161</v>
      </c>
      <c r="H3377">
        <v>116</v>
      </c>
      <c r="I3377" s="1" t="s">
        <v>74</v>
      </c>
      <c r="J3377">
        <v>2</v>
      </c>
      <c r="K3377" t="str">
        <f>IF(Tb_data[[#This Row],[previous_workers]]&lt;Tb_data[[#This Row],[workers]],"yes","no")</f>
        <v>yes</v>
      </c>
      <c r="L3377">
        <f>Tb_data[[#This Row],[workers]]-Tb_data[[#This Row],[previous_workers]]</f>
        <v>45</v>
      </c>
      <c r="M3377" s="12">
        <f>Tb_data[[#This Row],[Employees Growth]]/Tb_data[[#This Row],[previous_workers]]</f>
        <v>0.38793103448275862</v>
      </c>
    </row>
    <row r="3378" spans="1:13" x14ac:dyDescent="0.25">
      <c r="A3378" s="1" t="s">
        <v>2947</v>
      </c>
      <c r="B3378" s="1" t="s">
        <v>2948</v>
      </c>
      <c r="C3378" s="1">
        <v>361100000</v>
      </c>
      <c r="D3378" s="1" t="s">
        <v>49</v>
      </c>
      <c r="E3378">
        <v>291.97269999999997</v>
      </c>
      <c r="F3378" s="1" t="s">
        <v>310</v>
      </c>
      <c r="G3378">
        <v>2000</v>
      </c>
      <c r="H3378">
        <v>400</v>
      </c>
      <c r="I3378" s="1" t="s">
        <v>2628</v>
      </c>
      <c r="J3378">
        <v>1</v>
      </c>
      <c r="K3378" t="str">
        <f>IF(Tb_data[[#This Row],[previous_workers]]&lt;Tb_data[[#This Row],[workers]],"yes","no")</f>
        <v>yes</v>
      </c>
      <c r="L3378">
        <f>Tb_data[[#This Row],[workers]]-Tb_data[[#This Row],[previous_workers]]</f>
        <v>1600</v>
      </c>
      <c r="M3378" s="12">
        <f>Tb_data[[#This Row],[Employees Growth]]/Tb_data[[#This Row],[previous_workers]]</f>
        <v>4</v>
      </c>
    </row>
    <row r="3379" spans="1:13" x14ac:dyDescent="0.25">
      <c r="A3379" s="1" t="s">
        <v>9253</v>
      </c>
      <c r="B3379" s="1" t="s">
        <v>9254</v>
      </c>
      <c r="C3379" s="1">
        <v>16600000</v>
      </c>
      <c r="D3379" s="1" t="s">
        <v>129</v>
      </c>
      <c r="E3379">
        <v>63.330800000000004</v>
      </c>
      <c r="F3379" s="1" t="s">
        <v>112</v>
      </c>
      <c r="G3379">
        <v>23</v>
      </c>
      <c r="H3379">
        <v>17</v>
      </c>
      <c r="I3379" s="1" t="s">
        <v>194</v>
      </c>
      <c r="J3379">
        <v>5</v>
      </c>
      <c r="K3379" t="str">
        <f>IF(Tb_data[[#This Row],[previous_workers]]&lt;Tb_data[[#This Row],[workers]],"yes","no")</f>
        <v>yes</v>
      </c>
      <c r="L3379">
        <f>Tb_data[[#This Row],[workers]]-Tb_data[[#This Row],[previous_workers]]</f>
        <v>6</v>
      </c>
      <c r="M3379" s="12">
        <f>Tb_data[[#This Row],[Employees Growth]]/Tb_data[[#This Row],[previous_workers]]</f>
        <v>0.35294117647058826</v>
      </c>
    </row>
    <row r="3380" spans="1:13" x14ac:dyDescent="0.25">
      <c r="A3380" s="1" t="s">
        <v>8237</v>
      </c>
      <c r="B3380" s="1" t="s">
        <v>8238</v>
      </c>
      <c r="C3380" s="1">
        <v>8600000</v>
      </c>
      <c r="D3380" s="1" t="s">
        <v>29</v>
      </c>
      <c r="E3380">
        <v>78.653499999999994</v>
      </c>
      <c r="F3380" s="1" t="s">
        <v>3264</v>
      </c>
      <c r="G3380">
        <v>9</v>
      </c>
      <c r="H3380">
        <v>9</v>
      </c>
      <c r="I3380" s="1" t="s">
        <v>948</v>
      </c>
      <c r="J3380">
        <v>2</v>
      </c>
      <c r="K3380" t="str">
        <f>IF(Tb_data[[#This Row],[previous_workers]]&lt;Tb_data[[#This Row],[workers]],"yes","no")</f>
        <v>no</v>
      </c>
      <c r="L3380">
        <f>Tb_data[[#This Row],[workers]]-Tb_data[[#This Row],[previous_workers]]</f>
        <v>0</v>
      </c>
      <c r="M3380" s="12">
        <f>Tb_data[[#This Row],[Employees Growth]]/Tb_data[[#This Row],[previous_workers]]</f>
        <v>0</v>
      </c>
    </row>
    <row r="3381" spans="1:13" x14ac:dyDescent="0.25">
      <c r="A3381" s="1" t="s">
        <v>2466</v>
      </c>
      <c r="B3381" s="1" t="s">
        <v>2467</v>
      </c>
      <c r="C3381" s="1">
        <v>7300000</v>
      </c>
      <c r="D3381" s="1" t="s">
        <v>1021</v>
      </c>
      <c r="E3381">
        <v>352.86489999999998</v>
      </c>
      <c r="F3381" s="1" t="s">
        <v>176</v>
      </c>
      <c r="G3381">
        <v>16</v>
      </c>
      <c r="H3381">
        <v>5</v>
      </c>
      <c r="I3381" s="1" t="s">
        <v>55</v>
      </c>
      <c r="J3381">
        <v>2</v>
      </c>
      <c r="K3381" t="str">
        <f>IF(Tb_data[[#This Row],[previous_workers]]&lt;Tb_data[[#This Row],[workers]],"yes","no")</f>
        <v>yes</v>
      </c>
      <c r="L3381">
        <f>Tb_data[[#This Row],[workers]]-Tb_data[[#This Row],[previous_workers]]</f>
        <v>11</v>
      </c>
      <c r="M3381" s="12">
        <f>Tb_data[[#This Row],[Employees Growth]]/Tb_data[[#This Row],[previous_workers]]</f>
        <v>2.2000000000000002</v>
      </c>
    </row>
    <row r="3382" spans="1:13" x14ac:dyDescent="0.25">
      <c r="A3382" s="1" t="s">
        <v>9035</v>
      </c>
      <c r="B3382" s="1" t="s">
        <v>9036</v>
      </c>
      <c r="C3382" s="1">
        <v>5400000</v>
      </c>
      <c r="D3382" s="1" t="s">
        <v>664</v>
      </c>
      <c r="E3382">
        <v>66.168300000000002</v>
      </c>
      <c r="F3382" s="1" t="s">
        <v>142</v>
      </c>
      <c r="G3382">
        <v>75</v>
      </c>
      <c r="H3382">
        <v>60</v>
      </c>
      <c r="I3382" s="1" t="s">
        <v>229</v>
      </c>
      <c r="J3382">
        <v>1</v>
      </c>
      <c r="K3382" t="str">
        <f>IF(Tb_data[[#This Row],[previous_workers]]&lt;Tb_data[[#This Row],[workers]],"yes","no")</f>
        <v>yes</v>
      </c>
      <c r="L3382">
        <f>Tb_data[[#This Row],[workers]]-Tb_data[[#This Row],[previous_workers]]</f>
        <v>15</v>
      </c>
      <c r="M3382" s="12">
        <f>Tb_data[[#This Row],[Employees Growth]]/Tb_data[[#This Row],[previous_workers]]</f>
        <v>0.25</v>
      </c>
    </row>
    <row r="3383" spans="1:13" x14ac:dyDescent="0.25">
      <c r="A3383" s="1" t="s">
        <v>4892</v>
      </c>
      <c r="B3383" s="1" t="s">
        <v>4893</v>
      </c>
      <c r="C3383" s="1">
        <v>4500000</v>
      </c>
      <c r="D3383" s="1" t="s">
        <v>41</v>
      </c>
      <c r="E3383">
        <v>166.51</v>
      </c>
      <c r="F3383" s="1" t="s">
        <v>12</v>
      </c>
      <c r="G3383">
        <v>30</v>
      </c>
      <c r="H3383">
        <v>5</v>
      </c>
      <c r="I3383" s="1" t="s">
        <v>130</v>
      </c>
      <c r="J3383">
        <v>1</v>
      </c>
      <c r="K3383" t="str">
        <f>IF(Tb_data[[#This Row],[previous_workers]]&lt;Tb_data[[#This Row],[workers]],"yes","no")</f>
        <v>yes</v>
      </c>
      <c r="L3383">
        <f>Tb_data[[#This Row],[workers]]-Tb_data[[#This Row],[previous_workers]]</f>
        <v>25</v>
      </c>
      <c r="M3383" s="12">
        <f>Tb_data[[#This Row],[Employees Growth]]/Tb_data[[#This Row],[previous_workers]]</f>
        <v>5</v>
      </c>
    </row>
    <row r="3384" spans="1:13" x14ac:dyDescent="0.25">
      <c r="A3384" s="1" t="s">
        <v>4597</v>
      </c>
      <c r="B3384" s="1" t="s">
        <v>4598</v>
      </c>
      <c r="C3384" s="1">
        <v>12400000</v>
      </c>
      <c r="D3384" s="1" t="s">
        <v>20</v>
      </c>
      <c r="E3384">
        <v>178.55080000000001</v>
      </c>
      <c r="F3384" s="1" t="s">
        <v>152</v>
      </c>
      <c r="G3384">
        <v>50</v>
      </c>
      <c r="H3384">
        <v>10</v>
      </c>
      <c r="I3384" s="1" t="s">
        <v>164</v>
      </c>
      <c r="J3384">
        <v>6</v>
      </c>
      <c r="K3384" t="str">
        <f>IF(Tb_data[[#This Row],[previous_workers]]&lt;Tb_data[[#This Row],[workers]],"yes","no")</f>
        <v>yes</v>
      </c>
      <c r="L3384">
        <f>Tb_data[[#This Row],[workers]]-Tb_data[[#This Row],[previous_workers]]</f>
        <v>40</v>
      </c>
      <c r="M3384" s="12">
        <f>Tb_data[[#This Row],[Employees Growth]]/Tb_data[[#This Row],[previous_workers]]</f>
        <v>4</v>
      </c>
    </row>
    <row r="3385" spans="1:13" x14ac:dyDescent="0.25">
      <c r="A3385" s="1" t="s">
        <v>2717</v>
      </c>
      <c r="B3385" s="1" t="s">
        <v>2718</v>
      </c>
      <c r="C3385" s="1">
        <v>6300000</v>
      </c>
      <c r="D3385" s="1" t="s">
        <v>1853</v>
      </c>
      <c r="E3385">
        <v>317.08539999999999</v>
      </c>
      <c r="F3385" s="1" t="s">
        <v>30</v>
      </c>
      <c r="G3385">
        <v>3</v>
      </c>
      <c r="H3385">
        <v>2</v>
      </c>
      <c r="I3385" s="1" t="s">
        <v>117</v>
      </c>
      <c r="J3385">
        <v>1</v>
      </c>
      <c r="K3385" t="str">
        <f>IF(Tb_data[[#This Row],[previous_workers]]&lt;Tb_data[[#This Row],[workers]],"yes","no")</f>
        <v>yes</v>
      </c>
      <c r="L3385">
        <f>Tb_data[[#This Row],[workers]]-Tb_data[[#This Row],[previous_workers]]</f>
        <v>1</v>
      </c>
      <c r="M3385" s="12">
        <f>Tb_data[[#This Row],[Employees Growth]]/Tb_data[[#This Row],[previous_workers]]</f>
        <v>0.5</v>
      </c>
    </row>
    <row r="3386" spans="1:13" x14ac:dyDescent="0.25">
      <c r="A3386" s="1" t="s">
        <v>4325</v>
      </c>
      <c r="B3386" s="1" t="s">
        <v>4326</v>
      </c>
      <c r="C3386" s="1">
        <v>8300000</v>
      </c>
      <c r="D3386" s="1" t="s">
        <v>20</v>
      </c>
      <c r="E3386">
        <v>190.30680000000001</v>
      </c>
      <c r="F3386" s="1" t="s">
        <v>86</v>
      </c>
      <c r="G3386">
        <v>36</v>
      </c>
      <c r="H3386">
        <v>20</v>
      </c>
      <c r="I3386" s="1" t="s">
        <v>226</v>
      </c>
      <c r="J3386">
        <v>3</v>
      </c>
      <c r="K3386" t="str">
        <f>IF(Tb_data[[#This Row],[previous_workers]]&lt;Tb_data[[#This Row],[workers]],"yes","no")</f>
        <v>yes</v>
      </c>
      <c r="L3386">
        <f>Tb_data[[#This Row],[workers]]-Tb_data[[#This Row],[previous_workers]]</f>
        <v>16</v>
      </c>
      <c r="M3386" s="12">
        <f>Tb_data[[#This Row],[Employees Growth]]/Tb_data[[#This Row],[previous_workers]]</f>
        <v>0.8</v>
      </c>
    </row>
    <row r="3387" spans="1:13" x14ac:dyDescent="0.25">
      <c r="A3387" s="1" t="s">
        <v>3343</v>
      </c>
      <c r="B3387" s="1" t="s">
        <v>3344</v>
      </c>
      <c r="C3387" s="1">
        <v>25100000</v>
      </c>
      <c r="D3387" s="1" t="s">
        <v>129</v>
      </c>
      <c r="E3387">
        <v>256.11790000000002</v>
      </c>
      <c r="F3387" s="1" t="s">
        <v>135</v>
      </c>
      <c r="G3387">
        <v>100</v>
      </c>
      <c r="H3387">
        <v>20</v>
      </c>
      <c r="I3387" s="1" t="s">
        <v>948</v>
      </c>
      <c r="J3387">
        <v>2</v>
      </c>
      <c r="K3387" t="str">
        <f>IF(Tb_data[[#This Row],[previous_workers]]&lt;Tb_data[[#This Row],[workers]],"yes","no")</f>
        <v>yes</v>
      </c>
      <c r="L3387">
        <f>Tb_data[[#This Row],[workers]]-Tb_data[[#This Row],[previous_workers]]</f>
        <v>80</v>
      </c>
      <c r="M3387" s="12">
        <f>Tb_data[[#This Row],[Employees Growth]]/Tb_data[[#This Row],[previous_workers]]</f>
        <v>4</v>
      </c>
    </row>
    <row r="3388" spans="1:13" x14ac:dyDescent="0.25">
      <c r="A3388" s="1" t="s">
        <v>7493</v>
      </c>
      <c r="B3388" s="1" t="s">
        <v>7494</v>
      </c>
      <c r="C3388" s="1">
        <v>54500000</v>
      </c>
      <c r="D3388" s="1" t="s">
        <v>129</v>
      </c>
      <c r="E3388">
        <v>93.136600000000001</v>
      </c>
      <c r="F3388" s="1" t="s">
        <v>97</v>
      </c>
      <c r="G3388">
        <v>358</v>
      </c>
      <c r="H3388">
        <v>215</v>
      </c>
      <c r="I3388" s="1" t="s">
        <v>3426</v>
      </c>
      <c r="J3388">
        <v>4</v>
      </c>
      <c r="K3388" t="str">
        <f>IF(Tb_data[[#This Row],[previous_workers]]&lt;Tb_data[[#This Row],[workers]],"yes","no")</f>
        <v>yes</v>
      </c>
      <c r="L3388">
        <f>Tb_data[[#This Row],[workers]]-Tb_data[[#This Row],[previous_workers]]</f>
        <v>143</v>
      </c>
      <c r="M3388" s="12">
        <f>Tb_data[[#This Row],[Employees Growth]]/Tb_data[[#This Row],[previous_workers]]</f>
        <v>0.66511627906976745</v>
      </c>
    </row>
    <row r="3389" spans="1:13" x14ac:dyDescent="0.25">
      <c r="A3389" s="1" t="s">
        <v>9397</v>
      </c>
      <c r="B3389" s="1" t="s">
        <v>9398</v>
      </c>
      <c r="C3389" s="1">
        <v>4400000</v>
      </c>
      <c r="D3389" s="1" t="s">
        <v>427</v>
      </c>
      <c r="E3389">
        <v>61.5413</v>
      </c>
      <c r="F3389" s="1" t="s">
        <v>112</v>
      </c>
      <c r="G3389">
        <v>47</v>
      </c>
      <c r="H3389">
        <v>31</v>
      </c>
      <c r="I3389" s="1" t="s">
        <v>4010</v>
      </c>
      <c r="J3389">
        <v>3</v>
      </c>
      <c r="K3389" t="str">
        <f>IF(Tb_data[[#This Row],[previous_workers]]&lt;Tb_data[[#This Row],[workers]],"yes","no")</f>
        <v>yes</v>
      </c>
      <c r="L3389">
        <f>Tb_data[[#This Row],[workers]]-Tb_data[[#This Row],[previous_workers]]</f>
        <v>16</v>
      </c>
      <c r="M3389" s="12">
        <f>Tb_data[[#This Row],[Employees Growth]]/Tb_data[[#This Row],[previous_workers]]</f>
        <v>0.5161290322580645</v>
      </c>
    </row>
    <row r="3390" spans="1:13" x14ac:dyDescent="0.25">
      <c r="A3390" s="1" t="s">
        <v>9988</v>
      </c>
      <c r="B3390" s="1" t="s">
        <v>9989</v>
      </c>
      <c r="C3390" s="1">
        <v>6500000</v>
      </c>
      <c r="D3390" s="1" t="s">
        <v>29</v>
      </c>
      <c r="E3390">
        <v>53.565399999999997</v>
      </c>
      <c r="F3390" s="1" t="s">
        <v>112</v>
      </c>
      <c r="G3390">
        <v>30</v>
      </c>
      <c r="H3390">
        <v>9</v>
      </c>
      <c r="I3390" s="1" t="s">
        <v>836</v>
      </c>
      <c r="J3390">
        <v>3</v>
      </c>
      <c r="K3390" t="str">
        <f>IF(Tb_data[[#This Row],[previous_workers]]&lt;Tb_data[[#This Row],[workers]],"yes","no")</f>
        <v>yes</v>
      </c>
      <c r="L3390">
        <f>Tb_data[[#This Row],[workers]]-Tb_data[[#This Row],[previous_workers]]</f>
        <v>21</v>
      </c>
      <c r="M3390" s="12">
        <f>Tb_data[[#This Row],[Employees Growth]]/Tb_data[[#This Row],[previous_workers]]</f>
        <v>2.3333333333333335</v>
      </c>
    </row>
    <row r="3391" spans="1:13" x14ac:dyDescent="0.25">
      <c r="A3391" s="1" t="s">
        <v>6453</v>
      </c>
      <c r="B3391" s="1" t="s">
        <v>6454</v>
      </c>
      <c r="C3391" s="1">
        <v>2000000</v>
      </c>
      <c r="D3391" s="1" t="s">
        <v>49</v>
      </c>
      <c r="E3391">
        <v>115.2009</v>
      </c>
      <c r="F3391" s="1" t="s">
        <v>169</v>
      </c>
      <c r="G3391">
        <v>11</v>
      </c>
      <c r="H3391">
        <v>9</v>
      </c>
      <c r="I3391" s="1" t="s">
        <v>2611</v>
      </c>
      <c r="J3391">
        <v>1</v>
      </c>
      <c r="K3391" t="str">
        <f>IF(Tb_data[[#This Row],[previous_workers]]&lt;Tb_data[[#This Row],[workers]],"yes","no")</f>
        <v>yes</v>
      </c>
      <c r="L3391">
        <f>Tb_data[[#This Row],[workers]]-Tb_data[[#This Row],[previous_workers]]</f>
        <v>2</v>
      </c>
      <c r="M3391" s="12">
        <f>Tb_data[[#This Row],[Employees Growth]]/Tb_data[[#This Row],[previous_workers]]</f>
        <v>0.22222222222222221</v>
      </c>
    </row>
    <row r="3392" spans="1:13" x14ac:dyDescent="0.25">
      <c r="A3392" s="1" t="s">
        <v>8745</v>
      </c>
      <c r="B3392" s="1" t="s">
        <v>8746</v>
      </c>
      <c r="C3392" s="1">
        <v>27300000</v>
      </c>
      <c r="D3392" s="1" t="s">
        <v>49</v>
      </c>
      <c r="E3392">
        <v>70.393199999999993</v>
      </c>
      <c r="F3392" s="1" t="s">
        <v>34</v>
      </c>
      <c r="G3392">
        <v>55</v>
      </c>
      <c r="H3392">
        <v>33</v>
      </c>
      <c r="I3392" s="1" t="s">
        <v>117</v>
      </c>
      <c r="J3392">
        <v>1</v>
      </c>
      <c r="K3392" t="str">
        <f>IF(Tb_data[[#This Row],[previous_workers]]&lt;Tb_data[[#This Row],[workers]],"yes","no")</f>
        <v>yes</v>
      </c>
      <c r="L3392">
        <f>Tb_data[[#This Row],[workers]]-Tb_data[[#This Row],[previous_workers]]</f>
        <v>22</v>
      </c>
      <c r="M3392" s="12">
        <f>Tb_data[[#This Row],[Employees Growth]]/Tb_data[[#This Row],[previous_workers]]</f>
        <v>0.66666666666666663</v>
      </c>
    </row>
    <row r="3393" spans="1:13" x14ac:dyDescent="0.25">
      <c r="A3393" s="1" t="s">
        <v>5692</v>
      </c>
      <c r="B3393" s="1" t="s">
        <v>5693</v>
      </c>
      <c r="C3393" s="1">
        <v>9800000</v>
      </c>
      <c r="D3393" s="1" t="s">
        <v>85</v>
      </c>
      <c r="E3393">
        <v>134.5624</v>
      </c>
      <c r="F3393" s="1" t="s">
        <v>124</v>
      </c>
      <c r="G3393">
        <v>20</v>
      </c>
      <c r="H3393">
        <v>15</v>
      </c>
      <c r="I3393" s="1" t="s">
        <v>46</v>
      </c>
      <c r="J3393">
        <v>4</v>
      </c>
      <c r="K3393" t="str">
        <f>IF(Tb_data[[#This Row],[previous_workers]]&lt;Tb_data[[#This Row],[workers]],"yes","no")</f>
        <v>yes</v>
      </c>
      <c r="L3393">
        <f>Tb_data[[#This Row],[workers]]-Tb_data[[#This Row],[previous_workers]]</f>
        <v>5</v>
      </c>
      <c r="M3393" s="12">
        <f>Tb_data[[#This Row],[Employees Growth]]/Tb_data[[#This Row],[previous_workers]]</f>
        <v>0.33333333333333331</v>
      </c>
    </row>
    <row r="3394" spans="1:13" x14ac:dyDescent="0.25">
      <c r="A3394" s="1" t="s">
        <v>4435</v>
      </c>
      <c r="B3394" s="1" t="s">
        <v>4436</v>
      </c>
      <c r="C3394" s="1">
        <v>3200000</v>
      </c>
      <c r="D3394" s="1" t="s">
        <v>45</v>
      </c>
      <c r="E3394">
        <v>185.46680000000001</v>
      </c>
      <c r="F3394" s="1" t="s">
        <v>161</v>
      </c>
      <c r="G3394">
        <v>74</v>
      </c>
      <c r="H3394">
        <v>29</v>
      </c>
      <c r="I3394" s="1" t="s">
        <v>46</v>
      </c>
      <c r="J3394">
        <v>1</v>
      </c>
      <c r="K3394" t="str">
        <f>IF(Tb_data[[#This Row],[previous_workers]]&lt;Tb_data[[#This Row],[workers]],"yes","no")</f>
        <v>yes</v>
      </c>
      <c r="L3394">
        <f>Tb_data[[#This Row],[workers]]-Tb_data[[#This Row],[previous_workers]]</f>
        <v>45</v>
      </c>
      <c r="M3394" s="12">
        <f>Tb_data[[#This Row],[Employees Growth]]/Tb_data[[#This Row],[previous_workers]]</f>
        <v>1.5517241379310345</v>
      </c>
    </row>
    <row r="3395" spans="1:13" x14ac:dyDescent="0.25">
      <c r="A3395" s="1" t="s">
        <v>2090</v>
      </c>
      <c r="B3395" s="1" t="s">
        <v>2091</v>
      </c>
      <c r="C3395" s="1">
        <v>8000000</v>
      </c>
      <c r="D3395" s="1" t="s">
        <v>627</v>
      </c>
      <c r="E3395">
        <v>426.97730000000001</v>
      </c>
      <c r="F3395" s="1" t="s">
        <v>124</v>
      </c>
      <c r="G3395">
        <v>45</v>
      </c>
      <c r="H3395">
        <v>10</v>
      </c>
      <c r="I3395" s="1" t="s">
        <v>26</v>
      </c>
      <c r="J3395">
        <v>1</v>
      </c>
      <c r="K3395" t="str">
        <f>IF(Tb_data[[#This Row],[previous_workers]]&lt;Tb_data[[#This Row],[workers]],"yes","no")</f>
        <v>yes</v>
      </c>
      <c r="L3395">
        <f>Tb_data[[#This Row],[workers]]-Tb_data[[#This Row],[previous_workers]]</f>
        <v>35</v>
      </c>
      <c r="M3395" s="12">
        <f>Tb_data[[#This Row],[Employees Growth]]/Tb_data[[#This Row],[previous_workers]]</f>
        <v>3.5</v>
      </c>
    </row>
    <row r="3396" spans="1:13" x14ac:dyDescent="0.25">
      <c r="A3396" s="1" t="s">
        <v>9115</v>
      </c>
      <c r="B3396" s="1" t="s">
        <v>9116</v>
      </c>
      <c r="C3396" s="1">
        <v>22300000</v>
      </c>
      <c r="D3396" s="1" t="s">
        <v>29</v>
      </c>
      <c r="E3396">
        <v>65.233900000000006</v>
      </c>
      <c r="F3396" s="1" t="s">
        <v>514</v>
      </c>
      <c r="G3396">
        <v>110</v>
      </c>
      <c r="H3396">
        <v>90</v>
      </c>
      <c r="I3396" s="1" t="s">
        <v>1051</v>
      </c>
      <c r="J3396">
        <v>1</v>
      </c>
      <c r="K3396" t="str">
        <f>IF(Tb_data[[#This Row],[previous_workers]]&lt;Tb_data[[#This Row],[workers]],"yes","no")</f>
        <v>yes</v>
      </c>
      <c r="L3396">
        <f>Tb_data[[#This Row],[workers]]-Tb_data[[#This Row],[previous_workers]]</f>
        <v>20</v>
      </c>
      <c r="M3396" s="12">
        <f>Tb_data[[#This Row],[Employees Growth]]/Tb_data[[#This Row],[previous_workers]]</f>
        <v>0.22222222222222221</v>
      </c>
    </row>
    <row r="3397" spans="1:13" x14ac:dyDescent="0.25">
      <c r="A3397" s="1" t="s">
        <v>3927</v>
      </c>
      <c r="B3397" s="1" t="s">
        <v>3928</v>
      </c>
      <c r="C3397" s="1">
        <v>56600000</v>
      </c>
      <c r="D3397" s="1" t="s">
        <v>20</v>
      </c>
      <c r="E3397">
        <v>211.71809999999999</v>
      </c>
      <c r="F3397" s="1" t="s">
        <v>112</v>
      </c>
      <c r="G3397">
        <v>101</v>
      </c>
      <c r="H3397">
        <v>54</v>
      </c>
      <c r="I3397" s="1" t="s">
        <v>164</v>
      </c>
      <c r="J3397">
        <v>1</v>
      </c>
      <c r="K3397" t="str">
        <f>IF(Tb_data[[#This Row],[previous_workers]]&lt;Tb_data[[#This Row],[workers]],"yes","no")</f>
        <v>yes</v>
      </c>
      <c r="L3397">
        <f>Tb_data[[#This Row],[workers]]-Tb_data[[#This Row],[previous_workers]]</f>
        <v>47</v>
      </c>
      <c r="M3397" s="12">
        <f>Tb_data[[#This Row],[Employees Growth]]/Tb_data[[#This Row],[previous_workers]]</f>
        <v>0.87037037037037035</v>
      </c>
    </row>
    <row r="3398" spans="1:13" x14ac:dyDescent="0.25">
      <c r="A3398" s="1" t="s">
        <v>8737</v>
      </c>
      <c r="B3398" s="1" t="s">
        <v>8738</v>
      </c>
      <c r="C3398" s="1">
        <v>20800000</v>
      </c>
      <c r="D3398" s="1" t="s">
        <v>321</v>
      </c>
      <c r="E3398">
        <v>70.471400000000003</v>
      </c>
      <c r="F3398" s="1" t="s">
        <v>176</v>
      </c>
      <c r="G3398">
        <v>95</v>
      </c>
      <c r="H3398">
        <v>70</v>
      </c>
      <c r="I3398" s="1" t="s">
        <v>995</v>
      </c>
      <c r="J3398">
        <v>5</v>
      </c>
      <c r="K3398" t="str">
        <f>IF(Tb_data[[#This Row],[previous_workers]]&lt;Tb_data[[#This Row],[workers]],"yes","no")</f>
        <v>yes</v>
      </c>
      <c r="L3398">
        <f>Tb_data[[#This Row],[workers]]-Tb_data[[#This Row],[previous_workers]]</f>
        <v>25</v>
      </c>
      <c r="M3398" s="12">
        <f>Tb_data[[#This Row],[Employees Growth]]/Tb_data[[#This Row],[previous_workers]]</f>
        <v>0.35714285714285715</v>
      </c>
    </row>
    <row r="3399" spans="1:13" x14ac:dyDescent="0.25">
      <c r="A3399" s="1" t="s">
        <v>611</v>
      </c>
      <c r="B3399" s="1" t="s">
        <v>612</v>
      </c>
      <c r="C3399" s="1">
        <v>8500000</v>
      </c>
      <c r="D3399" s="1" t="s">
        <v>20</v>
      </c>
      <c r="E3399">
        <v>1653.441</v>
      </c>
      <c r="F3399" s="1" t="s">
        <v>172</v>
      </c>
      <c r="G3399">
        <v>29</v>
      </c>
      <c r="H3399">
        <v>16</v>
      </c>
      <c r="I3399" s="1" t="s">
        <v>130</v>
      </c>
      <c r="J3399">
        <v>1</v>
      </c>
      <c r="K3399" t="str">
        <f>IF(Tb_data[[#This Row],[previous_workers]]&lt;Tb_data[[#This Row],[workers]],"yes","no")</f>
        <v>yes</v>
      </c>
      <c r="L3399">
        <f>Tb_data[[#This Row],[workers]]-Tb_data[[#This Row],[previous_workers]]</f>
        <v>13</v>
      </c>
      <c r="M3399" s="12">
        <f>Tb_data[[#This Row],[Employees Growth]]/Tb_data[[#This Row],[previous_workers]]</f>
        <v>0.8125</v>
      </c>
    </row>
    <row r="3400" spans="1:13" x14ac:dyDescent="0.25">
      <c r="A3400" s="1" t="s">
        <v>4133</v>
      </c>
      <c r="B3400" s="1" t="s">
        <v>4134</v>
      </c>
      <c r="C3400" s="1">
        <v>10500000</v>
      </c>
      <c r="D3400" s="1" t="s">
        <v>69</v>
      </c>
      <c r="E3400">
        <v>198.46440000000001</v>
      </c>
      <c r="F3400" s="1" t="s">
        <v>17</v>
      </c>
      <c r="G3400">
        <v>13</v>
      </c>
      <c r="H3400">
        <v>9</v>
      </c>
      <c r="I3400" s="1" t="s">
        <v>164</v>
      </c>
      <c r="J3400">
        <v>4</v>
      </c>
      <c r="K3400" t="str">
        <f>IF(Tb_data[[#This Row],[previous_workers]]&lt;Tb_data[[#This Row],[workers]],"yes","no")</f>
        <v>yes</v>
      </c>
      <c r="L3400">
        <f>Tb_data[[#This Row],[workers]]-Tb_data[[#This Row],[previous_workers]]</f>
        <v>4</v>
      </c>
      <c r="M3400" s="12">
        <f>Tb_data[[#This Row],[Employees Growth]]/Tb_data[[#This Row],[previous_workers]]</f>
        <v>0.44444444444444442</v>
      </c>
    </row>
    <row r="3401" spans="1:13" x14ac:dyDescent="0.25">
      <c r="A3401" s="1" t="s">
        <v>6243</v>
      </c>
      <c r="B3401" s="1" t="s">
        <v>6244</v>
      </c>
      <c r="C3401" s="1">
        <v>2600000</v>
      </c>
      <c r="D3401" s="1" t="s">
        <v>69</v>
      </c>
      <c r="E3401">
        <v>120.4312</v>
      </c>
      <c r="F3401" s="1" t="s">
        <v>156</v>
      </c>
      <c r="G3401">
        <v>14</v>
      </c>
      <c r="H3401">
        <v>11</v>
      </c>
      <c r="I3401" s="1" t="s">
        <v>55</v>
      </c>
      <c r="J3401">
        <v>2</v>
      </c>
      <c r="K3401" t="str">
        <f>IF(Tb_data[[#This Row],[previous_workers]]&lt;Tb_data[[#This Row],[workers]],"yes","no")</f>
        <v>yes</v>
      </c>
      <c r="L3401">
        <f>Tb_data[[#This Row],[workers]]-Tb_data[[#This Row],[previous_workers]]</f>
        <v>3</v>
      </c>
      <c r="M3401" s="12">
        <f>Tb_data[[#This Row],[Employees Growth]]/Tb_data[[#This Row],[previous_workers]]</f>
        <v>0.27272727272727271</v>
      </c>
    </row>
    <row r="3402" spans="1:13" x14ac:dyDescent="0.25">
      <c r="A3402" s="1" t="s">
        <v>6513</v>
      </c>
      <c r="B3402" s="1" t="s">
        <v>6514</v>
      </c>
      <c r="C3402" s="1">
        <v>5300000</v>
      </c>
      <c r="D3402" s="1" t="s">
        <v>11</v>
      </c>
      <c r="E3402">
        <v>113.4524</v>
      </c>
      <c r="F3402" s="1" t="s">
        <v>34</v>
      </c>
      <c r="G3402">
        <v>55</v>
      </c>
      <c r="H3402">
        <v>8</v>
      </c>
      <c r="I3402" s="1" t="s">
        <v>74</v>
      </c>
      <c r="J3402">
        <v>1</v>
      </c>
      <c r="K3402" t="str">
        <f>IF(Tb_data[[#This Row],[previous_workers]]&lt;Tb_data[[#This Row],[workers]],"yes","no")</f>
        <v>yes</v>
      </c>
      <c r="L3402">
        <f>Tb_data[[#This Row],[workers]]-Tb_data[[#This Row],[previous_workers]]</f>
        <v>47</v>
      </c>
      <c r="M3402" s="12">
        <f>Tb_data[[#This Row],[Employees Growth]]/Tb_data[[#This Row],[previous_workers]]</f>
        <v>5.875</v>
      </c>
    </row>
    <row r="3403" spans="1:13" x14ac:dyDescent="0.25">
      <c r="A3403" s="1" t="s">
        <v>6409</v>
      </c>
      <c r="B3403" s="1" t="s">
        <v>6410</v>
      </c>
      <c r="C3403" s="1">
        <v>6800000</v>
      </c>
      <c r="D3403" s="1" t="s">
        <v>49</v>
      </c>
      <c r="E3403">
        <v>115.9802</v>
      </c>
      <c r="F3403" s="1" t="s">
        <v>124</v>
      </c>
      <c r="G3403">
        <v>11</v>
      </c>
      <c r="H3403">
        <v>7</v>
      </c>
      <c r="I3403" s="1" t="s">
        <v>26</v>
      </c>
      <c r="J3403">
        <v>2</v>
      </c>
      <c r="K3403" t="str">
        <f>IF(Tb_data[[#This Row],[previous_workers]]&lt;Tb_data[[#This Row],[workers]],"yes","no")</f>
        <v>yes</v>
      </c>
      <c r="L3403">
        <f>Tb_data[[#This Row],[workers]]-Tb_data[[#This Row],[previous_workers]]</f>
        <v>4</v>
      </c>
      <c r="M3403" s="12">
        <f>Tb_data[[#This Row],[Employees Growth]]/Tb_data[[#This Row],[previous_workers]]</f>
        <v>0.5714285714285714</v>
      </c>
    </row>
    <row r="3404" spans="1:13" x14ac:dyDescent="0.25">
      <c r="A3404" s="1" t="s">
        <v>4935</v>
      </c>
      <c r="B3404" s="1" t="s">
        <v>4936</v>
      </c>
      <c r="C3404" s="1">
        <v>15400000</v>
      </c>
      <c r="D3404" s="1" t="s">
        <v>20</v>
      </c>
      <c r="E3404">
        <v>164.6352</v>
      </c>
      <c r="F3404" s="1" t="s">
        <v>124</v>
      </c>
      <c r="G3404">
        <v>36</v>
      </c>
      <c r="H3404">
        <v>13</v>
      </c>
      <c r="I3404" s="1" t="s">
        <v>164</v>
      </c>
      <c r="J3404">
        <v>1</v>
      </c>
      <c r="K3404" t="str">
        <f>IF(Tb_data[[#This Row],[previous_workers]]&lt;Tb_data[[#This Row],[workers]],"yes","no")</f>
        <v>yes</v>
      </c>
      <c r="L3404">
        <f>Tb_data[[#This Row],[workers]]-Tb_data[[#This Row],[previous_workers]]</f>
        <v>23</v>
      </c>
      <c r="M3404" s="12">
        <f>Tb_data[[#This Row],[Employees Growth]]/Tb_data[[#This Row],[previous_workers]]</f>
        <v>1.7692307692307692</v>
      </c>
    </row>
    <row r="3405" spans="1:13" x14ac:dyDescent="0.25">
      <c r="A3405" s="1" t="s">
        <v>2490</v>
      </c>
      <c r="B3405" s="1" t="s">
        <v>2491</v>
      </c>
      <c r="C3405" s="1">
        <v>3000000</v>
      </c>
      <c r="D3405" s="1" t="s">
        <v>91</v>
      </c>
      <c r="E3405">
        <v>349.25549999999998</v>
      </c>
      <c r="F3405" s="1" t="s">
        <v>124</v>
      </c>
      <c r="G3405">
        <v>10</v>
      </c>
      <c r="H3405">
        <v>3</v>
      </c>
      <c r="I3405" s="1" t="s">
        <v>26</v>
      </c>
      <c r="J3405">
        <v>1</v>
      </c>
      <c r="K3405" t="str">
        <f>IF(Tb_data[[#This Row],[previous_workers]]&lt;Tb_data[[#This Row],[workers]],"yes","no")</f>
        <v>yes</v>
      </c>
      <c r="L3405">
        <f>Tb_data[[#This Row],[workers]]-Tb_data[[#This Row],[previous_workers]]</f>
        <v>7</v>
      </c>
      <c r="M3405" s="12">
        <f>Tb_data[[#This Row],[Employees Growth]]/Tb_data[[#This Row],[previous_workers]]</f>
        <v>2.3333333333333335</v>
      </c>
    </row>
    <row r="3406" spans="1:13" x14ac:dyDescent="0.25">
      <c r="A3406" s="1" t="s">
        <v>7098</v>
      </c>
      <c r="B3406" s="1" t="s">
        <v>7099</v>
      </c>
      <c r="C3406" s="1">
        <v>4500000</v>
      </c>
      <c r="D3406" s="1" t="s">
        <v>179</v>
      </c>
      <c r="E3406">
        <v>100.3036</v>
      </c>
      <c r="F3406" s="1" t="s">
        <v>310</v>
      </c>
      <c r="G3406">
        <v>20</v>
      </c>
      <c r="H3406">
        <v>18</v>
      </c>
      <c r="I3406" s="1" t="s">
        <v>164</v>
      </c>
      <c r="J3406">
        <v>4</v>
      </c>
      <c r="K3406" t="str">
        <f>IF(Tb_data[[#This Row],[previous_workers]]&lt;Tb_data[[#This Row],[workers]],"yes","no")</f>
        <v>yes</v>
      </c>
      <c r="L3406">
        <f>Tb_data[[#This Row],[workers]]-Tb_data[[#This Row],[previous_workers]]</f>
        <v>2</v>
      </c>
      <c r="M3406" s="12">
        <f>Tb_data[[#This Row],[Employees Growth]]/Tb_data[[#This Row],[previous_workers]]</f>
        <v>0.1111111111111111</v>
      </c>
    </row>
    <row r="3407" spans="1:13" x14ac:dyDescent="0.25">
      <c r="A3407" s="1" t="s">
        <v>2971</v>
      </c>
      <c r="B3407" s="1" t="s">
        <v>2972</v>
      </c>
      <c r="C3407" s="1">
        <v>54000000</v>
      </c>
      <c r="D3407" s="1" t="s">
        <v>115</v>
      </c>
      <c r="E3407">
        <v>290.00510000000003</v>
      </c>
      <c r="F3407" s="1" t="s">
        <v>124</v>
      </c>
      <c r="G3407">
        <v>350</v>
      </c>
      <c r="H3407">
        <v>100</v>
      </c>
      <c r="I3407" s="1" t="s">
        <v>130</v>
      </c>
      <c r="J3407">
        <v>1</v>
      </c>
      <c r="K3407" t="str">
        <f>IF(Tb_data[[#This Row],[previous_workers]]&lt;Tb_data[[#This Row],[workers]],"yes","no")</f>
        <v>yes</v>
      </c>
      <c r="L3407">
        <f>Tb_data[[#This Row],[workers]]-Tb_data[[#This Row],[previous_workers]]</f>
        <v>250</v>
      </c>
      <c r="M3407" s="12">
        <f>Tb_data[[#This Row],[Employees Growth]]/Tb_data[[#This Row],[previous_workers]]</f>
        <v>2.5</v>
      </c>
    </row>
    <row r="3408" spans="1:13" x14ac:dyDescent="0.25">
      <c r="A3408" s="1" t="s">
        <v>1521</v>
      </c>
      <c r="B3408" s="1" t="s">
        <v>1522</v>
      </c>
      <c r="C3408" s="1">
        <v>9000000</v>
      </c>
      <c r="D3408" s="1" t="s">
        <v>115</v>
      </c>
      <c r="E3408">
        <v>616.91099999999994</v>
      </c>
      <c r="F3408" s="1" t="s">
        <v>124</v>
      </c>
      <c r="G3408">
        <v>15</v>
      </c>
      <c r="H3408">
        <v>5</v>
      </c>
      <c r="I3408" s="1" t="s">
        <v>35</v>
      </c>
      <c r="J3408">
        <v>3</v>
      </c>
      <c r="K3408" t="str">
        <f>IF(Tb_data[[#This Row],[previous_workers]]&lt;Tb_data[[#This Row],[workers]],"yes","no")</f>
        <v>yes</v>
      </c>
      <c r="L3408">
        <f>Tb_data[[#This Row],[workers]]-Tb_data[[#This Row],[previous_workers]]</f>
        <v>10</v>
      </c>
      <c r="M3408" s="12">
        <f>Tb_data[[#This Row],[Employees Growth]]/Tb_data[[#This Row],[previous_workers]]</f>
        <v>2</v>
      </c>
    </row>
    <row r="3409" spans="1:13" x14ac:dyDescent="0.25">
      <c r="A3409" s="1" t="s">
        <v>8883</v>
      </c>
      <c r="B3409" s="1" t="s">
        <v>8884</v>
      </c>
      <c r="C3409" s="1">
        <v>19400000</v>
      </c>
      <c r="D3409" s="1" t="s">
        <v>20</v>
      </c>
      <c r="E3409">
        <v>68.258700000000005</v>
      </c>
      <c r="F3409" s="1" t="s">
        <v>34</v>
      </c>
      <c r="G3409">
        <v>25</v>
      </c>
      <c r="H3409">
        <v>15</v>
      </c>
      <c r="I3409" s="1" t="s">
        <v>130</v>
      </c>
      <c r="J3409">
        <v>4</v>
      </c>
      <c r="K3409" t="str">
        <f>IF(Tb_data[[#This Row],[previous_workers]]&lt;Tb_data[[#This Row],[workers]],"yes","no")</f>
        <v>yes</v>
      </c>
      <c r="L3409">
        <f>Tb_data[[#This Row],[workers]]-Tb_data[[#This Row],[previous_workers]]</f>
        <v>10</v>
      </c>
      <c r="M3409" s="12">
        <f>Tb_data[[#This Row],[Employees Growth]]/Tb_data[[#This Row],[previous_workers]]</f>
        <v>0.66666666666666663</v>
      </c>
    </row>
    <row r="3410" spans="1:13" x14ac:dyDescent="0.25">
      <c r="A3410" s="1" t="s">
        <v>3031</v>
      </c>
      <c r="B3410" s="1" t="s">
        <v>3032</v>
      </c>
      <c r="C3410" s="1">
        <v>4700000</v>
      </c>
      <c r="D3410" s="1" t="s">
        <v>45</v>
      </c>
      <c r="E3410">
        <v>284.55669999999998</v>
      </c>
      <c r="F3410" s="1" t="s">
        <v>25</v>
      </c>
      <c r="G3410">
        <v>38</v>
      </c>
      <c r="H3410">
        <v>12</v>
      </c>
      <c r="I3410" s="1" t="s">
        <v>130</v>
      </c>
      <c r="J3410">
        <v>3</v>
      </c>
      <c r="K3410" t="str">
        <f>IF(Tb_data[[#This Row],[previous_workers]]&lt;Tb_data[[#This Row],[workers]],"yes","no")</f>
        <v>yes</v>
      </c>
      <c r="L3410">
        <f>Tb_data[[#This Row],[workers]]-Tb_data[[#This Row],[previous_workers]]</f>
        <v>26</v>
      </c>
      <c r="M3410" s="12">
        <f>Tb_data[[#This Row],[Employees Growth]]/Tb_data[[#This Row],[previous_workers]]</f>
        <v>2.1666666666666665</v>
      </c>
    </row>
    <row r="3411" spans="1:13" x14ac:dyDescent="0.25">
      <c r="A3411" s="1" t="s">
        <v>9343</v>
      </c>
      <c r="B3411" s="1" t="s">
        <v>9344</v>
      </c>
      <c r="C3411" s="1">
        <v>25200000</v>
      </c>
      <c r="D3411" s="1" t="s">
        <v>254</v>
      </c>
      <c r="E3411">
        <v>62.279699999999998</v>
      </c>
      <c r="F3411" s="1" t="s">
        <v>161</v>
      </c>
      <c r="G3411">
        <v>6000</v>
      </c>
      <c r="H3411">
        <v>5500</v>
      </c>
      <c r="I3411" s="1" t="s">
        <v>194</v>
      </c>
      <c r="J3411">
        <v>1</v>
      </c>
      <c r="K3411" t="str">
        <f>IF(Tb_data[[#This Row],[previous_workers]]&lt;Tb_data[[#This Row],[workers]],"yes","no")</f>
        <v>yes</v>
      </c>
      <c r="L3411">
        <f>Tb_data[[#This Row],[workers]]-Tb_data[[#This Row],[previous_workers]]</f>
        <v>500</v>
      </c>
      <c r="M3411" s="12">
        <f>Tb_data[[#This Row],[Employees Growth]]/Tb_data[[#This Row],[previous_workers]]</f>
        <v>9.0909090909090912E-2</v>
      </c>
    </row>
    <row r="3412" spans="1:13" x14ac:dyDescent="0.25">
      <c r="A3412" s="1" t="s">
        <v>7601</v>
      </c>
      <c r="B3412" s="1" t="s">
        <v>7602</v>
      </c>
      <c r="C3412" s="1">
        <v>8800000</v>
      </c>
      <c r="D3412" s="1" t="s">
        <v>61</v>
      </c>
      <c r="E3412">
        <v>90.260499999999993</v>
      </c>
      <c r="F3412" s="1" t="s">
        <v>12</v>
      </c>
      <c r="G3412">
        <v>34</v>
      </c>
      <c r="H3412">
        <v>25</v>
      </c>
      <c r="I3412" s="1" t="s">
        <v>948</v>
      </c>
      <c r="J3412">
        <v>5</v>
      </c>
      <c r="K3412" t="str">
        <f>IF(Tb_data[[#This Row],[previous_workers]]&lt;Tb_data[[#This Row],[workers]],"yes","no")</f>
        <v>yes</v>
      </c>
      <c r="L3412">
        <f>Tb_data[[#This Row],[workers]]-Tb_data[[#This Row],[previous_workers]]</f>
        <v>9</v>
      </c>
      <c r="M3412" s="12">
        <f>Tb_data[[#This Row],[Employees Growth]]/Tb_data[[#This Row],[previous_workers]]</f>
        <v>0.36</v>
      </c>
    </row>
    <row r="3413" spans="1:13" x14ac:dyDescent="0.25">
      <c r="A3413" s="1" t="s">
        <v>1056</v>
      </c>
      <c r="B3413" s="1" t="s">
        <v>1057</v>
      </c>
      <c r="C3413" s="1">
        <v>7700000</v>
      </c>
      <c r="D3413" s="1" t="s">
        <v>49</v>
      </c>
      <c r="E3413">
        <v>922.49779999999998</v>
      </c>
      <c r="F3413" s="1" t="s">
        <v>62</v>
      </c>
      <c r="G3413">
        <v>13</v>
      </c>
      <c r="H3413">
        <v>6</v>
      </c>
      <c r="I3413" s="1" t="s">
        <v>130</v>
      </c>
      <c r="J3413">
        <v>2</v>
      </c>
      <c r="K3413" t="str">
        <f>IF(Tb_data[[#This Row],[previous_workers]]&lt;Tb_data[[#This Row],[workers]],"yes","no")</f>
        <v>yes</v>
      </c>
      <c r="L3413">
        <f>Tb_data[[#This Row],[workers]]-Tb_data[[#This Row],[previous_workers]]</f>
        <v>7</v>
      </c>
      <c r="M3413" s="12">
        <f>Tb_data[[#This Row],[Employees Growth]]/Tb_data[[#This Row],[previous_workers]]</f>
        <v>1.1666666666666667</v>
      </c>
    </row>
    <row r="3414" spans="1:13" x14ac:dyDescent="0.25">
      <c r="A3414" s="1" t="s">
        <v>1176</v>
      </c>
      <c r="B3414" s="1" t="s">
        <v>1177</v>
      </c>
      <c r="C3414" s="1">
        <v>19000000</v>
      </c>
      <c r="D3414" s="1" t="s">
        <v>69</v>
      </c>
      <c r="E3414">
        <v>815.70219999999995</v>
      </c>
      <c r="F3414" s="1" t="s">
        <v>97</v>
      </c>
      <c r="G3414">
        <v>210</v>
      </c>
      <c r="H3414">
        <v>20</v>
      </c>
      <c r="I3414" s="1" t="s">
        <v>26</v>
      </c>
      <c r="J3414">
        <v>1</v>
      </c>
      <c r="K3414" t="str">
        <f>IF(Tb_data[[#This Row],[previous_workers]]&lt;Tb_data[[#This Row],[workers]],"yes","no")</f>
        <v>yes</v>
      </c>
      <c r="L3414">
        <f>Tb_data[[#This Row],[workers]]-Tb_data[[#This Row],[previous_workers]]</f>
        <v>190</v>
      </c>
      <c r="M3414" s="12">
        <f>Tb_data[[#This Row],[Employees Growth]]/Tb_data[[#This Row],[previous_workers]]</f>
        <v>9.5</v>
      </c>
    </row>
    <row r="3415" spans="1:13" x14ac:dyDescent="0.25">
      <c r="A3415" s="1" t="s">
        <v>2260</v>
      </c>
      <c r="B3415" s="1" t="s">
        <v>2261</v>
      </c>
      <c r="C3415" s="1">
        <v>21400000000</v>
      </c>
      <c r="D3415" s="1" t="s">
        <v>155</v>
      </c>
      <c r="E3415">
        <v>390.56540000000001</v>
      </c>
      <c r="F3415" s="1" t="s">
        <v>34</v>
      </c>
      <c r="G3415">
        <v>3300</v>
      </c>
      <c r="H3415">
        <v>3900</v>
      </c>
      <c r="I3415" s="1" t="s">
        <v>1622</v>
      </c>
      <c r="J3415">
        <v>8</v>
      </c>
      <c r="K3415" t="str">
        <f>IF(Tb_data[[#This Row],[previous_workers]]&lt;Tb_data[[#This Row],[workers]],"yes","no")</f>
        <v>no</v>
      </c>
      <c r="L3415">
        <f>Tb_data[[#This Row],[workers]]-Tb_data[[#This Row],[previous_workers]]</f>
        <v>-600</v>
      </c>
      <c r="M3415" s="12">
        <f>Tb_data[[#This Row],[Employees Growth]]/Tb_data[[#This Row],[previous_workers]]</f>
        <v>-0.15384615384615385</v>
      </c>
    </row>
    <row r="3416" spans="1:13" x14ac:dyDescent="0.25">
      <c r="A3416" s="1" t="s">
        <v>4890</v>
      </c>
      <c r="B3416" s="1" t="s">
        <v>4891</v>
      </c>
      <c r="C3416" s="1">
        <v>7500000</v>
      </c>
      <c r="D3416" s="1" t="s">
        <v>254</v>
      </c>
      <c r="E3416">
        <v>166.5394</v>
      </c>
      <c r="F3416" s="1" t="s">
        <v>156</v>
      </c>
      <c r="G3416">
        <v>44</v>
      </c>
      <c r="H3416">
        <v>20</v>
      </c>
      <c r="I3416" s="1" t="s">
        <v>55</v>
      </c>
      <c r="J3416">
        <v>2</v>
      </c>
      <c r="K3416" t="str">
        <f>IF(Tb_data[[#This Row],[previous_workers]]&lt;Tb_data[[#This Row],[workers]],"yes","no")</f>
        <v>yes</v>
      </c>
      <c r="L3416">
        <f>Tb_data[[#This Row],[workers]]-Tb_data[[#This Row],[previous_workers]]</f>
        <v>24</v>
      </c>
      <c r="M3416" s="12">
        <f>Tb_data[[#This Row],[Employees Growth]]/Tb_data[[#This Row],[previous_workers]]</f>
        <v>1.2</v>
      </c>
    </row>
    <row r="3417" spans="1:13" x14ac:dyDescent="0.25">
      <c r="A3417" s="1" t="s">
        <v>9243</v>
      </c>
      <c r="B3417" s="1" t="s">
        <v>9244</v>
      </c>
      <c r="C3417" s="1">
        <v>34300000</v>
      </c>
      <c r="D3417" s="1" t="s">
        <v>69</v>
      </c>
      <c r="E3417">
        <v>63.581600000000002</v>
      </c>
      <c r="F3417" s="1" t="s">
        <v>62</v>
      </c>
      <c r="G3417">
        <v>151</v>
      </c>
      <c r="H3417">
        <v>63</v>
      </c>
      <c r="I3417" s="1" t="s">
        <v>948</v>
      </c>
      <c r="J3417">
        <v>8</v>
      </c>
      <c r="K3417" t="str">
        <f>IF(Tb_data[[#This Row],[previous_workers]]&lt;Tb_data[[#This Row],[workers]],"yes","no")</f>
        <v>yes</v>
      </c>
      <c r="L3417">
        <f>Tb_data[[#This Row],[workers]]-Tb_data[[#This Row],[previous_workers]]</f>
        <v>88</v>
      </c>
      <c r="M3417" s="12">
        <f>Tb_data[[#This Row],[Employees Growth]]/Tb_data[[#This Row],[previous_workers]]</f>
        <v>1.3968253968253967</v>
      </c>
    </row>
    <row r="3418" spans="1:13" x14ac:dyDescent="0.25">
      <c r="A3418" s="1" t="s">
        <v>6185</v>
      </c>
      <c r="B3418" s="1" t="s">
        <v>6186</v>
      </c>
      <c r="C3418" s="1">
        <v>21400000</v>
      </c>
      <c r="D3418" s="1" t="s">
        <v>91</v>
      </c>
      <c r="E3418">
        <v>121.6174</v>
      </c>
      <c r="F3418" s="1" t="s">
        <v>86</v>
      </c>
      <c r="G3418">
        <v>184</v>
      </c>
      <c r="H3418">
        <v>73</v>
      </c>
      <c r="I3418" s="1" t="s">
        <v>1051</v>
      </c>
      <c r="J3418">
        <v>3</v>
      </c>
      <c r="K3418" t="str">
        <f>IF(Tb_data[[#This Row],[previous_workers]]&lt;Tb_data[[#This Row],[workers]],"yes","no")</f>
        <v>yes</v>
      </c>
      <c r="L3418">
        <f>Tb_data[[#This Row],[workers]]-Tb_data[[#This Row],[previous_workers]]</f>
        <v>111</v>
      </c>
      <c r="M3418" s="12">
        <f>Tb_data[[#This Row],[Employees Growth]]/Tb_data[[#This Row],[previous_workers]]</f>
        <v>1.5205479452054795</v>
      </c>
    </row>
    <row r="3419" spans="1:13" x14ac:dyDescent="0.25">
      <c r="A3419" s="1" t="s">
        <v>6763</v>
      </c>
      <c r="B3419" s="1" t="s">
        <v>6764</v>
      </c>
      <c r="C3419" s="1">
        <v>5900000</v>
      </c>
      <c r="D3419" s="1" t="s">
        <v>52</v>
      </c>
      <c r="E3419">
        <v>107.3937</v>
      </c>
      <c r="F3419" s="1" t="s">
        <v>86</v>
      </c>
      <c r="G3419">
        <v>10</v>
      </c>
      <c r="H3419">
        <v>5</v>
      </c>
      <c r="I3419" s="1" t="s">
        <v>147</v>
      </c>
      <c r="J3419">
        <v>1</v>
      </c>
      <c r="K3419" t="str">
        <f>IF(Tb_data[[#This Row],[previous_workers]]&lt;Tb_data[[#This Row],[workers]],"yes","no")</f>
        <v>yes</v>
      </c>
      <c r="L3419">
        <f>Tb_data[[#This Row],[workers]]-Tb_data[[#This Row],[previous_workers]]</f>
        <v>5</v>
      </c>
      <c r="M3419" s="12">
        <f>Tb_data[[#This Row],[Employees Growth]]/Tb_data[[#This Row],[previous_workers]]</f>
        <v>1</v>
      </c>
    </row>
    <row r="3420" spans="1:13" x14ac:dyDescent="0.25">
      <c r="A3420" s="1" t="s">
        <v>1228</v>
      </c>
      <c r="B3420" s="1" t="s">
        <v>1229</v>
      </c>
      <c r="C3420" s="1">
        <v>77400000</v>
      </c>
      <c r="D3420" s="1" t="s">
        <v>115</v>
      </c>
      <c r="E3420">
        <v>785.5059</v>
      </c>
      <c r="F3420" s="1" t="s">
        <v>25</v>
      </c>
      <c r="G3420">
        <v>500</v>
      </c>
      <c r="H3420">
        <v>56</v>
      </c>
      <c r="I3420" s="1" t="s">
        <v>55</v>
      </c>
      <c r="J3420">
        <v>1</v>
      </c>
      <c r="K3420" t="str">
        <f>IF(Tb_data[[#This Row],[previous_workers]]&lt;Tb_data[[#This Row],[workers]],"yes","no")</f>
        <v>yes</v>
      </c>
      <c r="L3420">
        <f>Tb_data[[#This Row],[workers]]-Tb_data[[#This Row],[previous_workers]]</f>
        <v>444</v>
      </c>
      <c r="M3420" s="12">
        <f>Tb_data[[#This Row],[Employees Growth]]/Tb_data[[#This Row],[previous_workers]]</f>
        <v>7.9285714285714288</v>
      </c>
    </row>
    <row r="3421" spans="1:13" x14ac:dyDescent="0.25">
      <c r="A3421" s="1" t="s">
        <v>87</v>
      </c>
      <c r="B3421" s="1" t="s">
        <v>88</v>
      </c>
      <c r="C3421" s="1">
        <v>10500000</v>
      </c>
      <c r="D3421" s="1" t="s">
        <v>49</v>
      </c>
      <c r="E3421">
        <v>7926.4243999999999</v>
      </c>
      <c r="F3421" s="1" t="s">
        <v>86</v>
      </c>
      <c r="G3421">
        <v>70</v>
      </c>
      <c r="H3421">
        <v>5</v>
      </c>
      <c r="I3421" s="1" t="s">
        <v>13</v>
      </c>
      <c r="J3421">
        <v>1</v>
      </c>
      <c r="K3421" t="str">
        <f>IF(Tb_data[[#This Row],[previous_workers]]&lt;Tb_data[[#This Row],[workers]],"yes","no")</f>
        <v>yes</v>
      </c>
      <c r="L3421">
        <f>Tb_data[[#This Row],[workers]]-Tb_data[[#This Row],[previous_workers]]</f>
        <v>65</v>
      </c>
      <c r="M3421" s="12">
        <f>Tb_data[[#This Row],[Employees Growth]]/Tb_data[[#This Row],[previous_workers]]</f>
        <v>13</v>
      </c>
    </row>
    <row r="3422" spans="1:13" x14ac:dyDescent="0.25">
      <c r="A3422" s="1" t="s">
        <v>3435</v>
      </c>
      <c r="B3422" s="1" t="s">
        <v>3436</v>
      </c>
      <c r="C3422" s="1">
        <v>145000000</v>
      </c>
      <c r="D3422" s="1" t="s">
        <v>16</v>
      </c>
      <c r="E3422">
        <v>247.92179999999999</v>
      </c>
      <c r="F3422" s="1" t="s">
        <v>34</v>
      </c>
      <c r="G3422">
        <v>2800</v>
      </c>
      <c r="H3422">
        <v>1000</v>
      </c>
      <c r="I3422" s="1" t="s">
        <v>26</v>
      </c>
      <c r="J3422">
        <v>2</v>
      </c>
      <c r="K3422" t="str">
        <f>IF(Tb_data[[#This Row],[previous_workers]]&lt;Tb_data[[#This Row],[workers]],"yes","no")</f>
        <v>yes</v>
      </c>
      <c r="L3422">
        <f>Tb_data[[#This Row],[workers]]-Tb_data[[#This Row],[previous_workers]]</f>
        <v>1800</v>
      </c>
      <c r="M3422" s="12">
        <f>Tb_data[[#This Row],[Employees Growth]]/Tb_data[[#This Row],[previous_workers]]</f>
        <v>1.8</v>
      </c>
    </row>
    <row r="3423" spans="1:13" x14ac:dyDescent="0.25">
      <c r="A3423" s="1" t="s">
        <v>9656</v>
      </c>
      <c r="B3423" s="1" t="s">
        <v>9657</v>
      </c>
      <c r="C3423" s="1">
        <v>10900000</v>
      </c>
      <c r="D3423" s="1" t="s">
        <v>45</v>
      </c>
      <c r="E3423">
        <v>58.592500000000001</v>
      </c>
      <c r="F3423" s="1" t="s">
        <v>176</v>
      </c>
      <c r="G3423">
        <v>65</v>
      </c>
      <c r="H3423">
        <v>53</v>
      </c>
      <c r="I3423" s="1" t="s">
        <v>3426</v>
      </c>
      <c r="J3423">
        <v>1</v>
      </c>
      <c r="K3423" t="str">
        <f>IF(Tb_data[[#This Row],[previous_workers]]&lt;Tb_data[[#This Row],[workers]],"yes","no")</f>
        <v>yes</v>
      </c>
      <c r="L3423">
        <f>Tb_data[[#This Row],[workers]]-Tb_data[[#This Row],[previous_workers]]</f>
        <v>12</v>
      </c>
      <c r="M3423" s="12">
        <f>Tb_data[[#This Row],[Employees Growth]]/Tb_data[[#This Row],[previous_workers]]</f>
        <v>0.22641509433962265</v>
      </c>
    </row>
    <row r="3424" spans="1:13" x14ac:dyDescent="0.25">
      <c r="A3424" s="1" t="s">
        <v>4900</v>
      </c>
      <c r="B3424" s="1" t="s">
        <v>4901</v>
      </c>
      <c r="C3424" s="1">
        <v>6300000</v>
      </c>
      <c r="D3424" s="1" t="s">
        <v>49</v>
      </c>
      <c r="E3424">
        <v>165.65520000000001</v>
      </c>
      <c r="F3424" s="1" t="s">
        <v>124</v>
      </c>
      <c r="G3424">
        <v>10</v>
      </c>
      <c r="H3424">
        <v>8</v>
      </c>
      <c r="I3424" s="1" t="s">
        <v>35</v>
      </c>
      <c r="J3424">
        <v>4</v>
      </c>
      <c r="K3424" t="str">
        <f>IF(Tb_data[[#This Row],[previous_workers]]&lt;Tb_data[[#This Row],[workers]],"yes","no")</f>
        <v>yes</v>
      </c>
      <c r="L3424">
        <f>Tb_data[[#This Row],[workers]]-Tb_data[[#This Row],[previous_workers]]</f>
        <v>2</v>
      </c>
      <c r="M3424" s="12">
        <f>Tb_data[[#This Row],[Employees Growth]]/Tb_data[[#This Row],[previous_workers]]</f>
        <v>0.25</v>
      </c>
    </row>
    <row r="3425" spans="1:13" x14ac:dyDescent="0.25">
      <c r="A3425" s="1" t="s">
        <v>3621</v>
      </c>
      <c r="B3425" s="1" t="s">
        <v>3622</v>
      </c>
      <c r="C3425" s="1">
        <v>7100000</v>
      </c>
      <c r="D3425" s="1" t="s">
        <v>41</v>
      </c>
      <c r="E3425">
        <v>232.44390000000001</v>
      </c>
      <c r="F3425" s="1" t="s">
        <v>100</v>
      </c>
      <c r="G3425">
        <v>82</v>
      </c>
      <c r="H3425">
        <v>14</v>
      </c>
      <c r="I3425" s="1" t="s">
        <v>295</v>
      </c>
      <c r="J3425">
        <v>3</v>
      </c>
      <c r="K3425" t="str">
        <f>IF(Tb_data[[#This Row],[previous_workers]]&lt;Tb_data[[#This Row],[workers]],"yes","no")</f>
        <v>yes</v>
      </c>
      <c r="L3425">
        <f>Tb_data[[#This Row],[workers]]-Tb_data[[#This Row],[previous_workers]]</f>
        <v>68</v>
      </c>
      <c r="M3425" s="12">
        <f>Tb_data[[#This Row],[Employees Growth]]/Tb_data[[#This Row],[previous_workers]]</f>
        <v>4.8571428571428568</v>
      </c>
    </row>
    <row r="3426" spans="1:13" x14ac:dyDescent="0.25">
      <c r="A3426" s="1" t="s">
        <v>4403</v>
      </c>
      <c r="B3426" s="1" t="s">
        <v>4404</v>
      </c>
      <c r="C3426" s="1">
        <v>48600000</v>
      </c>
      <c r="D3426" s="1" t="s">
        <v>179</v>
      </c>
      <c r="E3426">
        <v>186.4419</v>
      </c>
      <c r="F3426" s="1" t="s">
        <v>86</v>
      </c>
      <c r="G3426">
        <v>228</v>
      </c>
      <c r="H3426">
        <v>42</v>
      </c>
      <c r="I3426" s="1" t="s">
        <v>980</v>
      </c>
      <c r="J3426">
        <v>1</v>
      </c>
      <c r="K3426" t="str">
        <f>IF(Tb_data[[#This Row],[previous_workers]]&lt;Tb_data[[#This Row],[workers]],"yes","no")</f>
        <v>yes</v>
      </c>
      <c r="L3426">
        <f>Tb_data[[#This Row],[workers]]-Tb_data[[#This Row],[previous_workers]]</f>
        <v>186</v>
      </c>
      <c r="M3426" s="12">
        <f>Tb_data[[#This Row],[Employees Growth]]/Tb_data[[#This Row],[previous_workers]]</f>
        <v>4.4285714285714288</v>
      </c>
    </row>
    <row r="3427" spans="1:13" x14ac:dyDescent="0.25">
      <c r="A3427" s="1" t="s">
        <v>1170</v>
      </c>
      <c r="B3427" s="1" t="s">
        <v>1171</v>
      </c>
      <c r="C3427" s="1">
        <v>7900000</v>
      </c>
      <c r="D3427" s="1" t="s">
        <v>69</v>
      </c>
      <c r="E3427">
        <v>816.74850000000004</v>
      </c>
      <c r="F3427" s="1" t="s">
        <v>25</v>
      </c>
      <c r="G3427">
        <v>25</v>
      </c>
      <c r="H3427">
        <v>5</v>
      </c>
      <c r="I3427" s="1" t="s">
        <v>55</v>
      </c>
      <c r="J3427">
        <v>2</v>
      </c>
      <c r="K3427" t="str">
        <f>IF(Tb_data[[#This Row],[previous_workers]]&lt;Tb_data[[#This Row],[workers]],"yes","no")</f>
        <v>yes</v>
      </c>
      <c r="L3427">
        <f>Tb_data[[#This Row],[workers]]-Tb_data[[#This Row],[previous_workers]]</f>
        <v>20</v>
      </c>
      <c r="M3427" s="12">
        <f>Tb_data[[#This Row],[Employees Growth]]/Tb_data[[#This Row],[previous_workers]]</f>
        <v>4</v>
      </c>
    </row>
    <row r="3428" spans="1:13" x14ac:dyDescent="0.25">
      <c r="A3428" s="1" t="s">
        <v>679</v>
      </c>
      <c r="B3428" s="1" t="s">
        <v>680</v>
      </c>
      <c r="C3428" s="1">
        <v>2200000</v>
      </c>
      <c r="D3428" s="1" t="s">
        <v>33</v>
      </c>
      <c r="E3428">
        <v>1514.6812</v>
      </c>
      <c r="F3428" s="1" t="s">
        <v>156</v>
      </c>
      <c r="G3428">
        <v>22</v>
      </c>
      <c r="H3428">
        <v>3</v>
      </c>
      <c r="I3428" s="1" t="s">
        <v>26</v>
      </c>
      <c r="J3428">
        <v>1</v>
      </c>
      <c r="K3428" t="str">
        <f>IF(Tb_data[[#This Row],[previous_workers]]&lt;Tb_data[[#This Row],[workers]],"yes","no")</f>
        <v>yes</v>
      </c>
      <c r="L3428">
        <f>Tb_data[[#This Row],[workers]]-Tb_data[[#This Row],[previous_workers]]</f>
        <v>19</v>
      </c>
      <c r="M3428" s="12">
        <f>Tb_data[[#This Row],[Employees Growth]]/Tb_data[[#This Row],[previous_workers]]</f>
        <v>6.333333333333333</v>
      </c>
    </row>
    <row r="3429" spans="1:13" x14ac:dyDescent="0.25">
      <c r="A3429" s="1" t="s">
        <v>423</v>
      </c>
      <c r="B3429" s="1" t="s">
        <v>424</v>
      </c>
      <c r="C3429" s="1">
        <v>3000000</v>
      </c>
      <c r="D3429" s="1" t="s">
        <v>179</v>
      </c>
      <c r="E3429">
        <v>2262.8640999999998</v>
      </c>
      <c r="F3429" s="1" t="s">
        <v>12</v>
      </c>
      <c r="G3429">
        <v>30</v>
      </c>
      <c r="H3429">
        <v>3</v>
      </c>
      <c r="I3429" s="1" t="s">
        <v>130</v>
      </c>
      <c r="J3429">
        <v>1</v>
      </c>
      <c r="K3429" t="str">
        <f>IF(Tb_data[[#This Row],[previous_workers]]&lt;Tb_data[[#This Row],[workers]],"yes","no")</f>
        <v>yes</v>
      </c>
      <c r="L3429">
        <f>Tb_data[[#This Row],[workers]]-Tb_data[[#This Row],[previous_workers]]</f>
        <v>27</v>
      </c>
      <c r="M3429" s="12">
        <f>Tb_data[[#This Row],[Employees Growth]]/Tb_data[[#This Row],[previous_workers]]</f>
        <v>9</v>
      </c>
    </row>
    <row r="3430" spans="1:13" x14ac:dyDescent="0.25">
      <c r="A3430" s="1" t="s">
        <v>9081</v>
      </c>
      <c r="B3430" s="1" t="s">
        <v>9082</v>
      </c>
      <c r="C3430" s="1">
        <v>872100000</v>
      </c>
      <c r="D3430" s="1" t="s">
        <v>79</v>
      </c>
      <c r="E3430">
        <v>65.575599999999994</v>
      </c>
      <c r="F3430" s="1" t="s">
        <v>112</v>
      </c>
      <c r="G3430">
        <v>3087</v>
      </c>
      <c r="H3430">
        <v>1957</v>
      </c>
      <c r="I3430" s="1" t="s">
        <v>1622</v>
      </c>
      <c r="J3430">
        <v>9</v>
      </c>
      <c r="K3430" t="str">
        <f>IF(Tb_data[[#This Row],[previous_workers]]&lt;Tb_data[[#This Row],[workers]],"yes","no")</f>
        <v>yes</v>
      </c>
      <c r="L3430">
        <f>Tb_data[[#This Row],[workers]]-Tb_data[[#This Row],[previous_workers]]</f>
        <v>1130</v>
      </c>
      <c r="M3430" s="12">
        <f>Tb_data[[#This Row],[Employees Growth]]/Tb_data[[#This Row],[previous_workers]]</f>
        <v>0.57741440981093506</v>
      </c>
    </row>
    <row r="3431" spans="1:13" x14ac:dyDescent="0.25">
      <c r="A3431" s="1" t="s">
        <v>7691</v>
      </c>
      <c r="B3431" s="1" t="s">
        <v>7692</v>
      </c>
      <c r="C3431" s="1">
        <v>11200000</v>
      </c>
      <c r="D3431" s="1" t="s">
        <v>61</v>
      </c>
      <c r="E3431">
        <v>88.231200000000001</v>
      </c>
      <c r="F3431" s="1" t="s">
        <v>156</v>
      </c>
      <c r="G3431">
        <v>46</v>
      </c>
      <c r="H3431">
        <v>28</v>
      </c>
      <c r="I3431" s="1" t="s">
        <v>194</v>
      </c>
      <c r="J3431">
        <v>7</v>
      </c>
      <c r="K3431" t="str">
        <f>IF(Tb_data[[#This Row],[previous_workers]]&lt;Tb_data[[#This Row],[workers]],"yes","no")</f>
        <v>yes</v>
      </c>
      <c r="L3431">
        <f>Tb_data[[#This Row],[workers]]-Tb_data[[#This Row],[previous_workers]]</f>
        <v>18</v>
      </c>
      <c r="M3431" s="12">
        <f>Tb_data[[#This Row],[Employees Growth]]/Tb_data[[#This Row],[previous_workers]]</f>
        <v>0.6428571428571429</v>
      </c>
    </row>
    <row r="3432" spans="1:13" x14ac:dyDescent="0.25">
      <c r="A3432" s="1" t="s">
        <v>1052</v>
      </c>
      <c r="B3432" s="1" t="s">
        <v>1053</v>
      </c>
      <c r="C3432" s="1">
        <v>30100000</v>
      </c>
      <c r="D3432" s="1" t="s">
        <v>427</v>
      </c>
      <c r="E3432">
        <v>926.89530000000002</v>
      </c>
      <c r="F3432" s="1" t="s">
        <v>176</v>
      </c>
      <c r="G3432">
        <v>80</v>
      </c>
      <c r="H3432">
        <v>14</v>
      </c>
      <c r="I3432" s="1" t="s">
        <v>26</v>
      </c>
      <c r="J3432">
        <v>1</v>
      </c>
      <c r="K3432" t="str">
        <f>IF(Tb_data[[#This Row],[previous_workers]]&lt;Tb_data[[#This Row],[workers]],"yes","no")</f>
        <v>yes</v>
      </c>
      <c r="L3432">
        <f>Tb_data[[#This Row],[workers]]-Tb_data[[#This Row],[previous_workers]]</f>
        <v>66</v>
      </c>
      <c r="M3432" s="12">
        <f>Tb_data[[#This Row],[Employees Growth]]/Tb_data[[#This Row],[previous_workers]]</f>
        <v>4.7142857142857144</v>
      </c>
    </row>
    <row r="3433" spans="1:13" x14ac:dyDescent="0.25">
      <c r="A3433" s="1" t="s">
        <v>7423</v>
      </c>
      <c r="B3433" s="1" t="s">
        <v>7424</v>
      </c>
      <c r="C3433" s="1">
        <v>8800000</v>
      </c>
      <c r="D3433" s="1" t="s">
        <v>129</v>
      </c>
      <c r="E3433">
        <v>94.894999999999996</v>
      </c>
      <c r="F3433" s="1" t="s">
        <v>34</v>
      </c>
      <c r="G3433">
        <v>190</v>
      </c>
      <c r="H3433">
        <v>90</v>
      </c>
      <c r="I3433" s="1" t="s">
        <v>295</v>
      </c>
      <c r="J3433">
        <v>2</v>
      </c>
      <c r="K3433" t="str">
        <f>IF(Tb_data[[#This Row],[previous_workers]]&lt;Tb_data[[#This Row],[workers]],"yes","no")</f>
        <v>yes</v>
      </c>
      <c r="L3433">
        <f>Tb_data[[#This Row],[workers]]-Tb_data[[#This Row],[previous_workers]]</f>
        <v>100</v>
      </c>
      <c r="M3433" s="12">
        <f>Tb_data[[#This Row],[Employees Growth]]/Tb_data[[#This Row],[previous_workers]]</f>
        <v>1.1111111111111112</v>
      </c>
    </row>
    <row r="3434" spans="1:13" x14ac:dyDescent="0.25">
      <c r="A3434" s="1" t="s">
        <v>9934</v>
      </c>
      <c r="B3434" s="1" t="s">
        <v>9935</v>
      </c>
      <c r="C3434" s="1">
        <v>30200000</v>
      </c>
      <c r="D3434" s="1" t="s">
        <v>41</v>
      </c>
      <c r="E3434">
        <v>54.732500000000002</v>
      </c>
      <c r="F3434" s="1" t="s">
        <v>135</v>
      </c>
      <c r="G3434">
        <v>130</v>
      </c>
      <c r="H3434">
        <v>92</v>
      </c>
      <c r="I3434" s="1" t="s">
        <v>194</v>
      </c>
      <c r="J3434">
        <v>4</v>
      </c>
      <c r="K3434" t="str">
        <f>IF(Tb_data[[#This Row],[previous_workers]]&lt;Tb_data[[#This Row],[workers]],"yes","no")</f>
        <v>yes</v>
      </c>
      <c r="L3434">
        <f>Tb_data[[#This Row],[workers]]-Tb_data[[#This Row],[previous_workers]]</f>
        <v>38</v>
      </c>
      <c r="M3434" s="12">
        <f>Tb_data[[#This Row],[Employees Growth]]/Tb_data[[#This Row],[previous_workers]]</f>
        <v>0.41304347826086957</v>
      </c>
    </row>
    <row r="3435" spans="1:13" x14ac:dyDescent="0.25">
      <c r="A3435" s="1" t="s">
        <v>8241</v>
      </c>
      <c r="B3435" s="1" t="s">
        <v>8242</v>
      </c>
      <c r="C3435" s="1">
        <v>167600000</v>
      </c>
      <c r="D3435" s="1" t="s">
        <v>61</v>
      </c>
      <c r="E3435">
        <v>78.569299999999998</v>
      </c>
      <c r="F3435" s="1" t="s">
        <v>124</v>
      </c>
      <c r="G3435">
        <v>95</v>
      </c>
      <c r="H3435">
        <v>56</v>
      </c>
      <c r="I3435" s="1" t="s">
        <v>4058</v>
      </c>
      <c r="J3435">
        <v>3</v>
      </c>
      <c r="K3435" t="str">
        <f>IF(Tb_data[[#This Row],[previous_workers]]&lt;Tb_data[[#This Row],[workers]],"yes","no")</f>
        <v>yes</v>
      </c>
      <c r="L3435">
        <f>Tb_data[[#This Row],[workers]]-Tb_data[[#This Row],[previous_workers]]</f>
        <v>39</v>
      </c>
      <c r="M3435" s="12">
        <f>Tb_data[[#This Row],[Employees Growth]]/Tb_data[[#This Row],[previous_workers]]</f>
        <v>0.6964285714285714</v>
      </c>
    </row>
    <row r="3436" spans="1:13" x14ac:dyDescent="0.25">
      <c r="A3436" s="1" t="s">
        <v>5668</v>
      </c>
      <c r="B3436" s="1" t="s">
        <v>5669</v>
      </c>
      <c r="C3436" s="1">
        <v>12400000</v>
      </c>
      <c r="D3436" s="1" t="s">
        <v>33</v>
      </c>
      <c r="E3436">
        <v>135.4358</v>
      </c>
      <c r="F3436" s="1" t="s">
        <v>124</v>
      </c>
      <c r="G3436">
        <v>50</v>
      </c>
      <c r="H3436">
        <v>24</v>
      </c>
      <c r="I3436" s="1" t="s">
        <v>164</v>
      </c>
      <c r="J3436">
        <v>1</v>
      </c>
      <c r="K3436" t="str">
        <f>IF(Tb_data[[#This Row],[previous_workers]]&lt;Tb_data[[#This Row],[workers]],"yes","no")</f>
        <v>yes</v>
      </c>
      <c r="L3436">
        <f>Tb_data[[#This Row],[workers]]-Tb_data[[#This Row],[previous_workers]]</f>
        <v>26</v>
      </c>
      <c r="M3436" s="12">
        <f>Tb_data[[#This Row],[Employees Growth]]/Tb_data[[#This Row],[previous_workers]]</f>
        <v>1.0833333333333333</v>
      </c>
    </row>
    <row r="3437" spans="1:13" x14ac:dyDescent="0.25">
      <c r="A3437" s="1" t="s">
        <v>7268</v>
      </c>
      <c r="B3437" s="1" t="s">
        <v>7269</v>
      </c>
      <c r="C3437" s="1">
        <v>10900000</v>
      </c>
      <c r="D3437" s="1" t="s">
        <v>33</v>
      </c>
      <c r="E3437">
        <v>97.508300000000006</v>
      </c>
      <c r="F3437" s="1" t="s">
        <v>161</v>
      </c>
      <c r="G3437">
        <v>56</v>
      </c>
      <c r="H3437">
        <v>34</v>
      </c>
      <c r="I3437" s="1" t="s">
        <v>1411</v>
      </c>
      <c r="J3437">
        <v>1</v>
      </c>
      <c r="K3437" t="str">
        <f>IF(Tb_data[[#This Row],[previous_workers]]&lt;Tb_data[[#This Row],[workers]],"yes","no")</f>
        <v>yes</v>
      </c>
      <c r="L3437">
        <f>Tb_data[[#This Row],[workers]]-Tb_data[[#This Row],[previous_workers]]</f>
        <v>22</v>
      </c>
      <c r="M3437" s="12">
        <f>Tb_data[[#This Row],[Employees Growth]]/Tb_data[[#This Row],[previous_workers]]</f>
        <v>0.6470588235294118</v>
      </c>
    </row>
    <row r="3438" spans="1:13" x14ac:dyDescent="0.25">
      <c r="A3438" s="1" t="s">
        <v>1908</v>
      </c>
      <c r="B3438" s="1" t="s">
        <v>1909</v>
      </c>
      <c r="C3438" s="1">
        <v>4700000</v>
      </c>
      <c r="D3438" s="1" t="s">
        <v>422</v>
      </c>
      <c r="E3438">
        <v>472.86430000000001</v>
      </c>
      <c r="F3438" s="1" t="s">
        <v>86</v>
      </c>
      <c r="G3438">
        <v>2</v>
      </c>
      <c r="H3438">
        <v>2</v>
      </c>
      <c r="I3438" s="1" t="s">
        <v>55</v>
      </c>
      <c r="J3438">
        <v>2</v>
      </c>
      <c r="K3438" t="str">
        <f>IF(Tb_data[[#This Row],[previous_workers]]&lt;Tb_data[[#This Row],[workers]],"yes","no")</f>
        <v>no</v>
      </c>
      <c r="L3438">
        <f>Tb_data[[#This Row],[workers]]-Tb_data[[#This Row],[previous_workers]]</f>
        <v>0</v>
      </c>
      <c r="M3438" s="12">
        <f>Tb_data[[#This Row],[Employees Growth]]/Tb_data[[#This Row],[previous_workers]]</f>
        <v>0</v>
      </c>
    </row>
    <row r="3439" spans="1:13" x14ac:dyDescent="0.25">
      <c r="A3439" s="1" t="s">
        <v>3129</v>
      </c>
      <c r="B3439" s="1" t="s">
        <v>3130</v>
      </c>
      <c r="C3439" s="1">
        <v>5900000</v>
      </c>
      <c r="D3439" s="1" t="s">
        <v>49</v>
      </c>
      <c r="E3439">
        <v>275.39400000000001</v>
      </c>
      <c r="F3439" s="1" t="s">
        <v>100</v>
      </c>
      <c r="G3439">
        <v>33</v>
      </c>
      <c r="H3439">
        <v>13</v>
      </c>
      <c r="I3439" s="1" t="s">
        <v>164</v>
      </c>
      <c r="J3439">
        <v>2</v>
      </c>
      <c r="K3439" t="str">
        <f>IF(Tb_data[[#This Row],[previous_workers]]&lt;Tb_data[[#This Row],[workers]],"yes","no")</f>
        <v>yes</v>
      </c>
      <c r="L3439">
        <f>Tb_data[[#This Row],[workers]]-Tb_data[[#This Row],[previous_workers]]</f>
        <v>20</v>
      </c>
      <c r="M3439" s="12">
        <f>Tb_data[[#This Row],[Employees Growth]]/Tb_data[[#This Row],[previous_workers]]</f>
        <v>1.5384615384615385</v>
      </c>
    </row>
    <row r="3440" spans="1:13" x14ac:dyDescent="0.25">
      <c r="A3440" s="1" t="s">
        <v>8869</v>
      </c>
      <c r="B3440" s="1" t="s">
        <v>8870</v>
      </c>
      <c r="C3440" s="1">
        <v>19300000</v>
      </c>
      <c r="D3440" s="1" t="s">
        <v>29</v>
      </c>
      <c r="E3440">
        <v>68.495800000000003</v>
      </c>
      <c r="F3440" s="1" t="s">
        <v>62</v>
      </c>
      <c r="G3440">
        <v>102</v>
      </c>
      <c r="H3440">
        <v>69</v>
      </c>
      <c r="I3440" s="1" t="s">
        <v>1051</v>
      </c>
      <c r="J3440">
        <v>12</v>
      </c>
      <c r="K3440" t="str">
        <f>IF(Tb_data[[#This Row],[previous_workers]]&lt;Tb_data[[#This Row],[workers]],"yes","no")</f>
        <v>yes</v>
      </c>
      <c r="L3440">
        <f>Tb_data[[#This Row],[workers]]-Tb_data[[#This Row],[previous_workers]]</f>
        <v>33</v>
      </c>
      <c r="M3440" s="12">
        <f>Tb_data[[#This Row],[Employees Growth]]/Tb_data[[#This Row],[previous_workers]]</f>
        <v>0.47826086956521741</v>
      </c>
    </row>
    <row r="3441" spans="1:13" x14ac:dyDescent="0.25">
      <c r="A3441" s="1" t="s">
        <v>6205</v>
      </c>
      <c r="B3441" s="1" t="s">
        <v>6206</v>
      </c>
      <c r="C3441" s="1">
        <v>9200000</v>
      </c>
      <c r="D3441" s="1" t="s">
        <v>20</v>
      </c>
      <c r="E3441">
        <v>121.22880000000001</v>
      </c>
      <c r="F3441" s="1" t="s">
        <v>161</v>
      </c>
      <c r="G3441">
        <v>55</v>
      </c>
      <c r="H3441">
        <v>20</v>
      </c>
      <c r="I3441" s="1" t="s">
        <v>130</v>
      </c>
      <c r="J3441">
        <v>3</v>
      </c>
      <c r="K3441" t="str">
        <f>IF(Tb_data[[#This Row],[previous_workers]]&lt;Tb_data[[#This Row],[workers]],"yes","no")</f>
        <v>yes</v>
      </c>
      <c r="L3441">
        <f>Tb_data[[#This Row],[workers]]-Tb_data[[#This Row],[previous_workers]]</f>
        <v>35</v>
      </c>
      <c r="M3441" s="12">
        <f>Tb_data[[#This Row],[Employees Growth]]/Tb_data[[#This Row],[previous_workers]]</f>
        <v>1.75</v>
      </c>
    </row>
    <row r="3442" spans="1:13" x14ac:dyDescent="0.25">
      <c r="A3442" s="1" t="s">
        <v>834</v>
      </c>
      <c r="B3442" s="1" t="s">
        <v>835</v>
      </c>
      <c r="C3442" s="1">
        <v>6400000</v>
      </c>
      <c r="D3442" s="1" t="s">
        <v>33</v>
      </c>
      <c r="E3442">
        <v>1231.4356</v>
      </c>
      <c r="F3442" s="1" t="s">
        <v>34</v>
      </c>
      <c r="G3442">
        <v>10</v>
      </c>
      <c r="H3442">
        <v>3</v>
      </c>
      <c r="I3442" s="1" t="s">
        <v>836</v>
      </c>
      <c r="J3442">
        <v>1</v>
      </c>
      <c r="K3442" t="str">
        <f>IF(Tb_data[[#This Row],[previous_workers]]&lt;Tb_data[[#This Row],[workers]],"yes","no")</f>
        <v>yes</v>
      </c>
      <c r="L3442">
        <f>Tb_data[[#This Row],[workers]]-Tb_data[[#This Row],[previous_workers]]</f>
        <v>7</v>
      </c>
      <c r="M3442" s="12">
        <f>Tb_data[[#This Row],[Employees Growth]]/Tb_data[[#This Row],[previous_workers]]</f>
        <v>2.3333333333333335</v>
      </c>
    </row>
    <row r="3443" spans="1:13" x14ac:dyDescent="0.25">
      <c r="A3443" s="1" t="s">
        <v>1124</v>
      </c>
      <c r="B3443" s="1" t="s">
        <v>1125</v>
      </c>
      <c r="C3443" s="1">
        <v>27200000</v>
      </c>
      <c r="D3443" s="1" t="s">
        <v>58</v>
      </c>
      <c r="E3443">
        <v>854.08439999999996</v>
      </c>
      <c r="F3443" s="1" t="s">
        <v>100</v>
      </c>
      <c r="G3443">
        <v>738</v>
      </c>
      <c r="H3443">
        <v>125</v>
      </c>
      <c r="I3443" s="1" t="s">
        <v>295</v>
      </c>
      <c r="J3443">
        <v>4</v>
      </c>
      <c r="K3443" t="str">
        <f>IF(Tb_data[[#This Row],[previous_workers]]&lt;Tb_data[[#This Row],[workers]],"yes","no")</f>
        <v>yes</v>
      </c>
      <c r="L3443">
        <f>Tb_data[[#This Row],[workers]]-Tb_data[[#This Row],[previous_workers]]</f>
        <v>613</v>
      </c>
      <c r="M3443" s="12">
        <f>Tb_data[[#This Row],[Employees Growth]]/Tb_data[[#This Row],[previous_workers]]</f>
        <v>4.9039999999999999</v>
      </c>
    </row>
    <row r="3444" spans="1:13" x14ac:dyDescent="0.25">
      <c r="A3444" s="1" t="s">
        <v>7042</v>
      </c>
      <c r="B3444" s="1" t="s">
        <v>7043</v>
      </c>
      <c r="C3444" s="1">
        <v>2300000</v>
      </c>
      <c r="D3444" s="1" t="s">
        <v>115</v>
      </c>
      <c r="E3444">
        <v>101.1995</v>
      </c>
      <c r="F3444" s="1" t="s">
        <v>42</v>
      </c>
      <c r="G3444">
        <v>11</v>
      </c>
      <c r="H3444">
        <v>6</v>
      </c>
      <c r="I3444" s="1" t="s">
        <v>295</v>
      </c>
      <c r="J3444">
        <v>2</v>
      </c>
      <c r="K3444" t="str">
        <f>IF(Tb_data[[#This Row],[previous_workers]]&lt;Tb_data[[#This Row],[workers]],"yes","no")</f>
        <v>yes</v>
      </c>
      <c r="L3444">
        <f>Tb_data[[#This Row],[workers]]-Tb_data[[#This Row],[previous_workers]]</f>
        <v>5</v>
      </c>
      <c r="M3444" s="12">
        <f>Tb_data[[#This Row],[Employees Growth]]/Tb_data[[#This Row],[previous_workers]]</f>
        <v>0.83333333333333337</v>
      </c>
    </row>
    <row r="3445" spans="1:13" x14ac:dyDescent="0.25">
      <c r="A3445" s="1" t="s">
        <v>9896</v>
      </c>
      <c r="B3445" s="1" t="s">
        <v>9897</v>
      </c>
      <c r="C3445" s="1">
        <v>4000000</v>
      </c>
      <c r="D3445" s="1" t="s">
        <v>236</v>
      </c>
      <c r="E3445">
        <v>55.290300000000002</v>
      </c>
      <c r="F3445" s="1" t="s">
        <v>62</v>
      </c>
      <c r="G3445">
        <v>34</v>
      </c>
      <c r="H3445">
        <v>25</v>
      </c>
      <c r="I3445" s="1" t="s">
        <v>836</v>
      </c>
      <c r="J3445">
        <v>3</v>
      </c>
      <c r="K3445" t="str">
        <f>IF(Tb_data[[#This Row],[previous_workers]]&lt;Tb_data[[#This Row],[workers]],"yes","no")</f>
        <v>yes</v>
      </c>
      <c r="L3445">
        <f>Tb_data[[#This Row],[workers]]-Tb_data[[#This Row],[previous_workers]]</f>
        <v>9</v>
      </c>
      <c r="M3445" s="12">
        <f>Tb_data[[#This Row],[Employees Growth]]/Tb_data[[#This Row],[previous_workers]]</f>
        <v>0.36</v>
      </c>
    </row>
    <row r="3446" spans="1:13" x14ac:dyDescent="0.25">
      <c r="A3446" s="1" t="s">
        <v>3992</v>
      </c>
      <c r="B3446" s="1" t="s">
        <v>3993</v>
      </c>
      <c r="C3446" s="1">
        <v>8100000</v>
      </c>
      <c r="D3446" s="1" t="s">
        <v>41</v>
      </c>
      <c r="E3446">
        <v>207.33940000000001</v>
      </c>
      <c r="F3446" s="1" t="s">
        <v>86</v>
      </c>
      <c r="G3446">
        <v>16</v>
      </c>
      <c r="H3446">
        <v>7</v>
      </c>
      <c r="I3446" s="1" t="s">
        <v>46</v>
      </c>
      <c r="J3446">
        <v>5</v>
      </c>
      <c r="K3446" t="str">
        <f>IF(Tb_data[[#This Row],[previous_workers]]&lt;Tb_data[[#This Row],[workers]],"yes","no")</f>
        <v>yes</v>
      </c>
      <c r="L3446">
        <f>Tb_data[[#This Row],[workers]]-Tb_data[[#This Row],[previous_workers]]</f>
        <v>9</v>
      </c>
      <c r="M3446" s="12">
        <f>Tb_data[[#This Row],[Employees Growth]]/Tb_data[[#This Row],[previous_workers]]</f>
        <v>1.2857142857142858</v>
      </c>
    </row>
    <row r="3447" spans="1:13" x14ac:dyDescent="0.25">
      <c r="A3447" s="1" t="s">
        <v>8608</v>
      </c>
      <c r="B3447" s="1" t="s">
        <v>8609</v>
      </c>
      <c r="C3447" s="1">
        <v>4200000</v>
      </c>
      <c r="D3447" s="1" t="s">
        <v>45</v>
      </c>
      <c r="E3447">
        <v>72.2911</v>
      </c>
      <c r="F3447" s="1" t="s">
        <v>176</v>
      </c>
      <c r="G3447">
        <v>15</v>
      </c>
      <c r="H3447">
        <v>8</v>
      </c>
      <c r="I3447" s="1" t="s">
        <v>468</v>
      </c>
      <c r="J3447">
        <v>1</v>
      </c>
      <c r="K3447" t="str">
        <f>IF(Tb_data[[#This Row],[previous_workers]]&lt;Tb_data[[#This Row],[workers]],"yes","no")</f>
        <v>yes</v>
      </c>
      <c r="L3447">
        <f>Tb_data[[#This Row],[workers]]-Tb_data[[#This Row],[previous_workers]]</f>
        <v>7</v>
      </c>
      <c r="M3447" s="12">
        <f>Tb_data[[#This Row],[Employees Growth]]/Tb_data[[#This Row],[previous_workers]]</f>
        <v>0.875</v>
      </c>
    </row>
    <row r="3448" spans="1:13" x14ac:dyDescent="0.25">
      <c r="A3448" s="1" t="s">
        <v>3123</v>
      </c>
      <c r="B3448" s="1" t="s">
        <v>3124</v>
      </c>
      <c r="C3448" s="1">
        <v>2600000</v>
      </c>
      <c r="D3448" s="1" t="s">
        <v>20</v>
      </c>
      <c r="E3448">
        <v>275.80650000000003</v>
      </c>
      <c r="F3448" s="1" t="s">
        <v>176</v>
      </c>
      <c r="G3448">
        <v>4</v>
      </c>
      <c r="H3448">
        <v>2</v>
      </c>
      <c r="I3448" s="1" t="s">
        <v>13</v>
      </c>
      <c r="J3448">
        <v>2</v>
      </c>
      <c r="K3448" t="str">
        <f>IF(Tb_data[[#This Row],[previous_workers]]&lt;Tb_data[[#This Row],[workers]],"yes","no")</f>
        <v>yes</v>
      </c>
      <c r="L3448">
        <f>Tb_data[[#This Row],[workers]]-Tb_data[[#This Row],[previous_workers]]</f>
        <v>2</v>
      </c>
      <c r="M3448" s="12">
        <f>Tb_data[[#This Row],[Employees Growth]]/Tb_data[[#This Row],[previous_workers]]</f>
        <v>1</v>
      </c>
    </row>
    <row r="3449" spans="1:13" x14ac:dyDescent="0.25">
      <c r="A3449" s="1" t="s">
        <v>3355</v>
      </c>
      <c r="B3449" s="1" t="s">
        <v>3356</v>
      </c>
      <c r="C3449" s="1">
        <v>4200000</v>
      </c>
      <c r="D3449" s="1" t="s">
        <v>115</v>
      </c>
      <c r="E3449">
        <v>255.2654</v>
      </c>
      <c r="F3449" s="1" t="s">
        <v>176</v>
      </c>
      <c r="G3449">
        <v>9</v>
      </c>
      <c r="H3449">
        <v>4</v>
      </c>
      <c r="I3449" s="1" t="s">
        <v>295</v>
      </c>
      <c r="J3449">
        <v>2</v>
      </c>
      <c r="K3449" t="str">
        <f>IF(Tb_data[[#This Row],[previous_workers]]&lt;Tb_data[[#This Row],[workers]],"yes","no")</f>
        <v>yes</v>
      </c>
      <c r="L3449">
        <f>Tb_data[[#This Row],[workers]]-Tb_data[[#This Row],[previous_workers]]</f>
        <v>5</v>
      </c>
      <c r="M3449" s="12">
        <f>Tb_data[[#This Row],[Employees Growth]]/Tb_data[[#This Row],[previous_workers]]</f>
        <v>1.25</v>
      </c>
    </row>
    <row r="3450" spans="1:13" x14ac:dyDescent="0.25">
      <c r="A3450" s="1" t="s">
        <v>7695</v>
      </c>
      <c r="B3450" s="1" t="s">
        <v>7696</v>
      </c>
      <c r="C3450" s="1">
        <v>12800000</v>
      </c>
      <c r="D3450" s="1" t="s">
        <v>375</v>
      </c>
      <c r="E3450">
        <v>88.154600000000002</v>
      </c>
      <c r="F3450" s="1" t="s">
        <v>176</v>
      </c>
      <c r="G3450">
        <v>12</v>
      </c>
      <c r="H3450">
        <v>9</v>
      </c>
      <c r="I3450" s="1" t="s">
        <v>1051</v>
      </c>
      <c r="J3450">
        <v>4</v>
      </c>
      <c r="K3450" t="str">
        <f>IF(Tb_data[[#This Row],[previous_workers]]&lt;Tb_data[[#This Row],[workers]],"yes","no")</f>
        <v>yes</v>
      </c>
      <c r="L3450">
        <f>Tb_data[[#This Row],[workers]]-Tb_data[[#This Row],[previous_workers]]</f>
        <v>3</v>
      </c>
      <c r="M3450" s="12">
        <f>Tb_data[[#This Row],[Employees Growth]]/Tb_data[[#This Row],[previous_workers]]</f>
        <v>0.33333333333333331</v>
      </c>
    </row>
    <row r="3451" spans="1:13" x14ac:dyDescent="0.25">
      <c r="A3451" s="1" t="s">
        <v>5276</v>
      </c>
      <c r="B3451" s="1" t="s">
        <v>5277</v>
      </c>
      <c r="C3451" s="1">
        <v>2300000</v>
      </c>
      <c r="D3451" s="1" t="s">
        <v>49</v>
      </c>
      <c r="E3451">
        <v>150.91890000000001</v>
      </c>
      <c r="F3451" s="1" t="s">
        <v>176</v>
      </c>
      <c r="G3451">
        <v>5</v>
      </c>
      <c r="H3451">
        <v>2</v>
      </c>
      <c r="I3451" s="1" t="s">
        <v>468</v>
      </c>
      <c r="J3451">
        <v>1</v>
      </c>
      <c r="K3451" t="str">
        <f>IF(Tb_data[[#This Row],[previous_workers]]&lt;Tb_data[[#This Row],[workers]],"yes","no")</f>
        <v>yes</v>
      </c>
      <c r="L3451">
        <f>Tb_data[[#This Row],[workers]]-Tb_data[[#This Row],[previous_workers]]</f>
        <v>3</v>
      </c>
      <c r="M3451" s="12">
        <f>Tb_data[[#This Row],[Employees Growth]]/Tb_data[[#This Row],[previous_workers]]</f>
        <v>1.5</v>
      </c>
    </row>
    <row r="3452" spans="1:13" x14ac:dyDescent="0.25">
      <c r="A3452" s="1" t="s">
        <v>1912</v>
      </c>
      <c r="B3452" s="1" t="s">
        <v>1913</v>
      </c>
      <c r="C3452" s="1">
        <v>2400000</v>
      </c>
      <c r="D3452" s="1" t="s">
        <v>115</v>
      </c>
      <c r="E3452">
        <v>470.94150000000002</v>
      </c>
      <c r="F3452" s="1" t="s">
        <v>176</v>
      </c>
      <c r="G3452">
        <v>7</v>
      </c>
      <c r="H3452">
        <v>2</v>
      </c>
      <c r="I3452" s="1" t="s">
        <v>55</v>
      </c>
      <c r="J3452">
        <v>2</v>
      </c>
      <c r="K3452" t="str">
        <f>IF(Tb_data[[#This Row],[previous_workers]]&lt;Tb_data[[#This Row],[workers]],"yes","no")</f>
        <v>yes</v>
      </c>
      <c r="L3452">
        <f>Tb_data[[#This Row],[workers]]-Tb_data[[#This Row],[previous_workers]]</f>
        <v>5</v>
      </c>
      <c r="M3452" s="12">
        <f>Tb_data[[#This Row],[Employees Growth]]/Tb_data[[#This Row],[previous_workers]]</f>
        <v>2.5</v>
      </c>
    </row>
    <row r="3453" spans="1:13" x14ac:dyDescent="0.25">
      <c r="A3453" s="1" t="s">
        <v>2785</v>
      </c>
      <c r="B3453" s="1" t="s">
        <v>2786</v>
      </c>
      <c r="C3453" s="1">
        <v>2500000</v>
      </c>
      <c r="D3453" s="1" t="s">
        <v>33</v>
      </c>
      <c r="E3453">
        <v>309.69310000000002</v>
      </c>
      <c r="F3453" s="1" t="s">
        <v>176</v>
      </c>
      <c r="G3453">
        <v>6</v>
      </c>
      <c r="H3453">
        <v>4</v>
      </c>
      <c r="I3453" s="1" t="s">
        <v>1356</v>
      </c>
      <c r="J3453">
        <v>1</v>
      </c>
      <c r="K3453" t="str">
        <f>IF(Tb_data[[#This Row],[previous_workers]]&lt;Tb_data[[#This Row],[workers]],"yes","no")</f>
        <v>yes</v>
      </c>
      <c r="L3453">
        <f>Tb_data[[#This Row],[workers]]-Tb_data[[#This Row],[previous_workers]]</f>
        <v>2</v>
      </c>
      <c r="M3453" s="12">
        <f>Tb_data[[#This Row],[Employees Growth]]/Tb_data[[#This Row],[previous_workers]]</f>
        <v>0.5</v>
      </c>
    </row>
    <row r="3454" spans="1:13" x14ac:dyDescent="0.25">
      <c r="A3454" s="1" t="s">
        <v>7831</v>
      </c>
      <c r="B3454" s="1" t="s">
        <v>7832</v>
      </c>
      <c r="C3454" s="1">
        <v>8200000</v>
      </c>
      <c r="D3454" s="1" t="s">
        <v>49</v>
      </c>
      <c r="E3454">
        <v>85.818100000000001</v>
      </c>
      <c r="F3454" s="1" t="s">
        <v>156</v>
      </c>
      <c r="G3454">
        <v>75</v>
      </c>
      <c r="H3454">
        <v>25</v>
      </c>
      <c r="I3454" s="1" t="s">
        <v>1051</v>
      </c>
      <c r="J3454">
        <v>6</v>
      </c>
      <c r="K3454" t="str">
        <f>IF(Tb_data[[#This Row],[previous_workers]]&lt;Tb_data[[#This Row],[workers]],"yes","no")</f>
        <v>yes</v>
      </c>
      <c r="L3454">
        <f>Tb_data[[#This Row],[workers]]-Tb_data[[#This Row],[previous_workers]]</f>
        <v>50</v>
      </c>
      <c r="M3454" s="12">
        <f>Tb_data[[#This Row],[Employees Growth]]/Tb_data[[#This Row],[previous_workers]]</f>
        <v>2</v>
      </c>
    </row>
    <row r="3455" spans="1:13" x14ac:dyDescent="0.25">
      <c r="A3455" s="1" t="s">
        <v>9588</v>
      </c>
      <c r="B3455" s="1" t="s">
        <v>9589</v>
      </c>
      <c r="C3455" s="1">
        <v>61400000</v>
      </c>
      <c r="D3455" s="1" t="s">
        <v>254</v>
      </c>
      <c r="E3455">
        <v>59.296399999999998</v>
      </c>
      <c r="F3455" s="1" t="s">
        <v>116</v>
      </c>
      <c r="G3455">
        <v>5799</v>
      </c>
      <c r="H3455">
        <v>4537</v>
      </c>
      <c r="I3455" s="1" t="s">
        <v>468</v>
      </c>
      <c r="J3455">
        <v>13</v>
      </c>
      <c r="K3455" t="str">
        <f>IF(Tb_data[[#This Row],[previous_workers]]&lt;Tb_data[[#This Row],[workers]],"yes","no")</f>
        <v>yes</v>
      </c>
      <c r="L3455">
        <f>Tb_data[[#This Row],[workers]]-Tb_data[[#This Row],[previous_workers]]</f>
        <v>1262</v>
      </c>
      <c r="M3455" s="12">
        <f>Tb_data[[#This Row],[Employees Growth]]/Tb_data[[#This Row],[previous_workers]]</f>
        <v>0.27815737271324664</v>
      </c>
    </row>
    <row r="3456" spans="1:13" x14ac:dyDescent="0.25">
      <c r="A3456" s="1" t="s">
        <v>7533</v>
      </c>
      <c r="B3456" s="1" t="s">
        <v>7534</v>
      </c>
      <c r="C3456" s="1">
        <v>12600000</v>
      </c>
      <c r="D3456" s="1" t="s">
        <v>33</v>
      </c>
      <c r="E3456">
        <v>92.082499999999996</v>
      </c>
      <c r="F3456" s="1" t="s">
        <v>12</v>
      </c>
      <c r="G3456">
        <v>58</v>
      </c>
      <c r="H3456">
        <v>29</v>
      </c>
      <c r="I3456" s="1" t="s">
        <v>35</v>
      </c>
      <c r="J3456">
        <v>6</v>
      </c>
      <c r="K3456" t="str">
        <f>IF(Tb_data[[#This Row],[previous_workers]]&lt;Tb_data[[#This Row],[workers]],"yes","no")</f>
        <v>yes</v>
      </c>
      <c r="L3456">
        <f>Tb_data[[#This Row],[workers]]-Tb_data[[#This Row],[previous_workers]]</f>
        <v>29</v>
      </c>
      <c r="M3456" s="12">
        <f>Tb_data[[#This Row],[Employees Growth]]/Tb_data[[#This Row],[previous_workers]]</f>
        <v>1</v>
      </c>
    </row>
    <row r="3457" spans="1:13" x14ac:dyDescent="0.25">
      <c r="A3457" s="1" t="s">
        <v>4941</v>
      </c>
      <c r="B3457" s="1" t="s">
        <v>4942</v>
      </c>
      <c r="C3457" s="1">
        <v>18100000</v>
      </c>
      <c r="D3457" s="1" t="s">
        <v>69</v>
      </c>
      <c r="E3457">
        <v>164.4357</v>
      </c>
      <c r="F3457" s="1" t="s">
        <v>17</v>
      </c>
      <c r="G3457">
        <v>18</v>
      </c>
      <c r="H3457">
        <v>10</v>
      </c>
      <c r="I3457" s="1" t="s">
        <v>948</v>
      </c>
      <c r="J3457">
        <v>3</v>
      </c>
      <c r="K3457" t="str">
        <f>IF(Tb_data[[#This Row],[previous_workers]]&lt;Tb_data[[#This Row],[workers]],"yes","no")</f>
        <v>yes</v>
      </c>
      <c r="L3457">
        <f>Tb_data[[#This Row],[workers]]-Tb_data[[#This Row],[previous_workers]]</f>
        <v>8</v>
      </c>
      <c r="M3457" s="12">
        <f>Tb_data[[#This Row],[Employees Growth]]/Tb_data[[#This Row],[previous_workers]]</f>
        <v>0.8</v>
      </c>
    </row>
    <row r="3458" spans="1:13" x14ac:dyDescent="0.25">
      <c r="A3458" s="1" t="s">
        <v>4687</v>
      </c>
      <c r="B3458" s="1" t="s">
        <v>4688</v>
      </c>
      <c r="C3458" s="1">
        <v>6200000</v>
      </c>
      <c r="D3458" s="1" t="s">
        <v>33</v>
      </c>
      <c r="E3458">
        <v>174.89830000000001</v>
      </c>
      <c r="F3458" s="1" t="s">
        <v>112</v>
      </c>
      <c r="G3458">
        <v>23</v>
      </c>
      <c r="H3458">
        <v>5</v>
      </c>
      <c r="I3458" s="1" t="s">
        <v>26</v>
      </c>
      <c r="J3458">
        <v>2</v>
      </c>
      <c r="K3458" t="str">
        <f>IF(Tb_data[[#This Row],[previous_workers]]&lt;Tb_data[[#This Row],[workers]],"yes","no")</f>
        <v>yes</v>
      </c>
      <c r="L3458">
        <f>Tb_data[[#This Row],[workers]]-Tb_data[[#This Row],[previous_workers]]</f>
        <v>18</v>
      </c>
      <c r="M3458" s="12">
        <f>Tb_data[[#This Row],[Employees Growth]]/Tb_data[[#This Row],[previous_workers]]</f>
        <v>3.6</v>
      </c>
    </row>
    <row r="3459" spans="1:13" x14ac:dyDescent="0.25">
      <c r="A3459" s="1" t="s">
        <v>184</v>
      </c>
      <c r="B3459" s="1" t="s">
        <v>185</v>
      </c>
      <c r="C3459" s="1">
        <v>107600000</v>
      </c>
      <c r="D3459" s="1" t="s">
        <v>61</v>
      </c>
      <c r="E3459">
        <v>4838.0226000000002</v>
      </c>
      <c r="F3459" s="1" t="s">
        <v>34</v>
      </c>
      <c r="G3459">
        <v>116</v>
      </c>
      <c r="H3459">
        <v>70</v>
      </c>
      <c r="I3459" s="1" t="s">
        <v>46</v>
      </c>
      <c r="J3459">
        <v>2</v>
      </c>
      <c r="K3459" t="str">
        <f>IF(Tb_data[[#This Row],[previous_workers]]&lt;Tb_data[[#This Row],[workers]],"yes","no")</f>
        <v>yes</v>
      </c>
      <c r="L3459">
        <f>Tb_data[[#This Row],[workers]]-Tb_data[[#This Row],[previous_workers]]</f>
        <v>46</v>
      </c>
      <c r="M3459" s="12">
        <f>Tb_data[[#This Row],[Employees Growth]]/Tb_data[[#This Row],[previous_workers]]</f>
        <v>0.65714285714285714</v>
      </c>
    </row>
    <row r="3460" spans="1:13" x14ac:dyDescent="0.25">
      <c r="A3460" s="1" t="s">
        <v>8761</v>
      </c>
      <c r="B3460" s="1" t="s">
        <v>8762</v>
      </c>
      <c r="C3460" s="1">
        <v>3000000</v>
      </c>
      <c r="D3460" s="1" t="s">
        <v>41</v>
      </c>
      <c r="E3460">
        <v>70.155100000000004</v>
      </c>
      <c r="F3460" s="1" t="s">
        <v>124</v>
      </c>
      <c r="G3460">
        <v>39</v>
      </c>
      <c r="H3460">
        <v>27</v>
      </c>
      <c r="I3460" s="1" t="s">
        <v>229</v>
      </c>
      <c r="J3460">
        <v>1</v>
      </c>
      <c r="K3460" t="str">
        <f>IF(Tb_data[[#This Row],[previous_workers]]&lt;Tb_data[[#This Row],[workers]],"yes","no")</f>
        <v>yes</v>
      </c>
      <c r="L3460">
        <f>Tb_data[[#This Row],[workers]]-Tb_data[[#This Row],[previous_workers]]</f>
        <v>12</v>
      </c>
      <c r="M3460" s="12">
        <f>Tb_data[[#This Row],[Employees Growth]]/Tb_data[[#This Row],[previous_workers]]</f>
        <v>0.44444444444444442</v>
      </c>
    </row>
    <row r="3461" spans="1:13" x14ac:dyDescent="0.25">
      <c r="A3461" s="1" t="s">
        <v>5304</v>
      </c>
      <c r="B3461" s="1" t="s">
        <v>5305</v>
      </c>
      <c r="C3461" s="1">
        <v>9100000</v>
      </c>
      <c r="D3461" s="1" t="s">
        <v>179</v>
      </c>
      <c r="E3461">
        <v>149.91319999999999</v>
      </c>
      <c r="F3461" s="1" t="s">
        <v>25</v>
      </c>
      <c r="G3461">
        <v>3</v>
      </c>
      <c r="H3461">
        <v>2</v>
      </c>
      <c r="I3461" s="1" t="s">
        <v>130</v>
      </c>
      <c r="J3461">
        <v>3</v>
      </c>
      <c r="K3461" t="str">
        <f>IF(Tb_data[[#This Row],[previous_workers]]&lt;Tb_data[[#This Row],[workers]],"yes","no")</f>
        <v>yes</v>
      </c>
      <c r="L3461">
        <f>Tb_data[[#This Row],[workers]]-Tb_data[[#This Row],[previous_workers]]</f>
        <v>1</v>
      </c>
      <c r="M3461" s="12">
        <f>Tb_data[[#This Row],[Employees Growth]]/Tb_data[[#This Row],[previous_workers]]</f>
        <v>0.5</v>
      </c>
    </row>
    <row r="3462" spans="1:13" x14ac:dyDescent="0.25">
      <c r="A3462" s="1" t="s">
        <v>3297</v>
      </c>
      <c r="B3462" s="1" t="s">
        <v>3298</v>
      </c>
      <c r="C3462" s="1">
        <v>4900000</v>
      </c>
      <c r="D3462" s="1" t="s">
        <v>20</v>
      </c>
      <c r="E3462">
        <v>259.42529999999999</v>
      </c>
      <c r="F3462" s="1" t="s">
        <v>86</v>
      </c>
      <c r="G3462">
        <v>16</v>
      </c>
      <c r="H3462">
        <v>6</v>
      </c>
      <c r="I3462" s="1" t="s">
        <v>46</v>
      </c>
      <c r="J3462">
        <v>1</v>
      </c>
      <c r="K3462" t="str">
        <f>IF(Tb_data[[#This Row],[previous_workers]]&lt;Tb_data[[#This Row],[workers]],"yes","no")</f>
        <v>yes</v>
      </c>
      <c r="L3462">
        <f>Tb_data[[#This Row],[workers]]-Tb_data[[#This Row],[previous_workers]]</f>
        <v>10</v>
      </c>
      <c r="M3462" s="12">
        <f>Tb_data[[#This Row],[Employees Growth]]/Tb_data[[#This Row],[previous_workers]]</f>
        <v>1.6666666666666667</v>
      </c>
    </row>
    <row r="3463" spans="1:13" x14ac:dyDescent="0.25">
      <c r="A3463" s="1" t="s">
        <v>10010</v>
      </c>
      <c r="B3463" s="1" t="s">
        <v>10011</v>
      </c>
      <c r="C3463" s="1">
        <v>35700000</v>
      </c>
      <c r="D3463" s="1" t="s">
        <v>69</v>
      </c>
      <c r="E3463">
        <v>53.302199999999999</v>
      </c>
      <c r="F3463" s="1" t="s">
        <v>176</v>
      </c>
      <c r="G3463">
        <v>240</v>
      </c>
      <c r="H3463">
        <v>161</v>
      </c>
      <c r="I3463" s="1" t="s">
        <v>4084</v>
      </c>
      <c r="J3463">
        <v>8</v>
      </c>
      <c r="K3463" t="str">
        <f>IF(Tb_data[[#This Row],[previous_workers]]&lt;Tb_data[[#This Row],[workers]],"yes","no")</f>
        <v>yes</v>
      </c>
      <c r="L3463">
        <f>Tb_data[[#This Row],[workers]]-Tb_data[[#This Row],[previous_workers]]</f>
        <v>79</v>
      </c>
      <c r="M3463" s="12">
        <f>Tb_data[[#This Row],[Employees Growth]]/Tb_data[[#This Row],[previous_workers]]</f>
        <v>0.49068322981366458</v>
      </c>
    </row>
    <row r="3464" spans="1:13" x14ac:dyDescent="0.25">
      <c r="A3464" s="1" t="s">
        <v>5490</v>
      </c>
      <c r="B3464" s="1" t="s">
        <v>5491</v>
      </c>
      <c r="C3464" s="1">
        <v>22900000</v>
      </c>
      <c r="D3464" s="1" t="s">
        <v>61</v>
      </c>
      <c r="E3464">
        <v>143.0891</v>
      </c>
      <c r="F3464" s="1" t="s">
        <v>86</v>
      </c>
      <c r="G3464">
        <v>105</v>
      </c>
      <c r="H3464">
        <v>84</v>
      </c>
      <c r="I3464" s="1" t="s">
        <v>35</v>
      </c>
      <c r="J3464">
        <v>4</v>
      </c>
      <c r="K3464" t="str">
        <f>IF(Tb_data[[#This Row],[previous_workers]]&lt;Tb_data[[#This Row],[workers]],"yes","no")</f>
        <v>yes</v>
      </c>
      <c r="L3464">
        <f>Tb_data[[#This Row],[workers]]-Tb_data[[#This Row],[previous_workers]]</f>
        <v>21</v>
      </c>
      <c r="M3464" s="12">
        <f>Tb_data[[#This Row],[Employees Growth]]/Tb_data[[#This Row],[previous_workers]]</f>
        <v>0.25</v>
      </c>
    </row>
    <row r="3465" spans="1:13" x14ac:dyDescent="0.25">
      <c r="A3465" s="1" t="s">
        <v>2225</v>
      </c>
      <c r="B3465" s="1" t="s">
        <v>4093</v>
      </c>
      <c r="C3465" s="1">
        <v>82500000</v>
      </c>
      <c r="D3465" s="1" t="s">
        <v>45</v>
      </c>
      <c r="E3465">
        <v>201.55179999999999</v>
      </c>
      <c r="F3465" s="1" t="s">
        <v>161</v>
      </c>
      <c r="G3465">
        <v>290</v>
      </c>
      <c r="H3465">
        <v>102</v>
      </c>
      <c r="I3465" s="1" t="s">
        <v>164</v>
      </c>
      <c r="J3465">
        <v>2</v>
      </c>
      <c r="K3465" t="str">
        <f>IF(Tb_data[[#This Row],[previous_workers]]&lt;Tb_data[[#This Row],[workers]],"yes","no")</f>
        <v>yes</v>
      </c>
      <c r="L3465">
        <f>Tb_data[[#This Row],[workers]]-Tb_data[[#This Row],[previous_workers]]</f>
        <v>188</v>
      </c>
      <c r="M3465" s="12">
        <f>Tb_data[[#This Row],[Employees Growth]]/Tb_data[[#This Row],[previous_workers]]</f>
        <v>1.8431372549019607</v>
      </c>
    </row>
    <row r="3466" spans="1:13" x14ac:dyDescent="0.25">
      <c r="A3466" s="1" t="s">
        <v>6351</v>
      </c>
      <c r="B3466" s="1" t="s">
        <v>6352</v>
      </c>
      <c r="C3466" s="1">
        <v>62800000</v>
      </c>
      <c r="D3466" s="1" t="s">
        <v>33</v>
      </c>
      <c r="E3466">
        <v>117.4974</v>
      </c>
      <c r="F3466" s="1" t="s">
        <v>12</v>
      </c>
      <c r="G3466">
        <v>32</v>
      </c>
      <c r="H3466">
        <v>18</v>
      </c>
      <c r="I3466" s="1" t="s">
        <v>117</v>
      </c>
      <c r="J3466">
        <v>1</v>
      </c>
      <c r="K3466" t="str">
        <f>IF(Tb_data[[#This Row],[previous_workers]]&lt;Tb_data[[#This Row],[workers]],"yes","no")</f>
        <v>yes</v>
      </c>
      <c r="L3466">
        <f>Tb_data[[#This Row],[workers]]-Tb_data[[#This Row],[previous_workers]]</f>
        <v>14</v>
      </c>
      <c r="M3466" s="12">
        <f>Tb_data[[#This Row],[Employees Growth]]/Tb_data[[#This Row],[previous_workers]]</f>
        <v>0.77777777777777779</v>
      </c>
    </row>
    <row r="3467" spans="1:13" x14ac:dyDescent="0.25">
      <c r="A3467" s="1" t="s">
        <v>5632</v>
      </c>
      <c r="B3467" s="1" t="s">
        <v>5633</v>
      </c>
      <c r="C3467" s="1">
        <v>5500000</v>
      </c>
      <c r="D3467" s="1" t="s">
        <v>155</v>
      </c>
      <c r="E3467">
        <v>136.74879999999999</v>
      </c>
      <c r="F3467" s="1" t="s">
        <v>124</v>
      </c>
      <c r="G3467">
        <v>10</v>
      </c>
      <c r="H3467">
        <v>3</v>
      </c>
      <c r="I3467" s="1" t="s">
        <v>164</v>
      </c>
      <c r="J3467">
        <v>1</v>
      </c>
      <c r="K3467" t="str">
        <f>IF(Tb_data[[#This Row],[previous_workers]]&lt;Tb_data[[#This Row],[workers]],"yes","no")</f>
        <v>yes</v>
      </c>
      <c r="L3467">
        <f>Tb_data[[#This Row],[workers]]-Tb_data[[#This Row],[previous_workers]]</f>
        <v>7</v>
      </c>
      <c r="M3467" s="12">
        <f>Tb_data[[#This Row],[Employees Growth]]/Tb_data[[#This Row],[previous_workers]]</f>
        <v>2.3333333333333335</v>
      </c>
    </row>
    <row r="3468" spans="1:13" x14ac:dyDescent="0.25">
      <c r="A3468" s="1" t="s">
        <v>5926</v>
      </c>
      <c r="B3468" s="1" t="s">
        <v>5927</v>
      </c>
      <c r="C3468" s="1">
        <v>7400000</v>
      </c>
      <c r="D3468" s="1" t="s">
        <v>179</v>
      </c>
      <c r="E3468">
        <v>128.3322</v>
      </c>
      <c r="F3468" s="1" t="s">
        <v>12</v>
      </c>
      <c r="G3468">
        <v>65</v>
      </c>
      <c r="H3468">
        <v>29</v>
      </c>
      <c r="I3468" s="1" t="s">
        <v>117</v>
      </c>
      <c r="J3468">
        <v>2</v>
      </c>
      <c r="K3468" t="str">
        <f>IF(Tb_data[[#This Row],[previous_workers]]&lt;Tb_data[[#This Row],[workers]],"yes","no")</f>
        <v>yes</v>
      </c>
      <c r="L3468">
        <f>Tb_data[[#This Row],[workers]]-Tb_data[[#This Row],[previous_workers]]</f>
        <v>36</v>
      </c>
      <c r="M3468" s="12">
        <f>Tb_data[[#This Row],[Employees Growth]]/Tb_data[[#This Row],[previous_workers]]</f>
        <v>1.2413793103448276</v>
      </c>
    </row>
    <row r="3469" spans="1:13" x14ac:dyDescent="0.25">
      <c r="A3469" s="1" t="s">
        <v>4914</v>
      </c>
      <c r="B3469" s="1" t="s">
        <v>4915</v>
      </c>
      <c r="C3469" s="1">
        <v>26700000</v>
      </c>
      <c r="D3469" s="1" t="s">
        <v>155</v>
      </c>
      <c r="E3469">
        <v>165.172</v>
      </c>
      <c r="F3469" s="1" t="s">
        <v>30</v>
      </c>
      <c r="G3469">
        <v>88</v>
      </c>
      <c r="H3469">
        <v>25</v>
      </c>
      <c r="I3469" s="1" t="s">
        <v>74</v>
      </c>
      <c r="J3469">
        <v>4</v>
      </c>
      <c r="K3469" t="str">
        <f>IF(Tb_data[[#This Row],[previous_workers]]&lt;Tb_data[[#This Row],[workers]],"yes","no")</f>
        <v>yes</v>
      </c>
      <c r="L3469">
        <f>Tb_data[[#This Row],[workers]]-Tb_data[[#This Row],[previous_workers]]</f>
        <v>63</v>
      </c>
      <c r="M3469" s="12">
        <f>Tb_data[[#This Row],[Employees Growth]]/Tb_data[[#This Row],[previous_workers]]</f>
        <v>2.52</v>
      </c>
    </row>
    <row r="3470" spans="1:13" x14ac:dyDescent="0.25">
      <c r="A3470" s="1" t="s">
        <v>4838</v>
      </c>
      <c r="B3470" s="1" t="s">
        <v>4839</v>
      </c>
      <c r="C3470" s="1">
        <v>17800000</v>
      </c>
      <c r="D3470" s="1" t="s">
        <v>895</v>
      </c>
      <c r="E3470">
        <v>168.6703</v>
      </c>
      <c r="F3470" s="1" t="s">
        <v>176</v>
      </c>
      <c r="G3470">
        <v>100</v>
      </c>
      <c r="H3470">
        <v>45</v>
      </c>
      <c r="I3470" s="1" t="s">
        <v>130</v>
      </c>
      <c r="J3470">
        <v>3</v>
      </c>
      <c r="K3470" t="str">
        <f>IF(Tb_data[[#This Row],[previous_workers]]&lt;Tb_data[[#This Row],[workers]],"yes","no")</f>
        <v>yes</v>
      </c>
      <c r="L3470">
        <f>Tb_data[[#This Row],[workers]]-Tb_data[[#This Row],[previous_workers]]</f>
        <v>55</v>
      </c>
      <c r="M3470" s="12">
        <f>Tb_data[[#This Row],[Employees Growth]]/Tb_data[[#This Row],[previous_workers]]</f>
        <v>1.2222222222222223</v>
      </c>
    </row>
    <row r="3471" spans="1:13" x14ac:dyDescent="0.25">
      <c r="A3471" s="1" t="s">
        <v>930</v>
      </c>
      <c r="B3471" s="1" t="s">
        <v>931</v>
      </c>
      <c r="C3471" s="1">
        <v>35900000</v>
      </c>
      <c r="D3471" s="1" t="s">
        <v>49</v>
      </c>
      <c r="E3471">
        <v>1093.3815</v>
      </c>
      <c r="F3471" s="1" t="s">
        <v>12</v>
      </c>
      <c r="G3471">
        <v>25</v>
      </c>
      <c r="H3471">
        <v>8</v>
      </c>
      <c r="I3471" s="1" t="s">
        <v>26</v>
      </c>
      <c r="J3471">
        <v>2</v>
      </c>
      <c r="K3471" t="str">
        <f>IF(Tb_data[[#This Row],[previous_workers]]&lt;Tb_data[[#This Row],[workers]],"yes","no")</f>
        <v>yes</v>
      </c>
      <c r="L3471">
        <f>Tb_data[[#This Row],[workers]]-Tb_data[[#This Row],[previous_workers]]</f>
        <v>17</v>
      </c>
      <c r="M3471" s="12">
        <f>Tb_data[[#This Row],[Employees Growth]]/Tb_data[[#This Row],[previous_workers]]</f>
        <v>2.125</v>
      </c>
    </row>
    <row r="3472" spans="1:13" x14ac:dyDescent="0.25">
      <c r="A3472" s="1" t="s">
        <v>5248</v>
      </c>
      <c r="B3472" s="1" t="s">
        <v>5249</v>
      </c>
      <c r="C3472" s="1">
        <v>5600000</v>
      </c>
      <c r="D3472" s="1" t="s">
        <v>91</v>
      </c>
      <c r="E3472">
        <v>151.79419999999999</v>
      </c>
      <c r="F3472" s="1" t="s">
        <v>100</v>
      </c>
      <c r="G3472">
        <v>52</v>
      </c>
      <c r="H3472">
        <v>12</v>
      </c>
      <c r="I3472" s="1" t="s">
        <v>46</v>
      </c>
      <c r="J3472">
        <v>3</v>
      </c>
      <c r="K3472" t="str">
        <f>IF(Tb_data[[#This Row],[previous_workers]]&lt;Tb_data[[#This Row],[workers]],"yes","no")</f>
        <v>yes</v>
      </c>
      <c r="L3472">
        <f>Tb_data[[#This Row],[workers]]-Tb_data[[#This Row],[previous_workers]]</f>
        <v>40</v>
      </c>
      <c r="M3472" s="12">
        <f>Tb_data[[#This Row],[Employees Growth]]/Tb_data[[#This Row],[previous_workers]]</f>
        <v>3.3333333333333335</v>
      </c>
    </row>
    <row r="3473" spans="1:13" x14ac:dyDescent="0.25">
      <c r="A3473" s="1" t="s">
        <v>4573</v>
      </c>
      <c r="B3473" s="1" t="s">
        <v>4574</v>
      </c>
      <c r="C3473" s="1">
        <v>4800000</v>
      </c>
      <c r="D3473" s="1" t="s">
        <v>422</v>
      </c>
      <c r="E3473">
        <v>179.4639</v>
      </c>
      <c r="F3473" s="1" t="s">
        <v>12</v>
      </c>
      <c r="G3473">
        <v>32</v>
      </c>
      <c r="H3473">
        <v>15</v>
      </c>
      <c r="I3473" s="1" t="s">
        <v>55</v>
      </c>
      <c r="J3473">
        <v>2</v>
      </c>
      <c r="K3473" t="str">
        <f>IF(Tb_data[[#This Row],[previous_workers]]&lt;Tb_data[[#This Row],[workers]],"yes","no")</f>
        <v>yes</v>
      </c>
      <c r="L3473">
        <f>Tb_data[[#This Row],[workers]]-Tb_data[[#This Row],[previous_workers]]</f>
        <v>17</v>
      </c>
      <c r="M3473" s="12">
        <f>Tb_data[[#This Row],[Employees Growth]]/Tb_data[[#This Row],[previous_workers]]</f>
        <v>1.1333333333333333</v>
      </c>
    </row>
    <row r="3474" spans="1:13" x14ac:dyDescent="0.25">
      <c r="A3474" s="1" t="s">
        <v>6717</v>
      </c>
      <c r="B3474" s="1" t="s">
        <v>6718</v>
      </c>
      <c r="C3474" s="1">
        <v>12500000</v>
      </c>
      <c r="D3474" s="1" t="s">
        <v>236</v>
      </c>
      <c r="E3474">
        <v>108.6371</v>
      </c>
      <c r="F3474" s="1" t="s">
        <v>176</v>
      </c>
      <c r="G3474">
        <v>34</v>
      </c>
      <c r="H3474">
        <v>12</v>
      </c>
      <c r="I3474" s="1" t="s">
        <v>1622</v>
      </c>
      <c r="J3474">
        <v>6</v>
      </c>
      <c r="K3474" t="str">
        <f>IF(Tb_data[[#This Row],[previous_workers]]&lt;Tb_data[[#This Row],[workers]],"yes","no")</f>
        <v>yes</v>
      </c>
      <c r="L3474">
        <f>Tb_data[[#This Row],[workers]]-Tb_data[[#This Row],[previous_workers]]</f>
        <v>22</v>
      </c>
      <c r="M3474" s="12">
        <f>Tb_data[[#This Row],[Employees Growth]]/Tb_data[[#This Row],[previous_workers]]</f>
        <v>1.8333333333333333</v>
      </c>
    </row>
    <row r="3475" spans="1:13" x14ac:dyDescent="0.25">
      <c r="A3475" s="1" t="s">
        <v>3017</v>
      </c>
      <c r="B3475" s="1" t="s">
        <v>3018</v>
      </c>
      <c r="C3475" s="1">
        <v>19800000</v>
      </c>
      <c r="D3475" s="1" t="s">
        <v>33</v>
      </c>
      <c r="E3475">
        <v>285.6447</v>
      </c>
      <c r="F3475" s="1" t="s">
        <v>100</v>
      </c>
      <c r="G3475">
        <v>150</v>
      </c>
      <c r="H3475">
        <v>51</v>
      </c>
      <c r="I3475" s="1" t="s">
        <v>117</v>
      </c>
      <c r="J3475">
        <v>3</v>
      </c>
      <c r="K3475" t="str">
        <f>IF(Tb_data[[#This Row],[previous_workers]]&lt;Tb_data[[#This Row],[workers]],"yes","no")</f>
        <v>yes</v>
      </c>
      <c r="L3475">
        <f>Tb_data[[#This Row],[workers]]-Tb_data[[#This Row],[previous_workers]]</f>
        <v>99</v>
      </c>
      <c r="M3475" s="12">
        <f>Tb_data[[#This Row],[Employees Growth]]/Tb_data[[#This Row],[previous_workers]]</f>
        <v>1.9411764705882353</v>
      </c>
    </row>
    <row r="3476" spans="1:13" x14ac:dyDescent="0.25">
      <c r="A3476" s="1" t="s">
        <v>130</v>
      </c>
      <c r="B3476" s="1" t="s">
        <v>4115</v>
      </c>
      <c r="C3476" s="1">
        <v>23100000</v>
      </c>
      <c r="D3476" s="1" t="s">
        <v>20</v>
      </c>
      <c r="E3476">
        <v>199.6019</v>
      </c>
      <c r="F3476" s="1" t="s">
        <v>34</v>
      </c>
      <c r="G3476">
        <v>1733</v>
      </c>
      <c r="H3476">
        <v>701</v>
      </c>
      <c r="I3476" s="1" t="s">
        <v>117</v>
      </c>
      <c r="J3476">
        <v>2</v>
      </c>
      <c r="K3476" t="str">
        <f>IF(Tb_data[[#This Row],[previous_workers]]&lt;Tb_data[[#This Row],[workers]],"yes","no")</f>
        <v>yes</v>
      </c>
      <c r="L3476">
        <f>Tb_data[[#This Row],[workers]]-Tb_data[[#This Row],[previous_workers]]</f>
        <v>1032</v>
      </c>
      <c r="M3476" s="12">
        <f>Tb_data[[#This Row],[Employees Growth]]/Tb_data[[#This Row],[previous_workers]]</f>
        <v>1.4721825962910129</v>
      </c>
    </row>
    <row r="3477" spans="1:13" x14ac:dyDescent="0.25">
      <c r="A3477" s="1" t="s">
        <v>6639</v>
      </c>
      <c r="B3477" s="1" t="s">
        <v>6640</v>
      </c>
      <c r="C3477" s="1">
        <v>50300000</v>
      </c>
      <c r="D3477" s="1" t="s">
        <v>61</v>
      </c>
      <c r="E3477">
        <v>110.55159999999999</v>
      </c>
      <c r="F3477" s="1" t="s">
        <v>12</v>
      </c>
      <c r="G3477">
        <v>161</v>
      </c>
      <c r="H3477">
        <v>93</v>
      </c>
      <c r="I3477" s="1" t="s">
        <v>2225</v>
      </c>
      <c r="J3477">
        <v>10</v>
      </c>
      <c r="K3477" t="str">
        <f>IF(Tb_data[[#This Row],[previous_workers]]&lt;Tb_data[[#This Row],[workers]],"yes","no")</f>
        <v>yes</v>
      </c>
      <c r="L3477">
        <f>Tb_data[[#This Row],[workers]]-Tb_data[[#This Row],[previous_workers]]</f>
        <v>68</v>
      </c>
      <c r="M3477" s="12">
        <f>Tb_data[[#This Row],[Employees Growth]]/Tb_data[[#This Row],[previous_workers]]</f>
        <v>0.73118279569892475</v>
      </c>
    </row>
    <row r="3478" spans="1:13" x14ac:dyDescent="0.25">
      <c r="A3478" s="1" t="s">
        <v>2116</v>
      </c>
      <c r="B3478" s="1" t="s">
        <v>2117</v>
      </c>
      <c r="C3478" s="1">
        <v>6700000</v>
      </c>
      <c r="D3478" s="1" t="s">
        <v>49</v>
      </c>
      <c r="E3478">
        <v>422.23509999999999</v>
      </c>
      <c r="F3478" s="1" t="s">
        <v>34</v>
      </c>
      <c r="G3478">
        <v>70</v>
      </c>
      <c r="H3478">
        <v>15</v>
      </c>
      <c r="I3478" s="1" t="s">
        <v>26</v>
      </c>
      <c r="J3478">
        <v>1</v>
      </c>
      <c r="K3478" t="str">
        <f>IF(Tb_data[[#This Row],[previous_workers]]&lt;Tb_data[[#This Row],[workers]],"yes","no")</f>
        <v>yes</v>
      </c>
      <c r="L3478">
        <f>Tb_data[[#This Row],[workers]]-Tb_data[[#This Row],[previous_workers]]</f>
        <v>55</v>
      </c>
      <c r="M3478" s="12">
        <f>Tb_data[[#This Row],[Employees Growth]]/Tb_data[[#This Row],[previous_workers]]</f>
        <v>3.6666666666666665</v>
      </c>
    </row>
    <row r="3479" spans="1:13" x14ac:dyDescent="0.25">
      <c r="A3479" s="1" t="s">
        <v>1130</v>
      </c>
      <c r="B3479" s="1" t="s">
        <v>1131</v>
      </c>
      <c r="C3479" s="1">
        <v>8700000</v>
      </c>
      <c r="D3479" s="1" t="s">
        <v>483</v>
      </c>
      <c r="E3479">
        <v>850.24220000000003</v>
      </c>
      <c r="F3479" s="1" t="s">
        <v>97</v>
      </c>
      <c r="G3479">
        <v>68</v>
      </c>
      <c r="H3479">
        <v>15</v>
      </c>
      <c r="I3479" s="1" t="s">
        <v>164</v>
      </c>
      <c r="J3479">
        <v>1</v>
      </c>
      <c r="K3479" t="str">
        <f>IF(Tb_data[[#This Row],[previous_workers]]&lt;Tb_data[[#This Row],[workers]],"yes","no")</f>
        <v>yes</v>
      </c>
      <c r="L3479">
        <f>Tb_data[[#This Row],[workers]]-Tb_data[[#This Row],[previous_workers]]</f>
        <v>53</v>
      </c>
      <c r="M3479" s="12">
        <f>Tb_data[[#This Row],[Employees Growth]]/Tb_data[[#This Row],[previous_workers]]</f>
        <v>3.5333333333333332</v>
      </c>
    </row>
    <row r="3480" spans="1:13" x14ac:dyDescent="0.25">
      <c r="A3480" s="1" t="s">
        <v>6071</v>
      </c>
      <c r="B3480" s="1" t="s">
        <v>6072</v>
      </c>
      <c r="C3480" s="1">
        <v>2300000</v>
      </c>
      <c r="D3480" s="1" t="s">
        <v>895</v>
      </c>
      <c r="E3480">
        <v>124.93859999999999</v>
      </c>
      <c r="F3480" s="1" t="s">
        <v>310</v>
      </c>
      <c r="G3480">
        <v>60</v>
      </c>
      <c r="H3480">
        <v>10</v>
      </c>
      <c r="I3480" s="1" t="s">
        <v>26</v>
      </c>
      <c r="J3480">
        <v>1</v>
      </c>
      <c r="K3480" t="str">
        <f>IF(Tb_data[[#This Row],[previous_workers]]&lt;Tb_data[[#This Row],[workers]],"yes","no")</f>
        <v>yes</v>
      </c>
      <c r="L3480">
        <f>Tb_data[[#This Row],[workers]]-Tb_data[[#This Row],[previous_workers]]</f>
        <v>50</v>
      </c>
      <c r="M3480" s="12">
        <f>Tb_data[[#This Row],[Employees Growth]]/Tb_data[[#This Row],[previous_workers]]</f>
        <v>5</v>
      </c>
    </row>
    <row r="3481" spans="1:13" x14ac:dyDescent="0.25">
      <c r="A3481" s="1" t="s">
        <v>1031</v>
      </c>
      <c r="B3481" s="1" t="s">
        <v>1032</v>
      </c>
      <c r="C3481" s="1">
        <v>17400000</v>
      </c>
      <c r="D3481" s="1" t="s">
        <v>427</v>
      </c>
      <c r="E3481">
        <v>966.44240000000002</v>
      </c>
      <c r="F3481" s="1" t="s">
        <v>12</v>
      </c>
      <c r="G3481">
        <v>36</v>
      </c>
      <c r="H3481">
        <v>13</v>
      </c>
      <c r="I3481" s="1" t="s">
        <v>74</v>
      </c>
      <c r="J3481">
        <v>1</v>
      </c>
      <c r="K3481" t="str">
        <f>IF(Tb_data[[#This Row],[previous_workers]]&lt;Tb_data[[#This Row],[workers]],"yes","no")</f>
        <v>yes</v>
      </c>
      <c r="L3481">
        <f>Tb_data[[#This Row],[workers]]-Tb_data[[#This Row],[previous_workers]]</f>
        <v>23</v>
      </c>
      <c r="M3481" s="12">
        <f>Tb_data[[#This Row],[Employees Growth]]/Tb_data[[#This Row],[previous_workers]]</f>
        <v>1.7692307692307692</v>
      </c>
    </row>
    <row r="3482" spans="1:13" x14ac:dyDescent="0.25">
      <c r="A3482" s="1" t="s">
        <v>6787</v>
      </c>
      <c r="B3482" s="1" t="s">
        <v>6788</v>
      </c>
      <c r="C3482" s="1">
        <v>6500000</v>
      </c>
      <c r="D3482" s="1" t="s">
        <v>20</v>
      </c>
      <c r="E3482">
        <v>106.94289999999999</v>
      </c>
      <c r="F3482" s="1" t="s">
        <v>176</v>
      </c>
      <c r="G3482">
        <v>42</v>
      </c>
      <c r="H3482">
        <v>20</v>
      </c>
      <c r="I3482" s="1" t="s">
        <v>26</v>
      </c>
      <c r="J3482">
        <v>2</v>
      </c>
      <c r="K3482" t="str">
        <f>IF(Tb_data[[#This Row],[previous_workers]]&lt;Tb_data[[#This Row],[workers]],"yes","no")</f>
        <v>yes</v>
      </c>
      <c r="L3482">
        <f>Tb_data[[#This Row],[workers]]-Tb_data[[#This Row],[previous_workers]]</f>
        <v>22</v>
      </c>
      <c r="M3482" s="12">
        <f>Tb_data[[#This Row],[Employees Growth]]/Tb_data[[#This Row],[previous_workers]]</f>
        <v>1.1000000000000001</v>
      </c>
    </row>
    <row r="3483" spans="1:13" x14ac:dyDescent="0.25">
      <c r="A3483" s="1" t="s">
        <v>5410</v>
      </c>
      <c r="B3483" s="1" t="s">
        <v>5411</v>
      </c>
      <c r="C3483" s="1">
        <v>10200000</v>
      </c>
      <c r="D3483" s="1" t="s">
        <v>29</v>
      </c>
      <c r="E3483">
        <v>145.92429999999999</v>
      </c>
      <c r="F3483" s="1" t="s">
        <v>100</v>
      </c>
      <c r="G3483">
        <v>48</v>
      </c>
      <c r="H3483">
        <v>25</v>
      </c>
      <c r="I3483" s="1" t="s">
        <v>194</v>
      </c>
      <c r="J3483">
        <v>5</v>
      </c>
      <c r="K3483" t="str">
        <f>IF(Tb_data[[#This Row],[previous_workers]]&lt;Tb_data[[#This Row],[workers]],"yes","no")</f>
        <v>yes</v>
      </c>
      <c r="L3483">
        <f>Tb_data[[#This Row],[workers]]-Tb_data[[#This Row],[previous_workers]]</f>
        <v>23</v>
      </c>
      <c r="M3483" s="12">
        <f>Tb_data[[#This Row],[Employees Growth]]/Tb_data[[#This Row],[previous_workers]]</f>
        <v>0.92</v>
      </c>
    </row>
    <row r="3484" spans="1:13" x14ac:dyDescent="0.25">
      <c r="A3484" s="1" t="s">
        <v>6115</v>
      </c>
      <c r="B3484" s="1" t="s">
        <v>6116</v>
      </c>
      <c r="C3484" s="1">
        <v>5000000</v>
      </c>
      <c r="D3484" s="1" t="s">
        <v>5972</v>
      </c>
      <c r="E3484">
        <v>123.3092</v>
      </c>
      <c r="F3484" s="1" t="s">
        <v>156</v>
      </c>
      <c r="G3484">
        <v>28</v>
      </c>
      <c r="H3484">
        <v>14</v>
      </c>
      <c r="I3484" s="1" t="s">
        <v>226</v>
      </c>
      <c r="J3484">
        <v>1</v>
      </c>
      <c r="K3484" t="str">
        <f>IF(Tb_data[[#This Row],[previous_workers]]&lt;Tb_data[[#This Row],[workers]],"yes","no")</f>
        <v>yes</v>
      </c>
      <c r="L3484">
        <f>Tb_data[[#This Row],[workers]]-Tb_data[[#This Row],[previous_workers]]</f>
        <v>14</v>
      </c>
      <c r="M3484" s="12">
        <f>Tb_data[[#This Row],[Employees Growth]]/Tb_data[[#This Row],[previous_workers]]</f>
        <v>1</v>
      </c>
    </row>
    <row r="3485" spans="1:13" x14ac:dyDescent="0.25">
      <c r="A3485" s="1" t="s">
        <v>8199</v>
      </c>
      <c r="B3485" s="1" t="s">
        <v>8200</v>
      </c>
      <c r="C3485" s="1">
        <v>60900000</v>
      </c>
      <c r="D3485" s="1" t="s">
        <v>254</v>
      </c>
      <c r="E3485">
        <v>79.617999999999995</v>
      </c>
      <c r="F3485" s="1" t="s">
        <v>176</v>
      </c>
      <c r="G3485">
        <v>254</v>
      </c>
      <c r="H3485">
        <v>134</v>
      </c>
      <c r="I3485" s="1" t="s">
        <v>948</v>
      </c>
      <c r="J3485">
        <v>5</v>
      </c>
      <c r="K3485" t="str">
        <f>IF(Tb_data[[#This Row],[previous_workers]]&lt;Tb_data[[#This Row],[workers]],"yes","no")</f>
        <v>yes</v>
      </c>
      <c r="L3485">
        <f>Tb_data[[#This Row],[workers]]-Tb_data[[#This Row],[previous_workers]]</f>
        <v>120</v>
      </c>
      <c r="M3485" s="12">
        <f>Tb_data[[#This Row],[Employees Growth]]/Tb_data[[#This Row],[previous_workers]]</f>
        <v>0.89552238805970152</v>
      </c>
    </row>
    <row r="3486" spans="1:13" x14ac:dyDescent="0.25">
      <c r="A3486" s="1" t="s">
        <v>6429</v>
      </c>
      <c r="B3486" s="1" t="s">
        <v>6430</v>
      </c>
      <c r="C3486" s="1">
        <v>15800000</v>
      </c>
      <c r="D3486" s="1" t="s">
        <v>627</v>
      </c>
      <c r="E3486">
        <v>115.5517</v>
      </c>
      <c r="F3486" s="1" t="s">
        <v>34</v>
      </c>
      <c r="G3486">
        <v>55</v>
      </c>
      <c r="H3486">
        <v>30</v>
      </c>
      <c r="I3486" s="1" t="s">
        <v>117</v>
      </c>
      <c r="J3486">
        <v>1</v>
      </c>
      <c r="K3486" t="str">
        <f>IF(Tb_data[[#This Row],[previous_workers]]&lt;Tb_data[[#This Row],[workers]],"yes","no")</f>
        <v>yes</v>
      </c>
      <c r="L3486">
        <f>Tb_data[[#This Row],[workers]]-Tb_data[[#This Row],[previous_workers]]</f>
        <v>25</v>
      </c>
      <c r="M3486" s="12">
        <f>Tb_data[[#This Row],[Employees Growth]]/Tb_data[[#This Row],[previous_workers]]</f>
        <v>0.83333333333333337</v>
      </c>
    </row>
    <row r="3487" spans="1:13" x14ac:dyDescent="0.25">
      <c r="A3487" s="1" t="s">
        <v>43</v>
      </c>
      <c r="B3487" s="1" t="s">
        <v>44</v>
      </c>
      <c r="C3487" s="1">
        <v>225900000</v>
      </c>
      <c r="D3487" s="1" t="s">
        <v>45</v>
      </c>
      <c r="E3487">
        <v>12564.536400000001</v>
      </c>
      <c r="F3487" s="1" t="s">
        <v>34</v>
      </c>
      <c r="G3487">
        <v>60</v>
      </c>
      <c r="H3487">
        <v>10</v>
      </c>
      <c r="I3487" s="1" t="s">
        <v>46</v>
      </c>
      <c r="J3487">
        <v>1</v>
      </c>
      <c r="K3487" t="str">
        <f>IF(Tb_data[[#This Row],[previous_workers]]&lt;Tb_data[[#This Row],[workers]],"yes","no")</f>
        <v>yes</v>
      </c>
      <c r="L3487">
        <f>Tb_data[[#This Row],[workers]]-Tb_data[[#This Row],[previous_workers]]</f>
        <v>50</v>
      </c>
      <c r="M3487" s="12">
        <f>Tb_data[[#This Row],[Employees Growth]]/Tb_data[[#This Row],[previous_workers]]</f>
        <v>5</v>
      </c>
    </row>
    <row r="3488" spans="1:13" x14ac:dyDescent="0.25">
      <c r="A3488" s="1" t="s">
        <v>4234</v>
      </c>
      <c r="B3488" s="1" t="s">
        <v>4235</v>
      </c>
      <c r="C3488" s="1">
        <v>11700000</v>
      </c>
      <c r="D3488" s="1" t="s">
        <v>16</v>
      </c>
      <c r="E3488">
        <v>194.45150000000001</v>
      </c>
      <c r="F3488" s="1" t="s">
        <v>86</v>
      </c>
      <c r="G3488">
        <v>68</v>
      </c>
      <c r="H3488">
        <v>18</v>
      </c>
      <c r="I3488" s="1" t="s">
        <v>117</v>
      </c>
      <c r="J3488">
        <v>4</v>
      </c>
      <c r="K3488" t="str">
        <f>IF(Tb_data[[#This Row],[previous_workers]]&lt;Tb_data[[#This Row],[workers]],"yes","no")</f>
        <v>yes</v>
      </c>
      <c r="L3488">
        <f>Tb_data[[#This Row],[workers]]-Tb_data[[#This Row],[previous_workers]]</f>
        <v>50</v>
      </c>
      <c r="M3488" s="12">
        <f>Tb_data[[#This Row],[Employees Growth]]/Tb_data[[#This Row],[previous_workers]]</f>
        <v>2.7777777777777777</v>
      </c>
    </row>
    <row r="3489" spans="1:13" x14ac:dyDescent="0.25">
      <c r="A3489" s="1" t="s">
        <v>147</v>
      </c>
      <c r="B3489" s="1" t="s">
        <v>4106</v>
      </c>
      <c r="C3489" s="1">
        <v>3000000</v>
      </c>
      <c r="D3489" s="1" t="s">
        <v>123</v>
      </c>
      <c r="E3489">
        <v>200.49090000000001</v>
      </c>
      <c r="F3489" s="1" t="s">
        <v>172</v>
      </c>
      <c r="G3489">
        <v>38</v>
      </c>
      <c r="H3489">
        <v>13</v>
      </c>
      <c r="I3489" s="1" t="s">
        <v>55</v>
      </c>
      <c r="J3489">
        <v>2</v>
      </c>
      <c r="K3489" t="str">
        <f>IF(Tb_data[[#This Row],[previous_workers]]&lt;Tb_data[[#This Row],[workers]],"yes","no")</f>
        <v>yes</v>
      </c>
      <c r="L3489">
        <f>Tb_data[[#This Row],[workers]]-Tb_data[[#This Row],[previous_workers]]</f>
        <v>25</v>
      </c>
      <c r="M3489" s="12">
        <f>Tb_data[[#This Row],[Employees Growth]]/Tb_data[[#This Row],[previous_workers]]</f>
        <v>1.9230769230769231</v>
      </c>
    </row>
    <row r="3490" spans="1:13" x14ac:dyDescent="0.25">
      <c r="A3490" s="1" t="s">
        <v>1736</v>
      </c>
      <c r="B3490" s="1" t="s">
        <v>1737</v>
      </c>
      <c r="C3490" s="1">
        <v>7000000</v>
      </c>
      <c r="D3490" s="1" t="s">
        <v>20</v>
      </c>
      <c r="E3490">
        <v>525.59910000000002</v>
      </c>
      <c r="F3490" s="1" t="s">
        <v>310</v>
      </c>
      <c r="G3490">
        <v>200</v>
      </c>
      <c r="H3490">
        <v>21</v>
      </c>
      <c r="I3490" s="1" t="s">
        <v>35</v>
      </c>
      <c r="J3490">
        <v>2</v>
      </c>
      <c r="K3490" t="str">
        <f>IF(Tb_data[[#This Row],[previous_workers]]&lt;Tb_data[[#This Row],[workers]],"yes","no")</f>
        <v>yes</v>
      </c>
      <c r="L3490">
        <f>Tb_data[[#This Row],[workers]]-Tb_data[[#This Row],[previous_workers]]</f>
        <v>179</v>
      </c>
      <c r="M3490" s="12">
        <f>Tb_data[[#This Row],[Employees Growth]]/Tb_data[[#This Row],[previous_workers]]</f>
        <v>8.5238095238095237</v>
      </c>
    </row>
    <row r="3491" spans="1:13" x14ac:dyDescent="0.25">
      <c r="A3491" s="1" t="s">
        <v>460</v>
      </c>
      <c r="B3491" s="1" t="s">
        <v>461</v>
      </c>
      <c r="C3491" s="1">
        <v>7200000</v>
      </c>
      <c r="D3491" s="1" t="s">
        <v>380</v>
      </c>
      <c r="E3491">
        <v>2097.5284999999999</v>
      </c>
      <c r="F3491" s="1" t="s">
        <v>30</v>
      </c>
      <c r="G3491">
        <v>18</v>
      </c>
      <c r="H3491">
        <v>3</v>
      </c>
      <c r="I3491" s="1" t="s">
        <v>55</v>
      </c>
      <c r="J3491">
        <v>2</v>
      </c>
      <c r="K3491" t="str">
        <f>IF(Tb_data[[#This Row],[previous_workers]]&lt;Tb_data[[#This Row],[workers]],"yes","no")</f>
        <v>yes</v>
      </c>
      <c r="L3491">
        <f>Tb_data[[#This Row],[workers]]-Tb_data[[#This Row],[previous_workers]]</f>
        <v>15</v>
      </c>
      <c r="M3491" s="12">
        <f>Tb_data[[#This Row],[Employees Growth]]/Tb_data[[#This Row],[previous_workers]]</f>
        <v>5</v>
      </c>
    </row>
    <row r="3492" spans="1:13" x14ac:dyDescent="0.25">
      <c r="A3492" s="1" t="s">
        <v>7339</v>
      </c>
      <c r="B3492" s="1" t="s">
        <v>7340</v>
      </c>
      <c r="C3492" s="1">
        <v>88400000</v>
      </c>
      <c r="D3492" s="1" t="s">
        <v>69</v>
      </c>
      <c r="E3492">
        <v>96.354500000000002</v>
      </c>
      <c r="F3492" s="1" t="s">
        <v>34</v>
      </c>
      <c r="G3492">
        <v>1102</v>
      </c>
      <c r="H3492">
        <v>609</v>
      </c>
      <c r="I3492" s="1" t="s">
        <v>948</v>
      </c>
      <c r="J3492">
        <v>5</v>
      </c>
      <c r="K3492" t="str">
        <f>IF(Tb_data[[#This Row],[previous_workers]]&lt;Tb_data[[#This Row],[workers]],"yes","no")</f>
        <v>yes</v>
      </c>
      <c r="L3492">
        <f>Tb_data[[#This Row],[workers]]-Tb_data[[#This Row],[previous_workers]]</f>
        <v>493</v>
      </c>
      <c r="M3492" s="12">
        <f>Tb_data[[#This Row],[Employees Growth]]/Tb_data[[#This Row],[previous_workers]]</f>
        <v>0.80952380952380953</v>
      </c>
    </row>
    <row r="3493" spans="1:13" x14ac:dyDescent="0.25">
      <c r="A3493" s="1" t="s">
        <v>3497</v>
      </c>
      <c r="B3493" s="1" t="s">
        <v>3498</v>
      </c>
      <c r="C3493" s="1">
        <v>89400000</v>
      </c>
      <c r="D3493" s="1" t="s">
        <v>52</v>
      </c>
      <c r="E3493">
        <v>242.47309999999999</v>
      </c>
      <c r="F3493" s="1" t="s">
        <v>21</v>
      </c>
      <c r="G3493">
        <v>1755</v>
      </c>
      <c r="H3493">
        <v>615</v>
      </c>
      <c r="I3493" s="1" t="s">
        <v>130</v>
      </c>
      <c r="J3493">
        <v>3</v>
      </c>
      <c r="K3493" t="str">
        <f>IF(Tb_data[[#This Row],[previous_workers]]&lt;Tb_data[[#This Row],[workers]],"yes","no")</f>
        <v>yes</v>
      </c>
      <c r="L3493">
        <f>Tb_data[[#This Row],[workers]]-Tb_data[[#This Row],[previous_workers]]</f>
        <v>1140</v>
      </c>
      <c r="M3493" s="12">
        <f>Tb_data[[#This Row],[Employees Growth]]/Tb_data[[#This Row],[previous_workers]]</f>
        <v>1.8536585365853659</v>
      </c>
    </row>
    <row r="3494" spans="1:13" x14ac:dyDescent="0.25">
      <c r="A3494" s="1" t="s">
        <v>3301</v>
      </c>
      <c r="B3494" s="1" t="s">
        <v>3302</v>
      </c>
      <c r="C3494" s="1">
        <v>6400000</v>
      </c>
      <c r="D3494" s="1" t="s">
        <v>33</v>
      </c>
      <c r="E3494">
        <v>258.61079999999998</v>
      </c>
      <c r="F3494" s="1" t="s">
        <v>25</v>
      </c>
      <c r="G3494">
        <v>8</v>
      </c>
      <c r="H3494">
        <v>6</v>
      </c>
      <c r="I3494" s="1" t="s">
        <v>55</v>
      </c>
      <c r="J3494">
        <v>2</v>
      </c>
      <c r="K3494" t="str">
        <f>IF(Tb_data[[#This Row],[previous_workers]]&lt;Tb_data[[#This Row],[workers]],"yes","no")</f>
        <v>yes</v>
      </c>
      <c r="L3494">
        <f>Tb_data[[#This Row],[workers]]-Tb_data[[#This Row],[previous_workers]]</f>
        <v>2</v>
      </c>
      <c r="M3494" s="12">
        <f>Tb_data[[#This Row],[Employees Growth]]/Tb_data[[#This Row],[previous_workers]]</f>
        <v>0.33333333333333331</v>
      </c>
    </row>
    <row r="3495" spans="1:13" x14ac:dyDescent="0.25">
      <c r="A3495" s="1" t="s">
        <v>2408</v>
      </c>
      <c r="B3495" s="1" t="s">
        <v>2409</v>
      </c>
      <c r="C3495" s="1">
        <v>4200000</v>
      </c>
      <c r="D3495" s="1" t="s">
        <v>254</v>
      </c>
      <c r="E3495">
        <v>363.01600000000002</v>
      </c>
      <c r="F3495" s="1" t="s">
        <v>100</v>
      </c>
      <c r="G3495">
        <v>18</v>
      </c>
      <c r="H3495">
        <v>3</v>
      </c>
      <c r="I3495" s="1" t="s">
        <v>130</v>
      </c>
      <c r="J3495">
        <v>1</v>
      </c>
      <c r="K3495" t="str">
        <f>IF(Tb_data[[#This Row],[previous_workers]]&lt;Tb_data[[#This Row],[workers]],"yes","no")</f>
        <v>yes</v>
      </c>
      <c r="L3495">
        <f>Tb_data[[#This Row],[workers]]-Tb_data[[#This Row],[previous_workers]]</f>
        <v>15</v>
      </c>
      <c r="M3495" s="12">
        <f>Tb_data[[#This Row],[Employees Growth]]/Tb_data[[#This Row],[previous_workers]]</f>
        <v>5</v>
      </c>
    </row>
    <row r="3496" spans="1:13" x14ac:dyDescent="0.25">
      <c r="A3496" s="1" t="s">
        <v>6829</v>
      </c>
      <c r="B3496" s="1" t="s">
        <v>6830</v>
      </c>
      <c r="C3496" s="1">
        <v>5200000</v>
      </c>
      <c r="D3496" s="1" t="s">
        <v>61</v>
      </c>
      <c r="E3496">
        <v>105.97490000000001</v>
      </c>
      <c r="F3496" s="1" t="s">
        <v>30</v>
      </c>
      <c r="G3496">
        <v>13</v>
      </c>
      <c r="H3496">
        <v>8</v>
      </c>
      <c r="I3496" s="1" t="s">
        <v>74</v>
      </c>
      <c r="J3496">
        <v>5</v>
      </c>
      <c r="K3496" t="str">
        <f>IF(Tb_data[[#This Row],[previous_workers]]&lt;Tb_data[[#This Row],[workers]],"yes","no")</f>
        <v>yes</v>
      </c>
      <c r="L3496">
        <f>Tb_data[[#This Row],[workers]]-Tb_data[[#This Row],[previous_workers]]</f>
        <v>5</v>
      </c>
      <c r="M3496" s="12">
        <f>Tb_data[[#This Row],[Employees Growth]]/Tb_data[[#This Row],[previous_workers]]</f>
        <v>0.625</v>
      </c>
    </row>
    <row r="3497" spans="1:13" x14ac:dyDescent="0.25">
      <c r="A3497" s="1" t="s">
        <v>9315</v>
      </c>
      <c r="B3497" s="1" t="s">
        <v>9316</v>
      </c>
      <c r="C3497" s="1">
        <v>21700000</v>
      </c>
      <c r="D3497" s="1" t="s">
        <v>49</v>
      </c>
      <c r="E3497">
        <v>62.641300000000001</v>
      </c>
      <c r="F3497" s="1" t="s">
        <v>62</v>
      </c>
      <c r="G3497">
        <v>71</v>
      </c>
      <c r="H3497">
        <v>50</v>
      </c>
      <c r="I3497" s="1" t="s">
        <v>194</v>
      </c>
      <c r="J3497">
        <v>5</v>
      </c>
      <c r="K3497" t="str">
        <f>IF(Tb_data[[#This Row],[previous_workers]]&lt;Tb_data[[#This Row],[workers]],"yes","no")</f>
        <v>yes</v>
      </c>
      <c r="L3497">
        <f>Tb_data[[#This Row],[workers]]-Tb_data[[#This Row],[previous_workers]]</f>
        <v>21</v>
      </c>
      <c r="M3497" s="12">
        <f>Tb_data[[#This Row],[Employees Growth]]/Tb_data[[#This Row],[previous_workers]]</f>
        <v>0.42</v>
      </c>
    </row>
    <row r="3498" spans="1:13" x14ac:dyDescent="0.25">
      <c r="A3498" s="1" t="s">
        <v>7086</v>
      </c>
      <c r="B3498" s="1" t="s">
        <v>7087</v>
      </c>
      <c r="C3498" s="1">
        <v>983300000</v>
      </c>
      <c r="D3498" s="1" t="s">
        <v>61</v>
      </c>
      <c r="E3498">
        <v>100.48009999999999</v>
      </c>
      <c r="F3498" s="1" t="s">
        <v>172</v>
      </c>
      <c r="G3498">
        <v>650</v>
      </c>
      <c r="H3498">
        <v>380</v>
      </c>
      <c r="I3498" s="1" t="s">
        <v>74</v>
      </c>
      <c r="J3498">
        <v>1</v>
      </c>
      <c r="K3498" t="str">
        <f>IF(Tb_data[[#This Row],[previous_workers]]&lt;Tb_data[[#This Row],[workers]],"yes","no")</f>
        <v>yes</v>
      </c>
      <c r="L3498">
        <f>Tb_data[[#This Row],[workers]]-Tb_data[[#This Row],[previous_workers]]</f>
        <v>270</v>
      </c>
      <c r="M3498" s="12">
        <f>Tb_data[[#This Row],[Employees Growth]]/Tb_data[[#This Row],[previous_workers]]</f>
        <v>0.71052631578947367</v>
      </c>
    </row>
    <row r="3499" spans="1:13" x14ac:dyDescent="0.25">
      <c r="A3499" s="1" t="s">
        <v>2575</v>
      </c>
      <c r="B3499" s="1" t="s">
        <v>2576</v>
      </c>
      <c r="C3499" s="1">
        <v>41300000</v>
      </c>
      <c r="D3499" s="1" t="s">
        <v>179</v>
      </c>
      <c r="E3499">
        <v>334.2713</v>
      </c>
      <c r="F3499" s="1" t="s">
        <v>12</v>
      </c>
      <c r="G3499">
        <v>1382</v>
      </c>
      <c r="H3499">
        <v>125</v>
      </c>
      <c r="I3499" s="1" t="s">
        <v>194</v>
      </c>
      <c r="J3499">
        <v>6</v>
      </c>
      <c r="K3499" t="str">
        <f>IF(Tb_data[[#This Row],[previous_workers]]&lt;Tb_data[[#This Row],[workers]],"yes","no")</f>
        <v>yes</v>
      </c>
      <c r="L3499">
        <f>Tb_data[[#This Row],[workers]]-Tb_data[[#This Row],[previous_workers]]</f>
        <v>1257</v>
      </c>
      <c r="M3499" s="12">
        <f>Tb_data[[#This Row],[Employees Growth]]/Tb_data[[#This Row],[previous_workers]]</f>
        <v>10.055999999999999</v>
      </c>
    </row>
    <row r="3500" spans="1:13" x14ac:dyDescent="0.25">
      <c r="A3500" s="1" t="s">
        <v>2897</v>
      </c>
      <c r="B3500" s="1" t="s">
        <v>2898</v>
      </c>
      <c r="C3500" s="1">
        <v>156300000</v>
      </c>
      <c r="D3500" s="1" t="s">
        <v>69</v>
      </c>
      <c r="E3500">
        <v>298.45850000000002</v>
      </c>
      <c r="F3500" s="1" t="s">
        <v>12</v>
      </c>
      <c r="G3500">
        <v>221</v>
      </c>
      <c r="H3500">
        <v>154</v>
      </c>
      <c r="I3500" s="1" t="s">
        <v>194</v>
      </c>
      <c r="J3500">
        <v>6</v>
      </c>
      <c r="K3500" t="str">
        <f>IF(Tb_data[[#This Row],[previous_workers]]&lt;Tb_data[[#This Row],[workers]],"yes","no")</f>
        <v>yes</v>
      </c>
      <c r="L3500">
        <f>Tb_data[[#This Row],[workers]]-Tb_data[[#This Row],[previous_workers]]</f>
        <v>67</v>
      </c>
      <c r="M3500" s="12">
        <f>Tb_data[[#This Row],[Employees Growth]]/Tb_data[[#This Row],[previous_workers]]</f>
        <v>0.43506493506493504</v>
      </c>
    </row>
    <row r="3501" spans="1:13" x14ac:dyDescent="0.25">
      <c r="A3501" s="1" t="s">
        <v>3979</v>
      </c>
      <c r="B3501" s="1" t="s">
        <v>3980</v>
      </c>
      <c r="C3501" s="1">
        <v>67400000</v>
      </c>
      <c r="D3501" s="1" t="s">
        <v>69</v>
      </c>
      <c r="E3501">
        <v>207.87450000000001</v>
      </c>
      <c r="F3501" s="1" t="s">
        <v>176</v>
      </c>
      <c r="G3501">
        <v>565</v>
      </c>
      <c r="H3501">
        <v>182</v>
      </c>
      <c r="I3501" s="1" t="s">
        <v>3981</v>
      </c>
      <c r="J3501">
        <v>1</v>
      </c>
      <c r="K3501" t="str">
        <f>IF(Tb_data[[#This Row],[previous_workers]]&lt;Tb_data[[#This Row],[workers]],"yes","no")</f>
        <v>yes</v>
      </c>
      <c r="L3501">
        <f>Tb_data[[#This Row],[workers]]-Tb_data[[#This Row],[previous_workers]]</f>
        <v>383</v>
      </c>
      <c r="M3501" s="12">
        <f>Tb_data[[#This Row],[Employees Growth]]/Tb_data[[#This Row],[previous_workers]]</f>
        <v>2.1043956043956045</v>
      </c>
    </row>
    <row r="3502" spans="1:13" x14ac:dyDescent="0.25">
      <c r="A3502" s="1" t="s">
        <v>765</v>
      </c>
      <c r="B3502" s="1" t="s">
        <v>766</v>
      </c>
      <c r="C3502" s="1">
        <v>5700000</v>
      </c>
      <c r="D3502" s="1" t="s">
        <v>61</v>
      </c>
      <c r="E3502">
        <v>1379.7109</v>
      </c>
      <c r="F3502" s="1" t="s">
        <v>86</v>
      </c>
      <c r="G3502">
        <v>80</v>
      </c>
      <c r="H3502">
        <v>31</v>
      </c>
      <c r="I3502" s="1" t="s">
        <v>55</v>
      </c>
      <c r="J3502">
        <v>1</v>
      </c>
      <c r="K3502" t="str">
        <f>IF(Tb_data[[#This Row],[previous_workers]]&lt;Tb_data[[#This Row],[workers]],"yes","no")</f>
        <v>yes</v>
      </c>
      <c r="L3502">
        <f>Tb_data[[#This Row],[workers]]-Tb_data[[#This Row],[previous_workers]]</f>
        <v>49</v>
      </c>
      <c r="M3502" s="12">
        <f>Tb_data[[#This Row],[Employees Growth]]/Tb_data[[#This Row],[previous_workers]]</f>
        <v>1.5806451612903225</v>
      </c>
    </row>
    <row r="3503" spans="1:13" x14ac:dyDescent="0.25">
      <c r="A3503" s="1" t="s">
        <v>8969</v>
      </c>
      <c r="B3503" s="1" t="s">
        <v>8970</v>
      </c>
      <c r="C3503" s="1">
        <v>4900000</v>
      </c>
      <c r="D3503" s="1" t="s">
        <v>41</v>
      </c>
      <c r="E3503">
        <v>66.979799999999997</v>
      </c>
      <c r="F3503" s="1" t="s">
        <v>34</v>
      </c>
      <c r="G3503">
        <v>42</v>
      </c>
      <c r="H3503">
        <v>12</v>
      </c>
      <c r="I3503" s="1" t="s">
        <v>117</v>
      </c>
      <c r="J3503">
        <v>1</v>
      </c>
      <c r="K3503" t="str">
        <f>IF(Tb_data[[#This Row],[previous_workers]]&lt;Tb_data[[#This Row],[workers]],"yes","no")</f>
        <v>yes</v>
      </c>
      <c r="L3503">
        <f>Tb_data[[#This Row],[workers]]-Tb_data[[#This Row],[previous_workers]]</f>
        <v>30</v>
      </c>
      <c r="M3503" s="12">
        <f>Tb_data[[#This Row],[Employees Growth]]/Tb_data[[#This Row],[previous_workers]]</f>
        <v>2.5</v>
      </c>
    </row>
    <row r="3504" spans="1:13" x14ac:dyDescent="0.25">
      <c r="A3504" s="1" t="s">
        <v>9345</v>
      </c>
      <c r="B3504" s="1" t="s">
        <v>9346</v>
      </c>
      <c r="C3504" s="1">
        <v>8200000</v>
      </c>
      <c r="D3504" s="1" t="s">
        <v>11</v>
      </c>
      <c r="E3504">
        <v>62.209299999999999</v>
      </c>
      <c r="F3504" s="1" t="s">
        <v>112</v>
      </c>
      <c r="G3504">
        <v>30</v>
      </c>
      <c r="H3504">
        <v>27</v>
      </c>
      <c r="I3504" s="1" t="s">
        <v>1051</v>
      </c>
      <c r="J3504">
        <v>1</v>
      </c>
      <c r="K3504" t="str">
        <f>IF(Tb_data[[#This Row],[previous_workers]]&lt;Tb_data[[#This Row],[workers]],"yes","no")</f>
        <v>yes</v>
      </c>
      <c r="L3504">
        <f>Tb_data[[#This Row],[workers]]-Tb_data[[#This Row],[previous_workers]]</f>
        <v>3</v>
      </c>
      <c r="M3504" s="12">
        <f>Tb_data[[#This Row],[Employees Growth]]/Tb_data[[#This Row],[previous_workers]]</f>
        <v>0.1111111111111111</v>
      </c>
    </row>
    <row r="3505" spans="1:13" x14ac:dyDescent="0.25">
      <c r="A3505" s="1" t="s">
        <v>5424</v>
      </c>
      <c r="B3505" s="1" t="s">
        <v>5425</v>
      </c>
      <c r="C3505" s="1">
        <v>22300000</v>
      </c>
      <c r="D3505" s="1" t="s">
        <v>33</v>
      </c>
      <c r="E3505">
        <v>145.3407</v>
      </c>
      <c r="F3505" s="1" t="s">
        <v>21</v>
      </c>
      <c r="G3505">
        <v>12</v>
      </c>
      <c r="H3505">
        <v>11</v>
      </c>
      <c r="I3505" s="1" t="s">
        <v>46</v>
      </c>
      <c r="J3505">
        <v>4</v>
      </c>
      <c r="K3505" t="str">
        <f>IF(Tb_data[[#This Row],[previous_workers]]&lt;Tb_data[[#This Row],[workers]],"yes","no")</f>
        <v>yes</v>
      </c>
      <c r="L3505">
        <f>Tb_data[[#This Row],[workers]]-Tb_data[[#This Row],[previous_workers]]</f>
        <v>1</v>
      </c>
      <c r="M3505" s="12">
        <f>Tb_data[[#This Row],[Employees Growth]]/Tb_data[[#This Row],[previous_workers]]</f>
        <v>9.0909090909090912E-2</v>
      </c>
    </row>
    <row r="3506" spans="1:13" x14ac:dyDescent="0.25">
      <c r="A3506" s="1" t="s">
        <v>9113</v>
      </c>
      <c r="B3506" s="1" t="s">
        <v>9114</v>
      </c>
      <c r="C3506" s="1">
        <v>5500000</v>
      </c>
      <c r="D3506" s="1" t="s">
        <v>61</v>
      </c>
      <c r="E3506">
        <v>65.2393</v>
      </c>
      <c r="F3506" s="1" t="s">
        <v>17</v>
      </c>
      <c r="G3506">
        <v>15</v>
      </c>
      <c r="H3506">
        <v>10</v>
      </c>
      <c r="I3506" s="1" t="s">
        <v>55</v>
      </c>
      <c r="J3506">
        <v>3</v>
      </c>
      <c r="K3506" t="str">
        <f>IF(Tb_data[[#This Row],[previous_workers]]&lt;Tb_data[[#This Row],[workers]],"yes","no")</f>
        <v>yes</v>
      </c>
      <c r="L3506">
        <f>Tb_data[[#This Row],[workers]]-Tb_data[[#This Row],[previous_workers]]</f>
        <v>5</v>
      </c>
      <c r="M3506" s="12">
        <f>Tb_data[[#This Row],[Employees Growth]]/Tb_data[[#This Row],[previous_workers]]</f>
        <v>0.5</v>
      </c>
    </row>
    <row r="3507" spans="1:13" x14ac:dyDescent="0.25">
      <c r="A3507" s="1" t="s">
        <v>4381</v>
      </c>
      <c r="B3507" s="1" t="s">
        <v>4382</v>
      </c>
      <c r="C3507" s="1">
        <v>4400000</v>
      </c>
      <c r="D3507" s="1" t="s">
        <v>627</v>
      </c>
      <c r="E3507">
        <v>187.2921</v>
      </c>
      <c r="F3507" s="1" t="s">
        <v>12</v>
      </c>
      <c r="G3507">
        <v>48</v>
      </c>
      <c r="H3507">
        <v>15</v>
      </c>
      <c r="I3507" s="1" t="s">
        <v>46</v>
      </c>
      <c r="J3507">
        <v>3</v>
      </c>
      <c r="K3507" t="str">
        <f>IF(Tb_data[[#This Row],[previous_workers]]&lt;Tb_data[[#This Row],[workers]],"yes","no")</f>
        <v>yes</v>
      </c>
      <c r="L3507">
        <f>Tb_data[[#This Row],[workers]]-Tb_data[[#This Row],[previous_workers]]</f>
        <v>33</v>
      </c>
      <c r="M3507" s="12">
        <f>Tb_data[[#This Row],[Employees Growth]]/Tb_data[[#This Row],[previous_workers]]</f>
        <v>2.2000000000000002</v>
      </c>
    </row>
    <row r="3508" spans="1:13" x14ac:dyDescent="0.25">
      <c r="A3508" s="1" t="s">
        <v>4250</v>
      </c>
      <c r="B3508" s="1" t="s">
        <v>4251</v>
      </c>
      <c r="C3508" s="1">
        <v>25800000</v>
      </c>
      <c r="D3508" s="1" t="s">
        <v>49</v>
      </c>
      <c r="E3508">
        <v>193.90389999999999</v>
      </c>
      <c r="F3508" s="1" t="s">
        <v>112</v>
      </c>
      <c r="G3508">
        <v>98</v>
      </c>
      <c r="H3508">
        <v>48</v>
      </c>
      <c r="I3508" s="1" t="s">
        <v>35</v>
      </c>
      <c r="J3508">
        <v>5</v>
      </c>
      <c r="K3508" t="str">
        <f>IF(Tb_data[[#This Row],[previous_workers]]&lt;Tb_data[[#This Row],[workers]],"yes","no")</f>
        <v>yes</v>
      </c>
      <c r="L3508">
        <f>Tb_data[[#This Row],[workers]]-Tb_data[[#This Row],[previous_workers]]</f>
        <v>50</v>
      </c>
      <c r="M3508" s="12">
        <f>Tb_data[[#This Row],[Employees Growth]]/Tb_data[[#This Row],[previous_workers]]</f>
        <v>1.0416666666666667</v>
      </c>
    </row>
    <row r="3509" spans="1:13" x14ac:dyDescent="0.25">
      <c r="A3509" s="1" t="s">
        <v>170</v>
      </c>
      <c r="B3509" s="1" t="s">
        <v>171</v>
      </c>
      <c r="C3509" s="1">
        <v>58800000</v>
      </c>
      <c r="D3509" s="1" t="s">
        <v>20</v>
      </c>
      <c r="E3509">
        <v>4978.2687999999998</v>
      </c>
      <c r="F3509" s="1" t="s">
        <v>172</v>
      </c>
      <c r="G3509">
        <v>87</v>
      </c>
      <c r="H3509">
        <v>20</v>
      </c>
      <c r="I3509" s="1" t="s">
        <v>26</v>
      </c>
      <c r="J3509">
        <v>2</v>
      </c>
      <c r="K3509" t="str">
        <f>IF(Tb_data[[#This Row],[previous_workers]]&lt;Tb_data[[#This Row],[workers]],"yes","no")</f>
        <v>yes</v>
      </c>
      <c r="L3509">
        <f>Tb_data[[#This Row],[workers]]-Tb_data[[#This Row],[previous_workers]]</f>
        <v>67</v>
      </c>
      <c r="M3509" s="12">
        <f>Tb_data[[#This Row],[Employees Growth]]/Tb_data[[#This Row],[previous_workers]]</f>
        <v>3.35</v>
      </c>
    </row>
    <row r="3510" spans="1:13" x14ac:dyDescent="0.25">
      <c r="A3510" s="1" t="s">
        <v>3309</v>
      </c>
      <c r="B3510" s="1" t="s">
        <v>3310</v>
      </c>
      <c r="C3510" s="1">
        <v>33500000</v>
      </c>
      <c r="D3510" s="1" t="s">
        <v>61</v>
      </c>
      <c r="E3510">
        <v>258.202</v>
      </c>
      <c r="F3510" s="1" t="s">
        <v>169</v>
      </c>
      <c r="G3510">
        <v>470</v>
      </c>
      <c r="H3510">
        <v>150</v>
      </c>
      <c r="I3510" s="1" t="s">
        <v>1051</v>
      </c>
      <c r="J3510">
        <v>4</v>
      </c>
      <c r="K3510" t="str">
        <f>IF(Tb_data[[#This Row],[previous_workers]]&lt;Tb_data[[#This Row],[workers]],"yes","no")</f>
        <v>yes</v>
      </c>
      <c r="L3510">
        <f>Tb_data[[#This Row],[workers]]-Tb_data[[#This Row],[previous_workers]]</f>
        <v>320</v>
      </c>
      <c r="M3510" s="12">
        <f>Tb_data[[#This Row],[Employees Growth]]/Tb_data[[#This Row],[previous_workers]]</f>
        <v>2.1333333333333333</v>
      </c>
    </row>
    <row r="3511" spans="1:13" x14ac:dyDescent="0.25">
      <c r="A3511" s="1" t="s">
        <v>6207</v>
      </c>
      <c r="B3511" s="1" t="s">
        <v>6208</v>
      </c>
      <c r="C3511" s="1">
        <v>8100000</v>
      </c>
      <c r="D3511" s="1" t="s">
        <v>69</v>
      </c>
      <c r="E3511">
        <v>121.18049999999999</v>
      </c>
      <c r="F3511" s="1" t="s">
        <v>12</v>
      </c>
      <c r="G3511">
        <v>61</v>
      </c>
      <c r="H3511">
        <v>33</v>
      </c>
      <c r="I3511" s="1" t="s">
        <v>74</v>
      </c>
      <c r="J3511">
        <v>5</v>
      </c>
      <c r="K3511" t="str">
        <f>IF(Tb_data[[#This Row],[previous_workers]]&lt;Tb_data[[#This Row],[workers]],"yes","no")</f>
        <v>yes</v>
      </c>
      <c r="L3511">
        <f>Tb_data[[#This Row],[workers]]-Tb_data[[#This Row],[previous_workers]]</f>
        <v>28</v>
      </c>
      <c r="M3511" s="12">
        <f>Tb_data[[#This Row],[Employees Growth]]/Tb_data[[#This Row],[previous_workers]]</f>
        <v>0.84848484848484851</v>
      </c>
    </row>
    <row r="3512" spans="1:13" x14ac:dyDescent="0.25">
      <c r="A3512" s="1" t="s">
        <v>7445</v>
      </c>
      <c r="B3512" s="1" t="s">
        <v>7446</v>
      </c>
      <c r="C3512" s="1">
        <v>3000000</v>
      </c>
      <c r="D3512" s="1" t="s">
        <v>61</v>
      </c>
      <c r="E3512">
        <v>94.401799999999994</v>
      </c>
      <c r="F3512" s="1" t="s">
        <v>12</v>
      </c>
      <c r="G3512">
        <v>25</v>
      </c>
      <c r="H3512">
        <v>12</v>
      </c>
      <c r="I3512" s="1" t="s">
        <v>130</v>
      </c>
      <c r="J3512">
        <v>2</v>
      </c>
      <c r="K3512" t="str">
        <f>IF(Tb_data[[#This Row],[previous_workers]]&lt;Tb_data[[#This Row],[workers]],"yes","no")</f>
        <v>yes</v>
      </c>
      <c r="L3512">
        <f>Tb_data[[#This Row],[workers]]-Tb_data[[#This Row],[previous_workers]]</f>
        <v>13</v>
      </c>
      <c r="M3512" s="12">
        <f>Tb_data[[#This Row],[Employees Growth]]/Tb_data[[#This Row],[previous_workers]]</f>
        <v>1.0833333333333333</v>
      </c>
    </row>
    <row r="3513" spans="1:13" x14ac:dyDescent="0.25">
      <c r="A3513" s="1" t="s">
        <v>743</v>
      </c>
      <c r="B3513" s="1" t="s">
        <v>744</v>
      </c>
      <c r="C3513" s="1">
        <v>6800000</v>
      </c>
      <c r="D3513" s="1" t="s">
        <v>49</v>
      </c>
      <c r="E3513">
        <v>1417.8894</v>
      </c>
      <c r="F3513" s="1" t="s">
        <v>156</v>
      </c>
      <c r="G3513">
        <v>24</v>
      </c>
      <c r="H3513">
        <v>8</v>
      </c>
      <c r="I3513" s="1" t="s">
        <v>130</v>
      </c>
      <c r="J3513">
        <v>1</v>
      </c>
      <c r="K3513" t="str">
        <f>IF(Tb_data[[#This Row],[previous_workers]]&lt;Tb_data[[#This Row],[workers]],"yes","no")</f>
        <v>yes</v>
      </c>
      <c r="L3513">
        <f>Tb_data[[#This Row],[workers]]-Tb_data[[#This Row],[previous_workers]]</f>
        <v>16</v>
      </c>
      <c r="M3513" s="12">
        <f>Tb_data[[#This Row],[Employees Growth]]/Tb_data[[#This Row],[previous_workers]]</f>
        <v>2</v>
      </c>
    </row>
    <row r="3514" spans="1:13" x14ac:dyDescent="0.25">
      <c r="A3514" s="1" t="s">
        <v>448</v>
      </c>
      <c r="B3514" s="1" t="s">
        <v>449</v>
      </c>
      <c r="C3514" s="1">
        <v>12800000</v>
      </c>
      <c r="D3514" s="1" t="s">
        <v>58</v>
      </c>
      <c r="E3514">
        <v>2122.6612</v>
      </c>
      <c r="F3514" s="1" t="s">
        <v>86</v>
      </c>
      <c r="G3514">
        <v>100</v>
      </c>
      <c r="H3514">
        <v>15</v>
      </c>
      <c r="I3514" s="1" t="s">
        <v>147</v>
      </c>
      <c r="J3514">
        <v>2</v>
      </c>
      <c r="K3514" t="str">
        <f>IF(Tb_data[[#This Row],[previous_workers]]&lt;Tb_data[[#This Row],[workers]],"yes","no")</f>
        <v>yes</v>
      </c>
      <c r="L3514">
        <f>Tb_data[[#This Row],[workers]]-Tb_data[[#This Row],[previous_workers]]</f>
        <v>85</v>
      </c>
      <c r="M3514" s="12">
        <f>Tb_data[[#This Row],[Employees Growth]]/Tb_data[[#This Row],[previous_workers]]</f>
        <v>5.666666666666667</v>
      </c>
    </row>
    <row r="3515" spans="1:13" x14ac:dyDescent="0.25">
      <c r="A3515" s="1" t="s">
        <v>9540</v>
      </c>
      <c r="B3515" s="1" t="s">
        <v>9541</v>
      </c>
      <c r="C3515" s="1">
        <v>155500000</v>
      </c>
      <c r="D3515" s="1" t="s">
        <v>422</v>
      </c>
      <c r="E3515">
        <v>59.7682</v>
      </c>
      <c r="F3515" s="1" t="s">
        <v>112</v>
      </c>
      <c r="G3515">
        <v>1020</v>
      </c>
      <c r="H3515">
        <v>580</v>
      </c>
      <c r="I3515" s="1" t="s">
        <v>4024</v>
      </c>
      <c r="J3515">
        <v>1</v>
      </c>
      <c r="K3515" t="str">
        <f>IF(Tb_data[[#This Row],[previous_workers]]&lt;Tb_data[[#This Row],[workers]],"yes","no")</f>
        <v>yes</v>
      </c>
      <c r="L3515">
        <f>Tb_data[[#This Row],[workers]]-Tb_data[[#This Row],[previous_workers]]</f>
        <v>440</v>
      </c>
      <c r="M3515" s="12">
        <f>Tb_data[[#This Row],[Employees Growth]]/Tb_data[[#This Row],[previous_workers]]</f>
        <v>0.75862068965517238</v>
      </c>
    </row>
    <row r="3516" spans="1:13" x14ac:dyDescent="0.25">
      <c r="A3516" s="1" t="s">
        <v>5830</v>
      </c>
      <c r="B3516" s="1" t="s">
        <v>5831</v>
      </c>
      <c r="C3516" s="1">
        <v>5700000</v>
      </c>
      <c r="D3516" s="1" t="s">
        <v>664</v>
      </c>
      <c r="E3516">
        <v>130.51140000000001</v>
      </c>
      <c r="F3516" s="1" t="s">
        <v>514</v>
      </c>
      <c r="G3516">
        <v>51</v>
      </c>
      <c r="H3516">
        <v>28</v>
      </c>
      <c r="I3516" s="1" t="s">
        <v>35</v>
      </c>
      <c r="J3516">
        <v>4</v>
      </c>
      <c r="K3516" t="str">
        <f>IF(Tb_data[[#This Row],[previous_workers]]&lt;Tb_data[[#This Row],[workers]],"yes","no")</f>
        <v>yes</v>
      </c>
      <c r="L3516">
        <f>Tb_data[[#This Row],[workers]]-Tb_data[[#This Row],[previous_workers]]</f>
        <v>23</v>
      </c>
      <c r="M3516" s="12">
        <f>Tb_data[[#This Row],[Employees Growth]]/Tb_data[[#This Row],[previous_workers]]</f>
        <v>0.8214285714285714</v>
      </c>
    </row>
    <row r="3517" spans="1:13" x14ac:dyDescent="0.25">
      <c r="A3517" s="1" t="s">
        <v>9564</v>
      </c>
      <c r="B3517" s="1" t="s">
        <v>9565</v>
      </c>
      <c r="C3517" s="1">
        <v>4600000</v>
      </c>
      <c r="D3517" s="1" t="s">
        <v>49</v>
      </c>
      <c r="E3517">
        <v>59.517699999999998</v>
      </c>
      <c r="F3517" s="1" t="s">
        <v>124</v>
      </c>
      <c r="G3517">
        <v>45</v>
      </c>
      <c r="H3517">
        <v>25</v>
      </c>
      <c r="I3517" s="1" t="s">
        <v>55</v>
      </c>
      <c r="J3517">
        <v>3</v>
      </c>
      <c r="K3517" t="str">
        <f>IF(Tb_data[[#This Row],[previous_workers]]&lt;Tb_data[[#This Row],[workers]],"yes","no")</f>
        <v>yes</v>
      </c>
      <c r="L3517">
        <f>Tb_data[[#This Row],[workers]]-Tb_data[[#This Row],[previous_workers]]</f>
        <v>20</v>
      </c>
      <c r="M3517" s="12">
        <f>Tb_data[[#This Row],[Employees Growth]]/Tb_data[[#This Row],[previous_workers]]</f>
        <v>0.8</v>
      </c>
    </row>
    <row r="3518" spans="1:13" x14ac:dyDescent="0.25">
      <c r="A3518" s="1" t="s">
        <v>1150</v>
      </c>
      <c r="B3518" s="1" t="s">
        <v>1151</v>
      </c>
      <c r="C3518" s="1">
        <v>492500000</v>
      </c>
      <c r="D3518" s="1" t="s">
        <v>115</v>
      </c>
      <c r="E3518">
        <v>831.31809999999996</v>
      </c>
      <c r="F3518" s="1" t="s">
        <v>97</v>
      </c>
      <c r="G3518">
        <v>37</v>
      </c>
      <c r="H3518">
        <v>80</v>
      </c>
      <c r="I3518" s="1" t="s">
        <v>1051</v>
      </c>
      <c r="J3518">
        <v>2</v>
      </c>
      <c r="K3518" t="str">
        <f>IF(Tb_data[[#This Row],[previous_workers]]&lt;Tb_data[[#This Row],[workers]],"yes","no")</f>
        <v>no</v>
      </c>
      <c r="L3518">
        <f>Tb_data[[#This Row],[workers]]-Tb_data[[#This Row],[previous_workers]]</f>
        <v>-43</v>
      </c>
      <c r="M3518" s="12">
        <f>Tb_data[[#This Row],[Employees Growth]]/Tb_data[[#This Row],[previous_workers]]</f>
        <v>-0.53749999999999998</v>
      </c>
    </row>
    <row r="3519" spans="1:13" x14ac:dyDescent="0.25">
      <c r="A3519" s="1" t="s">
        <v>4222</v>
      </c>
      <c r="B3519" s="1" t="s">
        <v>4223</v>
      </c>
      <c r="C3519" s="1">
        <v>5000000</v>
      </c>
      <c r="D3519" s="1" t="s">
        <v>254</v>
      </c>
      <c r="E3519">
        <v>194.8681</v>
      </c>
      <c r="F3519" s="1" t="s">
        <v>156</v>
      </c>
      <c r="G3519">
        <v>20</v>
      </c>
      <c r="H3519">
        <v>8</v>
      </c>
      <c r="I3519" s="1" t="s">
        <v>35</v>
      </c>
      <c r="J3519">
        <v>1</v>
      </c>
      <c r="K3519" t="str">
        <f>IF(Tb_data[[#This Row],[previous_workers]]&lt;Tb_data[[#This Row],[workers]],"yes","no")</f>
        <v>yes</v>
      </c>
      <c r="L3519">
        <f>Tb_data[[#This Row],[workers]]-Tb_data[[#This Row],[previous_workers]]</f>
        <v>12</v>
      </c>
      <c r="M3519" s="12">
        <f>Tb_data[[#This Row],[Employees Growth]]/Tb_data[[#This Row],[previous_workers]]</f>
        <v>1.5</v>
      </c>
    </row>
    <row r="3520" spans="1:13" x14ac:dyDescent="0.25">
      <c r="A3520" s="1" t="s">
        <v>9339</v>
      </c>
      <c r="B3520" s="1" t="s">
        <v>9340</v>
      </c>
      <c r="C3520" s="1">
        <v>10900000</v>
      </c>
      <c r="D3520" s="1" t="s">
        <v>500</v>
      </c>
      <c r="E3520">
        <v>62.354500000000002</v>
      </c>
      <c r="F3520" s="1" t="s">
        <v>86</v>
      </c>
      <c r="G3520">
        <v>66</v>
      </c>
      <c r="H3520">
        <v>30</v>
      </c>
      <c r="I3520" s="1" t="s">
        <v>229</v>
      </c>
      <c r="J3520">
        <v>6</v>
      </c>
      <c r="K3520" t="str">
        <f>IF(Tb_data[[#This Row],[previous_workers]]&lt;Tb_data[[#This Row],[workers]],"yes","no")</f>
        <v>yes</v>
      </c>
      <c r="L3520">
        <f>Tb_data[[#This Row],[workers]]-Tb_data[[#This Row],[previous_workers]]</f>
        <v>36</v>
      </c>
      <c r="M3520" s="12">
        <f>Tb_data[[#This Row],[Employees Growth]]/Tb_data[[#This Row],[previous_workers]]</f>
        <v>1.2</v>
      </c>
    </row>
    <row r="3521" spans="1:13" x14ac:dyDescent="0.25">
      <c r="A3521" s="1" t="s">
        <v>1531</v>
      </c>
      <c r="B3521" s="1" t="s">
        <v>1532</v>
      </c>
      <c r="C3521" s="1">
        <v>30800000</v>
      </c>
      <c r="D3521" s="1" t="s">
        <v>49</v>
      </c>
      <c r="E3521">
        <v>613.11260000000004</v>
      </c>
      <c r="F3521" s="1" t="s">
        <v>135</v>
      </c>
      <c r="G3521">
        <v>353</v>
      </c>
      <c r="H3521">
        <v>83</v>
      </c>
      <c r="I3521" s="1" t="s">
        <v>164</v>
      </c>
      <c r="J3521">
        <v>3</v>
      </c>
      <c r="K3521" t="str">
        <f>IF(Tb_data[[#This Row],[previous_workers]]&lt;Tb_data[[#This Row],[workers]],"yes","no")</f>
        <v>yes</v>
      </c>
      <c r="L3521">
        <f>Tb_data[[#This Row],[workers]]-Tb_data[[#This Row],[previous_workers]]</f>
        <v>270</v>
      </c>
      <c r="M3521" s="12">
        <f>Tb_data[[#This Row],[Employees Growth]]/Tb_data[[#This Row],[previous_workers]]</f>
        <v>3.2530120481927711</v>
      </c>
    </row>
    <row r="3522" spans="1:13" x14ac:dyDescent="0.25">
      <c r="A3522" s="1" t="s">
        <v>7713</v>
      </c>
      <c r="B3522" s="1" t="s">
        <v>7714</v>
      </c>
      <c r="C3522" s="1">
        <v>9700000</v>
      </c>
      <c r="D3522" s="1" t="s">
        <v>45</v>
      </c>
      <c r="E3522">
        <v>87.840699999999998</v>
      </c>
      <c r="F3522" s="1" t="s">
        <v>112</v>
      </c>
      <c r="G3522">
        <v>26</v>
      </c>
      <c r="H3522">
        <v>20</v>
      </c>
      <c r="I3522" s="1" t="s">
        <v>4084</v>
      </c>
      <c r="J3522">
        <v>4</v>
      </c>
      <c r="K3522" t="str">
        <f>IF(Tb_data[[#This Row],[previous_workers]]&lt;Tb_data[[#This Row],[workers]],"yes","no")</f>
        <v>yes</v>
      </c>
      <c r="L3522">
        <f>Tb_data[[#This Row],[workers]]-Tb_data[[#This Row],[previous_workers]]</f>
        <v>6</v>
      </c>
      <c r="M3522" s="12">
        <f>Tb_data[[#This Row],[Employees Growth]]/Tb_data[[#This Row],[previous_workers]]</f>
        <v>0.3</v>
      </c>
    </row>
    <row r="3523" spans="1:13" x14ac:dyDescent="0.25">
      <c r="A3523" s="1" t="s">
        <v>9852</v>
      </c>
      <c r="B3523" s="1" t="s">
        <v>9853</v>
      </c>
      <c r="C3523" s="1">
        <v>2200000</v>
      </c>
      <c r="D3523" s="1" t="s">
        <v>33</v>
      </c>
      <c r="E3523">
        <v>55.965699999999998</v>
      </c>
      <c r="F3523" s="1" t="s">
        <v>176</v>
      </c>
      <c r="G3523">
        <v>16</v>
      </c>
      <c r="H3523">
        <v>12</v>
      </c>
      <c r="I3523" s="1" t="s">
        <v>46</v>
      </c>
      <c r="J3523">
        <v>1</v>
      </c>
      <c r="K3523" t="str">
        <f>IF(Tb_data[[#This Row],[previous_workers]]&lt;Tb_data[[#This Row],[workers]],"yes","no")</f>
        <v>yes</v>
      </c>
      <c r="L3523">
        <f>Tb_data[[#This Row],[workers]]-Tb_data[[#This Row],[previous_workers]]</f>
        <v>4</v>
      </c>
      <c r="M3523" s="12">
        <f>Tb_data[[#This Row],[Employees Growth]]/Tb_data[[#This Row],[previous_workers]]</f>
        <v>0.33333333333333331</v>
      </c>
    </row>
    <row r="3524" spans="1:13" x14ac:dyDescent="0.25">
      <c r="A3524" s="1" t="s">
        <v>1039</v>
      </c>
      <c r="B3524" s="1" t="s">
        <v>1040</v>
      </c>
      <c r="C3524" s="1">
        <v>40000000</v>
      </c>
      <c r="D3524" s="1" t="s">
        <v>52</v>
      </c>
      <c r="E3524">
        <v>957.06209999999999</v>
      </c>
      <c r="F3524" s="1" t="s">
        <v>17</v>
      </c>
      <c r="G3524">
        <v>170</v>
      </c>
      <c r="H3524">
        <v>35</v>
      </c>
      <c r="I3524" s="1" t="s">
        <v>35</v>
      </c>
      <c r="J3524">
        <v>1</v>
      </c>
      <c r="K3524" t="str">
        <f>IF(Tb_data[[#This Row],[previous_workers]]&lt;Tb_data[[#This Row],[workers]],"yes","no")</f>
        <v>yes</v>
      </c>
      <c r="L3524">
        <f>Tb_data[[#This Row],[workers]]-Tb_data[[#This Row],[previous_workers]]</f>
        <v>135</v>
      </c>
      <c r="M3524" s="12">
        <f>Tb_data[[#This Row],[Employees Growth]]/Tb_data[[#This Row],[previous_workers]]</f>
        <v>3.8571428571428572</v>
      </c>
    </row>
    <row r="3525" spans="1:13" x14ac:dyDescent="0.25">
      <c r="A3525" s="1" t="s">
        <v>5132</v>
      </c>
      <c r="B3525" s="1" t="s">
        <v>5133</v>
      </c>
      <c r="C3525" s="1">
        <v>2800000</v>
      </c>
      <c r="D3525" s="1" t="s">
        <v>115</v>
      </c>
      <c r="E3525">
        <v>156.2764</v>
      </c>
      <c r="F3525" s="1" t="s">
        <v>30</v>
      </c>
      <c r="G3525">
        <v>15</v>
      </c>
      <c r="H3525">
        <v>3</v>
      </c>
      <c r="I3525" s="1" t="s">
        <v>117</v>
      </c>
      <c r="J3525">
        <v>1</v>
      </c>
      <c r="K3525" t="str">
        <f>IF(Tb_data[[#This Row],[previous_workers]]&lt;Tb_data[[#This Row],[workers]],"yes","no")</f>
        <v>yes</v>
      </c>
      <c r="L3525">
        <f>Tb_data[[#This Row],[workers]]-Tb_data[[#This Row],[previous_workers]]</f>
        <v>12</v>
      </c>
      <c r="M3525" s="12">
        <f>Tb_data[[#This Row],[Employees Growth]]/Tb_data[[#This Row],[previous_workers]]</f>
        <v>4</v>
      </c>
    </row>
    <row r="3526" spans="1:13" x14ac:dyDescent="0.25">
      <c r="A3526" s="1" t="s">
        <v>1405</v>
      </c>
      <c r="B3526" s="1" t="s">
        <v>1406</v>
      </c>
      <c r="C3526" s="1">
        <v>22300000</v>
      </c>
      <c r="D3526" s="1" t="s">
        <v>52</v>
      </c>
      <c r="E3526">
        <v>674.93600000000004</v>
      </c>
      <c r="F3526" s="1" t="s">
        <v>34</v>
      </c>
      <c r="G3526">
        <v>65</v>
      </c>
      <c r="H3526">
        <v>10</v>
      </c>
      <c r="I3526" s="1" t="s">
        <v>295</v>
      </c>
      <c r="J3526">
        <v>1</v>
      </c>
      <c r="K3526" t="str">
        <f>IF(Tb_data[[#This Row],[previous_workers]]&lt;Tb_data[[#This Row],[workers]],"yes","no")</f>
        <v>yes</v>
      </c>
      <c r="L3526">
        <f>Tb_data[[#This Row],[workers]]-Tb_data[[#This Row],[previous_workers]]</f>
        <v>55</v>
      </c>
      <c r="M3526" s="12">
        <f>Tb_data[[#This Row],[Employees Growth]]/Tb_data[[#This Row],[previous_workers]]</f>
        <v>5.5</v>
      </c>
    </row>
    <row r="3527" spans="1:13" x14ac:dyDescent="0.25">
      <c r="A3527" s="1" t="s">
        <v>4347</v>
      </c>
      <c r="B3527" s="1" t="s">
        <v>4348</v>
      </c>
      <c r="C3527" s="1">
        <v>24300000</v>
      </c>
      <c r="D3527" s="1" t="s">
        <v>49</v>
      </c>
      <c r="E3527">
        <v>188.95570000000001</v>
      </c>
      <c r="F3527" s="1" t="s">
        <v>86</v>
      </c>
      <c r="G3527">
        <v>138</v>
      </c>
      <c r="H3527">
        <v>86</v>
      </c>
      <c r="I3527" s="1" t="s">
        <v>117</v>
      </c>
      <c r="J3527">
        <v>1</v>
      </c>
      <c r="K3527" t="str">
        <f>IF(Tb_data[[#This Row],[previous_workers]]&lt;Tb_data[[#This Row],[workers]],"yes","no")</f>
        <v>yes</v>
      </c>
      <c r="L3527">
        <f>Tb_data[[#This Row],[workers]]-Tb_data[[#This Row],[previous_workers]]</f>
        <v>52</v>
      </c>
      <c r="M3527" s="12">
        <f>Tb_data[[#This Row],[Employees Growth]]/Tb_data[[#This Row],[previous_workers]]</f>
        <v>0.60465116279069764</v>
      </c>
    </row>
    <row r="3528" spans="1:13" x14ac:dyDescent="0.25">
      <c r="A3528" s="1" t="s">
        <v>547</v>
      </c>
      <c r="B3528" s="1" t="s">
        <v>548</v>
      </c>
      <c r="C3528" s="1">
        <v>2900000</v>
      </c>
      <c r="D3528" s="1" t="s">
        <v>129</v>
      </c>
      <c r="E3528">
        <v>1797.1431</v>
      </c>
      <c r="F3528" s="1" t="s">
        <v>34</v>
      </c>
      <c r="G3528">
        <v>33</v>
      </c>
      <c r="H3528">
        <v>3</v>
      </c>
      <c r="I3528" s="1" t="s">
        <v>13</v>
      </c>
      <c r="J3528">
        <v>1</v>
      </c>
      <c r="K3528" t="str">
        <f>IF(Tb_data[[#This Row],[previous_workers]]&lt;Tb_data[[#This Row],[workers]],"yes","no")</f>
        <v>yes</v>
      </c>
      <c r="L3528">
        <f>Tb_data[[#This Row],[workers]]-Tb_data[[#This Row],[previous_workers]]</f>
        <v>30</v>
      </c>
      <c r="M3528" s="12">
        <f>Tb_data[[#This Row],[Employees Growth]]/Tb_data[[#This Row],[previous_workers]]</f>
        <v>10</v>
      </c>
    </row>
    <row r="3529" spans="1:13" x14ac:dyDescent="0.25">
      <c r="A3529" s="1" t="s">
        <v>436</v>
      </c>
      <c r="B3529" s="1" t="s">
        <v>437</v>
      </c>
      <c r="C3529" s="1">
        <v>3300000</v>
      </c>
      <c r="D3529" s="1" t="s">
        <v>61</v>
      </c>
      <c r="E3529">
        <v>2205.1824000000001</v>
      </c>
      <c r="F3529" s="1" t="s">
        <v>12</v>
      </c>
      <c r="G3529">
        <v>9</v>
      </c>
      <c r="H3529">
        <v>2</v>
      </c>
      <c r="I3529" s="1" t="s">
        <v>13</v>
      </c>
      <c r="J3529">
        <v>1</v>
      </c>
      <c r="K3529" t="str">
        <f>IF(Tb_data[[#This Row],[previous_workers]]&lt;Tb_data[[#This Row],[workers]],"yes","no")</f>
        <v>yes</v>
      </c>
      <c r="L3529">
        <f>Tb_data[[#This Row],[workers]]-Tb_data[[#This Row],[previous_workers]]</f>
        <v>7</v>
      </c>
      <c r="M3529" s="12">
        <f>Tb_data[[#This Row],[Employees Growth]]/Tb_data[[#This Row],[previous_workers]]</f>
        <v>3.5</v>
      </c>
    </row>
    <row r="3530" spans="1:13" x14ac:dyDescent="0.25">
      <c r="A3530" s="1" t="s">
        <v>2389</v>
      </c>
      <c r="B3530" s="1" t="s">
        <v>2390</v>
      </c>
      <c r="C3530" s="1">
        <v>2200000</v>
      </c>
      <c r="D3530" s="1" t="s">
        <v>58</v>
      </c>
      <c r="E3530">
        <v>367.1438</v>
      </c>
      <c r="F3530" s="1" t="s">
        <v>97</v>
      </c>
      <c r="G3530">
        <v>42</v>
      </c>
      <c r="H3530">
        <v>7</v>
      </c>
      <c r="I3530" s="1" t="s">
        <v>35</v>
      </c>
      <c r="J3530">
        <v>1</v>
      </c>
      <c r="K3530" t="str">
        <f>IF(Tb_data[[#This Row],[previous_workers]]&lt;Tb_data[[#This Row],[workers]],"yes","no")</f>
        <v>yes</v>
      </c>
      <c r="L3530">
        <f>Tb_data[[#This Row],[workers]]-Tb_data[[#This Row],[previous_workers]]</f>
        <v>35</v>
      </c>
      <c r="M3530" s="12">
        <f>Tb_data[[#This Row],[Employees Growth]]/Tb_data[[#This Row],[previous_workers]]</f>
        <v>5</v>
      </c>
    </row>
    <row r="3531" spans="1:13" x14ac:dyDescent="0.25">
      <c r="A3531" s="1" t="s">
        <v>4411</v>
      </c>
      <c r="B3531" s="1" t="s">
        <v>4412</v>
      </c>
      <c r="C3531" s="1">
        <v>10000000</v>
      </c>
      <c r="D3531" s="1" t="s">
        <v>52</v>
      </c>
      <c r="E3531">
        <v>186.29859999999999</v>
      </c>
      <c r="F3531" s="1" t="s">
        <v>86</v>
      </c>
      <c r="G3531">
        <v>17</v>
      </c>
      <c r="H3531">
        <v>12</v>
      </c>
      <c r="I3531" s="1" t="s">
        <v>130</v>
      </c>
      <c r="J3531">
        <v>1</v>
      </c>
      <c r="K3531" t="str">
        <f>IF(Tb_data[[#This Row],[previous_workers]]&lt;Tb_data[[#This Row],[workers]],"yes","no")</f>
        <v>yes</v>
      </c>
      <c r="L3531">
        <f>Tb_data[[#This Row],[workers]]-Tb_data[[#This Row],[previous_workers]]</f>
        <v>5</v>
      </c>
      <c r="M3531" s="12">
        <f>Tb_data[[#This Row],[Employees Growth]]/Tb_data[[#This Row],[previous_workers]]</f>
        <v>0.41666666666666669</v>
      </c>
    </row>
    <row r="3532" spans="1:13" x14ac:dyDescent="0.25">
      <c r="A3532" s="1" t="s">
        <v>6117</v>
      </c>
      <c r="B3532" s="1" t="s">
        <v>6118</v>
      </c>
      <c r="C3532" s="1">
        <v>4600000</v>
      </c>
      <c r="D3532" s="1" t="s">
        <v>33</v>
      </c>
      <c r="E3532">
        <v>123.3031</v>
      </c>
      <c r="F3532" s="1" t="s">
        <v>112</v>
      </c>
      <c r="G3532">
        <v>26</v>
      </c>
      <c r="H3532">
        <v>20</v>
      </c>
      <c r="I3532" s="1" t="s">
        <v>1657</v>
      </c>
      <c r="J3532">
        <v>1</v>
      </c>
      <c r="K3532" t="str">
        <f>IF(Tb_data[[#This Row],[previous_workers]]&lt;Tb_data[[#This Row],[workers]],"yes","no")</f>
        <v>yes</v>
      </c>
      <c r="L3532">
        <f>Tb_data[[#This Row],[workers]]-Tb_data[[#This Row],[previous_workers]]</f>
        <v>6</v>
      </c>
      <c r="M3532" s="12">
        <f>Tb_data[[#This Row],[Employees Growth]]/Tb_data[[#This Row],[previous_workers]]</f>
        <v>0.3</v>
      </c>
    </row>
    <row r="3533" spans="1:13" x14ac:dyDescent="0.25">
      <c r="A3533" s="1" t="s">
        <v>7032</v>
      </c>
      <c r="B3533" s="1" t="s">
        <v>7033</v>
      </c>
      <c r="C3533" s="1">
        <v>3500000</v>
      </c>
      <c r="D3533" s="1" t="s">
        <v>69</v>
      </c>
      <c r="E3533">
        <v>101.3948</v>
      </c>
      <c r="F3533" s="1" t="s">
        <v>17</v>
      </c>
      <c r="G3533">
        <v>62</v>
      </c>
      <c r="H3533">
        <v>31</v>
      </c>
      <c r="I3533" s="1" t="s">
        <v>35</v>
      </c>
      <c r="J3533">
        <v>3</v>
      </c>
      <c r="K3533" t="str">
        <f>IF(Tb_data[[#This Row],[previous_workers]]&lt;Tb_data[[#This Row],[workers]],"yes","no")</f>
        <v>yes</v>
      </c>
      <c r="L3533">
        <f>Tb_data[[#This Row],[workers]]-Tb_data[[#This Row],[previous_workers]]</f>
        <v>31</v>
      </c>
      <c r="M3533" s="12">
        <f>Tb_data[[#This Row],[Employees Growth]]/Tb_data[[#This Row],[previous_workers]]</f>
        <v>1</v>
      </c>
    </row>
    <row r="3534" spans="1:13" x14ac:dyDescent="0.25">
      <c r="A3534" s="1" t="s">
        <v>3429</v>
      </c>
      <c r="B3534" s="1" t="s">
        <v>3430</v>
      </c>
      <c r="C3534" s="1">
        <v>5000000</v>
      </c>
      <c r="D3534" s="1" t="s">
        <v>175</v>
      </c>
      <c r="E3534">
        <v>249.29390000000001</v>
      </c>
      <c r="F3534" s="1" t="s">
        <v>97</v>
      </c>
      <c r="G3534">
        <v>26</v>
      </c>
      <c r="H3534">
        <v>13</v>
      </c>
      <c r="I3534" s="1" t="s">
        <v>164</v>
      </c>
      <c r="J3534">
        <v>1</v>
      </c>
      <c r="K3534" t="str">
        <f>IF(Tb_data[[#This Row],[previous_workers]]&lt;Tb_data[[#This Row],[workers]],"yes","no")</f>
        <v>yes</v>
      </c>
      <c r="L3534">
        <f>Tb_data[[#This Row],[workers]]-Tb_data[[#This Row],[previous_workers]]</f>
        <v>13</v>
      </c>
      <c r="M3534" s="12">
        <f>Tb_data[[#This Row],[Employees Growth]]/Tb_data[[#This Row],[previous_workers]]</f>
        <v>1</v>
      </c>
    </row>
    <row r="3535" spans="1:13" x14ac:dyDescent="0.25">
      <c r="A3535" s="1" t="s">
        <v>5308</v>
      </c>
      <c r="B3535" s="1" t="s">
        <v>5309</v>
      </c>
      <c r="C3535" s="1">
        <v>2500000</v>
      </c>
      <c r="D3535" s="1" t="s">
        <v>38</v>
      </c>
      <c r="E3535">
        <v>149.45439999999999</v>
      </c>
      <c r="F3535" s="1" t="s">
        <v>176</v>
      </c>
      <c r="G3535">
        <v>19</v>
      </c>
      <c r="H3535">
        <v>7</v>
      </c>
      <c r="I3535" s="1" t="s">
        <v>55</v>
      </c>
      <c r="J3535">
        <v>2</v>
      </c>
      <c r="K3535" t="str">
        <f>IF(Tb_data[[#This Row],[previous_workers]]&lt;Tb_data[[#This Row],[workers]],"yes","no")</f>
        <v>yes</v>
      </c>
      <c r="L3535">
        <f>Tb_data[[#This Row],[workers]]-Tb_data[[#This Row],[previous_workers]]</f>
        <v>12</v>
      </c>
      <c r="M3535" s="12">
        <f>Tb_data[[#This Row],[Employees Growth]]/Tb_data[[#This Row],[previous_workers]]</f>
        <v>1.7142857142857142</v>
      </c>
    </row>
    <row r="3536" spans="1:13" x14ac:dyDescent="0.25">
      <c r="A3536" s="1" t="s">
        <v>6465</v>
      </c>
      <c r="B3536" s="1" t="s">
        <v>6466</v>
      </c>
      <c r="C3536" s="1">
        <v>18400000</v>
      </c>
      <c r="D3536" s="1" t="s">
        <v>49</v>
      </c>
      <c r="E3536">
        <v>114.968</v>
      </c>
      <c r="F3536" s="1" t="s">
        <v>25</v>
      </c>
      <c r="G3536">
        <v>19</v>
      </c>
      <c r="H3536">
        <v>20</v>
      </c>
      <c r="I3536" s="1" t="s">
        <v>147</v>
      </c>
      <c r="J3536">
        <v>7</v>
      </c>
      <c r="K3536" t="str">
        <f>IF(Tb_data[[#This Row],[previous_workers]]&lt;Tb_data[[#This Row],[workers]],"yes","no")</f>
        <v>no</v>
      </c>
      <c r="L3536">
        <f>Tb_data[[#This Row],[workers]]-Tb_data[[#This Row],[previous_workers]]</f>
        <v>-1</v>
      </c>
      <c r="M3536" s="12">
        <f>Tb_data[[#This Row],[Employees Growth]]/Tb_data[[#This Row],[previous_workers]]</f>
        <v>-0.05</v>
      </c>
    </row>
    <row r="3537" spans="1:13" x14ac:dyDescent="0.25">
      <c r="A3537" s="1" t="s">
        <v>192</v>
      </c>
      <c r="B3537" s="1" t="s">
        <v>193</v>
      </c>
      <c r="C3537" s="1">
        <v>44600000</v>
      </c>
      <c r="D3537" s="1" t="s">
        <v>58</v>
      </c>
      <c r="E3537">
        <v>4442.2488000000003</v>
      </c>
      <c r="F3537" s="1" t="s">
        <v>112</v>
      </c>
      <c r="G3537">
        <v>100</v>
      </c>
      <c r="H3537">
        <v>3</v>
      </c>
      <c r="I3537" s="1" t="s">
        <v>194</v>
      </c>
      <c r="J3537">
        <v>1</v>
      </c>
      <c r="K3537" t="str">
        <f>IF(Tb_data[[#This Row],[previous_workers]]&lt;Tb_data[[#This Row],[workers]],"yes","no")</f>
        <v>yes</v>
      </c>
      <c r="L3537">
        <f>Tb_data[[#This Row],[workers]]-Tb_data[[#This Row],[previous_workers]]</f>
        <v>97</v>
      </c>
      <c r="M3537" s="12">
        <f>Tb_data[[#This Row],[Employees Growth]]/Tb_data[[#This Row],[previous_workers]]</f>
        <v>32.333333333333336</v>
      </c>
    </row>
    <row r="3538" spans="1:13" x14ac:dyDescent="0.25">
      <c r="A3538" s="1" t="s">
        <v>814</v>
      </c>
      <c r="B3538" s="1" t="s">
        <v>815</v>
      </c>
      <c r="C3538" s="1">
        <v>8800000</v>
      </c>
      <c r="D3538" s="1" t="s">
        <v>49</v>
      </c>
      <c r="E3538">
        <v>1255.0319</v>
      </c>
      <c r="F3538" s="1" t="s">
        <v>25</v>
      </c>
      <c r="G3538">
        <v>17</v>
      </c>
      <c r="H3538">
        <v>3</v>
      </c>
      <c r="I3538" s="1" t="s">
        <v>26</v>
      </c>
      <c r="J3538">
        <v>1</v>
      </c>
      <c r="K3538" t="str">
        <f>IF(Tb_data[[#This Row],[previous_workers]]&lt;Tb_data[[#This Row],[workers]],"yes","no")</f>
        <v>yes</v>
      </c>
      <c r="L3538">
        <f>Tb_data[[#This Row],[workers]]-Tb_data[[#This Row],[previous_workers]]</f>
        <v>14</v>
      </c>
      <c r="M3538" s="12">
        <f>Tb_data[[#This Row],[Employees Growth]]/Tb_data[[#This Row],[previous_workers]]</f>
        <v>4.666666666666667</v>
      </c>
    </row>
    <row r="3539" spans="1:13" x14ac:dyDescent="0.25">
      <c r="A3539" s="1" t="s">
        <v>9519</v>
      </c>
      <c r="B3539" s="1" t="s">
        <v>9520</v>
      </c>
      <c r="C3539" s="1">
        <v>12500000</v>
      </c>
      <c r="D3539" s="1" t="s">
        <v>20</v>
      </c>
      <c r="E3539">
        <v>60.043599999999998</v>
      </c>
      <c r="F3539" s="1" t="s">
        <v>25</v>
      </c>
      <c r="G3539">
        <v>82</v>
      </c>
      <c r="H3539">
        <v>46</v>
      </c>
      <c r="I3539" s="1" t="s">
        <v>372</v>
      </c>
      <c r="J3539">
        <v>1</v>
      </c>
      <c r="K3539" t="str">
        <f>IF(Tb_data[[#This Row],[previous_workers]]&lt;Tb_data[[#This Row],[workers]],"yes","no")</f>
        <v>yes</v>
      </c>
      <c r="L3539">
        <f>Tb_data[[#This Row],[workers]]-Tb_data[[#This Row],[previous_workers]]</f>
        <v>36</v>
      </c>
      <c r="M3539" s="12">
        <f>Tb_data[[#This Row],[Employees Growth]]/Tb_data[[#This Row],[previous_workers]]</f>
        <v>0.78260869565217395</v>
      </c>
    </row>
    <row r="3540" spans="1:13" x14ac:dyDescent="0.25">
      <c r="A3540" s="1" t="s">
        <v>519</v>
      </c>
      <c r="B3540" s="1" t="s">
        <v>520</v>
      </c>
      <c r="C3540" s="1">
        <v>31500000</v>
      </c>
      <c r="D3540" s="1" t="s">
        <v>483</v>
      </c>
      <c r="E3540">
        <v>1915.1007</v>
      </c>
      <c r="F3540" s="1" t="s">
        <v>86</v>
      </c>
      <c r="G3540">
        <v>54</v>
      </c>
      <c r="H3540">
        <v>21</v>
      </c>
      <c r="I3540" s="1" t="s">
        <v>164</v>
      </c>
      <c r="J3540">
        <v>2</v>
      </c>
      <c r="K3540" t="str">
        <f>IF(Tb_data[[#This Row],[previous_workers]]&lt;Tb_data[[#This Row],[workers]],"yes","no")</f>
        <v>yes</v>
      </c>
      <c r="L3540">
        <f>Tb_data[[#This Row],[workers]]-Tb_data[[#This Row],[previous_workers]]</f>
        <v>33</v>
      </c>
      <c r="M3540" s="12">
        <f>Tb_data[[#This Row],[Employees Growth]]/Tb_data[[#This Row],[previous_workers]]</f>
        <v>1.5714285714285714</v>
      </c>
    </row>
    <row r="3541" spans="1:13" x14ac:dyDescent="0.25">
      <c r="A3541" s="1" t="s">
        <v>1939</v>
      </c>
      <c r="B3541" s="1" t="s">
        <v>1940</v>
      </c>
      <c r="C3541" s="1">
        <v>33600000</v>
      </c>
      <c r="D3541" s="1" t="s">
        <v>387</v>
      </c>
      <c r="E3541">
        <v>464.84649999999999</v>
      </c>
      <c r="F3541" s="1" t="s">
        <v>310</v>
      </c>
      <c r="G3541">
        <v>40</v>
      </c>
      <c r="H3541">
        <v>10</v>
      </c>
      <c r="I3541" s="1" t="s">
        <v>117</v>
      </c>
      <c r="J3541">
        <v>1</v>
      </c>
      <c r="K3541" t="str">
        <f>IF(Tb_data[[#This Row],[previous_workers]]&lt;Tb_data[[#This Row],[workers]],"yes","no")</f>
        <v>yes</v>
      </c>
      <c r="L3541">
        <f>Tb_data[[#This Row],[workers]]-Tb_data[[#This Row],[previous_workers]]</f>
        <v>30</v>
      </c>
      <c r="M3541" s="12">
        <f>Tb_data[[#This Row],[Employees Growth]]/Tb_data[[#This Row],[previous_workers]]</f>
        <v>3</v>
      </c>
    </row>
    <row r="3542" spans="1:13" x14ac:dyDescent="0.25">
      <c r="A3542" s="1" t="s">
        <v>5646</v>
      </c>
      <c r="B3542" s="1" t="s">
        <v>5647</v>
      </c>
      <c r="C3542" s="1">
        <v>13700000</v>
      </c>
      <c r="D3542" s="1" t="s">
        <v>58</v>
      </c>
      <c r="E3542">
        <v>136.1473</v>
      </c>
      <c r="F3542" s="1" t="s">
        <v>62</v>
      </c>
      <c r="G3542">
        <v>33</v>
      </c>
      <c r="H3542">
        <v>14</v>
      </c>
      <c r="I3542" s="1" t="s">
        <v>35</v>
      </c>
      <c r="J3542">
        <v>3</v>
      </c>
      <c r="K3542" t="str">
        <f>IF(Tb_data[[#This Row],[previous_workers]]&lt;Tb_data[[#This Row],[workers]],"yes","no")</f>
        <v>yes</v>
      </c>
      <c r="L3542">
        <f>Tb_data[[#This Row],[workers]]-Tb_data[[#This Row],[previous_workers]]</f>
        <v>19</v>
      </c>
      <c r="M3542" s="12">
        <f>Tb_data[[#This Row],[Employees Growth]]/Tb_data[[#This Row],[previous_workers]]</f>
        <v>1.3571428571428572</v>
      </c>
    </row>
    <row r="3543" spans="1:13" x14ac:dyDescent="0.25">
      <c r="A3543" s="1" t="s">
        <v>3388</v>
      </c>
      <c r="B3543" s="1" t="s">
        <v>3389</v>
      </c>
      <c r="C3543" s="1">
        <v>28300000</v>
      </c>
      <c r="D3543" s="1" t="s">
        <v>49</v>
      </c>
      <c r="E3543">
        <v>253.06059999999999</v>
      </c>
      <c r="F3543" s="1" t="s">
        <v>12</v>
      </c>
      <c r="G3543">
        <v>9</v>
      </c>
      <c r="H3543">
        <v>2</v>
      </c>
      <c r="I3543" s="1" t="s">
        <v>147</v>
      </c>
      <c r="J3543">
        <v>5</v>
      </c>
      <c r="K3543" t="str">
        <f>IF(Tb_data[[#This Row],[previous_workers]]&lt;Tb_data[[#This Row],[workers]],"yes","no")</f>
        <v>yes</v>
      </c>
      <c r="L3543">
        <f>Tb_data[[#This Row],[workers]]-Tb_data[[#This Row],[previous_workers]]</f>
        <v>7</v>
      </c>
      <c r="M3543" s="12">
        <f>Tb_data[[#This Row],[Employees Growth]]/Tb_data[[#This Row],[previous_workers]]</f>
        <v>3.5</v>
      </c>
    </row>
    <row r="3544" spans="1:13" x14ac:dyDescent="0.25">
      <c r="A3544" s="1" t="s">
        <v>3339</v>
      </c>
      <c r="B3544" s="1" t="s">
        <v>3340</v>
      </c>
      <c r="C3544" s="1">
        <v>12100000</v>
      </c>
      <c r="D3544" s="1" t="s">
        <v>33</v>
      </c>
      <c r="E3544">
        <v>256.3098</v>
      </c>
      <c r="F3544" s="1" t="s">
        <v>124</v>
      </c>
      <c r="G3544">
        <v>5</v>
      </c>
      <c r="H3544">
        <v>2</v>
      </c>
      <c r="I3544" s="1" t="s">
        <v>130</v>
      </c>
      <c r="J3544">
        <v>2</v>
      </c>
      <c r="K3544" t="str">
        <f>IF(Tb_data[[#This Row],[previous_workers]]&lt;Tb_data[[#This Row],[workers]],"yes","no")</f>
        <v>yes</v>
      </c>
      <c r="L3544">
        <f>Tb_data[[#This Row],[workers]]-Tb_data[[#This Row],[previous_workers]]</f>
        <v>3</v>
      </c>
      <c r="M3544" s="12">
        <f>Tb_data[[#This Row],[Employees Growth]]/Tb_data[[#This Row],[previous_workers]]</f>
        <v>1.5</v>
      </c>
    </row>
    <row r="3545" spans="1:13" x14ac:dyDescent="0.25">
      <c r="A3545" s="1" t="s">
        <v>4627</v>
      </c>
      <c r="B3545" s="1" t="s">
        <v>4628</v>
      </c>
      <c r="C3545" s="1">
        <v>29800000</v>
      </c>
      <c r="D3545" s="1" t="s">
        <v>33</v>
      </c>
      <c r="E3545">
        <v>176.97989999999999</v>
      </c>
      <c r="F3545" s="1" t="s">
        <v>30</v>
      </c>
      <c r="G3545">
        <v>80</v>
      </c>
      <c r="H3545">
        <v>30</v>
      </c>
      <c r="I3545" s="1" t="s">
        <v>117</v>
      </c>
      <c r="J3545">
        <v>4</v>
      </c>
      <c r="K3545" t="str">
        <f>IF(Tb_data[[#This Row],[previous_workers]]&lt;Tb_data[[#This Row],[workers]],"yes","no")</f>
        <v>yes</v>
      </c>
      <c r="L3545">
        <f>Tb_data[[#This Row],[workers]]-Tb_data[[#This Row],[previous_workers]]</f>
        <v>50</v>
      </c>
      <c r="M3545" s="12">
        <f>Tb_data[[#This Row],[Employees Growth]]/Tb_data[[#This Row],[previous_workers]]</f>
        <v>1.6666666666666667</v>
      </c>
    </row>
    <row r="3546" spans="1:13" x14ac:dyDescent="0.25">
      <c r="A3546" s="1" t="s">
        <v>5250</v>
      </c>
      <c r="B3546" s="1" t="s">
        <v>5251</v>
      </c>
      <c r="C3546" s="1">
        <v>18100000</v>
      </c>
      <c r="D3546" s="1" t="s">
        <v>38</v>
      </c>
      <c r="E3546">
        <v>151.67429999999999</v>
      </c>
      <c r="F3546" s="1" t="s">
        <v>161</v>
      </c>
      <c r="G3546">
        <v>310</v>
      </c>
      <c r="H3546">
        <v>115</v>
      </c>
      <c r="I3546" s="1" t="s">
        <v>295</v>
      </c>
      <c r="J3546">
        <v>3</v>
      </c>
      <c r="K3546" t="str">
        <f>IF(Tb_data[[#This Row],[previous_workers]]&lt;Tb_data[[#This Row],[workers]],"yes","no")</f>
        <v>yes</v>
      </c>
      <c r="L3546">
        <f>Tb_data[[#This Row],[workers]]-Tb_data[[#This Row],[previous_workers]]</f>
        <v>195</v>
      </c>
      <c r="M3546" s="12">
        <f>Tb_data[[#This Row],[Employees Growth]]/Tb_data[[#This Row],[previous_workers]]</f>
        <v>1.6956521739130435</v>
      </c>
    </row>
    <row r="3547" spans="1:13" x14ac:dyDescent="0.25">
      <c r="A3547" s="1" t="s">
        <v>6035</v>
      </c>
      <c r="B3547" s="1" t="s">
        <v>6036</v>
      </c>
      <c r="C3547" s="1">
        <v>2100000</v>
      </c>
      <c r="D3547" s="1" t="s">
        <v>155</v>
      </c>
      <c r="E3547">
        <v>125.8574</v>
      </c>
      <c r="F3547" s="1" t="s">
        <v>12</v>
      </c>
      <c r="G3547">
        <v>22</v>
      </c>
      <c r="H3547">
        <v>7</v>
      </c>
      <c r="I3547" s="1" t="s">
        <v>35</v>
      </c>
      <c r="J3547">
        <v>1</v>
      </c>
      <c r="K3547" t="str">
        <f>IF(Tb_data[[#This Row],[previous_workers]]&lt;Tb_data[[#This Row],[workers]],"yes","no")</f>
        <v>yes</v>
      </c>
      <c r="L3547">
        <f>Tb_data[[#This Row],[workers]]-Tb_data[[#This Row],[previous_workers]]</f>
        <v>15</v>
      </c>
      <c r="M3547" s="12">
        <f>Tb_data[[#This Row],[Employees Growth]]/Tb_data[[#This Row],[previous_workers]]</f>
        <v>2.1428571428571428</v>
      </c>
    </row>
    <row r="3548" spans="1:13" x14ac:dyDescent="0.25">
      <c r="A3548" s="1" t="s">
        <v>2855</v>
      </c>
      <c r="B3548" s="1" t="s">
        <v>2856</v>
      </c>
      <c r="C3548" s="1">
        <v>3100000</v>
      </c>
      <c r="D3548" s="1" t="s">
        <v>254</v>
      </c>
      <c r="E3548">
        <v>301.98110000000003</v>
      </c>
      <c r="F3548" s="1" t="s">
        <v>12</v>
      </c>
      <c r="G3548">
        <v>16</v>
      </c>
      <c r="H3548">
        <v>5</v>
      </c>
      <c r="I3548" s="1" t="s">
        <v>55</v>
      </c>
      <c r="J3548">
        <v>2</v>
      </c>
      <c r="K3548" t="str">
        <f>IF(Tb_data[[#This Row],[previous_workers]]&lt;Tb_data[[#This Row],[workers]],"yes","no")</f>
        <v>yes</v>
      </c>
      <c r="L3548">
        <f>Tb_data[[#This Row],[workers]]-Tb_data[[#This Row],[previous_workers]]</f>
        <v>11</v>
      </c>
      <c r="M3548" s="12">
        <f>Tb_data[[#This Row],[Employees Growth]]/Tb_data[[#This Row],[previous_workers]]</f>
        <v>2.2000000000000002</v>
      </c>
    </row>
    <row r="3549" spans="1:13" x14ac:dyDescent="0.25">
      <c r="A3549" s="1" t="s">
        <v>9469</v>
      </c>
      <c r="B3549" s="1" t="s">
        <v>9470</v>
      </c>
      <c r="C3549" s="1">
        <v>8600000</v>
      </c>
      <c r="D3549" s="1" t="s">
        <v>375</v>
      </c>
      <c r="E3549">
        <v>60.667999999999999</v>
      </c>
      <c r="F3549" s="1" t="s">
        <v>12</v>
      </c>
      <c r="G3549">
        <v>3</v>
      </c>
      <c r="H3549">
        <v>4</v>
      </c>
      <c r="I3549" s="1" t="s">
        <v>226</v>
      </c>
      <c r="J3549">
        <v>1</v>
      </c>
      <c r="K3549" t="str">
        <f>IF(Tb_data[[#This Row],[previous_workers]]&lt;Tb_data[[#This Row],[workers]],"yes","no")</f>
        <v>no</v>
      </c>
      <c r="L3549">
        <f>Tb_data[[#This Row],[workers]]-Tb_data[[#This Row],[previous_workers]]</f>
        <v>-1</v>
      </c>
      <c r="M3549" s="12">
        <f>Tb_data[[#This Row],[Employees Growth]]/Tb_data[[#This Row],[previous_workers]]</f>
        <v>-0.25</v>
      </c>
    </row>
    <row r="3550" spans="1:13" x14ac:dyDescent="0.25">
      <c r="A3550" s="1" t="s">
        <v>7699</v>
      </c>
      <c r="B3550" s="1" t="s">
        <v>7700</v>
      </c>
      <c r="C3550" s="1">
        <v>14000000</v>
      </c>
      <c r="D3550" s="1" t="s">
        <v>33</v>
      </c>
      <c r="E3550">
        <v>88.102099999999993</v>
      </c>
      <c r="F3550" s="1" t="s">
        <v>152</v>
      </c>
      <c r="G3550">
        <v>35</v>
      </c>
      <c r="H3550">
        <v>20</v>
      </c>
      <c r="I3550" s="1" t="s">
        <v>35</v>
      </c>
      <c r="J3550">
        <v>5</v>
      </c>
      <c r="K3550" t="str">
        <f>IF(Tb_data[[#This Row],[previous_workers]]&lt;Tb_data[[#This Row],[workers]],"yes","no")</f>
        <v>yes</v>
      </c>
      <c r="L3550">
        <f>Tb_data[[#This Row],[workers]]-Tb_data[[#This Row],[previous_workers]]</f>
        <v>15</v>
      </c>
      <c r="M3550" s="12">
        <f>Tb_data[[#This Row],[Employees Growth]]/Tb_data[[#This Row],[previous_workers]]</f>
        <v>0.75</v>
      </c>
    </row>
    <row r="3551" spans="1:13" x14ac:dyDescent="0.25">
      <c r="A3551" s="1" t="s">
        <v>2745</v>
      </c>
      <c r="B3551" s="1" t="s">
        <v>2746</v>
      </c>
      <c r="C3551" s="1">
        <v>3400000</v>
      </c>
      <c r="D3551" s="1" t="s">
        <v>115</v>
      </c>
      <c r="E3551">
        <v>314.15179999999998</v>
      </c>
      <c r="F3551" s="1" t="s">
        <v>86</v>
      </c>
      <c r="G3551">
        <v>125</v>
      </c>
      <c r="H3551">
        <v>95</v>
      </c>
      <c r="I3551" s="1" t="s">
        <v>26</v>
      </c>
      <c r="J3551">
        <v>1</v>
      </c>
      <c r="K3551" t="str">
        <f>IF(Tb_data[[#This Row],[previous_workers]]&lt;Tb_data[[#This Row],[workers]],"yes","no")</f>
        <v>yes</v>
      </c>
      <c r="L3551">
        <f>Tb_data[[#This Row],[workers]]-Tb_data[[#This Row],[previous_workers]]</f>
        <v>30</v>
      </c>
      <c r="M3551" s="12">
        <f>Tb_data[[#This Row],[Employees Growth]]/Tb_data[[#This Row],[previous_workers]]</f>
        <v>0.31578947368421051</v>
      </c>
    </row>
    <row r="3552" spans="1:13" x14ac:dyDescent="0.25">
      <c r="A3552" s="1" t="s">
        <v>7004</v>
      </c>
      <c r="B3552" s="1" t="s">
        <v>7005</v>
      </c>
      <c r="C3552" s="1">
        <v>6100000</v>
      </c>
      <c r="D3552" s="1" t="s">
        <v>375</v>
      </c>
      <c r="E3552">
        <v>101.7861</v>
      </c>
      <c r="F3552" s="1" t="s">
        <v>25</v>
      </c>
      <c r="G3552">
        <v>16</v>
      </c>
      <c r="H3552">
        <v>11</v>
      </c>
      <c r="I3552" s="1" t="s">
        <v>74</v>
      </c>
      <c r="J3552">
        <v>4</v>
      </c>
      <c r="K3552" t="str">
        <f>IF(Tb_data[[#This Row],[previous_workers]]&lt;Tb_data[[#This Row],[workers]],"yes","no")</f>
        <v>yes</v>
      </c>
      <c r="L3552">
        <f>Tb_data[[#This Row],[workers]]-Tb_data[[#This Row],[previous_workers]]</f>
        <v>5</v>
      </c>
      <c r="M3552" s="12">
        <f>Tb_data[[#This Row],[Employees Growth]]/Tb_data[[#This Row],[previous_workers]]</f>
        <v>0.45454545454545453</v>
      </c>
    </row>
    <row r="3553" spans="1:13" x14ac:dyDescent="0.25">
      <c r="A3553" s="1" t="s">
        <v>4557</v>
      </c>
      <c r="B3553" s="1" t="s">
        <v>4558</v>
      </c>
      <c r="C3553" s="1">
        <v>13800000</v>
      </c>
      <c r="D3553" s="1" t="s">
        <v>49</v>
      </c>
      <c r="E3553">
        <v>180.17</v>
      </c>
      <c r="F3553" s="1" t="s">
        <v>25</v>
      </c>
      <c r="G3553">
        <v>30</v>
      </c>
      <c r="H3553">
        <v>15</v>
      </c>
      <c r="I3553" s="1" t="s">
        <v>117</v>
      </c>
      <c r="J3553">
        <v>2</v>
      </c>
      <c r="K3553" t="str">
        <f>IF(Tb_data[[#This Row],[previous_workers]]&lt;Tb_data[[#This Row],[workers]],"yes","no")</f>
        <v>yes</v>
      </c>
      <c r="L3553">
        <f>Tb_data[[#This Row],[workers]]-Tb_data[[#This Row],[previous_workers]]</f>
        <v>15</v>
      </c>
      <c r="M3553" s="12">
        <f>Tb_data[[#This Row],[Employees Growth]]/Tb_data[[#This Row],[previous_workers]]</f>
        <v>1</v>
      </c>
    </row>
    <row r="3554" spans="1:13" x14ac:dyDescent="0.25">
      <c r="A3554" s="1" t="s">
        <v>3483</v>
      </c>
      <c r="B3554" s="1" t="s">
        <v>3484</v>
      </c>
      <c r="C3554" s="1">
        <v>66200000</v>
      </c>
      <c r="D3554" s="1" t="s">
        <v>58</v>
      </c>
      <c r="E3554">
        <v>243.87729999999999</v>
      </c>
      <c r="F3554" s="1" t="s">
        <v>12</v>
      </c>
      <c r="G3554">
        <v>293</v>
      </c>
      <c r="H3554">
        <v>108</v>
      </c>
      <c r="I3554" s="1" t="s">
        <v>35</v>
      </c>
      <c r="J3554">
        <v>5</v>
      </c>
      <c r="K3554" t="str">
        <f>IF(Tb_data[[#This Row],[previous_workers]]&lt;Tb_data[[#This Row],[workers]],"yes","no")</f>
        <v>yes</v>
      </c>
      <c r="L3554">
        <f>Tb_data[[#This Row],[workers]]-Tb_data[[#This Row],[previous_workers]]</f>
        <v>185</v>
      </c>
      <c r="M3554" s="12">
        <f>Tb_data[[#This Row],[Employees Growth]]/Tb_data[[#This Row],[previous_workers]]</f>
        <v>1.712962962962963</v>
      </c>
    </row>
    <row r="3555" spans="1:13" x14ac:dyDescent="0.25">
      <c r="A3555" s="1" t="s">
        <v>9710</v>
      </c>
      <c r="B3555" s="1" t="s">
        <v>9711</v>
      </c>
      <c r="C3555" s="1">
        <v>4900000</v>
      </c>
      <c r="D3555" s="1" t="s">
        <v>49</v>
      </c>
      <c r="E3555">
        <v>57.929299999999998</v>
      </c>
      <c r="F3555" s="1" t="s">
        <v>12</v>
      </c>
      <c r="G3555">
        <v>65</v>
      </c>
      <c r="H3555">
        <v>35</v>
      </c>
      <c r="I3555" s="1" t="s">
        <v>35</v>
      </c>
      <c r="J3555">
        <v>1</v>
      </c>
      <c r="K3555" t="str">
        <f>IF(Tb_data[[#This Row],[previous_workers]]&lt;Tb_data[[#This Row],[workers]],"yes","no")</f>
        <v>yes</v>
      </c>
      <c r="L3555">
        <f>Tb_data[[#This Row],[workers]]-Tb_data[[#This Row],[previous_workers]]</f>
        <v>30</v>
      </c>
      <c r="M3555" s="12">
        <f>Tb_data[[#This Row],[Employees Growth]]/Tb_data[[#This Row],[previous_workers]]</f>
        <v>0.8571428571428571</v>
      </c>
    </row>
    <row r="3556" spans="1:13" x14ac:dyDescent="0.25">
      <c r="A3556" s="1" t="s">
        <v>3109</v>
      </c>
      <c r="B3556" s="1" t="s">
        <v>3110</v>
      </c>
      <c r="C3556" s="1">
        <v>25800000</v>
      </c>
      <c r="D3556" s="1" t="s">
        <v>49</v>
      </c>
      <c r="E3556">
        <v>276.31360000000001</v>
      </c>
      <c r="F3556" s="1" t="s">
        <v>25</v>
      </c>
      <c r="G3556">
        <v>15</v>
      </c>
      <c r="H3556">
        <v>4</v>
      </c>
      <c r="I3556" s="1" t="s">
        <v>26</v>
      </c>
      <c r="J3556">
        <v>1</v>
      </c>
      <c r="K3556" t="str">
        <f>IF(Tb_data[[#This Row],[previous_workers]]&lt;Tb_data[[#This Row],[workers]],"yes","no")</f>
        <v>yes</v>
      </c>
      <c r="L3556">
        <f>Tb_data[[#This Row],[workers]]-Tb_data[[#This Row],[previous_workers]]</f>
        <v>11</v>
      </c>
      <c r="M3556" s="12">
        <f>Tb_data[[#This Row],[Employees Growth]]/Tb_data[[#This Row],[previous_workers]]</f>
        <v>2.75</v>
      </c>
    </row>
    <row r="3557" spans="1:13" x14ac:dyDescent="0.25">
      <c r="A3557" s="1" t="s">
        <v>2243</v>
      </c>
      <c r="B3557" s="1" t="s">
        <v>2244</v>
      </c>
      <c r="C3557" s="1">
        <v>153200000</v>
      </c>
      <c r="D3557" s="1" t="s">
        <v>115</v>
      </c>
      <c r="E3557">
        <v>393.61529999999999</v>
      </c>
      <c r="F3557" s="1" t="s">
        <v>30</v>
      </c>
      <c r="G3557">
        <v>350</v>
      </c>
      <c r="H3557">
        <v>75</v>
      </c>
      <c r="I3557" s="1" t="s">
        <v>2245</v>
      </c>
      <c r="J3557">
        <v>3</v>
      </c>
      <c r="K3557" t="str">
        <f>IF(Tb_data[[#This Row],[previous_workers]]&lt;Tb_data[[#This Row],[workers]],"yes","no")</f>
        <v>yes</v>
      </c>
      <c r="L3557">
        <f>Tb_data[[#This Row],[workers]]-Tb_data[[#This Row],[previous_workers]]</f>
        <v>275</v>
      </c>
      <c r="M3557" s="12">
        <f>Tb_data[[#This Row],[Employees Growth]]/Tb_data[[#This Row],[previous_workers]]</f>
        <v>3.6666666666666665</v>
      </c>
    </row>
    <row r="3558" spans="1:13" x14ac:dyDescent="0.25">
      <c r="A3558" s="1" t="s">
        <v>110</v>
      </c>
      <c r="B3558" s="1" t="s">
        <v>111</v>
      </c>
      <c r="C3558" s="1">
        <v>7200000</v>
      </c>
      <c r="D3558" s="1" t="s">
        <v>16</v>
      </c>
      <c r="E3558">
        <v>6492.7884000000004</v>
      </c>
      <c r="F3558" s="1" t="s">
        <v>112</v>
      </c>
      <c r="G3558">
        <v>21</v>
      </c>
      <c r="H3558">
        <v>3</v>
      </c>
      <c r="I3558" s="1" t="s">
        <v>55</v>
      </c>
      <c r="J3558">
        <v>1</v>
      </c>
      <c r="K3558" t="str">
        <f>IF(Tb_data[[#This Row],[previous_workers]]&lt;Tb_data[[#This Row],[workers]],"yes","no")</f>
        <v>yes</v>
      </c>
      <c r="L3558">
        <f>Tb_data[[#This Row],[workers]]-Tb_data[[#This Row],[previous_workers]]</f>
        <v>18</v>
      </c>
      <c r="M3558" s="12">
        <f>Tb_data[[#This Row],[Employees Growth]]/Tb_data[[#This Row],[previous_workers]]</f>
        <v>6</v>
      </c>
    </row>
    <row r="3559" spans="1:13" x14ac:dyDescent="0.25">
      <c r="A3559" s="1" t="s">
        <v>9716</v>
      </c>
      <c r="B3559" s="1" t="s">
        <v>9717</v>
      </c>
      <c r="C3559" s="1">
        <v>5000000</v>
      </c>
      <c r="D3559" s="1" t="s">
        <v>29</v>
      </c>
      <c r="E3559">
        <v>57.850499999999997</v>
      </c>
      <c r="F3559" s="1" t="s">
        <v>100</v>
      </c>
      <c r="G3559">
        <v>33</v>
      </c>
      <c r="H3559">
        <v>14</v>
      </c>
      <c r="I3559" s="1" t="s">
        <v>35</v>
      </c>
      <c r="J3559">
        <v>4</v>
      </c>
      <c r="K3559" t="str">
        <f>IF(Tb_data[[#This Row],[previous_workers]]&lt;Tb_data[[#This Row],[workers]],"yes","no")</f>
        <v>yes</v>
      </c>
      <c r="L3559">
        <f>Tb_data[[#This Row],[workers]]-Tb_data[[#This Row],[previous_workers]]</f>
        <v>19</v>
      </c>
      <c r="M3559" s="12">
        <f>Tb_data[[#This Row],[Employees Growth]]/Tb_data[[#This Row],[previous_workers]]</f>
        <v>1.3571428571428572</v>
      </c>
    </row>
    <row r="3560" spans="1:13" x14ac:dyDescent="0.25">
      <c r="A3560" s="1" t="s">
        <v>9726</v>
      </c>
      <c r="B3560" s="1" t="s">
        <v>9727</v>
      </c>
      <c r="C3560" s="1">
        <v>7000000</v>
      </c>
      <c r="D3560" s="1" t="s">
        <v>155</v>
      </c>
      <c r="E3560">
        <v>57.794699999999999</v>
      </c>
      <c r="F3560" s="1" t="s">
        <v>12</v>
      </c>
      <c r="G3560">
        <v>52</v>
      </c>
      <c r="H3560">
        <v>46</v>
      </c>
      <c r="I3560" s="1" t="s">
        <v>295</v>
      </c>
      <c r="J3560">
        <v>4</v>
      </c>
      <c r="K3560" t="str">
        <f>IF(Tb_data[[#This Row],[previous_workers]]&lt;Tb_data[[#This Row],[workers]],"yes","no")</f>
        <v>yes</v>
      </c>
      <c r="L3560">
        <f>Tb_data[[#This Row],[workers]]-Tb_data[[#This Row],[previous_workers]]</f>
        <v>6</v>
      </c>
      <c r="M3560" s="12">
        <f>Tb_data[[#This Row],[Employees Growth]]/Tb_data[[#This Row],[previous_workers]]</f>
        <v>0.13043478260869565</v>
      </c>
    </row>
    <row r="3561" spans="1:13" x14ac:dyDescent="0.25">
      <c r="A3561" s="1" t="s">
        <v>9698</v>
      </c>
      <c r="B3561" s="1" t="s">
        <v>9699</v>
      </c>
      <c r="C3561" s="1">
        <v>1100000000</v>
      </c>
      <c r="D3561" s="1" t="s">
        <v>254</v>
      </c>
      <c r="E3561">
        <v>58.026000000000003</v>
      </c>
      <c r="F3561" s="1" t="s">
        <v>25</v>
      </c>
      <c r="G3561">
        <v>1200</v>
      </c>
      <c r="H3561">
        <v>700</v>
      </c>
      <c r="I3561" s="1" t="s">
        <v>164</v>
      </c>
      <c r="J3561">
        <v>2</v>
      </c>
      <c r="K3561" t="str">
        <f>IF(Tb_data[[#This Row],[previous_workers]]&lt;Tb_data[[#This Row],[workers]],"yes","no")</f>
        <v>yes</v>
      </c>
      <c r="L3561">
        <f>Tb_data[[#This Row],[workers]]-Tb_data[[#This Row],[previous_workers]]</f>
        <v>500</v>
      </c>
      <c r="M3561" s="12">
        <f>Tb_data[[#This Row],[Employees Growth]]/Tb_data[[#This Row],[previous_workers]]</f>
        <v>0.7142857142857143</v>
      </c>
    </row>
    <row r="3562" spans="1:13" x14ac:dyDescent="0.25">
      <c r="A3562" s="1" t="s">
        <v>8415</v>
      </c>
      <c r="B3562" s="1" t="s">
        <v>8416</v>
      </c>
      <c r="C3562" s="1">
        <v>10700000</v>
      </c>
      <c r="D3562" s="1" t="s">
        <v>91</v>
      </c>
      <c r="E3562">
        <v>75.715299999999999</v>
      </c>
      <c r="F3562" s="1" t="s">
        <v>310</v>
      </c>
      <c r="G3562">
        <v>80</v>
      </c>
      <c r="H3562">
        <v>40</v>
      </c>
      <c r="I3562" s="1" t="s">
        <v>995</v>
      </c>
      <c r="J3562">
        <v>1</v>
      </c>
      <c r="K3562" t="str">
        <f>IF(Tb_data[[#This Row],[previous_workers]]&lt;Tb_data[[#This Row],[workers]],"yes","no")</f>
        <v>yes</v>
      </c>
      <c r="L3562">
        <f>Tb_data[[#This Row],[workers]]-Tb_data[[#This Row],[previous_workers]]</f>
        <v>40</v>
      </c>
      <c r="M3562" s="12">
        <f>Tb_data[[#This Row],[Employees Growth]]/Tb_data[[#This Row],[previous_workers]]</f>
        <v>1</v>
      </c>
    </row>
    <row r="3563" spans="1:13" x14ac:dyDescent="0.25">
      <c r="A3563" s="1" t="s">
        <v>983</v>
      </c>
      <c r="B3563" s="1" t="s">
        <v>984</v>
      </c>
      <c r="C3563" s="1">
        <v>8900000</v>
      </c>
      <c r="D3563" s="1" t="s">
        <v>61</v>
      </c>
      <c r="E3563">
        <v>1030.5074</v>
      </c>
      <c r="F3563" s="1" t="s">
        <v>100</v>
      </c>
      <c r="G3563">
        <v>9</v>
      </c>
      <c r="H3563">
        <v>6</v>
      </c>
      <c r="I3563" s="1" t="s">
        <v>26</v>
      </c>
      <c r="J3563">
        <v>1</v>
      </c>
      <c r="K3563" t="str">
        <f>IF(Tb_data[[#This Row],[previous_workers]]&lt;Tb_data[[#This Row],[workers]],"yes","no")</f>
        <v>yes</v>
      </c>
      <c r="L3563">
        <f>Tb_data[[#This Row],[workers]]-Tb_data[[#This Row],[previous_workers]]</f>
        <v>3</v>
      </c>
      <c r="M3563" s="12">
        <f>Tb_data[[#This Row],[Employees Growth]]/Tb_data[[#This Row],[previous_workers]]</f>
        <v>0.5</v>
      </c>
    </row>
    <row r="3564" spans="1:13" x14ac:dyDescent="0.25">
      <c r="A3564" s="1" t="s">
        <v>5916</v>
      </c>
      <c r="B3564" s="1" t="s">
        <v>5917</v>
      </c>
      <c r="C3564" s="1">
        <v>9900000</v>
      </c>
      <c r="D3564" s="1" t="s">
        <v>254</v>
      </c>
      <c r="E3564">
        <v>128.68270000000001</v>
      </c>
      <c r="F3564" s="1" t="s">
        <v>100</v>
      </c>
      <c r="G3564">
        <v>547</v>
      </c>
      <c r="H3564">
        <v>323</v>
      </c>
      <c r="I3564" s="1" t="s">
        <v>1051</v>
      </c>
      <c r="J3564">
        <v>1</v>
      </c>
      <c r="K3564" t="str">
        <f>IF(Tb_data[[#This Row],[previous_workers]]&lt;Tb_data[[#This Row],[workers]],"yes","no")</f>
        <v>yes</v>
      </c>
      <c r="L3564">
        <f>Tb_data[[#This Row],[workers]]-Tb_data[[#This Row],[previous_workers]]</f>
        <v>224</v>
      </c>
      <c r="M3564" s="12">
        <f>Tb_data[[#This Row],[Employees Growth]]/Tb_data[[#This Row],[previous_workers]]</f>
        <v>0.69349845201238391</v>
      </c>
    </row>
    <row r="3565" spans="1:13" x14ac:dyDescent="0.25">
      <c r="A3565" s="1" t="s">
        <v>484</v>
      </c>
      <c r="B3565" s="1" t="s">
        <v>485</v>
      </c>
      <c r="C3565" s="1">
        <v>4000000</v>
      </c>
      <c r="D3565" s="1" t="s">
        <v>49</v>
      </c>
      <c r="E3565">
        <v>2018.2299</v>
      </c>
      <c r="F3565" s="1" t="s">
        <v>86</v>
      </c>
      <c r="G3565">
        <v>23</v>
      </c>
      <c r="H3565">
        <v>8</v>
      </c>
      <c r="I3565" s="1" t="s">
        <v>26</v>
      </c>
      <c r="J3565">
        <v>2</v>
      </c>
      <c r="K3565" t="str">
        <f>IF(Tb_data[[#This Row],[previous_workers]]&lt;Tb_data[[#This Row],[workers]],"yes","no")</f>
        <v>yes</v>
      </c>
      <c r="L3565">
        <f>Tb_data[[#This Row],[workers]]-Tb_data[[#This Row],[previous_workers]]</f>
        <v>15</v>
      </c>
      <c r="M3565" s="12">
        <f>Tb_data[[#This Row],[Employees Growth]]/Tb_data[[#This Row],[previous_workers]]</f>
        <v>1.875</v>
      </c>
    </row>
    <row r="3566" spans="1:13" x14ac:dyDescent="0.25">
      <c r="A3566" s="1" t="s">
        <v>10090</v>
      </c>
      <c r="B3566" s="1" t="s">
        <v>10091</v>
      </c>
      <c r="C3566" s="1">
        <v>11600000</v>
      </c>
      <c r="D3566" s="1" t="s">
        <v>254</v>
      </c>
      <c r="E3566">
        <v>52.212699999999998</v>
      </c>
      <c r="F3566" s="1" t="s">
        <v>124</v>
      </c>
      <c r="G3566">
        <v>380</v>
      </c>
      <c r="H3566">
        <v>220</v>
      </c>
      <c r="I3566" s="1" t="s">
        <v>164</v>
      </c>
      <c r="J3566">
        <v>1</v>
      </c>
      <c r="K3566" t="str">
        <f>IF(Tb_data[[#This Row],[previous_workers]]&lt;Tb_data[[#This Row],[workers]],"yes","no")</f>
        <v>yes</v>
      </c>
      <c r="L3566">
        <f>Tb_data[[#This Row],[workers]]-Tb_data[[#This Row],[previous_workers]]</f>
        <v>160</v>
      </c>
      <c r="M3566" s="12">
        <f>Tb_data[[#This Row],[Employees Growth]]/Tb_data[[#This Row],[previous_workers]]</f>
        <v>0.72727272727272729</v>
      </c>
    </row>
    <row r="3567" spans="1:13" x14ac:dyDescent="0.25">
      <c r="A3567" s="1" t="s">
        <v>4714</v>
      </c>
      <c r="B3567" s="1" t="s">
        <v>4715</v>
      </c>
      <c r="C3567" s="1">
        <v>10100000</v>
      </c>
      <c r="D3567" s="1" t="s">
        <v>375</v>
      </c>
      <c r="E3567">
        <v>174.0478</v>
      </c>
      <c r="F3567" s="1" t="s">
        <v>25</v>
      </c>
      <c r="G3567">
        <v>70</v>
      </c>
      <c r="H3567">
        <v>50</v>
      </c>
      <c r="I3567" s="1" t="s">
        <v>229</v>
      </c>
      <c r="J3567">
        <v>2</v>
      </c>
      <c r="K3567" t="str">
        <f>IF(Tb_data[[#This Row],[previous_workers]]&lt;Tb_data[[#This Row],[workers]],"yes","no")</f>
        <v>yes</v>
      </c>
      <c r="L3567">
        <f>Tb_data[[#This Row],[workers]]-Tb_data[[#This Row],[previous_workers]]</f>
        <v>20</v>
      </c>
      <c r="M3567" s="12">
        <f>Tb_data[[#This Row],[Employees Growth]]/Tb_data[[#This Row],[previous_workers]]</f>
        <v>0.4</v>
      </c>
    </row>
    <row r="3568" spans="1:13" x14ac:dyDescent="0.25">
      <c r="A3568" s="1" t="s">
        <v>7745</v>
      </c>
      <c r="B3568" s="1" t="s">
        <v>7746</v>
      </c>
      <c r="C3568" s="1">
        <v>9300000</v>
      </c>
      <c r="D3568" s="1" t="s">
        <v>33</v>
      </c>
      <c r="E3568">
        <v>87.25</v>
      </c>
      <c r="F3568" s="1" t="s">
        <v>100</v>
      </c>
      <c r="G3568">
        <v>53</v>
      </c>
      <c r="H3568">
        <v>16</v>
      </c>
      <c r="I3568" s="1" t="s">
        <v>35</v>
      </c>
      <c r="J3568">
        <v>2</v>
      </c>
      <c r="K3568" t="str">
        <f>IF(Tb_data[[#This Row],[previous_workers]]&lt;Tb_data[[#This Row],[workers]],"yes","no")</f>
        <v>yes</v>
      </c>
      <c r="L3568">
        <f>Tb_data[[#This Row],[workers]]-Tb_data[[#This Row],[previous_workers]]</f>
        <v>37</v>
      </c>
      <c r="M3568" s="12">
        <f>Tb_data[[#This Row],[Employees Growth]]/Tb_data[[#This Row],[previous_workers]]</f>
        <v>2.3125</v>
      </c>
    </row>
    <row r="3569" spans="1:13" x14ac:dyDescent="0.25">
      <c r="A3569" s="1" t="s">
        <v>879</v>
      </c>
      <c r="B3569" s="1" t="s">
        <v>880</v>
      </c>
      <c r="C3569" s="1">
        <v>2000000</v>
      </c>
      <c r="D3569" s="1" t="s">
        <v>52</v>
      </c>
      <c r="E3569">
        <v>1163.9585</v>
      </c>
      <c r="F3569" s="1" t="s">
        <v>86</v>
      </c>
      <c r="G3569">
        <v>24</v>
      </c>
      <c r="H3569">
        <v>2</v>
      </c>
      <c r="I3569" s="1" t="s">
        <v>26</v>
      </c>
      <c r="J3569">
        <v>1</v>
      </c>
      <c r="K3569" t="str">
        <f>IF(Tb_data[[#This Row],[previous_workers]]&lt;Tb_data[[#This Row],[workers]],"yes","no")</f>
        <v>yes</v>
      </c>
      <c r="L3569">
        <f>Tb_data[[#This Row],[workers]]-Tb_data[[#This Row],[previous_workers]]</f>
        <v>22</v>
      </c>
      <c r="M3569" s="12">
        <f>Tb_data[[#This Row],[Employees Growth]]/Tb_data[[#This Row],[previous_workers]]</f>
        <v>11</v>
      </c>
    </row>
    <row r="3570" spans="1:13" x14ac:dyDescent="0.25">
      <c r="A3570" s="1" t="s">
        <v>1381</v>
      </c>
      <c r="B3570" s="1" t="s">
        <v>1382</v>
      </c>
      <c r="C3570" s="1">
        <v>22800000</v>
      </c>
      <c r="D3570" s="1" t="s">
        <v>49</v>
      </c>
      <c r="E3570">
        <v>692.02030000000002</v>
      </c>
      <c r="F3570" s="1" t="s">
        <v>21</v>
      </c>
      <c r="G3570">
        <v>40</v>
      </c>
      <c r="H3570">
        <v>5</v>
      </c>
      <c r="I3570" s="1" t="s">
        <v>164</v>
      </c>
      <c r="J3570">
        <v>2</v>
      </c>
      <c r="K3570" t="str">
        <f>IF(Tb_data[[#This Row],[previous_workers]]&lt;Tb_data[[#This Row],[workers]],"yes","no")</f>
        <v>yes</v>
      </c>
      <c r="L3570">
        <f>Tb_data[[#This Row],[workers]]-Tb_data[[#This Row],[previous_workers]]</f>
        <v>35</v>
      </c>
      <c r="M3570" s="12">
        <f>Tb_data[[#This Row],[Employees Growth]]/Tb_data[[#This Row],[previous_workers]]</f>
        <v>7</v>
      </c>
    </row>
    <row r="3571" spans="1:13" x14ac:dyDescent="0.25">
      <c r="A3571" s="1" t="s">
        <v>3511</v>
      </c>
      <c r="B3571" s="1" t="s">
        <v>3512</v>
      </c>
      <c r="C3571" s="1">
        <v>4800000</v>
      </c>
      <c r="D3571" s="1" t="s">
        <v>20</v>
      </c>
      <c r="E3571">
        <v>241.30279999999999</v>
      </c>
      <c r="F3571" s="1" t="s">
        <v>94</v>
      </c>
      <c r="G3571">
        <v>38</v>
      </c>
      <c r="H3571">
        <v>16</v>
      </c>
      <c r="I3571" s="1" t="s">
        <v>164</v>
      </c>
      <c r="J3571">
        <v>3</v>
      </c>
      <c r="K3571" t="str">
        <f>IF(Tb_data[[#This Row],[previous_workers]]&lt;Tb_data[[#This Row],[workers]],"yes","no")</f>
        <v>yes</v>
      </c>
      <c r="L3571">
        <f>Tb_data[[#This Row],[workers]]-Tb_data[[#This Row],[previous_workers]]</f>
        <v>22</v>
      </c>
      <c r="M3571" s="12">
        <f>Tb_data[[#This Row],[Employees Growth]]/Tb_data[[#This Row],[previous_workers]]</f>
        <v>1.375</v>
      </c>
    </row>
    <row r="3572" spans="1:13" x14ac:dyDescent="0.25">
      <c r="A3572" s="1" t="s">
        <v>9423</v>
      </c>
      <c r="B3572" s="1" t="s">
        <v>9424</v>
      </c>
      <c r="C3572" s="1">
        <v>5600000</v>
      </c>
      <c r="D3572" s="1" t="s">
        <v>61</v>
      </c>
      <c r="E3572">
        <v>61.212699999999998</v>
      </c>
      <c r="F3572" s="1" t="s">
        <v>86</v>
      </c>
      <c r="G3572">
        <v>42</v>
      </c>
      <c r="H3572">
        <v>96</v>
      </c>
      <c r="I3572" s="1" t="s">
        <v>130</v>
      </c>
      <c r="J3572">
        <v>1</v>
      </c>
      <c r="K3572" t="str">
        <f>IF(Tb_data[[#This Row],[previous_workers]]&lt;Tb_data[[#This Row],[workers]],"yes","no")</f>
        <v>no</v>
      </c>
      <c r="L3572">
        <f>Tb_data[[#This Row],[workers]]-Tb_data[[#This Row],[previous_workers]]</f>
        <v>-54</v>
      </c>
      <c r="M3572" s="12">
        <f>Tb_data[[#This Row],[Employees Growth]]/Tb_data[[#This Row],[previous_workers]]</f>
        <v>-0.5625</v>
      </c>
    </row>
    <row r="3573" spans="1:13" x14ac:dyDescent="0.25">
      <c r="A3573" s="1" t="s">
        <v>652</v>
      </c>
      <c r="B3573" s="1" t="s">
        <v>653</v>
      </c>
      <c r="C3573" s="1">
        <v>40900000</v>
      </c>
      <c r="D3573" s="1" t="s">
        <v>69</v>
      </c>
      <c r="E3573">
        <v>1553.7538999999999</v>
      </c>
      <c r="F3573" s="1" t="s">
        <v>169</v>
      </c>
      <c r="G3573">
        <v>323</v>
      </c>
      <c r="H3573">
        <v>47</v>
      </c>
      <c r="I3573" s="1" t="s">
        <v>130</v>
      </c>
      <c r="J3573">
        <v>3</v>
      </c>
      <c r="K3573" t="str">
        <f>IF(Tb_data[[#This Row],[previous_workers]]&lt;Tb_data[[#This Row],[workers]],"yes","no")</f>
        <v>yes</v>
      </c>
      <c r="L3573">
        <f>Tb_data[[#This Row],[workers]]-Tb_data[[#This Row],[previous_workers]]</f>
        <v>276</v>
      </c>
      <c r="M3573" s="12">
        <f>Tb_data[[#This Row],[Employees Growth]]/Tb_data[[#This Row],[previous_workers]]</f>
        <v>5.8723404255319149</v>
      </c>
    </row>
    <row r="3574" spans="1:13" x14ac:dyDescent="0.25">
      <c r="A3574" s="1" t="s">
        <v>778</v>
      </c>
      <c r="B3574" s="1" t="s">
        <v>779</v>
      </c>
      <c r="C3574" s="1">
        <v>33800000</v>
      </c>
      <c r="D3574" s="1" t="s">
        <v>33</v>
      </c>
      <c r="E3574">
        <v>1332.9945</v>
      </c>
      <c r="F3574" s="1" t="s">
        <v>12</v>
      </c>
      <c r="G3574">
        <v>60</v>
      </c>
      <c r="H3574">
        <v>5</v>
      </c>
      <c r="I3574" s="1" t="s">
        <v>55</v>
      </c>
      <c r="J3574">
        <v>2</v>
      </c>
      <c r="K3574" t="str">
        <f>IF(Tb_data[[#This Row],[previous_workers]]&lt;Tb_data[[#This Row],[workers]],"yes","no")</f>
        <v>yes</v>
      </c>
      <c r="L3574">
        <f>Tb_data[[#This Row],[workers]]-Tb_data[[#This Row],[previous_workers]]</f>
        <v>55</v>
      </c>
      <c r="M3574" s="12">
        <f>Tb_data[[#This Row],[Employees Growth]]/Tb_data[[#This Row],[previous_workers]]</f>
        <v>11</v>
      </c>
    </row>
    <row r="3575" spans="1:13" x14ac:dyDescent="0.25">
      <c r="A3575" s="1" t="s">
        <v>8039</v>
      </c>
      <c r="B3575" s="1" t="s">
        <v>8040</v>
      </c>
      <c r="C3575" s="1">
        <v>57100000</v>
      </c>
      <c r="D3575" s="1" t="s">
        <v>61</v>
      </c>
      <c r="E3575">
        <v>82.069699999999997</v>
      </c>
      <c r="F3575" s="1" t="s">
        <v>34</v>
      </c>
      <c r="G3575">
        <v>150</v>
      </c>
      <c r="H3575">
        <v>42</v>
      </c>
      <c r="I3575" s="1" t="s">
        <v>1356</v>
      </c>
      <c r="J3575">
        <v>1</v>
      </c>
      <c r="K3575" t="str">
        <f>IF(Tb_data[[#This Row],[previous_workers]]&lt;Tb_data[[#This Row],[workers]],"yes","no")</f>
        <v>yes</v>
      </c>
      <c r="L3575">
        <f>Tb_data[[#This Row],[workers]]-Tb_data[[#This Row],[previous_workers]]</f>
        <v>108</v>
      </c>
      <c r="M3575" s="12">
        <f>Tb_data[[#This Row],[Employees Growth]]/Tb_data[[#This Row],[previous_workers]]</f>
        <v>2.5714285714285716</v>
      </c>
    </row>
    <row r="3576" spans="1:13" x14ac:dyDescent="0.25">
      <c r="A3576" s="1" t="s">
        <v>9926</v>
      </c>
      <c r="B3576" s="1" t="s">
        <v>9927</v>
      </c>
      <c r="C3576" s="1">
        <v>2200000</v>
      </c>
      <c r="D3576" s="1" t="s">
        <v>254</v>
      </c>
      <c r="E3576">
        <v>54.824599999999997</v>
      </c>
      <c r="F3576" s="1" t="s">
        <v>12</v>
      </c>
      <c r="G3576">
        <v>18</v>
      </c>
      <c r="H3576">
        <v>14</v>
      </c>
      <c r="I3576" s="1" t="s">
        <v>55</v>
      </c>
      <c r="J3576">
        <v>2</v>
      </c>
      <c r="K3576" t="str">
        <f>IF(Tb_data[[#This Row],[previous_workers]]&lt;Tb_data[[#This Row],[workers]],"yes","no")</f>
        <v>yes</v>
      </c>
      <c r="L3576">
        <f>Tb_data[[#This Row],[workers]]-Tb_data[[#This Row],[previous_workers]]</f>
        <v>4</v>
      </c>
      <c r="M3576" s="12">
        <f>Tb_data[[#This Row],[Employees Growth]]/Tb_data[[#This Row],[previous_workers]]</f>
        <v>0.2857142857142857</v>
      </c>
    </row>
    <row r="3577" spans="1:13" x14ac:dyDescent="0.25">
      <c r="A3577" s="1" t="s">
        <v>8089</v>
      </c>
      <c r="B3577" s="1" t="s">
        <v>8090</v>
      </c>
      <c r="C3577" s="1">
        <v>2200000</v>
      </c>
      <c r="D3577" s="1" t="s">
        <v>664</v>
      </c>
      <c r="E3577">
        <v>81.196899999999999</v>
      </c>
      <c r="F3577" s="1" t="s">
        <v>514</v>
      </c>
      <c r="G3577">
        <v>11</v>
      </c>
      <c r="H3577">
        <v>7</v>
      </c>
      <c r="I3577" s="1" t="s">
        <v>74</v>
      </c>
      <c r="J3577">
        <v>1</v>
      </c>
      <c r="K3577" t="str">
        <f>IF(Tb_data[[#This Row],[previous_workers]]&lt;Tb_data[[#This Row],[workers]],"yes","no")</f>
        <v>yes</v>
      </c>
      <c r="L3577">
        <f>Tb_data[[#This Row],[workers]]-Tb_data[[#This Row],[previous_workers]]</f>
        <v>4</v>
      </c>
      <c r="M3577" s="12">
        <f>Tb_data[[#This Row],[Employees Growth]]/Tb_data[[#This Row],[previous_workers]]</f>
        <v>0.5714285714285714</v>
      </c>
    </row>
    <row r="3578" spans="1:13" x14ac:dyDescent="0.25">
      <c r="A3578" s="1" t="s">
        <v>3712</v>
      </c>
      <c r="B3578" s="1" t="s">
        <v>3713</v>
      </c>
      <c r="C3578" s="1">
        <v>3300000</v>
      </c>
      <c r="D3578" s="1" t="s">
        <v>20</v>
      </c>
      <c r="E3578">
        <v>227.67320000000001</v>
      </c>
      <c r="F3578" s="1" t="s">
        <v>86</v>
      </c>
      <c r="G3578">
        <v>15</v>
      </c>
      <c r="H3578">
        <v>10</v>
      </c>
      <c r="I3578" s="1" t="s">
        <v>117</v>
      </c>
      <c r="J3578">
        <v>1</v>
      </c>
      <c r="K3578" t="str">
        <f>IF(Tb_data[[#This Row],[previous_workers]]&lt;Tb_data[[#This Row],[workers]],"yes","no")</f>
        <v>yes</v>
      </c>
      <c r="L3578">
        <f>Tb_data[[#This Row],[workers]]-Tb_data[[#This Row],[previous_workers]]</f>
        <v>5</v>
      </c>
      <c r="M3578" s="12">
        <f>Tb_data[[#This Row],[Employees Growth]]/Tb_data[[#This Row],[previous_workers]]</f>
        <v>0.5</v>
      </c>
    </row>
    <row r="3579" spans="1:13" x14ac:dyDescent="0.25">
      <c r="A3579" s="1" t="s">
        <v>3045</v>
      </c>
      <c r="B3579" s="1" t="s">
        <v>3046</v>
      </c>
      <c r="C3579" s="1">
        <v>14900000</v>
      </c>
      <c r="D3579" s="1" t="s">
        <v>509</v>
      </c>
      <c r="E3579">
        <v>283.404</v>
      </c>
      <c r="F3579" s="1" t="s">
        <v>112</v>
      </c>
      <c r="G3579">
        <v>71</v>
      </c>
      <c r="H3579">
        <v>17</v>
      </c>
      <c r="I3579" s="1" t="s">
        <v>55</v>
      </c>
      <c r="J3579">
        <v>1</v>
      </c>
      <c r="K3579" t="str">
        <f>IF(Tb_data[[#This Row],[previous_workers]]&lt;Tb_data[[#This Row],[workers]],"yes","no")</f>
        <v>yes</v>
      </c>
      <c r="L3579">
        <f>Tb_data[[#This Row],[workers]]-Tb_data[[#This Row],[previous_workers]]</f>
        <v>54</v>
      </c>
      <c r="M3579" s="12">
        <f>Tb_data[[#This Row],[Employees Growth]]/Tb_data[[#This Row],[previous_workers]]</f>
        <v>3.1764705882352939</v>
      </c>
    </row>
    <row r="3580" spans="1:13" x14ac:dyDescent="0.25">
      <c r="A3580" s="1" t="s">
        <v>776</v>
      </c>
      <c r="B3580" s="1" t="s">
        <v>777</v>
      </c>
      <c r="C3580" s="1">
        <v>4300000</v>
      </c>
      <c r="D3580" s="1" t="s">
        <v>61</v>
      </c>
      <c r="E3580">
        <v>1344.2615000000001</v>
      </c>
      <c r="F3580" s="1" t="s">
        <v>116</v>
      </c>
      <c r="G3580">
        <v>25</v>
      </c>
      <c r="H3580">
        <v>3</v>
      </c>
      <c r="I3580" s="1" t="s">
        <v>13</v>
      </c>
      <c r="J3580">
        <v>1</v>
      </c>
      <c r="K3580" t="str">
        <f>IF(Tb_data[[#This Row],[previous_workers]]&lt;Tb_data[[#This Row],[workers]],"yes","no")</f>
        <v>yes</v>
      </c>
      <c r="L3580">
        <f>Tb_data[[#This Row],[workers]]-Tb_data[[#This Row],[previous_workers]]</f>
        <v>22</v>
      </c>
      <c r="M3580" s="12">
        <f>Tb_data[[#This Row],[Employees Growth]]/Tb_data[[#This Row],[previous_workers]]</f>
        <v>7.333333333333333</v>
      </c>
    </row>
    <row r="3581" spans="1:13" x14ac:dyDescent="0.25">
      <c r="A3581" s="1" t="s">
        <v>10082</v>
      </c>
      <c r="B3581" s="1" t="s">
        <v>10083</v>
      </c>
      <c r="C3581" s="1">
        <v>2000000</v>
      </c>
      <c r="D3581" s="1" t="s">
        <v>664</v>
      </c>
      <c r="E3581">
        <v>52.444200000000002</v>
      </c>
      <c r="F3581" s="1" t="s">
        <v>12</v>
      </c>
      <c r="G3581">
        <v>16</v>
      </c>
      <c r="H3581">
        <v>8</v>
      </c>
      <c r="I3581" s="1" t="s">
        <v>35</v>
      </c>
      <c r="J3581">
        <v>1</v>
      </c>
      <c r="K3581" t="str">
        <f>IF(Tb_data[[#This Row],[previous_workers]]&lt;Tb_data[[#This Row],[workers]],"yes","no")</f>
        <v>yes</v>
      </c>
      <c r="L3581">
        <f>Tb_data[[#This Row],[workers]]-Tb_data[[#This Row],[previous_workers]]</f>
        <v>8</v>
      </c>
      <c r="M3581" s="12">
        <f>Tb_data[[#This Row],[Employees Growth]]/Tb_data[[#This Row],[previous_workers]]</f>
        <v>1</v>
      </c>
    </row>
    <row r="3582" spans="1:13" x14ac:dyDescent="0.25">
      <c r="A3582" s="1" t="s">
        <v>6986</v>
      </c>
      <c r="B3582" s="1" t="s">
        <v>6987</v>
      </c>
      <c r="C3582" s="1">
        <v>13700000</v>
      </c>
      <c r="D3582" s="1" t="s">
        <v>58</v>
      </c>
      <c r="E3582">
        <v>102.13420000000001</v>
      </c>
      <c r="F3582" s="1" t="s">
        <v>156</v>
      </c>
      <c r="G3582">
        <v>71</v>
      </c>
      <c r="H3582">
        <v>48</v>
      </c>
      <c r="I3582" s="1" t="s">
        <v>468</v>
      </c>
      <c r="J3582">
        <v>4</v>
      </c>
      <c r="K3582" t="str">
        <f>IF(Tb_data[[#This Row],[previous_workers]]&lt;Tb_data[[#This Row],[workers]],"yes","no")</f>
        <v>yes</v>
      </c>
      <c r="L3582">
        <f>Tb_data[[#This Row],[workers]]-Tb_data[[#This Row],[previous_workers]]</f>
        <v>23</v>
      </c>
      <c r="M3582" s="12">
        <f>Tb_data[[#This Row],[Employees Growth]]/Tb_data[[#This Row],[previous_workers]]</f>
        <v>0.47916666666666669</v>
      </c>
    </row>
    <row r="3583" spans="1:13" x14ac:dyDescent="0.25">
      <c r="A3583" s="1" t="s">
        <v>4685</v>
      </c>
      <c r="B3583" s="1" t="s">
        <v>4686</v>
      </c>
      <c r="C3583" s="1">
        <v>7000000</v>
      </c>
      <c r="D3583" s="1" t="s">
        <v>16</v>
      </c>
      <c r="E3583">
        <v>174.93180000000001</v>
      </c>
      <c r="F3583" s="1" t="s">
        <v>124</v>
      </c>
      <c r="G3583">
        <v>55</v>
      </c>
      <c r="H3583">
        <v>22</v>
      </c>
      <c r="I3583" s="1" t="s">
        <v>194</v>
      </c>
      <c r="J3583">
        <v>3</v>
      </c>
      <c r="K3583" t="str">
        <f>IF(Tb_data[[#This Row],[previous_workers]]&lt;Tb_data[[#This Row],[workers]],"yes","no")</f>
        <v>yes</v>
      </c>
      <c r="L3583">
        <f>Tb_data[[#This Row],[workers]]-Tb_data[[#This Row],[previous_workers]]</f>
        <v>33</v>
      </c>
      <c r="M3583" s="12">
        <f>Tb_data[[#This Row],[Employees Growth]]/Tb_data[[#This Row],[previous_workers]]</f>
        <v>1.5</v>
      </c>
    </row>
    <row r="3584" spans="1:13" x14ac:dyDescent="0.25">
      <c r="A3584" s="1" t="s">
        <v>6303</v>
      </c>
      <c r="B3584" s="1" t="s">
        <v>6304</v>
      </c>
      <c r="C3584" s="1">
        <v>86200000</v>
      </c>
      <c r="D3584" s="1" t="s">
        <v>49</v>
      </c>
      <c r="E3584">
        <v>118.8653</v>
      </c>
      <c r="F3584" s="1" t="s">
        <v>97</v>
      </c>
      <c r="G3584">
        <v>380</v>
      </c>
      <c r="H3584">
        <v>264</v>
      </c>
      <c r="I3584" s="1" t="s">
        <v>46</v>
      </c>
      <c r="J3584">
        <v>7</v>
      </c>
      <c r="K3584" t="str">
        <f>IF(Tb_data[[#This Row],[previous_workers]]&lt;Tb_data[[#This Row],[workers]],"yes","no")</f>
        <v>yes</v>
      </c>
      <c r="L3584">
        <f>Tb_data[[#This Row],[workers]]-Tb_data[[#This Row],[previous_workers]]</f>
        <v>116</v>
      </c>
      <c r="M3584" s="12">
        <f>Tb_data[[#This Row],[Employees Growth]]/Tb_data[[#This Row],[previous_workers]]</f>
        <v>0.43939393939393939</v>
      </c>
    </row>
    <row r="3585" spans="1:13" x14ac:dyDescent="0.25">
      <c r="A3585" s="1" t="s">
        <v>9818</v>
      </c>
      <c r="B3585" s="1" t="s">
        <v>9819</v>
      </c>
      <c r="C3585" s="1">
        <v>8600000</v>
      </c>
      <c r="D3585" s="1" t="s">
        <v>16</v>
      </c>
      <c r="E3585">
        <v>56.6492</v>
      </c>
      <c r="F3585" s="1" t="s">
        <v>12</v>
      </c>
      <c r="G3585">
        <v>45</v>
      </c>
      <c r="H3585">
        <v>32</v>
      </c>
      <c r="I3585" s="1" t="s">
        <v>1051</v>
      </c>
      <c r="J3585">
        <v>7</v>
      </c>
      <c r="K3585" t="str">
        <f>IF(Tb_data[[#This Row],[previous_workers]]&lt;Tb_data[[#This Row],[workers]],"yes","no")</f>
        <v>yes</v>
      </c>
      <c r="L3585">
        <f>Tb_data[[#This Row],[workers]]-Tb_data[[#This Row],[previous_workers]]</f>
        <v>13</v>
      </c>
      <c r="M3585" s="12">
        <f>Tb_data[[#This Row],[Employees Growth]]/Tb_data[[#This Row],[previous_workers]]</f>
        <v>0.40625</v>
      </c>
    </row>
    <row r="3586" spans="1:13" x14ac:dyDescent="0.25">
      <c r="A3586" s="1" t="s">
        <v>549</v>
      </c>
      <c r="B3586" s="1" t="s">
        <v>550</v>
      </c>
      <c r="C3586" s="1">
        <v>46200000</v>
      </c>
      <c r="D3586" s="1" t="s">
        <v>254</v>
      </c>
      <c r="E3586">
        <v>1797.0416</v>
      </c>
      <c r="F3586" s="1" t="s">
        <v>310</v>
      </c>
      <c r="G3586">
        <v>79</v>
      </c>
      <c r="H3586">
        <v>22</v>
      </c>
      <c r="I3586" s="1" t="s">
        <v>130</v>
      </c>
      <c r="J3586">
        <v>2</v>
      </c>
      <c r="K3586" t="str">
        <f>IF(Tb_data[[#This Row],[previous_workers]]&lt;Tb_data[[#This Row],[workers]],"yes","no")</f>
        <v>yes</v>
      </c>
      <c r="L3586">
        <f>Tb_data[[#This Row],[workers]]-Tb_data[[#This Row],[previous_workers]]</f>
        <v>57</v>
      </c>
      <c r="M3586" s="12">
        <f>Tb_data[[#This Row],[Employees Growth]]/Tb_data[[#This Row],[previous_workers]]</f>
        <v>2.5909090909090908</v>
      </c>
    </row>
    <row r="3587" spans="1:13" x14ac:dyDescent="0.25">
      <c r="A3587" s="1" t="s">
        <v>9562</v>
      </c>
      <c r="B3587" s="1" t="s">
        <v>9563</v>
      </c>
      <c r="C3587" s="1">
        <v>17600000</v>
      </c>
      <c r="D3587" s="1" t="s">
        <v>49</v>
      </c>
      <c r="E3587">
        <v>59.536999999999999</v>
      </c>
      <c r="F3587" s="1" t="s">
        <v>86</v>
      </c>
      <c r="G3587">
        <v>105</v>
      </c>
      <c r="H3587">
        <v>93</v>
      </c>
      <c r="I3587" s="1" t="s">
        <v>948</v>
      </c>
      <c r="J3587">
        <v>7</v>
      </c>
      <c r="K3587" t="str">
        <f>IF(Tb_data[[#This Row],[previous_workers]]&lt;Tb_data[[#This Row],[workers]],"yes","no")</f>
        <v>yes</v>
      </c>
      <c r="L3587">
        <f>Tb_data[[#This Row],[workers]]-Tb_data[[#This Row],[previous_workers]]</f>
        <v>12</v>
      </c>
      <c r="M3587" s="12">
        <f>Tb_data[[#This Row],[Employees Growth]]/Tb_data[[#This Row],[previous_workers]]</f>
        <v>0.12903225806451613</v>
      </c>
    </row>
    <row r="3588" spans="1:13" x14ac:dyDescent="0.25">
      <c r="A3588" s="1" t="s">
        <v>1572</v>
      </c>
      <c r="B3588" s="1" t="s">
        <v>1573</v>
      </c>
      <c r="C3588" s="1">
        <v>32600000</v>
      </c>
      <c r="D3588" s="1" t="s">
        <v>69</v>
      </c>
      <c r="E3588">
        <v>595.7518</v>
      </c>
      <c r="F3588" s="1" t="s">
        <v>25</v>
      </c>
      <c r="G3588">
        <v>16</v>
      </c>
      <c r="H3588">
        <v>6</v>
      </c>
      <c r="I3588" s="1" t="s">
        <v>74</v>
      </c>
      <c r="J3588">
        <v>3</v>
      </c>
      <c r="K3588" t="str">
        <f>IF(Tb_data[[#This Row],[previous_workers]]&lt;Tb_data[[#This Row],[workers]],"yes","no")</f>
        <v>yes</v>
      </c>
      <c r="L3588">
        <f>Tb_data[[#This Row],[workers]]-Tb_data[[#This Row],[previous_workers]]</f>
        <v>10</v>
      </c>
      <c r="M3588" s="12">
        <f>Tb_data[[#This Row],[Employees Growth]]/Tb_data[[#This Row],[previous_workers]]</f>
        <v>1.6666666666666667</v>
      </c>
    </row>
    <row r="3589" spans="1:13" x14ac:dyDescent="0.25">
      <c r="A3589" s="1" t="s">
        <v>5964</v>
      </c>
      <c r="B3589" s="1" t="s">
        <v>5965</v>
      </c>
      <c r="C3589" s="1">
        <v>205300000</v>
      </c>
      <c r="D3589" s="1" t="s">
        <v>33</v>
      </c>
      <c r="E3589">
        <v>127.4854</v>
      </c>
      <c r="F3589" s="1" t="s">
        <v>17</v>
      </c>
      <c r="G3589">
        <v>300</v>
      </c>
      <c r="H3589">
        <v>85</v>
      </c>
      <c r="I3589" s="1" t="s">
        <v>1411</v>
      </c>
      <c r="J3589">
        <v>1</v>
      </c>
      <c r="K3589" t="str">
        <f>IF(Tb_data[[#This Row],[previous_workers]]&lt;Tb_data[[#This Row],[workers]],"yes","no")</f>
        <v>yes</v>
      </c>
      <c r="L3589">
        <f>Tb_data[[#This Row],[workers]]-Tb_data[[#This Row],[previous_workers]]</f>
        <v>215</v>
      </c>
      <c r="M3589" s="12">
        <f>Tb_data[[#This Row],[Employees Growth]]/Tb_data[[#This Row],[previous_workers]]</f>
        <v>2.5294117647058822</v>
      </c>
    </row>
    <row r="3590" spans="1:13" x14ac:dyDescent="0.25">
      <c r="A3590" s="1" t="s">
        <v>8655</v>
      </c>
      <c r="B3590" s="1" t="s">
        <v>8656</v>
      </c>
      <c r="C3590" s="1">
        <v>7900000</v>
      </c>
      <c r="D3590" s="1" t="s">
        <v>33</v>
      </c>
      <c r="E3590">
        <v>71.591200000000001</v>
      </c>
      <c r="F3590" s="1" t="s">
        <v>172</v>
      </c>
      <c r="G3590">
        <v>84</v>
      </c>
      <c r="H3590">
        <v>49</v>
      </c>
      <c r="I3590" s="1" t="s">
        <v>948</v>
      </c>
      <c r="J3590">
        <v>6</v>
      </c>
      <c r="K3590" t="str">
        <f>IF(Tb_data[[#This Row],[previous_workers]]&lt;Tb_data[[#This Row],[workers]],"yes","no")</f>
        <v>yes</v>
      </c>
      <c r="L3590">
        <f>Tb_data[[#This Row],[workers]]-Tb_data[[#This Row],[previous_workers]]</f>
        <v>35</v>
      </c>
      <c r="M3590" s="12">
        <f>Tb_data[[#This Row],[Employees Growth]]/Tb_data[[#This Row],[previous_workers]]</f>
        <v>0.7142857142857143</v>
      </c>
    </row>
    <row r="3591" spans="1:13" x14ac:dyDescent="0.25">
      <c r="A3591" s="1" t="s">
        <v>8097</v>
      </c>
      <c r="B3591" s="1" t="s">
        <v>8098</v>
      </c>
      <c r="C3591" s="1">
        <v>32300000</v>
      </c>
      <c r="D3591" s="1" t="s">
        <v>49</v>
      </c>
      <c r="E3591">
        <v>81.133099999999999</v>
      </c>
      <c r="F3591" s="1" t="s">
        <v>100</v>
      </c>
      <c r="G3591">
        <v>140</v>
      </c>
      <c r="H3591">
        <v>95</v>
      </c>
      <c r="I3591" s="1" t="s">
        <v>295</v>
      </c>
      <c r="J3591">
        <v>2</v>
      </c>
      <c r="K3591" t="str">
        <f>IF(Tb_data[[#This Row],[previous_workers]]&lt;Tb_data[[#This Row],[workers]],"yes","no")</f>
        <v>yes</v>
      </c>
      <c r="L3591">
        <f>Tb_data[[#This Row],[workers]]-Tb_data[[#This Row],[previous_workers]]</f>
        <v>45</v>
      </c>
      <c r="M3591" s="12">
        <f>Tb_data[[#This Row],[Employees Growth]]/Tb_data[[#This Row],[previous_workers]]</f>
        <v>0.47368421052631576</v>
      </c>
    </row>
    <row r="3592" spans="1:13" x14ac:dyDescent="0.25">
      <c r="A3592" s="1" t="s">
        <v>6057</v>
      </c>
      <c r="B3592" s="1" t="s">
        <v>6058</v>
      </c>
      <c r="C3592" s="1">
        <v>8900000</v>
      </c>
      <c r="D3592" s="1" t="s">
        <v>49</v>
      </c>
      <c r="E3592">
        <v>125.349</v>
      </c>
      <c r="F3592" s="1" t="s">
        <v>176</v>
      </c>
      <c r="G3592">
        <v>4</v>
      </c>
      <c r="H3592">
        <v>3</v>
      </c>
      <c r="I3592" s="1" t="s">
        <v>164</v>
      </c>
      <c r="J3592">
        <v>4</v>
      </c>
      <c r="K3592" t="str">
        <f>IF(Tb_data[[#This Row],[previous_workers]]&lt;Tb_data[[#This Row],[workers]],"yes","no")</f>
        <v>yes</v>
      </c>
      <c r="L3592">
        <f>Tb_data[[#This Row],[workers]]-Tb_data[[#This Row],[previous_workers]]</f>
        <v>1</v>
      </c>
      <c r="M3592" s="12">
        <f>Tb_data[[#This Row],[Employees Growth]]/Tb_data[[#This Row],[previous_workers]]</f>
        <v>0.33333333333333331</v>
      </c>
    </row>
    <row r="3593" spans="1:13" x14ac:dyDescent="0.25">
      <c r="A3593" s="1" t="s">
        <v>4539</v>
      </c>
      <c r="B3593" s="1" t="s">
        <v>4540</v>
      </c>
      <c r="C3593" s="1">
        <v>17600000</v>
      </c>
      <c r="D3593" s="1" t="s">
        <v>20</v>
      </c>
      <c r="E3593">
        <v>180.72929999999999</v>
      </c>
      <c r="F3593" s="1" t="s">
        <v>124</v>
      </c>
      <c r="G3593">
        <v>30</v>
      </c>
      <c r="H3593">
        <v>20</v>
      </c>
      <c r="I3593" s="1" t="s">
        <v>35</v>
      </c>
      <c r="J3593">
        <v>2</v>
      </c>
      <c r="K3593" t="str">
        <f>IF(Tb_data[[#This Row],[previous_workers]]&lt;Tb_data[[#This Row],[workers]],"yes","no")</f>
        <v>yes</v>
      </c>
      <c r="L3593">
        <f>Tb_data[[#This Row],[workers]]-Tb_data[[#This Row],[previous_workers]]</f>
        <v>10</v>
      </c>
      <c r="M3593" s="12">
        <f>Tb_data[[#This Row],[Employees Growth]]/Tb_data[[#This Row],[previous_workers]]</f>
        <v>0.5</v>
      </c>
    </row>
    <row r="3594" spans="1:13" x14ac:dyDescent="0.25">
      <c r="A3594" s="1" t="s">
        <v>6727</v>
      </c>
      <c r="B3594" s="1" t="s">
        <v>6728</v>
      </c>
      <c r="C3594" s="1">
        <v>20300000</v>
      </c>
      <c r="D3594" s="1" t="s">
        <v>627</v>
      </c>
      <c r="E3594">
        <v>108.41840000000001</v>
      </c>
      <c r="F3594" s="1" t="s">
        <v>112</v>
      </c>
      <c r="G3594">
        <v>66</v>
      </c>
      <c r="H3594">
        <v>47</v>
      </c>
      <c r="I3594" s="1" t="s">
        <v>3426</v>
      </c>
      <c r="J3594">
        <v>1</v>
      </c>
      <c r="K3594" t="str">
        <f>IF(Tb_data[[#This Row],[previous_workers]]&lt;Tb_data[[#This Row],[workers]],"yes","no")</f>
        <v>yes</v>
      </c>
      <c r="L3594">
        <f>Tb_data[[#This Row],[workers]]-Tb_data[[#This Row],[previous_workers]]</f>
        <v>19</v>
      </c>
      <c r="M3594" s="12">
        <f>Tb_data[[#This Row],[Employees Growth]]/Tb_data[[#This Row],[previous_workers]]</f>
        <v>0.40425531914893614</v>
      </c>
    </row>
    <row r="3595" spans="1:13" x14ac:dyDescent="0.25">
      <c r="A3595" s="1" t="s">
        <v>5710</v>
      </c>
      <c r="B3595" s="1" t="s">
        <v>5711</v>
      </c>
      <c r="C3595" s="1">
        <v>9100000</v>
      </c>
      <c r="D3595" s="1" t="s">
        <v>20</v>
      </c>
      <c r="E3595">
        <v>134.07769999999999</v>
      </c>
      <c r="F3595" s="1" t="s">
        <v>161</v>
      </c>
      <c r="G3595">
        <v>21</v>
      </c>
      <c r="H3595">
        <v>12</v>
      </c>
      <c r="I3595" s="1" t="s">
        <v>130</v>
      </c>
      <c r="J3595">
        <v>3</v>
      </c>
      <c r="K3595" t="str">
        <f>IF(Tb_data[[#This Row],[previous_workers]]&lt;Tb_data[[#This Row],[workers]],"yes","no")</f>
        <v>yes</v>
      </c>
      <c r="L3595">
        <f>Tb_data[[#This Row],[workers]]-Tb_data[[#This Row],[previous_workers]]</f>
        <v>9</v>
      </c>
      <c r="M3595" s="12">
        <f>Tb_data[[#This Row],[Employees Growth]]/Tb_data[[#This Row],[previous_workers]]</f>
        <v>0.75</v>
      </c>
    </row>
    <row r="3596" spans="1:13" x14ac:dyDescent="0.25">
      <c r="A3596" s="1" t="s">
        <v>7090</v>
      </c>
      <c r="B3596" s="1" t="s">
        <v>7091</v>
      </c>
      <c r="C3596" s="1">
        <v>7700000</v>
      </c>
      <c r="D3596" s="1" t="s">
        <v>155</v>
      </c>
      <c r="E3596">
        <v>100.47669999999999</v>
      </c>
      <c r="F3596" s="1" t="s">
        <v>12</v>
      </c>
      <c r="G3596">
        <v>46</v>
      </c>
      <c r="H3596">
        <v>25</v>
      </c>
      <c r="I3596" s="1" t="s">
        <v>35</v>
      </c>
      <c r="J3596">
        <v>3</v>
      </c>
      <c r="K3596" t="str">
        <f>IF(Tb_data[[#This Row],[previous_workers]]&lt;Tb_data[[#This Row],[workers]],"yes","no")</f>
        <v>yes</v>
      </c>
      <c r="L3596">
        <f>Tb_data[[#This Row],[workers]]-Tb_data[[#This Row],[previous_workers]]</f>
        <v>21</v>
      </c>
      <c r="M3596" s="12">
        <f>Tb_data[[#This Row],[Employees Growth]]/Tb_data[[#This Row],[previous_workers]]</f>
        <v>0.84</v>
      </c>
    </row>
    <row r="3597" spans="1:13" x14ac:dyDescent="0.25">
      <c r="A3597" s="1" t="s">
        <v>9091</v>
      </c>
      <c r="B3597" s="1" t="s">
        <v>9092</v>
      </c>
      <c r="C3597" s="1">
        <v>2400000</v>
      </c>
      <c r="D3597" s="1" t="s">
        <v>49</v>
      </c>
      <c r="E3597">
        <v>65.518699999999995</v>
      </c>
      <c r="F3597" s="1" t="s">
        <v>176</v>
      </c>
      <c r="G3597">
        <v>3</v>
      </c>
      <c r="H3597">
        <v>2</v>
      </c>
      <c r="I3597" s="1" t="s">
        <v>26</v>
      </c>
      <c r="J3597">
        <v>1</v>
      </c>
      <c r="K3597" t="str">
        <f>IF(Tb_data[[#This Row],[previous_workers]]&lt;Tb_data[[#This Row],[workers]],"yes","no")</f>
        <v>yes</v>
      </c>
      <c r="L3597">
        <f>Tb_data[[#This Row],[workers]]-Tb_data[[#This Row],[previous_workers]]</f>
        <v>1</v>
      </c>
      <c r="M3597" s="12">
        <f>Tb_data[[#This Row],[Employees Growth]]/Tb_data[[#This Row],[previous_workers]]</f>
        <v>0.5</v>
      </c>
    </row>
    <row r="3598" spans="1:13" x14ac:dyDescent="0.25">
      <c r="A3598" s="1" t="s">
        <v>9501</v>
      </c>
      <c r="B3598" s="1" t="s">
        <v>9502</v>
      </c>
      <c r="C3598" s="1">
        <v>2500000</v>
      </c>
      <c r="D3598" s="1" t="s">
        <v>16</v>
      </c>
      <c r="E3598">
        <v>60.330800000000004</v>
      </c>
      <c r="F3598" s="1" t="s">
        <v>34</v>
      </c>
      <c r="G3598">
        <v>9</v>
      </c>
      <c r="H3598">
        <v>5</v>
      </c>
      <c r="I3598" s="1" t="s">
        <v>194</v>
      </c>
      <c r="J3598">
        <v>1</v>
      </c>
      <c r="K3598" t="str">
        <f>IF(Tb_data[[#This Row],[previous_workers]]&lt;Tb_data[[#This Row],[workers]],"yes","no")</f>
        <v>yes</v>
      </c>
      <c r="L3598">
        <f>Tb_data[[#This Row],[workers]]-Tb_data[[#This Row],[previous_workers]]</f>
        <v>4</v>
      </c>
      <c r="M3598" s="12">
        <f>Tb_data[[#This Row],[Employees Growth]]/Tb_data[[#This Row],[previous_workers]]</f>
        <v>0.8</v>
      </c>
    </row>
    <row r="3599" spans="1:13" x14ac:dyDescent="0.25">
      <c r="A3599" s="1" t="s">
        <v>3593</v>
      </c>
      <c r="B3599" s="1" t="s">
        <v>3594</v>
      </c>
      <c r="C3599" s="1">
        <v>36400000</v>
      </c>
      <c r="D3599" s="1" t="s">
        <v>123</v>
      </c>
      <c r="E3599">
        <v>234.55</v>
      </c>
      <c r="F3599" s="1" t="s">
        <v>176</v>
      </c>
      <c r="G3599">
        <v>120</v>
      </c>
      <c r="H3599">
        <v>63</v>
      </c>
      <c r="I3599" s="1" t="s">
        <v>1411</v>
      </c>
      <c r="J3599">
        <v>3</v>
      </c>
      <c r="K3599" t="str">
        <f>IF(Tb_data[[#This Row],[previous_workers]]&lt;Tb_data[[#This Row],[workers]],"yes","no")</f>
        <v>yes</v>
      </c>
      <c r="L3599">
        <f>Tb_data[[#This Row],[workers]]-Tb_data[[#This Row],[previous_workers]]</f>
        <v>57</v>
      </c>
      <c r="M3599" s="12">
        <f>Tb_data[[#This Row],[Employees Growth]]/Tb_data[[#This Row],[previous_workers]]</f>
        <v>0.90476190476190477</v>
      </c>
    </row>
    <row r="3600" spans="1:13" x14ac:dyDescent="0.25">
      <c r="A3600" s="1" t="s">
        <v>7136</v>
      </c>
      <c r="B3600" s="1" t="s">
        <v>7137</v>
      </c>
      <c r="C3600" s="1">
        <v>10400000</v>
      </c>
      <c r="D3600" s="1" t="s">
        <v>45</v>
      </c>
      <c r="E3600">
        <v>99.610399999999998</v>
      </c>
      <c r="F3600" s="1" t="s">
        <v>161</v>
      </c>
      <c r="G3600">
        <v>2300</v>
      </c>
      <c r="H3600">
        <v>940</v>
      </c>
      <c r="I3600" s="1" t="s">
        <v>74</v>
      </c>
      <c r="J3600">
        <v>1</v>
      </c>
      <c r="K3600" t="str">
        <f>IF(Tb_data[[#This Row],[previous_workers]]&lt;Tb_data[[#This Row],[workers]],"yes","no")</f>
        <v>yes</v>
      </c>
      <c r="L3600">
        <f>Tb_data[[#This Row],[workers]]-Tb_data[[#This Row],[previous_workers]]</f>
        <v>1360</v>
      </c>
      <c r="M3600" s="12">
        <f>Tb_data[[#This Row],[Employees Growth]]/Tb_data[[#This Row],[previous_workers]]</f>
        <v>1.446808510638298</v>
      </c>
    </row>
    <row r="3601" spans="1:13" x14ac:dyDescent="0.25">
      <c r="A3601" s="1" t="s">
        <v>2153</v>
      </c>
      <c r="B3601" s="1" t="s">
        <v>2154</v>
      </c>
      <c r="C3601" s="1">
        <v>10100000</v>
      </c>
      <c r="D3601" s="1" t="s">
        <v>16</v>
      </c>
      <c r="E3601">
        <v>412.63209999999998</v>
      </c>
      <c r="F3601" s="1" t="s">
        <v>172</v>
      </c>
      <c r="G3601">
        <v>118</v>
      </c>
      <c r="H3601">
        <v>21</v>
      </c>
      <c r="I3601" s="1" t="s">
        <v>35</v>
      </c>
      <c r="J3601">
        <v>4</v>
      </c>
      <c r="K3601" t="str">
        <f>IF(Tb_data[[#This Row],[previous_workers]]&lt;Tb_data[[#This Row],[workers]],"yes","no")</f>
        <v>yes</v>
      </c>
      <c r="L3601">
        <f>Tb_data[[#This Row],[workers]]-Tb_data[[#This Row],[previous_workers]]</f>
        <v>97</v>
      </c>
      <c r="M3601" s="12">
        <f>Tb_data[[#This Row],[Employees Growth]]/Tb_data[[#This Row],[previous_workers]]</f>
        <v>4.6190476190476186</v>
      </c>
    </row>
    <row r="3602" spans="1:13" x14ac:dyDescent="0.25">
      <c r="A3602" s="1" t="s">
        <v>9864</v>
      </c>
      <c r="B3602" s="1" t="s">
        <v>9865</v>
      </c>
      <c r="C3602" s="1">
        <v>42500000</v>
      </c>
      <c r="D3602" s="1" t="s">
        <v>49</v>
      </c>
      <c r="E3602">
        <v>55.790900000000001</v>
      </c>
      <c r="F3602" s="1" t="s">
        <v>21</v>
      </c>
      <c r="G3602">
        <v>69</v>
      </c>
      <c r="H3602">
        <v>66</v>
      </c>
      <c r="I3602" s="1" t="s">
        <v>1411</v>
      </c>
      <c r="J3602">
        <v>8</v>
      </c>
      <c r="K3602" t="str">
        <f>IF(Tb_data[[#This Row],[previous_workers]]&lt;Tb_data[[#This Row],[workers]],"yes","no")</f>
        <v>yes</v>
      </c>
      <c r="L3602">
        <f>Tb_data[[#This Row],[workers]]-Tb_data[[#This Row],[previous_workers]]</f>
        <v>3</v>
      </c>
      <c r="M3602" s="12">
        <f>Tb_data[[#This Row],[Employees Growth]]/Tb_data[[#This Row],[previous_workers]]</f>
        <v>4.5454545454545456E-2</v>
      </c>
    </row>
    <row r="3603" spans="1:13" x14ac:dyDescent="0.25">
      <c r="A3603" s="1" t="s">
        <v>7769</v>
      </c>
      <c r="B3603" s="1" t="s">
        <v>7770</v>
      </c>
      <c r="C3603" s="1">
        <v>64800000</v>
      </c>
      <c r="D3603" s="1" t="s">
        <v>49</v>
      </c>
      <c r="E3603">
        <v>86.799700000000001</v>
      </c>
      <c r="F3603" s="1" t="s">
        <v>62</v>
      </c>
      <c r="G3603">
        <v>180</v>
      </c>
      <c r="H3603">
        <v>60</v>
      </c>
      <c r="I3603" s="1" t="s">
        <v>117</v>
      </c>
      <c r="J3603">
        <v>7</v>
      </c>
      <c r="K3603" t="str">
        <f>IF(Tb_data[[#This Row],[previous_workers]]&lt;Tb_data[[#This Row],[workers]],"yes","no")</f>
        <v>yes</v>
      </c>
      <c r="L3603">
        <f>Tb_data[[#This Row],[workers]]-Tb_data[[#This Row],[previous_workers]]</f>
        <v>120</v>
      </c>
      <c r="M3603" s="12">
        <f>Tb_data[[#This Row],[Employees Growth]]/Tb_data[[#This Row],[previous_workers]]</f>
        <v>2</v>
      </c>
    </row>
    <row r="3604" spans="1:13" x14ac:dyDescent="0.25">
      <c r="A3604" s="1" t="s">
        <v>3971</v>
      </c>
      <c r="B3604" s="1" t="s">
        <v>3972</v>
      </c>
      <c r="C3604" s="1">
        <v>5000000</v>
      </c>
      <c r="D3604" s="1" t="s">
        <v>38</v>
      </c>
      <c r="E3604">
        <v>208.44820000000001</v>
      </c>
      <c r="F3604" s="1" t="s">
        <v>135</v>
      </c>
      <c r="G3604">
        <v>71</v>
      </c>
      <c r="H3604">
        <v>30</v>
      </c>
      <c r="I3604" s="1" t="s">
        <v>55</v>
      </c>
      <c r="J3604">
        <v>2</v>
      </c>
      <c r="K3604" t="str">
        <f>IF(Tb_data[[#This Row],[previous_workers]]&lt;Tb_data[[#This Row],[workers]],"yes","no")</f>
        <v>yes</v>
      </c>
      <c r="L3604">
        <f>Tb_data[[#This Row],[workers]]-Tb_data[[#This Row],[previous_workers]]</f>
        <v>41</v>
      </c>
      <c r="M3604" s="12">
        <f>Tb_data[[#This Row],[Employees Growth]]/Tb_data[[#This Row],[previous_workers]]</f>
        <v>1.3666666666666667</v>
      </c>
    </row>
    <row r="3605" spans="1:13" x14ac:dyDescent="0.25">
      <c r="A3605" s="1" t="s">
        <v>1467</v>
      </c>
      <c r="B3605" s="1" t="s">
        <v>1468</v>
      </c>
      <c r="C3605" s="1">
        <v>17300000</v>
      </c>
      <c r="D3605" s="1" t="s">
        <v>58</v>
      </c>
      <c r="E3605">
        <v>640.46929999999998</v>
      </c>
      <c r="F3605" s="1" t="s">
        <v>30</v>
      </c>
      <c r="G3605">
        <v>18</v>
      </c>
      <c r="H3605">
        <v>6</v>
      </c>
      <c r="I3605" s="1" t="s">
        <v>13</v>
      </c>
      <c r="J3605">
        <v>1</v>
      </c>
      <c r="K3605" t="str">
        <f>IF(Tb_data[[#This Row],[previous_workers]]&lt;Tb_data[[#This Row],[workers]],"yes","no")</f>
        <v>yes</v>
      </c>
      <c r="L3605">
        <f>Tb_data[[#This Row],[workers]]-Tb_data[[#This Row],[previous_workers]]</f>
        <v>12</v>
      </c>
      <c r="M3605" s="12">
        <f>Tb_data[[#This Row],[Employees Growth]]/Tb_data[[#This Row],[previous_workers]]</f>
        <v>2</v>
      </c>
    </row>
    <row r="3606" spans="1:13" x14ac:dyDescent="0.25">
      <c r="A3606" s="1" t="s">
        <v>6299</v>
      </c>
      <c r="B3606" s="1" t="s">
        <v>6300</v>
      </c>
      <c r="C3606" s="1">
        <v>20600000</v>
      </c>
      <c r="D3606" s="1" t="s">
        <v>49</v>
      </c>
      <c r="E3606">
        <v>118.9328</v>
      </c>
      <c r="F3606" s="1" t="s">
        <v>112</v>
      </c>
      <c r="G3606">
        <v>41</v>
      </c>
      <c r="H3606">
        <v>36</v>
      </c>
      <c r="I3606" s="1" t="s">
        <v>1051</v>
      </c>
      <c r="J3606">
        <v>3</v>
      </c>
      <c r="K3606" t="str">
        <f>IF(Tb_data[[#This Row],[previous_workers]]&lt;Tb_data[[#This Row],[workers]],"yes","no")</f>
        <v>yes</v>
      </c>
      <c r="L3606">
        <f>Tb_data[[#This Row],[workers]]-Tb_data[[#This Row],[previous_workers]]</f>
        <v>5</v>
      </c>
      <c r="M3606" s="12">
        <f>Tb_data[[#This Row],[Employees Growth]]/Tb_data[[#This Row],[previous_workers]]</f>
        <v>0.1388888888888889</v>
      </c>
    </row>
    <row r="3607" spans="1:13" x14ac:dyDescent="0.25">
      <c r="A3607" s="1" t="s">
        <v>2729</v>
      </c>
      <c r="B3607" s="1" t="s">
        <v>2730</v>
      </c>
      <c r="C3607" s="1">
        <v>37800000</v>
      </c>
      <c r="D3607" s="1" t="s">
        <v>49</v>
      </c>
      <c r="E3607">
        <v>315.70819999999998</v>
      </c>
      <c r="F3607" s="1" t="s">
        <v>86</v>
      </c>
      <c r="G3607">
        <v>338</v>
      </c>
      <c r="H3607">
        <v>94</v>
      </c>
      <c r="I3607" s="1" t="s">
        <v>164</v>
      </c>
      <c r="J3607">
        <v>3</v>
      </c>
      <c r="K3607" t="str">
        <f>IF(Tb_data[[#This Row],[previous_workers]]&lt;Tb_data[[#This Row],[workers]],"yes","no")</f>
        <v>yes</v>
      </c>
      <c r="L3607">
        <f>Tb_data[[#This Row],[workers]]-Tb_data[[#This Row],[previous_workers]]</f>
        <v>244</v>
      </c>
      <c r="M3607" s="12">
        <f>Tb_data[[#This Row],[Employees Growth]]/Tb_data[[#This Row],[previous_workers]]</f>
        <v>2.5957446808510638</v>
      </c>
    </row>
    <row r="3608" spans="1:13" x14ac:dyDescent="0.25">
      <c r="A3608" s="1" t="s">
        <v>4443</v>
      </c>
      <c r="B3608" s="1" t="s">
        <v>4444</v>
      </c>
      <c r="C3608" s="1">
        <v>21200000</v>
      </c>
      <c r="D3608" s="1" t="s">
        <v>61</v>
      </c>
      <c r="E3608">
        <v>185.16980000000001</v>
      </c>
      <c r="F3608" s="1" t="s">
        <v>21</v>
      </c>
      <c r="G3608">
        <v>80</v>
      </c>
      <c r="H3608">
        <v>31</v>
      </c>
      <c r="I3608" s="1" t="s">
        <v>130</v>
      </c>
      <c r="J3608">
        <v>4</v>
      </c>
      <c r="K3608" t="str">
        <f>IF(Tb_data[[#This Row],[previous_workers]]&lt;Tb_data[[#This Row],[workers]],"yes","no")</f>
        <v>yes</v>
      </c>
      <c r="L3608">
        <f>Tb_data[[#This Row],[workers]]-Tb_data[[#This Row],[previous_workers]]</f>
        <v>49</v>
      </c>
      <c r="M3608" s="12">
        <f>Tb_data[[#This Row],[Employees Growth]]/Tb_data[[#This Row],[previous_workers]]</f>
        <v>1.5806451612903225</v>
      </c>
    </row>
    <row r="3609" spans="1:13" x14ac:dyDescent="0.25">
      <c r="A3609" s="1" t="s">
        <v>8887</v>
      </c>
      <c r="B3609" s="1" t="s">
        <v>8888</v>
      </c>
      <c r="C3609" s="1">
        <v>39300000</v>
      </c>
      <c r="D3609" s="1" t="s">
        <v>29</v>
      </c>
      <c r="E3609">
        <v>68.218400000000003</v>
      </c>
      <c r="F3609" s="1" t="s">
        <v>12</v>
      </c>
      <c r="G3609">
        <v>198</v>
      </c>
      <c r="H3609">
        <v>122</v>
      </c>
      <c r="I3609" s="1" t="s">
        <v>147</v>
      </c>
      <c r="J3609">
        <v>4</v>
      </c>
      <c r="K3609" t="str">
        <f>IF(Tb_data[[#This Row],[previous_workers]]&lt;Tb_data[[#This Row],[workers]],"yes","no")</f>
        <v>yes</v>
      </c>
      <c r="L3609">
        <f>Tb_data[[#This Row],[workers]]-Tb_data[[#This Row],[previous_workers]]</f>
        <v>76</v>
      </c>
      <c r="M3609" s="12">
        <f>Tb_data[[#This Row],[Employees Growth]]/Tb_data[[#This Row],[previous_workers]]</f>
        <v>0.62295081967213117</v>
      </c>
    </row>
    <row r="3610" spans="1:13" x14ac:dyDescent="0.25">
      <c r="A3610" s="1" t="s">
        <v>4974</v>
      </c>
      <c r="B3610" s="1" t="s">
        <v>4975</v>
      </c>
      <c r="C3610" s="1">
        <v>2800000</v>
      </c>
      <c r="D3610" s="1" t="s">
        <v>16</v>
      </c>
      <c r="E3610">
        <v>162.8056</v>
      </c>
      <c r="F3610" s="1" t="s">
        <v>34</v>
      </c>
      <c r="G3610">
        <v>20</v>
      </c>
      <c r="H3610">
        <v>9</v>
      </c>
      <c r="I3610" s="1" t="s">
        <v>55</v>
      </c>
      <c r="J3610">
        <v>1</v>
      </c>
      <c r="K3610" t="str">
        <f>IF(Tb_data[[#This Row],[previous_workers]]&lt;Tb_data[[#This Row],[workers]],"yes","no")</f>
        <v>yes</v>
      </c>
      <c r="L3610">
        <f>Tb_data[[#This Row],[workers]]-Tb_data[[#This Row],[previous_workers]]</f>
        <v>11</v>
      </c>
      <c r="M3610" s="12">
        <f>Tb_data[[#This Row],[Employees Growth]]/Tb_data[[#This Row],[previous_workers]]</f>
        <v>1.2222222222222223</v>
      </c>
    </row>
    <row r="3611" spans="1:13" x14ac:dyDescent="0.25">
      <c r="A3611" s="1" t="s">
        <v>3368</v>
      </c>
      <c r="B3611" s="1" t="s">
        <v>3369</v>
      </c>
      <c r="C3611" s="1">
        <v>9500000</v>
      </c>
      <c r="D3611" s="1" t="s">
        <v>20</v>
      </c>
      <c r="E3611">
        <v>254.67769999999999</v>
      </c>
      <c r="F3611" s="1" t="s">
        <v>124</v>
      </c>
      <c r="G3611">
        <v>29</v>
      </c>
      <c r="H3611">
        <v>13</v>
      </c>
      <c r="I3611" s="1" t="s">
        <v>2628</v>
      </c>
      <c r="J3611">
        <v>1</v>
      </c>
      <c r="K3611" t="str">
        <f>IF(Tb_data[[#This Row],[previous_workers]]&lt;Tb_data[[#This Row],[workers]],"yes","no")</f>
        <v>yes</v>
      </c>
      <c r="L3611">
        <f>Tb_data[[#This Row],[workers]]-Tb_data[[#This Row],[previous_workers]]</f>
        <v>16</v>
      </c>
      <c r="M3611" s="12">
        <f>Tb_data[[#This Row],[Employees Growth]]/Tb_data[[#This Row],[previous_workers]]</f>
        <v>1.2307692307692308</v>
      </c>
    </row>
    <row r="3612" spans="1:13" x14ac:dyDescent="0.25">
      <c r="A3612" s="1" t="s">
        <v>5816</v>
      </c>
      <c r="B3612" s="1" t="s">
        <v>5817</v>
      </c>
      <c r="C3612" s="1">
        <v>26500000</v>
      </c>
      <c r="D3612" s="1" t="s">
        <v>91</v>
      </c>
      <c r="E3612">
        <v>130.827</v>
      </c>
      <c r="F3612" s="1" t="s">
        <v>310</v>
      </c>
      <c r="G3612">
        <v>17</v>
      </c>
      <c r="H3612">
        <v>6</v>
      </c>
      <c r="I3612" s="1" t="s">
        <v>164</v>
      </c>
      <c r="J3612">
        <v>3</v>
      </c>
      <c r="K3612" t="str">
        <f>IF(Tb_data[[#This Row],[previous_workers]]&lt;Tb_data[[#This Row],[workers]],"yes","no")</f>
        <v>yes</v>
      </c>
      <c r="L3612">
        <f>Tb_data[[#This Row],[workers]]-Tb_data[[#This Row],[previous_workers]]</f>
        <v>11</v>
      </c>
      <c r="M3612" s="12">
        <f>Tb_data[[#This Row],[Employees Growth]]/Tb_data[[#This Row],[previous_workers]]</f>
        <v>1.8333333333333333</v>
      </c>
    </row>
    <row r="3613" spans="1:13" x14ac:dyDescent="0.25">
      <c r="A3613" s="1" t="s">
        <v>9185</v>
      </c>
      <c r="B3613" s="1" t="s">
        <v>9186</v>
      </c>
      <c r="C3613" s="1">
        <v>2000000</v>
      </c>
      <c r="D3613" s="1" t="s">
        <v>69</v>
      </c>
      <c r="E3613">
        <v>64.313900000000004</v>
      </c>
      <c r="F3613" s="1" t="s">
        <v>152</v>
      </c>
      <c r="G3613">
        <v>25</v>
      </c>
      <c r="H3613">
        <v>4</v>
      </c>
      <c r="I3613" s="1" t="s">
        <v>55</v>
      </c>
      <c r="J3613">
        <v>1</v>
      </c>
      <c r="K3613" t="str">
        <f>IF(Tb_data[[#This Row],[previous_workers]]&lt;Tb_data[[#This Row],[workers]],"yes","no")</f>
        <v>yes</v>
      </c>
      <c r="L3613">
        <f>Tb_data[[#This Row],[workers]]-Tb_data[[#This Row],[previous_workers]]</f>
        <v>21</v>
      </c>
      <c r="M3613" s="12">
        <f>Tb_data[[#This Row],[Employees Growth]]/Tb_data[[#This Row],[previous_workers]]</f>
        <v>5.25</v>
      </c>
    </row>
    <row r="3614" spans="1:13" x14ac:dyDescent="0.25">
      <c r="A3614" s="1" t="s">
        <v>2755</v>
      </c>
      <c r="B3614" s="1" t="s">
        <v>2756</v>
      </c>
      <c r="C3614" s="1">
        <v>5000000</v>
      </c>
      <c r="D3614" s="1" t="s">
        <v>115</v>
      </c>
      <c r="E3614">
        <v>312.26319999999998</v>
      </c>
      <c r="F3614" s="1" t="s">
        <v>100</v>
      </c>
      <c r="G3614">
        <v>26</v>
      </c>
      <c r="H3614">
        <v>5</v>
      </c>
      <c r="I3614" s="1" t="s">
        <v>55</v>
      </c>
      <c r="J3614">
        <v>1</v>
      </c>
      <c r="K3614" t="str">
        <f>IF(Tb_data[[#This Row],[previous_workers]]&lt;Tb_data[[#This Row],[workers]],"yes","no")</f>
        <v>yes</v>
      </c>
      <c r="L3614">
        <f>Tb_data[[#This Row],[workers]]-Tb_data[[#This Row],[previous_workers]]</f>
        <v>21</v>
      </c>
      <c r="M3614" s="12">
        <f>Tb_data[[#This Row],[Employees Growth]]/Tb_data[[#This Row],[previous_workers]]</f>
        <v>4.2</v>
      </c>
    </row>
    <row r="3615" spans="1:13" x14ac:dyDescent="0.25">
      <c r="A3615" s="1" t="s">
        <v>6203</v>
      </c>
      <c r="B3615" s="1" t="s">
        <v>6204</v>
      </c>
      <c r="C3615" s="1">
        <v>4100000</v>
      </c>
      <c r="D3615" s="1" t="s">
        <v>895</v>
      </c>
      <c r="E3615">
        <v>121.3146</v>
      </c>
      <c r="F3615" s="1" t="s">
        <v>86</v>
      </c>
      <c r="G3615">
        <v>13</v>
      </c>
      <c r="H3615">
        <v>6</v>
      </c>
      <c r="I3615" s="1" t="s">
        <v>35</v>
      </c>
      <c r="J3615">
        <v>3</v>
      </c>
      <c r="K3615" t="str">
        <f>IF(Tb_data[[#This Row],[previous_workers]]&lt;Tb_data[[#This Row],[workers]],"yes","no")</f>
        <v>yes</v>
      </c>
      <c r="L3615">
        <f>Tb_data[[#This Row],[workers]]-Tb_data[[#This Row],[previous_workers]]</f>
        <v>7</v>
      </c>
      <c r="M3615" s="12">
        <f>Tb_data[[#This Row],[Employees Growth]]/Tb_data[[#This Row],[previous_workers]]</f>
        <v>1.1666666666666667</v>
      </c>
    </row>
    <row r="3616" spans="1:13" x14ac:dyDescent="0.25">
      <c r="A3616" s="1" t="s">
        <v>869</v>
      </c>
      <c r="B3616" s="1" t="s">
        <v>870</v>
      </c>
      <c r="C3616" s="1">
        <v>4800000</v>
      </c>
      <c r="D3616" s="1" t="s">
        <v>69</v>
      </c>
      <c r="E3616">
        <v>1183.9145000000001</v>
      </c>
      <c r="F3616" s="1" t="s">
        <v>142</v>
      </c>
      <c r="G3616">
        <v>28</v>
      </c>
      <c r="H3616">
        <v>16</v>
      </c>
      <c r="I3616" s="1" t="s">
        <v>55</v>
      </c>
      <c r="J3616">
        <v>1</v>
      </c>
      <c r="K3616" t="str">
        <f>IF(Tb_data[[#This Row],[previous_workers]]&lt;Tb_data[[#This Row],[workers]],"yes","no")</f>
        <v>yes</v>
      </c>
      <c r="L3616">
        <f>Tb_data[[#This Row],[workers]]-Tb_data[[#This Row],[previous_workers]]</f>
        <v>12</v>
      </c>
      <c r="M3616" s="12">
        <f>Tb_data[[#This Row],[Employees Growth]]/Tb_data[[#This Row],[previous_workers]]</f>
        <v>0.75</v>
      </c>
    </row>
    <row r="3617" spans="1:13" x14ac:dyDescent="0.25">
      <c r="A3617" s="1" t="s">
        <v>6439</v>
      </c>
      <c r="B3617" s="1" t="s">
        <v>6440</v>
      </c>
      <c r="C3617" s="1">
        <v>32800000</v>
      </c>
      <c r="D3617" s="1" t="s">
        <v>155</v>
      </c>
      <c r="E3617">
        <v>115.3986</v>
      </c>
      <c r="F3617" s="1" t="s">
        <v>100</v>
      </c>
      <c r="G3617">
        <v>375</v>
      </c>
      <c r="H3617">
        <v>110</v>
      </c>
      <c r="I3617" s="1" t="s">
        <v>194</v>
      </c>
      <c r="J3617">
        <v>10</v>
      </c>
      <c r="K3617" t="str">
        <f>IF(Tb_data[[#This Row],[previous_workers]]&lt;Tb_data[[#This Row],[workers]],"yes","no")</f>
        <v>yes</v>
      </c>
      <c r="L3617">
        <f>Tb_data[[#This Row],[workers]]-Tb_data[[#This Row],[previous_workers]]</f>
        <v>265</v>
      </c>
      <c r="M3617" s="12">
        <f>Tb_data[[#This Row],[Employees Growth]]/Tb_data[[#This Row],[previous_workers]]</f>
        <v>2.4090909090909092</v>
      </c>
    </row>
    <row r="3618" spans="1:13" x14ac:dyDescent="0.25">
      <c r="A3618" s="1" t="s">
        <v>4615</v>
      </c>
      <c r="B3618" s="1" t="s">
        <v>4616</v>
      </c>
      <c r="C3618" s="1">
        <v>2800000</v>
      </c>
      <c r="D3618" s="1" t="s">
        <v>20</v>
      </c>
      <c r="E3618">
        <v>177.46379999999999</v>
      </c>
      <c r="F3618" s="1" t="s">
        <v>100</v>
      </c>
      <c r="G3618">
        <v>14</v>
      </c>
      <c r="H3618">
        <v>7</v>
      </c>
      <c r="I3618" s="1" t="s">
        <v>55</v>
      </c>
      <c r="J3618">
        <v>1</v>
      </c>
      <c r="K3618" t="str">
        <f>IF(Tb_data[[#This Row],[previous_workers]]&lt;Tb_data[[#This Row],[workers]],"yes","no")</f>
        <v>yes</v>
      </c>
      <c r="L3618">
        <f>Tb_data[[#This Row],[workers]]-Tb_data[[#This Row],[previous_workers]]</f>
        <v>7</v>
      </c>
      <c r="M3618" s="12">
        <f>Tb_data[[#This Row],[Employees Growth]]/Tb_data[[#This Row],[previous_workers]]</f>
        <v>1</v>
      </c>
    </row>
    <row r="3619" spans="1:13" x14ac:dyDescent="0.25">
      <c r="A3619" s="1" t="s">
        <v>8115</v>
      </c>
      <c r="B3619" s="1" t="s">
        <v>8116</v>
      </c>
      <c r="C3619" s="1">
        <v>57700000</v>
      </c>
      <c r="D3619" s="1" t="s">
        <v>179</v>
      </c>
      <c r="E3619">
        <v>80.971400000000003</v>
      </c>
      <c r="F3619" s="1" t="s">
        <v>82</v>
      </c>
      <c r="G3619">
        <v>350</v>
      </c>
      <c r="H3619">
        <v>148</v>
      </c>
      <c r="I3619" s="1" t="s">
        <v>4080</v>
      </c>
      <c r="J3619">
        <v>6</v>
      </c>
      <c r="K3619" t="str">
        <f>IF(Tb_data[[#This Row],[previous_workers]]&lt;Tb_data[[#This Row],[workers]],"yes","no")</f>
        <v>yes</v>
      </c>
      <c r="L3619">
        <f>Tb_data[[#This Row],[workers]]-Tb_data[[#This Row],[previous_workers]]</f>
        <v>202</v>
      </c>
      <c r="M3619" s="12">
        <f>Tb_data[[#This Row],[Employees Growth]]/Tb_data[[#This Row],[previous_workers]]</f>
        <v>1.3648648648648649</v>
      </c>
    </row>
    <row r="3620" spans="1:13" x14ac:dyDescent="0.25">
      <c r="A3620" s="1" t="s">
        <v>7867</v>
      </c>
      <c r="B3620" s="1" t="s">
        <v>7868</v>
      </c>
      <c r="C3620" s="1">
        <v>2000000</v>
      </c>
      <c r="D3620" s="1" t="s">
        <v>20</v>
      </c>
      <c r="E3620">
        <v>85.2102</v>
      </c>
      <c r="F3620" s="1" t="s">
        <v>100</v>
      </c>
      <c r="G3620">
        <v>26</v>
      </c>
      <c r="H3620">
        <v>5</v>
      </c>
      <c r="I3620" s="1" t="s">
        <v>164</v>
      </c>
      <c r="J3620">
        <v>1</v>
      </c>
      <c r="K3620" t="str">
        <f>IF(Tb_data[[#This Row],[previous_workers]]&lt;Tb_data[[#This Row],[workers]],"yes","no")</f>
        <v>yes</v>
      </c>
      <c r="L3620">
        <f>Tb_data[[#This Row],[workers]]-Tb_data[[#This Row],[previous_workers]]</f>
        <v>21</v>
      </c>
      <c r="M3620" s="12">
        <f>Tb_data[[#This Row],[Employees Growth]]/Tb_data[[#This Row],[previous_workers]]</f>
        <v>4.2</v>
      </c>
    </row>
    <row r="3621" spans="1:13" x14ac:dyDescent="0.25">
      <c r="A3621" s="1" t="s">
        <v>4525</v>
      </c>
      <c r="B3621" s="1" t="s">
        <v>4526</v>
      </c>
      <c r="C3621" s="1">
        <v>42300000</v>
      </c>
      <c r="D3621" s="1" t="s">
        <v>61</v>
      </c>
      <c r="E3621">
        <v>181.4735</v>
      </c>
      <c r="F3621" s="1" t="s">
        <v>116</v>
      </c>
      <c r="G3621">
        <v>148</v>
      </c>
      <c r="H3621">
        <v>48</v>
      </c>
      <c r="I3621" s="1" t="s">
        <v>130</v>
      </c>
      <c r="J3621">
        <v>1</v>
      </c>
      <c r="K3621" t="str">
        <f>IF(Tb_data[[#This Row],[previous_workers]]&lt;Tb_data[[#This Row],[workers]],"yes","no")</f>
        <v>yes</v>
      </c>
      <c r="L3621">
        <f>Tb_data[[#This Row],[workers]]-Tb_data[[#This Row],[previous_workers]]</f>
        <v>100</v>
      </c>
      <c r="M3621" s="12">
        <f>Tb_data[[#This Row],[Employees Growth]]/Tb_data[[#This Row],[previous_workers]]</f>
        <v>2.0833333333333335</v>
      </c>
    </row>
    <row r="3622" spans="1:13" x14ac:dyDescent="0.25">
      <c r="A3622" s="1" t="s">
        <v>4988</v>
      </c>
      <c r="B3622" s="1" t="s">
        <v>4989</v>
      </c>
      <c r="C3622" s="1">
        <v>130000000</v>
      </c>
      <c r="D3622" s="1" t="s">
        <v>69</v>
      </c>
      <c r="E3622">
        <v>162.17779999999999</v>
      </c>
      <c r="F3622" s="1" t="s">
        <v>62</v>
      </c>
      <c r="G3622">
        <v>139</v>
      </c>
      <c r="H3622">
        <v>26</v>
      </c>
      <c r="I3622" s="1" t="s">
        <v>74</v>
      </c>
      <c r="J3622">
        <v>9</v>
      </c>
      <c r="K3622" t="str">
        <f>IF(Tb_data[[#This Row],[previous_workers]]&lt;Tb_data[[#This Row],[workers]],"yes","no")</f>
        <v>yes</v>
      </c>
      <c r="L3622">
        <f>Tb_data[[#This Row],[workers]]-Tb_data[[#This Row],[previous_workers]]</f>
        <v>113</v>
      </c>
      <c r="M3622" s="12">
        <f>Tb_data[[#This Row],[Employees Growth]]/Tb_data[[#This Row],[previous_workers]]</f>
        <v>4.3461538461538458</v>
      </c>
    </row>
    <row r="3623" spans="1:13" x14ac:dyDescent="0.25">
      <c r="A3623" s="1" t="s">
        <v>2286</v>
      </c>
      <c r="B3623" s="1" t="s">
        <v>2287</v>
      </c>
      <c r="C3623" s="1">
        <v>4500000</v>
      </c>
      <c r="D3623" s="1" t="s">
        <v>179</v>
      </c>
      <c r="E3623">
        <v>386.56549999999999</v>
      </c>
      <c r="F3623" s="1" t="s">
        <v>86</v>
      </c>
      <c r="G3623">
        <v>50</v>
      </c>
      <c r="H3623">
        <v>15</v>
      </c>
      <c r="I3623" s="1" t="s">
        <v>46</v>
      </c>
      <c r="J3623">
        <v>1</v>
      </c>
      <c r="K3623" t="str">
        <f>IF(Tb_data[[#This Row],[previous_workers]]&lt;Tb_data[[#This Row],[workers]],"yes","no")</f>
        <v>yes</v>
      </c>
      <c r="L3623">
        <f>Tb_data[[#This Row],[workers]]-Tb_data[[#This Row],[previous_workers]]</f>
        <v>35</v>
      </c>
      <c r="M3623" s="12">
        <f>Tb_data[[#This Row],[Employees Growth]]/Tb_data[[#This Row],[previous_workers]]</f>
        <v>2.3333333333333335</v>
      </c>
    </row>
    <row r="3624" spans="1:13" x14ac:dyDescent="0.25">
      <c r="A3624" s="1" t="s">
        <v>8807</v>
      </c>
      <c r="B3624" s="1" t="s">
        <v>8808</v>
      </c>
      <c r="C3624" s="1">
        <v>109500000</v>
      </c>
      <c r="D3624" s="1" t="s">
        <v>254</v>
      </c>
      <c r="E3624">
        <v>69.388300000000001</v>
      </c>
      <c r="F3624" s="1" t="s">
        <v>62</v>
      </c>
      <c r="G3624">
        <v>281</v>
      </c>
      <c r="H3624">
        <v>285</v>
      </c>
      <c r="I3624" s="1" t="s">
        <v>4052</v>
      </c>
      <c r="J3624">
        <v>2</v>
      </c>
      <c r="K3624" t="str">
        <f>IF(Tb_data[[#This Row],[previous_workers]]&lt;Tb_data[[#This Row],[workers]],"yes","no")</f>
        <v>no</v>
      </c>
      <c r="L3624">
        <f>Tb_data[[#This Row],[workers]]-Tb_data[[#This Row],[previous_workers]]</f>
        <v>-4</v>
      </c>
      <c r="M3624" s="12">
        <f>Tb_data[[#This Row],[Employees Growth]]/Tb_data[[#This Row],[previous_workers]]</f>
        <v>-1.4035087719298246E-2</v>
      </c>
    </row>
    <row r="3625" spans="1:13" x14ac:dyDescent="0.25">
      <c r="A3625" s="1" t="s">
        <v>2643</v>
      </c>
      <c r="B3625" s="1" t="s">
        <v>4049</v>
      </c>
      <c r="C3625" s="1">
        <v>45700000</v>
      </c>
      <c r="D3625" s="1" t="s">
        <v>49</v>
      </c>
      <c r="E3625">
        <v>204.85749999999999</v>
      </c>
      <c r="F3625" s="1" t="s">
        <v>86</v>
      </c>
      <c r="G3625">
        <v>397</v>
      </c>
      <c r="H3625">
        <v>159</v>
      </c>
      <c r="I3625" s="1" t="s">
        <v>74</v>
      </c>
      <c r="J3625">
        <v>1</v>
      </c>
      <c r="K3625" t="str">
        <f>IF(Tb_data[[#This Row],[previous_workers]]&lt;Tb_data[[#This Row],[workers]],"yes","no")</f>
        <v>yes</v>
      </c>
      <c r="L3625">
        <f>Tb_data[[#This Row],[workers]]-Tb_data[[#This Row],[previous_workers]]</f>
        <v>238</v>
      </c>
      <c r="M3625" s="12">
        <f>Tb_data[[#This Row],[Employees Growth]]/Tb_data[[#This Row],[previous_workers]]</f>
        <v>1.4968553459119496</v>
      </c>
    </row>
    <row r="3626" spans="1:13" x14ac:dyDescent="0.25">
      <c r="A3626" s="1" t="s">
        <v>5768</v>
      </c>
      <c r="B3626" s="1" t="s">
        <v>5769</v>
      </c>
      <c r="C3626" s="1">
        <v>67800000</v>
      </c>
      <c r="D3626" s="1" t="s">
        <v>49</v>
      </c>
      <c r="E3626">
        <v>132.30930000000001</v>
      </c>
      <c r="F3626" s="1" t="s">
        <v>12</v>
      </c>
      <c r="G3626">
        <v>197</v>
      </c>
      <c r="H3626">
        <v>115</v>
      </c>
      <c r="I3626" s="1" t="s">
        <v>295</v>
      </c>
      <c r="J3626">
        <v>11</v>
      </c>
      <c r="K3626" t="str">
        <f>IF(Tb_data[[#This Row],[previous_workers]]&lt;Tb_data[[#This Row],[workers]],"yes","no")</f>
        <v>yes</v>
      </c>
      <c r="L3626">
        <f>Tb_data[[#This Row],[workers]]-Tb_data[[#This Row],[previous_workers]]</f>
        <v>82</v>
      </c>
      <c r="M3626" s="12">
        <f>Tb_data[[#This Row],[Employees Growth]]/Tb_data[[#This Row],[previous_workers]]</f>
        <v>0.71304347826086956</v>
      </c>
    </row>
    <row r="3627" spans="1:13" x14ac:dyDescent="0.25">
      <c r="A3627" s="1" t="s">
        <v>4359</v>
      </c>
      <c r="B3627" s="1" t="s">
        <v>4360</v>
      </c>
      <c r="C3627" s="1">
        <v>57100000</v>
      </c>
      <c r="D3627" s="1" t="s">
        <v>49</v>
      </c>
      <c r="E3627">
        <v>188.17529999999999</v>
      </c>
      <c r="F3627" s="1" t="s">
        <v>62</v>
      </c>
      <c r="G3627">
        <v>179</v>
      </c>
      <c r="H3627">
        <v>92</v>
      </c>
      <c r="I3627" s="1" t="s">
        <v>117</v>
      </c>
      <c r="J3627">
        <v>4</v>
      </c>
      <c r="K3627" t="str">
        <f>IF(Tb_data[[#This Row],[previous_workers]]&lt;Tb_data[[#This Row],[workers]],"yes","no")</f>
        <v>yes</v>
      </c>
      <c r="L3627">
        <f>Tb_data[[#This Row],[workers]]-Tb_data[[#This Row],[previous_workers]]</f>
        <v>87</v>
      </c>
      <c r="M3627" s="12">
        <f>Tb_data[[#This Row],[Employees Growth]]/Tb_data[[#This Row],[previous_workers]]</f>
        <v>0.94565217391304346</v>
      </c>
    </row>
    <row r="3628" spans="1:13" x14ac:dyDescent="0.25">
      <c r="A3628" s="1" t="s">
        <v>2959</v>
      </c>
      <c r="B3628" s="1" t="s">
        <v>2960</v>
      </c>
      <c r="C3628" s="1">
        <v>14400000</v>
      </c>
      <c r="D3628" s="1" t="s">
        <v>29</v>
      </c>
      <c r="E3628">
        <v>290.64659999999998</v>
      </c>
      <c r="F3628" s="1" t="s">
        <v>12</v>
      </c>
      <c r="G3628">
        <v>300</v>
      </c>
      <c r="H3628">
        <v>120</v>
      </c>
      <c r="I3628" s="1" t="s">
        <v>35</v>
      </c>
      <c r="J3628">
        <v>5</v>
      </c>
      <c r="K3628" t="str">
        <f>IF(Tb_data[[#This Row],[previous_workers]]&lt;Tb_data[[#This Row],[workers]],"yes","no")</f>
        <v>yes</v>
      </c>
      <c r="L3628">
        <f>Tb_data[[#This Row],[workers]]-Tb_data[[#This Row],[previous_workers]]</f>
        <v>180</v>
      </c>
      <c r="M3628" s="12">
        <f>Tb_data[[#This Row],[Employees Growth]]/Tb_data[[#This Row],[previous_workers]]</f>
        <v>1.5</v>
      </c>
    </row>
    <row r="3629" spans="1:13" x14ac:dyDescent="0.25">
      <c r="A3629" s="1" t="s">
        <v>3557</v>
      </c>
      <c r="B3629" s="1" t="s">
        <v>3558</v>
      </c>
      <c r="C3629" s="1">
        <v>50900000</v>
      </c>
      <c r="D3629" s="1" t="s">
        <v>33</v>
      </c>
      <c r="E3629">
        <v>237.09229999999999</v>
      </c>
      <c r="F3629" s="1" t="s">
        <v>142</v>
      </c>
      <c r="G3629">
        <v>27</v>
      </c>
      <c r="H3629">
        <v>7</v>
      </c>
      <c r="I3629" s="1" t="s">
        <v>26</v>
      </c>
      <c r="J3629">
        <v>1</v>
      </c>
      <c r="K3629" t="str">
        <f>IF(Tb_data[[#This Row],[previous_workers]]&lt;Tb_data[[#This Row],[workers]],"yes","no")</f>
        <v>yes</v>
      </c>
      <c r="L3629">
        <f>Tb_data[[#This Row],[workers]]-Tb_data[[#This Row],[previous_workers]]</f>
        <v>20</v>
      </c>
      <c r="M3629" s="12">
        <f>Tb_data[[#This Row],[Employees Growth]]/Tb_data[[#This Row],[previous_workers]]</f>
        <v>2.8571428571428572</v>
      </c>
    </row>
    <row r="3630" spans="1:13" x14ac:dyDescent="0.25">
      <c r="A3630" s="1" t="s">
        <v>581</v>
      </c>
      <c r="B3630" s="1" t="s">
        <v>582</v>
      </c>
      <c r="C3630" s="1">
        <v>467400000</v>
      </c>
      <c r="D3630" s="1" t="s">
        <v>69</v>
      </c>
      <c r="E3630">
        <v>1723.8604</v>
      </c>
      <c r="F3630" s="1" t="s">
        <v>100</v>
      </c>
      <c r="G3630">
        <v>900</v>
      </c>
      <c r="H3630">
        <v>75</v>
      </c>
      <c r="I3630" s="1" t="s">
        <v>117</v>
      </c>
      <c r="J3630">
        <v>2</v>
      </c>
      <c r="K3630" t="str">
        <f>IF(Tb_data[[#This Row],[previous_workers]]&lt;Tb_data[[#This Row],[workers]],"yes","no")</f>
        <v>yes</v>
      </c>
      <c r="L3630">
        <f>Tb_data[[#This Row],[workers]]-Tb_data[[#This Row],[previous_workers]]</f>
        <v>825</v>
      </c>
      <c r="M3630" s="12">
        <f>Tb_data[[#This Row],[Employees Growth]]/Tb_data[[#This Row],[previous_workers]]</f>
        <v>11</v>
      </c>
    </row>
    <row r="3631" spans="1:13" x14ac:dyDescent="0.25">
      <c r="A3631" s="1" t="s">
        <v>7535</v>
      </c>
      <c r="B3631" s="1" t="s">
        <v>7536</v>
      </c>
      <c r="C3631" s="1">
        <v>4200000</v>
      </c>
      <c r="D3631" s="1" t="s">
        <v>58</v>
      </c>
      <c r="E3631">
        <v>92.0715</v>
      </c>
      <c r="F3631" s="1" t="s">
        <v>124</v>
      </c>
      <c r="G3631">
        <v>22</v>
      </c>
      <c r="H3631">
        <v>14</v>
      </c>
      <c r="I3631" s="1" t="s">
        <v>35</v>
      </c>
      <c r="J3631">
        <v>1</v>
      </c>
      <c r="K3631" t="str">
        <f>IF(Tb_data[[#This Row],[previous_workers]]&lt;Tb_data[[#This Row],[workers]],"yes","no")</f>
        <v>yes</v>
      </c>
      <c r="L3631">
        <f>Tb_data[[#This Row],[workers]]-Tb_data[[#This Row],[previous_workers]]</f>
        <v>8</v>
      </c>
      <c r="M3631" s="12">
        <f>Tb_data[[#This Row],[Employees Growth]]/Tb_data[[#This Row],[previous_workers]]</f>
        <v>0.5714285714285714</v>
      </c>
    </row>
    <row r="3632" spans="1:13" x14ac:dyDescent="0.25">
      <c r="A3632" s="1" t="s">
        <v>2328</v>
      </c>
      <c r="B3632" s="1" t="s">
        <v>2329</v>
      </c>
      <c r="C3632" s="1">
        <v>2800000</v>
      </c>
      <c r="D3632" s="1" t="s">
        <v>49</v>
      </c>
      <c r="E3632">
        <v>378.37520000000001</v>
      </c>
      <c r="F3632" s="1" t="s">
        <v>100</v>
      </c>
      <c r="G3632">
        <v>14</v>
      </c>
      <c r="H3632">
        <v>4</v>
      </c>
      <c r="I3632" s="1" t="s">
        <v>164</v>
      </c>
      <c r="J3632">
        <v>1</v>
      </c>
      <c r="K3632" t="str">
        <f>IF(Tb_data[[#This Row],[previous_workers]]&lt;Tb_data[[#This Row],[workers]],"yes","no")</f>
        <v>yes</v>
      </c>
      <c r="L3632">
        <f>Tb_data[[#This Row],[workers]]-Tb_data[[#This Row],[previous_workers]]</f>
        <v>10</v>
      </c>
      <c r="M3632" s="12">
        <f>Tb_data[[#This Row],[Employees Growth]]/Tb_data[[#This Row],[previous_workers]]</f>
        <v>2.5</v>
      </c>
    </row>
    <row r="3633" spans="1:13" x14ac:dyDescent="0.25">
      <c r="A3633" s="1" t="s">
        <v>2452</v>
      </c>
      <c r="B3633" s="1" t="s">
        <v>2453</v>
      </c>
      <c r="C3633" s="1">
        <v>15600000</v>
      </c>
      <c r="D3633" s="1" t="s">
        <v>129</v>
      </c>
      <c r="E3633">
        <v>354.97199999999998</v>
      </c>
      <c r="F3633" s="1" t="s">
        <v>135</v>
      </c>
      <c r="G3633">
        <v>68</v>
      </c>
      <c r="H3633">
        <v>23</v>
      </c>
      <c r="I3633" s="1" t="s">
        <v>55</v>
      </c>
      <c r="J3633">
        <v>2</v>
      </c>
      <c r="K3633" t="str">
        <f>IF(Tb_data[[#This Row],[previous_workers]]&lt;Tb_data[[#This Row],[workers]],"yes","no")</f>
        <v>yes</v>
      </c>
      <c r="L3633">
        <f>Tb_data[[#This Row],[workers]]-Tb_data[[#This Row],[previous_workers]]</f>
        <v>45</v>
      </c>
      <c r="M3633" s="12">
        <f>Tb_data[[#This Row],[Employees Growth]]/Tb_data[[#This Row],[previous_workers]]</f>
        <v>1.9565217391304348</v>
      </c>
    </row>
    <row r="3634" spans="1:13" x14ac:dyDescent="0.25">
      <c r="A3634" s="1" t="s">
        <v>4561</v>
      </c>
      <c r="B3634" s="1" t="s">
        <v>4562</v>
      </c>
      <c r="C3634" s="1">
        <v>14600000</v>
      </c>
      <c r="D3634" s="1" t="s">
        <v>4064</v>
      </c>
      <c r="E3634">
        <v>180.1378</v>
      </c>
      <c r="F3634" s="1" t="s">
        <v>176</v>
      </c>
      <c r="G3634">
        <v>68</v>
      </c>
      <c r="H3634">
        <v>22</v>
      </c>
      <c r="I3634" s="1" t="s">
        <v>295</v>
      </c>
      <c r="J3634">
        <v>1</v>
      </c>
      <c r="K3634" t="str">
        <f>IF(Tb_data[[#This Row],[previous_workers]]&lt;Tb_data[[#This Row],[workers]],"yes","no")</f>
        <v>yes</v>
      </c>
      <c r="L3634">
        <f>Tb_data[[#This Row],[workers]]-Tb_data[[#This Row],[previous_workers]]</f>
        <v>46</v>
      </c>
      <c r="M3634" s="12">
        <f>Tb_data[[#This Row],[Employees Growth]]/Tb_data[[#This Row],[previous_workers]]</f>
        <v>2.0909090909090908</v>
      </c>
    </row>
    <row r="3635" spans="1:13" x14ac:dyDescent="0.25">
      <c r="A3635" s="1" t="s">
        <v>8981</v>
      </c>
      <c r="B3635" s="1" t="s">
        <v>8982</v>
      </c>
      <c r="C3635" s="1">
        <v>43100000</v>
      </c>
      <c r="D3635" s="1" t="s">
        <v>41</v>
      </c>
      <c r="E3635">
        <v>66.842299999999994</v>
      </c>
      <c r="F3635" s="1" t="s">
        <v>86</v>
      </c>
      <c r="G3635">
        <v>101</v>
      </c>
      <c r="H3635">
        <v>81</v>
      </c>
      <c r="I3635" s="1" t="s">
        <v>46</v>
      </c>
      <c r="J3635">
        <v>7</v>
      </c>
      <c r="K3635" t="str">
        <f>IF(Tb_data[[#This Row],[previous_workers]]&lt;Tb_data[[#This Row],[workers]],"yes","no")</f>
        <v>yes</v>
      </c>
      <c r="L3635">
        <f>Tb_data[[#This Row],[workers]]-Tb_data[[#This Row],[previous_workers]]</f>
        <v>20</v>
      </c>
      <c r="M3635" s="12">
        <f>Tb_data[[#This Row],[Employees Growth]]/Tb_data[[#This Row],[previous_workers]]</f>
        <v>0.24691358024691357</v>
      </c>
    </row>
    <row r="3636" spans="1:13" x14ac:dyDescent="0.25">
      <c r="A3636" s="1" t="s">
        <v>8624</v>
      </c>
      <c r="B3636" s="1" t="s">
        <v>8625</v>
      </c>
      <c r="C3636" s="1">
        <v>2700000</v>
      </c>
      <c r="D3636" s="1" t="s">
        <v>16</v>
      </c>
      <c r="E3636">
        <v>72.143799999999999</v>
      </c>
      <c r="F3636" s="1" t="s">
        <v>42</v>
      </c>
      <c r="G3636">
        <v>11</v>
      </c>
      <c r="H3636">
        <v>10</v>
      </c>
      <c r="I3636" s="1" t="s">
        <v>147</v>
      </c>
      <c r="J3636">
        <v>1</v>
      </c>
      <c r="K3636" t="str">
        <f>IF(Tb_data[[#This Row],[previous_workers]]&lt;Tb_data[[#This Row],[workers]],"yes","no")</f>
        <v>yes</v>
      </c>
      <c r="L3636">
        <f>Tb_data[[#This Row],[workers]]-Tb_data[[#This Row],[previous_workers]]</f>
        <v>1</v>
      </c>
      <c r="M3636" s="12">
        <f>Tb_data[[#This Row],[Employees Growth]]/Tb_data[[#This Row],[previous_workers]]</f>
        <v>0.1</v>
      </c>
    </row>
    <row r="3637" spans="1:13" x14ac:dyDescent="0.25">
      <c r="A3637" s="1" t="s">
        <v>6755</v>
      </c>
      <c r="B3637" s="1" t="s">
        <v>6756</v>
      </c>
      <c r="C3637" s="1">
        <v>132100000</v>
      </c>
      <c r="D3637" s="1" t="s">
        <v>20</v>
      </c>
      <c r="E3637">
        <v>107.5904</v>
      </c>
      <c r="F3637" s="1" t="s">
        <v>169</v>
      </c>
      <c r="G3637">
        <v>403</v>
      </c>
      <c r="H3637">
        <v>86</v>
      </c>
      <c r="I3637" s="1" t="s">
        <v>194</v>
      </c>
      <c r="J3637">
        <v>9</v>
      </c>
      <c r="K3637" t="str">
        <f>IF(Tb_data[[#This Row],[previous_workers]]&lt;Tb_data[[#This Row],[workers]],"yes","no")</f>
        <v>yes</v>
      </c>
      <c r="L3637">
        <f>Tb_data[[#This Row],[workers]]-Tb_data[[#This Row],[previous_workers]]</f>
        <v>317</v>
      </c>
      <c r="M3637" s="12">
        <f>Tb_data[[#This Row],[Employees Growth]]/Tb_data[[#This Row],[previous_workers]]</f>
        <v>3.6860465116279069</v>
      </c>
    </row>
    <row r="3638" spans="1:13" x14ac:dyDescent="0.25">
      <c r="A3638" s="1" t="s">
        <v>1076</v>
      </c>
      <c r="B3638" s="1" t="s">
        <v>1077</v>
      </c>
      <c r="C3638" s="1">
        <v>11400000</v>
      </c>
      <c r="D3638" s="1" t="s">
        <v>627</v>
      </c>
      <c r="E3638">
        <v>900.69560000000001</v>
      </c>
      <c r="F3638" s="1" t="s">
        <v>62</v>
      </c>
      <c r="G3638">
        <v>61</v>
      </c>
      <c r="H3638">
        <v>19</v>
      </c>
      <c r="I3638" s="1" t="s">
        <v>13</v>
      </c>
      <c r="J3638">
        <v>2</v>
      </c>
      <c r="K3638" t="str">
        <f>IF(Tb_data[[#This Row],[previous_workers]]&lt;Tb_data[[#This Row],[workers]],"yes","no")</f>
        <v>yes</v>
      </c>
      <c r="L3638">
        <f>Tb_data[[#This Row],[workers]]-Tb_data[[#This Row],[previous_workers]]</f>
        <v>42</v>
      </c>
      <c r="M3638" s="12">
        <f>Tb_data[[#This Row],[Employees Growth]]/Tb_data[[#This Row],[previous_workers]]</f>
        <v>2.2105263157894739</v>
      </c>
    </row>
    <row r="3639" spans="1:13" x14ac:dyDescent="0.25">
      <c r="A3639" s="1" t="s">
        <v>7711</v>
      </c>
      <c r="B3639" s="1" t="s">
        <v>7712</v>
      </c>
      <c r="C3639" s="1">
        <v>93200000</v>
      </c>
      <c r="D3639" s="1" t="s">
        <v>61</v>
      </c>
      <c r="E3639">
        <v>87.846400000000003</v>
      </c>
      <c r="F3639" s="1" t="s">
        <v>172</v>
      </c>
      <c r="G3639">
        <v>3953</v>
      </c>
      <c r="H3639">
        <v>2350</v>
      </c>
      <c r="I3639" s="1" t="s">
        <v>948</v>
      </c>
      <c r="J3639">
        <v>11</v>
      </c>
      <c r="K3639" t="str">
        <f>IF(Tb_data[[#This Row],[previous_workers]]&lt;Tb_data[[#This Row],[workers]],"yes","no")</f>
        <v>yes</v>
      </c>
      <c r="L3639">
        <f>Tb_data[[#This Row],[workers]]-Tb_data[[#This Row],[previous_workers]]</f>
        <v>1603</v>
      </c>
      <c r="M3639" s="12">
        <f>Tb_data[[#This Row],[Employees Growth]]/Tb_data[[#This Row],[previous_workers]]</f>
        <v>0.68212765957446808</v>
      </c>
    </row>
    <row r="3640" spans="1:13" x14ac:dyDescent="0.25">
      <c r="A3640" s="1" t="s">
        <v>3939</v>
      </c>
      <c r="B3640" s="1" t="s">
        <v>3940</v>
      </c>
      <c r="C3640" s="1">
        <v>2600000</v>
      </c>
      <c r="D3640" s="1" t="s">
        <v>33</v>
      </c>
      <c r="E3640">
        <v>210.44399999999999</v>
      </c>
      <c r="F3640" s="1" t="s">
        <v>176</v>
      </c>
      <c r="G3640">
        <v>13</v>
      </c>
      <c r="H3640">
        <v>5</v>
      </c>
      <c r="I3640" s="1" t="s">
        <v>1949</v>
      </c>
      <c r="J3640">
        <v>1</v>
      </c>
      <c r="K3640" t="str">
        <f>IF(Tb_data[[#This Row],[previous_workers]]&lt;Tb_data[[#This Row],[workers]],"yes","no")</f>
        <v>yes</v>
      </c>
      <c r="L3640">
        <f>Tb_data[[#This Row],[workers]]-Tb_data[[#This Row],[previous_workers]]</f>
        <v>8</v>
      </c>
      <c r="M3640" s="12">
        <f>Tb_data[[#This Row],[Employees Growth]]/Tb_data[[#This Row],[previous_workers]]</f>
        <v>1.6</v>
      </c>
    </row>
    <row r="3641" spans="1:13" x14ac:dyDescent="0.25">
      <c r="A3641" s="1" t="s">
        <v>2953</v>
      </c>
      <c r="B3641" s="1" t="s">
        <v>2954</v>
      </c>
      <c r="C3641" s="1">
        <v>7400000</v>
      </c>
      <c r="D3641" s="1" t="s">
        <v>20</v>
      </c>
      <c r="E3641">
        <v>291.2758</v>
      </c>
      <c r="F3641" s="1" t="s">
        <v>124</v>
      </c>
      <c r="G3641">
        <v>18</v>
      </c>
      <c r="H3641">
        <v>4</v>
      </c>
      <c r="I3641" s="1" t="s">
        <v>46</v>
      </c>
      <c r="J3641">
        <v>1</v>
      </c>
      <c r="K3641" t="str">
        <f>IF(Tb_data[[#This Row],[previous_workers]]&lt;Tb_data[[#This Row],[workers]],"yes","no")</f>
        <v>yes</v>
      </c>
      <c r="L3641">
        <f>Tb_data[[#This Row],[workers]]-Tb_data[[#This Row],[previous_workers]]</f>
        <v>14</v>
      </c>
      <c r="M3641" s="12">
        <f>Tb_data[[#This Row],[Employees Growth]]/Tb_data[[#This Row],[previous_workers]]</f>
        <v>3.5</v>
      </c>
    </row>
    <row r="3642" spans="1:13" x14ac:dyDescent="0.25">
      <c r="A3642" s="1" t="s">
        <v>7835</v>
      </c>
      <c r="B3642" s="1" t="s">
        <v>7836</v>
      </c>
      <c r="C3642" s="1">
        <v>5800000</v>
      </c>
      <c r="D3642" s="1" t="s">
        <v>20</v>
      </c>
      <c r="E3642">
        <v>85.686700000000002</v>
      </c>
      <c r="F3642" s="1" t="s">
        <v>169</v>
      </c>
      <c r="G3642">
        <v>65</v>
      </c>
      <c r="H3642">
        <v>15</v>
      </c>
      <c r="I3642" s="1" t="s">
        <v>229</v>
      </c>
      <c r="J3642">
        <v>6</v>
      </c>
      <c r="K3642" t="str">
        <f>IF(Tb_data[[#This Row],[previous_workers]]&lt;Tb_data[[#This Row],[workers]],"yes","no")</f>
        <v>yes</v>
      </c>
      <c r="L3642">
        <f>Tb_data[[#This Row],[workers]]-Tb_data[[#This Row],[previous_workers]]</f>
        <v>50</v>
      </c>
      <c r="M3642" s="12">
        <f>Tb_data[[#This Row],[Employees Growth]]/Tb_data[[#This Row],[previous_workers]]</f>
        <v>3.3333333333333335</v>
      </c>
    </row>
    <row r="3643" spans="1:13" x14ac:dyDescent="0.25">
      <c r="A3643" s="1" t="s">
        <v>5382</v>
      </c>
      <c r="B3643" s="1" t="s">
        <v>5383</v>
      </c>
      <c r="C3643" s="1">
        <v>4700000</v>
      </c>
      <c r="D3643" s="1" t="s">
        <v>20</v>
      </c>
      <c r="E3643">
        <v>147.05350000000001</v>
      </c>
      <c r="F3643" s="1" t="s">
        <v>34</v>
      </c>
      <c r="G3643">
        <v>34</v>
      </c>
      <c r="H3643">
        <v>13</v>
      </c>
      <c r="I3643" s="1" t="s">
        <v>35</v>
      </c>
      <c r="J3643">
        <v>1</v>
      </c>
      <c r="K3643" t="str">
        <f>IF(Tb_data[[#This Row],[previous_workers]]&lt;Tb_data[[#This Row],[workers]],"yes","no")</f>
        <v>yes</v>
      </c>
      <c r="L3643">
        <f>Tb_data[[#This Row],[workers]]-Tb_data[[#This Row],[previous_workers]]</f>
        <v>21</v>
      </c>
      <c r="M3643" s="12">
        <f>Tb_data[[#This Row],[Employees Growth]]/Tb_data[[#This Row],[previous_workers]]</f>
        <v>1.6153846153846154</v>
      </c>
    </row>
    <row r="3644" spans="1:13" x14ac:dyDescent="0.25">
      <c r="A3644" s="1" t="s">
        <v>4141</v>
      </c>
      <c r="B3644" s="1" t="s">
        <v>4142</v>
      </c>
      <c r="C3644" s="1">
        <v>11400000</v>
      </c>
      <c r="D3644" s="1" t="s">
        <v>33</v>
      </c>
      <c r="E3644">
        <v>198.3176</v>
      </c>
      <c r="F3644" s="1" t="s">
        <v>86</v>
      </c>
      <c r="G3644">
        <v>175</v>
      </c>
      <c r="H3644">
        <v>75</v>
      </c>
      <c r="I3644" s="1" t="s">
        <v>194</v>
      </c>
      <c r="J3644">
        <v>1</v>
      </c>
      <c r="K3644" t="str">
        <f>IF(Tb_data[[#This Row],[previous_workers]]&lt;Tb_data[[#This Row],[workers]],"yes","no")</f>
        <v>yes</v>
      </c>
      <c r="L3644">
        <f>Tb_data[[#This Row],[workers]]-Tb_data[[#This Row],[previous_workers]]</f>
        <v>100</v>
      </c>
      <c r="M3644" s="12">
        <f>Tb_data[[#This Row],[Employees Growth]]/Tb_data[[#This Row],[previous_workers]]</f>
        <v>1.3333333333333333</v>
      </c>
    </row>
    <row r="3645" spans="1:13" x14ac:dyDescent="0.25">
      <c r="A3645" s="1" t="s">
        <v>4367</v>
      </c>
      <c r="B3645" s="1" t="s">
        <v>4368</v>
      </c>
      <c r="C3645" s="1">
        <v>11900000</v>
      </c>
      <c r="D3645" s="1" t="s">
        <v>61</v>
      </c>
      <c r="E3645">
        <v>187.9049</v>
      </c>
      <c r="F3645" s="1" t="s">
        <v>152</v>
      </c>
      <c r="G3645">
        <v>38</v>
      </c>
      <c r="H3645">
        <v>11</v>
      </c>
      <c r="I3645" s="1" t="s">
        <v>26</v>
      </c>
      <c r="J3645">
        <v>1</v>
      </c>
      <c r="K3645" t="str">
        <f>IF(Tb_data[[#This Row],[previous_workers]]&lt;Tb_data[[#This Row],[workers]],"yes","no")</f>
        <v>yes</v>
      </c>
      <c r="L3645">
        <f>Tb_data[[#This Row],[workers]]-Tb_data[[#This Row],[previous_workers]]</f>
        <v>27</v>
      </c>
      <c r="M3645" s="12">
        <f>Tb_data[[#This Row],[Employees Growth]]/Tb_data[[#This Row],[previous_workers]]</f>
        <v>2.4545454545454546</v>
      </c>
    </row>
    <row r="3646" spans="1:13" x14ac:dyDescent="0.25">
      <c r="A3646" s="1" t="s">
        <v>1172</v>
      </c>
      <c r="B3646" s="1" t="s">
        <v>1173</v>
      </c>
      <c r="C3646" s="1">
        <v>53500000</v>
      </c>
      <c r="D3646" s="1" t="s">
        <v>45</v>
      </c>
      <c r="E3646">
        <v>816.45439999999996</v>
      </c>
      <c r="F3646" s="1" t="s">
        <v>176</v>
      </c>
      <c r="G3646">
        <v>33</v>
      </c>
      <c r="H3646">
        <v>9</v>
      </c>
      <c r="I3646" s="1" t="s">
        <v>55</v>
      </c>
      <c r="J3646">
        <v>2</v>
      </c>
      <c r="K3646" t="str">
        <f>IF(Tb_data[[#This Row],[previous_workers]]&lt;Tb_data[[#This Row],[workers]],"yes","no")</f>
        <v>yes</v>
      </c>
      <c r="L3646">
        <f>Tb_data[[#This Row],[workers]]-Tb_data[[#This Row],[previous_workers]]</f>
        <v>24</v>
      </c>
      <c r="M3646" s="12">
        <f>Tb_data[[#This Row],[Employees Growth]]/Tb_data[[#This Row],[previous_workers]]</f>
        <v>2.6666666666666665</v>
      </c>
    </row>
    <row r="3647" spans="1:13" x14ac:dyDescent="0.25">
      <c r="A3647" s="1" t="s">
        <v>1497</v>
      </c>
      <c r="B3647" s="1" t="s">
        <v>1498</v>
      </c>
      <c r="C3647" s="1">
        <v>9900000</v>
      </c>
      <c r="D3647" s="1" t="s">
        <v>49</v>
      </c>
      <c r="E3647">
        <v>625.21770000000004</v>
      </c>
      <c r="F3647" s="1" t="s">
        <v>86</v>
      </c>
      <c r="G3647">
        <v>48</v>
      </c>
      <c r="H3647">
        <v>21</v>
      </c>
      <c r="I3647" s="1" t="s">
        <v>55</v>
      </c>
      <c r="J3647">
        <v>2</v>
      </c>
      <c r="K3647" t="str">
        <f>IF(Tb_data[[#This Row],[previous_workers]]&lt;Tb_data[[#This Row],[workers]],"yes","no")</f>
        <v>yes</v>
      </c>
      <c r="L3647">
        <f>Tb_data[[#This Row],[workers]]-Tb_data[[#This Row],[previous_workers]]</f>
        <v>27</v>
      </c>
      <c r="M3647" s="12">
        <f>Tb_data[[#This Row],[Employees Growth]]/Tb_data[[#This Row],[previous_workers]]</f>
        <v>1.2857142857142858</v>
      </c>
    </row>
    <row r="3648" spans="1:13" x14ac:dyDescent="0.25">
      <c r="A3648" s="1" t="s">
        <v>295</v>
      </c>
      <c r="B3648" s="1" t="s">
        <v>4107</v>
      </c>
      <c r="C3648" s="1">
        <v>18500000</v>
      </c>
      <c r="D3648" s="1" t="s">
        <v>61</v>
      </c>
      <c r="E3648">
        <v>200.3997</v>
      </c>
      <c r="F3648" s="1" t="s">
        <v>34</v>
      </c>
      <c r="G3648">
        <v>74</v>
      </c>
      <c r="H3648">
        <v>47</v>
      </c>
      <c r="I3648" s="1" t="s">
        <v>194</v>
      </c>
      <c r="J3648">
        <v>2</v>
      </c>
      <c r="K3648" t="str">
        <f>IF(Tb_data[[#This Row],[previous_workers]]&lt;Tb_data[[#This Row],[workers]],"yes","no")</f>
        <v>yes</v>
      </c>
      <c r="L3648">
        <f>Tb_data[[#This Row],[workers]]-Tb_data[[#This Row],[previous_workers]]</f>
        <v>27</v>
      </c>
      <c r="M3648" s="12">
        <f>Tb_data[[#This Row],[Employees Growth]]/Tb_data[[#This Row],[previous_workers]]</f>
        <v>0.57446808510638303</v>
      </c>
    </row>
    <row r="3649" spans="1:13" x14ac:dyDescent="0.25">
      <c r="A3649" s="1" t="s">
        <v>7040</v>
      </c>
      <c r="B3649" s="1" t="s">
        <v>7041</v>
      </c>
      <c r="C3649" s="1">
        <v>8200000</v>
      </c>
      <c r="D3649" s="1" t="s">
        <v>69</v>
      </c>
      <c r="E3649">
        <v>101.2261</v>
      </c>
      <c r="F3649" s="1" t="s">
        <v>86</v>
      </c>
      <c r="G3649">
        <v>50</v>
      </c>
      <c r="H3649">
        <v>23</v>
      </c>
      <c r="I3649" s="1" t="s">
        <v>229</v>
      </c>
      <c r="J3649">
        <v>6</v>
      </c>
      <c r="K3649" t="str">
        <f>IF(Tb_data[[#This Row],[previous_workers]]&lt;Tb_data[[#This Row],[workers]],"yes","no")</f>
        <v>yes</v>
      </c>
      <c r="L3649">
        <f>Tb_data[[#This Row],[workers]]-Tb_data[[#This Row],[previous_workers]]</f>
        <v>27</v>
      </c>
      <c r="M3649" s="12">
        <f>Tb_data[[#This Row],[Employees Growth]]/Tb_data[[#This Row],[previous_workers]]</f>
        <v>1.173913043478261</v>
      </c>
    </row>
    <row r="3650" spans="1:13" x14ac:dyDescent="0.25">
      <c r="A3650" s="1" t="s">
        <v>8993</v>
      </c>
      <c r="B3650" s="1" t="s">
        <v>8994</v>
      </c>
      <c r="C3650" s="1">
        <v>2000000</v>
      </c>
      <c r="D3650" s="1" t="s">
        <v>52</v>
      </c>
      <c r="E3650">
        <v>66.787700000000001</v>
      </c>
      <c r="F3650" s="1" t="s">
        <v>12</v>
      </c>
      <c r="G3650">
        <v>19</v>
      </c>
      <c r="H3650">
        <v>9</v>
      </c>
      <c r="I3650" s="1" t="s">
        <v>164</v>
      </c>
      <c r="J3650">
        <v>1</v>
      </c>
      <c r="K3650" t="str">
        <f>IF(Tb_data[[#This Row],[previous_workers]]&lt;Tb_data[[#This Row],[workers]],"yes","no")</f>
        <v>yes</v>
      </c>
      <c r="L3650">
        <f>Tb_data[[#This Row],[workers]]-Tb_data[[#This Row],[previous_workers]]</f>
        <v>10</v>
      </c>
      <c r="M3650" s="12">
        <f>Tb_data[[#This Row],[Employees Growth]]/Tb_data[[#This Row],[previous_workers]]</f>
        <v>1.1111111111111112</v>
      </c>
    </row>
    <row r="3651" spans="1:13" x14ac:dyDescent="0.25">
      <c r="A3651" s="1" t="s">
        <v>6565</v>
      </c>
      <c r="B3651" s="1" t="s">
        <v>6566</v>
      </c>
      <c r="C3651" s="1">
        <v>6800000</v>
      </c>
      <c r="D3651" s="1" t="s">
        <v>49</v>
      </c>
      <c r="E3651">
        <v>112.194</v>
      </c>
      <c r="F3651" s="1" t="s">
        <v>34</v>
      </c>
      <c r="G3651">
        <v>74</v>
      </c>
      <c r="H3651">
        <v>16</v>
      </c>
      <c r="I3651" s="1" t="s">
        <v>35</v>
      </c>
      <c r="J3651">
        <v>1</v>
      </c>
      <c r="K3651" t="str">
        <f>IF(Tb_data[[#This Row],[previous_workers]]&lt;Tb_data[[#This Row],[workers]],"yes","no")</f>
        <v>yes</v>
      </c>
      <c r="L3651">
        <f>Tb_data[[#This Row],[workers]]-Tb_data[[#This Row],[previous_workers]]</f>
        <v>58</v>
      </c>
      <c r="M3651" s="12">
        <f>Tb_data[[#This Row],[Employees Growth]]/Tb_data[[#This Row],[previous_workers]]</f>
        <v>3.625</v>
      </c>
    </row>
    <row r="3652" spans="1:13" x14ac:dyDescent="0.25">
      <c r="A3652" s="1" t="s">
        <v>741</v>
      </c>
      <c r="B3652" s="1" t="s">
        <v>742</v>
      </c>
      <c r="C3652" s="1">
        <v>3800000</v>
      </c>
      <c r="D3652" s="1" t="s">
        <v>20</v>
      </c>
      <c r="E3652">
        <v>1423.4061999999999</v>
      </c>
      <c r="F3652" s="1" t="s">
        <v>30</v>
      </c>
      <c r="G3652">
        <v>10</v>
      </c>
      <c r="H3652">
        <v>2</v>
      </c>
      <c r="I3652" s="1" t="s">
        <v>35</v>
      </c>
      <c r="J3652">
        <v>1</v>
      </c>
      <c r="K3652" t="str">
        <f>IF(Tb_data[[#This Row],[previous_workers]]&lt;Tb_data[[#This Row],[workers]],"yes","no")</f>
        <v>yes</v>
      </c>
      <c r="L3652">
        <f>Tb_data[[#This Row],[workers]]-Tb_data[[#This Row],[previous_workers]]</f>
        <v>8</v>
      </c>
      <c r="M3652" s="12">
        <f>Tb_data[[#This Row],[Employees Growth]]/Tb_data[[#This Row],[previous_workers]]</f>
        <v>4</v>
      </c>
    </row>
    <row r="3653" spans="1:13" x14ac:dyDescent="0.25">
      <c r="A3653" s="1" t="s">
        <v>4949</v>
      </c>
      <c r="B3653" s="1" t="s">
        <v>4950</v>
      </c>
      <c r="C3653" s="1">
        <v>7700000</v>
      </c>
      <c r="D3653" s="1" t="s">
        <v>179</v>
      </c>
      <c r="E3653">
        <v>164.22489999999999</v>
      </c>
      <c r="F3653" s="1" t="s">
        <v>176</v>
      </c>
      <c r="G3653">
        <v>113</v>
      </c>
      <c r="H3653">
        <v>38</v>
      </c>
      <c r="I3653" s="1" t="s">
        <v>55</v>
      </c>
      <c r="J3653">
        <v>1</v>
      </c>
      <c r="K3653" t="str">
        <f>IF(Tb_data[[#This Row],[previous_workers]]&lt;Tb_data[[#This Row],[workers]],"yes","no")</f>
        <v>yes</v>
      </c>
      <c r="L3653">
        <f>Tb_data[[#This Row],[workers]]-Tb_data[[#This Row],[previous_workers]]</f>
        <v>75</v>
      </c>
      <c r="M3653" s="12">
        <f>Tb_data[[#This Row],[Employees Growth]]/Tb_data[[#This Row],[previous_workers]]</f>
        <v>1.9736842105263157</v>
      </c>
    </row>
    <row r="3654" spans="1:13" x14ac:dyDescent="0.25">
      <c r="A3654" s="1" t="s">
        <v>4549</v>
      </c>
      <c r="B3654" s="1" t="s">
        <v>4550</v>
      </c>
      <c r="C3654" s="1">
        <v>3900000</v>
      </c>
      <c r="D3654" s="1" t="s">
        <v>52</v>
      </c>
      <c r="E3654">
        <v>180.22049999999999</v>
      </c>
      <c r="F3654" s="1" t="s">
        <v>12</v>
      </c>
      <c r="G3654">
        <v>40</v>
      </c>
      <c r="H3654">
        <v>17</v>
      </c>
      <c r="I3654" s="1" t="s">
        <v>35</v>
      </c>
      <c r="J3654">
        <v>2</v>
      </c>
      <c r="K3654" t="str">
        <f>IF(Tb_data[[#This Row],[previous_workers]]&lt;Tb_data[[#This Row],[workers]],"yes","no")</f>
        <v>yes</v>
      </c>
      <c r="L3654">
        <f>Tb_data[[#This Row],[workers]]-Tb_data[[#This Row],[previous_workers]]</f>
        <v>23</v>
      </c>
      <c r="M3654" s="12">
        <f>Tb_data[[#This Row],[Employees Growth]]/Tb_data[[#This Row],[previous_workers]]</f>
        <v>1.3529411764705883</v>
      </c>
    </row>
    <row r="3655" spans="1:13" x14ac:dyDescent="0.25">
      <c r="A3655" s="1" t="s">
        <v>7353</v>
      </c>
      <c r="B3655" s="1" t="s">
        <v>7354</v>
      </c>
      <c r="C3655" s="1">
        <v>23700000</v>
      </c>
      <c r="D3655" s="1" t="s">
        <v>254</v>
      </c>
      <c r="E3655">
        <v>96.124899999999997</v>
      </c>
      <c r="F3655" s="1" t="s">
        <v>86</v>
      </c>
      <c r="G3655">
        <v>104</v>
      </c>
      <c r="H3655">
        <v>24</v>
      </c>
      <c r="I3655" s="1" t="s">
        <v>117</v>
      </c>
      <c r="J3655">
        <v>2</v>
      </c>
      <c r="K3655" t="str">
        <f>IF(Tb_data[[#This Row],[previous_workers]]&lt;Tb_data[[#This Row],[workers]],"yes","no")</f>
        <v>yes</v>
      </c>
      <c r="L3655">
        <f>Tb_data[[#This Row],[workers]]-Tb_data[[#This Row],[previous_workers]]</f>
        <v>80</v>
      </c>
      <c r="M3655" s="12">
        <f>Tb_data[[#This Row],[Employees Growth]]/Tb_data[[#This Row],[previous_workers]]</f>
        <v>3.3333333333333335</v>
      </c>
    </row>
    <row r="3656" spans="1:13" x14ac:dyDescent="0.25">
      <c r="A3656" s="1" t="s">
        <v>2020</v>
      </c>
      <c r="B3656" s="1" t="s">
        <v>2021</v>
      </c>
      <c r="C3656" s="1">
        <v>36100000</v>
      </c>
      <c r="D3656" s="1" t="s">
        <v>254</v>
      </c>
      <c r="E3656">
        <v>443.68599999999998</v>
      </c>
      <c r="F3656" s="1" t="s">
        <v>30</v>
      </c>
      <c r="G3656">
        <v>180</v>
      </c>
      <c r="H3656">
        <v>70</v>
      </c>
      <c r="I3656" s="1" t="s">
        <v>130</v>
      </c>
      <c r="J3656">
        <v>3</v>
      </c>
      <c r="K3656" t="str">
        <f>IF(Tb_data[[#This Row],[previous_workers]]&lt;Tb_data[[#This Row],[workers]],"yes","no")</f>
        <v>yes</v>
      </c>
      <c r="L3656">
        <f>Tb_data[[#This Row],[workers]]-Tb_data[[#This Row],[previous_workers]]</f>
        <v>110</v>
      </c>
      <c r="M3656" s="12">
        <f>Tb_data[[#This Row],[Employees Growth]]/Tb_data[[#This Row],[previous_workers]]</f>
        <v>1.5714285714285714</v>
      </c>
    </row>
    <row r="3657" spans="1:13" x14ac:dyDescent="0.25">
      <c r="A3657" s="1" t="s">
        <v>5266</v>
      </c>
      <c r="B3657" s="1" t="s">
        <v>5267</v>
      </c>
      <c r="C3657" s="1">
        <v>2500000</v>
      </c>
      <c r="D3657" s="1" t="s">
        <v>20</v>
      </c>
      <c r="E3657">
        <v>151.1705</v>
      </c>
      <c r="F3657" s="1" t="s">
        <v>86</v>
      </c>
      <c r="G3657">
        <v>14</v>
      </c>
      <c r="H3657">
        <v>6</v>
      </c>
      <c r="I3657" s="1" t="s">
        <v>164</v>
      </c>
      <c r="J3657">
        <v>2</v>
      </c>
      <c r="K3657" t="str">
        <f>IF(Tb_data[[#This Row],[previous_workers]]&lt;Tb_data[[#This Row],[workers]],"yes","no")</f>
        <v>yes</v>
      </c>
      <c r="L3657">
        <f>Tb_data[[#This Row],[workers]]-Tb_data[[#This Row],[previous_workers]]</f>
        <v>8</v>
      </c>
      <c r="M3657" s="12">
        <f>Tb_data[[#This Row],[Employees Growth]]/Tb_data[[#This Row],[previous_workers]]</f>
        <v>1.3333333333333333</v>
      </c>
    </row>
    <row r="3658" spans="1:13" x14ac:dyDescent="0.25">
      <c r="A3658" s="1" t="s">
        <v>1635</v>
      </c>
      <c r="B3658" s="1" t="s">
        <v>1636</v>
      </c>
      <c r="C3658" s="1">
        <v>2200000</v>
      </c>
      <c r="D3658" s="1" t="s">
        <v>254</v>
      </c>
      <c r="E3658">
        <v>567.2527</v>
      </c>
      <c r="F3658" s="1" t="s">
        <v>124</v>
      </c>
      <c r="G3658">
        <v>10</v>
      </c>
      <c r="H3658">
        <v>1</v>
      </c>
      <c r="I3658" s="1" t="s">
        <v>164</v>
      </c>
      <c r="J3658">
        <v>1</v>
      </c>
      <c r="K3658" t="str">
        <f>IF(Tb_data[[#This Row],[previous_workers]]&lt;Tb_data[[#This Row],[workers]],"yes","no")</f>
        <v>yes</v>
      </c>
      <c r="L3658">
        <f>Tb_data[[#This Row],[workers]]-Tb_data[[#This Row],[previous_workers]]</f>
        <v>9</v>
      </c>
      <c r="M3658" s="12">
        <f>Tb_data[[#This Row],[Employees Growth]]/Tb_data[[#This Row],[previous_workers]]</f>
        <v>9</v>
      </c>
    </row>
    <row r="3659" spans="1:13" x14ac:dyDescent="0.25">
      <c r="A3659" s="1" t="s">
        <v>6197</v>
      </c>
      <c r="B3659" s="1" t="s">
        <v>6198</v>
      </c>
      <c r="C3659" s="1">
        <v>35700000</v>
      </c>
      <c r="D3659" s="1" t="s">
        <v>45</v>
      </c>
      <c r="E3659">
        <v>121.4042</v>
      </c>
      <c r="F3659" s="1" t="s">
        <v>12</v>
      </c>
      <c r="G3659">
        <v>376</v>
      </c>
      <c r="H3659">
        <v>187</v>
      </c>
      <c r="I3659" s="1" t="s">
        <v>1622</v>
      </c>
      <c r="J3659">
        <v>6</v>
      </c>
      <c r="K3659" t="str">
        <f>IF(Tb_data[[#This Row],[previous_workers]]&lt;Tb_data[[#This Row],[workers]],"yes","no")</f>
        <v>yes</v>
      </c>
      <c r="L3659">
        <f>Tb_data[[#This Row],[workers]]-Tb_data[[#This Row],[previous_workers]]</f>
        <v>189</v>
      </c>
      <c r="M3659" s="12">
        <f>Tb_data[[#This Row],[Employees Growth]]/Tb_data[[#This Row],[previous_workers]]</f>
        <v>1.0106951871657754</v>
      </c>
    </row>
    <row r="3660" spans="1:13" x14ac:dyDescent="0.25">
      <c r="A3660" s="1" t="s">
        <v>2197</v>
      </c>
      <c r="B3660" s="1" t="s">
        <v>2198</v>
      </c>
      <c r="C3660" s="1">
        <v>8100000</v>
      </c>
      <c r="D3660" s="1" t="s">
        <v>11</v>
      </c>
      <c r="E3660">
        <v>400.74889999999999</v>
      </c>
      <c r="F3660" s="1" t="s">
        <v>86</v>
      </c>
      <c r="G3660">
        <v>65</v>
      </c>
      <c r="H3660">
        <v>16</v>
      </c>
      <c r="I3660" s="1" t="s">
        <v>55</v>
      </c>
      <c r="J3660">
        <v>3</v>
      </c>
      <c r="K3660" t="str">
        <f>IF(Tb_data[[#This Row],[previous_workers]]&lt;Tb_data[[#This Row],[workers]],"yes","no")</f>
        <v>yes</v>
      </c>
      <c r="L3660">
        <f>Tb_data[[#This Row],[workers]]-Tb_data[[#This Row],[previous_workers]]</f>
        <v>49</v>
      </c>
      <c r="M3660" s="12">
        <f>Tb_data[[#This Row],[Employees Growth]]/Tb_data[[#This Row],[previous_workers]]</f>
        <v>3.0625</v>
      </c>
    </row>
    <row r="3661" spans="1:13" x14ac:dyDescent="0.25">
      <c r="A3661" s="1" t="s">
        <v>1612</v>
      </c>
      <c r="B3661" s="1" t="s">
        <v>1613</v>
      </c>
      <c r="C3661" s="1">
        <v>15200000</v>
      </c>
      <c r="D3661" s="1" t="s">
        <v>375</v>
      </c>
      <c r="E3661">
        <v>579.23699999999997</v>
      </c>
      <c r="F3661" s="1" t="s">
        <v>176</v>
      </c>
      <c r="G3661">
        <v>100</v>
      </c>
      <c r="H3661">
        <v>20</v>
      </c>
      <c r="I3661" s="1" t="s">
        <v>130</v>
      </c>
      <c r="J3661">
        <v>3</v>
      </c>
      <c r="K3661" t="str">
        <f>IF(Tb_data[[#This Row],[previous_workers]]&lt;Tb_data[[#This Row],[workers]],"yes","no")</f>
        <v>yes</v>
      </c>
      <c r="L3661">
        <f>Tb_data[[#This Row],[workers]]-Tb_data[[#This Row],[previous_workers]]</f>
        <v>80</v>
      </c>
      <c r="M3661" s="12">
        <f>Tb_data[[#This Row],[Employees Growth]]/Tb_data[[#This Row],[previous_workers]]</f>
        <v>4</v>
      </c>
    </row>
    <row r="3662" spans="1:13" x14ac:dyDescent="0.25">
      <c r="A3662" s="1" t="s">
        <v>4206</v>
      </c>
      <c r="B3662" s="1" t="s">
        <v>4207</v>
      </c>
      <c r="C3662" s="1">
        <v>63200000</v>
      </c>
      <c r="D3662" s="1" t="s">
        <v>20</v>
      </c>
      <c r="E3662">
        <v>195.51480000000001</v>
      </c>
      <c r="F3662" s="1" t="s">
        <v>176</v>
      </c>
      <c r="G3662">
        <v>225</v>
      </c>
      <c r="H3662">
        <v>125</v>
      </c>
      <c r="I3662" s="1" t="s">
        <v>164</v>
      </c>
      <c r="J3662">
        <v>1</v>
      </c>
      <c r="K3662" t="str">
        <f>IF(Tb_data[[#This Row],[previous_workers]]&lt;Tb_data[[#This Row],[workers]],"yes","no")</f>
        <v>yes</v>
      </c>
      <c r="L3662">
        <f>Tb_data[[#This Row],[workers]]-Tb_data[[#This Row],[previous_workers]]</f>
        <v>100</v>
      </c>
      <c r="M3662" s="12">
        <f>Tb_data[[#This Row],[Employees Growth]]/Tb_data[[#This Row],[previous_workers]]</f>
        <v>0.8</v>
      </c>
    </row>
    <row r="3663" spans="1:13" x14ac:dyDescent="0.25">
      <c r="A3663" s="1" t="s">
        <v>9730</v>
      </c>
      <c r="B3663" s="1" t="s">
        <v>9731</v>
      </c>
      <c r="C3663" s="1">
        <v>2800000</v>
      </c>
      <c r="D3663" s="1" t="s">
        <v>52</v>
      </c>
      <c r="E3663">
        <v>57.785600000000002</v>
      </c>
      <c r="F3663" s="1" t="s">
        <v>12</v>
      </c>
      <c r="G3663">
        <v>17</v>
      </c>
      <c r="H3663">
        <v>12</v>
      </c>
      <c r="I3663" s="1" t="s">
        <v>35</v>
      </c>
      <c r="J3663">
        <v>3</v>
      </c>
      <c r="K3663" t="str">
        <f>IF(Tb_data[[#This Row],[previous_workers]]&lt;Tb_data[[#This Row],[workers]],"yes","no")</f>
        <v>yes</v>
      </c>
      <c r="L3663">
        <f>Tb_data[[#This Row],[workers]]-Tb_data[[#This Row],[previous_workers]]</f>
        <v>5</v>
      </c>
      <c r="M3663" s="12">
        <f>Tb_data[[#This Row],[Employees Growth]]/Tb_data[[#This Row],[previous_workers]]</f>
        <v>0.41666666666666669</v>
      </c>
    </row>
    <row r="3664" spans="1:13" x14ac:dyDescent="0.25">
      <c r="A3664" s="1" t="s">
        <v>9670</v>
      </c>
      <c r="B3664" s="1" t="s">
        <v>9671</v>
      </c>
      <c r="C3664" s="1">
        <v>49000000</v>
      </c>
      <c r="D3664" s="1" t="s">
        <v>33</v>
      </c>
      <c r="E3664">
        <v>58.314300000000003</v>
      </c>
      <c r="F3664" s="1" t="s">
        <v>86</v>
      </c>
      <c r="G3664">
        <v>170</v>
      </c>
      <c r="H3664">
        <v>130</v>
      </c>
      <c r="I3664" s="1" t="s">
        <v>2611</v>
      </c>
      <c r="J3664">
        <v>1</v>
      </c>
      <c r="K3664" t="str">
        <f>IF(Tb_data[[#This Row],[previous_workers]]&lt;Tb_data[[#This Row],[workers]],"yes","no")</f>
        <v>yes</v>
      </c>
      <c r="L3664">
        <f>Tb_data[[#This Row],[workers]]-Tb_data[[#This Row],[previous_workers]]</f>
        <v>40</v>
      </c>
      <c r="M3664" s="12">
        <f>Tb_data[[#This Row],[Employees Growth]]/Tb_data[[#This Row],[previous_workers]]</f>
        <v>0.30769230769230771</v>
      </c>
    </row>
    <row r="3665" spans="1:13" x14ac:dyDescent="0.25">
      <c r="A3665" s="1" t="s">
        <v>5388</v>
      </c>
      <c r="B3665" s="1" t="s">
        <v>5389</v>
      </c>
      <c r="C3665" s="1">
        <v>6900000</v>
      </c>
      <c r="D3665" s="1" t="s">
        <v>33</v>
      </c>
      <c r="E3665">
        <v>146.75409999999999</v>
      </c>
      <c r="F3665" s="1" t="s">
        <v>514</v>
      </c>
      <c r="G3665">
        <v>50</v>
      </c>
      <c r="H3665">
        <v>20</v>
      </c>
      <c r="I3665" s="1" t="s">
        <v>961</v>
      </c>
      <c r="J3665">
        <v>1</v>
      </c>
      <c r="K3665" t="str">
        <f>IF(Tb_data[[#This Row],[previous_workers]]&lt;Tb_data[[#This Row],[workers]],"yes","no")</f>
        <v>yes</v>
      </c>
      <c r="L3665">
        <f>Tb_data[[#This Row],[workers]]-Tb_data[[#This Row],[previous_workers]]</f>
        <v>30</v>
      </c>
      <c r="M3665" s="12">
        <f>Tb_data[[#This Row],[Employees Growth]]/Tb_data[[#This Row],[previous_workers]]</f>
        <v>1.5</v>
      </c>
    </row>
    <row r="3666" spans="1:13" x14ac:dyDescent="0.25">
      <c r="A3666" s="1" t="s">
        <v>3951</v>
      </c>
      <c r="B3666" s="1" t="s">
        <v>3952</v>
      </c>
      <c r="C3666" s="1">
        <v>5000000</v>
      </c>
      <c r="D3666" s="1" t="s">
        <v>20</v>
      </c>
      <c r="E3666">
        <v>209.5899</v>
      </c>
      <c r="F3666" s="1" t="s">
        <v>86</v>
      </c>
      <c r="G3666">
        <v>29</v>
      </c>
      <c r="H3666">
        <v>8</v>
      </c>
      <c r="I3666" s="1" t="s">
        <v>194</v>
      </c>
      <c r="J3666">
        <v>1</v>
      </c>
      <c r="K3666" t="str">
        <f>IF(Tb_data[[#This Row],[previous_workers]]&lt;Tb_data[[#This Row],[workers]],"yes","no")</f>
        <v>yes</v>
      </c>
      <c r="L3666">
        <f>Tb_data[[#This Row],[workers]]-Tb_data[[#This Row],[previous_workers]]</f>
        <v>21</v>
      </c>
      <c r="M3666" s="12">
        <f>Tb_data[[#This Row],[Employees Growth]]/Tb_data[[#This Row],[previous_workers]]</f>
        <v>2.625</v>
      </c>
    </row>
    <row r="3667" spans="1:13" x14ac:dyDescent="0.25">
      <c r="A3667" s="1" t="s">
        <v>7551</v>
      </c>
      <c r="B3667" s="1" t="s">
        <v>7552</v>
      </c>
      <c r="C3667" s="1">
        <v>2900000</v>
      </c>
      <c r="D3667" s="1" t="s">
        <v>41</v>
      </c>
      <c r="E3667">
        <v>91.678200000000004</v>
      </c>
      <c r="F3667" s="1" t="s">
        <v>135</v>
      </c>
      <c r="G3667">
        <v>15</v>
      </c>
      <c r="H3667">
        <v>8</v>
      </c>
      <c r="I3667" s="1" t="s">
        <v>194</v>
      </c>
      <c r="J3667">
        <v>3</v>
      </c>
      <c r="K3667" t="str">
        <f>IF(Tb_data[[#This Row],[previous_workers]]&lt;Tb_data[[#This Row],[workers]],"yes","no")</f>
        <v>yes</v>
      </c>
      <c r="L3667">
        <f>Tb_data[[#This Row],[workers]]-Tb_data[[#This Row],[previous_workers]]</f>
        <v>7</v>
      </c>
      <c r="M3667" s="12">
        <f>Tb_data[[#This Row],[Employees Growth]]/Tb_data[[#This Row],[previous_workers]]</f>
        <v>0.875</v>
      </c>
    </row>
    <row r="3668" spans="1:13" x14ac:dyDescent="0.25">
      <c r="A3668" s="1" t="s">
        <v>9652</v>
      </c>
      <c r="B3668" s="1" t="s">
        <v>9653</v>
      </c>
      <c r="C3668" s="1">
        <v>21100000</v>
      </c>
      <c r="D3668" s="1" t="s">
        <v>627</v>
      </c>
      <c r="E3668">
        <v>58.656300000000002</v>
      </c>
      <c r="F3668" s="1" t="s">
        <v>112</v>
      </c>
      <c r="G3668">
        <v>48</v>
      </c>
      <c r="H3668">
        <v>39</v>
      </c>
      <c r="I3668" s="1" t="s">
        <v>229</v>
      </c>
      <c r="J3668">
        <v>8</v>
      </c>
      <c r="K3668" t="str">
        <f>IF(Tb_data[[#This Row],[previous_workers]]&lt;Tb_data[[#This Row],[workers]],"yes","no")</f>
        <v>yes</v>
      </c>
      <c r="L3668">
        <f>Tb_data[[#This Row],[workers]]-Tb_data[[#This Row],[previous_workers]]</f>
        <v>9</v>
      </c>
      <c r="M3668" s="12">
        <f>Tb_data[[#This Row],[Employees Growth]]/Tb_data[[#This Row],[previous_workers]]</f>
        <v>0.23076923076923078</v>
      </c>
    </row>
    <row r="3669" spans="1:13" x14ac:dyDescent="0.25">
      <c r="A3669" s="1" t="s">
        <v>6297</v>
      </c>
      <c r="B3669" s="1" t="s">
        <v>6298</v>
      </c>
      <c r="C3669" s="1">
        <v>14900000</v>
      </c>
      <c r="D3669" s="1" t="s">
        <v>58</v>
      </c>
      <c r="E3669">
        <v>118.9873</v>
      </c>
      <c r="F3669" s="1" t="s">
        <v>172</v>
      </c>
      <c r="G3669">
        <v>130</v>
      </c>
      <c r="H3669">
        <v>58</v>
      </c>
      <c r="I3669" s="1" t="s">
        <v>3981</v>
      </c>
      <c r="J3669">
        <v>4</v>
      </c>
      <c r="K3669" t="str">
        <f>IF(Tb_data[[#This Row],[previous_workers]]&lt;Tb_data[[#This Row],[workers]],"yes","no")</f>
        <v>yes</v>
      </c>
      <c r="L3669">
        <f>Tb_data[[#This Row],[workers]]-Tb_data[[#This Row],[previous_workers]]</f>
        <v>72</v>
      </c>
      <c r="M3669" s="12">
        <f>Tb_data[[#This Row],[Employees Growth]]/Tb_data[[#This Row],[previous_workers]]</f>
        <v>1.2413793103448276</v>
      </c>
    </row>
    <row r="3670" spans="1:13" x14ac:dyDescent="0.25">
      <c r="A3670" s="1" t="s">
        <v>2064</v>
      </c>
      <c r="B3670" s="1" t="s">
        <v>2065</v>
      </c>
      <c r="C3670" s="1">
        <v>19600000</v>
      </c>
      <c r="D3670" s="1" t="s">
        <v>49</v>
      </c>
      <c r="E3670">
        <v>432.9008</v>
      </c>
      <c r="F3670" s="1" t="s">
        <v>30</v>
      </c>
      <c r="G3670">
        <v>14</v>
      </c>
      <c r="H3670">
        <v>4</v>
      </c>
      <c r="I3670" s="1" t="s">
        <v>55</v>
      </c>
      <c r="J3670">
        <v>1</v>
      </c>
      <c r="K3670" t="str">
        <f>IF(Tb_data[[#This Row],[previous_workers]]&lt;Tb_data[[#This Row],[workers]],"yes","no")</f>
        <v>yes</v>
      </c>
      <c r="L3670">
        <f>Tb_data[[#This Row],[workers]]-Tb_data[[#This Row],[previous_workers]]</f>
        <v>10</v>
      </c>
      <c r="M3670" s="12">
        <f>Tb_data[[#This Row],[Employees Growth]]/Tb_data[[#This Row],[previous_workers]]</f>
        <v>2.5</v>
      </c>
    </row>
    <row r="3671" spans="1:13" x14ac:dyDescent="0.25">
      <c r="A3671" s="1" t="s">
        <v>334</v>
      </c>
      <c r="B3671" s="1" t="s">
        <v>335</v>
      </c>
      <c r="C3671" s="1">
        <v>30000000</v>
      </c>
      <c r="D3671" s="1" t="s">
        <v>41</v>
      </c>
      <c r="E3671">
        <v>2728.9886000000001</v>
      </c>
      <c r="F3671" s="1" t="s">
        <v>42</v>
      </c>
      <c r="G3671">
        <v>125</v>
      </c>
      <c r="H3671">
        <v>8</v>
      </c>
      <c r="I3671" s="1" t="s">
        <v>13</v>
      </c>
      <c r="J3671">
        <v>1</v>
      </c>
      <c r="K3671" t="str">
        <f>IF(Tb_data[[#This Row],[previous_workers]]&lt;Tb_data[[#This Row],[workers]],"yes","no")</f>
        <v>yes</v>
      </c>
      <c r="L3671">
        <f>Tb_data[[#This Row],[workers]]-Tb_data[[#This Row],[previous_workers]]</f>
        <v>117</v>
      </c>
      <c r="M3671" s="12">
        <f>Tb_data[[#This Row],[Employees Growth]]/Tb_data[[#This Row],[previous_workers]]</f>
        <v>14.625</v>
      </c>
    </row>
    <row r="3672" spans="1:13" x14ac:dyDescent="0.25">
      <c r="A3672" s="1" t="s">
        <v>2579</v>
      </c>
      <c r="B3672" s="1" t="s">
        <v>2580</v>
      </c>
      <c r="C3672" s="1">
        <v>25200000</v>
      </c>
      <c r="D3672" s="1" t="s">
        <v>254</v>
      </c>
      <c r="E3672">
        <v>333.95249999999999</v>
      </c>
      <c r="F3672" s="1" t="s">
        <v>310</v>
      </c>
      <c r="G3672">
        <v>1400</v>
      </c>
      <c r="H3672">
        <v>280</v>
      </c>
      <c r="I3672" s="1" t="s">
        <v>164</v>
      </c>
      <c r="J3672">
        <v>4</v>
      </c>
      <c r="K3672" t="str">
        <f>IF(Tb_data[[#This Row],[previous_workers]]&lt;Tb_data[[#This Row],[workers]],"yes","no")</f>
        <v>yes</v>
      </c>
      <c r="L3672">
        <f>Tb_data[[#This Row],[workers]]-Tb_data[[#This Row],[previous_workers]]</f>
        <v>1120</v>
      </c>
      <c r="M3672" s="12">
        <f>Tb_data[[#This Row],[Employees Growth]]/Tb_data[[#This Row],[previous_workers]]</f>
        <v>4</v>
      </c>
    </row>
    <row r="3673" spans="1:13" x14ac:dyDescent="0.25">
      <c r="A3673" s="1" t="s">
        <v>9139</v>
      </c>
      <c r="B3673" s="1" t="s">
        <v>9140</v>
      </c>
      <c r="C3673" s="1">
        <v>4900000</v>
      </c>
      <c r="D3673" s="1" t="s">
        <v>387</v>
      </c>
      <c r="E3673">
        <v>64.897900000000007</v>
      </c>
      <c r="F3673" s="1" t="s">
        <v>112</v>
      </c>
      <c r="G3673">
        <v>8</v>
      </c>
      <c r="H3673">
        <v>11</v>
      </c>
      <c r="I3673" s="1" t="s">
        <v>2225</v>
      </c>
      <c r="J3673">
        <v>3</v>
      </c>
      <c r="K3673" t="str">
        <f>IF(Tb_data[[#This Row],[previous_workers]]&lt;Tb_data[[#This Row],[workers]],"yes","no")</f>
        <v>no</v>
      </c>
      <c r="L3673">
        <f>Tb_data[[#This Row],[workers]]-Tb_data[[#This Row],[previous_workers]]</f>
        <v>-3</v>
      </c>
      <c r="M3673" s="12">
        <f>Tb_data[[#This Row],[Employees Growth]]/Tb_data[[#This Row],[previous_workers]]</f>
        <v>-0.27272727272727271</v>
      </c>
    </row>
    <row r="3674" spans="1:13" x14ac:dyDescent="0.25">
      <c r="A3674" s="1" t="s">
        <v>8803</v>
      </c>
      <c r="B3674" s="1" t="s">
        <v>8804</v>
      </c>
      <c r="C3674" s="1">
        <v>2700000</v>
      </c>
      <c r="D3674" s="1" t="s">
        <v>41</v>
      </c>
      <c r="E3674">
        <v>69.414500000000004</v>
      </c>
      <c r="F3674" s="1" t="s">
        <v>97</v>
      </c>
      <c r="G3674">
        <v>23</v>
      </c>
      <c r="H3674">
        <v>15</v>
      </c>
      <c r="I3674" s="1" t="s">
        <v>117</v>
      </c>
      <c r="J3674">
        <v>2</v>
      </c>
      <c r="K3674" t="str">
        <f>IF(Tb_data[[#This Row],[previous_workers]]&lt;Tb_data[[#This Row],[workers]],"yes","no")</f>
        <v>yes</v>
      </c>
      <c r="L3674">
        <f>Tb_data[[#This Row],[workers]]-Tb_data[[#This Row],[previous_workers]]</f>
        <v>8</v>
      </c>
      <c r="M3674" s="12">
        <f>Tb_data[[#This Row],[Employees Growth]]/Tb_data[[#This Row],[previous_workers]]</f>
        <v>0.53333333333333333</v>
      </c>
    </row>
    <row r="3675" spans="1:13" x14ac:dyDescent="0.25">
      <c r="A3675" s="1" t="s">
        <v>5850</v>
      </c>
      <c r="B3675" s="1" t="s">
        <v>5851</v>
      </c>
      <c r="C3675" s="1">
        <v>4300000</v>
      </c>
      <c r="D3675" s="1" t="s">
        <v>69</v>
      </c>
      <c r="E3675">
        <v>130.03100000000001</v>
      </c>
      <c r="F3675" s="1" t="s">
        <v>156</v>
      </c>
      <c r="G3675">
        <v>25</v>
      </c>
      <c r="H3675">
        <v>15</v>
      </c>
      <c r="I3675" s="1" t="s">
        <v>2628</v>
      </c>
      <c r="J3675">
        <v>1</v>
      </c>
      <c r="K3675" t="str">
        <f>IF(Tb_data[[#This Row],[previous_workers]]&lt;Tb_data[[#This Row],[workers]],"yes","no")</f>
        <v>yes</v>
      </c>
      <c r="L3675">
        <f>Tb_data[[#This Row],[workers]]-Tb_data[[#This Row],[previous_workers]]</f>
        <v>10</v>
      </c>
      <c r="M3675" s="12">
        <f>Tb_data[[#This Row],[Employees Growth]]/Tb_data[[#This Row],[previous_workers]]</f>
        <v>0.66666666666666663</v>
      </c>
    </row>
    <row r="3676" spans="1:13" x14ac:dyDescent="0.25">
      <c r="A3676" s="1" t="s">
        <v>4409</v>
      </c>
      <c r="B3676" s="1" t="s">
        <v>4410</v>
      </c>
      <c r="C3676" s="1">
        <v>13500000</v>
      </c>
      <c r="D3676" s="1" t="s">
        <v>129</v>
      </c>
      <c r="E3676">
        <v>186.3014</v>
      </c>
      <c r="F3676" s="1" t="s">
        <v>97</v>
      </c>
      <c r="G3676">
        <v>136</v>
      </c>
      <c r="H3676">
        <v>50</v>
      </c>
      <c r="I3676" s="1" t="s">
        <v>948</v>
      </c>
      <c r="J3676">
        <v>3</v>
      </c>
      <c r="K3676" t="str">
        <f>IF(Tb_data[[#This Row],[previous_workers]]&lt;Tb_data[[#This Row],[workers]],"yes","no")</f>
        <v>yes</v>
      </c>
      <c r="L3676">
        <f>Tb_data[[#This Row],[workers]]-Tb_data[[#This Row],[previous_workers]]</f>
        <v>86</v>
      </c>
      <c r="M3676" s="12">
        <f>Tb_data[[#This Row],[Employees Growth]]/Tb_data[[#This Row],[previous_workers]]</f>
        <v>1.72</v>
      </c>
    </row>
    <row r="3677" spans="1:13" x14ac:dyDescent="0.25">
      <c r="A3677" s="1" t="s">
        <v>3131</v>
      </c>
      <c r="B3677" s="1" t="s">
        <v>3132</v>
      </c>
      <c r="C3677" s="1">
        <v>21600000</v>
      </c>
      <c r="D3677" s="1" t="s">
        <v>45</v>
      </c>
      <c r="E3677">
        <v>275.28429999999997</v>
      </c>
      <c r="F3677" s="1" t="s">
        <v>12</v>
      </c>
      <c r="G3677">
        <v>219</v>
      </c>
      <c r="H3677">
        <v>45</v>
      </c>
      <c r="I3677" s="1" t="s">
        <v>55</v>
      </c>
      <c r="J3677">
        <v>2</v>
      </c>
      <c r="K3677" t="str">
        <f>IF(Tb_data[[#This Row],[previous_workers]]&lt;Tb_data[[#This Row],[workers]],"yes","no")</f>
        <v>yes</v>
      </c>
      <c r="L3677">
        <f>Tb_data[[#This Row],[workers]]-Tb_data[[#This Row],[previous_workers]]</f>
        <v>174</v>
      </c>
      <c r="M3677" s="12">
        <f>Tb_data[[#This Row],[Employees Growth]]/Tb_data[[#This Row],[previous_workers]]</f>
        <v>3.8666666666666667</v>
      </c>
    </row>
    <row r="3678" spans="1:13" x14ac:dyDescent="0.25">
      <c r="A3678" s="1" t="s">
        <v>4677</v>
      </c>
      <c r="B3678" s="1" t="s">
        <v>4678</v>
      </c>
      <c r="C3678" s="1">
        <v>13700000</v>
      </c>
      <c r="D3678" s="1" t="s">
        <v>895</v>
      </c>
      <c r="E3678">
        <v>175.15299999999999</v>
      </c>
      <c r="F3678" s="1" t="s">
        <v>21</v>
      </c>
      <c r="G3678">
        <v>35</v>
      </c>
      <c r="H3678">
        <v>30</v>
      </c>
      <c r="I3678" s="1" t="s">
        <v>980</v>
      </c>
      <c r="J3678">
        <v>8</v>
      </c>
      <c r="K3678" t="str">
        <f>IF(Tb_data[[#This Row],[previous_workers]]&lt;Tb_data[[#This Row],[workers]],"yes","no")</f>
        <v>yes</v>
      </c>
      <c r="L3678">
        <f>Tb_data[[#This Row],[workers]]-Tb_data[[#This Row],[previous_workers]]</f>
        <v>5</v>
      </c>
      <c r="M3678" s="12">
        <f>Tb_data[[#This Row],[Employees Growth]]/Tb_data[[#This Row],[previous_workers]]</f>
        <v>0.16666666666666666</v>
      </c>
    </row>
    <row r="3679" spans="1:13" x14ac:dyDescent="0.25">
      <c r="A3679" s="1" t="s">
        <v>7056</v>
      </c>
      <c r="B3679" s="1" t="s">
        <v>7057</v>
      </c>
      <c r="C3679" s="1">
        <v>22900000</v>
      </c>
      <c r="D3679" s="1" t="s">
        <v>45</v>
      </c>
      <c r="E3679">
        <v>100.9087</v>
      </c>
      <c r="F3679" s="1" t="s">
        <v>176</v>
      </c>
      <c r="G3679">
        <v>77</v>
      </c>
      <c r="H3679">
        <v>61</v>
      </c>
      <c r="I3679" s="1" t="s">
        <v>3843</v>
      </c>
      <c r="J3679">
        <v>4</v>
      </c>
      <c r="K3679" t="str">
        <f>IF(Tb_data[[#This Row],[previous_workers]]&lt;Tb_data[[#This Row],[workers]],"yes","no")</f>
        <v>yes</v>
      </c>
      <c r="L3679">
        <f>Tb_data[[#This Row],[workers]]-Tb_data[[#This Row],[previous_workers]]</f>
        <v>16</v>
      </c>
      <c r="M3679" s="12">
        <f>Tb_data[[#This Row],[Employees Growth]]/Tb_data[[#This Row],[previous_workers]]</f>
        <v>0.26229508196721313</v>
      </c>
    </row>
    <row r="3680" spans="1:13" x14ac:dyDescent="0.25">
      <c r="A3680" s="1" t="s">
        <v>3021</v>
      </c>
      <c r="B3680" s="1" t="s">
        <v>3022</v>
      </c>
      <c r="C3680" s="1">
        <v>13400000</v>
      </c>
      <c r="D3680" s="1" t="s">
        <v>41</v>
      </c>
      <c r="E3680">
        <v>285.35469999999998</v>
      </c>
      <c r="F3680" s="1" t="s">
        <v>97</v>
      </c>
      <c r="G3680">
        <v>400</v>
      </c>
      <c r="H3680">
        <v>80</v>
      </c>
      <c r="I3680" s="1" t="s">
        <v>35</v>
      </c>
      <c r="J3680">
        <v>1</v>
      </c>
      <c r="K3680" t="str">
        <f>IF(Tb_data[[#This Row],[previous_workers]]&lt;Tb_data[[#This Row],[workers]],"yes","no")</f>
        <v>yes</v>
      </c>
      <c r="L3680">
        <f>Tb_data[[#This Row],[workers]]-Tb_data[[#This Row],[previous_workers]]</f>
        <v>320</v>
      </c>
      <c r="M3680" s="12">
        <f>Tb_data[[#This Row],[Employees Growth]]/Tb_data[[#This Row],[previous_workers]]</f>
        <v>4</v>
      </c>
    </row>
    <row r="3681" spans="1:13" x14ac:dyDescent="0.25">
      <c r="A3681" s="1" t="s">
        <v>5772</v>
      </c>
      <c r="B3681" s="1" t="s">
        <v>5773</v>
      </c>
      <c r="C3681" s="1">
        <v>9600000</v>
      </c>
      <c r="D3681" s="1" t="s">
        <v>58</v>
      </c>
      <c r="E3681">
        <v>132.03489999999999</v>
      </c>
      <c r="F3681" s="1" t="s">
        <v>176</v>
      </c>
      <c r="G3681">
        <v>91</v>
      </c>
      <c r="H3681">
        <v>51</v>
      </c>
      <c r="I3681" s="1" t="s">
        <v>26</v>
      </c>
      <c r="J3681">
        <v>2</v>
      </c>
      <c r="K3681" t="str">
        <f>IF(Tb_data[[#This Row],[previous_workers]]&lt;Tb_data[[#This Row],[workers]],"yes","no")</f>
        <v>yes</v>
      </c>
      <c r="L3681">
        <f>Tb_data[[#This Row],[workers]]-Tb_data[[#This Row],[previous_workers]]</f>
        <v>40</v>
      </c>
      <c r="M3681" s="12">
        <f>Tb_data[[#This Row],[Employees Growth]]/Tb_data[[#This Row],[previous_workers]]</f>
        <v>0.78431372549019607</v>
      </c>
    </row>
    <row r="3682" spans="1:13" x14ac:dyDescent="0.25">
      <c r="A3682" s="1" t="s">
        <v>2004</v>
      </c>
      <c r="B3682" s="1" t="s">
        <v>2005</v>
      </c>
      <c r="C3682" s="1">
        <v>5200000</v>
      </c>
      <c r="D3682" s="1" t="s">
        <v>254</v>
      </c>
      <c r="E3682">
        <v>448.39440000000002</v>
      </c>
      <c r="F3682" s="1" t="s">
        <v>86</v>
      </c>
      <c r="G3682">
        <v>34</v>
      </c>
      <c r="H3682">
        <v>28</v>
      </c>
      <c r="I3682" s="1" t="s">
        <v>164</v>
      </c>
      <c r="J3682">
        <v>2</v>
      </c>
      <c r="K3682" t="str">
        <f>IF(Tb_data[[#This Row],[previous_workers]]&lt;Tb_data[[#This Row],[workers]],"yes","no")</f>
        <v>yes</v>
      </c>
      <c r="L3682">
        <f>Tb_data[[#This Row],[workers]]-Tb_data[[#This Row],[previous_workers]]</f>
        <v>6</v>
      </c>
      <c r="M3682" s="12">
        <f>Tb_data[[#This Row],[Employees Growth]]/Tb_data[[#This Row],[previous_workers]]</f>
        <v>0.21428571428571427</v>
      </c>
    </row>
    <row r="3683" spans="1:13" x14ac:dyDescent="0.25">
      <c r="A3683" s="1" t="s">
        <v>6871</v>
      </c>
      <c r="B3683" s="1" t="s">
        <v>6872</v>
      </c>
      <c r="C3683" s="1">
        <v>4300000</v>
      </c>
      <c r="D3683" s="1" t="s">
        <v>49</v>
      </c>
      <c r="E3683">
        <v>105.1348</v>
      </c>
      <c r="F3683" s="1" t="s">
        <v>161</v>
      </c>
      <c r="G3683">
        <v>13</v>
      </c>
      <c r="H3683">
        <v>15</v>
      </c>
      <c r="I3683" s="1" t="s">
        <v>130</v>
      </c>
      <c r="J3683">
        <v>2</v>
      </c>
      <c r="K3683" t="str">
        <f>IF(Tb_data[[#This Row],[previous_workers]]&lt;Tb_data[[#This Row],[workers]],"yes","no")</f>
        <v>no</v>
      </c>
      <c r="L3683">
        <f>Tb_data[[#This Row],[workers]]-Tb_data[[#This Row],[previous_workers]]</f>
        <v>-2</v>
      </c>
      <c r="M3683" s="12">
        <f>Tb_data[[#This Row],[Employees Growth]]/Tb_data[[#This Row],[previous_workers]]</f>
        <v>-0.13333333333333333</v>
      </c>
    </row>
    <row r="3684" spans="1:13" x14ac:dyDescent="0.25">
      <c r="A3684" s="1" t="s">
        <v>2000</v>
      </c>
      <c r="B3684" s="1" t="s">
        <v>2001</v>
      </c>
      <c r="C3684" s="1">
        <v>5000000</v>
      </c>
      <c r="D3684" s="1" t="s">
        <v>61</v>
      </c>
      <c r="E3684">
        <v>449.06689999999998</v>
      </c>
      <c r="F3684" s="1" t="s">
        <v>30</v>
      </c>
      <c r="G3684">
        <v>12</v>
      </c>
      <c r="H3684">
        <v>5</v>
      </c>
      <c r="I3684" s="1" t="s">
        <v>26</v>
      </c>
      <c r="J3684">
        <v>1</v>
      </c>
      <c r="K3684" t="str">
        <f>IF(Tb_data[[#This Row],[previous_workers]]&lt;Tb_data[[#This Row],[workers]],"yes","no")</f>
        <v>yes</v>
      </c>
      <c r="L3684">
        <f>Tb_data[[#This Row],[workers]]-Tb_data[[#This Row],[previous_workers]]</f>
        <v>7</v>
      </c>
      <c r="M3684" s="12">
        <f>Tb_data[[#This Row],[Employees Growth]]/Tb_data[[#This Row],[previous_workers]]</f>
        <v>1.4</v>
      </c>
    </row>
    <row r="3685" spans="1:13" x14ac:dyDescent="0.25">
      <c r="A3685" s="1" t="s">
        <v>46</v>
      </c>
      <c r="B3685" s="1" t="s">
        <v>4110</v>
      </c>
      <c r="C3685" s="1">
        <v>2000000</v>
      </c>
      <c r="D3685" s="1" t="s">
        <v>52</v>
      </c>
      <c r="E3685">
        <v>199.91730000000001</v>
      </c>
      <c r="F3685" s="1" t="s">
        <v>34</v>
      </c>
      <c r="G3685">
        <v>4</v>
      </c>
      <c r="H3685">
        <v>1</v>
      </c>
      <c r="I3685" s="1" t="s">
        <v>13</v>
      </c>
      <c r="J3685">
        <v>1</v>
      </c>
      <c r="K3685" t="str">
        <f>IF(Tb_data[[#This Row],[previous_workers]]&lt;Tb_data[[#This Row],[workers]],"yes","no")</f>
        <v>yes</v>
      </c>
      <c r="L3685">
        <f>Tb_data[[#This Row],[workers]]-Tb_data[[#This Row],[previous_workers]]</f>
        <v>3</v>
      </c>
      <c r="M3685" s="12">
        <f>Tb_data[[#This Row],[Employees Growth]]/Tb_data[[#This Row],[previous_workers]]</f>
        <v>3</v>
      </c>
    </row>
    <row r="3686" spans="1:13" x14ac:dyDescent="0.25">
      <c r="A3686" s="1" t="s">
        <v>5622</v>
      </c>
      <c r="B3686" s="1" t="s">
        <v>5623</v>
      </c>
      <c r="C3686" s="1">
        <v>4700000</v>
      </c>
      <c r="D3686" s="1" t="s">
        <v>61</v>
      </c>
      <c r="E3686">
        <v>137.06020000000001</v>
      </c>
      <c r="F3686" s="1" t="s">
        <v>12</v>
      </c>
      <c r="G3686">
        <v>45</v>
      </c>
      <c r="H3686">
        <v>15</v>
      </c>
      <c r="I3686" s="1" t="s">
        <v>55</v>
      </c>
      <c r="J3686">
        <v>1</v>
      </c>
      <c r="K3686" t="str">
        <f>IF(Tb_data[[#This Row],[previous_workers]]&lt;Tb_data[[#This Row],[workers]],"yes","no")</f>
        <v>yes</v>
      </c>
      <c r="L3686">
        <f>Tb_data[[#This Row],[workers]]-Tb_data[[#This Row],[previous_workers]]</f>
        <v>30</v>
      </c>
      <c r="M3686" s="12">
        <f>Tb_data[[#This Row],[Employees Growth]]/Tb_data[[#This Row],[previous_workers]]</f>
        <v>2</v>
      </c>
    </row>
    <row r="3687" spans="1:13" x14ac:dyDescent="0.25">
      <c r="A3687" s="1" t="s">
        <v>5576</v>
      </c>
      <c r="B3687" s="1" t="s">
        <v>5577</v>
      </c>
      <c r="C3687" s="1">
        <v>9300000</v>
      </c>
      <c r="D3687" s="1" t="s">
        <v>69</v>
      </c>
      <c r="E3687">
        <v>139.29599999999999</v>
      </c>
      <c r="F3687" s="1" t="s">
        <v>62</v>
      </c>
      <c r="G3687">
        <v>57</v>
      </c>
      <c r="H3687">
        <v>42</v>
      </c>
      <c r="I3687" s="1" t="s">
        <v>130</v>
      </c>
      <c r="J3687">
        <v>3</v>
      </c>
      <c r="K3687" t="str">
        <f>IF(Tb_data[[#This Row],[previous_workers]]&lt;Tb_data[[#This Row],[workers]],"yes","no")</f>
        <v>yes</v>
      </c>
      <c r="L3687">
        <f>Tb_data[[#This Row],[workers]]-Tb_data[[#This Row],[previous_workers]]</f>
        <v>15</v>
      </c>
      <c r="M3687" s="12">
        <f>Tb_data[[#This Row],[Employees Growth]]/Tb_data[[#This Row],[previous_workers]]</f>
        <v>0.35714285714285715</v>
      </c>
    </row>
    <row r="3688" spans="1:13" x14ac:dyDescent="0.25">
      <c r="A3688" s="1" t="s">
        <v>7795</v>
      </c>
      <c r="B3688" s="1" t="s">
        <v>7796</v>
      </c>
      <c r="C3688" s="1">
        <v>22100000</v>
      </c>
      <c r="D3688" s="1" t="s">
        <v>61</v>
      </c>
      <c r="E3688">
        <v>86.376400000000004</v>
      </c>
      <c r="F3688" s="1" t="s">
        <v>25</v>
      </c>
      <c r="G3688">
        <v>215</v>
      </c>
      <c r="H3688">
        <v>130</v>
      </c>
      <c r="I3688" s="1" t="s">
        <v>46</v>
      </c>
      <c r="J3688">
        <v>2</v>
      </c>
      <c r="K3688" t="str">
        <f>IF(Tb_data[[#This Row],[previous_workers]]&lt;Tb_data[[#This Row],[workers]],"yes","no")</f>
        <v>yes</v>
      </c>
      <c r="L3688">
        <f>Tb_data[[#This Row],[workers]]-Tb_data[[#This Row],[previous_workers]]</f>
        <v>85</v>
      </c>
      <c r="M3688" s="12">
        <f>Tb_data[[#This Row],[Employees Growth]]/Tb_data[[#This Row],[previous_workers]]</f>
        <v>0.65384615384615385</v>
      </c>
    </row>
    <row r="3689" spans="1:13" x14ac:dyDescent="0.25">
      <c r="A3689" s="1" t="s">
        <v>8580</v>
      </c>
      <c r="B3689" s="1" t="s">
        <v>8581</v>
      </c>
      <c r="C3689" s="1">
        <v>2700000</v>
      </c>
      <c r="D3689" s="1" t="s">
        <v>1021</v>
      </c>
      <c r="E3689">
        <v>72.629000000000005</v>
      </c>
      <c r="F3689" s="1" t="s">
        <v>124</v>
      </c>
      <c r="G3689">
        <v>15</v>
      </c>
      <c r="H3689">
        <v>11</v>
      </c>
      <c r="I3689" s="1" t="s">
        <v>164</v>
      </c>
      <c r="J3689">
        <v>1</v>
      </c>
      <c r="K3689" t="str">
        <f>IF(Tb_data[[#This Row],[previous_workers]]&lt;Tb_data[[#This Row],[workers]],"yes","no")</f>
        <v>yes</v>
      </c>
      <c r="L3689">
        <f>Tb_data[[#This Row],[workers]]-Tb_data[[#This Row],[previous_workers]]</f>
        <v>4</v>
      </c>
      <c r="M3689" s="12">
        <f>Tb_data[[#This Row],[Employees Growth]]/Tb_data[[#This Row],[previous_workers]]</f>
        <v>0.36363636363636365</v>
      </c>
    </row>
    <row r="3690" spans="1:13" x14ac:dyDescent="0.25">
      <c r="A3690" s="1" t="s">
        <v>9327</v>
      </c>
      <c r="B3690" s="1" t="s">
        <v>9328</v>
      </c>
      <c r="C3690" s="1">
        <v>49500000</v>
      </c>
      <c r="D3690" s="1" t="s">
        <v>120</v>
      </c>
      <c r="E3690">
        <v>62.463299999999997</v>
      </c>
      <c r="F3690" s="1" t="s">
        <v>124</v>
      </c>
      <c r="G3690">
        <v>135</v>
      </c>
      <c r="H3690">
        <v>110</v>
      </c>
      <c r="I3690" s="1" t="s">
        <v>194</v>
      </c>
      <c r="J3690">
        <v>1</v>
      </c>
      <c r="K3690" t="str">
        <f>IF(Tb_data[[#This Row],[previous_workers]]&lt;Tb_data[[#This Row],[workers]],"yes","no")</f>
        <v>yes</v>
      </c>
      <c r="L3690">
        <f>Tb_data[[#This Row],[workers]]-Tb_data[[#This Row],[previous_workers]]</f>
        <v>25</v>
      </c>
      <c r="M3690" s="12">
        <f>Tb_data[[#This Row],[Employees Growth]]/Tb_data[[#This Row],[previous_workers]]</f>
        <v>0.22727272727272727</v>
      </c>
    </row>
    <row r="3691" spans="1:13" x14ac:dyDescent="0.25">
      <c r="A3691" s="1" t="s">
        <v>6647</v>
      </c>
      <c r="B3691" s="1" t="s">
        <v>6648</v>
      </c>
      <c r="C3691" s="1">
        <v>6400000</v>
      </c>
      <c r="D3691" s="1" t="s">
        <v>45</v>
      </c>
      <c r="E3691">
        <v>110.29559999999999</v>
      </c>
      <c r="F3691" s="1" t="s">
        <v>142</v>
      </c>
      <c r="G3691">
        <v>131</v>
      </c>
      <c r="H3691">
        <v>77</v>
      </c>
      <c r="I3691" s="1" t="s">
        <v>372</v>
      </c>
      <c r="J3691">
        <v>1</v>
      </c>
      <c r="K3691" t="str">
        <f>IF(Tb_data[[#This Row],[previous_workers]]&lt;Tb_data[[#This Row],[workers]],"yes","no")</f>
        <v>yes</v>
      </c>
      <c r="L3691">
        <f>Tb_data[[#This Row],[workers]]-Tb_data[[#This Row],[previous_workers]]</f>
        <v>54</v>
      </c>
      <c r="M3691" s="12">
        <f>Tb_data[[#This Row],[Employees Growth]]/Tb_data[[#This Row],[previous_workers]]</f>
        <v>0.70129870129870131</v>
      </c>
    </row>
    <row r="3692" spans="1:13" x14ac:dyDescent="0.25">
      <c r="A3692" s="1" t="s">
        <v>4943</v>
      </c>
      <c r="B3692" s="1" t="s">
        <v>4944</v>
      </c>
      <c r="C3692" s="1">
        <v>5600000</v>
      </c>
      <c r="D3692" s="1" t="s">
        <v>61</v>
      </c>
      <c r="E3692">
        <v>164.41290000000001</v>
      </c>
      <c r="F3692" s="1" t="s">
        <v>12</v>
      </c>
      <c r="G3692">
        <v>22</v>
      </c>
      <c r="H3692">
        <v>6</v>
      </c>
      <c r="I3692" s="1" t="s">
        <v>55</v>
      </c>
      <c r="J3692">
        <v>2</v>
      </c>
      <c r="K3692" t="str">
        <f>IF(Tb_data[[#This Row],[previous_workers]]&lt;Tb_data[[#This Row],[workers]],"yes","no")</f>
        <v>yes</v>
      </c>
      <c r="L3692">
        <f>Tb_data[[#This Row],[workers]]-Tb_data[[#This Row],[previous_workers]]</f>
        <v>16</v>
      </c>
      <c r="M3692" s="12">
        <f>Tb_data[[#This Row],[Employees Growth]]/Tb_data[[#This Row],[previous_workers]]</f>
        <v>2.6666666666666665</v>
      </c>
    </row>
    <row r="3693" spans="1:13" x14ac:dyDescent="0.25">
      <c r="A3693" s="1" t="s">
        <v>392</v>
      </c>
      <c r="B3693" s="1" t="s">
        <v>393</v>
      </c>
      <c r="C3693" s="1">
        <v>13600000</v>
      </c>
      <c r="D3693" s="1" t="s">
        <v>179</v>
      </c>
      <c r="E3693">
        <v>2417.9715000000001</v>
      </c>
      <c r="F3693" s="1" t="s">
        <v>86</v>
      </c>
      <c r="G3693">
        <v>58</v>
      </c>
      <c r="H3693">
        <v>5</v>
      </c>
      <c r="I3693" s="1" t="s">
        <v>13</v>
      </c>
      <c r="J3693">
        <v>1</v>
      </c>
      <c r="K3693" t="str">
        <f>IF(Tb_data[[#This Row],[previous_workers]]&lt;Tb_data[[#This Row],[workers]],"yes","no")</f>
        <v>yes</v>
      </c>
      <c r="L3693">
        <f>Tb_data[[#This Row],[workers]]-Tb_data[[#This Row],[previous_workers]]</f>
        <v>53</v>
      </c>
      <c r="M3693" s="12">
        <f>Tb_data[[#This Row],[Employees Growth]]/Tb_data[[#This Row],[previous_workers]]</f>
        <v>10.6</v>
      </c>
    </row>
    <row r="3694" spans="1:13" x14ac:dyDescent="0.25">
      <c r="A3694" s="1" t="s">
        <v>1062</v>
      </c>
      <c r="B3694" s="1" t="s">
        <v>1063</v>
      </c>
      <c r="C3694" s="1">
        <v>2300000</v>
      </c>
      <c r="D3694" s="1" t="s">
        <v>1002</v>
      </c>
      <c r="E3694">
        <v>913.73509999999999</v>
      </c>
      <c r="F3694" s="1" t="s">
        <v>86</v>
      </c>
      <c r="G3694">
        <v>20</v>
      </c>
      <c r="H3694">
        <v>3</v>
      </c>
      <c r="I3694" s="1" t="s">
        <v>55</v>
      </c>
      <c r="J3694">
        <v>1</v>
      </c>
      <c r="K3694" t="str">
        <f>IF(Tb_data[[#This Row],[previous_workers]]&lt;Tb_data[[#This Row],[workers]],"yes","no")</f>
        <v>yes</v>
      </c>
      <c r="L3694">
        <f>Tb_data[[#This Row],[workers]]-Tb_data[[#This Row],[previous_workers]]</f>
        <v>17</v>
      </c>
      <c r="M3694" s="12">
        <f>Tb_data[[#This Row],[Employees Growth]]/Tb_data[[#This Row],[previous_workers]]</f>
        <v>5.666666666666667</v>
      </c>
    </row>
    <row r="3695" spans="1:13" x14ac:dyDescent="0.25">
      <c r="A3695" s="1" t="s">
        <v>6741</v>
      </c>
      <c r="B3695" s="1" t="s">
        <v>6742</v>
      </c>
      <c r="C3695" s="1">
        <v>2100000</v>
      </c>
      <c r="D3695" s="1" t="s">
        <v>20</v>
      </c>
      <c r="E3695">
        <v>107.941</v>
      </c>
      <c r="F3695" s="1" t="s">
        <v>172</v>
      </c>
      <c r="G3695">
        <v>24</v>
      </c>
      <c r="H3695">
        <v>15</v>
      </c>
      <c r="I3695" s="1" t="s">
        <v>46</v>
      </c>
      <c r="J3695">
        <v>1</v>
      </c>
      <c r="K3695" t="str">
        <f>IF(Tb_data[[#This Row],[previous_workers]]&lt;Tb_data[[#This Row],[workers]],"yes","no")</f>
        <v>yes</v>
      </c>
      <c r="L3695">
        <f>Tb_data[[#This Row],[workers]]-Tb_data[[#This Row],[previous_workers]]</f>
        <v>9</v>
      </c>
      <c r="M3695" s="12">
        <f>Tb_data[[#This Row],[Employees Growth]]/Tb_data[[#This Row],[previous_workers]]</f>
        <v>0.6</v>
      </c>
    </row>
    <row r="3696" spans="1:13" x14ac:dyDescent="0.25">
      <c r="A3696" s="1" t="s">
        <v>6187</v>
      </c>
      <c r="B3696" s="1" t="s">
        <v>6188</v>
      </c>
      <c r="C3696" s="1">
        <v>4700000</v>
      </c>
      <c r="D3696" s="1" t="s">
        <v>33</v>
      </c>
      <c r="E3696">
        <v>121.6035</v>
      </c>
      <c r="F3696" s="1" t="s">
        <v>12</v>
      </c>
      <c r="G3696">
        <v>25</v>
      </c>
      <c r="H3696">
        <v>10</v>
      </c>
      <c r="I3696" s="1" t="s">
        <v>164</v>
      </c>
      <c r="J3696">
        <v>1</v>
      </c>
      <c r="K3696" t="str">
        <f>IF(Tb_data[[#This Row],[previous_workers]]&lt;Tb_data[[#This Row],[workers]],"yes","no")</f>
        <v>yes</v>
      </c>
      <c r="L3696">
        <f>Tb_data[[#This Row],[workers]]-Tb_data[[#This Row],[previous_workers]]</f>
        <v>15</v>
      </c>
      <c r="M3696" s="12">
        <f>Tb_data[[#This Row],[Employees Growth]]/Tb_data[[#This Row],[previous_workers]]</f>
        <v>1.5</v>
      </c>
    </row>
    <row r="3697" spans="1:13" x14ac:dyDescent="0.25">
      <c r="A3697" s="1" t="s">
        <v>5750</v>
      </c>
      <c r="B3697" s="1" t="s">
        <v>5751</v>
      </c>
      <c r="C3697" s="1">
        <v>30500000</v>
      </c>
      <c r="D3697" s="1" t="s">
        <v>254</v>
      </c>
      <c r="E3697">
        <v>132.65469999999999</v>
      </c>
      <c r="F3697" s="1" t="s">
        <v>100</v>
      </c>
      <c r="G3697">
        <v>50</v>
      </c>
      <c r="H3697">
        <v>25</v>
      </c>
      <c r="I3697" s="1" t="s">
        <v>35</v>
      </c>
      <c r="J3697">
        <v>2</v>
      </c>
      <c r="K3697" t="str">
        <f>IF(Tb_data[[#This Row],[previous_workers]]&lt;Tb_data[[#This Row],[workers]],"yes","no")</f>
        <v>yes</v>
      </c>
      <c r="L3697">
        <f>Tb_data[[#This Row],[workers]]-Tb_data[[#This Row],[previous_workers]]</f>
        <v>25</v>
      </c>
      <c r="M3697" s="12">
        <f>Tb_data[[#This Row],[Employees Growth]]/Tb_data[[#This Row],[previous_workers]]</f>
        <v>1</v>
      </c>
    </row>
    <row r="3698" spans="1:13" x14ac:dyDescent="0.25">
      <c r="A3698" s="1" t="s">
        <v>8472</v>
      </c>
      <c r="B3698" s="1" t="s">
        <v>8473</v>
      </c>
      <c r="C3698" s="1">
        <v>4700000</v>
      </c>
      <c r="D3698" s="1" t="s">
        <v>41</v>
      </c>
      <c r="E3698">
        <v>74.611199999999997</v>
      </c>
      <c r="F3698" s="1" t="s">
        <v>161</v>
      </c>
      <c r="G3698">
        <v>12</v>
      </c>
      <c r="H3698">
        <v>7</v>
      </c>
      <c r="I3698" s="1" t="s">
        <v>948</v>
      </c>
      <c r="J3698">
        <v>1</v>
      </c>
      <c r="K3698" t="str">
        <f>IF(Tb_data[[#This Row],[previous_workers]]&lt;Tb_data[[#This Row],[workers]],"yes","no")</f>
        <v>yes</v>
      </c>
      <c r="L3698">
        <f>Tb_data[[#This Row],[workers]]-Tb_data[[#This Row],[previous_workers]]</f>
        <v>5</v>
      </c>
      <c r="M3698" s="12">
        <f>Tb_data[[#This Row],[Employees Growth]]/Tb_data[[#This Row],[previous_workers]]</f>
        <v>0.7142857142857143</v>
      </c>
    </row>
    <row r="3699" spans="1:13" x14ac:dyDescent="0.25">
      <c r="A3699" s="1" t="s">
        <v>9736</v>
      </c>
      <c r="B3699" s="1" t="s">
        <v>9737</v>
      </c>
      <c r="C3699" s="1">
        <v>9900000</v>
      </c>
      <c r="D3699" s="1" t="s">
        <v>20</v>
      </c>
      <c r="E3699">
        <v>57.762999999999998</v>
      </c>
      <c r="F3699" s="1" t="s">
        <v>100</v>
      </c>
      <c r="G3699">
        <v>200</v>
      </c>
      <c r="H3699">
        <v>90</v>
      </c>
      <c r="I3699" s="1" t="s">
        <v>74</v>
      </c>
      <c r="J3699">
        <v>3</v>
      </c>
      <c r="K3699" t="str">
        <f>IF(Tb_data[[#This Row],[previous_workers]]&lt;Tb_data[[#This Row],[workers]],"yes","no")</f>
        <v>yes</v>
      </c>
      <c r="L3699">
        <f>Tb_data[[#This Row],[workers]]-Tb_data[[#This Row],[previous_workers]]</f>
        <v>110</v>
      </c>
      <c r="M3699" s="12">
        <f>Tb_data[[#This Row],[Employees Growth]]/Tb_data[[#This Row],[previous_workers]]</f>
        <v>1.2222222222222223</v>
      </c>
    </row>
    <row r="3700" spans="1:13" x14ac:dyDescent="0.25">
      <c r="A3700" s="1" t="s">
        <v>5870</v>
      </c>
      <c r="B3700" s="1" t="s">
        <v>5871</v>
      </c>
      <c r="C3700" s="1">
        <v>53000000</v>
      </c>
      <c r="D3700" s="1" t="s">
        <v>69</v>
      </c>
      <c r="E3700">
        <v>129.64240000000001</v>
      </c>
      <c r="F3700" s="1" t="s">
        <v>34</v>
      </c>
      <c r="G3700">
        <v>75</v>
      </c>
      <c r="H3700">
        <v>39</v>
      </c>
      <c r="I3700" s="1" t="s">
        <v>372</v>
      </c>
      <c r="J3700">
        <v>3</v>
      </c>
      <c r="K3700" t="str">
        <f>IF(Tb_data[[#This Row],[previous_workers]]&lt;Tb_data[[#This Row],[workers]],"yes","no")</f>
        <v>yes</v>
      </c>
      <c r="L3700">
        <f>Tb_data[[#This Row],[workers]]-Tb_data[[#This Row],[previous_workers]]</f>
        <v>36</v>
      </c>
      <c r="M3700" s="12">
        <f>Tb_data[[#This Row],[Employees Growth]]/Tb_data[[#This Row],[previous_workers]]</f>
        <v>0.92307692307692313</v>
      </c>
    </row>
    <row r="3701" spans="1:13" x14ac:dyDescent="0.25">
      <c r="A3701" s="1" t="s">
        <v>383</v>
      </c>
      <c r="B3701" s="1" t="s">
        <v>384</v>
      </c>
      <c r="C3701" s="1">
        <v>21800000</v>
      </c>
      <c r="D3701" s="1" t="s">
        <v>33</v>
      </c>
      <c r="E3701">
        <v>2482.1293000000001</v>
      </c>
      <c r="F3701" s="1" t="s">
        <v>124</v>
      </c>
      <c r="G3701">
        <v>71</v>
      </c>
      <c r="H3701">
        <v>21</v>
      </c>
      <c r="I3701" s="1" t="s">
        <v>13</v>
      </c>
      <c r="J3701">
        <v>1</v>
      </c>
      <c r="K3701" t="str">
        <f>IF(Tb_data[[#This Row],[previous_workers]]&lt;Tb_data[[#This Row],[workers]],"yes","no")</f>
        <v>yes</v>
      </c>
      <c r="L3701">
        <f>Tb_data[[#This Row],[workers]]-Tb_data[[#This Row],[previous_workers]]</f>
        <v>50</v>
      </c>
      <c r="M3701" s="12">
        <f>Tb_data[[#This Row],[Employees Growth]]/Tb_data[[#This Row],[previous_workers]]</f>
        <v>2.3809523809523809</v>
      </c>
    </row>
    <row r="3702" spans="1:13" x14ac:dyDescent="0.25">
      <c r="A3702" s="1" t="s">
        <v>6141</v>
      </c>
      <c r="B3702" s="1" t="s">
        <v>6142</v>
      </c>
      <c r="C3702" s="1">
        <v>2700000</v>
      </c>
      <c r="D3702" s="1" t="s">
        <v>91</v>
      </c>
      <c r="E3702">
        <v>122.83450000000001</v>
      </c>
      <c r="F3702" s="1" t="s">
        <v>86</v>
      </c>
      <c r="G3702">
        <v>10</v>
      </c>
      <c r="H3702">
        <v>5</v>
      </c>
      <c r="I3702" s="1" t="s">
        <v>1051</v>
      </c>
      <c r="J3702">
        <v>1</v>
      </c>
      <c r="K3702" t="str">
        <f>IF(Tb_data[[#This Row],[previous_workers]]&lt;Tb_data[[#This Row],[workers]],"yes","no")</f>
        <v>yes</v>
      </c>
      <c r="L3702">
        <f>Tb_data[[#This Row],[workers]]-Tb_data[[#This Row],[previous_workers]]</f>
        <v>5</v>
      </c>
      <c r="M3702" s="12">
        <f>Tb_data[[#This Row],[Employees Growth]]/Tb_data[[#This Row],[previous_workers]]</f>
        <v>1</v>
      </c>
    </row>
    <row r="3703" spans="1:13" x14ac:dyDescent="0.25">
      <c r="A3703" s="1" t="s">
        <v>5380</v>
      </c>
      <c r="B3703" s="1" t="s">
        <v>5381</v>
      </c>
      <c r="C3703" s="1">
        <v>6900000</v>
      </c>
      <c r="D3703" s="1" t="s">
        <v>69</v>
      </c>
      <c r="E3703">
        <v>147.12559999999999</v>
      </c>
      <c r="F3703" s="1" t="s">
        <v>12</v>
      </c>
      <c r="G3703">
        <v>32</v>
      </c>
      <c r="H3703">
        <v>15</v>
      </c>
      <c r="I3703" s="1" t="s">
        <v>55</v>
      </c>
      <c r="J3703">
        <v>1</v>
      </c>
      <c r="K3703" t="str">
        <f>IF(Tb_data[[#This Row],[previous_workers]]&lt;Tb_data[[#This Row],[workers]],"yes","no")</f>
        <v>yes</v>
      </c>
      <c r="L3703">
        <f>Tb_data[[#This Row],[workers]]-Tb_data[[#This Row],[previous_workers]]</f>
        <v>17</v>
      </c>
      <c r="M3703" s="12">
        <f>Tb_data[[#This Row],[Employees Growth]]/Tb_data[[#This Row],[previous_workers]]</f>
        <v>1.1333333333333333</v>
      </c>
    </row>
    <row r="3704" spans="1:13" x14ac:dyDescent="0.25">
      <c r="A3704" s="1" t="s">
        <v>5912</v>
      </c>
      <c r="B3704" s="1" t="s">
        <v>5913</v>
      </c>
      <c r="C3704" s="1">
        <v>8700000</v>
      </c>
      <c r="D3704" s="1" t="s">
        <v>24</v>
      </c>
      <c r="E3704">
        <v>128.7159</v>
      </c>
      <c r="F3704" s="1" t="s">
        <v>124</v>
      </c>
      <c r="G3704">
        <v>82</v>
      </c>
      <c r="H3704">
        <v>40</v>
      </c>
      <c r="I3704" s="1" t="s">
        <v>46</v>
      </c>
      <c r="J3704">
        <v>2</v>
      </c>
      <c r="K3704" t="str">
        <f>IF(Tb_data[[#This Row],[previous_workers]]&lt;Tb_data[[#This Row],[workers]],"yes","no")</f>
        <v>yes</v>
      </c>
      <c r="L3704">
        <f>Tb_data[[#This Row],[workers]]-Tb_data[[#This Row],[previous_workers]]</f>
        <v>42</v>
      </c>
      <c r="M3704" s="12">
        <f>Tb_data[[#This Row],[Employees Growth]]/Tb_data[[#This Row],[previous_workers]]</f>
        <v>1.05</v>
      </c>
    </row>
    <row r="3705" spans="1:13" x14ac:dyDescent="0.25">
      <c r="A3705" s="1" t="s">
        <v>3864</v>
      </c>
      <c r="B3705" s="1" t="s">
        <v>3865</v>
      </c>
      <c r="C3705" s="1">
        <v>5100000</v>
      </c>
      <c r="D3705" s="1" t="s">
        <v>49</v>
      </c>
      <c r="E3705">
        <v>216.69380000000001</v>
      </c>
      <c r="F3705" s="1" t="s">
        <v>86</v>
      </c>
      <c r="G3705">
        <v>76</v>
      </c>
      <c r="H3705">
        <v>23</v>
      </c>
      <c r="I3705" s="1" t="s">
        <v>13</v>
      </c>
      <c r="J3705">
        <v>1</v>
      </c>
      <c r="K3705" t="str">
        <f>IF(Tb_data[[#This Row],[previous_workers]]&lt;Tb_data[[#This Row],[workers]],"yes","no")</f>
        <v>yes</v>
      </c>
      <c r="L3705">
        <f>Tb_data[[#This Row],[workers]]-Tb_data[[#This Row],[previous_workers]]</f>
        <v>53</v>
      </c>
      <c r="M3705" s="12">
        <f>Tb_data[[#This Row],[Employees Growth]]/Tb_data[[#This Row],[previous_workers]]</f>
        <v>2.3043478260869565</v>
      </c>
    </row>
    <row r="3706" spans="1:13" x14ac:dyDescent="0.25">
      <c r="A3706" s="1" t="s">
        <v>7677</v>
      </c>
      <c r="B3706" s="1" t="s">
        <v>7678</v>
      </c>
      <c r="C3706" s="1">
        <v>16800000</v>
      </c>
      <c r="D3706" s="1" t="s">
        <v>45</v>
      </c>
      <c r="E3706">
        <v>88.410700000000006</v>
      </c>
      <c r="F3706" s="1" t="s">
        <v>172</v>
      </c>
      <c r="G3706">
        <v>59</v>
      </c>
      <c r="H3706">
        <v>39</v>
      </c>
      <c r="I3706" s="1" t="s">
        <v>948</v>
      </c>
      <c r="J3706">
        <v>2</v>
      </c>
      <c r="K3706" t="str">
        <f>IF(Tb_data[[#This Row],[previous_workers]]&lt;Tb_data[[#This Row],[workers]],"yes","no")</f>
        <v>yes</v>
      </c>
      <c r="L3706">
        <f>Tb_data[[#This Row],[workers]]-Tb_data[[#This Row],[previous_workers]]</f>
        <v>20</v>
      </c>
      <c r="M3706" s="12">
        <f>Tb_data[[#This Row],[Employees Growth]]/Tb_data[[#This Row],[previous_workers]]</f>
        <v>0.51282051282051277</v>
      </c>
    </row>
    <row r="3707" spans="1:13" x14ac:dyDescent="0.25">
      <c r="A3707" s="1" t="s">
        <v>3967</v>
      </c>
      <c r="B3707" s="1" t="s">
        <v>3968</v>
      </c>
      <c r="C3707" s="1">
        <v>445600000</v>
      </c>
      <c r="D3707" s="1" t="s">
        <v>45</v>
      </c>
      <c r="E3707">
        <v>208.5325</v>
      </c>
      <c r="F3707" s="1" t="s">
        <v>135</v>
      </c>
      <c r="G3707">
        <v>420</v>
      </c>
      <c r="H3707">
        <v>200</v>
      </c>
      <c r="I3707" s="1" t="s">
        <v>194</v>
      </c>
      <c r="J3707">
        <v>8</v>
      </c>
      <c r="K3707" t="str">
        <f>IF(Tb_data[[#This Row],[previous_workers]]&lt;Tb_data[[#This Row],[workers]],"yes","no")</f>
        <v>yes</v>
      </c>
      <c r="L3707">
        <f>Tb_data[[#This Row],[workers]]-Tb_data[[#This Row],[previous_workers]]</f>
        <v>220</v>
      </c>
      <c r="M3707" s="12">
        <f>Tb_data[[#This Row],[Employees Growth]]/Tb_data[[#This Row],[previous_workers]]</f>
        <v>1.1000000000000001</v>
      </c>
    </row>
    <row r="3708" spans="1:13" x14ac:dyDescent="0.25">
      <c r="A3708" s="1" t="s">
        <v>6984</v>
      </c>
      <c r="B3708" s="1" t="s">
        <v>6985</v>
      </c>
      <c r="C3708" s="1">
        <v>17400000</v>
      </c>
      <c r="D3708" s="1" t="s">
        <v>33</v>
      </c>
      <c r="E3708">
        <v>102.2437</v>
      </c>
      <c r="F3708" s="1" t="s">
        <v>17</v>
      </c>
      <c r="G3708">
        <v>26</v>
      </c>
      <c r="H3708">
        <v>15</v>
      </c>
      <c r="I3708" s="1" t="s">
        <v>35</v>
      </c>
      <c r="J3708">
        <v>1</v>
      </c>
      <c r="K3708" t="str">
        <f>IF(Tb_data[[#This Row],[previous_workers]]&lt;Tb_data[[#This Row],[workers]],"yes","no")</f>
        <v>yes</v>
      </c>
      <c r="L3708">
        <f>Tb_data[[#This Row],[workers]]-Tb_data[[#This Row],[previous_workers]]</f>
        <v>11</v>
      </c>
      <c r="M3708" s="12">
        <f>Tb_data[[#This Row],[Employees Growth]]/Tb_data[[#This Row],[previous_workers]]</f>
        <v>0.73333333333333328</v>
      </c>
    </row>
    <row r="3709" spans="1:13" x14ac:dyDescent="0.25">
      <c r="A3709" s="1" t="s">
        <v>9602</v>
      </c>
      <c r="B3709" s="1" t="s">
        <v>9603</v>
      </c>
      <c r="C3709" s="1">
        <v>37300000</v>
      </c>
      <c r="D3709" s="1" t="s">
        <v>49</v>
      </c>
      <c r="E3709">
        <v>59.196800000000003</v>
      </c>
      <c r="F3709" s="1" t="s">
        <v>112</v>
      </c>
      <c r="G3709">
        <v>97</v>
      </c>
      <c r="H3709">
        <v>62</v>
      </c>
      <c r="I3709" s="1" t="s">
        <v>164</v>
      </c>
      <c r="J3709">
        <v>1</v>
      </c>
      <c r="K3709" t="str">
        <f>IF(Tb_data[[#This Row],[previous_workers]]&lt;Tb_data[[#This Row],[workers]],"yes","no")</f>
        <v>yes</v>
      </c>
      <c r="L3709">
        <f>Tb_data[[#This Row],[workers]]-Tb_data[[#This Row],[previous_workers]]</f>
        <v>35</v>
      </c>
      <c r="M3709" s="12">
        <f>Tb_data[[#This Row],[Employees Growth]]/Tb_data[[#This Row],[previous_workers]]</f>
        <v>0.56451612903225812</v>
      </c>
    </row>
    <row r="3710" spans="1:13" x14ac:dyDescent="0.25">
      <c r="A3710" s="1" t="s">
        <v>5826</v>
      </c>
      <c r="B3710" s="1" t="s">
        <v>5827</v>
      </c>
      <c r="C3710" s="1">
        <v>3300000</v>
      </c>
      <c r="D3710" s="1" t="s">
        <v>895</v>
      </c>
      <c r="E3710">
        <v>130.6138</v>
      </c>
      <c r="F3710" s="1" t="s">
        <v>21</v>
      </c>
      <c r="G3710">
        <v>17</v>
      </c>
      <c r="H3710">
        <v>9</v>
      </c>
      <c r="I3710" s="1" t="s">
        <v>74</v>
      </c>
      <c r="J3710">
        <v>2</v>
      </c>
      <c r="K3710" t="str">
        <f>IF(Tb_data[[#This Row],[previous_workers]]&lt;Tb_data[[#This Row],[workers]],"yes","no")</f>
        <v>yes</v>
      </c>
      <c r="L3710">
        <f>Tb_data[[#This Row],[workers]]-Tb_data[[#This Row],[previous_workers]]</f>
        <v>8</v>
      </c>
      <c r="M3710" s="12">
        <f>Tb_data[[#This Row],[Employees Growth]]/Tb_data[[#This Row],[previous_workers]]</f>
        <v>0.88888888888888884</v>
      </c>
    </row>
    <row r="3711" spans="1:13" x14ac:dyDescent="0.25">
      <c r="A3711" s="1" t="s">
        <v>5194</v>
      </c>
      <c r="B3711" s="1" t="s">
        <v>5195</v>
      </c>
      <c r="C3711" s="1">
        <v>2500000</v>
      </c>
      <c r="D3711" s="1" t="s">
        <v>49</v>
      </c>
      <c r="E3711">
        <v>153.75219999999999</v>
      </c>
      <c r="F3711" s="1" t="s">
        <v>176</v>
      </c>
      <c r="G3711">
        <v>4</v>
      </c>
      <c r="H3711">
        <v>4</v>
      </c>
      <c r="I3711" s="1" t="s">
        <v>26</v>
      </c>
      <c r="J3711">
        <v>1</v>
      </c>
      <c r="K3711" t="str">
        <f>IF(Tb_data[[#This Row],[previous_workers]]&lt;Tb_data[[#This Row],[workers]],"yes","no")</f>
        <v>no</v>
      </c>
      <c r="L3711">
        <f>Tb_data[[#This Row],[workers]]-Tb_data[[#This Row],[previous_workers]]</f>
        <v>0</v>
      </c>
      <c r="M3711" s="12">
        <f>Tb_data[[#This Row],[Employees Growth]]/Tb_data[[#This Row],[previous_workers]]</f>
        <v>0</v>
      </c>
    </row>
    <row r="3712" spans="1:13" x14ac:dyDescent="0.25">
      <c r="A3712" s="1" t="s">
        <v>3115</v>
      </c>
      <c r="B3712" s="1" t="s">
        <v>3116</v>
      </c>
      <c r="C3712" s="1">
        <v>4000000</v>
      </c>
      <c r="D3712" s="1" t="s">
        <v>254</v>
      </c>
      <c r="E3712">
        <v>276.09660000000002</v>
      </c>
      <c r="F3712" s="1" t="s">
        <v>176</v>
      </c>
      <c r="G3712">
        <v>250</v>
      </c>
      <c r="H3712">
        <v>50</v>
      </c>
      <c r="I3712" s="1" t="s">
        <v>130</v>
      </c>
      <c r="J3712">
        <v>1</v>
      </c>
      <c r="K3712" t="str">
        <f>IF(Tb_data[[#This Row],[previous_workers]]&lt;Tb_data[[#This Row],[workers]],"yes","no")</f>
        <v>yes</v>
      </c>
      <c r="L3712">
        <f>Tb_data[[#This Row],[workers]]-Tb_data[[#This Row],[previous_workers]]</f>
        <v>200</v>
      </c>
      <c r="M3712" s="12">
        <f>Tb_data[[#This Row],[Employees Growth]]/Tb_data[[#This Row],[previous_workers]]</f>
        <v>4</v>
      </c>
    </row>
    <row r="3713" spans="1:13" x14ac:dyDescent="0.25">
      <c r="A3713" s="1" t="s">
        <v>1672</v>
      </c>
      <c r="B3713" s="1" t="s">
        <v>1673</v>
      </c>
      <c r="C3713" s="1">
        <v>172500000</v>
      </c>
      <c r="D3713" s="1" t="s">
        <v>123</v>
      </c>
      <c r="E3713">
        <v>552.48</v>
      </c>
      <c r="F3713" s="1" t="s">
        <v>17</v>
      </c>
      <c r="G3713">
        <v>155</v>
      </c>
      <c r="H3713">
        <v>41</v>
      </c>
      <c r="I3713" s="1" t="s">
        <v>130</v>
      </c>
      <c r="J3713">
        <v>6</v>
      </c>
      <c r="K3713" t="str">
        <f>IF(Tb_data[[#This Row],[previous_workers]]&lt;Tb_data[[#This Row],[workers]],"yes","no")</f>
        <v>yes</v>
      </c>
      <c r="L3713">
        <f>Tb_data[[#This Row],[workers]]-Tb_data[[#This Row],[previous_workers]]</f>
        <v>114</v>
      </c>
      <c r="M3713" s="12">
        <f>Tb_data[[#This Row],[Employees Growth]]/Tb_data[[#This Row],[previous_workers]]</f>
        <v>2.7804878048780486</v>
      </c>
    </row>
    <row r="3714" spans="1:13" x14ac:dyDescent="0.25">
      <c r="A3714" s="1" t="s">
        <v>5180</v>
      </c>
      <c r="B3714" s="1" t="s">
        <v>5181</v>
      </c>
      <c r="C3714" s="1">
        <v>2400000</v>
      </c>
      <c r="D3714" s="1" t="s">
        <v>33</v>
      </c>
      <c r="E3714">
        <v>154.25200000000001</v>
      </c>
      <c r="F3714" s="1" t="s">
        <v>25</v>
      </c>
      <c r="G3714">
        <v>30</v>
      </c>
      <c r="H3714">
        <v>4</v>
      </c>
      <c r="I3714" s="1" t="s">
        <v>46</v>
      </c>
      <c r="J3714">
        <v>1</v>
      </c>
      <c r="K3714" t="str">
        <f>IF(Tb_data[[#This Row],[previous_workers]]&lt;Tb_data[[#This Row],[workers]],"yes","no")</f>
        <v>yes</v>
      </c>
      <c r="L3714">
        <f>Tb_data[[#This Row],[workers]]-Tb_data[[#This Row],[previous_workers]]</f>
        <v>26</v>
      </c>
      <c r="M3714" s="12">
        <f>Tb_data[[#This Row],[Employees Growth]]/Tb_data[[#This Row],[previous_workers]]</f>
        <v>6.5</v>
      </c>
    </row>
    <row r="3715" spans="1:13" x14ac:dyDescent="0.25">
      <c r="A3715" s="1" t="s">
        <v>4164</v>
      </c>
      <c r="B3715" s="1" t="s">
        <v>4165</v>
      </c>
      <c r="C3715" s="1">
        <v>2200000</v>
      </c>
      <c r="D3715" s="1" t="s">
        <v>20</v>
      </c>
      <c r="E3715">
        <v>197.24029999999999</v>
      </c>
      <c r="F3715" s="1" t="s">
        <v>169</v>
      </c>
      <c r="G3715">
        <v>14</v>
      </c>
      <c r="H3715">
        <v>4</v>
      </c>
      <c r="I3715" s="1" t="s">
        <v>55</v>
      </c>
      <c r="J3715">
        <v>1</v>
      </c>
      <c r="K3715" t="str">
        <f>IF(Tb_data[[#This Row],[previous_workers]]&lt;Tb_data[[#This Row],[workers]],"yes","no")</f>
        <v>yes</v>
      </c>
      <c r="L3715">
        <f>Tb_data[[#This Row],[workers]]-Tb_data[[#This Row],[previous_workers]]</f>
        <v>10</v>
      </c>
      <c r="M3715" s="12">
        <f>Tb_data[[#This Row],[Employees Growth]]/Tb_data[[#This Row],[previous_workers]]</f>
        <v>2.5</v>
      </c>
    </row>
    <row r="3716" spans="1:13" x14ac:dyDescent="0.25">
      <c r="A3716" s="1" t="s">
        <v>8009</v>
      </c>
      <c r="B3716" s="1" t="s">
        <v>8010</v>
      </c>
      <c r="C3716" s="1">
        <v>62100000</v>
      </c>
      <c r="D3716" s="1" t="s">
        <v>500</v>
      </c>
      <c r="E3716">
        <v>82.555300000000003</v>
      </c>
      <c r="F3716" s="1" t="s">
        <v>34</v>
      </c>
      <c r="G3716">
        <v>79</v>
      </c>
      <c r="H3716">
        <v>48</v>
      </c>
      <c r="I3716" s="1" t="s">
        <v>1051</v>
      </c>
      <c r="J3716">
        <v>5</v>
      </c>
      <c r="K3716" t="str">
        <f>IF(Tb_data[[#This Row],[previous_workers]]&lt;Tb_data[[#This Row],[workers]],"yes","no")</f>
        <v>yes</v>
      </c>
      <c r="L3716">
        <f>Tb_data[[#This Row],[workers]]-Tb_data[[#This Row],[previous_workers]]</f>
        <v>31</v>
      </c>
      <c r="M3716" s="12">
        <f>Tb_data[[#This Row],[Employees Growth]]/Tb_data[[#This Row],[previous_workers]]</f>
        <v>0.64583333333333337</v>
      </c>
    </row>
    <row r="3717" spans="1:13" x14ac:dyDescent="0.25">
      <c r="A3717" s="1" t="s">
        <v>6751</v>
      </c>
      <c r="B3717" s="1" t="s">
        <v>6752</v>
      </c>
      <c r="C3717" s="1">
        <v>22400000</v>
      </c>
      <c r="D3717" s="1" t="s">
        <v>254</v>
      </c>
      <c r="E3717">
        <v>107.6126</v>
      </c>
      <c r="F3717" s="1" t="s">
        <v>514</v>
      </c>
      <c r="G3717">
        <v>170</v>
      </c>
      <c r="H3717">
        <v>100</v>
      </c>
      <c r="I3717" s="1" t="s">
        <v>3943</v>
      </c>
      <c r="J3717">
        <v>6</v>
      </c>
      <c r="K3717" t="str">
        <f>IF(Tb_data[[#This Row],[previous_workers]]&lt;Tb_data[[#This Row],[workers]],"yes","no")</f>
        <v>yes</v>
      </c>
      <c r="L3717">
        <f>Tb_data[[#This Row],[workers]]-Tb_data[[#This Row],[previous_workers]]</f>
        <v>70</v>
      </c>
      <c r="M3717" s="12">
        <f>Tb_data[[#This Row],[Employees Growth]]/Tb_data[[#This Row],[previous_workers]]</f>
        <v>0.7</v>
      </c>
    </row>
    <row r="3718" spans="1:13" x14ac:dyDescent="0.25">
      <c r="A3718" s="1" t="s">
        <v>1566</v>
      </c>
      <c r="B3718" s="1" t="s">
        <v>1567</v>
      </c>
      <c r="C3718" s="1">
        <v>23700000</v>
      </c>
      <c r="D3718" s="1" t="s">
        <v>61</v>
      </c>
      <c r="E3718">
        <v>599.20219999999995</v>
      </c>
      <c r="F3718" s="1" t="s">
        <v>17</v>
      </c>
      <c r="G3718">
        <v>140</v>
      </c>
      <c r="H3718">
        <v>80</v>
      </c>
      <c r="I3718" s="1" t="s">
        <v>164</v>
      </c>
      <c r="J3718">
        <v>4</v>
      </c>
      <c r="K3718" t="str">
        <f>IF(Tb_data[[#This Row],[previous_workers]]&lt;Tb_data[[#This Row],[workers]],"yes","no")</f>
        <v>yes</v>
      </c>
      <c r="L3718">
        <f>Tb_data[[#This Row],[workers]]-Tb_data[[#This Row],[previous_workers]]</f>
        <v>60</v>
      </c>
      <c r="M3718" s="12">
        <f>Tb_data[[#This Row],[Employees Growth]]/Tb_data[[#This Row],[previous_workers]]</f>
        <v>0.75</v>
      </c>
    </row>
    <row r="3719" spans="1:13" x14ac:dyDescent="0.25">
      <c r="A3719" s="1" t="s">
        <v>6149</v>
      </c>
      <c r="B3719" s="1" t="s">
        <v>6150</v>
      </c>
      <c r="C3719" s="1">
        <v>47200000</v>
      </c>
      <c r="D3719" s="1" t="s">
        <v>895</v>
      </c>
      <c r="E3719">
        <v>122.4096</v>
      </c>
      <c r="F3719" s="1" t="s">
        <v>42</v>
      </c>
      <c r="G3719">
        <v>583</v>
      </c>
      <c r="H3719">
        <v>283</v>
      </c>
      <c r="I3719" s="1" t="s">
        <v>948</v>
      </c>
      <c r="J3719">
        <v>8</v>
      </c>
      <c r="K3719" t="str">
        <f>IF(Tb_data[[#This Row],[previous_workers]]&lt;Tb_data[[#This Row],[workers]],"yes","no")</f>
        <v>yes</v>
      </c>
      <c r="L3719">
        <f>Tb_data[[#This Row],[workers]]-Tb_data[[#This Row],[previous_workers]]</f>
        <v>300</v>
      </c>
      <c r="M3719" s="12">
        <f>Tb_data[[#This Row],[Employees Growth]]/Tb_data[[#This Row],[previous_workers]]</f>
        <v>1.0600706713780919</v>
      </c>
    </row>
    <row r="3720" spans="1:13" x14ac:dyDescent="0.25">
      <c r="A3720" s="1" t="s">
        <v>3254</v>
      </c>
      <c r="B3720" s="1" t="s">
        <v>3255</v>
      </c>
      <c r="C3720" s="1">
        <v>5000000</v>
      </c>
      <c r="D3720" s="1" t="s">
        <v>61</v>
      </c>
      <c r="E3720">
        <v>264.30200000000002</v>
      </c>
      <c r="F3720" s="1" t="s">
        <v>12</v>
      </c>
      <c r="G3720">
        <v>25</v>
      </c>
      <c r="H3720">
        <v>13</v>
      </c>
      <c r="I3720" s="1" t="s">
        <v>295</v>
      </c>
      <c r="J3720">
        <v>4</v>
      </c>
      <c r="K3720" t="str">
        <f>IF(Tb_data[[#This Row],[previous_workers]]&lt;Tb_data[[#This Row],[workers]],"yes","no")</f>
        <v>yes</v>
      </c>
      <c r="L3720">
        <f>Tb_data[[#This Row],[workers]]-Tb_data[[#This Row],[previous_workers]]</f>
        <v>12</v>
      </c>
      <c r="M3720" s="12">
        <f>Tb_data[[#This Row],[Employees Growth]]/Tb_data[[#This Row],[previous_workers]]</f>
        <v>0.92307692307692313</v>
      </c>
    </row>
    <row r="3721" spans="1:13" x14ac:dyDescent="0.25">
      <c r="A3721" s="1" t="s">
        <v>7140</v>
      </c>
      <c r="B3721" s="1" t="s">
        <v>7141</v>
      </c>
      <c r="C3721" s="1">
        <v>4600000</v>
      </c>
      <c r="D3721" s="1" t="s">
        <v>11</v>
      </c>
      <c r="E3721">
        <v>99.507099999999994</v>
      </c>
      <c r="F3721" s="1" t="s">
        <v>112</v>
      </c>
      <c r="G3721">
        <v>30</v>
      </c>
      <c r="H3721">
        <v>15</v>
      </c>
      <c r="I3721" s="1" t="s">
        <v>74</v>
      </c>
      <c r="J3721">
        <v>2</v>
      </c>
      <c r="K3721" t="str">
        <f>IF(Tb_data[[#This Row],[previous_workers]]&lt;Tb_data[[#This Row],[workers]],"yes","no")</f>
        <v>yes</v>
      </c>
      <c r="L3721">
        <f>Tb_data[[#This Row],[workers]]-Tb_data[[#This Row],[previous_workers]]</f>
        <v>15</v>
      </c>
      <c r="M3721" s="12">
        <f>Tb_data[[#This Row],[Employees Growth]]/Tb_data[[#This Row],[previous_workers]]</f>
        <v>1</v>
      </c>
    </row>
    <row r="3722" spans="1:13" x14ac:dyDescent="0.25">
      <c r="A3722" s="1" t="s">
        <v>6511</v>
      </c>
      <c r="B3722" s="1" t="s">
        <v>6512</v>
      </c>
      <c r="C3722" s="1">
        <v>102600000</v>
      </c>
      <c r="D3722" s="1" t="s">
        <v>427</v>
      </c>
      <c r="E3722">
        <v>113.5176</v>
      </c>
      <c r="F3722" s="1" t="s">
        <v>62</v>
      </c>
      <c r="G3722">
        <v>595</v>
      </c>
      <c r="H3722">
        <v>287</v>
      </c>
      <c r="I3722" s="1" t="s">
        <v>995</v>
      </c>
      <c r="J3722">
        <v>7</v>
      </c>
      <c r="K3722" t="str">
        <f>IF(Tb_data[[#This Row],[previous_workers]]&lt;Tb_data[[#This Row],[workers]],"yes","no")</f>
        <v>yes</v>
      </c>
      <c r="L3722">
        <f>Tb_data[[#This Row],[workers]]-Tb_data[[#This Row],[previous_workers]]</f>
        <v>308</v>
      </c>
      <c r="M3722" s="12">
        <f>Tb_data[[#This Row],[Employees Growth]]/Tb_data[[#This Row],[previous_workers]]</f>
        <v>1.0731707317073171</v>
      </c>
    </row>
    <row r="3723" spans="1:13" x14ac:dyDescent="0.25">
      <c r="A3723" s="1" t="s">
        <v>7725</v>
      </c>
      <c r="B3723" s="1" t="s">
        <v>7726</v>
      </c>
      <c r="C3723" s="1">
        <v>424400000</v>
      </c>
      <c r="D3723" s="1" t="s">
        <v>422</v>
      </c>
      <c r="E3723">
        <v>87.689400000000006</v>
      </c>
      <c r="F3723" s="1" t="s">
        <v>30</v>
      </c>
      <c r="G3723">
        <v>1868</v>
      </c>
      <c r="H3723">
        <v>850</v>
      </c>
      <c r="I3723" s="1" t="s">
        <v>1356</v>
      </c>
      <c r="J3723">
        <v>9</v>
      </c>
      <c r="K3723" t="str">
        <f>IF(Tb_data[[#This Row],[previous_workers]]&lt;Tb_data[[#This Row],[workers]],"yes","no")</f>
        <v>yes</v>
      </c>
      <c r="L3723">
        <f>Tb_data[[#This Row],[workers]]-Tb_data[[#This Row],[previous_workers]]</f>
        <v>1018</v>
      </c>
      <c r="M3723" s="12">
        <f>Tb_data[[#This Row],[Employees Growth]]/Tb_data[[#This Row],[previous_workers]]</f>
        <v>1.1976470588235295</v>
      </c>
    </row>
    <row r="3724" spans="1:13" x14ac:dyDescent="0.25">
      <c r="A3724" s="1" t="s">
        <v>2599</v>
      </c>
      <c r="B3724" s="1" t="s">
        <v>2600</v>
      </c>
      <c r="C3724" s="1">
        <v>23600000</v>
      </c>
      <c r="D3724" s="1" t="s">
        <v>483</v>
      </c>
      <c r="E3724">
        <v>332.55419999999998</v>
      </c>
      <c r="F3724" s="1" t="s">
        <v>97</v>
      </c>
      <c r="G3724">
        <v>200</v>
      </c>
      <c r="H3724">
        <v>45</v>
      </c>
      <c r="I3724" s="1" t="s">
        <v>147</v>
      </c>
      <c r="J3724">
        <v>2</v>
      </c>
      <c r="K3724" t="str">
        <f>IF(Tb_data[[#This Row],[previous_workers]]&lt;Tb_data[[#This Row],[workers]],"yes","no")</f>
        <v>yes</v>
      </c>
      <c r="L3724">
        <f>Tb_data[[#This Row],[workers]]-Tb_data[[#This Row],[previous_workers]]</f>
        <v>155</v>
      </c>
      <c r="M3724" s="12">
        <f>Tb_data[[#This Row],[Employees Growth]]/Tb_data[[#This Row],[previous_workers]]</f>
        <v>3.4444444444444446</v>
      </c>
    </row>
    <row r="3725" spans="1:13" x14ac:dyDescent="0.25">
      <c r="A3725" s="1" t="s">
        <v>3177</v>
      </c>
      <c r="B3725" s="1" t="s">
        <v>3178</v>
      </c>
      <c r="C3725" s="1">
        <v>9600000</v>
      </c>
      <c r="D3725" s="1" t="s">
        <v>236</v>
      </c>
      <c r="E3725">
        <v>270.57389999999998</v>
      </c>
      <c r="F3725" s="1" t="s">
        <v>86</v>
      </c>
      <c r="G3725">
        <v>100</v>
      </c>
      <c r="H3725">
        <v>20</v>
      </c>
      <c r="I3725" s="1" t="s">
        <v>130</v>
      </c>
      <c r="J3725">
        <v>2</v>
      </c>
      <c r="K3725" t="str">
        <f>IF(Tb_data[[#This Row],[previous_workers]]&lt;Tb_data[[#This Row],[workers]],"yes","no")</f>
        <v>yes</v>
      </c>
      <c r="L3725">
        <f>Tb_data[[#This Row],[workers]]-Tb_data[[#This Row],[previous_workers]]</f>
        <v>80</v>
      </c>
      <c r="M3725" s="12">
        <f>Tb_data[[#This Row],[Employees Growth]]/Tb_data[[#This Row],[previous_workers]]</f>
        <v>4</v>
      </c>
    </row>
    <row r="3726" spans="1:13" x14ac:dyDescent="0.25">
      <c r="A3726" s="1" t="s">
        <v>9213</v>
      </c>
      <c r="B3726" s="1" t="s">
        <v>9214</v>
      </c>
      <c r="C3726" s="1">
        <v>17600000</v>
      </c>
      <c r="D3726" s="1" t="s">
        <v>38</v>
      </c>
      <c r="E3726">
        <v>63.933</v>
      </c>
      <c r="F3726" s="1" t="s">
        <v>3264</v>
      </c>
      <c r="G3726">
        <v>53</v>
      </c>
      <c r="H3726">
        <v>34</v>
      </c>
      <c r="I3726" s="1" t="s">
        <v>117</v>
      </c>
      <c r="J3726">
        <v>1</v>
      </c>
      <c r="K3726" t="str">
        <f>IF(Tb_data[[#This Row],[previous_workers]]&lt;Tb_data[[#This Row],[workers]],"yes","no")</f>
        <v>yes</v>
      </c>
      <c r="L3726">
        <f>Tb_data[[#This Row],[workers]]-Tb_data[[#This Row],[previous_workers]]</f>
        <v>19</v>
      </c>
      <c r="M3726" s="12">
        <f>Tb_data[[#This Row],[Employees Growth]]/Tb_data[[#This Row],[previous_workers]]</f>
        <v>0.55882352941176472</v>
      </c>
    </row>
    <row r="3727" spans="1:13" x14ac:dyDescent="0.25">
      <c r="A3727" s="1" t="s">
        <v>6023</v>
      </c>
      <c r="B3727" s="1" t="s">
        <v>6024</v>
      </c>
      <c r="C3727" s="1">
        <v>15500000</v>
      </c>
      <c r="D3727" s="1" t="s">
        <v>129</v>
      </c>
      <c r="E3727">
        <v>126.1052</v>
      </c>
      <c r="F3727" s="1" t="s">
        <v>86</v>
      </c>
      <c r="G3727">
        <v>50</v>
      </c>
      <c r="H3727">
        <v>25</v>
      </c>
      <c r="I3727" s="1" t="s">
        <v>372</v>
      </c>
      <c r="J3727">
        <v>1</v>
      </c>
      <c r="K3727" t="str">
        <f>IF(Tb_data[[#This Row],[previous_workers]]&lt;Tb_data[[#This Row],[workers]],"yes","no")</f>
        <v>yes</v>
      </c>
      <c r="L3727">
        <f>Tb_data[[#This Row],[workers]]-Tb_data[[#This Row],[previous_workers]]</f>
        <v>25</v>
      </c>
      <c r="M3727" s="12">
        <f>Tb_data[[#This Row],[Employees Growth]]/Tb_data[[#This Row],[previous_workers]]</f>
        <v>1</v>
      </c>
    </row>
    <row r="3728" spans="1:13" x14ac:dyDescent="0.25">
      <c r="A3728" s="1" t="s">
        <v>2470</v>
      </c>
      <c r="B3728" s="1" t="s">
        <v>2471</v>
      </c>
      <c r="C3728" s="1">
        <v>2300000</v>
      </c>
      <c r="D3728" s="1" t="s">
        <v>129</v>
      </c>
      <c r="E3728">
        <v>352.6062</v>
      </c>
      <c r="F3728" s="1" t="s">
        <v>116</v>
      </c>
      <c r="G3728">
        <v>7</v>
      </c>
      <c r="H3728">
        <v>1</v>
      </c>
      <c r="I3728" s="1" t="s">
        <v>164</v>
      </c>
      <c r="J3728">
        <v>1</v>
      </c>
      <c r="K3728" t="str">
        <f>IF(Tb_data[[#This Row],[previous_workers]]&lt;Tb_data[[#This Row],[workers]],"yes","no")</f>
        <v>yes</v>
      </c>
      <c r="L3728">
        <f>Tb_data[[#This Row],[workers]]-Tb_data[[#This Row],[previous_workers]]</f>
        <v>6</v>
      </c>
      <c r="M3728" s="12">
        <f>Tb_data[[#This Row],[Employees Growth]]/Tb_data[[#This Row],[previous_workers]]</f>
        <v>6</v>
      </c>
    </row>
    <row r="3729" spans="1:13" x14ac:dyDescent="0.25">
      <c r="A3729" s="1" t="s">
        <v>7755</v>
      </c>
      <c r="B3729" s="1" t="s">
        <v>7756</v>
      </c>
      <c r="C3729" s="1">
        <v>64200000</v>
      </c>
      <c r="D3729" s="1" t="s">
        <v>664</v>
      </c>
      <c r="E3729">
        <v>87.078800000000001</v>
      </c>
      <c r="F3729" s="1" t="s">
        <v>124</v>
      </c>
      <c r="G3729">
        <v>35</v>
      </c>
      <c r="H3729">
        <v>27</v>
      </c>
      <c r="I3729" s="1" t="s">
        <v>147</v>
      </c>
      <c r="J3729">
        <v>2</v>
      </c>
      <c r="K3729" t="str">
        <f>IF(Tb_data[[#This Row],[previous_workers]]&lt;Tb_data[[#This Row],[workers]],"yes","no")</f>
        <v>yes</v>
      </c>
      <c r="L3729">
        <f>Tb_data[[#This Row],[workers]]-Tb_data[[#This Row],[previous_workers]]</f>
        <v>8</v>
      </c>
      <c r="M3729" s="12">
        <f>Tb_data[[#This Row],[Employees Growth]]/Tb_data[[#This Row],[previous_workers]]</f>
        <v>0.29629629629629628</v>
      </c>
    </row>
    <row r="3730" spans="1:13" x14ac:dyDescent="0.25">
      <c r="A3730" s="1" t="s">
        <v>4002</v>
      </c>
      <c r="B3730" s="1" t="s">
        <v>4003</v>
      </c>
      <c r="C3730" s="1">
        <v>2100000</v>
      </c>
      <c r="D3730" s="1" t="s">
        <v>49</v>
      </c>
      <c r="E3730">
        <v>206.21899999999999</v>
      </c>
      <c r="F3730" s="1" t="s">
        <v>161</v>
      </c>
      <c r="G3730">
        <v>7</v>
      </c>
      <c r="H3730">
        <v>1</v>
      </c>
      <c r="I3730" s="1" t="s">
        <v>26</v>
      </c>
      <c r="J3730">
        <v>1</v>
      </c>
      <c r="K3730" t="str">
        <f>IF(Tb_data[[#This Row],[previous_workers]]&lt;Tb_data[[#This Row],[workers]],"yes","no")</f>
        <v>yes</v>
      </c>
      <c r="L3730">
        <f>Tb_data[[#This Row],[workers]]-Tb_data[[#This Row],[previous_workers]]</f>
        <v>6</v>
      </c>
      <c r="M3730" s="12">
        <f>Tb_data[[#This Row],[Employees Growth]]/Tb_data[[#This Row],[previous_workers]]</f>
        <v>6</v>
      </c>
    </row>
    <row r="3731" spans="1:13" x14ac:dyDescent="0.25">
      <c r="A3731" s="1" t="s">
        <v>9457</v>
      </c>
      <c r="B3731" s="1" t="s">
        <v>9458</v>
      </c>
      <c r="C3731" s="1">
        <v>24400000</v>
      </c>
      <c r="D3731" s="1" t="s">
        <v>49</v>
      </c>
      <c r="E3731">
        <v>60.753999999999998</v>
      </c>
      <c r="F3731" s="1" t="s">
        <v>112</v>
      </c>
      <c r="G3731">
        <v>150</v>
      </c>
      <c r="H3731">
        <v>115</v>
      </c>
      <c r="I3731" s="1" t="s">
        <v>2407</v>
      </c>
      <c r="J3731">
        <v>1</v>
      </c>
      <c r="K3731" t="str">
        <f>IF(Tb_data[[#This Row],[previous_workers]]&lt;Tb_data[[#This Row],[workers]],"yes","no")</f>
        <v>yes</v>
      </c>
      <c r="L3731">
        <f>Tb_data[[#This Row],[workers]]-Tb_data[[#This Row],[previous_workers]]</f>
        <v>35</v>
      </c>
      <c r="M3731" s="12">
        <f>Tb_data[[#This Row],[Employees Growth]]/Tb_data[[#This Row],[previous_workers]]</f>
        <v>0.30434782608695654</v>
      </c>
    </row>
    <row r="3732" spans="1:13" x14ac:dyDescent="0.25">
      <c r="A3732" s="1" t="s">
        <v>6675</v>
      </c>
      <c r="B3732" s="1" t="s">
        <v>6676</v>
      </c>
      <c r="C3732" s="1">
        <v>7800000</v>
      </c>
      <c r="D3732" s="1" t="s">
        <v>69</v>
      </c>
      <c r="E3732">
        <v>109.79519999999999</v>
      </c>
      <c r="F3732" s="1" t="s">
        <v>156</v>
      </c>
      <c r="G3732">
        <v>72</v>
      </c>
      <c r="H3732">
        <v>32</v>
      </c>
      <c r="I3732" s="1" t="s">
        <v>35</v>
      </c>
      <c r="J3732">
        <v>5</v>
      </c>
      <c r="K3732" t="str">
        <f>IF(Tb_data[[#This Row],[previous_workers]]&lt;Tb_data[[#This Row],[workers]],"yes","no")</f>
        <v>yes</v>
      </c>
      <c r="L3732">
        <f>Tb_data[[#This Row],[workers]]-Tb_data[[#This Row],[previous_workers]]</f>
        <v>40</v>
      </c>
      <c r="M3732" s="12">
        <f>Tb_data[[#This Row],[Employees Growth]]/Tb_data[[#This Row],[previous_workers]]</f>
        <v>1.25</v>
      </c>
    </row>
    <row r="3733" spans="1:13" x14ac:dyDescent="0.25">
      <c r="A3733" s="1" t="s">
        <v>4984</v>
      </c>
      <c r="B3733" s="1" t="s">
        <v>4985</v>
      </c>
      <c r="C3733" s="1">
        <v>11100000</v>
      </c>
      <c r="D3733" s="1" t="s">
        <v>49</v>
      </c>
      <c r="E3733">
        <v>162.42519999999999</v>
      </c>
      <c r="F3733" s="1" t="s">
        <v>124</v>
      </c>
      <c r="G3733">
        <v>30</v>
      </c>
      <c r="H3733">
        <v>3</v>
      </c>
      <c r="I3733" s="1" t="s">
        <v>147</v>
      </c>
      <c r="J3733">
        <v>2</v>
      </c>
      <c r="K3733" t="str">
        <f>IF(Tb_data[[#This Row],[previous_workers]]&lt;Tb_data[[#This Row],[workers]],"yes","no")</f>
        <v>yes</v>
      </c>
      <c r="L3733">
        <f>Tb_data[[#This Row],[workers]]-Tb_data[[#This Row],[previous_workers]]</f>
        <v>27</v>
      </c>
      <c r="M3733" s="12">
        <f>Tb_data[[#This Row],[Employees Growth]]/Tb_data[[#This Row],[previous_workers]]</f>
        <v>9</v>
      </c>
    </row>
    <row r="3734" spans="1:13" x14ac:dyDescent="0.25">
      <c r="A3734" s="1" t="s">
        <v>8047</v>
      </c>
      <c r="B3734" s="1" t="s">
        <v>8048</v>
      </c>
      <c r="C3734" s="1">
        <v>27000000</v>
      </c>
      <c r="D3734" s="1" t="s">
        <v>49</v>
      </c>
      <c r="E3734">
        <v>81.922200000000004</v>
      </c>
      <c r="F3734" s="1" t="s">
        <v>97</v>
      </c>
      <c r="G3734">
        <v>80</v>
      </c>
      <c r="H3734">
        <v>50</v>
      </c>
      <c r="I3734" s="1" t="s">
        <v>229</v>
      </c>
      <c r="J3734">
        <v>8</v>
      </c>
      <c r="K3734" t="str">
        <f>IF(Tb_data[[#This Row],[previous_workers]]&lt;Tb_data[[#This Row],[workers]],"yes","no")</f>
        <v>yes</v>
      </c>
      <c r="L3734">
        <f>Tb_data[[#This Row],[workers]]-Tb_data[[#This Row],[previous_workers]]</f>
        <v>30</v>
      </c>
      <c r="M3734" s="12">
        <f>Tb_data[[#This Row],[Employees Growth]]/Tb_data[[#This Row],[previous_workers]]</f>
        <v>0.6</v>
      </c>
    </row>
    <row r="3735" spans="1:13" x14ac:dyDescent="0.25">
      <c r="A3735" s="1" t="s">
        <v>8476</v>
      </c>
      <c r="B3735" s="1" t="s">
        <v>8477</v>
      </c>
      <c r="C3735" s="1">
        <v>61800000</v>
      </c>
      <c r="D3735" s="1" t="s">
        <v>49</v>
      </c>
      <c r="E3735">
        <v>74.534800000000004</v>
      </c>
      <c r="F3735" s="1" t="s">
        <v>97</v>
      </c>
      <c r="G3735">
        <v>604</v>
      </c>
      <c r="H3735">
        <v>286</v>
      </c>
      <c r="I3735" s="1" t="s">
        <v>372</v>
      </c>
      <c r="J3735">
        <v>2</v>
      </c>
      <c r="K3735" t="str">
        <f>IF(Tb_data[[#This Row],[previous_workers]]&lt;Tb_data[[#This Row],[workers]],"yes","no")</f>
        <v>yes</v>
      </c>
      <c r="L3735">
        <f>Tb_data[[#This Row],[workers]]-Tb_data[[#This Row],[previous_workers]]</f>
        <v>318</v>
      </c>
      <c r="M3735" s="12">
        <f>Tb_data[[#This Row],[Employees Growth]]/Tb_data[[#This Row],[previous_workers]]</f>
        <v>1.1118881118881119</v>
      </c>
    </row>
    <row r="3736" spans="1:13" x14ac:dyDescent="0.25">
      <c r="A3736" s="1" t="s">
        <v>2284</v>
      </c>
      <c r="B3736" s="1" t="s">
        <v>2285</v>
      </c>
      <c r="C3736" s="1">
        <v>4300000</v>
      </c>
      <c r="D3736" s="1" t="s">
        <v>69</v>
      </c>
      <c r="E3736">
        <v>386.67660000000001</v>
      </c>
      <c r="F3736" s="1" t="s">
        <v>86</v>
      </c>
      <c r="G3736">
        <v>58</v>
      </c>
      <c r="H3736">
        <v>7</v>
      </c>
      <c r="I3736" s="1" t="s">
        <v>35</v>
      </c>
      <c r="J3736">
        <v>2</v>
      </c>
      <c r="K3736" t="str">
        <f>IF(Tb_data[[#This Row],[previous_workers]]&lt;Tb_data[[#This Row],[workers]],"yes","no")</f>
        <v>yes</v>
      </c>
      <c r="L3736">
        <f>Tb_data[[#This Row],[workers]]-Tb_data[[#This Row],[previous_workers]]</f>
        <v>51</v>
      </c>
      <c r="M3736" s="12">
        <f>Tb_data[[#This Row],[Employees Growth]]/Tb_data[[#This Row],[previous_workers]]</f>
        <v>7.2857142857142856</v>
      </c>
    </row>
    <row r="3737" spans="1:13" x14ac:dyDescent="0.25">
      <c r="A3737" s="1" t="s">
        <v>1779</v>
      </c>
      <c r="B3737" s="1" t="s">
        <v>1780</v>
      </c>
      <c r="C3737" s="1">
        <v>12200000</v>
      </c>
      <c r="D3737" s="1" t="s">
        <v>49</v>
      </c>
      <c r="E3737">
        <v>508.0951</v>
      </c>
      <c r="F3737" s="1" t="s">
        <v>12</v>
      </c>
      <c r="G3737">
        <v>50</v>
      </c>
      <c r="H3737">
        <v>10</v>
      </c>
      <c r="I3737" s="1" t="s">
        <v>26</v>
      </c>
      <c r="J3737">
        <v>1</v>
      </c>
      <c r="K3737" t="str">
        <f>IF(Tb_data[[#This Row],[previous_workers]]&lt;Tb_data[[#This Row],[workers]],"yes","no")</f>
        <v>yes</v>
      </c>
      <c r="L3737">
        <f>Tb_data[[#This Row],[workers]]-Tb_data[[#This Row],[previous_workers]]</f>
        <v>40</v>
      </c>
      <c r="M3737" s="12">
        <f>Tb_data[[#This Row],[Employees Growth]]/Tb_data[[#This Row],[previous_workers]]</f>
        <v>4</v>
      </c>
    </row>
    <row r="3738" spans="1:13" x14ac:dyDescent="0.25">
      <c r="A3738" s="1" t="s">
        <v>6859</v>
      </c>
      <c r="B3738" s="1" t="s">
        <v>6860</v>
      </c>
      <c r="C3738" s="1">
        <v>5400000</v>
      </c>
      <c r="D3738" s="1" t="s">
        <v>38</v>
      </c>
      <c r="E3738">
        <v>105.36279999999999</v>
      </c>
      <c r="F3738" s="1" t="s">
        <v>97</v>
      </c>
      <c r="G3738">
        <v>72</v>
      </c>
      <c r="H3738">
        <v>50</v>
      </c>
      <c r="I3738" s="1" t="s">
        <v>46</v>
      </c>
      <c r="J3738">
        <v>5</v>
      </c>
      <c r="K3738" t="str">
        <f>IF(Tb_data[[#This Row],[previous_workers]]&lt;Tb_data[[#This Row],[workers]],"yes","no")</f>
        <v>yes</v>
      </c>
      <c r="L3738">
        <f>Tb_data[[#This Row],[workers]]-Tb_data[[#This Row],[previous_workers]]</f>
        <v>22</v>
      </c>
      <c r="M3738" s="12">
        <f>Tb_data[[#This Row],[Employees Growth]]/Tb_data[[#This Row],[previous_workers]]</f>
        <v>0.44</v>
      </c>
    </row>
    <row r="3739" spans="1:13" x14ac:dyDescent="0.25">
      <c r="A3739" s="1" t="s">
        <v>9369</v>
      </c>
      <c r="B3739" s="1" t="s">
        <v>9370</v>
      </c>
      <c r="C3739" s="1">
        <v>6800000</v>
      </c>
      <c r="D3739" s="1" t="s">
        <v>49</v>
      </c>
      <c r="E3739">
        <v>61.880400000000002</v>
      </c>
      <c r="F3739" s="1" t="s">
        <v>176</v>
      </c>
      <c r="G3739">
        <v>16</v>
      </c>
      <c r="H3739">
        <v>10</v>
      </c>
      <c r="I3739" s="1" t="s">
        <v>1051</v>
      </c>
      <c r="J3739">
        <v>1</v>
      </c>
      <c r="K3739" t="str">
        <f>IF(Tb_data[[#This Row],[previous_workers]]&lt;Tb_data[[#This Row],[workers]],"yes","no")</f>
        <v>yes</v>
      </c>
      <c r="L3739">
        <f>Tb_data[[#This Row],[workers]]-Tb_data[[#This Row],[previous_workers]]</f>
        <v>6</v>
      </c>
      <c r="M3739" s="12">
        <f>Tb_data[[#This Row],[Employees Growth]]/Tb_data[[#This Row],[previous_workers]]</f>
        <v>0.6</v>
      </c>
    </row>
    <row r="3740" spans="1:13" x14ac:dyDescent="0.25">
      <c r="A3740" s="1" t="s">
        <v>4754</v>
      </c>
      <c r="B3740" s="1" t="s">
        <v>4755</v>
      </c>
      <c r="C3740" s="1">
        <v>127300000</v>
      </c>
      <c r="D3740" s="1" t="s">
        <v>49</v>
      </c>
      <c r="E3740">
        <v>172.58260000000001</v>
      </c>
      <c r="F3740" s="1" t="s">
        <v>156</v>
      </c>
      <c r="G3740">
        <v>225</v>
      </c>
      <c r="H3740">
        <v>119</v>
      </c>
      <c r="I3740" s="1" t="s">
        <v>226</v>
      </c>
      <c r="J3740">
        <v>12</v>
      </c>
      <c r="K3740" t="str">
        <f>IF(Tb_data[[#This Row],[previous_workers]]&lt;Tb_data[[#This Row],[workers]],"yes","no")</f>
        <v>yes</v>
      </c>
      <c r="L3740">
        <f>Tb_data[[#This Row],[workers]]-Tb_data[[#This Row],[previous_workers]]</f>
        <v>106</v>
      </c>
      <c r="M3740" s="12">
        <f>Tb_data[[#This Row],[Employees Growth]]/Tb_data[[#This Row],[previous_workers]]</f>
        <v>0.89075630252100846</v>
      </c>
    </row>
    <row r="3741" spans="1:13" x14ac:dyDescent="0.25">
      <c r="A3741" s="1" t="s">
        <v>7929</v>
      </c>
      <c r="B3741" s="1" t="s">
        <v>7930</v>
      </c>
      <c r="C3741" s="1">
        <v>4800000</v>
      </c>
      <c r="D3741" s="1" t="s">
        <v>427</v>
      </c>
      <c r="E3741">
        <v>84.267799999999994</v>
      </c>
      <c r="F3741" s="1" t="s">
        <v>152</v>
      </c>
      <c r="G3741">
        <v>40</v>
      </c>
      <c r="H3741">
        <v>28</v>
      </c>
      <c r="I3741" s="1" t="s">
        <v>147</v>
      </c>
      <c r="J3741">
        <v>5</v>
      </c>
      <c r="K3741" t="str">
        <f>IF(Tb_data[[#This Row],[previous_workers]]&lt;Tb_data[[#This Row],[workers]],"yes","no")</f>
        <v>yes</v>
      </c>
      <c r="L3741">
        <f>Tb_data[[#This Row],[workers]]-Tb_data[[#This Row],[previous_workers]]</f>
        <v>12</v>
      </c>
      <c r="M3741" s="12">
        <f>Tb_data[[#This Row],[Employees Growth]]/Tb_data[[#This Row],[previous_workers]]</f>
        <v>0.42857142857142855</v>
      </c>
    </row>
    <row r="3742" spans="1:13" x14ac:dyDescent="0.25">
      <c r="A3742" s="1" t="s">
        <v>9311</v>
      </c>
      <c r="B3742" s="1" t="s">
        <v>9312</v>
      </c>
      <c r="C3742" s="1">
        <v>30600000</v>
      </c>
      <c r="D3742" s="1" t="s">
        <v>427</v>
      </c>
      <c r="E3742">
        <v>62.668900000000001</v>
      </c>
      <c r="F3742" s="1" t="s">
        <v>176</v>
      </c>
      <c r="G3742">
        <v>190</v>
      </c>
      <c r="H3742">
        <v>139</v>
      </c>
      <c r="I3742" s="1" t="s">
        <v>2225</v>
      </c>
      <c r="J3742">
        <v>6</v>
      </c>
      <c r="K3742" t="str">
        <f>IF(Tb_data[[#This Row],[previous_workers]]&lt;Tb_data[[#This Row],[workers]],"yes","no")</f>
        <v>yes</v>
      </c>
      <c r="L3742">
        <f>Tb_data[[#This Row],[workers]]-Tb_data[[#This Row],[previous_workers]]</f>
        <v>51</v>
      </c>
      <c r="M3742" s="12">
        <f>Tb_data[[#This Row],[Employees Growth]]/Tb_data[[#This Row],[previous_workers]]</f>
        <v>0.36690647482014388</v>
      </c>
    </row>
    <row r="3743" spans="1:13" x14ac:dyDescent="0.25">
      <c r="A3743" s="1" t="s">
        <v>9696</v>
      </c>
      <c r="B3743" s="1" t="s">
        <v>9697</v>
      </c>
      <c r="C3743" s="1">
        <v>42300000</v>
      </c>
      <c r="D3743" s="1" t="s">
        <v>321</v>
      </c>
      <c r="E3743">
        <v>58.056399999999996</v>
      </c>
      <c r="F3743" s="1" t="s">
        <v>25</v>
      </c>
      <c r="G3743">
        <v>31</v>
      </c>
      <c r="H3743">
        <v>27</v>
      </c>
      <c r="I3743" s="1" t="s">
        <v>117</v>
      </c>
      <c r="J3743">
        <v>3</v>
      </c>
      <c r="K3743" t="str">
        <f>IF(Tb_data[[#This Row],[previous_workers]]&lt;Tb_data[[#This Row],[workers]],"yes","no")</f>
        <v>yes</v>
      </c>
      <c r="L3743">
        <f>Tb_data[[#This Row],[workers]]-Tb_data[[#This Row],[previous_workers]]</f>
        <v>4</v>
      </c>
      <c r="M3743" s="12">
        <f>Tb_data[[#This Row],[Employees Growth]]/Tb_data[[#This Row],[previous_workers]]</f>
        <v>0.14814814814814814</v>
      </c>
    </row>
    <row r="3744" spans="1:13" x14ac:dyDescent="0.25">
      <c r="A3744" s="1" t="s">
        <v>3680</v>
      </c>
      <c r="B3744" s="1" t="s">
        <v>3681</v>
      </c>
      <c r="C3744" s="1">
        <v>14100000</v>
      </c>
      <c r="D3744" s="1" t="s">
        <v>49</v>
      </c>
      <c r="E3744">
        <v>229.53530000000001</v>
      </c>
      <c r="F3744" s="1" t="s">
        <v>514</v>
      </c>
      <c r="G3744">
        <v>64</v>
      </c>
      <c r="H3744">
        <v>22</v>
      </c>
      <c r="I3744" s="1" t="s">
        <v>164</v>
      </c>
      <c r="J3744">
        <v>2</v>
      </c>
      <c r="K3744" t="str">
        <f>IF(Tb_data[[#This Row],[previous_workers]]&lt;Tb_data[[#This Row],[workers]],"yes","no")</f>
        <v>yes</v>
      </c>
      <c r="L3744">
        <f>Tb_data[[#This Row],[workers]]-Tb_data[[#This Row],[previous_workers]]</f>
        <v>42</v>
      </c>
      <c r="M3744" s="12">
        <f>Tb_data[[#This Row],[Employees Growth]]/Tb_data[[#This Row],[previous_workers]]</f>
        <v>1.9090909090909092</v>
      </c>
    </row>
    <row r="3745" spans="1:13" x14ac:dyDescent="0.25">
      <c r="A3745" s="1" t="s">
        <v>4459</v>
      </c>
      <c r="B3745" s="1" t="s">
        <v>4460</v>
      </c>
      <c r="C3745" s="1">
        <v>61700000</v>
      </c>
      <c r="D3745" s="1" t="s">
        <v>20</v>
      </c>
      <c r="E3745">
        <v>184.60570000000001</v>
      </c>
      <c r="F3745" s="1" t="s">
        <v>94</v>
      </c>
      <c r="G3745">
        <v>181</v>
      </c>
      <c r="H3745">
        <v>45</v>
      </c>
      <c r="I3745" s="1" t="s">
        <v>46</v>
      </c>
      <c r="J3745">
        <v>2</v>
      </c>
      <c r="K3745" t="str">
        <f>IF(Tb_data[[#This Row],[previous_workers]]&lt;Tb_data[[#This Row],[workers]],"yes","no")</f>
        <v>yes</v>
      </c>
      <c r="L3745">
        <f>Tb_data[[#This Row],[workers]]-Tb_data[[#This Row],[previous_workers]]</f>
        <v>136</v>
      </c>
      <c r="M3745" s="12">
        <f>Tb_data[[#This Row],[Employees Growth]]/Tb_data[[#This Row],[previous_workers]]</f>
        <v>3.0222222222222221</v>
      </c>
    </row>
    <row r="3746" spans="1:13" x14ac:dyDescent="0.25">
      <c r="A3746" s="1" t="s">
        <v>5026</v>
      </c>
      <c r="B3746" s="1" t="s">
        <v>5027</v>
      </c>
      <c r="C3746" s="1">
        <v>9500000</v>
      </c>
      <c r="D3746" s="1" t="s">
        <v>49</v>
      </c>
      <c r="E3746">
        <v>160.79589999999999</v>
      </c>
      <c r="F3746" s="1" t="s">
        <v>21</v>
      </c>
      <c r="G3746">
        <v>100</v>
      </c>
      <c r="H3746">
        <v>42</v>
      </c>
      <c r="I3746" s="1" t="s">
        <v>130</v>
      </c>
      <c r="J3746">
        <v>1</v>
      </c>
      <c r="K3746" t="str">
        <f>IF(Tb_data[[#This Row],[previous_workers]]&lt;Tb_data[[#This Row],[workers]],"yes","no")</f>
        <v>yes</v>
      </c>
      <c r="L3746">
        <f>Tb_data[[#This Row],[workers]]-Tb_data[[#This Row],[previous_workers]]</f>
        <v>58</v>
      </c>
      <c r="M3746" s="12">
        <f>Tb_data[[#This Row],[Employees Growth]]/Tb_data[[#This Row],[previous_workers]]</f>
        <v>1.3809523809523809</v>
      </c>
    </row>
    <row r="3747" spans="1:13" x14ac:dyDescent="0.25">
      <c r="A3747" s="1" t="s">
        <v>5586</v>
      </c>
      <c r="B3747" s="1" t="s">
        <v>5587</v>
      </c>
      <c r="C3747" s="1">
        <v>100500000</v>
      </c>
      <c r="D3747" s="1" t="s">
        <v>49</v>
      </c>
      <c r="E3747">
        <v>138.8064</v>
      </c>
      <c r="F3747" s="1" t="s">
        <v>514</v>
      </c>
      <c r="G3747">
        <v>525</v>
      </c>
      <c r="H3747">
        <v>245</v>
      </c>
      <c r="I3747" s="1" t="s">
        <v>4074</v>
      </c>
      <c r="J3747">
        <v>7</v>
      </c>
      <c r="K3747" t="str">
        <f>IF(Tb_data[[#This Row],[previous_workers]]&lt;Tb_data[[#This Row],[workers]],"yes","no")</f>
        <v>yes</v>
      </c>
      <c r="L3747">
        <f>Tb_data[[#This Row],[workers]]-Tb_data[[#This Row],[previous_workers]]</f>
        <v>280</v>
      </c>
      <c r="M3747" s="12">
        <f>Tb_data[[#This Row],[Employees Growth]]/Tb_data[[#This Row],[previous_workers]]</f>
        <v>1.1428571428571428</v>
      </c>
    </row>
    <row r="3748" spans="1:13" x14ac:dyDescent="0.25">
      <c r="A3748" s="1" t="s">
        <v>5966</v>
      </c>
      <c r="B3748" s="1" t="s">
        <v>5967</v>
      </c>
      <c r="C3748" s="1">
        <v>5800000</v>
      </c>
      <c r="D3748" s="1" t="s">
        <v>254</v>
      </c>
      <c r="E3748">
        <v>127.47929999999999</v>
      </c>
      <c r="F3748" s="1" t="s">
        <v>176</v>
      </c>
      <c r="G3748">
        <v>65</v>
      </c>
      <c r="H3748">
        <v>30</v>
      </c>
      <c r="I3748" s="1" t="s">
        <v>35</v>
      </c>
      <c r="J3748">
        <v>5</v>
      </c>
      <c r="K3748" t="str">
        <f>IF(Tb_data[[#This Row],[previous_workers]]&lt;Tb_data[[#This Row],[workers]],"yes","no")</f>
        <v>yes</v>
      </c>
      <c r="L3748">
        <f>Tb_data[[#This Row],[workers]]-Tb_data[[#This Row],[previous_workers]]</f>
        <v>35</v>
      </c>
      <c r="M3748" s="12">
        <f>Tb_data[[#This Row],[Employees Growth]]/Tb_data[[#This Row],[previous_workers]]</f>
        <v>1.1666666666666667</v>
      </c>
    </row>
    <row r="3749" spans="1:13" x14ac:dyDescent="0.25">
      <c r="A3749" s="1" t="s">
        <v>4796</v>
      </c>
      <c r="B3749" s="1" t="s">
        <v>4797</v>
      </c>
      <c r="C3749" s="1">
        <v>2000000</v>
      </c>
      <c r="D3749" s="1" t="s">
        <v>427</v>
      </c>
      <c r="E3749">
        <v>170.32650000000001</v>
      </c>
      <c r="F3749" s="1" t="s">
        <v>176</v>
      </c>
      <c r="G3749">
        <v>5</v>
      </c>
      <c r="H3749">
        <v>3</v>
      </c>
      <c r="I3749" s="1" t="s">
        <v>164</v>
      </c>
      <c r="J3749">
        <v>1</v>
      </c>
      <c r="K3749" t="str">
        <f>IF(Tb_data[[#This Row],[previous_workers]]&lt;Tb_data[[#This Row],[workers]],"yes","no")</f>
        <v>yes</v>
      </c>
      <c r="L3749">
        <f>Tb_data[[#This Row],[workers]]-Tb_data[[#This Row],[previous_workers]]</f>
        <v>2</v>
      </c>
      <c r="M3749" s="12">
        <f>Tb_data[[#This Row],[Employees Growth]]/Tb_data[[#This Row],[previous_workers]]</f>
        <v>0.66666666666666663</v>
      </c>
    </row>
    <row r="3750" spans="1:13" x14ac:dyDescent="0.25">
      <c r="A3750" s="1" t="s">
        <v>3408</v>
      </c>
      <c r="B3750" s="1" t="s">
        <v>3409</v>
      </c>
      <c r="C3750" s="1">
        <v>26100000</v>
      </c>
      <c r="D3750" s="1" t="s">
        <v>69</v>
      </c>
      <c r="E3750">
        <v>251.51390000000001</v>
      </c>
      <c r="F3750" s="1" t="s">
        <v>86</v>
      </c>
      <c r="G3750">
        <v>320</v>
      </c>
      <c r="H3750">
        <v>78</v>
      </c>
      <c r="I3750" s="1" t="s">
        <v>164</v>
      </c>
      <c r="J3750">
        <v>2</v>
      </c>
      <c r="K3750" t="str">
        <f>IF(Tb_data[[#This Row],[previous_workers]]&lt;Tb_data[[#This Row],[workers]],"yes","no")</f>
        <v>yes</v>
      </c>
      <c r="L3750">
        <f>Tb_data[[#This Row],[workers]]-Tb_data[[#This Row],[previous_workers]]</f>
        <v>242</v>
      </c>
      <c r="M3750" s="12">
        <f>Tb_data[[#This Row],[Employees Growth]]/Tb_data[[#This Row],[previous_workers]]</f>
        <v>3.1025641025641026</v>
      </c>
    </row>
    <row r="3751" spans="1:13" x14ac:dyDescent="0.25">
      <c r="A3751" s="1" t="s">
        <v>1350</v>
      </c>
      <c r="B3751" s="1" t="s">
        <v>1351</v>
      </c>
      <c r="C3751" s="1">
        <v>5500000</v>
      </c>
      <c r="D3751" s="1" t="s">
        <v>38</v>
      </c>
      <c r="E3751">
        <v>704.35239999999999</v>
      </c>
      <c r="F3751" s="1" t="s">
        <v>156</v>
      </c>
      <c r="G3751">
        <v>60</v>
      </c>
      <c r="H3751">
        <v>10</v>
      </c>
      <c r="I3751" s="1" t="s">
        <v>194</v>
      </c>
      <c r="J3751">
        <v>2</v>
      </c>
      <c r="K3751" t="str">
        <f>IF(Tb_data[[#This Row],[previous_workers]]&lt;Tb_data[[#This Row],[workers]],"yes","no")</f>
        <v>yes</v>
      </c>
      <c r="L3751">
        <f>Tb_data[[#This Row],[workers]]-Tb_data[[#This Row],[previous_workers]]</f>
        <v>50</v>
      </c>
      <c r="M3751" s="12">
        <f>Tb_data[[#This Row],[Employees Growth]]/Tb_data[[#This Row],[previous_workers]]</f>
        <v>5</v>
      </c>
    </row>
    <row r="3752" spans="1:13" x14ac:dyDescent="0.25">
      <c r="A3752" s="1" t="s">
        <v>3738</v>
      </c>
      <c r="B3752" s="1" t="s">
        <v>3739</v>
      </c>
      <c r="C3752" s="1">
        <v>9100000</v>
      </c>
      <c r="D3752" s="1" t="s">
        <v>387</v>
      </c>
      <c r="E3752">
        <v>225.79769999999999</v>
      </c>
      <c r="F3752" s="1" t="s">
        <v>12</v>
      </c>
      <c r="G3752">
        <v>33</v>
      </c>
      <c r="H3752">
        <v>16</v>
      </c>
      <c r="I3752" s="1" t="s">
        <v>35</v>
      </c>
      <c r="J3752">
        <v>1</v>
      </c>
      <c r="K3752" t="str">
        <f>IF(Tb_data[[#This Row],[previous_workers]]&lt;Tb_data[[#This Row],[workers]],"yes","no")</f>
        <v>yes</v>
      </c>
      <c r="L3752">
        <f>Tb_data[[#This Row],[workers]]-Tb_data[[#This Row],[previous_workers]]</f>
        <v>17</v>
      </c>
      <c r="M3752" s="12">
        <f>Tb_data[[#This Row],[Employees Growth]]/Tb_data[[#This Row],[previous_workers]]</f>
        <v>1.0625</v>
      </c>
    </row>
    <row r="3753" spans="1:13" x14ac:dyDescent="0.25">
      <c r="A3753" s="1" t="s">
        <v>4902</v>
      </c>
      <c r="B3753" s="1" t="s">
        <v>4903</v>
      </c>
      <c r="C3753" s="1">
        <v>5900000</v>
      </c>
      <c r="D3753" s="1" t="s">
        <v>49</v>
      </c>
      <c r="E3753">
        <v>165.6491</v>
      </c>
      <c r="F3753" s="1" t="s">
        <v>172</v>
      </c>
      <c r="G3753">
        <v>63</v>
      </c>
      <c r="H3753">
        <v>45</v>
      </c>
      <c r="I3753" s="1" t="s">
        <v>74</v>
      </c>
      <c r="J3753">
        <v>1</v>
      </c>
      <c r="K3753" t="str">
        <f>IF(Tb_data[[#This Row],[previous_workers]]&lt;Tb_data[[#This Row],[workers]],"yes","no")</f>
        <v>yes</v>
      </c>
      <c r="L3753">
        <f>Tb_data[[#This Row],[workers]]-Tb_data[[#This Row],[previous_workers]]</f>
        <v>18</v>
      </c>
      <c r="M3753" s="12">
        <f>Tb_data[[#This Row],[Employees Growth]]/Tb_data[[#This Row],[previous_workers]]</f>
        <v>0.4</v>
      </c>
    </row>
    <row r="3754" spans="1:13" x14ac:dyDescent="0.25">
      <c r="A3754" s="1" t="s">
        <v>705</v>
      </c>
      <c r="B3754" s="1" t="s">
        <v>706</v>
      </c>
      <c r="C3754" s="1">
        <v>6800000</v>
      </c>
      <c r="D3754" s="1" t="s">
        <v>49</v>
      </c>
      <c r="E3754">
        <v>1469.3516999999999</v>
      </c>
      <c r="F3754" s="1" t="s">
        <v>30</v>
      </c>
      <c r="G3754">
        <v>19</v>
      </c>
      <c r="H3754">
        <v>3</v>
      </c>
      <c r="I3754" s="1" t="s">
        <v>26</v>
      </c>
      <c r="J3754">
        <v>1</v>
      </c>
      <c r="K3754" t="str">
        <f>IF(Tb_data[[#This Row],[previous_workers]]&lt;Tb_data[[#This Row],[workers]],"yes","no")</f>
        <v>yes</v>
      </c>
      <c r="L3754">
        <f>Tb_data[[#This Row],[workers]]-Tb_data[[#This Row],[previous_workers]]</f>
        <v>16</v>
      </c>
      <c r="M3754" s="12">
        <f>Tb_data[[#This Row],[Employees Growth]]/Tb_data[[#This Row],[previous_workers]]</f>
        <v>5.333333333333333</v>
      </c>
    </row>
    <row r="3755" spans="1:13" x14ac:dyDescent="0.25">
      <c r="A3755" s="1" t="s">
        <v>6013</v>
      </c>
      <c r="B3755" s="1" t="s">
        <v>6014</v>
      </c>
      <c r="C3755" s="1">
        <v>90700000</v>
      </c>
      <c r="D3755" s="1" t="s">
        <v>49</v>
      </c>
      <c r="E3755">
        <v>126.31059999999999</v>
      </c>
      <c r="F3755" s="1" t="s">
        <v>42</v>
      </c>
      <c r="G3755">
        <v>66</v>
      </c>
      <c r="H3755">
        <v>52</v>
      </c>
      <c r="I3755" s="1" t="s">
        <v>948</v>
      </c>
      <c r="J3755">
        <v>10</v>
      </c>
      <c r="K3755" t="str">
        <f>IF(Tb_data[[#This Row],[previous_workers]]&lt;Tb_data[[#This Row],[workers]],"yes","no")</f>
        <v>yes</v>
      </c>
      <c r="L3755">
        <f>Tb_data[[#This Row],[workers]]-Tb_data[[#This Row],[previous_workers]]</f>
        <v>14</v>
      </c>
      <c r="M3755" s="12">
        <f>Tb_data[[#This Row],[Employees Growth]]/Tb_data[[#This Row],[previous_workers]]</f>
        <v>0.26923076923076922</v>
      </c>
    </row>
    <row r="3756" spans="1:13" x14ac:dyDescent="0.25">
      <c r="A3756" s="1" t="s">
        <v>1041</v>
      </c>
      <c r="B3756" s="1" t="s">
        <v>1042</v>
      </c>
      <c r="C3756" s="1">
        <v>42900000</v>
      </c>
      <c r="D3756" s="1" t="s">
        <v>20</v>
      </c>
      <c r="E3756">
        <v>956.40930000000003</v>
      </c>
      <c r="F3756" s="1" t="s">
        <v>34</v>
      </c>
      <c r="G3756">
        <v>50</v>
      </c>
      <c r="H3756">
        <v>16</v>
      </c>
      <c r="I3756" s="1" t="s">
        <v>55</v>
      </c>
      <c r="J3756">
        <v>1</v>
      </c>
      <c r="K3756" t="str">
        <f>IF(Tb_data[[#This Row],[previous_workers]]&lt;Tb_data[[#This Row],[workers]],"yes","no")</f>
        <v>yes</v>
      </c>
      <c r="L3756">
        <f>Tb_data[[#This Row],[workers]]-Tb_data[[#This Row],[previous_workers]]</f>
        <v>34</v>
      </c>
      <c r="M3756" s="12">
        <f>Tb_data[[#This Row],[Employees Growth]]/Tb_data[[#This Row],[previous_workers]]</f>
        <v>2.125</v>
      </c>
    </row>
    <row r="3757" spans="1:13" x14ac:dyDescent="0.25">
      <c r="A3757" s="1" t="s">
        <v>8263</v>
      </c>
      <c r="B3757" s="1" t="s">
        <v>8264</v>
      </c>
      <c r="C3757" s="1">
        <v>56200000</v>
      </c>
      <c r="D3757" s="1" t="s">
        <v>52</v>
      </c>
      <c r="E3757">
        <v>78.265500000000003</v>
      </c>
      <c r="F3757" s="1" t="s">
        <v>82</v>
      </c>
      <c r="G3757">
        <v>34</v>
      </c>
      <c r="H3757">
        <v>30</v>
      </c>
      <c r="I3757" s="1" t="s">
        <v>147</v>
      </c>
      <c r="J3757">
        <v>8</v>
      </c>
      <c r="K3757" t="str">
        <f>IF(Tb_data[[#This Row],[previous_workers]]&lt;Tb_data[[#This Row],[workers]],"yes","no")</f>
        <v>yes</v>
      </c>
      <c r="L3757">
        <f>Tb_data[[#This Row],[workers]]-Tb_data[[#This Row],[previous_workers]]</f>
        <v>4</v>
      </c>
      <c r="M3757" s="12">
        <f>Tb_data[[#This Row],[Employees Growth]]/Tb_data[[#This Row],[previous_workers]]</f>
        <v>0.13333333333333333</v>
      </c>
    </row>
    <row r="3758" spans="1:13" x14ac:dyDescent="0.25">
      <c r="A3758" s="1" t="s">
        <v>6475</v>
      </c>
      <c r="B3758" s="1" t="s">
        <v>6476</v>
      </c>
      <c r="C3758" s="1">
        <v>2900000</v>
      </c>
      <c r="D3758" s="1" t="s">
        <v>33</v>
      </c>
      <c r="E3758">
        <v>114.65519999999999</v>
      </c>
      <c r="F3758" s="1" t="s">
        <v>124</v>
      </c>
      <c r="G3758">
        <v>13</v>
      </c>
      <c r="H3758">
        <v>6</v>
      </c>
      <c r="I3758" s="1" t="s">
        <v>147</v>
      </c>
      <c r="J3758">
        <v>1</v>
      </c>
      <c r="K3758" t="str">
        <f>IF(Tb_data[[#This Row],[previous_workers]]&lt;Tb_data[[#This Row],[workers]],"yes","no")</f>
        <v>yes</v>
      </c>
      <c r="L3758">
        <f>Tb_data[[#This Row],[workers]]-Tb_data[[#This Row],[previous_workers]]</f>
        <v>7</v>
      </c>
      <c r="M3758" s="12">
        <f>Tb_data[[#This Row],[Employees Growth]]/Tb_data[[#This Row],[previous_workers]]</f>
        <v>1.1666666666666667</v>
      </c>
    </row>
    <row r="3759" spans="1:13" x14ac:dyDescent="0.25">
      <c r="A3759" s="1" t="s">
        <v>2258</v>
      </c>
      <c r="B3759" s="1" t="s">
        <v>2259</v>
      </c>
      <c r="C3759" s="1">
        <v>14500000</v>
      </c>
      <c r="D3759" s="1" t="s">
        <v>11</v>
      </c>
      <c r="E3759">
        <v>390.71069999999997</v>
      </c>
      <c r="F3759" s="1" t="s">
        <v>100</v>
      </c>
      <c r="G3759">
        <v>70</v>
      </c>
      <c r="H3759">
        <v>10</v>
      </c>
      <c r="I3759" s="1" t="s">
        <v>35</v>
      </c>
      <c r="J3759">
        <v>4</v>
      </c>
      <c r="K3759" t="str">
        <f>IF(Tb_data[[#This Row],[previous_workers]]&lt;Tb_data[[#This Row],[workers]],"yes","no")</f>
        <v>yes</v>
      </c>
      <c r="L3759">
        <f>Tb_data[[#This Row],[workers]]-Tb_data[[#This Row],[previous_workers]]</f>
        <v>60</v>
      </c>
      <c r="M3759" s="12">
        <f>Tb_data[[#This Row],[Employees Growth]]/Tb_data[[#This Row],[previous_workers]]</f>
        <v>6</v>
      </c>
    </row>
    <row r="3760" spans="1:13" x14ac:dyDescent="0.25">
      <c r="A3760" s="1" t="s">
        <v>420</v>
      </c>
      <c r="B3760" s="1" t="s">
        <v>421</v>
      </c>
      <c r="C3760" s="1">
        <v>6400000</v>
      </c>
      <c r="D3760" s="1" t="s">
        <v>422</v>
      </c>
      <c r="E3760">
        <v>2274.4095000000002</v>
      </c>
      <c r="F3760" s="1" t="s">
        <v>12</v>
      </c>
      <c r="G3760">
        <v>90</v>
      </c>
      <c r="H3760">
        <v>6</v>
      </c>
      <c r="I3760" s="1" t="s">
        <v>26</v>
      </c>
      <c r="J3760">
        <v>2</v>
      </c>
      <c r="K3760" t="str">
        <f>IF(Tb_data[[#This Row],[previous_workers]]&lt;Tb_data[[#This Row],[workers]],"yes","no")</f>
        <v>yes</v>
      </c>
      <c r="L3760">
        <f>Tb_data[[#This Row],[workers]]-Tb_data[[#This Row],[previous_workers]]</f>
        <v>84</v>
      </c>
      <c r="M3760" s="12">
        <f>Tb_data[[#This Row],[Employees Growth]]/Tb_data[[#This Row],[previous_workers]]</f>
        <v>14</v>
      </c>
    </row>
    <row r="3761" spans="1:13" x14ac:dyDescent="0.25">
      <c r="A3761" s="1" t="s">
        <v>1078</v>
      </c>
      <c r="B3761" s="1" t="s">
        <v>1079</v>
      </c>
      <c r="C3761" s="1">
        <v>5400000</v>
      </c>
      <c r="D3761" s="1" t="s">
        <v>115</v>
      </c>
      <c r="E3761">
        <v>900.46130000000005</v>
      </c>
      <c r="F3761" s="1" t="s">
        <v>112</v>
      </c>
      <c r="G3761">
        <v>7</v>
      </c>
      <c r="H3761">
        <v>2</v>
      </c>
      <c r="I3761" s="1" t="s">
        <v>35</v>
      </c>
      <c r="J3761">
        <v>2</v>
      </c>
      <c r="K3761" t="str">
        <f>IF(Tb_data[[#This Row],[previous_workers]]&lt;Tb_data[[#This Row],[workers]],"yes","no")</f>
        <v>yes</v>
      </c>
      <c r="L3761">
        <f>Tb_data[[#This Row],[workers]]-Tb_data[[#This Row],[previous_workers]]</f>
        <v>5</v>
      </c>
      <c r="M3761" s="12">
        <f>Tb_data[[#This Row],[Employees Growth]]/Tb_data[[#This Row],[previous_workers]]</f>
        <v>2.5</v>
      </c>
    </row>
    <row r="3762" spans="1:13" x14ac:dyDescent="0.25">
      <c r="A3762" s="1" t="s">
        <v>1098</v>
      </c>
      <c r="B3762" s="1" t="s">
        <v>1099</v>
      </c>
      <c r="C3762" s="1">
        <v>4900000</v>
      </c>
      <c r="D3762" s="1" t="s">
        <v>20</v>
      </c>
      <c r="E3762">
        <v>870.47739999999999</v>
      </c>
      <c r="F3762" s="1" t="s">
        <v>42</v>
      </c>
      <c r="G3762">
        <v>15</v>
      </c>
      <c r="H3762">
        <v>2</v>
      </c>
      <c r="I3762" s="1" t="s">
        <v>117</v>
      </c>
      <c r="J3762">
        <v>1</v>
      </c>
      <c r="K3762" t="str">
        <f>IF(Tb_data[[#This Row],[previous_workers]]&lt;Tb_data[[#This Row],[workers]],"yes","no")</f>
        <v>yes</v>
      </c>
      <c r="L3762">
        <f>Tb_data[[#This Row],[workers]]-Tb_data[[#This Row],[previous_workers]]</f>
        <v>13</v>
      </c>
      <c r="M3762" s="12">
        <f>Tb_data[[#This Row],[Employees Growth]]/Tb_data[[#This Row],[previous_workers]]</f>
        <v>6.5</v>
      </c>
    </row>
    <row r="3763" spans="1:13" x14ac:dyDescent="0.25">
      <c r="A3763" s="1" t="s">
        <v>1430</v>
      </c>
      <c r="B3763" s="1" t="s">
        <v>1431</v>
      </c>
      <c r="C3763" s="1">
        <v>5000000</v>
      </c>
      <c r="D3763" s="1" t="s">
        <v>41</v>
      </c>
      <c r="E3763">
        <v>658.24009999999998</v>
      </c>
      <c r="F3763" s="1" t="s">
        <v>152</v>
      </c>
      <c r="G3763">
        <v>19</v>
      </c>
      <c r="H3763">
        <v>7</v>
      </c>
      <c r="I3763" s="1" t="s">
        <v>194</v>
      </c>
      <c r="J3763">
        <v>1</v>
      </c>
      <c r="K3763" t="str">
        <f>IF(Tb_data[[#This Row],[previous_workers]]&lt;Tb_data[[#This Row],[workers]],"yes","no")</f>
        <v>yes</v>
      </c>
      <c r="L3763">
        <f>Tb_data[[#This Row],[workers]]-Tb_data[[#This Row],[previous_workers]]</f>
        <v>12</v>
      </c>
      <c r="M3763" s="12">
        <f>Tb_data[[#This Row],[Employees Growth]]/Tb_data[[#This Row],[previous_workers]]</f>
        <v>1.7142857142857142</v>
      </c>
    </row>
    <row r="3764" spans="1:13" x14ac:dyDescent="0.25">
      <c r="A3764" s="1" t="s">
        <v>8365</v>
      </c>
      <c r="B3764" s="1" t="s">
        <v>8366</v>
      </c>
      <c r="C3764" s="1">
        <v>7500000</v>
      </c>
      <c r="D3764" s="1" t="s">
        <v>123</v>
      </c>
      <c r="E3764">
        <v>76.753100000000003</v>
      </c>
      <c r="F3764" s="1" t="s">
        <v>135</v>
      </c>
      <c r="G3764">
        <v>110</v>
      </c>
      <c r="H3764">
        <v>50</v>
      </c>
      <c r="I3764" s="1" t="s">
        <v>74</v>
      </c>
      <c r="J3764">
        <v>7</v>
      </c>
      <c r="K3764" t="str">
        <f>IF(Tb_data[[#This Row],[previous_workers]]&lt;Tb_data[[#This Row],[workers]],"yes","no")</f>
        <v>yes</v>
      </c>
      <c r="L3764">
        <f>Tb_data[[#This Row],[workers]]-Tb_data[[#This Row],[previous_workers]]</f>
        <v>60</v>
      </c>
      <c r="M3764" s="12">
        <f>Tb_data[[#This Row],[Employees Growth]]/Tb_data[[#This Row],[previous_workers]]</f>
        <v>1.2</v>
      </c>
    </row>
    <row r="3765" spans="1:13" x14ac:dyDescent="0.25">
      <c r="A3765" s="1" t="s">
        <v>3366</v>
      </c>
      <c r="B3765" s="1" t="s">
        <v>3367</v>
      </c>
      <c r="C3765" s="1">
        <v>50600000</v>
      </c>
      <c r="D3765" s="1" t="s">
        <v>49</v>
      </c>
      <c r="E3765">
        <v>254.74719999999999</v>
      </c>
      <c r="F3765" s="1" t="s">
        <v>86</v>
      </c>
      <c r="G3765">
        <v>253</v>
      </c>
      <c r="H3765">
        <v>106</v>
      </c>
      <c r="I3765" s="1" t="s">
        <v>46</v>
      </c>
      <c r="J3765">
        <v>4</v>
      </c>
      <c r="K3765" t="str">
        <f>IF(Tb_data[[#This Row],[previous_workers]]&lt;Tb_data[[#This Row],[workers]],"yes","no")</f>
        <v>yes</v>
      </c>
      <c r="L3765">
        <f>Tb_data[[#This Row],[workers]]-Tb_data[[#This Row],[previous_workers]]</f>
        <v>147</v>
      </c>
      <c r="M3765" s="12">
        <f>Tb_data[[#This Row],[Employees Growth]]/Tb_data[[#This Row],[previous_workers]]</f>
        <v>1.3867924528301887</v>
      </c>
    </row>
    <row r="3766" spans="1:13" x14ac:dyDescent="0.25">
      <c r="A3766" s="1" t="s">
        <v>2034</v>
      </c>
      <c r="B3766" s="1" t="s">
        <v>2035</v>
      </c>
      <c r="C3766" s="1">
        <v>13800000</v>
      </c>
      <c r="D3766" s="1" t="s">
        <v>41</v>
      </c>
      <c r="E3766">
        <v>441.13440000000003</v>
      </c>
      <c r="F3766" s="1" t="s">
        <v>97</v>
      </c>
      <c r="G3766">
        <v>67</v>
      </c>
      <c r="H3766">
        <v>25</v>
      </c>
      <c r="I3766" s="1" t="s">
        <v>74</v>
      </c>
      <c r="J3766">
        <v>4</v>
      </c>
      <c r="K3766" t="str">
        <f>IF(Tb_data[[#This Row],[previous_workers]]&lt;Tb_data[[#This Row],[workers]],"yes","no")</f>
        <v>yes</v>
      </c>
      <c r="L3766">
        <f>Tb_data[[#This Row],[workers]]-Tb_data[[#This Row],[previous_workers]]</f>
        <v>42</v>
      </c>
      <c r="M3766" s="12">
        <f>Tb_data[[#This Row],[Employees Growth]]/Tb_data[[#This Row],[previous_workers]]</f>
        <v>1.68</v>
      </c>
    </row>
    <row r="3767" spans="1:13" x14ac:dyDescent="0.25">
      <c r="A3767" s="1" t="s">
        <v>1015</v>
      </c>
      <c r="B3767" s="1" t="s">
        <v>1016</v>
      </c>
      <c r="C3767" s="1">
        <v>11300000</v>
      </c>
      <c r="D3767" s="1" t="s">
        <v>33</v>
      </c>
      <c r="E3767">
        <v>986.3578</v>
      </c>
      <c r="F3767" s="1" t="s">
        <v>30</v>
      </c>
      <c r="G3767">
        <v>20</v>
      </c>
      <c r="H3767">
        <v>2</v>
      </c>
      <c r="I3767" s="1" t="s">
        <v>55</v>
      </c>
      <c r="J3767">
        <v>2</v>
      </c>
      <c r="K3767" t="str">
        <f>IF(Tb_data[[#This Row],[previous_workers]]&lt;Tb_data[[#This Row],[workers]],"yes","no")</f>
        <v>yes</v>
      </c>
      <c r="L3767">
        <f>Tb_data[[#This Row],[workers]]-Tb_data[[#This Row],[previous_workers]]</f>
        <v>18</v>
      </c>
      <c r="M3767" s="12">
        <f>Tb_data[[#This Row],[Employees Growth]]/Tb_data[[#This Row],[previous_workers]]</f>
        <v>9</v>
      </c>
    </row>
    <row r="3768" spans="1:13" x14ac:dyDescent="0.25">
      <c r="A3768" s="1" t="s">
        <v>4272</v>
      </c>
      <c r="B3768" s="1" t="s">
        <v>4273</v>
      </c>
      <c r="C3768" s="1">
        <v>10500000</v>
      </c>
      <c r="D3768" s="1" t="s">
        <v>38</v>
      </c>
      <c r="E3768">
        <v>192.91730000000001</v>
      </c>
      <c r="F3768" s="1" t="s">
        <v>25</v>
      </c>
      <c r="G3768">
        <v>4</v>
      </c>
      <c r="H3768">
        <v>1</v>
      </c>
      <c r="I3768" s="1" t="s">
        <v>164</v>
      </c>
      <c r="J3768">
        <v>2</v>
      </c>
      <c r="K3768" t="str">
        <f>IF(Tb_data[[#This Row],[previous_workers]]&lt;Tb_data[[#This Row],[workers]],"yes","no")</f>
        <v>yes</v>
      </c>
      <c r="L3768">
        <f>Tb_data[[#This Row],[workers]]-Tb_data[[#This Row],[previous_workers]]</f>
        <v>3</v>
      </c>
      <c r="M3768" s="12">
        <f>Tb_data[[#This Row],[Employees Growth]]/Tb_data[[#This Row],[previous_workers]]</f>
        <v>3</v>
      </c>
    </row>
    <row r="3769" spans="1:13" x14ac:dyDescent="0.25">
      <c r="A3769" s="1" t="s">
        <v>2899</v>
      </c>
      <c r="B3769" s="1" t="s">
        <v>2900</v>
      </c>
      <c r="C3769" s="1">
        <v>17000000</v>
      </c>
      <c r="D3769" s="1" t="s">
        <v>221</v>
      </c>
      <c r="E3769">
        <v>298.15100000000001</v>
      </c>
      <c r="F3769" s="1" t="s">
        <v>176</v>
      </c>
      <c r="G3769">
        <v>450</v>
      </c>
      <c r="H3769">
        <v>182</v>
      </c>
      <c r="I3769" s="1" t="s">
        <v>55</v>
      </c>
      <c r="J3769">
        <v>3</v>
      </c>
      <c r="K3769" t="str">
        <f>IF(Tb_data[[#This Row],[previous_workers]]&lt;Tb_data[[#This Row],[workers]],"yes","no")</f>
        <v>yes</v>
      </c>
      <c r="L3769">
        <f>Tb_data[[#This Row],[workers]]-Tb_data[[#This Row],[previous_workers]]</f>
        <v>268</v>
      </c>
      <c r="M3769" s="12">
        <f>Tb_data[[#This Row],[Employees Growth]]/Tb_data[[#This Row],[previous_workers]]</f>
        <v>1.4725274725274726</v>
      </c>
    </row>
    <row r="3770" spans="1:13" x14ac:dyDescent="0.25">
      <c r="A3770" s="1" t="s">
        <v>3193</v>
      </c>
      <c r="B3770" s="1" t="s">
        <v>3194</v>
      </c>
      <c r="C3770" s="1">
        <v>32800000</v>
      </c>
      <c r="D3770" s="1" t="s">
        <v>49</v>
      </c>
      <c r="E3770">
        <v>269.52370000000002</v>
      </c>
      <c r="F3770" s="1" t="s">
        <v>86</v>
      </c>
      <c r="G3770">
        <v>300</v>
      </c>
      <c r="H3770">
        <v>30</v>
      </c>
      <c r="I3770" s="1" t="s">
        <v>117</v>
      </c>
      <c r="J3770">
        <v>1</v>
      </c>
      <c r="K3770" t="str">
        <f>IF(Tb_data[[#This Row],[previous_workers]]&lt;Tb_data[[#This Row],[workers]],"yes","no")</f>
        <v>yes</v>
      </c>
      <c r="L3770">
        <f>Tb_data[[#This Row],[workers]]-Tb_data[[#This Row],[previous_workers]]</f>
        <v>270</v>
      </c>
      <c r="M3770" s="12">
        <f>Tb_data[[#This Row],[Employees Growth]]/Tb_data[[#This Row],[previous_workers]]</f>
        <v>9</v>
      </c>
    </row>
    <row r="3771" spans="1:13" x14ac:dyDescent="0.25">
      <c r="A3771" s="1" t="s">
        <v>3563</v>
      </c>
      <c r="B3771" s="1" t="s">
        <v>3564</v>
      </c>
      <c r="C3771" s="1">
        <v>35500000</v>
      </c>
      <c r="D3771" s="1" t="s">
        <v>69</v>
      </c>
      <c r="E3771">
        <v>236.7482</v>
      </c>
      <c r="F3771" s="1" t="s">
        <v>97</v>
      </c>
      <c r="G3771">
        <v>238</v>
      </c>
      <c r="H3771">
        <v>105</v>
      </c>
      <c r="I3771" s="1" t="s">
        <v>74</v>
      </c>
      <c r="J3771">
        <v>6</v>
      </c>
      <c r="K3771" t="str">
        <f>IF(Tb_data[[#This Row],[previous_workers]]&lt;Tb_data[[#This Row],[workers]],"yes","no")</f>
        <v>yes</v>
      </c>
      <c r="L3771">
        <f>Tb_data[[#This Row],[workers]]-Tb_data[[#This Row],[previous_workers]]</f>
        <v>133</v>
      </c>
      <c r="M3771" s="12">
        <f>Tb_data[[#This Row],[Employees Growth]]/Tb_data[[#This Row],[previous_workers]]</f>
        <v>1.2666666666666666</v>
      </c>
    </row>
    <row r="3772" spans="1:13" x14ac:dyDescent="0.25">
      <c r="A3772" s="1" t="s">
        <v>6861</v>
      </c>
      <c r="B3772" s="1" t="s">
        <v>6862</v>
      </c>
      <c r="C3772" s="1">
        <v>16500000</v>
      </c>
      <c r="D3772" s="1" t="s">
        <v>1021</v>
      </c>
      <c r="E3772">
        <v>105.3526</v>
      </c>
      <c r="F3772" s="1" t="s">
        <v>112</v>
      </c>
      <c r="G3772">
        <v>70</v>
      </c>
      <c r="H3772">
        <v>36</v>
      </c>
      <c r="I3772" s="1" t="s">
        <v>4022</v>
      </c>
      <c r="J3772">
        <v>1</v>
      </c>
      <c r="K3772" t="str">
        <f>IF(Tb_data[[#This Row],[previous_workers]]&lt;Tb_data[[#This Row],[workers]],"yes","no")</f>
        <v>yes</v>
      </c>
      <c r="L3772">
        <f>Tb_data[[#This Row],[workers]]-Tb_data[[#This Row],[previous_workers]]</f>
        <v>34</v>
      </c>
      <c r="M3772" s="12">
        <f>Tb_data[[#This Row],[Employees Growth]]/Tb_data[[#This Row],[previous_workers]]</f>
        <v>0.94444444444444442</v>
      </c>
    </row>
    <row r="3773" spans="1:13" x14ac:dyDescent="0.25">
      <c r="A3773" s="1" t="s">
        <v>7377</v>
      </c>
      <c r="B3773" s="1" t="s">
        <v>7378</v>
      </c>
      <c r="C3773" s="1">
        <v>11100000</v>
      </c>
      <c r="D3773" s="1" t="s">
        <v>29</v>
      </c>
      <c r="E3773">
        <v>95.697199999999995</v>
      </c>
      <c r="F3773" s="1" t="s">
        <v>21</v>
      </c>
      <c r="G3773">
        <v>671</v>
      </c>
      <c r="H3773">
        <v>311</v>
      </c>
      <c r="I3773" s="1" t="s">
        <v>295</v>
      </c>
      <c r="J3773">
        <v>4</v>
      </c>
      <c r="K3773" t="str">
        <f>IF(Tb_data[[#This Row],[previous_workers]]&lt;Tb_data[[#This Row],[workers]],"yes","no")</f>
        <v>yes</v>
      </c>
      <c r="L3773">
        <f>Tb_data[[#This Row],[workers]]-Tb_data[[#This Row],[previous_workers]]</f>
        <v>360</v>
      </c>
      <c r="M3773" s="12">
        <f>Tb_data[[#This Row],[Employees Growth]]/Tb_data[[#This Row],[previous_workers]]</f>
        <v>1.157556270096463</v>
      </c>
    </row>
    <row r="3774" spans="1:13" x14ac:dyDescent="0.25">
      <c r="A3774" s="1" t="s">
        <v>8049</v>
      </c>
      <c r="B3774" s="1" t="s">
        <v>8050</v>
      </c>
      <c r="C3774" s="1">
        <v>23700000</v>
      </c>
      <c r="D3774" s="1" t="s">
        <v>20</v>
      </c>
      <c r="E3774">
        <v>81.914699999999996</v>
      </c>
      <c r="F3774" s="1" t="s">
        <v>135</v>
      </c>
      <c r="G3774">
        <v>292</v>
      </c>
      <c r="H3774">
        <v>150</v>
      </c>
      <c r="I3774" s="1" t="s">
        <v>226</v>
      </c>
      <c r="J3774">
        <v>4</v>
      </c>
      <c r="K3774" t="str">
        <f>IF(Tb_data[[#This Row],[previous_workers]]&lt;Tb_data[[#This Row],[workers]],"yes","no")</f>
        <v>yes</v>
      </c>
      <c r="L3774">
        <f>Tb_data[[#This Row],[workers]]-Tb_data[[#This Row],[previous_workers]]</f>
        <v>142</v>
      </c>
      <c r="M3774" s="12">
        <f>Tb_data[[#This Row],[Employees Growth]]/Tb_data[[#This Row],[previous_workers]]</f>
        <v>0.94666666666666666</v>
      </c>
    </row>
    <row r="3775" spans="1:13" x14ac:dyDescent="0.25">
      <c r="A3775" s="1" t="s">
        <v>8586</v>
      </c>
      <c r="B3775" s="1" t="s">
        <v>8587</v>
      </c>
      <c r="C3775" s="1">
        <v>12200000</v>
      </c>
      <c r="D3775" s="1" t="s">
        <v>1021</v>
      </c>
      <c r="E3775">
        <v>72.565600000000003</v>
      </c>
      <c r="F3775" s="1" t="s">
        <v>12</v>
      </c>
      <c r="G3775">
        <v>46</v>
      </c>
      <c r="H3775">
        <v>38</v>
      </c>
      <c r="I3775" s="1" t="s">
        <v>948</v>
      </c>
      <c r="J3775">
        <v>9</v>
      </c>
      <c r="K3775" t="str">
        <f>IF(Tb_data[[#This Row],[previous_workers]]&lt;Tb_data[[#This Row],[workers]],"yes","no")</f>
        <v>yes</v>
      </c>
      <c r="L3775">
        <f>Tb_data[[#This Row],[workers]]-Tb_data[[#This Row],[previous_workers]]</f>
        <v>8</v>
      </c>
      <c r="M3775" s="12">
        <f>Tb_data[[#This Row],[Employees Growth]]/Tb_data[[#This Row],[previous_workers]]</f>
        <v>0.21052631578947367</v>
      </c>
    </row>
    <row r="3776" spans="1:13" x14ac:dyDescent="0.25">
      <c r="A3776" s="1" t="s">
        <v>2593</v>
      </c>
      <c r="B3776" s="1" t="s">
        <v>2594</v>
      </c>
      <c r="C3776" s="1">
        <v>10200000</v>
      </c>
      <c r="D3776" s="1" t="s">
        <v>49</v>
      </c>
      <c r="E3776">
        <v>332.88240000000002</v>
      </c>
      <c r="F3776" s="1" t="s">
        <v>176</v>
      </c>
      <c r="G3776">
        <v>30</v>
      </c>
      <c r="H3776">
        <v>7</v>
      </c>
      <c r="I3776" s="1" t="s">
        <v>26</v>
      </c>
      <c r="J3776">
        <v>2</v>
      </c>
      <c r="K3776" t="str">
        <f>IF(Tb_data[[#This Row],[previous_workers]]&lt;Tb_data[[#This Row],[workers]],"yes","no")</f>
        <v>yes</v>
      </c>
      <c r="L3776">
        <f>Tb_data[[#This Row],[workers]]-Tb_data[[#This Row],[previous_workers]]</f>
        <v>23</v>
      </c>
      <c r="M3776" s="12">
        <f>Tb_data[[#This Row],[Employees Growth]]/Tb_data[[#This Row],[previous_workers]]</f>
        <v>3.2857142857142856</v>
      </c>
    </row>
    <row r="3777" spans="1:13" x14ac:dyDescent="0.25">
      <c r="A3777" s="1" t="s">
        <v>9275</v>
      </c>
      <c r="B3777" s="1" t="s">
        <v>9276</v>
      </c>
      <c r="C3777" s="1">
        <v>2000000</v>
      </c>
      <c r="D3777" s="1" t="s">
        <v>49</v>
      </c>
      <c r="E3777">
        <v>63.146900000000002</v>
      </c>
      <c r="F3777" s="1" t="s">
        <v>124</v>
      </c>
      <c r="G3777">
        <v>5</v>
      </c>
      <c r="H3777">
        <v>4</v>
      </c>
      <c r="I3777" s="1" t="s">
        <v>948</v>
      </c>
      <c r="J3777">
        <v>1</v>
      </c>
      <c r="K3777" t="str">
        <f>IF(Tb_data[[#This Row],[previous_workers]]&lt;Tb_data[[#This Row],[workers]],"yes","no")</f>
        <v>yes</v>
      </c>
      <c r="L3777">
        <f>Tb_data[[#This Row],[workers]]-Tb_data[[#This Row],[previous_workers]]</f>
        <v>1</v>
      </c>
      <c r="M3777" s="12">
        <f>Tb_data[[#This Row],[Employees Growth]]/Tb_data[[#This Row],[previous_workers]]</f>
        <v>0.25</v>
      </c>
    </row>
    <row r="3778" spans="1:13" x14ac:dyDescent="0.25">
      <c r="A3778" s="1" t="s">
        <v>1200</v>
      </c>
      <c r="B3778" s="1" t="s">
        <v>1201</v>
      </c>
      <c r="C3778" s="1">
        <v>37600000</v>
      </c>
      <c r="D3778" s="1" t="s">
        <v>375</v>
      </c>
      <c r="E3778">
        <v>808.48090000000002</v>
      </c>
      <c r="F3778" s="1" t="s">
        <v>176</v>
      </c>
      <c r="G3778">
        <v>316</v>
      </c>
      <c r="H3778">
        <v>233</v>
      </c>
      <c r="I3778" s="1" t="s">
        <v>55</v>
      </c>
      <c r="J3778">
        <v>2</v>
      </c>
      <c r="K3778" t="str">
        <f>IF(Tb_data[[#This Row],[previous_workers]]&lt;Tb_data[[#This Row],[workers]],"yes","no")</f>
        <v>yes</v>
      </c>
      <c r="L3778">
        <f>Tb_data[[#This Row],[workers]]-Tb_data[[#This Row],[previous_workers]]</f>
        <v>83</v>
      </c>
      <c r="M3778" s="12">
        <f>Tb_data[[#This Row],[Employees Growth]]/Tb_data[[#This Row],[previous_workers]]</f>
        <v>0.35622317596566522</v>
      </c>
    </row>
    <row r="3779" spans="1:13" x14ac:dyDescent="0.25">
      <c r="A3779" s="1" t="s">
        <v>8590</v>
      </c>
      <c r="B3779" s="1" t="s">
        <v>8591</v>
      </c>
      <c r="C3779" s="1">
        <v>10100000</v>
      </c>
      <c r="D3779" s="1" t="s">
        <v>1853</v>
      </c>
      <c r="E3779">
        <v>72.554500000000004</v>
      </c>
      <c r="F3779" s="1" t="s">
        <v>62</v>
      </c>
      <c r="G3779">
        <v>71</v>
      </c>
      <c r="H3779">
        <v>72</v>
      </c>
      <c r="I3779" s="1" t="s">
        <v>147</v>
      </c>
      <c r="J3779">
        <v>7</v>
      </c>
      <c r="K3779" t="str">
        <f>IF(Tb_data[[#This Row],[previous_workers]]&lt;Tb_data[[#This Row],[workers]],"yes","no")</f>
        <v>no</v>
      </c>
      <c r="L3779">
        <f>Tb_data[[#This Row],[workers]]-Tb_data[[#This Row],[previous_workers]]</f>
        <v>-1</v>
      </c>
      <c r="M3779" s="12">
        <f>Tb_data[[#This Row],[Employees Growth]]/Tb_data[[#This Row],[previous_workers]]</f>
        <v>-1.3888888888888888E-2</v>
      </c>
    </row>
    <row r="3780" spans="1:13" x14ac:dyDescent="0.25">
      <c r="A3780" s="1" t="s">
        <v>9079</v>
      </c>
      <c r="B3780" s="1" t="s">
        <v>9080</v>
      </c>
      <c r="C3780" s="1">
        <v>7000000</v>
      </c>
      <c r="D3780" s="1" t="s">
        <v>91</v>
      </c>
      <c r="E3780">
        <v>65.593400000000003</v>
      </c>
      <c r="F3780" s="1" t="s">
        <v>62</v>
      </c>
      <c r="G3780">
        <v>40</v>
      </c>
      <c r="H3780">
        <v>27</v>
      </c>
      <c r="I3780" s="1" t="s">
        <v>35</v>
      </c>
      <c r="J3780">
        <v>2</v>
      </c>
      <c r="K3780" t="str">
        <f>IF(Tb_data[[#This Row],[previous_workers]]&lt;Tb_data[[#This Row],[workers]],"yes","no")</f>
        <v>yes</v>
      </c>
      <c r="L3780">
        <f>Tb_data[[#This Row],[workers]]-Tb_data[[#This Row],[previous_workers]]</f>
        <v>13</v>
      </c>
      <c r="M3780" s="12">
        <f>Tb_data[[#This Row],[Employees Growth]]/Tb_data[[#This Row],[previous_workers]]</f>
        <v>0.48148148148148145</v>
      </c>
    </row>
    <row r="3781" spans="1:13" x14ac:dyDescent="0.25">
      <c r="A3781" s="1" t="s">
        <v>9473</v>
      </c>
      <c r="B3781" s="1" t="s">
        <v>9474</v>
      </c>
      <c r="C3781" s="1">
        <v>28000000</v>
      </c>
      <c r="D3781" s="1" t="s">
        <v>49</v>
      </c>
      <c r="E3781">
        <v>60.618000000000002</v>
      </c>
      <c r="F3781" s="1" t="s">
        <v>176</v>
      </c>
      <c r="G3781">
        <v>89</v>
      </c>
      <c r="H3781">
        <v>25</v>
      </c>
      <c r="I3781" s="1" t="s">
        <v>26</v>
      </c>
      <c r="J3781">
        <v>2</v>
      </c>
      <c r="K3781" t="str">
        <f>IF(Tb_data[[#This Row],[previous_workers]]&lt;Tb_data[[#This Row],[workers]],"yes","no")</f>
        <v>yes</v>
      </c>
      <c r="L3781">
        <f>Tb_data[[#This Row],[workers]]-Tb_data[[#This Row],[previous_workers]]</f>
        <v>64</v>
      </c>
      <c r="M3781" s="12">
        <f>Tb_data[[#This Row],[Employees Growth]]/Tb_data[[#This Row],[previous_workers]]</f>
        <v>2.56</v>
      </c>
    </row>
    <row r="3782" spans="1:13" x14ac:dyDescent="0.25">
      <c r="A3782" s="1" t="s">
        <v>4041</v>
      </c>
      <c r="B3782" s="1" t="s">
        <v>4042</v>
      </c>
      <c r="C3782" s="1">
        <v>10100000</v>
      </c>
      <c r="D3782" s="1" t="s">
        <v>33</v>
      </c>
      <c r="E3782">
        <v>205.34010000000001</v>
      </c>
      <c r="F3782" s="1" t="s">
        <v>86</v>
      </c>
      <c r="G3782">
        <v>62</v>
      </c>
      <c r="H3782">
        <v>15</v>
      </c>
      <c r="I3782" s="1" t="s">
        <v>1657</v>
      </c>
      <c r="J3782">
        <v>3</v>
      </c>
      <c r="K3782" t="str">
        <f>IF(Tb_data[[#This Row],[previous_workers]]&lt;Tb_data[[#This Row],[workers]],"yes","no")</f>
        <v>yes</v>
      </c>
      <c r="L3782">
        <f>Tb_data[[#This Row],[workers]]-Tb_data[[#This Row],[previous_workers]]</f>
        <v>47</v>
      </c>
      <c r="M3782" s="12">
        <f>Tb_data[[#This Row],[Employees Growth]]/Tb_data[[#This Row],[previous_workers]]</f>
        <v>3.1333333333333333</v>
      </c>
    </row>
    <row r="3783" spans="1:13" x14ac:dyDescent="0.25">
      <c r="A3783" s="1" t="s">
        <v>8147</v>
      </c>
      <c r="B3783" s="1" t="s">
        <v>8148</v>
      </c>
      <c r="C3783" s="1">
        <v>11600000</v>
      </c>
      <c r="D3783" s="1" t="s">
        <v>20</v>
      </c>
      <c r="E3783">
        <v>80.520899999999997</v>
      </c>
      <c r="F3783" s="1" t="s">
        <v>142</v>
      </c>
      <c r="G3783">
        <v>90</v>
      </c>
      <c r="H3783">
        <v>45</v>
      </c>
      <c r="I3783" s="1" t="s">
        <v>2407</v>
      </c>
      <c r="J3783">
        <v>7</v>
      </c>
      <c r="K3783" t="str">
        <f>IF(Tb_data[[#This Row],[previous_workers]]&lt;Tb_data[[#This Row],[workers]],"yes","no")</f>
        <v>yes</v>
      </c>
      <c r="L3783">
        <f>Tb_data[[#This Row],[workers]]-Tb_data[[#This Row],[previous_workers]]</f>
        <v>45</v>
      </c>
      <c r="M3783" s="12">
        <f>Tb_data[[#This Row],[Employees Growth]]/Tb_data[[#This Row],[previous_workers]]</f>
        <v>1</v>
      </c>
    </row>
    <row r="3784" spans="1:13" x14ac:dyDescent="0.25">
      <c r="A3784" s="1" t="s">
        <v>5991</v>
      </c>
      <c r="B3784" s="1" t="s">
        <v>5992</v>
      </c>
      <c r="C3784" s="1">
        <v>10600000</v>
      </c>
      <c r="D3784" s="1" t="s">
        <v>1002</v>
      </c>
      <c r="E3784">
        <v>126.77889999999999</v>
      </c>
      <c r="F3784" s="1" t="s">
        <v>124</v>
      </c>
      <c r="G3784">
        <v>47</v>
      </c>
      <c r="H3784">
        <v>32</v>
      </c>
      <c r="I3784" s="1" t="s">
        <v>4036</v>
      </c>
      <c r="J3784">
        <v>3</v>
      </c>
      <c r="K3784" t="str">
        <f>IF(Tb_data[[#This Row],[previous_workers]]&lt;Tb_data[[#This Row],[workers]],"yes","no")</f>
        <v>yes</v>
      </c>
      <c r="L3784">
        <f>Tb_data[[#This Row],[workers]]-Tb_data[[#This Row],[previous_workers]]</f>
        <v>15</v>
      </c>
      <c r="M3784" s="12">
        <f>Tb_data[[#This Row],[Employees Growth]]/Tb_data[[#This Row],[previous_workers]]</f>
        <v>0.46875</v>
      </c>
    </row>
    <row r="3785" spans="1:13" x14ac:dyDescent="0.25">
      <c r="A3785" s="1" t="s">
        <v>4776</v>
      </c>
      <c r="B3785" s="1" t="s">
        <v>4777</v>
      </c>
      <c r="C3785" s="1">
        <v>13900000</v>
      </c>
      <c r="D3785" s="1" t="s">
        <v>29</v>
      </c>
      <c r="E3785">
        <v>171.23869999999999</v>
      </c>
      <c r="F3785" s="1" t="s">
        <v>124</v>
      </c>
      <c r="G3785">
        <v>18</v>
      </c>
      <c r="H3785">
        <v>18</v>
      </c>
      <c r="I3785" s="1" t="s">
        <v>117</v>
      </c>
      <c r="J3785">
        <v>1</v>
      </c>
      <c r="K3785" t="str">
        <f>IF(Tb_data[[#This Row],[previous_workers]]&lt;Tb_data[[#This Row],[workers]],"yes","no")</f>
        <v>no</v>
      </c>
      <c r="L3785">
        <f>Tb_data[[#This Row],[workers]]-Tb_data[[#This Row],[previous_workers]]</f>
        <v>0</v>
      </c>
      <c r="M3785" s="12">
        <f>Tb_data[[#This Row],[Employees Growth]]/Tb_data[[#This Row],[previous_workers]]</f>
        <v>0</v>
      </c>
    </row>
    <row r="3786" spans="1:13" x14ac:dyDescent="0.25">
      <c r="A3786" s="1" t="s">
        <v>7757</v>
      </c>
      <c r="B3786" s="1" t="s">
        <v>7758</v>
      </c>
      <c r="C3786" s="1">
        <v>3500000</v>
      </c>
      <c r="D3786" s="1" t="s">
        <v>254</v>
      </c>
      <c r="E3786">
        <v>87.078100000000006</v>
      </c>
      <c r="F3786" s="1" t="s">
        <v>112</v>
      </c>
      <c r="G3786">
        <v>21</v>
      </c>
      <c r="H3786">
        <v>11</v>
      </c>
      <c r="I3786" s="1" t="s">
        <v>4084</v>
      </c>
      <c r="J3786">
        <v>1</v>
      </c>
      <c r="K3786" t="str">
        <f>IF(Tb_data[[#This Row],[previous_workers]]&lt;Tb_data[[#This Row],[workers]],"yes","no")</f>
        <v>yes</v>
      </c>
      <c r="L3786">
        <f>Tb_data[[#This Row],[workers]]-Tb_data[[#This Row],[previous_workers]]</f>
        <v>10</v>
      </c>
      <c r="M3786" s="12">
        <f>Tb_data[[#This Row],[Employees Growth]]/Tb_data[[#This Row],[previous_workers]]</f>
        <v>0.90909090909090906</v>
      </c>
    </row>
    <row r="3787" spans="1:13" x14ac:dyDescent="0.25">
      <c r="A3787" s="1" t="s">
        <v>9608</v>
      </c>
      <c r="B3787" s="1" t="s">
        <v>9609</v>
      </c>
      <c r="C3787" s="1">
        <v>10700000</v>
      </c>
      <c r="D3787" s="1" t="s">
        <v>45</v>
      </c>
      <c r="E3787">
        <v>59.094200000000001</v>
      </c>
      <c r="F3787" s="1" t="s">
        <v>25</v>
      </c>
      <c r="G3787">
        <v>59</v>
      </c>
      <c r="H3787">
        <v>29</v>
      </c>
      <c r="I3787" s="1" t="s">
        <v>3984</v>
      </c>
      <c r="J3787">
        <v>2</v>
      </c>
      <c r="K3787" t="str">
        <f>IF(Tb_data[[#This Row],[previous_workers]]&lt;Tb_data[[#This Row],[workers]],"yes","no")</f>
        <v>yes</v>
      </c>
      <c r="L3787">
        <f>Tb_data[[#This Row],[workers]]-Tb_data[[#This Row],[previous_workers]]</f>
        <v>30</v>
      </c>
      <c r="M3787" s="12">
        <f>Tb_data[[#This Row],[Employees Growth]]/Tb_data[[#This Row],[previous_workers]]</f>
        <v>1.0344827586206897</v>
      </c>
    </row>
    <row r="3788" spans="1:13" x14ac:dyDescent="0.25">
      <c r="A3788" s="1" t="s">
        <v>7775</v>
      </c>
      <c r="B3788" s="1" t="s">
        <v>7776</v>
      </c>
      <c r="C3788" s="1">
        <v>6400000</v>
      </c>
      <c r="D3788" s="1" t="s">
        <v>49</v>
      </c>
      <c r="E3788">
        <v>86.695800000000006</v>
      </c>
      <c r="F3788" s="1" t="s">
        <v>176</v>
      </c>
      <c r="G3788">
        <v>11</v>
      </c>
      <c r="H3788">
        <v>9</v>
      </c>
      <c r="I3788" s="1" t="s">
        <v>35</v>
      </c>
      <c r="J3788">
        <v>6</v>
      </c>
      <c r="K3788" t="str">
        <f>IF(Tb_data[[#This Row],[previous_workers]]&lt;Tb_data[[#This Row],[workers]],"yes","no")</f>
        <v>yes</v>
      </c>
      <c r="L3788">
        <f>Tb_data[[#This Row],[workers]]-Tb_data[[#This Row],[previous_workers]]</f>
        <v>2</v>
      </c>
      <c r="M3788" s="12">
        <f>Tb_data[[#This Row],[Employees Growth]]/Tb_data[[#This Row],[previous_workers]]</f>
        <v>0.22222222222222221</v>
      </c>
    </row>
    <row r="3789" spans="1:13" x14ac:dyDescent="0.25">
      <c r="A3789" s="1" t="s">
        <v>2851</v>
      </c>
      <c r="B3789" s="1" t="s">
        <v>2852</v>
      </c>
      <c r="C3789" s="1">
        <v>94400000</v>
      </c>
      <c r="D3789" s="1" t="s">
        <v>61</v>
      </c>
      <c r="E3789">
        <v>302.68450000000001</v>
      </c>
      <c r="F3789" s="1" t="s">
        <v>34</v>
      </c>
      <c r="G3789">
        <v>750</v>
      </c>
      <c r="H3789">
        <v>210</v>
      </c>
      <c r="I3789" s="1" t="s">
        <v>117</v>
      </c>
      <c r="J3789">
        <v>3</v>
      </c>
      <c r="K3789" t="str">
        <f>IF(Tb_data[[#This Row],[previous_workers]]&lt;Tb_data[[#This Row],[workers]],"yes","no")</f>
        <v>yes</v>
      </c>
      <c r="L3789">
        <f>Tb_data[[#This Row],[workers]]-Tb_data[[#This Row],[previous_workers]]</f>
        <v>540</v>
      </c>
      <c r="M3789" s="12">
        <f>Tb_data[[#This Row],[Employees Growth]]/Tb_data[[#This Row],[previous_workers]]</f>
        <v>2.5714285714285716</v>
      </c>
    </row>
    <row r="3790" spans="1:13" x14ac:dyDescent="0.25">
      <c r="A3790" s="1" t="s">
        <v>3607</v>
      </c>
      <c r="B3790" s="1" t="s">
        <v>3608</v>
      </c>
      <c r="C3790" s="1">
        <v>12700000</v>
      </c>
      <c r="D3790" s="1" t="s">
        <v>41</v>
      </c>
      <c r="E3790">
        <v>233.08680000000001</v>
      </c>
      <c r="F3790" s="1" t="s">
        <v>116</v>
      </c>
      <c r="G3790">
        <v>88</v>
      </c>
      <c r="H3790">
        <v>29</v>
      </c>
      <c r="I3790" s="1" t="s">
        <v>836</v>
      </c>
      <c r="J3790">
        <v>1</v>
      </c>
      <c r="K3790" t="str">
        <f>IF(Tb_data[[#This Row],[previous_workers]]&lt;Tb_data[[#This Row],[workers]],"yes","no")</f>
        <v>yes</v>
      </c>
      <c r="L3790">
        <f>Tb_data[[#This Row],[workers]]-Tb_data[[#This Row],[previous_workers]]</f>
        <v>59</v>
      </c>
      <c r="M3790" s="12">
        <f>Tb_data[[#This Row],[Employees Growth]]/Tb_data[[#This Row],[previous_workers]]</f>
        <v>2.0344827586206895</v>
      </c>
    </row>
    <row r="3791" spans="1:13" x14ac:dyDescent="0.25">
      <c r="A3791" s="1" t="s">
        <v>667</v>
      </c>
      <c r="B3791" s="1" t="s">
        <v>668</v>
      </c>
      <c r="C3791" s="1">
        <v>97400000</v>
      </c>
      <c r="D3791" s="1" t="s">
        <v>49</v>
      </c>
      <c r="E3791">
        <v>1522.1528000000001</v>
      </c>
      <c r="F3791" s="1" t="s">
        <v>34</v>
      </c>
      <c r="G3791">
        <v>60</v>
      </c>
      <c r="H3791">
        <v>12</v>
      </c>
      <c r="I3791" s="1" t="s">
        <v>194</v>
      </c>
      <c r="J3791">
        <v>3</v>
      </c>
      <c r="K3791" t="str">
        <f>IF(Tb_data[[#This Row],[previous_workers]]&lt;Tb_data[[#This Row],[workers]],"yes","no")</f>
        <v>yes</v>
      </c>
      <c r="L3791">
        <f>Tb_data[[#This Row],[workers]]-Tb_data[[#This Row],[previous_workers]]</f>
        <v>48</v>
      </c>
      <c r="M3791" s="12">
        <f>Tb_data[[#This Row],[Employees Growth]]/Tb_data[[#This Row],[previous_workers]]</f>
        <v>4</v>
      </c>
    </row>
    <row r="3792" spans="1:13" x14ac:dyDescent="0.25">
      <c r="A3792" s="1" t="s">
        <v>9548</v>
      </c>
      <c r="B3792" s="1" t="s">
        <v>9549</v>
      </c>
      <c r="C3792" s="1">
        <v>4200000</v>
      </c>
      <c r="D3792" s="1" t="s">
        <v>38</v>
      </c>
      <c r="E3792">
        <v>59.716999999999999</v>
      </c>
      <c r="F3792" s="1" t="s">
        <v>34</v>
      </c>
      <c r="G3792">
        <v>20</v>
      </c>
      <c r="H3792">
        <v>7</v>
      </c>
      <c r="I3792" s="1" t="s">
        <v>117</v>
      </c>
      <c r="J3792">
        <v>2</v>
      </c>
      <c r="K3792" t="str">
        <f>IF(Tb_data[[#This Row],[previous_workers]]&lt;Tb_data[[#This Row],[workers]],"yes","no")</f>
        <v>yes</v>
      </c>
      <c r="L3792">
        <f>Tb_data[[#This Row],[workers]]-Tb_data[[#This Row],[previous_workers]]</f>
        <v>13</v>
      </c>
      <c r="M3792" s="12">
        <f>Tb_data[[#This Row],[Employees Growth]]/Tb_data[[#This Row],[previous_workers]]</f>
        <v>1.8571428571428572</v>
      </c>
    </row>
    <row r="3793" spans="1:13" x14ac:dyDescent="0.25">
      <c r="A3793" s="1" t="s">
        <v>425</v>
      </c>
      <c r="B3793" s="1" t="s">
        <v>426</v>
      </c>
      <c r="C3793" s="1">
        <v>5700000</v>
      </c>
      <c r="D3793" s="1" t="s">
        <v>427</v>
      </c>
      <c r="E3793">
        <v>2248.4713000000002</v>
      </c>
      <c r="F3793" s="1" t="s">
        <v>25</v>
      </c>
      <c r="G3793">
        <v>8</v>
      </c>
      <c r="H3793">
        <v>3</v>
      </c>
      <c r="I3793" s="1" t="s">
        <v>13</v>
      </c>
      <c r="J3793">
        <v>1</v>
      </c>
      <c r="K3793" t="str">
        <f>IF(Tb_data[[#This Row],[previous_workers]]&lt;Tb_data[[#This Row],[workers]],"yes","no")</f>
        <v>yes</v>
      </c>
      <c r="L3793">
        <f>Tb_data[[#This Row],[workers]]-Tb_data[[#This Row],[previous_workers]]</f>
        <v>5</v>
      </c>
      <c r="M3793" s="12">
        <f>Tb_data[[#This Row],[Employees Growth]]/Tb_data[[#This Row],[previous_workers]]</f>
        <v>1.6666666666666667</v>
      </c>
    </row>
    <row r="3794" spans="1:13" x14ac:dyDescent="0.25">
      <c r="A3794" s="1" t="s">
        <v>6049</v>
      </c>
      <c r="B3794" s="1" t="s">
        <v>6050</v>
      </c>
      <c r="C3794" s="1">
        <v>4200000</v>
      </c>
      <c r="D3794" s="1" t="s">
        <v>49</v>
      </c>
      <c r="E3794">
        <v>125.5287</v>
      </c>
      <c r="F3794" s="1" t="s">
        <v>116</v>
      </c>
      <c r="G3794">
        <v>7</v>
      </c>
      <c r="H3794">
        <v>3</v>
      </c>
      <c r="I3794" s="1" t="s">
        <v>117</v>
      </c>
      <c r="J3794">
        <v>4</v>
      </c>
      <c r="K3794" t="str">
        <f>IF(Tb_data[[#This Row],[previous_workers]]&lt;Tb_data[[#This Row],[workers]],"yes","no")</f>
        <v>yes</v>
      </c>
      <c r="L3794">
        <f>Tb_data[[#This Row],[workers]]-Tb_data[[#This Row],[previous_workers]]</f>
        <v>4</v>
      </c>
      <c r="M3794" s="12">
        <f>Tb_data[[#This Row],[Employees Growth]]/Tb_data[[#This Row],[previous_workers]]</f>
        <v>1.3333333333333333</v>
      </c>
    </row>
    <row r="3795" spans="1:13" x14ac:dyDescent="0.25">
      <c r="A3795" s="1" t="s">
        <v>3457</v>
      </c>
      <c r="B3795" s="1" t="s">
        <v>3458</v>
      </c>
      <c r="C3795" s="1">
        <v>253900000</v>
      </c>
      <c r="D3795" s="1" t="s">
        <v>49</v>
      </c>
      <c r="E3795">
        <v>246.31059999999999</v>
      </c>
      <c r="F3795" s="1" t="s">
        <v>12</v>
      </c>
      <c r="G3795">
        <v>653</v>
      </c>
      <c r="H3795">
        <v>273</v>
      </c>
      <c r="I3795" s="1" t="s">
        <v>1051</v>
      </c>
      <c r="J3795">
        <v>9</v>
      </c>
      <c r="K3795" t="str">
        <f>IF(Tb_data[[#This Row],[previous_workers]]&lt;Tb_data[[#This Row],[workers]],"yes","no")</f>
        <v>yes</v>
      </c>
      <c r="L3795">
        <f>Tb_data[[#This Row],[workers]]-Tb_data[[#This Row],[previous_workers]]</f>
        <v>380</v>
      </c>
      <c r="M3795" s="12">
        <f>Tb_data[[#This Row],[Employees Growth]]/Tb_data[[#This Row],[previous_workers]]</f>
        <v>1.3919413919413919</v>
      </c>
    </row>
    <row r="3796" spans="1:13" x14ac:dyDescent="0.25">
      <c r="A3796" s="1" t="s">
        <v>4154</v>
      </c>
      <c r="B3796" s="1" t="s">
        <v>4155</v>
      </c>
      <c r="C3796" s="1">
        <v>192800000</v>
      </c>
      <c r="D3796" s="1" t="s">
        <v>33</v>
      </c>
      <c r="E3796">
        <v>197.81030000000001</v>
      </c>
      <c r="F3796" s="1" t="s">
        <v>17</v>
      </c>
      <c r="G3796">
        <v>200</v>
      </c>
      <c r="H3796">
        <v>55</v>
      </c>
      <c r="I3796" s="1" t="s">
        <v>117</v>
      </c>
      <c r="J3796">
        <v>3</v>
      </c>
      <c r="K3796" t="str">
        <f>IF(Tb_data[[#This Row],[previous_workers]]&lt;Tb_data[[#This Row],[workers]],"yes","no")</f>
        <v>yes</v>
      </c>
      <c r="L3796">
        <f>Tb_data[[#This Row],[workers]]-Tb_data[[#This Row],[previous_workers]]</f>
        <v>145</v>
      </c>
      <c r="M3796" s="12">
        <f>Tb_data[[#This Row],[Employees Growth]]/Tb_data[[#This Row],[previous_workers]]</f>
        <v>2.6363636363636362</v>
      </c>
    </row>
    <row r="3797" spans="1:13" x14ac:dyDescent="0.25">
      <c r="A3797" s="1" t="s">
        <v>6471</v>
      </c>
      <c r="B3797" s="1" t="s">
        <v>6472</v>
      </c>
      <c r="C3797" s="1">
        <v>8500000</v>
      </c>
      <c r="D3797" s="1" t="s">
        <v>115</v>
      </c>
      <c r="E3797">
        <v>114.8082</v>
      </c>
      <c r="F3797" s="1" t="s">
        <v>12</v>
      </c>
      <c r="G3797">
        <v>48</v>
      </c>
      <c r="H3797">
        <v>26</v>
      </c>
      <c r="I3797" s="1" t="s">
        <v>295</v>
      </c>
      <c r="J3797">
        <v>6</v>
      </c>
      <c r="K3797" t="str">
        <f>IF(Tb_data[[#This Row],[previous_workers]]&lt;Tb_data[[#This Row],[workers]],"yes","no")</f>
        <v>yes</v>
      </c>
      <c r="L3797">
        <f>Tb_data[[#This Row],[workers]]-Tb_data[[#This Row],[previous_workers]]</f>
        <v>22</v>
      </c>
      <c r="M3797" s="12">
        <f>Tb_data[[#This Row],[Employees Growth]]/Tb_data[[#This Row],[previous_workers]]</f>
        <v>0.84615384615384615</v>
      </c>
    </row>
    <row r="3798" spans="1:13" x14ac:dyDescent="0.25">
      <c r="A3798" s="1" t="s">
        <v>2072</v>
      </c>
      <c r="B3798" s="1" t="s">
        <v>2073</v>
      </c>
      <c r="C3798" s="1">
        <v>4600000</v>
      </c>
      <c r="D3798" s="1" t="s">
        <v>664</v>
      </c>
      <c r="E3798">
        <v>431.16699999999997</v>
      </c>
      <c r="F3798" s="1" t="s">
        <v>25</v>
      </c>
      <c r="G3798">
        <v>21</v>
      </c>
      <c r="H3798">
        <v>7</v>
      </c>
      <c r="I3798" s="1" t="s">
        <v>164</v>
      </c>
      <c r="J3798">
        <v>2</v>
      </c>
      <c r="K3798" t="str">
        <f>IF(Tb_data[[#This Row],[previous_workers]]&lt;Tb_data[[#This Row],[workers]],"yes","no")</f>
        <v>yes</v>
      </c>
      <c r="L3798">
        <f>Tb_data[[#This Row],[workers]]-Tb_data[[#This Row],[previous_workers]]</f>
        <v>14</v>
      </c>
      <c r="M3798" s="12">
        <f>Tb_data[[#This Row],[Employees Growth]]/Tb_data[[#This Row],[previous_workers]]</f>
        <v>2</v>
      </c>
    </row>
    <row r="3799" spans="1:13" x14ac:dyDescent="0.25">
      <c r="A3799" s="1" t="s">
        <v>3655</v>
      </c>
      <c r="B3799" s="1" t="s">
        <v>3656</v>
      </c>
      <c r="C3799" s="1">
        <v>2400000</v>
      </c>
      <c r="D3799" s="1" t="s">
        <v>61</v>
      </c>
      <c r="E3799">
        <v>230.7901</v>
      </c>
      <c r="F3799" s="1" t="s">
        <v>62</v>
      </c>
      <c r="G3799">
        <v>16</v>
      </c>
      <c r="H3799">
        <v>6</v>
      </c>
      <c r="I3799" s="1" t="s">
        <v>26</v>
      </c>
      <c r="J3799">
        <v>2</v>
      </c>
      <c r="K3799" t="str">
        <f>IF(Tb_data[[#This Row],[previous_workers]]&lt;Tb_data[[#This Row],[workers]],"yes","no")</f>
        <v>yes</v>
      </c>
      <c r="L3799">
        <f>Tb_data[[#This Row],[workers]]-Tb_data[[#This Row],[previous_workers]]</f>
        <v>10</v>
      </c>
      <c r="M3799" s="12">
        <f>Tb_data[[#This Row],[Employees Growth]]/Tb_data[[#This Row],[previous_workers]]</f>
        <v>1.6666666666666667</v>
      </c>
    </row>
    <row r="3800" spans="1:13" x14ac:dyDescent="0.25">
      <c r="A3800" s="1" t="s">
        <v>6421</v>
      </c>
      <c r="B3800" s="1" t="s">
        <v>6422</v>
      </c>
      <c r="C3800" s="1">
        <v>305100000</v>
      </c>
      <c r="D3800" s="1" t="s">
        <v>33</v>
      </c>
      <c r="E3800">
        <v>115.8777</v>
      </c>
      <c r="F3800" s="1" t="s">
        <v>34</v>
      </c>
      <c r="G3800">
        <v>20599</v>
      </c>
      <c r="H3800">
        <v>8958</v>
      </c>
      <c r="I3800" s="1" t="s">
        <v>295</v>
      </c>
      <c r="J3800">
        <v>9</v>
      </c>
      <c r="K3800" t="str">
        <f>IF(Tb_data[[#This Row],[previous_workers]]&lt;Tb_data[[#This Row],[workers]],"yes","no")</f>
        <v>yes</v>
      </c>
      <c r="L3800">
        <f>Tb_data[[#This Row],[workers]]-Tb_data[[#This Row],[previous_workers]]</f>
        <v>11641</v>
      </c>
      <c r="M3800" s="12">
        <f>Tb_data[[#This Row],[Employees Growth]]/Tb_data[[#This Row],[previous_workers]]</f>
        <v>1.2995088189327975</v>
      </c>
    </row>
    <row r="3801" spans="1:13" x14ac:dyDescent="0.25">
      <c r="A3801" s="1" t="s">
        <v>2448</v>
      </c>
      <c r="B3801" s="1" t="s">
        <v>2449</v>
      </c>
      <c r="C3801" s="1">
        <v>7000000</v>
      </c>
      <c r="D3801" s="1" t="s">
        <v>895</v>
      </c>
      <c r="E3801">
        <v>355.44540000000001</v>
      </c>
      <c r="F3801" s="1" t="s">
        <v>34</v>
      </c>
      <c r="G3801">
        <v>257</v>
      </c>
      <c r="H3801">
        <v>75</v>
      </c>
      <c r="I3801" s="1" t="s">
        <v>55</v>
      </c>
      <c r="J3801">
        <v>1</v>
      </c>
      <c r="K3801" t="str">
        <f>IF(Tb_data[[#This Row],[previous_workers]]&lt;Tb_data[[#This Row],[workers]],"yes","no")</f>
        <v>yes</v>
      </c>
      <c r="L3801">
        <f>Tb_data[[#This Row],[workers]]-Tb_data[[#This Row],[previous_workers]]</f>
        <v>182</v>
      </c>
      <c r="M3801" s="12">
        <f>Tb_data[[#This Row],[Employees Growth]]/Tb_data[[#This Row],[previous_workers]]</f>
        <v>2.4266666666666667</v>
      </c>
    </row>
    <row r="3802" spans="1:13" x14ac:dyDescent="0.25">
      <c r="A3802" s="1" t="s">
        <v>9509</v>
      </c>
      <c r="B3802" s="1" t="s">
        <v>9510</v>
      </c>
      <c r="C3802" s="1">
        <v>4400000</v>
      </c>
      <c r="D3802" s="1" t="s">
        <v>155</v>
      </c>
      <c r="E3802">
        <v>60.175400000000003</v>
      </c>
      <c r="F3802" s="1" t="s">
        <v>86</v>
      </c>
      <c r="G3802">
        <v>24</v>
      </c>
      <c r="H3802">
        <v>12</v>
      </c>
      <c r="I3802" s="1" t="s">
        <v>117</v>
      </c>
      <c r="J3802">
        <v>2</v>
      </c>
      <c r="K3802" t="str">
        <f>IF(Tb_data[[#This Row],[previous_workers]]&lt;Tb_data[[#This Row],[workers]],"yes","no")</f>
        <v>yes</v>
      </c>
      <c r="L3802">
        <f>Tb_data[[#This Row],[workers]]-Tb_data[[#This Row],[previous_workers]]</f>
        <v>12</v>
      </c>
      <c r="M3802" s="12">
        <f>Tb_data[[#This Row],[Employees Growth]]/Tb_data[[#This Row],[previous_workers]]</f>
        <v>1</v>
      </c>
    </row>
    <row r="3803" spans="1:13" x14ac:dyDescent="0.25">
      <c r="A3803" s="1" t="s">
        <v>80</v>
      </c>
      <c r="B3803" s="1" t="s">
        <v>81</v>
      </c>
      <c r="C3803" s="1">
        <v>11900000</v>
      </c>
      <c r="D3803" s="1" t="s">
        <v>33</v>
      </c>
      <c r="E3803">
        <v>8282.8667999999998</v>
      </c>
      <c r="F3803" s="1" t="s">
        <v>82</v>
      </c>
      <c r="G3803">
        <v>12</v>
      </c>
      <c r="H3803">
        <v>2</v>
      </c>
      <c r="I3803" s="1" t="s">
        <v>26</v>
      </c>
      <c r="J3803">
        <v>1</v>
      </c>
      <c r="K3803" t="str">
        <f>IF(Tb_data[[#This Row],[previous_workers]]&lt;Tb_data[[#This Row],[workers]],"yes","no")</f>
        <v>yes</v>
      </c>
      <c r="L3803">
        <f>Tb_data[[#This Row],[workers]]-Tb_data[[#This Row],[previous_workers]]</f>
        <v>10</v>
      </c>
      <c r="M3803" s="12">
        <f>Tb_data[[#This Row],[Employees Growth]]/Tb_data[[#This Row],[previous_workers]]</f>
        <v>5</v>
      </c>
    </row>
    <row r="3804" spans="1:13" x14ac:dyDescent="0.25">
      <c r="A3804" s="1" t="s">
        <v>6878</v>
      </c>
      <c r="B3804" s="1" t="s">
        <v>6879</v>
      </c>
      <c r="C3804" s="1">
        <v>133400000</v>
      </c>
      <c r="D3804" s="1" t="s">
        <v>20</v>
      </c>
      <c r="E3804">
        <v>104.91670000000001</v>
      </c>
      <c r="F3804" s="1" t="s">
        <v>94</v>
      </c>
      <c r="G3804">
        <v>15</v>
      </c>
      <c r="H3804">
        <v>10</v>
      </c>
      <c r="I3804" s="1" t="s">
        <v>226</v>
      </c>
      <c r="J3804">
        <v>6</v>
      </c>
      <c r="K3804" t="str">
        <f>IF(Tb_data[[#This Row],[previous_workers]]&lt;Tb_data[[#This Row],[workers]],"yes","no")</f>
        <v>yes</v>
      </c>
      <c r="L3804">
        <f>Tb_data[[#This Row],[workers]]-Tb_data[[#This Row],[previous_workers]]</f>
        <v>5</v>
      </c>
      <c r="M3804" s="12">
        <f>Tb_data[[#This Row],[Employees Growth]]/Tb_data[[#This Row],[previous_workers]]</f>
        <v>0.5</v>
      </c>
    </row>
    <row r="3805" spans="1:13" x14ac:dyDescent="0.25">
      <c r="A3805" s="1" t="s">
        <v>7192</v>
      </c>
      <c r="B3805" s="1" t="s">
        <v>7193</v>
      </c>
      <c r="C3805" s="1">
        <v>9800000</v>
      </c>
      <c r="D3805" s="1" t="s">
        <v>221</v>
      </c>
      <c r="E3805">
        <v>98.656899999999993</v>
      </c>
      <c r="F3805" s="1" t="s">
        <v>176</v>
      </c>
      <c r="G3805">
        <v>110</v>
      </c>
      <c r="H3805">
        <v>46</v>
      </c>
      <c r="I3805" s="1" t="s">
        <v>372</v>
      </c>
      <c r="J3805">
        <v>1</v>
      </c>
      <c r="K3805" t="str">
        <f>IF(Tb_data[[#This Row],[previous_workers]]&lt;Tb_data[[#This Row],[workers]],"yes","no")</f>
        <v>yes</v>
      </c>
      <c r="L3805">
        <f>Tb_data[[#This Row],[workers]]-Tb_data[[#This Row],[previous_workers]]</f>
        <v>64</v>
      </c>
      <c r="M3805" s="12">
        <f>Tb_data[[#This Row],[Employees Growth]]/Tb_data[[#This Row],[previous_workers]]</f>
        <v>1.3913043478260869</v>
      </c>
    </row>
    <row r="3806" spans="1:13" x14ac:dyDescent="0.25">
      <c r="A3806" s="1" t="s">
        <v>237</v>
      </c>
      <c r="B3806" s="1" t="s">
        <v>239</v>
      </c>
      <c r="C3806" s="1">
        <v>25800000</v>
      </c>
      <c r="D3806" s="1" t="s">
        <v>49</v>
      </c>
      <c r="E3806">
        <v>3775.1386000000002</v>
      </c>
      <c r="F3806" s="1" t="s">
        <v>124</v>
      </c>
      <c r="G3806">
        <v>25</v>
      </c>
      <c r="H3806">
        <v>3</v>
      </c>
      <c r="I3806" s="1" t="s">
        <v>55</v>
      </c>
      <c r="J3806">
        <v>1</v>
      </c>
      <c r="K3806" t="str">
        <f>IF(Tb_data[[#This Row],[previous_workers]]&lt;Tb_data[[#This Row],[workers]],"yes","no")</f>
        <v>yes</v>
      </c>
      <c r="L3806">
        <f>Tb_data[[#This Row],[workers]]-Tb_data[[#This Row],[previous_workers]]</f>
        <v>22</v>
      </c>
      <c r="M3806" s="12">
        <f>Tb_data[[#This Row],[Employees Growth]]/Tb_data[[#This Row],[previous_workers]]</f>
        <v>7.333333333333333</v>
      </c>
    </row>
    <row r="3807" spans="1:13" x14ac:dyDescent="0.25">
      <c r="A3807" s="1" t="s">
        <v>3517</v>
      </c>
      <c r="B3807" s="1" t="s">
        <v>3518</v>
      </c>
      <c r="C3807" s="1">
        <v>24400000</v>
      </c>
      <c r="D3807" s="1" t="s">
        <v>49</v>
      </c>
      <c r="E3807">
        <v>240.83170000000001</v>
      </c>
      <c r="F3807" s="1" t="s">
        <v>86</v>
      </c>
      <c r="G3807">
        <v>278</v>
      </c>
      <c r="H3807">
        <v>83</v>
      </c>
      <c r="I3807" s="1" t="s">
        <v>117</v>
      </c>
      <c r="J3807">
        <v>3</v>
      </c>
      <c r="K3807" t="str">
        <f>IF(Tb_data[[#This Row],[previous_workers]]&lt;Tb_data[[#This Row],[workers]],"yes","no")</f>
        <v>yes</v>
      </c>
      <c r="L3807">
        <f>Tb_data[[#This Row],[workers]]-Tb_data[[#This Row],[previous_workers]]</f>
        <v>195</v>
      </c>
      <c r="M3807" s="12">
        <f>Tb_data[[#This Row],[Employees Growth]]/Tb_data[[#This Row],[previous_workers]]</f>
        <v>2.3493975903614457</v>
      </c>
    </row>
    <row r="3808" spans="1:13" x14ac:dyDescent="0.25">
      <c r="A3808" s="1" t="s">
        <v>4960</v>
      </c>
      <c r="B3808" s="1" t="s">
        <v>4961</v>
      </c>
      <c r="C3808" s="1">
        <v>43500000</v>
      </c>
      <c r="D3808" s="1" t="s">
        <v>20</v>
      </c>
      <c r="E3808">
        <v>163.63640000000001</v>
      </c>
      <c r="F3808" s="1" t="s">
        <v>17</v>
      </c>
      <c r="G3808">
        <v>114</v>
      </c>
      <c r="H3808">
        <v>8</v>
      </c>
      <c r="I3808" s="1" t="s">
        <v>948</v>
      </c>
      <c r="J3808">
        <v>3</v>
      </c>
      <c r="K3808" t="str">
        <f>IF(Tb_data[[#This Row],[previous_workers]]&lt;Tb_data[[#This Row],[workers]],"yes","no")</f>
        <v>yes</v>
      </c>
      <c r="L3808">
        <f>Tb_data[[#This Row],[workers]]-Tb_data[[#This Row],[previous_workers]]</f>
        <v>106</v>
      </c>
      <c r="M3808" s="12">
        <f>Tb_data[[#This Row],[Employees Growth]]/Tb_data[[#This Row],[previous_workers]]</f>
        <v>13.25</v>
      </c>
    </row>
    <row r="3809" spans="1:13" x14ac:dyDescent="0.25">
      <c r="A3809" s="1" t="s">
        <v>9578</v>
      </c>
      <c r="B3809" s="1" t="s">
        <v>9579</v>
      </c>
      <c r="C3809" s="1">
        <v>37800000</v>
      </c>
      <c r="D3809" s="1" t="s">
        <v>427</v>
      </c>
      <c r="E3809">
        <v>59.367100000000001</v>
      </c>
      <c r="F3809" s="1" t="s">
        <v>176</v>
      </c>
      <c r="G3809">
        <v>230</v>
      </c>
      <c r="H3809">
        <v>185</v>
      </c>
      <c r="I3809" s="1" t="s">
        <v>1356</v>
      </c>
      <c r="J3809">
        <v>1</v>
      </c>
      <c r="K3809" t="str">
        <f>IF(Tb_data[[#This Row],[previous_workers]]&lt;Tb_data[[#This Row],[workers]],"yes","no")</f>
        <v>yes</v>
      </c>
      <c r="L3809">
        <f>Tb_data[[#This Row],[workers]]-Tb_data[[#This Row],[previous_workers]]</f>
        <v>45</v>
      </c>
      <c r="M3809" s="12">
        <f>Tb_data[[#This Row],[Employees Growth]]/Tb_data[[#This Row],[previous_workers]]</f>
        <v>0.24324324324324326</v>
      </c>
    </row>
    <row r="3810" spans="1:13" x14ac:dyDescent="0.25">
      <c r="A3810" s="1" t="s">
        <v>1070</v>
      </c>
      <c r="B3810" s="1" t="s">
        <v>1071</v>
      </c>
      <c r="C3810" s="1">
        <v>7200000</v>
      </c>
      <c r="D3810" s="1" t="s">
        <v>38</v>
      </c>
      <c r="E3810">
        <v>904.37109999999996</v>
      </c>
      <c r="F3810" s="1" t="s">
        <v>21</v>
      </c>
      <c r="G3810">
        <v>8</v>
      </c>
      <c r="H3810">
        <v>5</v>
      </c>
      <c r="I3810" s="1" t="s">
        <v>55</v>
      </c>
      <c r="J3810">
        <v>2</v>
      </c>
      <c r="K3810" t="str">
        <f>IF(Tb_data[[#This Row],[previous_workers]]&lt;Tb_data[[#This Row],[workers]],"yes","no")</f>
        <v>yes</v>
      </c>
      <c r="L3810">
        <f>Tb_data[[#This Row],[workers]]-Tb_data[[#This Row],[previous_workers]]</f>
        <v>3</v>
      </c>
      <c r="M3810" s="12">
        <f>Tb_data[[#This Row],[Employees Growth]]/Tb_data[[#This Row],[previous_workers]]</f>
        <v>0.6</v>
      </c>
    </row>
    <row r="3811" spans="1:13" x14ac:dyDescent="0.25">
      <c r="A3811" s="1" t="s">
        <v>6235</v>
      </c>
      <c r="B3811" s="1" t="s">
        <v>6236</v>
      </c>
      <c r="C3811" s="1">
        <v>21000000</v>
      </c>
      <c r="D3811" s="1" t="s">
        <v>69</v>
      </c>
      <c r="E3811">
        <v>120.6799</v>
      </c>
      <c r="F3811" s="1" t="s">
        <v>12</v>
      </c>
      <c r="G3811">
        <v>105</v>
      </c>
      <c r="H3811">
        <v>44</v>
      </c>
      <c r="I3811" s="1" t="s">
        <v>147</v>
      </c>
      <c r="J3811">
        <v>3</v>
      </c>
      <c r="K3811" t="str">
        <f>IF(Tb_data[[#This Row],[previous_workers]]&lt;Tb_data[[#This Row],[workers]],"yes","no")</f>
        <v>yes</v>
      </c>
      <c r="L3811">
        <f>Tb_data[[#This Row],[workers]]-Tb_data[[#This Row],[previous_workers]]</f>
        <v>61</v>
      </c>
      <c r="M3811" s="12">
        <f>Tb_data[[#This Row],[Employees Growth]]/Tb_data[[#This Row],[previous_workers]]</f>
        <v>1.3863636363636365</v>
      </c>
    </row>
    <row r="3812" spans="1:13" x14ac:dyDescent="0.25">
      <c r="A3812" s="1" t="s">
        <v>5808</v>
      </c>
      <c r="B3812" s="1" t="s">
        <v>5809</v>
      </c>
      <c r="C3812" s="1">
        <v>8800000</v>
      </c>
      <c r="D3812" s="1" t="s">
        <v>115</v>
      </c>
      <c r="E3812">
        <v>131.01509999999999</v>
      </c>
      <c r="F3812" s="1" t="s">
        <v>161</v>
      </c>
      <c r="G3812">
        <v>69</v>
      </c>
      <c r="H3812">
        <v>25</v>
      </c>
      <c r="I3812" s="1" t="s">
        <v>229</v>
      </c>
      <c r="J3812">
        <v>5</v>
      </c>
      <c r="K3812" t="str">
        <f>IF(Tb_data[[#This Row],[previous_workers]]&lt;Tb_data[[#This Row],[workers]],"yes","no")</f>
        <v>yes</v>
      </c>
      <c r="L3812">
        <f>Tb_data[[#This Row],[workers]]-Tb_data[[#This Row],[previous_workers]]</f>
        <v>44</v>
      </c>
      <c r="M3812" s="12">
        <f>Tb_data[[#This Row],[Employees Growth]]/Tb_data[[#This Row],[previous_workers]]</f>
        <v>1.76</v>
      </c>
    </row>
    <row r="3813" spans="1:13" x14ac:dyDescent="0.25">
      <c r="A3813" s="1" t="s">
        <v>8837</v>
      </c>
      <c r="B3813" s="1" t="s">
        <v>8838</v>
      </c>
      <c r="C3813" s="1">
        <v>27800000</v>
      </c>
      <c r="D3813" s="1" t="s">
        <v>58</v>
      </c>
      <c r="E3813">
        <v>68.8703</v>
      </c>
      <c r="F3813" s="1" t="s">
        <v>30</v>
      </c>
      <c r="G3813">
        <v>57</v>
      </c>
      <c r="H3813">
        <v>50</v>
      </c>
      <c r="I3813" s="1" t="s">
        <v>295</v>
      </c>
      <c r="J3813">
        <v>6</v>
      </c>
      <c r="K3813" t="str">
        <f>IF(Tb_data[[#This Row],[previous_workers]]&lt;Tb_data[[#This Row],[workers]],"yes","no")</f>
        <v>yes</v>
      </c>
      <c r="L3813">
        <f>Tb_data[[#This Row],[workers]]-Tb_data[[#This Row],[previous_workers]]</f>
        <v>7</v>
      </c>
      <c r="M3813" s="12">
        <f>Tb_data[[#This Row],[Employees Growth]]/Tb_data[[#This Row],[previous_workers]]</f>
        <v>0.14000000000000001</v>
      </c>
    </row>
    <row r="3814" spans="1:13" x14ac:dyDescent="0.25">
      <c r="A3814" s="1" t="s">
        <v>2616</v>
      </c>
      <c r="B3814" s="1" t="s">
        <v>2617</v>
      </c>
      <c r="C3814" s="1">
        <v>6800000</v>
      </c>
      <c r="D3814" s="1" t="s">
        <v>895</v>
      </c>
      <c r="E3814">
        <v>330.79160000000002</v>
      </c>
      <c r="F3814" s="1" t="s">
        <v>21</v>
      </c>
      <c r="G3814">
        <v>6</v>
      </c>
      <c r="H3814">
        <v>4</v>
      </c>
      <c r="I3814" s="1" t="s">
        <v>130</v>
      </c>
      <c r="J3814">
        <v>1</v>
      </c>
      <c r="K3814" t="str">
        <f>IF(Tb_data[[#This Row],[previous_workers]]&lt;Tb_data[[#This Row],[workers]],"yes","no")</f>
        <v>yes</v>
      </c>
      <c r="L3814">
        <f>Tb_data[[#This Row],[workers]]-Tb_data[[#This Row],[previous_workers]]</f>
        <v>2</v>
      </c>
      <c r="M3814" s="12">
        <f>Tb_data[[#This Row],[Employees Growth]]/Tb_data[[#This Row],[previous_workers]]</f>
        <v>0.5</v>
      </c>
    </row>
    <row r="3815" spans="1:13" x14ac:dyDescent="0.25">
      <c r="A3815" s="1" t="s">
        <v>7971</v>
      </c>
      <c r="B3815" s="1" t="s">
        <v>7972</v>
      </c>
      <c r="C3815" s="1">
        <v>11200000</v>
      </c>
      <c r="D3815" s="1" t="s">
        <v>120</v>
      </c>
      <c r="E3815">
        <v>83.532799999999995</v>
      </c>
      <c r="F3815" s="1" t="s">
        <v>176</v>
      </c>
      <c r="G3815">
        <v>52</v>
      </c>
      <c r="H3815">
        <v>46</v>
      </c>
      <c r="I3815" s="1" t="s">
        <v>3898</v>
      </c>
      <c r="J3815">
        <v>5</v>
      </c>
      <c r="K3815" t="str">
        <f>IF(Tb_data[[#This Row],[previous_workers]]&lt;Tb_data[[#This Row],[workers]],"yes","no")</f>
        <v>yes</v>
      </c>
      <c r="L3815">
        <f>Tb_data[[#This Row],[workers]]-Tb_data[[#This Row],[previous_workers]]</f>
        <v>6</v>
      </c>
      <c r="M3815" s="12">
        <f>Tb_data[[#This Row],[Employees Growth]]/Tb_data[[#This Row],[previous_workers]]</f>
        <v>0.13043478260869565</v>
      </c>
    </row>
    <row r="3816" spans="1:13" x14ac:dyDescent="0.25">
      <c r="A3816" s="1" t="s">
        <v>8632</v>
      </c>
      <c r="B3816" s="1" t="s">
        <v>8634</v>
      </c>
      <c r="C3816" s="1">
        <v>8500000</v>
      </c>
      <c r="D3816" s="1" t="s">
        <v>38</v>
      </c>
      <c r="E3816">
        <v>72.035600000000002</v>
      </c>
      <c r="F3816" s="1" t="s">
        <v>176</v>
      </c>
      <c r="G3816">
        <v>705</v>
      </c>
      <c r="H3816">
        <v>410</v>
      </c>
      <c r="I3816" s="1" t="s">
        <v>74</v>
      </c>
      <c r="J3816">
        <v>5</v>
      </c>
      <c r="K3816" t="str">
        <f>IF(Tb_data[[#This Row],[previous_workers]]&lt;Tb_data[[#This Row],[workers]],"yes","no")</f>
        <v>yes</v>
      </c>
      <c r="L3816">
        <f>Tb_data[[#This Row],[workers]]-Tb_data[[#This Row],[previous_workers]]</f>
        <v>295</v>
      </c>
      <c r="M3816" s="12">
        <f>Tb_data[[#This Row],[Employees Growth]]/Tb_data[[#This Row],[previous_workers]]</f>
        <v>0.71951219512195119</v>
      </c>
    </row>
    <row r="3817" spans="1:13" x14ac:dyDescent="0.25">
      <c r="A3817" s="1" t="s">
        <v>3892</v>
      </c>
      <c r="B3817" s="1" t="s">
        <v>3893</v>
      </c>
      <c r="C3817" s="1">
        <v>11600000</v>
      </c>
      <c r="D3817" s="1" t="s">
        <v>41</v>
      </c>
      <c r="E3817">
        <v>214.8509</v>
      </c>
      <c r="F3817" s="1" t="s">
        <v>97</v>
      </c>
      <c r="G3817">
        <v>39</v>
      </c>
      <c r="H3817">
        <v>25</v>
      </c>
      <c r="I3817" s="1" t="s">
        <v>295</v>
      </c>
      <c r="J3817">
        <v>1</v>
      </c>
      <c r="K3817" t="str">
        <f>IF(Tb_data[[#This Row],[previous_workers]]&lt;Tb_data[[#This Row],[workers]],"yes","no")</f>
        <v>yes</v>
      </c>
      <c r="L3817">
        <f>Tb_data[[#This Row],[workers]]-Tb_data[[#This Row],[previous_workers]]</f>
        <v>14</v>
      </c>
      <c r="M3817" s="12">
        <f>Tb_data[[#This Row],[Employees Growth]]/Tb_data[[#This Row],[previous_workers]]</f>
        <v>0.56000000000000005</v>
      </c>
    </row>
    <row r="3818" spans="1:13" x14ac:dyDescent="0.25">
      <c r="A3818" s="1" t="s">
        <v>9628</v>
      </c>
      <c r="B3818" s="1" t="s">
        <v>9629</v>
      </c>
      <c r="C3818" s="1">
        <v>2800000</v>
      </c>
      <c r="D3818" s="1" t="s">
        <v>33</v>
      </c>
      <c r="E3818">
        <v>58.935699999999997</v>
      </c>
      <c r="F3818" s="1" t="s">
        <v>152</v>
      </c>
      <c r="G3818">
        <v>21</v>
      </c>
      <c r="H3818">
        <v>8</v>
      </c>
      <c r="I3818" s="1" t="s">
        <v>117</v>
      </c>
      <c r="J3818">
        <v>1</v>
      </c>
      <c r="K3818" t="str">
        <f>IF(Tb_data[[#This Row],[previous_workers]]&lt;Tb_data[[#This Row],[workers]],"yes","no")</f>
        <v>yes</v>
      </c>
      <c r="L3818">
        <f>Tb_data[[#This Row],[workers]]-Tb_data[[#This Row],[previous_workers]]</f>
        <v>13</v>
      </c>
      <c r="M3818" s="12">
        <f>Tb_data[[#This Row],[Employees Growth]]/Tb_data[[#This Row],[previous_workers]]</f>
        <v>1.625</v>
      </c>
    </row>
    <row r="3819" spans="1:13" x14ac:dyDescent="0.25">
      <c r="A3819" s="1" t="s">
        <v>9385</v>
      </c>
      <c r="B3819" s="1" t="s">
        <v>9386</v>
      </c>
      <c r="C3819" s="1">
        <v>29000000</v>
      </c>
      <c r="D3819" s="1" t="s">
        <v>11</v>
      </c>
      <c r="E3819">
        <v>61.6907</v>
      </c>
      <c r="F3819" s="1" t="s">
        <v>34</v>
      </c>
      <c r="G3819">
        <v>20</v>
      </c>
      <c r="H3819">
        <v>27</v>
      </c>
      <c r="I3819" s="1" t="s">
        <v>1622</v>
      </c>
      <c r="J3819">
        <v>1</v>
      </c>
      <c r="K3819" t="str">
        <f>IF(Tb_data[[#This Row],[previous_workers]]&lt;Tb_data[[#This Row],[workers]],"yes","no")</f>
        <v>no</v>
      </c>
      <c r="L3819">
        <f>Tb_data[[#This Row],[workers]]-Tb_data[[#This Row],[previous_workers]]</f>
        <v>-7</v>
      </c>
      <c r="M3819" s="12">
        <f>Tb_data[[#This Row],[Employees Growth]]/Tb_data[[#This Row],[previous_workers]]</f>
        <v>-0.25925925925925924</v>
      </c>
    </row>
    <row r="3820" spans="1:13" x14ac:dyDescent="0.25">
      <c r="A3820" s="1" t="s">
        <v>6417</v>
      </c>
      <c r="B3820" s="1" t="s">
        <v>6418</v>
      </c>
      <c r="C3820" s="1">
        <v>10200000</v>
      </c>
      <c r="D3820" s="1" t="s">
        <v>49</v>
      </c>
      <c r="E3820">
        <v>115.91679999999999</v>
      </c>
      <c r="F3820" s="1" t="s">
        <v>62</v>
      </c>
      <c r="G3820">
        <v>65</v>
      </c>
      <c r="H3820">
        <v>34</v>
      </c>
      <c r="I3820" s="1" t="s">
        <v>468</v>
      </c>
      <c r="J3820">
        <v>4</v>
      </c>
      <c r="K3820" t="str">
        <f>IF(Tb_data[[#This Row],[previous_workers]]&lt;Tb_data[[#This Row],[workers]],"yes","no")</f>
        <v>yes</v>
      </c>
      <c r="L3820">
        <f>Tb_data[[#This Row],[workers]]-Tb_data[[#This Row],[previous_workers]]</f>
        <v>31</v>
      </c>
      <c r="M3820" s="12">
        <f>Tb_data[[#This Row],[Employees Growth]]/Tb_data[[#This Row],[previous_workers]]</f>
        <v>0.91176470588235292</v>
      </c>
    </row>
    <row r="3821" spans="1:13" x14ac:dyDescent="0.25">
      <c r="A3821" s="1" t="s">
        <v>6261</v>
      </c>
      <c r="B3821" s="1" t="s">
        <v>6262</v>
      </c>
      <c r="C3821" s="1">
        <v>14800000</v>
      </c>
      <c r="D3821" s="1" t="s">
        <v>20</v>
      </c>
      <c r="E3821">
        <v>120.10769999999999</v>
      </c>
      <c r="F3821" s="1" t="s">
        <v>86</v>
      </c>
      <c r="G3821">
        <v>105</v>
      </c>
      <c r="H3821">
        <v>40</v>
      </c>
      <c r="I3821" s="1" t="s">
        <v>948</v>
      </c>
      <c r="J3821">
        <v>2</v>
      </c>
      <c r="K3821" t="str">
        <f>IF(Tb_data[[#This Row],[previous_workers]]&lt;Tb_data[[#This Row],[workers]],"yes","no")</f>
        <v>yes</v>
      </c>
      <c r="L3821">
        <f>Tb_data[[#This Row],[workers]]-Tb_data[[#This Row],[previous_workers]]</f>
        <v>65</v>
      </c>
      <c r="M3821" s="12">
        <f>Tb_data[[#This Row],[Employees Growth]]/Tb_data[[#This Row],[previous_workers]]</f>
        <v>1.625</v>
      </c>
    </row>
    <row r="3822" spans="1:13" x14ac:dyDescent="0.25">
      <c r="A3822" s="1" t="s">
        <v>9826</v>
      </c>
      <c r="B3822" s="1" t="s">
        <v>9827</v>
      </c>
      <c r="C3822" s="1">
        <v>4000000</v>
      </c>
      <c r="D3822" s="1" t="s">
        <v>41</v>
      </c>
      <c r="E3822">
        <v>56.352899999999998</v>
      </c>
      <c r="F3822" s="1" t="s">
        <v>152</v>
      </c>
      <c r="G3822">
        <v>31</v>
      </c>
      <c r="H3822">
        <v>22</v>
      </c>
      <c r="I3822" s="1" t="s">
        <v>46</v>
      </c>
      <c r="J3822">
        <v>2</v>
      </c>
      <c r="K3822" t="str">
        <f>IF(Tb_data[[#This Row],[previous_workers]]&lt;Tb_data[[#This Row],[workers]],"yes","no")</f>
        <v>yes</v>
      </c>
      <c r="L3822">
        <f>Tb_data[[#This Row],[workers]]-Tb_data[[#This Row],[previous_workers]]</f>
        <v>9</v>
      </c>
      <c r="M3822" s="12">
        <f>Tb_data[[#This Row],[Employees Growth]]/Tb_data[[#This Row],[previous_workers]]</f>
        <v>0.40909090909090912</v>
      </c>
    </row>
    <row r="3823" spans="1:13" x14ac:dyDescent="0.25">
      <c r="A3823" s="1" t="s">
        <v>9630</v>
      </c>
      <c r="B3823" s="1" t="s">
        <v>9631</v>
      </c>
      <c r="C3823" s="1">
        <v>2500000</v>
      </c>
      <c r="D3823" s="1" t="s">
        <v>11</v>
      </c>
      <c r="E3823">
        <v>58.917299999999997</v>
      </c>
      <c r="F3823" s="1" t="s">
        <v>34</v>
      </c>
      <c r="G3823">
        <v>12</v>
      </c>
      <c r="H3823">
        <v>6</v>
      </c>
      <c r="I3823" s="1" t="s">
        <v>229</v>
      </c>
      <c r="J3823">
        <v>1</v>
      </c>
      <c r="K3823" t="str">
        <f>IF(Tb_data[[#This Row],[previous_workers]]&lt;Tb_data[[#This Row],[workers]],"yes","no")</f>
        <v>yes</v>
      </c>
      <c r="L3823">
        <f>Tb_data[[#This Row],[workers]]-Tb_data[[#This Row],[previous_workers]]</f>
        <v>6</v>
      </c>
      <c r="M3823" s="12">
        <f>Tb_data[[#This Row],[Employees Growth]]/Tb_data[[#This Row],[previous_workers]]</f>
        <v>1</v>
      </c>
    </row>
    <row r="3824" spans="1:13" x14ac:dyDescent="0.25">
      <c r="A3824" s="1" t="s">
        <v>2096</v>
      </c>
      <c r="B3824" s="1" t="s">
        <v>2097</v>
      </c>
      <c r="C3824" s="1">
        <v>8800000</v>
      </c>
      <c r="D3824" s="1" t="s">
        <v>49</v>
      </c>
      <c r="E3824">
        <v>426.18349999999998</v>
      </c>
      <c r="F3824" s="1" t="s">
        <v>62</v>
      </c>
      <c r="G3824">
        <v>57</v>
      </c>
      <c r="H3824">
        <v>15</v>
      </c>
      <c r="I3824" s="1" t="s">
        <v>26</v>
      </c>
      <c r="J3824">
        <v>1</v>
      </c>
      <c r="K3824" t="str">
        <f>IF(Tb_data[[#This Row],[previous_workers]]&lt;Tb_data[[#This Row],[workers]],"yes","no")</f>
        <v>yes</v>
      </c>
      <c r="L3824">
        <f>Tb_data[[#This Row],[workers]]-Tb_data[[#This Row],[previous_workers]]</f>
        <v>42</v>
      </c>
      <c r="M3824" s="12">
        <f>Tb_data[[#This Row],[Employees Growth]]/Tb_data[[#This Row],[previous_workers]]</f>
        <v>2.8</v>
      </c>
    </row>
    <row r="3825" spans="1:13" x14ac:dyDescent="0.25">
      <c r="A3825" s="1" t="s">
        <v>6567</v>
      </c>
      <c r="B3825" s="1" t="s">
        <v>6568</v>
      </c>
      <c r="C3825" s="1">
        <v>27600000</v>
      </c>
      <c r="D3825" s="1" t="s">
        <v>49</v>
      </c>
      <c r="E3825">
        <v>112.1897</v>
      </c>
      <c r="F3825" s="1" t="s">
        <v>112</v>
      </c>
      <c r="G3825">
        <v>100</v>
      </c>
      <c r="H3825">
        <v>50</v>
      </c>
      <c r="I3825" s="1" t="s">
        <v>130</v>
      </c>
      <c r="J3825">
        <v>1</v>
      </c>
      <c r="K3825" t="str">
        <f>IF(Tb_data[[#This Row],[previous_workers]]&lt;Tb_data[[#This Row],[workers]],"yes","no")</f>
        <v>yes</v>
      </c>
      <c r="L3825">
        <f>Tb_data[[#This Row],[workers]]-Tb_data[[#This Row],[previous_workers]]</f>
        <v>50</v>
      </c>
      <c r="M3825" s="12">
        <f>Tb_data[[#This Row],[Employees Growth]]/Tb_data[[#This Row],[previous_workers]]</f>
        <v>1</v>
      </c>
    </row>
    <row r="3826" spans="1:13" x14ac:dyDescent="0.25">
      <c r="A3826" s="1" t="s">
        <v>9233</v>
      </c>
      <c r="B3826" s="1" t="s">
        <v>9234</v>
      </c>
      <c r="C3826" s="1">
        <v>19000000</v>
      </c>
      <c r="D3826" s="1" t="s">
        <v>58</v>
      </c>
      <c r="E3826">
        <v>63.742899999999999</v>
      </c>
      <c r="F3826" s="1" t="s">
        <v>34</v>
      </c>
      <c r="G3826">
        <v>22</v>
      </c>
      <c r="H3826">
        <v>18</v>
      </c>
      <c r="I3826" s="1" t="s">
        <v>164</v>
      </c>
      <c r="J3826">
        <v>5</v>
      </c>
      <c r="K3826" t="str">
        <f>IF(Tb_data[[#This Row],[previous_workers]]&lt;Tb_data[[#This Row],[workers]],"yes","no")</f>
        <v>yes</v>
      </c>
      <c r="L3826">
        <f>Tb_data[[#This Row],[workers]]-Tb_data[[#This Row],[previous_workers]]</f>
        <v>4</v>
      </c>
      <c r="M3826" s="12">
        <f>Tb_data[[#This Row],[Employees Growth]]/Tb_data[[#This Row],[previous_workers]]</f>
        <v>0.22222222222222221</v>
      </c>
    </row>
    <row r="3827" spans="1:13" x14ac:dyDescent="0.25">
      <c r="A3827" s="1" t="s">
        <v>828</v>
      </c>
      <c r="B3827" s="1" t="s">
        <v>829</v>
      </c>
      <c r="C3827" s="1">
        <v>3100000</v>
      </c>
      <c r="D3827" s="1" t="s">
        <v>58</v>
      </c>
      <c r="E3827">
        <v>1240.3105</v>
      </c>
      <c r="F3827" s="1" t="s">
        <v>86</v>
      </c>
      <c r="G3827">
        <v>85</v>
      </c>
      <c r="H3827">
        <v>20</v>
      </c>
      <c r="I3827" s="1" t="s">
        <v>55</v>
      </c>
      <c r="J3827">
        <v>1</v>
      </c>
      <c r="K3827" t="str">
        <f>IF(Tb_data[[#This Row],[previous_workers]]&lt;Tb_data[[#This Row],[workers]],"yes","no")</f>
        <v>yes</v>
      </c>
      <c r="L3827">
        <f>Tb_data[[#This Row],[workers]]-Tb_data[[#This Row],[previous_workers]]</f>
        <v>65</v>
      </c>
      <c r="M3827" s="12">
        <f>Tb_data[[#This Row],[Employees Growth]]/Tb_data[[#This Row],[previous_workers]]</f>
        <v>3.25</v>
      </c>
    </row>
    <row r="3828" spans="1:13" x14ac:dyDescent="0.25">
      <c r="A3828" s="1" t="s">
        <v>7589</v>
      </c>
      <c r="B3828" s="1" t="s">
        <v>7590</v>
      </c>
      <c r="C3828" s="1">
        <v>23100000</v>
      </c>
      <c r="D3828" s="1" t="s">
        <v>29</v>
      </c>
      <c r="E3828">
        <v>90.601399999999998</v>
      </c>
      <c r="F3828" s="1" t="s">
        <v>12</v>
      </c>
      <c r="G3828">
        <v>179</v>
      </c>
      <c r="H3828">
        <v>102</v>
      </c>
      <c r="I3828" s="1" t="s">
        <v>229</v>
      </c>
      <c r="J3828">
        <v>5</v>
      </c>
      <c r="K3828" t="str">
        <f>IF(Tb_data[[#This Row],[previous_workers]]&lt;Tb_data[[#This Row],[workers]],"yes","no")</f>
        <v>yes</v>
      </c>
      <c r="L3828">
        <f>Tb_data[[#This Row],[workers]]-Tb_data[[#This Row],[previous_workers]]</f>
        <v>77</v>
      </c>
      <c r="M3828" s="12">
        <f>Tb_data[[#This Row],[Employees Growth]]/Tb_data[[#This Row],[previous_workers]]</f>
        <v>0.75490196078431371</v>
      </c>
    </row>
    <row r="3829" spans="1:13" x14ac:dyDescent="0.25">
      <c r="A3829" s="1" t="s">
        <v>1641</v>
      </c>
      <c r="B3829" s="1" t="s">
        <v>1642</v>
      </c>
      <c r="C3829" s="1">
        <v>19400000</v>
      </c>
      <c r="D3829" s="1" t="s">
        <v>41</v>
      </c>
      <c r="E3829">
        <v>563.64430000000004</v>
      </c>
      <c r="F3829" s="1" t="s">
        <v>97</v>
      </c>
      <c r="G3829">
        <v>155</v>
      </c>
      <c r="H3829">
        <v>38</v>
      </c>
      <c r="I3829" s="1" t="s">
        <v>164</v>
      </c>
      <c r="J3829">
        <v>3</v>
      </c>
      <c r="K3829" t="str">
        <f>IF(Tb_data[[#This Row],[previous_workers]]&lt;Tb_data[[#This Row],[workers]],"yes","no")</f>
        <v>yes</v>
      </c>
      <c r="L3829">
        <f>Tb_data[[#This Row],[workers]]-Tb_data[[#This Row],[previous_workers]]</f>
        <v>117</v>
      </c>
      <c r="M3829" s="12">
        <f>Tb_data[[#This Row],[Employees Growth]]/Tb_data[[#This Row],[previous_workers]]</f>
        <v>3.0789473684210527</v>
      </c>
    </row>
    <row r="3830" spans="1:13" x14ac:dyDescent="0.25">
      <c r="A3830" s="1" t="s">
        <v>1813</v>
      </c>
      <c r="B3830" s="1" t="s">
        <v>1814</v>
      </c>
      <c r="C3830" s="1">
        <v>5400000</v>
      </c>
      <c r="D3830" s="1" t="s">
        <v>254</v>
      </c>
      <c r="E3830">
        <v>497.51850000000002</v>
      </c>
      <c r="F3830" s="1" t="s">
        <v>176</v>
      </c>
      <c r="G3830">
        <v>20</v>
      </c>
      <c r="H3830">
        <v>5</v>
      </c>
      <c r="I3830" s="1" t="s">
        <v>26</v>
      </c>
      <c r="J3830">
        <v>2</v>
      </c>
      <c r="K3830" t="str">
        <f>IF(Tb_data[[#This Row],[previous_workers]]&lt;Tb_data[[#This Row],[workers]],"yes","no")</f>
        <v>yes</v>
      </c>
      <c r="L3830">
        <f>Tb_data[[#This Row],[workers]]-Tb_data[[#This Row],[previous_workers]]</f>
        <v>15</v>
      </c>
      <c r="M3830" s="12">
        <f>Tb_data[[#This Row],[Employees Growth]]/Tb_data[[#This Row],[previous_workers]]</f>
        <v>3</v>
      </c>
    </row>
    <row r="3831" spans="1:13" x14ac:dyDescent="0.25">
      <c r="A3831" s="1" t="s">
        <v>2763</v>
      </c>
      <c r="B3831" s="1" t="s">
        <v>2764</v>
      </c>
      <c r="C3831" s="1">
        <v>3100000</v>
      </c>
      <c r="D3831" s="1" t="s">
        <v>20</v>
      </c>
      <c r="E3831">
        <v>311.34859999999998</v>
      </c>
      <c r="F3831" s="1" t="s">
        <v>176</v>
      </c>
      <c r="G3831">
        <v>12</v>
      </c>
      <c r="H3831">
        <v>4</v>
      </c>
      <c r="I3831" s="1" t="s">
        <v>46</v>
      </c>
      <c r="J3831">
        <v>2</v>
      </c>
      <c r="K3831" t="str">
        <f>IF(Tb_data[[#This Row],[previous_workers]]&lt;Tb_data[[#This Row],[workers]],"yes","no")</f>
        <v>yes</v>
      </c>
      <c r="L3831">
        <f>Tb_data[[#This Row],[workers]]-Tb_data[[#This Row],[previous_workers]]</f>
        <v>8</v>
      </c>
      <c r="M3831" s="12">
        <f>Tb_data[[#This Row],[Employees Growth]]/Tb_data[[#This Row],[previous_workers]]</f>
        <v>2</v>
      </c>
    </row>
    <row r="3832" spans="1:13" x14ac:dyDescent="0.25">
      <c r="A3832" s="1" t="s">
        <v>5634</v>
      </c>
      <c r="B3832" s="1" t="s">
        <v>5635</v>
      </c>
      <c r="C3832" s="1">
        <v>7000000</v>
      </c>
      <c r="D3832" s="1" t="s">
        <v>61</v>
      </c>
      <c r="E3832">
        <v>136.69329999999999</v>
      </c>
      <c r="F3832" s="1" t="s">
        <v>176</v>
      </c>
      <c r="G3832">
        <v>21</v>
      </c>
      <c r="H3832">
        <v>14</v>
      </c>
      <c r="I3832" s="1" t="s">
        <v>55</v>
      </c>
      <c r="J3832">
        <v>2</v>
      </c>
      <c r="K3832" t="str">
        <f>IF(Tb_data[[#This Row],[previous_workers]]&lt;Tb_data[[#This Row],[workers]],"yes","no")</f>
        <v>yes</v>
      </c>
      <c r="L3832">
        <f>Tb_data[[#This Row],[workers]]-Tb_data[[#This Row],[previous_workers]]</f>
        <v>7</v>
      </c>
      <c r="M3832" s="12">
        <f>Tb_data[[#This Row],[Employees Growth]]/Tb_data[[#This Row],[previous_workers]]</f>
        <v>0.5</v>
      </c>
    </row>
    <row r="3833" spans="1:13" x14ac:dyDescent="0.25">
      <c r="A3833" s="1" t="s">
        <v>7887</v>
      </c>
      <c r="B3833" s="1" t="s">
        <v>7888</v>
      </c>
      <c r="C3833" s="1">
        <v>11400000</v>
      </c>
      <c r="D3833" s="1" t="s">
        <v>627</v>
      </c>
      <c r="E3833">
        <v>84.860100000000003</v>
      </c>
      <c r="F3833" s="1" t="s">
        <v>176</v>
      </c>
      <c r="G3833">
        <v>165</v>
      </c>
      <c r="H3833">
        <v>55</v>
      </c>
      <c r="I3833" s="1" t="s">
        <v>164</v>
      </c>
      <c r="J3833">
        <v>1</v>
      </c>
      <c r="K3833" t="str">
        <f>IF(Tb_data[[#This Row],[previous_workers]]&lt;Tb_data[[#This Row],[workers]],"yes","no")</f>
        <v>yes</v>
      </c>
      <c r="L3833">
        <f>Tb_data[[#This Row],[workers]]-Tb_data[[#This Row],[previous_workers]]</f>
        <v>110</v>
      </c>
      <c r="M3833" s="12">
        <f>Tb_data[[#This Row],[Employees Growth]]/Tb_data[[#This Row],[previous_workers]]</f>
        <v>2</v>
      </c>
    </row>
    <row r="3834" spans="1:13" x14ac:dyDescent="0.25">
      <c r="A3834" s="1" t="s">
        <v>2861</v>
      </c>
      <c r="B3834" s="1" t="s">
        <v>2862</v>
      </c>
      <c r="C3834" s="1">
        <v>2200000</v>
      </c>
      <c r="D3834" s="1" t="s">
        <v>20</v>
      </c>
      <c r="E3834">
        <v>301.41500000000002</v>
      </c>
      <c r="F3834" s="1" t="s">
        <v>42</v>
      </c>
      <c r="G3834">
        <v>10</v>
      </c>
      <c r="H3834">
        <v>3</v>
      </c>
      <c r="I3834" s="1" t="s">
        <v>26</v>
      </c>
      <c r="J3834">
        <v>1</v>
      </c>
      <c r="K3834" t="str">
        <f>IF(Tb_data[[#This Row],[previous_workers]]&lt;Tb_data[[#This Row],[workers]],"yes","no")</f>
        <v>yes</v>
      </c>
      <c r="L3834">
        <f>Tb_data[[#This Row],[workers]]-Tb_data[[#This Row],[previous_workers]]</f>
        <v>7</v>
      </c>
      <c r="M3834" s="12">
        <f>Tb_data[[#This Row],[Employees Growth]]/Tb_data[[#This Row],[previous_workers]]</f>
        <v>2.3333333333333335</v>
      </c>
    </row>
    <row r="3835" spans="1:13" x14ac:dyDescent="0.25">
      <c r="A3835" s="1" t="s">
        <v>5914</v>
      </c>
      <c r="B3835" s="1" t="s">
        <v>5915</v>
      </c>
      <c r="C3835" s="1">
        <v>43800000</v>
      </c>
      <c r="D3835" s="1" t="s">
        <v>29</v>
      </c>
      <c r="E3835">
        <v>128.71260000000001</v>
      </c>
      <c r="F3835" s="1" t="s">
        <v>152</v>
      </c>
      <c r="G3835">
        <v>350</v>
      </c>
      <c r="H3835">
        <v>120</v>
      </c>
      <c r="I3835" s="1" t="s">
        <v>948</v>
      </c>
      <c r="J3835">
        <v>5</v>
      </c>
      <c r="K3835" t="str">
        <f>IF(Tb_data[[#This Row],[previous_workers]]&lt;Tb_data[[#This Row],[workers]],"yes","no")</f>
        <v>yes</v>
      </c>
      <c r="L3835">
        <f>Tb_data[[#This Row],[workers]]-Tb_data[[#This Row],[previous_workers]]</f>
        <v>230</v>
      </c>
      <c r="M3835" s="12">
        <f>Tb_data[[#This Row],[Employees Growth]]/Tb_data[[#This Row],[previous_workers]]</f>
        <v>1.9166666666666667</v>
      </c>
    </row>
    <row r="3836" spans="1:13" x14ac:dyDescent="0.25">
      <c r="A3836" s="1" t="s">
        <v>3089</v>
      </c>
      <c r="B3836" s="1" t="s">
        <v>3090</v>
      </c>
      <c r="C3836" s="1">
        <v>4400000</v>
      </c>
      <c r="D3836" s="1" t="s">
        <v>49</v>
      </c>
      <c r="E3836">
        <v>277.57319999999999</v>
      </c>
      <c r="F3836" s="1" t="s">
        <v>310</v>
      </c>
      <c r="G3836">
        <v>17</v>
      </c>
      <c r="H3836">
        <v>5</v>
      </c>
      <c r="I3836" s="1" t="s">
        <v>26</v>
      </c>
      <c r="J3836">
        <v>2</v>
      </c>
      <c r="K3836" t="str">
        <f>IF(Tb_data[[#This Row],[previous_workers]]&lt;Tb_data[[#This Row],[workers]],"yes","no")</f>
        <v>yes</v>
      </c>
      <c r="L3836">
        <f>Tb_data[[#This Row],[workers]]-Tb_data[[#This Row],[previous_workers]]</f>
        <v>12</v>
      </c>
      <c r="M3836" s="12">
        <f>Tb_data[[#This Row],[Employees Growth]]/Tb_data[[#This Row],[previous_workers]]</f>
        <v>2.4</v>
      </c>
    </row>
    <row r="3837" spans="1:13" x14ac:dyDescent="0.25">
      <c r="A3837" s="1" t="s">
        <v>3471</v>
      </c>
      <c r="B3837" s="1" t="s">
        <v>3472</v>
      </c>
      <c r="C3837" s="1">
        <v>7600000</v>
      </c>
      <c r="D3837" s="1" t="s">
        <v>627</v>
      </c>
      <c r="E3837">
        <v>245.15270000000001</v>
      </c>
      <c r="F3837" s="1" t="s">
        <v>86</v>
      </c>
      <c r="G3837">
        <v>49</v>
      </c>
      <c r="H3837">
        <v>10</v>
      </c>
      <c r="I3837" s="1" t="s">
        <v>13</v>
      </c>
      <c r="J3837">
        <v>2</v>
      </c>
      <c r="K3837" t="str">
        <f>IF(Tb_data[[#This Row],[previous_workers]]&lt;Tb_data[[#This Row],[workers]],"yes","no")</f>
        <v>yes</v>
      </c>
      <c r="L3837">
        <f>Tb_data[[#This Row],[workers]]-Tb_data[[#This Row],[previous_workers]]</f>
        <v>39</v>
      </c>
      <c r="M3837" s="12">
        <f>Tb_data[[#This Row],[Employees Growth]]/Tb_data[[#This Row],[previous_workers]]</f>
        <v>3.9</v>
      </c>
    </row>
    <row r="3838" spans="1:13" x14ac:dyDescent="0.25">
      <c r="A3838" s="1" t="s">
        <v>5060</v>
      </c>
      <c r="B3838" s="1" t="s">
        <v>5061</v>
      </c>
      <c r="C3838" s="1">
        <v>6300000</v>
      </c>
      <c r="D3838" s="1" t="s">
        <v>38</v>
      </c>
      <c r="E3838">
        <v>158.70189999999999</v>
      </c>
      <c r="F3838" s="1" t="s">
        <v>86</v>
      </c>
      <c r="G3838">
        <v>32</v>
      </c>
      <c r="H3838">
        <v>25</v>
      </c>
      <c r="I3838" s="1" t="s">
        <v>147</v>
      </c>
      <c r="J3838">
        <v>4</v>
      </c>
      <c r="K3838" t="str">
        <f>IF(Tb_data[[#This Row],[previous_workers]]&lt;Tb_data[[#This Row],[workers]],"yes","no")</f>
        <v>yes</v>
      </c>
      <c r="L3838">
        <f>Tb_data[[#This Row],[workers]]-Tb_data[[#This Row],[previous_workers]]</f>
        <v>7</v>
      </c>
      <c r="M3838" s="12">
        <f>Tb_data[[#This Row],[Employees Growth]]/Tb_data[[#This Row],[previous_workers]]</f>
        <v>0.28000000000000003</v>
      </c>
    </row>
    <row r="3839" spans="1:13" x14ac:dyDescent="0.25">
      <c r="A3839" s="1" t="s">
        <v>7643</v>
      </c>
      <c r="B3839" s="1" t="s">
        <v>7644</v>
      </c>
      <c r="C3839" s="1">
        <v>8800000</v>
      </c>
      <c r="D3839" s="1" t="s">
        <v>52</v>
      </c>
      <c r="E3839">
        <v>89.0959</v>
      </c>
      <c r="F3839" s="1" t="s">
        <v>12</v>
      </c>
      <c r="G3839">
        <v>84</v>
      </c>
      <c r="H3839">
        <v>146</v>
      </c>
      <c r="I3839" s="1" t="s">
        <v>164</v>
      </c>
      <c r="J3839">
        <v>4</v>
      </c>
      <c r="K3839" t="str">
        <f>IF(Tb_data[[#This Row],[previous_workers]]&lt;Tb_data[[#This Row],[workers]],"yes","no")</f>
        <v>no</v>
      </c>
      <c r="L3839">
        <f>Tb_data[[#This Row],[workers]]-Tb_data[[#This Row],[previous_workers]]</f>
        <v>-62</v>
      </c>
      <c r="M3839" s="12">
        <f>Tb_data[[#This Row],[Employees Growth]]/Tb_data[[#This Row],[previous_workers]]</f>
        <v>-0.42465753424657532</v>
      </c>
    </row>
    <row r="3840" spans="1:13" x14ac:dyDescent="0.25">
      <c r="A3840" s="1" t="s">
        <v>7118</v>
      </c>
      <c r="B3840" s="1" t="s">
        <v>7119</v>
      </c>
      <c r="C3840" s="1">
        <v>58300000</v>
      </c>
      <c r="D3840" s="1" t="s">
        <v>20</v>
      </c>
      <c r="E3840">
        <v>99.863200000000006</v>
      </c>
      <c r="F3840" s="1" t="s">
        <v>25</v>
      </c>
      <c r="G3840">
        <v>83</v>
      </c>
      <c r="H3840">
        <v>55</v>
      </c>
      <c r="I3840" s="1" t="s">
        <v>226</v>
      </c>
      <c r="J3840">
        <v>3</v>
      </c>
      <c r="K3840" t="str">
        <f>IF(Tb_data[[#This Row],[previous_workers]]&lt;Tb_data[[#This Row],[workers]],"yes","no")</f>
        <v>yes</v>
      </c>
      <c r="L3840">
        <f>Tb_data[[#This Row],[workers]]-Tb_data[[#This Row],[previous_workers]]</f>
        <v>28</v>
      </c>
      <c r="M3840" s="12">
        <f>Tb_data[[#This Row],[Employees Growth]]/Tb_data[[#This Row],[previous_workers]]</f>
        <v>0.50909090909090904</v>
      </c>
    </row>
    <row r="3841" spans="1:13" x14ac:dyDescent="0.25">
      <c r="A3841" s="1" t="s">
        <v>5400</v>
      </c>
      <c r="B3841" s="1" t="s">
        <v>5401</v>
      </c>
      <c r="C3841" s="1">
        <v>10900000</v>
      </c>
      <c r="D3841" s="1" t="s">
        <v>45</v>
      </c>
      <c r="E3841">
        <v>146.4923</v>
      </c>
      <c r="F3841" s="1" t="s">
        <v>25</v>
      </c>
      <c r="G3841">
        <v>24</v>
      </c>
      <c r="H3841">
        <v>12</v>
      </c>
      <c r="I3841" s="1" t="s">
        <v>35</v>
      </c>
      <c r="J3841">
        <v>2</v>
      </c>
      <c r="K3841" t="str">
        <f>IF(Tb_data[[#This Row],[previous_workers]]&lt;Tb_data[[#This Row],[workers]],"yes","no")</f>
        <v>yes</v>
      </c>
      <c r="L3841">
        <f>Tb_data[[#This Row],[workers]]-Tb_data[[#This Row],[previous_workers]]</f>
        <v>12</v>
      </c>
      <c r="M3841" s="12">
        <f>Tb_data[[#This Row],[Employees Growth]]/Tb_data[[#This Row],[previous_workers]]</f>
        <v>1</v>
      </c>
    </row>
    <row r="3842" spans="1:13" x14ac:dyDescent="0.25">
      <c r="A3842" s="1" t="s">
        <v>5452</v>
      </c>
      <c r="B3842" s="1" t="s">
        <v>5453</v>
      </c>
      <c r="C3842" s="1">
        <v>23300000</v>
      </c>
      <c r="D3842" s="1" t="s">
        <v>179</v>
      </c>
      <c r="E3842">
        <v>144.5171</v>
      </c>
      <c r="F3842" s="1" t="s">
        <v>12</v>
      </c>
      <c r="G3842">
        <v>48</v>
      </c>
      <c r="H3842">
        <v>37</v>
      </c>
      <c r="I3842" s="1" t="s">
        <v>35</v>
      </c>
      <c r="J3842">
        <v>1</v>
      </c>
      <c r="K3842" t="str">
        <f>IF(Tb_data[[#This Row],[previous_workers]]&lt;Tb_data[[#This Row],[workers]],"yes","no")</f>
        <v>yes</v>
      </c>
      <c r="L3842">
        <f>Tb_data[[#This Row],[workers]]-Tb_data[[#This Row],[previous_workers]]</f>
        <v>11</v>
      </c>
      <c r="M3842" s="12">
        <f>Tb_data[[#This Row],[Employees Growth]]/Tb_data[[#This Row],[previous_workers]]</f>
        <v>0.29729729729729731</v>
      </c>
    </row>
    <row r="3843" spans="1:13" x14ac:dyDescent="0.25">
      <c r="A3843" s="1" t="s">
        <v>3724</v>
      </c>
      <c r="B3843" s="1" t="s">
        <v>3725</v>
      </c>
      <c r="C3843" s="1">
        <v>12600000</v>
      </c>
      <c r="D3843" s="1" t="s">
        <v>49</v>
      </c>
      <c r="E3843">
        <v>226.65889999999999</v>
      </c>
      <c r="F3843" s="1" t="s">
        <v>25</v>
      </c>
      <c r="G3843">
        <v>73</v>
      </c>
      <c r="H3843">
        <v>42</v>
      </c>
      <c r="I3843" s="1" t="s">
        <v>130</v>
      </c>
      <c r="J3843">
        <v>5</v>
      </c>
      <c r="K3843" t="str">
        <f>IF(Tb_data[[#This Row],[previous_workers]]&lt;Tb_data[[#This Row],[workers]],"yes","no")</f>
        <v>yes</v>
      </c>
      <c r="L3843">
        <f>Tb_data[[#This Row],[workers]]-Tb_data[[#This Row],[previous_workers]]</f>
        <v>31</v>
      </c>
      <c r="M3843" s="12">
        <f>Tb_data[[#This Row],[Employees Growth]]/Tb_data[[#This Row],[previous_workers]]</f>
        <v>0.73809523809523814</v>
      </c>
    </row>
    <row r="3844" spans="1:13" x14ac:dyDescent="0.25">
      <c r="A3844" s="1" t="s">
        <v>6211</v>
      </c>
      <c r="B3844" s="1" t="s">
        <v>6212</v>
      </c>
      <c r="C3844" s="1">
        <v>6500000</v>
      </c>
      <c r="D3844" s="1" t="s">
        <v>49</v>
      </c>
      <c r="E3844">
        <v>121.1392</v>
      </c>
      <c r="F3844" s="1" t="s">
        <v>25</v>
      </c>
      <c r="G3844">
        <v>150</v>
      </c>
      <c r="H3844">
        <v>36</v>
      </c>
      <c r="I3844" s="1" t="s">
        <v>130</v>
      </c>
      <c r="J3844">
        <v>2</v>
      </c>
      <c r="K3844" t="str">
        <f>IF(Tb_data[[#This Row],[previous_workers]]&lt;Tb_data[[#This Row],[workers]],"yes","no")</f>
        <v>yes</v>
      </c>
      <c r="L3844">
        <f>Tb_data[[#This Row],[workers]]-Tb_data[[#This Row],[previous_workers]]</f>
        <v>114</v>
      </c>
      <c r="M3844" s="12">
        <f>Tb_data[[#This Row],[Employees Growth]]/Tb_data[[#This Row],[previous_workers]]</f>
        <v>3.1666666666666665</v>
      </c>
    </row>
    <row r="3845" spans="1:13" x14ac:dyDescent="0.25">
      <c r="A3845" s="1" t="s">
        <v>7555</v>
      </c>
      <c r="B3845" s="1" t="s">
        <v>7556</v>
      </c>
      <c r="C3845" s="1">
        <v>25700000</v>
      </c>
      <c r="D3845" s="1" t="s">
        <v>20</v>
      </c>
      <c r="E3845">
        <v>91.5501</v>
      </c>
      <c r="F3845" s="1" t="s">
        <v>176</v>
      </c>
      <c r="G3845">
        <v>182</v>
      </c>
      <c r="H3845">
        <v>92</v>
      </c>
      <c r="I3845" s="1" t="s">
        <v>147</v>
      </c>
      <c r="J3845">
        <v>9</v>
      </c>
      <c r="K3845" t="str">
        <f>IF(Tb_data[[#This Row],[previous_workers]]&lt;Tb_data[[#This Row],[workers]],"yes","no")</f>
        <v>yes</v>
      </c>
      <c r="L3845">
        <f>Tb_data[[#This Row],[workers]]-Tb_data[[#This Row],[previous_workers]]</f>
        <v>90</v>
      </c>
      <c r="M3845" s="12">
        <f>Tb_data[[#This Row],[Employees Growth]]/Tb_data[[#This Row],[previous_workers]]</f>
        <v>0.97826086956521741</v>
      </c>
    </row>
    <row r="3846" spans="1:13" x14ac:dyDescent="0.25">
      <c r="A3846" s="1" t="s">
        <v>1320</v>
      </c>
      <c r="B3846" s="1" t="s">
        <v>1321</v>
      </c>
      <c r="C3846" s="1">
        <v>2900000</v>
      </c>
      <c r="D3846" s="1" t="s">
        <v>49</v>
      </c>
      <c r="E3846">
        <v>732.34400000000005</v>
      </c>
      <c r="F3846" s="1" t="s">
        <v>86</v>
      </c>
      <c r="G3846">
        <v>32</v>
      </c>
      <c r="H3846">
        <v>3</v>
      </c>
      <c r="I3846" s="1" t="s">
        <v>55</v>
      </c>
      <c r="J3846">
        <v>1</v>
      </c>
      <c r="K3846" t="str">
        <f>IF(Tb_data[[#This Row],[previous_workers]]&lt;Tb_data[[#This Row],[workers]],"yes","no")</f>
        <v>yes</v>
      </c>
      <c r="L3846">
        <f>Tb_data[[#This Row],[workers]]-Tb_data[[#This Row],[previous_workers]]</f>
        <v>29</v>
      </c>
      <c r="M3846" s="12">
        <f>Tb_data[[#This Row],[Employees Growth]]/Tb_data[[#This Row],[previous_workers]]</f>
        <v>9.6666666666666661</v>
      </c>
    </row>
    <row r="3847" spans="1:13" x14ac:dyDescent="0.25">
      <c r="A3847" s="1" t="s">
        <v>3426</v>
      </c>
      <c r="B3847" s="1" t="s">
        <v>4092</v>
      </c>
      <c r="C3847" s="1">
        <v>23500000</v>
      </c>
      <c r="D3847" s="1" t="s">
        <v>41</v>
      </c>
      <c r="E3847">
        <v>201.76990000000001</v>
      </c>
      <c r="F3847" s="1" t="s">
        <v>161</v>
      </c>
      <c r="G3847">
        <v>268</v>
      </c>
      <c r="H3847">
        <v>82</v>
      </c>
      <c r="I3847" s="1" t="s">
        <v>46</v>
      </c>
      <c r="J3847">
        <v>4</v>
      </c>
      <c r="K3847" t="str">
        <f>IF(Tb_data[[#This Row],[previous_workers]]&lt;Tb_data[[#This Row],[workers]],"yes","no")</f>
        <v>yes</v>
      </c>
      <c r="L3847">
        <f>Tb_data[[#This Row],[workers]]-Tb_data[[#This Row],[previous_workers]]</f>
        <v>186</v>
      </c>
      <c r="M3847" s="12">
        <f>Tb_data[[#This Row],[Employees Growth]]/Tb_data[[#This Row],[previous_workers]]</f>
        <v>2.2682926829268291</v>
      </c>
    </row>
    <row r="3848" spans="1:13" x14ac:dyDescent="0.25">
      <c r="A3848" s="1" t="s">
        <v>2167</v>
      </c>
      <c r="B3848" s="1" t="s">
        <v>2168</v>
      </c>
      <c r="C3848" s="1">
        <v>5900000</v>
      </c>
      <c r="D3848" s="1" t="s">
        <v>33</v>
      </c>
      <c r="E3848">
        <v>409.59089999999998</v>
      </c>
      <c r="F3848" s="1" t="s">
        <v>172</v>
      </c>
      <c r="G3848">
        <v>28</v>
      </c>
      <c r="H3848">
        <v>8</v>
      </c>
      <c r="I3848" s="1" t="s">
        <v>130</v>
      </c>
      <c r="J3848">
        <v>1</v>
      </c>
      <c r="K3848" t="str">
        <f>IF(Tb_data[[#This Row],[previous_workers]]&lt;Tb_data[[#This Row],[workers]],"yes","no")</f>
        <v>yes</v>
      </c>
      <c r="L3848">
        <f>Tb_data[[#This Row],[workers]]-Tb_data[[#This Row],[previous_workers]]</f>
        <v>20</v>
      </c>
      <c r="M3848" s="12">
        <f>Tb_data[[#This Row],[Employees Growth]]/Tb_data[[#This Row],[previous_workers]]</f>
        <v>2.5</v>
      </c>
    </row>
    <row r="3849" spans="1:13" x14ac:dyDescent="0.25">
      <c r="A3849" s="1" t="s">
        <v>3783</v>
      </c>
      <c r="B3849" s="1" t="s">
        <v>3784</v>
      </c>
      <c r="C3849" s="1">
        <v>14100000</v>
      </c>
      <c r="D3849" s="1" t="s">
        <v>16</v>
      </c>
      <c r="E3849">
        <v>223.10509999999999</v>
      </c>
      <c r="F3849" s="1" t="s">
        <v>34</v>
      </c>
      <c r="G3849">
        <v>806</v>
      </c>
      <c r="H3849">
        <v>260</v>
      </c>
      <c r="I3849" s="1" t="s">
        <v>117</v>
      </c>
      <c r="J3849">
        <v>2</v>
      </c>
      <c r="K3849" t="str">
        <f>IF(Tb_data[[#This Row],[previous_workers]]&lt;Tb_data[[#This Row],[workers]],"yes","no")</f>
        <v>yes</v>
      </c>
      <c r="L3849">
        <f>Tb_data[[#This Row],[workers]]-Tb_data[[#This Row],[previous_workers]]</f>
        <v>546</v>
      </c>
      <c r="M3849" s="12">
        <f>Tb_data[[#This Row],[Employees Growth]]/Tb_data[[#This Row],[previous_workers]]</f>
        <v>2.1</v>
      </c>
    </row>
    <row r="3850" spans="1:13" x14ac:dyDescent="0.25">
      <c r="A3850" s="1" t="s">
        <v>9840</v>
      </c>
      <c r="B3850" s="1" t="s">
        <v>9841</v>
      </c>
      <c r="C3850" s="1">
        <v>7900000</v>
      </c>
      <c r="D3850" s="1" t="s">
        <v>427</v>
      </c>
      <c r="E3850">
        <v>56.172400000000003</v>
      </c>
      <c r="F3850" s="1" t="s">
        <v>34</v>
      </c>
      <c r="G3850">
        <v>275</v>
      </c>
      <c r="H3850">
        <v>150</v>
      </c>
      <c r="I3850" s="1" t="s">
        <v>74</v>
      </c>
      <c r="J3850">
        <v>7</v>
      </c>
      <c r="K3850" t="str">
        <f>IF(Tb_data[[#This Row],[previous_workers]]&lt;Tb_data[[#This Row],[workers]],"yes","no")</f>
        <v>yes</v>
      </c>
      <c r="L3850">
        <f>Tb_data[[#This Row],[workers]]-Tb_data[[#This Row],[previous_workers]]</f>
        <v>125</v>
      </c>
      <c r="M3850" s="12">
        <f>Tb_data[[#This Row],[Employees Growth]]/Tb_data[[#This Row],[previous_workers]]</f>
        <v>0.83333333333333337</v>
      </c>
    </row>
    <row r="3851" spans="1:13" x14ac:dyDescent="0.25">
      <c r="A3851" s="1" t="s">
        <v>5286</v>
      </c>
      <c r="B3851" s="1" t="s">
        <v>5287</v>
      </c>
      <c r="C3851" s="1">
        <v>14100000</v>
      </c>
      <c r="D3851" s="1" t="s">
        <v>91</v>
      </c>
      <c r="E3851">
        <v>150.49930000000001</v>
      </c>
      <c r="F3851" s="1" t="s">
        <v>100</v>
      </c>
      <c r="G3851">
        <v>11</v>
      </c>
      <c r="H3851">
        <v>4</v>
      </c>
      <c r="I3851" s="1" t="s">
        <v>194</v>
      </c>
      <c r="J3851">
        <v>3</v>
      </c>
      <c r="K3851" t="str">
        <f>IF(Tb_data[[#This Row],[previous_workers]]&lt;Tb_data[[#This Row],[workers]],"yes","no")</f>
        <v>yes</v>
      </c>
      <c r="L3851">
        <f>Tb_data[[#This Row],[workers]]-Tb_data[[#This Row],[previous_workers]]</f>
        <v>7</v>
      </c>
      <c r="M3851" s="12">
        <f>Tb_data[[#This Row],[Employees Growth]]/Tb_data[[#This Row],[previous_workers]]</f>
        <v>1.75</v>
      </c>
    </row>
    <row r="3852" spans="1:13" x14ac:dyDescent="0.25">
      <c r="A3852" s="1" t="s">
        <v>9359</v>
      </c>
      <c r="B3852" s="1" t="s">
        <v>9360</v>
      </c>
      <c r="C3852" s="1">
        <v>2100000</v>
      </c>
      <c r="D3852" s="1" t="s">
        <v>49</v>
      </c>
      <c r="E3852">
        <v>62.028300000000002</v>
      </c>
      <c r="F3852" s="1" t="s">
        <v>152</v>
      </c>
      <c r="G3852">
        <v>16</v>
      </c>
      <c r="H3852">
        <v>6</v>
      </c>
      <c r="I3852" s="1" t="s">
        <v>35</v>
      </c>
      <c r="J3852">
        <v>1</v>
      </c>
      <c r="K3852" t="str">
        <f>IF(Tb_data[[#This Row],[previous_workers]]&lt;Tb_data[[#This Row],[workers]],"yes","no")</f>
        <v>yes</v>
      </c>
      <c r="L3852">
        <f>Tb_data[[#This Row],[workers]]-Tb_data[[#This Row],[previous_workers]]</f>
        <v>10</v>
      </c>
      <c r="M3852" s="12">
        <f>Tb_data[[#This Row],[Employees Growth]]/Tb_data[[#This Row],[previous_workers]]</f>
        <v>1.6666666666666667</v>
      </c>
    </row>
    <row r="3853" spans="1:13" x14ac:dyDescent="0.25">
      <c r="A3853" s="1" t="s">
        <v>5244</v>
      </c>
      <c r="B3853" s="1" t="s">
        <v>5245</v>
      </c>
      <c r="C3853" s="1">
        <v>97000000</v>
      </c>
      <c r="D3853" s="1" t="s">
        <v>79</v>
      </c>
      <c r="E3853">
        <v>151.90479999999999</v>
      </c>
      <c r="F3853" s="1" t="s">
        <v>97</v>
      </c>
      <c r="G3853">
        <v>1960</v>
      </c>
      <c r="H3853">
        <v>1257</v>
      </c>
      <c r="I3853" s="1" t="s">
        <v>948</v>
      </c>
      <c r="J3853">
        <v>3</v>
      </c>
      <c r="K3853" t="str">
        <f>IF(Tb_data[[#This Row],[previous_workers]]&lt;Tb_data[[#This Row],[workers]],"yes","no")</f>
        <v>yes</v>
      </c>
      <c r="L3853">
        <f>Tb_data[[#This Row],[workers]]-Tb_data[[#This Row],[previous_workers]]</f>
        <v>703</v>
      </c>
      <c r="M3853" s="12">
        <f>Tb_data[[#This Row],[Employees Growth]]/Tb_data[[#This Row],[previous_workers]]</f>
        <v>0.55926809864757354</v>
      </c>
    </row>
    <row r="3854" spans="1:13" x14ac:dyDescent="0.25">
      <c r="A3854" s="1" t="s">
        <v>4282</v>
      </c>
      <c r="B3854" s="1" t="s">
        <v>4283</v>
      </c>
      <c r="C3854" s="1">
        <v>4400000</v>
      </c>
      <c r="D3854" s="1" t="s">
        <v>91</v>
      </c>
      <c r="E3854">
        <v>191.7296</v>
      </c>
      <c r="F3854" s="1" t="s">
        <v>12</v>
      </c>
      <c r="G3854">
        <v>25</v>
      </c>
      <c r="H3854">
        <v>10</v>
      </c>
      <c r="I3854" s="1" t="s">
        <v>55</v>
      </c>
      <c r="J3854">
        <v>3</v>
      </c>
      <c r="K3854" t="str">
        <f>IF(Tb_data[[#This Row],[previous_workers]]&lt;Tb_data[[#This Row],[workers]],"yes","no")</f>
        <v>yes</v>
      </c>
      <c r="L3854">
        <f>Tb_data[[#This Row],[workers]]-Tb_data[[#This Row],[previous_workers]]</f>
        <v>15</v>
      </c>
      <c r="M3854" s="12">
        <f>Tb_data[[#This Row],[Employees Growth]]/Tb_data[[#This Row],[previous_workers]]</f>
        <v>1.5</v>
      </c>
    </row>
    <row r="3855" spans="1:13" x14ac:dyDescent="0.25">
      <c r="A3855" s="1" t="s">
        <v>7182</v>
      </c>
      <c r="B3855" s="1" t="s">
        <v>7183</v>
      </c>
      <c r="C3855" s="1">
        <v>17300000</v>
      </c>
      <c r="D3855" s="1" t="s">
        <v>45</v>
      </c>
      <c r="E3855">
        <v>98.879000000000005</v>
      </c>
      <c r="F3855" s="1" t="s">
        <v>62</v>
      </c>
      <c r="G3855">
        <v>73</v>
      </c>
      <c r="H3855">
        <v>59</v>
      </c>
      <c r="I3855" s="1" t="s">
        <v>2225</v>
      </c>
      <c r="J3855">
        <v>6</v>
      </c>
      <c r="K3855" t="str">
        <f>IF(Tb_data[[#This Row],[previous_workers]]&lt;Tb_data[[#This Row],[workers]],"yes","no")</f>
        <v>yes</v>
      </c>
      <c r="L3855">
        <f>Tb_data[[#This Row],[workers]]-Tb_data[[#This Row],[previous_workers]]</f>
        <v>14</v>
      </c>
      <c r="M3855" s="12">
        <f>Tb_data[[#This Row],[Employees Growth]]/Tb_data[[#This Row],[previous_workers]]</f>
        <v>0.23728813559322035</v>
      </c>
    </row>
    <row r="3856" spans="1:13" x14ac:dyDescent="0.25">
      <c r="A3856" s="1" t="s">
        <v>7553</v>
      </c>
      <c r="B3856" s="1" t="s">
        <v>7554</v>
      </c>
      <c r="C3856" s="1">
        <v>10800000</v>
      </c>
      <c r="D3856" s="1" t="s">
        <v>41</v>
      </c>
      <c r="E3856">
        <v>91.632400000000004</v>
      </c>
      <c r="F3856" s="1" t="s">
        <v>135</v>
      </c>
      <c r="G3856">
        <v>52</v>
      </c>
      <c r="H3856">
        <v>30</v>
      </c>
      <c r="I3856" s="1" t="s">
        <v>130</v>
      </c>
      <c r="J3856">
        <v>4</v>
      </c>
      <c r="K3856" t="str">
        <f>IF(Tb_data[[#This Row],[previous_workers]]&lt;Tb_data[[#This Row],[workers]],"yes","no")</f>
        <v>yes</v>
      </c>
      <c r="L3856">
        <f>Tb_data[[#This Row],[workers]]-Tb_data[[#This Row],[previous_workers]]</f>
        <v>22</v>
      </c>
      <c r="M3856" s="12">
        <f>Tb_data[[#This Row],[Employees Growth]]/Tb_data[[#This Row],[previous_workers]]</f>
        <v>0.73333333333333328</v>
      </c>
    </row>
    <row r="3857" spans="1:13" x14ac:dyDescent="0.25">
      <c r="A3857" s="1" t="s">
        <v>3451</v>
      </c>
      <c r="B3857" s="1" t="s">
        <v>3452</v>
      </c>
      <c r="C3857" s="1">
        <v>69400000</v>
      </c>
      <c r="D3857" s="1" t="s">
        <v>49</v>
      </c>
      <c r="E3857">
        <v>246.4922</v>
      </c>
      <c r="F3857" s="1" t="s">
        <v>116</v>
      </c>
      <c r="G3857">
        <v>78</v>
      </c>
      <c r="H3857">
        <v>41</v>
      </c>
      <c r="I3857" s="1" t="s">
        <v>55</v>
      </c>
      <c r="J3857">
        <v>2</v>
      </c>
      <c r="K3857" t="str">
        <f>IF(Tb_data[[#This Row],[previous_workers]]&lt;Tb_data[[#This Row],[workers]],"yes","no")</f>
        <v>yes</v>
      </c>
      <c r="L3857">
        <f>Tb_data[[#This Row],[workers]]-Tb_data[[#This Row],[previous_workers]]</f>
        <v>37</v>
      </c>
      <c r="M3857" s="12">
        <f>Tb_data[[#This Row],[Employees Growth]]/Tb_data[[#This Row],[previous_workers]]</f>
        <v>0.90243902439024393</v>
      </c>
    </row>
    <row r="3858" spans="1:13" x14ac:dyDescent="0.25">
      <c r="A3858" s="1" t="s">
        <v>7529</v>
      </c>
      <c r="B3858" s="1" t="s">
        <v>7530</v>
      </c>
      <c r="C3858" s="1">
        <v>5700000</v>
      </c>
      <c r="D3858" s="1" t="s">
        <v>49</v>
      </c>
      <c r="E3858">
        <v>92.159800000000004</v>
      </c>
      <c r="F3858" s="1" t="s">
        <v>62</v>
      </c>
      <c r="G3858">
        <v>22</v>
      </c>
      <c r="H3858">
        <v>13</v>
      </c>
      <c r="I3858" s="1" t="s">
        <v>229</v>
      </c>
      <c r="J3858">
        <v>4</v>
      </c>
      <c r="K3858" t="str">
        <f>IF(Tb_data[[#This Row],[previous_workers]]&lt;Tb_data[[#This Row],[workers]],"yes","no")</f>
        <v>yes</v>
      </c>
      <c r="L3858">
        <f>Tb_data[[#This Row],[workers]]-Tb_data[[#This Row],[previous_workers]]</f>
        <v>9</v>
      </c>
      <c r="M3858" s="12">
        <f>Tb_data[[#This Row],[Employees Growth]]/Tb_data[[#This Row],[previous_workers]]</f>
        <v>0.69230769230769229</v>
      </c>
    </row>
    <row r="3859" spans="1:13" x14ac:dyDescent="0.25">
      <c r="A3859" s="1" t="s">
        <v>6711</v>
      </c>
      <c r="B3859" s="1" t="s">
        <v>6712</v>
      </c>
      <c r="C3859" s="1">
        <v>6300000</v>
      </c>
      <c r="D3859" s="1" t="s">
        <v>20</v>
      </c>
      <c r="E3859">
        <v>108.79810000000001</v>
      </c>
      <c r="F3859" s="1" t="s">
        <v>12</v>
      </c>
      <c r="G3859">
        <v>20</v>
      </c>
      <c r="H3859">
        <v>7</v>
      </c>
      <c r="I3859" s="1" t="s">
        <v>74</v>
      </c>
      <c r="J3859">
        <v>4</v>
      </c>
      <c r="K3859" t="str">
        <f>IF(Tb_data[[#This Row],[previous_workers]]&lt;Tb_data[[#This Row],[workers]],"yes","no")</f>
        <v>yes</v>
      </c>
      <c r="L3859">
        <f>Tb_data[[#This Row],[workers]]-Tb_data[[#This Row],[previous_workers]]</f>
        <v>13</v>
      </c>
      <c r="M3859" s="12">
        <f>Tb_data[[#This Row],[Employees Growth]]/Tb_data[[#This Row],[previous_workers]]</f>
        <v>1.8571428571428572</v>
      </c>
    </row>
    <row r="3860" spans="1:13" x14ac:dyDescent="0.25">
      <c r="A3860" s="1" t="s">
        <v>7563</v>
      </c>
      <c r="B3860" s="1" t="s">
        <v>7564</v>
      </c>
      <c r="C3860" s="1">
        <v>113400000</v>
      </c>
      <c r="D3860" s="1" t="s">
        <v>123</v>
      </c>
      <c r="E3860">
        <v>91.3202</v>
      </c>
      <c r="F3860" s="1" t="s">
        <v>156</v>
      </c>
      <c r="G3860">
        <v>457</v>
      </c>
      <c r="H3860">
        <v>277</v>
      </c>
      <c r="I3860" s="1" t="s">
        <v>1356</v>
      </c>
      <c r="J3860">
        <v>11</v>
      </c>
      <c r="K3860" t="str">
        <f>IF(Tb_data[[#This Row],[previous_workers]]&lt;Tb_data[[#This Row],[workers]],"yes","no")</f>
        <v>yes</v>
      </c>
      <c r="L3860">
        <f>Tb_data[[#This Row],[workers]]-Tb_data[[#This Row],[previous_workers]]</f>
        <v>180</v>
      </c>
      <c r="M3860" s="12">
        <f>Tb_data[[#This Row],[Employees Growth]]/Tb_data[[#This Row],[previous_workers]]</f>
        <v>0.64981949458483756</v>
      </c>
    </row>
    <row r="3861" spans="1:13" x14ac:dyDescent="0.25">
      <c r="A3861" s="1" t="s">
        <v>8841</v>
      </c>
      <c r="B3861" s="1" t="s">
        <v>8842</v>
      </c>
      <c r="C3861" s="1">
        <v>8500000</v>
      </c>
      <c r="D3861" s="1" t="s">
        <v>123</v>
      </c>
      <c r="E3861">
        <v>68.825299999999999</v>
      </c>
      <c r="F3861" s="1" t="s">
        <v>25</v>
      </c>
      <c r="G3861">
        <v>56</v>
      </c>
      <c r="H3861">
        <v>38</v>
      </c>
      <c r="I3861" s="1" t="s">
        <v>2676</v>
      </c>
      <c r="J3861">
        <v>5</v>
      </c>
      <c r="K3861" t="str">
        <f>IF(Tb_data[[#This Row],[previous_workers]]&lt;Tb_data[[#This Row],[workers]],"yes","no")</f>
        <v>yes</v>
      </c>
      <c r="L3861">
        <f>Tb_data[[#This Row],[workers]]-Tb_data[[#This Row],[previous_workers]]</f>
        <v>18</v>
      </c>
      <c r="M3861" s="12">
        <f>Tb_data[[#This Row],[Employees Growth]]/Tb_data[[#This Row],[previous_workers]]</f>
        <v>0.47368421052631576</v>
      </c>
    </row>
    <row r="3862" spans="1:13" x14ac:dyDescent="0.25">
      <c r="A3862" s="1" t="s">
        <v>1072</v>
      </c>
      <c r="B3862" s="1" t="s">
        <v>1073</v>
      </c>
      <c r="C3862" s="1">
        <v>59400000</v>
      </c>
      <c r="D3862" s="1" t="s">
        <v>49</v>
      </c>
      <c r="E3862">
        <v>903.18910000000005</v>
      </c>
      <c r="F3862" s="1" t="s">
        <v>86</v>
      </c>
      <c r="G3862">
        <v>574</v>
      </c>
      <c r="H3862">
        <v>85</v>
      </c>
      <c r="I3862" s="1" t="s">
        <v>130</v>
      </c>
      <c r="J3862">
        <v>1</v>
      </c>
      <c r="K3862" t="str">
        <f>IF(Tb_data[[#This Row],[previous_workers]]&lt;Tb_data[[#This Row],[workers]],"yes","no")</f>
        <v>yes</v>
      </c>
      <c r="L3862">
        <f>Tb_data[[#This Row],[workers]]-Tb_data[[#This Row],[previous_workers]]</f>
        <v>489</v>
      </c>
      <c r="M3862" s="12">
        <f>Tb_data[[#This Row],[Employees Growth]]/Tb_data[[#This Row],[previous_workers]]</f>
        <v>5.7529411764705882</v>
      </c>
    </row>
    <row r="3863" spans="1:13" x14ac:dyDescent="0.25">
      <c r="A3863" s="1" t="s">
        <v>8235</v>
      </c>
      <c r="B3863" s="1" t="s">
        <v>8236</v>
      </c>
      <c r="C3863" s="1">
        <v>13400000</v>
      </c>
      <c r="D3863" s="1" t="s">
        <v>20</v>
      </c>
      <c r="E3863">
        <v>78.734499999999997</v>
      </c>
      <c r="F3863" s="1" t="s">
        <v>156</v>
      </c>
      <c r="G3863">
        <v>139</v>
      </c>
      <c r="H3863">
        <v>50</v>
      </c>
      <c r="I3863" s="1" t="s">
        <v>164</v>
      </c>
      <c r="J3863">
        <v>5</v>
      </c>
      <c r="K3863" t="str">
        <f>IF(Tb_data[[#This Row],[previous_workers]]&lt;Tb_data[[#This Row],[workers]],"yes","no")</f>
        <v>yes</v>
      </c>
      <c r="L3863">
        <f>Tb_data[[#This Row],[workers]]-Tb_data[[#This Row],[previous_workers]]</f>
        <v>89</v>
      </c>
      <c r="M3863" s="12">
        <f>Tb_data[[#This Row],[Employees Growth]]/Tb_data[[#This Row],[previous_workers]]</f>
        <v>1.78</v>
      </c>
    </row>
    <row r="3864" spans="1:13" x14ac:dyDescent="0.25">
      <c r="A3864" s="1" t="s">
        <v>370</v>
      </c>
      <c r="B3864" s="1" t="s">
        <v>371</v>
      </c>
      <c r="C3864" s="1">
        <v>9200000</v>
      </c>
      <c r="D3864" s="1" t="s">
        <v>236</v>
      </c>
      <c r="E3864">
        <v>2540.4144999999999</v>
      </c>
      <c r="F3864" s="1" t="s">
        <v>17</v>
      </c>
      <c r="G3864">
        <v>18</v>
      </c>
      <c r="H3864">
        <v>1</v>
      </c>
      <c r="I3864" s="1" t="s">
        <v>372</v>
      </c>
      <c r="J3864">
        <v>1</v>
      </c>
      <c r="K3864" t="str">
        <f>IF(Tb_data[[#This Row],[previous_workers]]&lt;Tb_data[[#This Row],[workers]],"yes","no")</f>
        <v>yes</v>
      </c>
      <c r="L3864">
        <f>Tb_data[[#This Row],[workers]]-Tb_data[[#This Row],[previous_workers]]</f>
        <v>17</v>
      </c>
      <c r="M3864" s="12">
        <f>Tb_data[[#This Row],[Employees Growth]]/Tb_data[[#This Row],[previous_workers]]</f>
        <v>17</v>
      </c>
    </row>
    <row r="3865" spans="1:13" x14ac:dyDescent="0.25">
      <c r="A3865" s="1" t="s">
        <v>475</v>
      </c>
      <c r="B3865" s="1" t="s">
        <v>476</v>
      </c>
      <c r="C3865" s="1">
        <v>3600000</v>
      </c>
      <c r="D3865" s="1" t="s">
        <v>49</v>
      </c>
      <c r="E3865">
        <v>2037.4483</v>
      </c>
      <c r="F3865" s="1" t="s">
        <v>100</v>
      </c>
      <c r="G3865">
        <v>62</v>
      </c>
      <c r="H3865">
        <v>5</v>
      </c>
      <c r="I3865" s="1" t="s">
        <v>26</v>
      </c>
      <c r="J3865">
        <v>1</v>
      </c>
      <c r="K3865" t="str">
        <f>IF(Tb_data[[#This Row],[previous_workers]]&lt;Tb_data[[#This Row],[workers]],"yes","no")</f>
        <v>yes</v>
      </c>
      <c r="L3865">
        <f>Tb_data[[#This Row],[workers]]-Tb_data[[#This Row],[previous_workers]]</f>
        <v>57</v>
      </c>
      <c r="M3865" s="12">
        <f>Tb_data[[#This Row],[Employees Growth]]/Tb_data[[#This Row],[previous_workers]]</f>
        <v>11.4</v>
      </c>
    </row>
    <row r="3866" spans="1:13" x14ac:dyDescent="0.25">
      <c r="A3866" s="1" t="s">
        <v>1529</v>
      </c>
      <c r="B3866" s="1" t="s">
        <v>1530</v>
      </c>
      <c r="C3866" s="1">
        <v>101300000</v>
      </c>
      <c r="D3866" s="1" t="s">
        <v>254</v>
      </c>
      <c r="E3866">
        <v>613.43719999999996</v>
      </c>
      <c r="F3866" s="1" t="s">
        <v>124</v>
      </c>
      <c r="G3866">
        <v>437</v>
      </c>
      <c r="H3866">
        <v>115</v>
      </c>
      <c r="I3866" s="1" t="s">
        <v>164</v>
      </c>
      <c r="J3866">
        <v>2</v>
      </c>
      <c r="K3866" t="str">
        <f>IF(Tb_data[[#This Row],[previous_workers]]&lt;Tb_data[[#This Row],[workers]],"yes","no")</f>
        <v>yes</v>
      </c>
      <c r="L3866">
        <f>Tb_data[[#This Row],[workers]]-Tb_data[[#This Row],[previous_workers]]</f>
        <v>322</v>
      </c>
      <c r="M3866" s="12">
        <f>Tb_data[[#This Row],[Employees Growth]]/Tb_data[[#This Row],[previous_workers]]</f>
        <v>2.8</v>
      </c>
    </row>
    <row r="3867" spans="1:13" x14ac:dyDescent="0.25">
      <c r="A3867" s="1" t="s">
        <v>1789</v>
      </c>
      <c r="B3867" s="1" t="s">
        <v>1790</v>
      </c>
      <c r="C3867" s="1">
        <v>5500000</v>
      </c>
      <c r="D3867" s="1" t="s">
        <v>45</v>
      </c>
      <c r="E3867">
        <v>503.41300000000001</v>
      </c>
      <c r="F3867" s="1" t="s">
        <v>30</v>
      </c>
      <c r="G3867">
        <v>65</v>
      </c>
      <c r="H3867">
        <v>20</v>
      </c>
      <c r="I3867" s="1" t="s">
        <v>55</v>
      </c>
      <c r="J3867">
        <v>2</v>
      </c>
      <c r="K3867" t="str">
        <f>IF(Tb_data[[#This Row],[previous_workers]]&lt;Tb_data[[#This Row],[workers]],"yes","no")</f>
        <v>yes</v>
      </c>
      <c r="L3867">
        <f>Tb_data[[#This Row],[workers]]-Tb_data[[#This Row],[previous_workers]]</f>
        <v>45</v>
      </c>
      <c r="M3867" s="12">
        <f>Tb_data[[#This Row],[Employees Growth]]/Tb_data[[#This Row],[previous_workers]]</f>
        <v>2.25</v>
      </c>
    </row>
    <row r="3868" spans="1:13" x14ac:dyDescent="0.25">
      <c r="A3868" s="1" t="s">
        <v>1418</v>
      </c>
      <c r="B3868" s="1" t="s">
        <v>1419</v>
      </c>
      <c r="C3868" s="1">
        <v>2200000</v>
      </c>
      <c r="D3868" s="1" t="s">
        <v>49</v>
      </c>
      <c r="E3868">
        <v>667.80899999999997</v>
      </c>
      <c r="F3868" s="1" t="s">
        <v>124</v>
      </c>
      <c r="G3868">
        <v>7</v>
      </c>
      <c r="H3868">
        <v>2</v>
      </c>
      <c r="I3868" s="1" t="s">
        <v>35</v>
      </c>
      <c r="J3868">
        <v>1</v>
      </c>
      <c r="K3868" t="str">
        <f>IF(Tb_data[[#This Row],[previous_workers]]&lt;Tb_data[[#This Row],[workers]],"yes","no")</f>
        <v>yes</v>
      </c>
      <c r="L3868">
        <f>Tb_data[[#This Row],[workers]]-Tb_data[[#This Row],[previous_workers]]</f>
        <v>5</v>
      </c>
      <c r="M3868" s="12">
        <f>Tb_data[[#This Row],[Employees Growth]]/Tb_data[[#This Row],[previous_workers]]</f>
        <v>2.5</v>
      </c>
    </row>
    <row r="3869" spans="1:13" x14ac:dyDescent="0.25">
      <c r="A3869" s="1" t="s">
        <v>2165</v>
      </c>
      <c r="B3869" s="1" t="s">
        <v>2166</v>
      </c>
      <c r="C3869" s="1">
        <v>44300000</v>
      </c>
      <c r="D3869" s="1" t="s">
        <v>29</v>
      </c>
      <c r="E3869">
        <v>409.77589999999998</v>
      </c>
      <c r="F3869" s="1" t="s">
        <v>94</v>
      </c>
      <c r="G3869">
        <v>342</v>
      </c>
      <c r="H3869">
        <v>94</v>
      </c>
      <c r="I3869" s="1" t="s">
        <v>26</v>
      </c>
      <c r="J3869">
        <v>2</v>
      </c>
      <c r="K3869" t="str">
        <f>IF(Tb_data[[#This Row],[previous_workers]]&lt;Tb_data[[#This Row],[workers]],"yes","no")</f>
        <v>yes</v>
      </c>
      <c r="L3869">
        <f>Tb_data[[#This Row],[workers]]-Tb_data[[#This Row],[previous_workers]]</f>
        <v>248</v>
      </c>
      <c r="M3869" s="12">
        <f>Tb_data[[#This Row],[Employees Growth]]/Tb_data[[#This Row],[previous_workers]]</f>
        <v>2.6382978723404253</v>
      </c>
    </row>
    <row r="3870" spans="1:13" x14ac:dyDescent="0.25">
      <c r="A3870" s="1" t="s">
        <v>6331</v>
      </c>
      <c r="B3870" s="1" t="s">
        <v>6332</v>
      </c>
      <c r="C3870" s="1">
        <v>5400000</v>
      </c>
      <c r="D3870" s="1" t="s">
        <v>500</v>
      </c>
      <c r="E3870">
        <v>117.80329999999999</v>
      </c>
      <c r="F3870" s="1" t="s">
        <v>34</v>
      </c>
      <c r="G3870">
        <v>55</v>
      </c>
      <c r="H3870">
        <v>30</v>
      </c>
      <c r="I3870" s="1" t="s">
        <v>55</v>
      </c>
      <c r="J3870">
        <v>1</v>
      </c>
      <c r="K3870" t="str">
        <f>IF(Tb_data[[#This Row],[previous_workers]]&lt;Tb_data[[#This Row],[workers]],"yes","no")</f>
        <v>yes</v>
      </c>
      <c r="L3870">
        <f>Tb_data[[#This Row],[workers]]-Tb_data[[#This Row],[previous_workers]]</f>
        <v>25</v>
      </c>
      <c r="M3870" s="12">
        <f>Tb_data[[#This Row],[Employees Growth]]/Tb_data[[#This Row],[previous_workers]]</f>
        <v>0.83333333333333337</v>
      </c>
    </row>
    <row r="3871" spans="1:13" x14ac:dyDescent="0.25">
      <c r="A3871" s="1" t="s">
        <v>6111</v>
      </c>
      <c r="B3871" s="1" t="s">
        <v>6112</v>
      </c>
      <c r="C3871" s="1">
        <v>11200000</v>
      </c>
      <c r="D3871" s="1" t="s">
        <v>58</v>
      </c>
      <c r="E3871">
        <v>123.39830000000001</v>
      </c>
      <c r="F3871" s="1" t="s">
        <v>12</v>
      </c>
      <c r="G3871">
        <v>93</v>
      </c>
      <c r="H3871">
        <v>48</v>
      </c>
      <c r="I3871" s="1" t="s">
        <v>35</v>
      </c>
      <c r="J3871">
        <v>5</v>
      </c>
      <c r="K3871" t="str">
        <f>IF(Tb_data[[#This Row],[previous_workers]]&lt;Tb_data[[#This Row],[workers]],"yes","no")</f>
        <v>yes</v>
      </c>
      <c r="L3871">
        <f>Tb_data[[#This Row],[workers]]-Tb_data[[#This Row],[previous_workers]]</f>
        <v>45</v>
      </c>
      <c r="M3871" s="12">
        <f>Tb_data[[#This Row],[Employees Growth]]/Tb_data[[#This Row],[previous_workers]]</f>
        <v>0.9375</v>
      </c>
    </row>
    <row r="3872" spans="1:13" x14ac:dyDescent="0.25">
      <c r="A3872" s="1" t="s">
        <v>5124</v>
      </c>
      <c r="B3872" s="1" t="s">
        <v>5125</v>
      </c>
      <c r="C3872" s="1">
        <v>28000000</v>
      </c>
      <c r="D3872" s="1" t="s">
        <v>33</v>
      </c>
      <c r="E3872">
        <v>156.7364</v>
      </c>
      <c r="F3872" s="1" t="s">
        <v>124</v>
      </c>
      <c r="G3872">
        <v>85</v>
      </c>
      <c r="H3872">
        <v>22</v>
      </c>
      <c r="I3872" s="1" t="s">
        <v>46</v>
      </c>
      <c r="J3872">
        <v>5</v>
      </c>
      <c r="K3872" t="str">
        <f>IF(Tb_data[[#This Row],[previous_workers]]&lt;Tb_data[[#This Row],[workers]],"yes","no")</f>
        <v>yes</v>
      </c>
      <c r="L3872">
        <f>Tb_data[[#This Row],[workers]]-Tb_data[[#This Row],[previous_workers]]</f>
        <v>63</v>
      </c>
      <c r="M3872" s="12">
        <f>Tb_data[[#This Row],[Employees Growth]]/Tb_data[[#This Row],[previous_workers]]</f>
        <v>2.8636363636363638</v>
      </c>
    </row>
    <row r="3873" spans="1:13" x14ac:dyDescent="0.25">
      <c r="A3873" s="1" t="s">
        <v>2474</v>
      </c>
      <c r="B3873" s="1" t="s">
        <v>2475</v>
      </c>
      <c r="C3873" s="1">
        <v>6400000</v>
      </c>
      <c r="D3873" s="1" t="s">
        <v>175</v>
      </c>
      <c r="E3873">
        <v>352.15339999999998</v>
      </c>
      <c r="F3873" s="1" t="s">
        <v>514</v>
      </c>
      <c r="G3873">
        <v>31</v>
      </c>
      <c r="H3873">
        <v>13</v>
      </c>
      <c r="I3873" s="1" t="s">
        <v>226</v>
      </c>
      <c r="J3873">
        <v>7</v>
      </c>
      <c r="K3873" t="str">
        <f>IF(Tb_data[[#This Row],[previous_workers]]&lt;Tb_data[[#This Row],[workers]],"yes","no")</f>
        <v>yes</v>
      </c>
      <c r="L3873">
        <f>Tb_data[[#This Row],[workers]]-Tb_data[[#This Row],[previous_workers]]</f>
        <v>18</v>
      </c>
      <c r="M3873" s="12">
        <f>Tb_data[[#This Row],[Employees Growth]]/Tb_data[[#This Row],[previous_workers]]</f>
        <v>1.3846153846153846</v>
      </c>
    </row>
    <row r="3874" spans="1:13" x14ac:dyDescent="0.25">
      <c r="A3874" s="1" t="s">
        <v>4957</v>
      </c>
      <c r="B3874" s="1" t="s">
        <v>4959</v>
      </c>
      <c r="C3874" s="1">
        <v>23100000</v>
      </c>
      <c r="D3874" s="1" t="s">
        <v>115</v>
      </c>
      <c r="E3874">
        <v>163.72550000000001</v>
      </c>
      <c r="F3874" s="1" t="s">
        <v>124</v>
      </c>
      <c r="G3874">
        <v>34</v>
      </c>
      <c r="H3874">
        <v>12</v>
      </c>
      <c r="I3874" s="1" t="s">
        <v>55</v>
      </c>
      <c r="J3874">
        <v>2</v>
      </c>
      <c r="K3874" t="str">
        <f>IF(Tb_data[[#This Row],[previous_workers]]&lt;Tb_data[[#This Row],[workers]],"yes","no")</f>
        <v>yes</v>
      </c>
      <c r="L3874">
        <f>Tb_data[[#This Row],[workers]]-Tb_data[[#This Row],[previous_workers]]</f>
        <v>22</v>
      </c>
      <c r="M3874" s="12">
        <f>Tb_data[[#This Row],[Employees Growth]]/Tb_data[[#This Row],[previous_workers]]</f>
        <v>1.8333333333333333</v>
      </c>
    </row>
    <row r="3875" spans="1:13" x14ac:dyDescent="0.25">
      <c r="A3875" s="1" t="s">
        <v>259</v>
      </c>
      <c r="B3875" s="1" t="s">
        <v>260</v>
      </c>
      <c r="C3875" s="1">
        <v>6600000</v>
      </c>
      <c r="D3875" s="1" t="s">
        <v>123</v>
      </c>
      <c r="E3875">
        <v>3399.5282000000002</v>
      </c>
      <c r="F3875" s="1" t="s">
        <v>30</v>
      </c>
      <c r="G3875">
        <v>25</v>
      </c>
      <c r="H3875">
        <v>3</v>
      </c>
      <c r="I3875" s="1" t="s">
        <v>55</v>
      </c>
      <c r="J3875">
        <v>2</v>
      </c>
      <c r="K3875" t="str">
        <f>IF(Tb_data[[#This Row],[previous_workers]]&lt;Tb_data[[#This Row],[workers]],"yes","no")</f>
        <v>yes</v>
      </c>
      <c r="L3875">
        <f>Tb_data[[#This Row],[workers]]-Tb_data[[#This Row],[previous_workers]]</f>
        <v>22</v>
      </c>
      <c r="M3875" s="12">
        <f>Tb_data[[#This Row],[Employees Growth]]/Tb_data[[#This Row],[previous_workers]]</f>
        <v>7.333333333333333</v>
      </c>
    </row>
    <row r="3876" spans="1:13" x14ac:dyDescent="0.25">
      <c r="A3876" s="1" t="s">
        <v>5036</v>
      </c>
      <c r="B3876" s="1" t="s">
        <v>5037</v>
      </c>
      <c r="C3876" s="1">
        <v>3800000</v>
      </c>
      <c r="D3876" s="1" t="s">
        <v>49</v>
      </c>
      <c r="E3876">
        <v>160.18549999999999</v>
      </c>
      <c r="F3876" s="1" t="s">
        <v>142</v>
      </c>
      <c r="G3876">
        <v>20</v>
      </c>
      <c r="H3876">
        <v>10</v>
      </c>
      <c r="I3876" s="1" t="s">
        <v>130</v>
      </c>
      <c r="J3876">
        <v>1</v>
      </c>
      <c r="K3876" t="str">
        <f>IF(Tb_data[[#This Row],[previous_workers]]&lt;Tb_data[[#This Row],[workers]],"yes","no")</f>
        <v>yes</v>
      </c>
      <c r="L3876">
        <f>Tb_data[[#This Row],[workers]]-Tb_data[[#This Row],[previous_workers]]</f>
        <v>10</v>
      </c>
      <c r="M3876" s="12">
        <f>Tb_data[[#This Row],[Employees Growth]]/Tb_data[[#This Row],[previous_workers]]</f>
        <v>1</v>
      </c>
    </row>
    <row r="3877" spans="1:13" x14ac:dyDescent="0.25">
      <c r="A3877" s="1" t="s">
        <v>7459</v>
      </c>
      <c r="B3877" s="1" t="s">
        <v>7460</v>
      </c>
      <c r="C3877" s="1">
        <v>45300000</v>
      </c>
      <c r="D3877" s="1" t="s">
        <v>427</v>
      </c>
      <c r="E3877">
        <v>94.16</v>
      </c>
      <c r="F3877" s="1" t="s">
        <v>172</v>
      </c>
      <c r="G3877">
        <v>344</v>
      </c>
      <c r="H3877">
        <v>168</v>
      </c>
      <c r="I3877" s="1" t="s">
        <v>3673</v>
      </c>
      <c r="J3877">
        <v>6</v>
      </c>
      <c r="K3877" t="str">
        <f>IF(Tb_data[[#This Row],[previous_workers]]&lt;Tb_data[[#This Row],[workers]],"yes","no")</f>
        <v>yes</v>
      </c>
      <c r="L3877">
        <f>Tb_data[[#This Row],[workers]]-Tb_data[[#This Row],[previous_workers]]</f>
        <v>176</v>
      </c>
      <c r="M3877" s="12">
        <f>Tb_data[[#This Row],[Employees Growth]]/Tb_data[[#This Row],[previous_workers]]</f>
        <v>1.0476190476190477</v>
      </c>
    </row>
    <row r="3878" spans="1:13" x14ac:dyDescent="0.25">
      <c r="A3878" s="1" t="s">
        <v>1732</v>
      </c>
      <c r="B3878" s="1" t="s">
        <v>1733</v>
      </c>
      <c r="C3878" s="1">
        <v>7200000</v>
      </c>
      <c r="D3878" s="1" t="s">
        <v>49</v>
      </c>
      <c r="E3878">
        <v>525.95240000000001</v>
      </c>
      <c r="F3878" s="1" t="s">
        <v>161</v>
      </c>
      <c r="G3878">
        <v>56</v>
      </c>
      <c r="H3878">
        <v>12</v>
      </c>
      <c r="I3878" s="1" t="s">
        <v>1051</v>
      </c>
      <c r="J3878">
        <v>2</v>
      </c>
      <c r="K3878" t="str">
        <f>IF(Tb_data[[#This Row],[previous_workers]]&lt;Tb_data[[#This Row],[workers]],"yes","no")</f>
        <v>yes</v>
      </c>
      <c r="L3878">
        <f>Tb_data[[#This Row],[workers]]-Tb_data[[#This Row],[previous_workers]]</f>
        <v>44</v>
      </c>
      <c r="M3878" s="12">
        <f>Tb_data[[#This Row],[Employees Growth]]/Tb_data[[#This Row],[previous_workers]]</f>
        <v>3.6666666666666665</v>
      </c>
    </row>
    <row r="3879" spans="1:13" x14ac:dyDescent="0.25">
      <c r="A3879" s="1" t="s">
        <v>7467</v>
      </c>
      <c r="B3879" s="1" t="s">
        <v>7468</v>
      </c>
      <c r="C3879" s="1">
        <v>5200000</v>
      </c>
      <c r="D3879" s="1" t="s">
        <v>45</v>
      </c>
      <c r="E3879">
        <v>94.008099999999999</v>
      </c>
      <c r="F3879" s="1" t="s">
        <v>156</v>
      </c>
      <c r="G3879">
        <v>25</v>
      </c>
      <c r="H3879">
        <v>20</v>
      </c>
      <c r="I3879" s="1" t="s">
        <v>2225</v>
      </c>
      <c r="J3879">
        <v>1</v>
      </c>
      <c r="K3879" t="str">
        <f>IF(Tb_data[[#This Row],[previous_workers]]&lt;Tb_data[[#This Row],[workers]],"yes","no")</f>
        <v>yes</v>
      </c>
      <c r="L3879">
        <f>Tb_data[[#This Row],[workers]]-Tb_data[[#This Row],[previous_workers]]</f>
        <v>5</v>
      </c>
      <c r="M3879" s="12">
        <f>Tb_data[[#This Row],[Employees Growth]]/Tb_data[[#This Row],[previous_workers]]</f>
        <v>0.25</v>
      </c>
    </row>
    <row r="3880" spans="1:13" x14ac:dyDescent="0.25">
      <c r="A3880" s="1" t="s">
        <v>271</v>
      </c>
      <c r="B3880" s="1" t="s">
        <v>272</v>
      </c>
      <c r="C3880" s="1">
        <v>34200000</v>
      </c>
      <c r="D3880" s="1" t="s">
        <v>254</v>
      </c>
      <c r="E3880">
        <v>3325.7138</v>
      </c>
      <c r="F3880" s="1" t="s">
        <v>17</v>
      </c>
      <c r="G3880">
        <v>450</v>
      </c>
      <c r="H3880">
        <v>25</v>
      </c>
      <c r="I3880" s="1" t="s">
        <v>26</v>
      </c>
      <c r="J3880">
        <v>1</v>
      </c>
      <c r="K3880" t="str">
        <f>IF(Tb_data[[#This Row],[previous_workers]]&lt;Tb_data[[#This Row],[workers]],"yes","no")</f>
        <v>yes</v>
      </c>
      <c r="L3880">
        <f>Tb_data[[#This Row],[workers]]-Tb_data[[#This Row],[previous_workers]]</f>
        <v>425</v>
      </c>
      <c r="M3880" s="12">
        <f>Tb_data[[#This Row],[Employees Growth]]/Tb_data[[#This Row],[previous_workers]]</f>
        <v>17</v>
      </c>
    </row>
    <row r="3881" spans="1:13" x14ac:dyDescent="0.25">
      <c r="A3881" s="1" t="s">
        <v>1680</v>
      </c>
      <c r="B3881" s="1" t="s">
        <v>1681</v>
      </c>
      <c r="C3881" s="1">
        <v>114500000</v>
      </c>
      <c r="D3881" s="1" t="s">
        <v>91</v>
      </c>
      <c r="E3881">
        <v>548.44849999999997</v>
      </c>
      <c r="F3881" s="1" t="s">
        <v>17</v>
      </c>
      <c r="G3881">
        <v>465</v>
      </c>
      <c r="H3881">
        <v>122</v>
      </c>
      <c r="I3881" s="1" t="s">
        <v>194</v>
      </c>
      <c r="J3881">
        <v>3</v>
      </c>
      <c r="K3881" t="str">
        <f>IF(Tb_data[[#This Row],[previous_workers]]&lt;Tb_data[[#This Row],[workers]],"yes","no")</f>
        <v>yes</v>
      </c>
      <c r="L3881">
        <f>Tb_data[[#This Row],[workers]]-Tb_data[[#This Row],[previous_workers]]</f>
        <v>343</v>
      </c>
      <c r="M3881" s="12">
        <f>Tb_data[[#This Row],[Employees Growth]]/Tb_data[[#This Row],[previous_workers]]</f>
        <v>2.8114754098360657</v>
      </c>
    </row>
    <row r="3882" spans="1:13" x14ac:dyDescent="0.25">
      <c r="A3882" s="1" t="s">
        <v>388</v>
      </c>
      <c r="B3882" s="1" t="s">
        <v>389</v>
      </c>
      <c r="C3882" s="1">
        <v>28400000</v>
      </c>
      <c r="D3882" s="1" t="s">
        <v>33</v>
      </c>
      <c r="E3882">
        <v>2470.116</v>
      </c>
      <c r="F3882" s="1" t="s">
        <v>17</v>
      </c>
      <c r="G3882">
        <v>350</v>
      </c>
      <c r="H3882">
        <v>30</v>
      </c>
      <c r="I3882" s="1" t="s">
        <v>26</v>
      </c>
      <c r="J3882">
        <v>2</v>
      </c>
      <c r="K3882" t="str">
        <f>IF(Tb_data[[#This Row],[previous_workers]]&lt;Tb_data[[#This Row],[workers]],"yes","no")</f>
        <v>yes</v>
      </c>
      <c r="L3882">
        <f>Tb_data[[#This Row],[workers]]-Tb_data[[#This Row],[previous_workers]]</f>
        <v>320</v>
      </c>
      <c r="M3882" s="12">
        <f>Tb_data[[#This Row],[Employees Growth]]/Tb_data[[#This Row],[previous_workers]]</f>
        <v>10.666666666666666</v>
      </c>
    </row>
    <row r="3883" spans="1:13" x14ac:dyDescent="0.25">
      <c r="A3883" s="1" t="s">
        <v>9882</v>
      </c>
      <c r="B3883" s="1" t="s">
        <v>9883</v>
      </c>
      <c r="C3883" s="1">
        <v>12600000</v>
      </c>
      <c r="D3883" s="1" t="s">
        <v>52</v>
      </c>
      <c r="E3883">
        <v>55.524799999999999</v>
      </c>
      <c r="F3883" s="1" t="s">
        <v>34</v>
      </c>
      <c r="G3883">
        <v>30</v>
      </c>
      <c r="H3883">
        <v>9</v>
      </c>
      <c r="I3883" s="1" t="s">
        <v>1051</v>
      </c>
      <c r="J3883">
        <v>6</v>
      </c>
      <c r="K3883" t="str">
        <f>IF(Tb_data[[#This Row],[previous_workers]]&lt;Tb_data[[#This Row],[workers]],"yes","no")</f>
        <v>yes</v>
      </c>
      <c r="L3883">
        <f>Tb_data[[#This Row],[workers]]-Tb_data[[#This Row],[previous_workers]]</f>
        <v>21</v>
      </c>
      <c r="M3883" s="12">
        <f>Tb_data[[#This Row],[Employees Growth]]/Tb_data[[#This Row],[previous_workers]]</f>
        <v>2.3333333333333335</v>
      </c>
    </row>
    <row r="3884" spans="1:13" x14ac:dyDescent="0.25">
      <c r="A3884" s="1" t="s">
        <v>3081</v>
      </c>
      <c r="B3884" s="1" t="s">
        <v>3082</v>
      </c>
      <c r="C3884" s="1">
        <v>3600000</v>
      </c>
      <c r="D3884" s="1" t="s">
        <v>1557</v>
      </c>
      <c r="E3884">
        <v>279.04610000000002</v>
      </c>
      <c r="F3884" s="1" t="s">
        <v>30</v>
      </c>
      <c r="G3884">
        <v>7</v>
      </c>
      <c r="H3884">
        <v>2</v>
      </c>
      <c r="I3884" s="1" t="s">
        <v>74</v>
      </c>
      <c r="J3884">
        <v>2</v>
      </c>
      <c r="K3884" t="str">
        <f>IF(Tb_data[[#This Row],[previous_workers]]&lt;Tb_data[[#This Row],[workers]],"yes","no")</f>
        <v>yes</v>
      </c>
      <c r="L3884">
        <f>Tb_data[[#This Row],[workers]]-Tb_data[[#This Row],[previous_workers]]</f>
        <v>5</v>
      </c>
      <c r="M3884" s="12">
        <f>Tb_data[[#This Row],[Employees Growth]]/Tb_data[[#This Row],[previous_workers]]</f>
        <v>2.5</v>
      </c>
    </row>
    <row r="3885" spans="1:13" x14ac:dyDescent="0.25">
      <c r="A3885" s="1" t="s">
        <v>2213</v>
      </c>
      <c r="B3885" s="1" t="s">
        <v>2214</v>
      </c>
      <c r="C3885" s="1">
        <v>4100000</v>
      </c>
      <c r="D3885" s="1" t="s">
        <v>41</v>
      </c>
      <c r="E3885">
        <v>398.88139999999999</v>
      </c>
      <c r="F3885" s="1" t="s">
        <v>86</v>
      </c>
      <c r="G3885">
        <v>38</v>
      </c>
      <c r="H3885">
        <v>12</v>
      </c>
      <c r="I3885" s="1" t="s">
        <v>117</v>
      </c>
      <c r="J3885">
        <v>3</v>
      </c>
      <c r="K3885" t="str">
        <f>IF(Tb_data[[#This Row],[previous_workers]]&lt;Tb_data[[#This Row],[workers]],"yes","no")</f>
        <v>yes</v>
      </c>
      <c r="L3885">
        <f>Tb_data[[#This Row],[workers]]-Tb_data[[#This Row],[previous_workers]]</f>
        <v>26</v>
      </c>
      <c r="M3885" s="12">
        <f>Tb_data[[#This Row],[Employees Growth]]/Tb_data[[#This Row],[previous_workers]]</f>
        <v>2.1666666666666665</v>
      </c>
    </row>
    <row r="3886" spans="1:13" x14ac:dyDescent="0.25">
      <c r="A3886" s="1" t="s">
        <v>790</v>
      </c>
      <c r="B3886" s="1" t="s">
        <v>791</v>
      </c>
      <c r="C3886" s="1">
        <v>2300000</v>
      </c>
      <c r="D3886" s="1" t="s">
        <v>49</v>
      </c>
      <c r="E3886">
        <v>1313.9536000000001</v>
      </c>
      <c r="F3886" s="1" t="s">
        <v>86</v>
      </c>
      <c r="G3886">
        <v>19</v>
      </c>
      <c r="H3886">
        <v>4</v>
      </c>
      <c r="I3886" s="1" t="s">
        <v>130</v>
      </c>
      <c r="J3886">
        <v>1</v>
      </c>
      <c r="K3886" t="str">
        <f>IF(Tb_data[[#This Row],[previous_workers]]&lt;Tb_data[[#This Row],[workers]],"yes","no")</f>
        <v>yes</v>
      </c>
      <c r="L3886">
        <f>Tb_data[[#This Row],[workers]]-Tb_data[[#This Row],[previous_workers]]</f>
        <v>15</v>
      </c>
      <c r="M3886" s="12">
        <f>Tb_data[[#This Row],[Employees Growth]]/Tb_data[[#This Row],[previous_workers]]</f>
        <v>3.75</v>
      </c>
    </row>
    <row r="3887" spans="1:13" x14ac:dyDescent="0.25">
      <c r="A3887" s="1" t="s">
        <v>9590</v>
      </c>
      <c r="B3887" s="1" t="s">
        <v>9591</v>
      </c>
      <c r="C3887" s="1">
        <v>113500000</v>
      </c>
      <c r="D3887" s="1" t="s">
        <v>664</v>
      </c>
      <c r="E3887">
        <v>59.296300000000002</v>
      </c>
      <c r="F3887" s="1" t="s">
        <v>25</v>
      </c>
      <c r="G3887">
        <v>244</v>
      </c>
      <c r="H3887">
        <v>140</v>
      </c>
      <c r="I3887" s="1" t="s">
        <v>1622</v>
      </c>
      <c r="J3887">
        <v>1</v>
      </c>
      <c r="K3887" t="str">
        <f>IF(Tb_data[[#This Row],[previous_workers]]&lt;Tb_data[[#This Row],[workers]],"yes","no")</f>
        <v>yes</v>
      </c>
      <c r="L3887">
        <f>Tb_data[[#This Row],[workers]]-Tb_data[[#This Row],[previous_workers]]</f>
        <v>104</v>
      </c>
      <c r="M3887" s="12">
        <f>Tb_data[[#This Row],[Employees Growth]]/Tb_data[[#This Row],[previous_workers]]</f>
        <v>0.74285714285714288</v>
      </c>
    </row>
    <row r="3888" spans="1:13" x14ac:dyDescent="0.25">
      <c r="A3888" s="1" t="s">
        <v>6771</v>
      </c>
      <c r="B3888" s="1" t="s">
        <v>6772</v>
      </c>
      <c r="C3888" s="1">
        <v>5000000</v>
      </c>
      <c r="D3888" s="1" t="s">
        <v>61</v>
      </c>
      <c r="E3888">
        <v>107.2731</v>
      </c>
      <c r="F3888" s="1" t="s">
        <v>62</v>
      </c>
      <c r="G3888">
        <v>55</v>
      </c>
      <c r="H3888">
        <v>25</v>
      </c>
      <c r="I3888" s="1" t="s">
        <v>26</v>
      </c>
      <c r="J3888">
        <v>2</v>
      </c>
      <c r="K3888" t="str">
        <f>IF(Tb_data[[#This Row],[previous_workers]]&lt;Tb_data[[#This Row],[workers]],"yes","no")</f>
        <v>yes</v>
      </c>
      <c r="L3888">
        <f>Tb_data[[#This Row],[workers]]-Tb_data[[#This Row],[previous_workers]]</f>
        <v>30</v>
      </c>
      <c r="M3888" s="12">
        <f>Tb_data[[#This Row],[Employees Growth]]/Tb_data[[#This Row],[previous_workers]]</f>
        <v>1.2</v>
      </c>
    </row>
    <row r="3889" spans="1:13" x14ac:dyDescent="0.25">
      <c r="A3889" s="1" t="s">
        <v>4637</v>
      </c>
      <c r="B3889" s="1" t="s">
        <v>4638</v>
      </c>
      <c r="C3889" s="1">
        <v>13200000</v>
      </c>
      <c r="D3889" s="1" t="s">
        <v>49</v>
      </c>
      <c r="E3889">
        <v>176.303</v>
      </c>
      <c r="F3889" s="1" t="s">
        <v>142</v>
      </c>
      <c r="G3889">
        <v>43</v>
      </c>
      <c r="H3889">
        <v>16</v>
      </c>
      <c r="I3889" s="1" t="s">
        <v>35</v>
      </c>
      <c r="J3889">
        <v>2</v>
      </c>
      <c r="K3889" t="str">
        <f>IF(Tb_data[[#This Row],[previous_workers]]&lt;Tb_data[[#This Row],[workers]],"yes","no")</f>
        <v>yes</v>
      </c>
      <c r="L3889">
        <f>Tb_data[[#This Row],[workers]]-Tb_data[[#This Row],[previous_workers]]</f>
        <v>27</v>
      </c>
      <c r="M3889" s="12">
        <f>Tb_data[[#This Row],[Employees Growth]]/Tb_data[[#This Row],[previous_workers]]</f>
        <v>1.6875</v>
      </c>
    </row>
    <row r="3890" spans="1:13" x14ac:dyDescent="0.25">
      <c r="A3890" s="1" t="s">
        <v>1461</v>
      </c>
      <c r="B3890" s="1" t="s">
        <v>1462</v>
      </c>
      <c r="C3890" s="1">
        <v>14900000</v>
      </c>
      <c r="D3890" s="1" t="s">
        <v>41</v>
      </c>
      <c r="E3890">
        <v>642.69000000000005</v>
      </c>
      <c r="F3890" s="1" t="s">
        <v>135</v>
      </c>
      <c r="G3890">
        <v>61</v>
      </c>
      <c r="H3890">
        <v>14</v>
      </c>
      <c r="I3890" s="1" t="s">
        <v>130</v>
      </c>
      <c r="J3890">
        <v>2</v>
      </c>
      <c r="K3890" t="str">
        <f>IF(Tb_data[[#This Row],[previous_workers]]&lt;Tb_data[[#This Row],[workers]],"yes","no")</f>
        <v>yes</v>
      </c>
      <c r="L3890">
        <f>Tb_data[[#This Row],[workers]]-Tb_data[[#This Row],[previous_workers]]</f>
        <v>47</v>
      </c>
      <c r="M3890" s="12">
        <f>Tb_data[[#This Row],[Employees Growth]]/Tb_data[[#This Row],[previous_workers]]</f>
        <v>3.3571428571428572</v>
      </c>
    </row>
    <row r="3891" spans="1:13" x14ac:dyDescent="0.25">
      <c r="A3891" s="1" t="s">
        <v>167</v>
      </c>
      <c r="B3891" s="1" t="s">
        <v>168</v>
      </c>
      <c r="C3891" s="1">
        <v>23900000</v>
      </c>
      <c r="D3891" s="1" t="s">
        <v>20</v>
      </c>
      <c r="E3891">
        <v>5059.5724</v>
      </c>
      <c r="F3891" s="1" t="s">
        <v>169</v>
      </c>
      <c r="G3891">
        <v>60</v>
      </c>
      <c r="H3891">
        <v>7</v>
      </c>
      <c r="I3891" s="1" t="s">
        <v>130</v>
      </c>
      <c r="J3891">
        <v>3</v>
      </c>
      <c r="K3891" t="str">
        <f>IF(Tb_data[[#This Row],[previous_workers]]&lt;Tb_data[[#This Row],[workers]],"yes","no")</f>
        <v>yes</v>
      </c>
      <c r="L3891">
        <f>Tb_data[[#This Row],[workers]]-Tb_data[[#This Row],[previous_workers]]</f>
        <v>53</v>
      </c>
      <c r="M3891" s="12">
        <f>Tb_data[[#This Row],[Employees Growth]]/Tb_data[[#This Row],[previous_workers]]</f>
        <v>7.5714285714285712</v>
      </c>
    </row>
    <row r="3892" spans="1:13" x14ac:dyDescent="0.25">
      <c r="A3892" s="1" t="s">
        <v>7427</v>
      </c>
      <c r="B3892" s="1" t="s">
        <v>7428</v>
      </c>
      <c r="C3892" s="1">
        <v>19800000</v>
      </c>
      <c r="D3892" s="1" t="s">
        <v>422</v>
      </c>
      <c r="E3892">
        <v>94.720799999999997</v>
      </c>
      <c r="F3892" s="1" t="s">
        <v>30</v>
      </c>
      <c r="G3892">
        <v>30</v>
      </c>
      <c r="H3892">
        <v>12</v>
      </c>
      <c r="I3892" s="1" t="s">
        <v>74</v>
      </c>
      <c r="J3892">
        <v>5</v>
      </c>
      <c r="K3892" t="str">
        <f>IF(Tb_data[[#This Row],[previous_workers]]&lt;Tb_data[[#This Row],[workers]],"yes","no")</f>
        <v>yes</v>
      </c>
      <c r="L3892">
        <f>Tb_data[[#This Row],[workers]]-Tb_data[[#This Row],[previous_workers]]</f>
        <v>18</v>
      </c>
      <c r="M3892" s="12">
        <f>Tb_data[[#This Row],[Employees Growth]]/Tb_data[[#This Row],[previous_workers]]</f>
        <v>1.5</v>
      </c>
    </row>
    <row r="3893" spans="1:13" x14ac:dyDescent="0.25">
      <c r="A3893" s="1" t="s">
        <v>26</v>
      </c>
      <c r="B3893" s="1" t="s">
        <v>4117</v>
      </c>
      <c r="C3893" s="1">
        <v>4000000</v>
      </c>
      <c r="D3893" s="1" t="s">
        <v>49</v>
      </c>
      <c r="E3893">
        <v>199.53389999999999</v>
      </c>
      <c r="F3893" s="1" t="s">
        <v>176</v>
      </c>
      <c r="G3893">
        <v>20</v>
      </c>
      <c r="H3893">
        <v>8</v>
      </c>
      <c r="I3893" s="1" t="s">
        <v>130</v>
      </c>
      <c r="J3893">
        <v>3</v>
      </c>
      <c r="K3893" t="str">
        <f>IF(Tb_data[[#This Row],[previous_workers]]&lt;Tb_data[[#This Row],[workers]],"yes","no")</f>
        <v>yes</v>
      </c>
      <c r="L3893">
        <f>Tb_data[[#This Row],[workers]]-Tb_data[[#This Row],[previous_workers]]</f>
        <v>12</v>
      </c>
      <c r="M3893" s="12">
        <f>Tb_data[[#This Row],[Employees Growth]]/Tb_data[[#This Row],[previous_workers]]</f>
        <v>1.5</v>
      </c>
    </row>
    <row r="3894" spans="1:13" x14ac:dyDescent="0.25">
      <c r="A3894" s="1" t="s">
        <v>2387</v>
      </c>
      <c r="B3894" s="1" t="s">
        <v>2388</v>
      </c>
      <c r="C3894" s="1">
        <v>5000000</v>
      </c>
      <c r="D3894" s="1" t="s">
        <v>49</v>
      </c>
      <c r="E3894">
        <v>367.14589999999998</v>
      </c>
      <c r="F3894" s="1" t="s">
        <v>12</v>
      </c>
      <c r="G3894">
        <v>62</v>
      </c>
      <c r="H3894">
        <v>9</v>
      </c>
      <c r="I3894" s="1" t="s">
        <v>130</v>
      </c>
      <c r="J3894">
        <v>3</v>
      </c>
      <c r="K3894" t="str">
        <f>IF(Tb_data[[#This Row],[previous_workers]]&lt;Tb_data[[#This Row],[workers]],"yes","no")</f>
        <v>yes</v>
      </c>
      <c r="L3894">
        <f>Tb_data[[#This Row],[workers]]-Tb_data[[#This Row],[previous_workers]]</f>
        <v>53</v>
      </c>
      <c r="M3894" s="12">
        <f>Tb_data[[#This Row],[Employees Growth]]/Tb_data[[#This Row],[previous_workers]]</f>
        <v>5.8888888888888893</v>
      </c>
    </row>
    <row r="3895" spans="1:13" x14ac:dyDescent="0.25">
      <c r="A3895" s="1" t="s">
        <v>458</v>
      </c>
      <c r="B3895" s="1" t="s">
        <v>459</v>
      </c>
      <c r="C3895" s="1">
        <v>6900000</v>
      </c>
      <c r="D3895" s="1" t="s">
        <v>69</v>
      </c>
      <c r="E3895">
        <v>2099.2096999999999</v>
      </c>
      <c r="F3895" s="1" t="s">
        <v>21</v>
      </c>
      <c r="G3895">
        <v>142</v>
      </c>
      <c r="H3895">
        <v>6</v>
      </c>
      <c r="I3895" s="1" t="s">
        <v>13</v>
      </c>
      <c r="J3895">
        <v>1</v>
      </c>
      <c r="K3895" t="str">
        <f>IF(Tb_data[[#This Row],[previous_workers]]&lt;Tb_data[[#This Row],[workers]],"yes","no")</f>
        <v>yes</v>
      </c>
      <c r="L3895">
        <f>Tb_data[[#This Row],[workers]]-Tb_data[[#This Row],[previous_workers]]</f>
        <v>136</v>
      </c>
      <c r="M3895" s="12">
        <f>Tb_data[[#This Row],[Employees Growth]]/Tb_data[[#This Row],[previous_workers]]</f>
        <v>22.666666666666668</v>
      </c>
    </row>
    <row r="3896" spans="1:13" x14ac:dyDescent="0.25">
      <c r="A3896" s="1" t="s">
        <v>2975</v>
      </c>
      <c r="B3896" s="1" t="s">
        <v>2976</v>
      </c>
      <c r="C3896" s="1">
        <v>5000000</v>
      </c>
      <c r="D3896" s="1" t="s">
        <v>20</v>
      </c>
      <c r="E3896">
        <v>289.95100000000002</v>
      </c>
      <c r="F3896" s="1" t="s">
        <v>135</v>
      </c>
      <c r="G3896">
        <v>45</v>
      </c>
      <c r="H3896">
        <v>15</v>
      </c>
      <c r="I3896" s="1" t="s">
        <v>164</v>
      </c>
      <c r="J3896">
        <v>1</v>
      </c>
      <c r="K3896" t="str">
        <f>IF(Tb_data[[#This Row],[previous_workers]]&lt;Tb_data[[#This Row],[workers]],"yes","no")</f>
        <v>yes</v>
      </c>
      <c r="L3896">
        <f>Tb_data[[#This Row],[workers]]-Tb_data[[#This Row],[previous_workers]]</f>
        <v>30</v>
      </c>
      <c r="M3896" s="12">
        <f>Tb_data[[#This Row],[Employees Growth]]/Tb_data[[#This Row],[previous_workers]]</f>
        <v>2</v>
      </c>
    </row>
    <row r="3897" spans="1:13" x14ac:dyDescent="0.25">
      <c r="A3897" s="1" t="s">
        <v>4069</v>
      </c>
      <c r="B3897" s="1" t="s">
        <v>4070</v>
      </c>
      <c r="C3897" s="1">
        <v>3900000</v>
      </c>
      <c r="D3897" s="1" t="s">
        <v>33</v>
      </c>
      <c r="E3897">
        <v>203.98259999999999</v>
      </c>
      <c r="F3897" s="1" t="s">
        <v>86</v>
      </c>
      <c r="G3897">
        <v>26</v>
      </c>
      <c r="H3897">
        <v>8</v>
      </c>
      <c r="I3897" s="1" t="s">
        <v>55</v>
      </c>
      <c r="J3897">
        <v>2</v>
      </c>
      <c r="K3897" t="str">
        <f>IF(Tb_data[[#This Row],[previous_workers]]&lt;Tb_data[[#This Row],[workers]],"yes","no")</f>
        <v>yes</v>
      </c>
      <c r="L3897">
        <f>Tb_data[[#This Row],[workers]]-Tb_data[[#This Row],[previous_workers]]</f>
        <v>18</v>
      </c>
      <c r="M3897" s="12">
        <f>Tb_data[[#This Row],[Employees Growth]]/Tb_data[[#This Row],[previous_workers]]</f>
        <v>2.25</v>
      </c>
    </row>
    <row r="3898" spans="1:13" x14ac:dyDescent="0.25">
      <c r="A3898" s="1" t="s">
        <v>3449</v>
      </c>
      <c r="B3898" s="1" t="s">
        <v>3450</v>
      </c>
      <c r="C3898" s="1">
        <v>12000000</v>
      </c>
      <c r="D3898" s="1" t="s">
        <v>49</v>
      </c>
      <c r="E3898">
        <v>246.8322</v>
      </c>
      <c r="F3898" s="1" t="s">
        <v>62</v>
      </c>
      <c r="G3898">
        <v>89</v>
      </c>
      <c r="H3898">
        <v>13</v>
      </c>
      <c r="I3898" s="1" t="s">
        <v>46</v>
      </c>
      <c r="J3898">
        <v>4</v>
      </c>
      <c r="K3898" t="str">
        <f>IF(Tb_data[[#This Row],[previous_workers]]&lt;Tb_data[[#This Row],[workers]],"yes","no")</f>
        <v>yes</v>
      </c>
      <c r="L3898">
        <f>Tb_data[[#This Row],[workers]]-Tb_data[[#This Row],[previous_workers]]</f>
        <v>76</v>
      </c>
      <c r="M3898" s="12">
        <f>Tb_data[[#This Row],[Employees Growth]]/Tb_data[[#This Row],[previous_workers]]</f>
        <v>5.8461538461538458</v>
      </c>
    </row>
    <row r="3899" spans="1:13" x14ac:dyDescent="0.25">
      <c r="A3899" s="1" t="s">
        <v>8391</v>
      </c>
      <c r="B3899" s="1" t="s">
        <v>8392</v>
      </c>
      <c r="C3899" s="1">
        <v>38000000</v>
      </c>
      <c r="D3899" s="1" t="s">
        <v>254</v>
      </c>
      <c r="E3899">
        <v>76.311099999999996</v>
      </c>
      <c r="F3899" s="1" t="s">
        <v>62</v>
      </c>
      <c r="G3899">
        <v>64</v>
      </c>
      <c r="H3899">
        <v>47</v>
      </c>
      <c r="I3899" s="1" t="s">
        <v>74</v>
      </c>
      <c r="J3899">
        <v>1</v>
      </c>
      <c r="K3899" t="str">
        <f>IF(Tb_data[[#This Row],[previous_workers]]&lt;Tb_data[[#This Row],[workers]],"yes","no")</f>
        <v>yes</v>
      </c>
      <c r="L3899">
        <f>Tb_data[[#This Row],[workers]]-Tb_data[[#This Row],[previous_workers]]</f>
        <v>17</v>
      </c>
      <c r="M3899" s="12">
        <f>Tb_data[[#This Row],[Employees Growth]]/Tb_data[[#This Row],[previous_workers]]</f>
        <v>0.36170212765957449</v>
      </c>
    </row>
    <row r="3900" spans="1:13" x14ac:dyDescent="0.25">
      <c r="A3900" s="1" t="s">
        <v>3886</v>
      </c>
      <c r="B3900" s="1" t="s">
        <v>3887</v>
      </c>
      <c r="C3900" s="1">
        <v>10600000</v>
      </c>
      <c r="D3900" s="1" t="s">
        <v>254</v>
      </c>
      <c r="E3900">
        <v>215.32599999999999</v>
      </c>
      <c r="F3900" s="1" t="s">
        <v>142</v>
      </c>
      <c r="G3900">
        <v>27</v>
      </c>
      <c r="H3900">
        <v>13</v>
      </c>
      <c r="I3900" s="1" t="s">
        <v>26</v>
      </c>
      <c r="J3900">
        <v>2</v>
      </c>
      <c r="K3900" t="str">
        <f>IF(Tb_data[[#This Row],[previous_workers]]&lt;Tb_data[[#This Row],[workers]],"yes","no")</f>
        <v>yes</v>
      </c>
      <c r="L3900">
        <f>Tb_data[[#This Row],[workers]]-Tb_data[[#This Row],[previous_workers]]</f>
        <v>14</v>
      </c>
      <c r="M3900" s="12">
        <f>Tb_data[[#This Row],[Employees Growth]]/Tb_data[[#This Row],[previous_workers]]</f>
        <v>1.0769230769230769</v>
      </c>
    </row>
    <row r="3901" spans="1:13" x14ac:dyDescent="0.25">
      <c r="A3901" s="1" t="s">
        <v>2668</v>
      </c>
      <c r="B3901" s="1" t="s">
        <v>2669</v>
      </c>
      <c r="C3901" s="1">
        <v>20300000</v>
      </c>
      <c r="D3901" s="1" t="s">
        <v>91</v>
      </c>
      <c r="E3901">
        <v>323.84559999999999</v>
      </c>
      <c r="F3901" s="1" t="s">
        <v>176</v>
      </c>
      <c r="G3901">
        <v>45</v>
      </c>
      <c r="H3901">
        <v>15</v>
      </c>
      <c r="I3901" s="1" t="s">
        <v>130</v>
      </c>
      <c r="J3901">
        <v>3</v>
      </c>
      <c r="K3901" t="str">
        <f>IF(Tb_data[[#This Row],[previous_workers]]&lt;Tb_data[[#This Row],[workers]],"yes","no")</f>
        <v>yes</v>
      </c>
      <c r="L3901">
        <f>Tb_data[[#This Row],[workers]]-Tb_data[[#This Row],[previous_workers]]</f>
        <v>30</v>
      </c>
      <c r="M3901" s="12">
        <f>Tb_data[[#This Row],[Employees Growth]]/Tb_data[[#This Row],[previous_workers]]</f>
        <v>2</v>
      </c>
    </row>
    <row r="3902" spans="1:13" x14ac:dyDescent="0.25">
      <c r="A3902" s="1" t="s">
        <v>9203</v>
      </c>
      <c r="B3902" s="1" t="s">
        <v>9204</v>
      </c>
      <c r="C3902" s="1">
        <v>22100000</v>
      </c>
      <c r="D3902" s="1" t="s">
        <v>20</v>
      </c>
      <c r="E3902">
        <v>64.107299999999995</v>
      </c>
      <c r="F3902" s="1" t="s">
        <v>135</v>
      </c>
      <c r="G3902">
        <v>700</v>
      </c>
      <c r="H3902">
        <v>550</v>
      </c>
      <c r="I3902" s="1" t="s">
        <v>226</v>
      </c>
      <c r="J3902">
        <v>7</v>
      </c>
      <c r="K3902" t="str">
        <f>IF(Tb_data[[#This Row],[previous_workers]]&lt;Tb_data[[#This Row],[workers]],"yes","no")</f>
        <v>yes</v>
      </c>
      <c r="L3902">
        <f>Tb_data[[#This Row],[workers]]-Tb_data[[#This Row],[previous_workers]]</f>
        <v>150</v>
      </c>
      <c r="M3902" s="12">
        <f>Tb_data[[#This Row],[Employees Growth]]/Tb_data[[#This Row],[previous_workers]]</f>
        <v>0.27272727272727271</v>
      </c>
    </row>
    <row r="3903" spans="1:13" x14ac:dyDescent="0.25">
      <c r="A3903" s="1" t="s">
        <v>8459</v>
      </c>
      <c r="B3903" s="1" t="s">
        <v>8460</v>
      </c>
      <c r="C3903" s="1">
        <v>15400000</v>
      </c>
      <c r="D3903" s="1" t="s">
        <v>20</v>
      </c>
      <c r="E3903">
        <v>74.874099999999999</v>
      </c>
      <c r="F3903" s="1" t="s">
        <v>25</v>
      </c>
      <c r="G3903">
        <v>40</v>
      </c>
      <c r="H3903">
        <v>15</v>
      </c>
      <c r="I3903" s="1" t="s">
        <v>117</v>
      </c>
      <c r="J3903">
        <v>5</v>
      </c>
      <c r="K3903" t="str">
        <f>IF(Tb_data[[#This Row],[previous_workers]]&lt;Tb_data[[#This Row],[workers]],"yes","no")</f>
        <v>yes</v>
      </c>
      <c r="L3903">
        <f>Tb_data[[#This Row],[workers]]-Tb_data[[#This Row],[previous_workers]]</f>
        <v>25</v>
      </c>
      <c r="M3903" s="12">
        <f>Tb_data[[#This Row],[Employees Growth]]/Tb_data[[#This Row],[previous_workers]]</f>
        <v>1.6666666666666667</v>
      </c>
    </row>
    <row r="3904" spans="1:13" x14ac:dyDescent="0.25">
      <c r="A3904" s="1" t="s">
        <v>2605</v>
      </c>
      <c r="B3904" s="1" t="s">
        <v>2606</v>
      </c>
      <c r="C3904" s="1">
        <v>18300000</v>
      </c>
      <c r="D3904" s="1" t="s">
        <v>20</v>
      </c>
      <c r="E3904">
        <v>331.77010000000001</v>
      </c>
      <c r="F3904" s="1" t="s">
        <v>97</v>
      </c>
      <c r="G3904">
        <v>170</v>
      </c>
      <c r="H3904">
        <v>35</v>
      </c>
      <c r="I3904" s="1" t="s">
        <v>46</v>
      </c>
      <c r="J3904">
        <v>5</v>
      </c>
      <c r="K3904" t="str">
        <f>IF(Tb_data[[#This Row],[previous_workers]]&lt;Tb_data[[#This Row],[workers]],"yes","no")</f>
        <v>yes</v>
      </c>
      <c r="L3904">
        <f>Tb_data[[#This Row],[workers]]-Tb_data[[#This Row],[previous_workers]]</f>
        <v>135</v>
      </c>
      <c r="M3904" s="12">
        <f>Tb_data[[#This Row],[Employees Growth]]/Tb_data[[#This Row],[previous_workers]]</f>
        <v>3.8571428571428572</v>
      </c>
    </row>
    <row r="3905" spans="1:13" x14ac:dyDescent="0.25">
      <c r="A3905" s="1" t="s">
        <v>5046</v>
      </c>
      <c r="B3905" s="1" t="s">
        <v>5047</v>
      </c>
      <c r="C3905" s="1">
        <v>5000000</v>
      </c>
      <c r="D3905" s="1" t="s">
        <v>129</v>
      </c>
      <c r="E3905">
        <v>159.47049999999999</v>
      </c>
      <c r="F3905" s="1" t="s">
        <v>142</v>
      </c>
      <c r="G3905">
        <v>12</v>
      </c>
      <c r="H3905">
        <v>4</v>
      </c>
      <c r="I3905" s="1" t="s">
        <v>26</v>
      </c>
      <c r="J3905">
        <v>1</v>
      </c>
      <c r="K3905" t="str">
        <f>IF(Tb_data[[#This Row],[previous_workers]]&lt;Tb_data[[#This Row],[workers]],"yes","no")</f>
        <v>yes</v>
      </c>
      <c r="L3905">
        <f>Tb_data[[#This Row],[workers]]-Tb_data[[#This Row],[previous_workers]]</f>
        <v>8</v>
      </c>
      <c r="M3905" s="12">
        <f>Tb_data[[#This Row],[Employees Growth]]/Tb_data[[#This Row],[previous_workers]]</f>
        <v>2</v>
      </c>
    </row>
    <row r="3906" spans="1:13" x14ac:dyDescent="0.25">
      <c r="A3906" s="1" t="s">
        <v>1140</v>
      </c>
      <c r="B3906" s="1" t="s">
        <v>1141</v>
      </c>
      <c r="C3906" s="1">
        <v>9700000</v>
      </c>
      <c r="D3906" s="1" t="s">
        <v>422</v>
      </c>
      <c r="E3906">
        <v>843.09760000000006</v>
      </c>
      <c r="F3906" s="1" t="s">
        <v>17</v>
      </c>
      <c r="G3906">
        <v>60</v>
      </c>
      <c r="H3906">
        <v>5</v>
      </c>
      <c r="I3906" s="1" t="s">
        <v>26</v>
      </c>
      <c r="J3906">
        <v>1</v>
      </c>
      <c r="K3906" t="str">
        <f>IF(Tb_data[[#This Row],[previous_workers]]&lt;Tb_data[[#This Row],[workers]],"yes","no")</f>
        <v>yes</v>
      </c>
      <c r="L3906">
        <f>Tb_data[[#This Row],[workers]]-Tb_data[[#This Row],[previous_workers]]</f>
        <v>55</v>
      </c>
      <c r="M3906" s="12">
        <f>Tb_data[[#This Row],[Employees Growth]]/Tb_data[[#This Row],[previous_workers]]</f>
        <v>11</v>
      </c>
    </row>
    <row r="3907" spans="1:13" x14ac:dyDescent="0.25">
      <c r="A3907" s="1" t="s">
        <v>3531</v>
      </c>
      <c r="B3907" s="1" t="s">
        <v>3532</v>
      </c>
      <c r="C3907" s="1">
        <v>11200000</v>
      </c>
      <c r="D3907" s="1" t="s">
        <v>41</v>
      </c>
      <c r="E3907">
        <v>239.7954</v>
      </c>
      <c r="F3907" s="1" t="s">
        <v>12</v>
      </c>
      <c r="G3907">
        <v>35</v>
      </c>
      <c r="H3907">
        <v>16</v>
      </c>
      <c r="I3907" s="1" t="s">
        <v>194</v>
      </c>
      <c r="J3907">
        <v>5</v>
      </c>
      <c r="K3907" t="str">
        <f>IF(Tb_data[[#This Row],[previous_workers]]&lt;Tb_data[[#This Row],[workers]],"yes","no")</f>
        <v>yes</v>
      </c>
      <c r="L3907">
        <f>Tb_data[[#This Row],[workers]]-Tb_data[[#This Row],[previous_workers]]</f>
        <v>19</v>
      </c>
      <c r="M3907" s="12">
        <f>Tb_data[[#This Row],[Employees Growth]]/Tb_data[[#This Row],[previous_workers]]</f>
        <v>1.1875</v>
      </c>
    </row>
    <row r="3908" spans="1:13" x14ac:dyDescent="0.25">
      <c r="A3908" s="1" t="s">
        <v>3746</v>
      </c>
      <c r="B3908" s="1" t="s">
        <v>3747</v>
      </c>
      <c r="C3908" s="1">
        <v>6900000</v>
      </c>
      <c r="D3908" s="1" t="s">
        <v>387</v>
      </c>
      <c r="E3908">
        <v>225.30770000000001</v>
      </c>
      <c r="F3908" s="1" t="s">
        <v>86</v>
      </c>
      <c r="G3908">
        <v>54</v>
      </c>
      <c r="H3908">
        <v>14</v>
      </c>
      <c r="I3908" s="1" t="s">
        <v>295</v>
      </c>
      <c r="J3908">
        <v>1</v>
      </c>
      <c r="K3908" t="str">
        <f>IF(Tb_data[[#This Row],[previous_workers]]&lt;Tb_data[[#This Row],[workers]],"yes","no")</f>
        <v>yes</v>
      </c>
      <c r="L3908">
        <f>Tb_data[[#This Row],[workers]]-Tb_data[[#This Row],[previous_workers]]</f>
        <v>40</v>
      </c>
      <c r="M3908" s="12">
        <f>Tb_data[[#This Row],[Employees Growth]]/Tb_data[[#This Row],[previous_workers]]</f>
        <v>2.8571428571428572</v>
      </c>
    </row>
    <row r="3909" spans="1:13" x14ac:dyDescent="0.25">
      <c r="A3909" s="1" t="s">
        <v>6041</v>
      </c>
      <c r="B3909" s="1" t="s">
        <v>6042</v>
      </c>
      <c r="C3909" s="1">
        <v>50500000</v>
      </c>
      <c r="D3909" s="1" t="s">
        <v>61</v>
      </c>
      <c r="E3909">
        <v>125.75490000000001</v>
      </c>
      <c r="F3909" s="1" t="s">
        <v>135</v>
      </c>
      <c r="G3909">
        <v>299</v>
      </c>
      <c r="H3909">
        <v>82</v>
      </c>
      <c r="I3909" s="1" t="s">
        <v>35</v>
      </c>
      <c r="J3909">
        <v>6</v>
      </c>
      <c r="K3909" t="str">
        <f>IF(Tb_data[[#This Row],[previous_workers]]&lt;Tb_data[[#This Row],[workers]],"yes","no")</f>
        <v>yes</v>
      </c>
      <c r="L3909">
        <f>Tb_data[[#This Row],[workers]]-Tb_data[[#This Row],[previous_workers]]</f>
        <v>217</v>
      </c>
      <c r="M3909" s="12">
        <f>Tb_data[[#This Row],[Employees Growth]]/Tb_data[[#This Row],[previous_workers]]</f>
        <v>2.6463414634146343</v>
      </c>
    </row>
    <row r="3910" spans="1:13" x14ac:dyDescent="0.25">
      <c r="A3910" s="1" t="s">
        <v>492</v>
      </c>
      <c r="B3910" s="1" t="s">
        <v>493</v>
      </c>
      <c r="C3910" s="1">
        <v>2200000</v>
      </c>
      <c r="D3910" s="1" t="s">
        <v>49</v>
      </c>
      <c r="E3910">
        <v>1996.5182</v>
      </c>
      <c r="F3910" s="1" t="s">
        <v>124</v>
      </c>
      <c r="G3910">
        <v>5</v>
      </c>
      <c r="H3910">
        <v>1</v>
      </c>
      <c r="I3910" s="1" t="s">
        <v>26</v>
      </c>
      <c r="J3910">
        <v>1</v>
      </c>
      <c r="K3910" t="str">
        <f>IF(Tb_data[[#This Row],[previous_workers]]&lt;Tb_data[[#This Row],[workers]],"yes","no")</f>
        <v>yes</v>
      </c>
      <c r="L3910">
        <f>Tb_data[[#This Row],[workers]]-Tb_data[[#This Row],[previous_workers]]</f>
        <v>4</v>
      </c>
      <c r="M3910" s="12">
        <f>Tb_data[[#This Row],[Employees Growth]]/Tb_data[[#This Row],[previous_workers]]</f>
        <v>4</v>
      </c>
    </row>
    <row r="3911" spans="1:13" x14ac:dyDescent="0.25">
      <c r="A3911" s="1" t="s">
        <v>8135</v>
      </c>
      <c r="B3911" s="1" t="s">
        <v>8136</v>
      </c>
      <c r="C3911" s="1">
        <v>51500000</v>
      </c>
      <c r="D3911" s="1" t="s">
        <v>69</v>
      </c>
      <c r="E3911">
        <v>80.691800000000001</v>
      </c>
      <c r="F3911" s="1" t="s">
        <v>152</v>
      </c>
      <c r="G3911">
        <v>476</v>
      </c>
      <c r="H3911">
        <v>232</v>
      </c>
      <c r="I3911" s="1" t="s">
        <v>194</v>
      </c>
      <c r="J3911">
        <v>3</v>
      </c>
      <c r="K3911" t="str">
        <f>IF(Tb_data[[#This Row],[previous_workers]]&lt;Tb_data[[#This Row],[workers]],"yes","no")</f>
        <v>yes</v>
      </c>
      <c r="L3911">
        <f>Tb_data[[#This Row],[workers]]-Tb_data[[#This Row],[previous_workers]]</f>
        <v>244</v>
      </c>
      <c r="M3911" s="12">
        <f>Tb_data[[#This Row],[Employees Growth]]/Tb_data[[#This Row],[previous_workers]]</f>
        <v>1.0517241379310345</v>
      </c>
    </row>
    <row r="3912" spans="1:13" x14ac:dyDescent="0.25">
      <c r="A3912" s="1" t="s">
        <v>6896</v>
      </c>
      <c r="B3912" s="1" t="s">
        <v>6897</v>
      </c>
      <c r="C3912" s="1">
        <v>10500000</v>
      </c>
      <c r="D3912" s="1" t="s">
        <v>41</v>
      </c>
      <c r="E3912">
        <v>104.2672</v>
      </c>
      <c r="F3912" s="1" t="s">
        <v>514</v>
      </c>
      <c r="G3912">
        <v>68</v>
      </c>
      <c r="H3912">
        <v>37</v>
      </c>
      <c r="I3912" s="1" t="s">
        <v>194</v>
      </c>
      <c r="J3912">
        <v>1</v>
      </c>
      <c r="K3912" t="str">
        <f>IF(Tb_data[[#This Row],[previous_workers]]&lt;Tb_data[[#This Row],[workers]],"yes","no")</f>
        <v>yes</v>
      </c>
      <c r="L3912">
        <f>Tb_data[[#This Row],[workers]]-Tb_data[[#This Row],[previous_workers]]</f>
        <v>31</v>
      </c>
      <c r="M3912" s="12">
        <f>Tb_data[[#This Row],[Employees Growth]]/Tb_data[[#This Row],[previous_workers]]</f>
        <v>0.83783783783783783</v>
      </c>
    </row>
    <row r="3913" spans="1:13" x14ac:dyDescent="0.25">
      <c r="A3913" s="1" t="s">
        <v>5798</v>
      </c>
      <c r="B3913" s="1" t="s">
        <v>5799</v>
      </c>
      <c r="C3913" s="1">
        <v>8300000</v>
      </c>
      <c r="D3913" s="1" t="s">
        <v>91</v>
      </c>
      <c r="E3913">
        <v>131.4573</v>
      </c>
      <c r="F3913" s="1" t="s">
        <v>17</v>
      </c>
      <c r="G3913">
        <v>39</v>
      </c>
      <c r="H3913">
        <v>15</v>
      </c>
      <c r="I3913" s="1" t="s">
        <v>147</v>
      </c>
      <c r="J3913">
        <v>2</v>
      </c>
      <c r="K3913" t="str">
        <f>IF(Tb_data[[#This Row],[previous_workers]]&lt;Tb_data[[#This Row],[workers]],"yes","no")</f>
        <v>yes</v>
      </c>
      <c r="L3913">
        <f>Tb_data[[#This Row],[workers]]-Tb_data[[#This Row],[previous_workers]]</f>
        <v>24</v>
      </c>
      <c r="M3913" s="12">
        <f>Tb_data[[#This Row],[Employees Growth]]/Tb_data[[#This Row],[previous_workers]]</f>
        <v>1.6</v>
      </c>
    </row>
    <row r="3914" spans="1:13" x14ac:dyDescent="0.25">
      <c r="A3914" s="1" t="s">
        <v>1080</v>
      </c>
      <c r="B3914" s="1" t="s">
        <v>1081</v>
      </c>
      <c r="C3914" s="1">
        <v>45400000</v>
      </c>
      <c r="D3914" s="1" t="s">
        <v>52</v>
      </c>
      <c r="E3914">
        <v>896.67610000000002</v>
      </c>
      <c r="F3914" s="1" t="s">
        <v>94</v>
      </c>
      <c r="G3914">
        <v>78</v>
      </c>
      <c r="H3914">
        <v>25</v>
      </c>
      <c r="I3914" s="1" t="s">
        <v>164</v>
      </c>
      <c r="J3914">
        <v>2</v>
      </c>
      <c r="K3914" t="str">
        <f>IF(Tb_data[[#This Row],[previous_workers]]&lt;Tb_data[[#This Row],[workers]],"yes","no")</f>
        <v>yes</v>
      </c>
      <c r="L3914">
        <f>Tb_data[[#This Row],[workers]]-Tb_data[[#This Row],[previous_workers]]</f>
        <v>53</v>
      </c>
      <c r="M3914" s="12">
        <f>Tb_data[[#This Row],[Employees Growth]]/Tb_data[[#This Row],[previous_workers]]</f>
        <v>2.12</v>
      </c>
    </row>
    <row r="3915" spans="1:13" x14ac:dyDescent="0.25">
      <c r="A3915" s="1" t="s">
        <v>951</v>
      </c>
      <c r="B3915" s="1" t="s">
        <v>952</v>
      </c>
      <c r="C3915" s="1">
        <v>5200000</v>
      </c>
      <c r="D3915" s="1" t="s">
        <v>483</v>
      </c>
      <c r="E3915">
        <v>1052.2936999999999</v>
      </c>
      <c r="F3915" s="1" t="s">
        <v>135</v>
      </c>
      <c r="G3915">
        <v>30</v>
      </c>
      <c r="H3915">
        <v>15</v>
      </c>
      <c r="I3915" s="1" t="s">
        <v>55</v>
      </c>
      <c r="J3915">
        <v>1</v>
      </c>
      <c r="K3915" t="str">
        <f>IF(Tb_data[[#This Row],[previous_workers]]&lt;Tb_data[[#This Row],[workers]],"yes","no")</f>
        <v>yes</v>
      </c>
      <c r="L3915">
        <f>Tb_data[[#This Row],[workers]]-Tb_data[[#This Row],[previous_workers]]</f>
        <v>15</v>
      </c>
      <c r="M3915" s="12">
        <f>Tb_data[[#This Row],[Employees Growth]]/Tb_data[[#This Row],[previous_workers]]</f>
        <v>1</v>
      </c>
    </row>
    <row r="3916" spans="1:13" x14ac:dyDescent="0.25">
      <c r="A3916" s="1" t="s">
        <v>804</v>
      </c>
      <c r="B3916" s="1" t="s">
        <v>805</v>
      </c>
      <c r="C3916" s="1">
        <v>8000000</v>
      </c>
      <c r="D3916" s="1" t="s">
        <v>91</v>
      </c>
      <c r="E3916">
        <v>1279.3186000000001</v>
      </c>
      <c r="F3916" s="1" t="s">
        <v>86</v>
      </c>
      <c r="G3916">
        <v>100</v>
      </c>
      <c r="H3916">
        <v>7</v>
      </c>
      <c r="I3916" s="1" t="s">
        <v>26</v>
      </c>
      <c r="J3916">
        <v>2</v>
      </c>
      <c r="K3916" t="str">
        <f>IF(Tb_data[[#This Row],[previous_workers]]&lt;Tb_data[[#This Row],[workers]],"yes","no")</f>
        <v>yes</v>
      </c>
      <c r="L3916">
        <f>Tb_data[[#This Row],[workers]]-Tb_data[[#This Row],[previous_workers]]</f>
        <v>93</v>
      </c>
      <c r="M3916" s="12">
        <f>Tb_data[[#This Row],[Employees Growth]]/Tb_data[[#This Row],[previous_workers]]</f>
        <v>13.285714285714286</v>
      </c>
    </row>
    <row r="3917" spans="1:13" x14ac:dyDescent="0.25">
      <c r="A3917" s="1" t="s">
        <v>4146</v>
      </c>
      <c r="B3917" s="1" t="s">
        <v>4147</v>
      </c>
      <c r="C3917" s="1">
        <v>7300000</v>
      </c>
      <c r="D3917" s="1" t="s">
        <v>69</v>
      </c>
      <c r="E3917">
        <v>198.18209999999999</v>
      </c>
      <c r="F3917" s="1" t="s">
        <v>86</v>
      </c>
      <c r="G3917">
        <v>55</v>
      </c>
      <c r="H3917">
        <v>36</v>
      </c>
      <c r="I3917" s="1" t="s">
        <v>117</v>
      </c>
      <c r="J3917">
        <v>4</v>
      </c>
      <c r="K3917" t="str">
        <f>IF(Tb_data[[#This Row],[previous_workers]]&lt;Tb_data[[#This Row],[workers]],"yes","no")</f>
        <v>yes</v>
      </c>
      <c r="L3917">
        <f>Tb_data[[#This Row],[workers]]-Tb_data[[#This Row],[previous_workers]]</f>
        <v>19</v>
      </c>
      <c r="M3917" s="12">
        <f>Tb_data[[#This Row],[Employees Growth]]/Tb_data[[#This Row],[previous_workers]]</f>
        <v>0.52777777777777779</v>
      </c>
    </row>
    <row r="3918" spans="1:13" x14ac:dyDescent="0.25">
      <c r="A3918" s="1" t="s">
        <v>857</v>
      </c>
      <c r="B3918" s="1" t="s">
        <v>858</v>
      </c>
      <c r="C3918" s="1">
        <v>255900000</v>
      </c>
      <c r="D3918" s="1" t="s">
        <v>29</v>
      </c>
      <c r="E3918">
        <v>1200.9092000000001</v>
      </c>
      <c r="F3918" s="1" t="s">
        <v>30</v>
      </c>
      <c r="G3918">
        <v>56</v>
      </c>
      <c r="H3918">
        <v>10</v>
      </c>
      <c r="I3918" s="1" t="s">
        <v>130</v>
      </c>
      <c r="J3918">
        <v>2</v>
      </c>
      <c r="K3918" t="str">
        <f>IF(Tb_data[[#This Row],[previous_workers]]&lt;Tb_data[[#This Row],[workers]],"yes","no")</f>
        <v>yes</v>
      </c>
      <c r="L3918">
        <f>Tb_data[[#This Row],[workers]]-Tb_data[[#This Row],[previous_workers]]</f>
        <v>46</v>
      </c>
      <c r="M3918" s="12">
        <f>Tb_data[[#This Row],[Employees Growth]]/Tb_data[[#This Row],[previous_workers]]</f>
        <v>4.5999999999999996</v>
      </c>
    </row>
    <row r="3919" spans="1:13" x14ac:dyDescent="0.25">
      <c r="A3919" s="1" t="s">
        <v>4814</v>
      </c>
      <c r="B3919" s="1" t="s">
        <v>4815</v>
      </c>
      <c r="C3919" s="1">
        <v>17600000</v>
      </c>
      <c r="D3919" s="1" t="s">
        <v>179</v>
      </c>
      <c r="E3919">
        <v>169.19820000000001</v>
      </c>
      <c r="F3919" s="1" t="s">
        <v>34</v>
      </c>
      <c r="G3919">
        <v>240</v>
      </c>
      <c r="H3919">
        <v>60</v>
      </c>
      <c r="I3919" s="1" t="s">
        <v>295</v>
      </c>
      <c r="J3919">
        <v>1</v>
      </c>
      <c r="K3919" t="str">
        <f>IF(Tb_data[[#This Row],[previous_workers]]&lt;Tb_data[[#This Row],[workers]],"yes","no")</f>
        <v>yes</v>
      </c>
      <c r="L3919">
        <f>Tb_data[[#This Row],[workers]]-Tb_data[[#This Row],[previous_workers]]</f>
        <v>180</v>
      </c>
      <c r="M3919" s="12">
        <f>Tb_data[[#This Row],[Employees Growth]]/Tb_data[[#This Row],[previous_workers]]</f>
        <v>3</v>
      </c>
    </row>
    <row r="3920" spans="1:13" x14ac:dyDescent="0.25">
      <c r="A3920" s="1" t="s">
        <v>555</v>
      </c>
      <c r="B3920" s="1" t="s">
        <v>556</v>
      </c>
      <c r="C3920" s="1">
        <v>12000000</v>
      </c>
      <c r="D3920" s="1" t="s">
        <v>20</v>
      </c>
      <c r="E3920">
        <v>1790.0996</v>
      </c>
      <c r="F3920" s="1" t="s">
        <v>82</v>
      </c>
      <c r="G3920">
        <v>44</v>
      </c>
      <c r="H3920">
        <v>5</v>
      </c>
      <c r="I3920" s="1" t="s">
        <v>13</v>
      </c>
      <c r="J3920">
        <v>1</v>
      </c>
      <c r="K3920" t="str">
        <f>IF(Tb_data[[#This Row],[previous_workers]]&lt;Tb_data[[#This Row],[workers]],"yes","no")</f>
        <v>yes</v>
      </c>
      <c r="L3920">
        <f>Tb_data[[#This Row],[workers]]-Tb_data[[#This Row],[previous_workers]]</f>
        <v>39</v>
      </c>
      <c r="M3920" s="12">
        <f>Tb_data[[#This Row],[Employees Growth]]/Tb_data[[#This Row],[previous_workers]]</f>
        <v>7.8</v>
      </c>
    </row>
    <row r="3921" spans="1:13" x14ac:dyDescent="0.25">
      <c r="A3921" s="1" t="s">
        <v>1322</v>
      </c>
      <c r="B3921" s="1" t="s">
        <v>1323</v>
      </c>
      <c r="C3921" s="1">
        <v>9200000</v>
      </c>
      <c r="D3921" s="1" t="s">
        <v>129</v>
      </c>
      <c r="E3921">
        <v>729.28599999999994</v>
      </c>
      <c r="F3921" s="1" t="s">
        <v>30</v>
      </c>
      <c r="G3921">
        <v>14</v>
      </c>
      <c r="H3921">
        <v>2</v>
      </c>
      <c r="I3921" s="1" t="s">
        <v>130</v>
      </c>
      <c r="J3921">
        <v>1</v>
      </c>
      <c r="K3921" t="str">
        <f>IF(Tb_data[[#This Row],[previous_workers]]&lt;Tb_data[[#This Row],[workers]],"yes","no")</f>
        <v>yes</v>
      </c>
      <c r="L3921">
        <f>Tb_data[[#This Row],[workers]]-Tb_data[[#This Row],[previous_workers]]</f>
        <v>12</v>
      </c>
      <c r="M3921" s="12">
        <f>Tb_data[[#This Row],[Employees Growth]]/Tb_data[[#This Row],[previous_workers]]</f>
        <v>6</v>
      </c>
    </row>
    <row r="3922" spans="1:13" x14ac:dyDescent="0.25">
      <c r="A3922" s="1" t="s">
        <v>6577</v>
      </c>
      <c r="B3922" s="1" t="s">
        <v>6578</v>
      </c>
      <c r="C3922" s="1">
        <v>31600000</v>
      </c>
      <c r="D3922" s="1" t="s">
        <v>175</v>
      </c>
      <c r="E3922">
        <v>112.0966</v>
      </c>
      <c r="F3922" s="1" t="s">
        <v>514</v>
      </c>
      <c r="G3922">
        <v>162</v>
      </c>
      <c r="H3922">
        <v>99</v>
      </c>
      <c r="I3922" s="1" t="s">
        <v>4084</v>
      </c>
      <c r="J3922">
        <v>2</v>
      </c>
      <c r="K3922" t="str">
        <f>IF(Tb_data[[#This Row],[previous_workers]]&lt;Tb_data[[#This Row],[workers]],"yes","no")</f>
        <v>yes</v>
      </c>
      <c r="L3922">
        <f>Tb_data[[#This Row],[workers]]-Tb_data[[#This Row],[previous_workers]]</f>
        <v>63</v>
      </c>
      <c r="M3922" s="12">
        <f>Tb_data[[#This Row],[Employees Growth]]/Tb_data[[#This Row],[previous_workers]]</f>
        <v>0.63636363636363635</v>
      </c>
    </row>
    <row r="3923" spans="1:13" x14ac:dyDescent="0.25">
      <c r="A3923" s="1" t="s">
        <v>4037</v>
      </c>
      <c r="B3923" s="1" t="s">
        <v>4038</v>
      </c>
      <c r="C3923" s="1">
        <v>10900000</v>
      </c>
      <c r="D3923" s="1" t="s">
        <v>41</v>
      </c>
      <c r="E3923">
        <v>205.44820000000001</v>
      </c>
      <c r="F3923" s="1" t="s">
        <v>156</v>
      </c>
      <c r="G3923">
        <v>38</v>
      </c>
      <c r="H3923">
        <v>22</v>
      </c>
      <c r="I3923" s="1" t="s">
        <v>117</v>
      </c>
      <c r="J3923">
        <v>3</v>
      </c>
      <c r="K3923" t="str">
        <f>IF(Tb_data[[#This Row],[previous_workers]]&lt;Tb_data[[#This Row],[workers]],"yes","no")</f>
        <v>yes</v>
      </c>
      <c r="L3923">
        <f>Tb_data[[#This Row],[workers]]-Tb_data[[#This Row],[previous_workers]]</f>
        <v>16</v>
      </c>
      <c r="M3923" s="12">
        <f>Tb_data[[#This Row],[Employees Growth]]/Tb_data[[#This Row],[previous_workers]]</f>
        <v>0.72727272727272729</v>
      </c>
    </row>
    <row r="3924" spans="1:13" x14ac:dyDescent="0.25">
      <c r="A3924" s="1" t="s">
        <v>5904</v>
      </c>
      <c r="B3924" s="1" t="s">
        <v>5905</v>
      </c>
      <c r="C3924" s="1">
        <v>3500000</v>
      </c>
      <c r="D3924" s="1" t="s">
        <v>20</v>
      </c>
      <c r="E3924">
        <v>128.86060000000001</v>
      </c>
      <c r="F3924" s="1" t="s">
        <v>124</v>
      </c>
      <c r="G3924">
        <v>17</v>
      </c>
      <c r="H3924">
        <v>9</v>
      </c>
      <c r="I3924" s="1" t="s">
        <v>468</v>
      </c>
      <c r="J3924">
        <v>1</v>
      </c>
      <c r="K3924" t="str">
        <f>IF(Tb_data[[#This Row],[previous_workers]]&lt;Tb_data[[#This Row],[workers]],"yes","no")</f>
        <v>yes</v>
      </c>
      <c r="L3924">
        <f>Tb_data[[#This Row],[workers]]-Tb_data[[#This Row],[previous_workers]]</f>
        <v>8</v>
      </c>
      <c r="M3924" s="12">
        <f>Tb_data[[#This Row],[Employees Growth]]/Tb_data[[#This Row],[previous_workers]]</f>
        <v>0.88888888888888884</v>
      </c>
    </row>
    <row r="3925" spans="1:13" x14ac:dyDescent="0.25">
      <c r="A3925" s="1" t="s">
        <v>6753</v>
      </c>
      <c r="B3925" s="1" t="s">
        <v>6754</v>
      </c>
      <c r="C3925" s="1">
        <v>26900000</v>
      </c>
      <c r="D3925" s="1" t="s">
        <v>1853</v>
      </c>
      <c r="E3925">
        <v>107.5981</v>
      </c>
      <c r="F3925" s="1" t="s">
        <v>42</v>
      </c>
      <c r="G3925">
        <v>100</v>
      </c>
      <c r="H3925">
        <v>50</v>
      </c>
      <c r="I3925" s="1" t="s">
        <v>1657</v>
      </c>
      <c r="J3925">
        <v>1</v>
      </c>
      <c r="K3925" t="str">
        <f>IF(Tb_data[[#This Row],[previous_workers]]&lt;Tb_data[[#This Row],[workers]],"yes","no")</f>
        <v>yes</v>
      </c>
      <c r="L3925">
        <f>Tb_data[[#This Row],[workers]]-Tb_data[[#This Row],[previous_workers]]</f>
        <v>50</v>
      </c>
      <c r="M3925" s="12">
        <f>Tb_data[[#This Row],[Employees Growth]]/Tb_data[[#This Row],[previous_workers]]</f>
        <v>1</v>
      </c>
    </row>
    <row r="3926" spans="1:13" x14ac:dyDescent="0.25">
      <c r="A3926" s="1" t="s">
        <v>6125</v>
      </c>
      <c r="B3926" s="1" t="s">
        <v>6126</v>
      </c>
      <c r="C3926" s="1">
        <v>47300000</v>
      </c>
      <c r="D3926" s="1" t="s">
        <v>254</v>
      </c>
      <c r="E3926">
        <v>123.20399999999999</v>
      </c>
      <c r="F3926" s="1" t="s">
        <v>124</v>
      </c>
      <c r="G3926">
        <v>199</v>
      </c>
      <c r="H3926">
        <v>91</v>
      </c>
      <c r="I3926" s="1" t="s">
        <v>948</v>
      </c>
      <c r="J3926">
        <v>1</v>
      </c>
      <c r="K3926" t="str">
        <f>IF(Tb_data[[#This Row],[previous_workers]]&lt;Tb_data[[#This Row],[workers]],"yes","no")</f>
        <v>yes</v>
      </c>
      <c r="L3926">
        <f>Tb_data[[#This Row],[workers]]-Tb_data[[#This Row],[previous_workers]]</f>
        <v>108</v>
      </c>
      <c r="M3926" s="12">
        <f>Tb_data[[#This Row],[Employees Growth]]/Tb_data[[#This Row],[previous_workers]]</f>
        <v>1.1868131868131868</v>
      </c>
    </row>
    <row r="3927" spans="1:13" x14ac:dyDescent="0.25">
      <c r="A3927" s="1" t="s">
        <v>6121</v>
      </c>
      <c r="B3927" s="1" t="s">
        <v>6122</v>
      </c>
      <c r="C3927" s="1">
        <v>48700000</v>
      </c>
      <c r="D3927" s="1" t="s">
        <v>11</v>
      </c>
      <c r="E3927">
        <v>123.238</v>
      </c>
      <c r="F3927" s="1" t="s">
        <v>152</v>
      </c>
      <c r="G3927">
        <v>203</v>
      </c>
      <c r="H3927">
        <v>115</v>
      </c>
      <c r="I3927" s="1" t="s">
        <v>46</v>
      </c>
      <c r="J3927">
        <v>3</v>
      </c>
      <c r="K3927" t="str">
        <f>IF(Tb_data[[#This Row],[previous_workers]]&lt;Tb_data[[#This Row],[workers]],"yes","no")</f>
        <v>yes</v>
      </c>
      <c r="L3927">
        <f>Tb_data[[#This Row],[workers]]-Tb_data[[#This Row],[previous_workers]]</f>
        <v>88</v>
      </c>
      <c r="M3927" s="12">
        <f>Tb_data[[#This Row],[Employees Growth]]/Tb_data[[#This Row],[previous_workers]]</f>
        <v>0.76521739130434785</v>
      </c>
    </row>
    <row r="3928" spans="1:13" x14ac:dyDescent="0.25">
      <c r="A3928" s="1" t="s">
        <v>5546</v>
      </c>
      <c r="B3928" s="1" t="s">
        <v>5547</v>
      </c>
      <c r="C3928" s="1">
        <v>2900000</v>
      </c>
      <c r="D3928" s="1" t="s">
        <v>20</v>
      </c>
      <c r="E3928">
        <v>140.77269999999999</v>
      </c>
      <c r="F3928" s="1" t="s">
        <v>176</v>
      </c>
      <c r="G3928">
        <v>38</v>
      </c>
      <c r="H3928">
        <v>8</v>
      </c>
      <c r="I3928" s="1" t="s">
        <v>55</v>
      </c>
      <c r="J3928">
        <v>1</v>
      </c>
      <c r="K3928" t="str">
        <f>IF(Tb_data[[#This Row],[previous_workers]]&lt;Tb_data[[#This Row],[workers]],"yes","no")</f>
        <v>yes</v>
      </c>
      <c r="L3928">
        <f>Tb_data[[#This Row],[workers]]-Tb_data[[#This Row],[previous_workers]]</f>
        <v>30</v>
      </c>
      <c r="M3928" s="12">
        <f>Tb_data[[#This Row],[Employees Growth]]/Tb_data[[#This Row],[previous_workers]]</f>
        <v>3.75</v>
      </c>
    </row>
    <row r="3929" spans="1:13" x14ac:dyDescent="0.25">
      <c r="A3929" s="1" t="s">
        <v>1647</v>
      </c>
      <c r="B3929" s="1" t="s">
        <v>1648</v>
      </c>
      <c r="C3929" s="1">
        <v>10900000</v>
      </c>
      <c r="D3929" s="1" t="s">
        <v>33</v>
      </c>
      <c r="E3929">
        <v>560.54449999999997</v>
      </c>
      <c r="F3929" s="1" t="s">
        <v>25</v>
      </c>
      <c r="G3929">
        <v>11</v>
      </c>
      <c r="H3929">
        <v>8</v>
      </c>
      <c r="I3929" s="1" t="s">
        <v>130</v>
      </c>
      <c r="J3929">
        <v>1</v>
      </c>
      <c r="K3929" t="str">
        <f>IF(Tb_data[[#This Row],[previous_workers]]&lt;Tb_data[[#This Row],[workers]],"yes","no")</f>
        <v>yes</v>
      </c>
      <c r="L3929">
        <f>Tb_data[[#This Row],[workers]]-Tb_data[[#This Row],[previous_workers]]</f>
        <v>3</v>
      </c>
      <c r="M3929" s="12">
        <f>Tb_data[[#This Row],[Employees Growth]]/Tb_data[[#This Row],[previous_workers]]</f>
        <v>0.375</v>
      </c>
    </row>
    <row r="3930" spans="1:13" x14ac:dyDescent="0.25">
      <c r="A3930" s="1" t="s">
        <v>5920</v>
      </c>
      <c r="B3930" s="1" t="s">
        <v>5921</v>
      </c>
      <c r="C3930" s="1">
        <v>3600000</v>
      </c>
      <c r="D3930" s="1" t="s">
        <v>49</v>
      </c>
      <c r="E3930">
        <v>128.60069999999999</v>
      </c>
      <c r="F3930" s="1" t="s">
        <v>86</v>
      </c>
      <c r="G3930">
        <v>18</v>
      </c>
      <c r="H3930">
        <v>8</v>
      </c>
      <c r="I3930" s="1" t="s">
        <v>26</v>
      </c>
      <c r="J3930">
        <v>1</v>
      </c>
      <c r="K3930" t="str">
        <f>IF(Tb_data[[#This Row],[previous_workers]]&lt;Tb_data[[#This Row],[workers]],"yes","no")</f>
        <v>yes</v>
      </c>
      <c r="L3930">
        <f>Tb_data[[#This Row],[workers]]-Tb_data[[#This Row],[previous_workers]]</f>
        <v>10</v>
      </c>
      <c r="M3930" s="12">
        <f>Tb_data[[#This Row],[Employees Growth]]/Tb_data[[#This Row],[previous_workers]]</f>
        <v>1.25</v>
      </c>
    </row>
    <row r="3931" spans="1:13" x14ac:dyDescent="0.25">
      <c r="A3931" s="1" t="s">
        <v>3902</v>
      </c>
      <c r="B3931" s="1" t="s">
        <v>3903</v>
      </c>
      <c r="C3931" s="1">
        <v>57700000</v>
      </c>
      <c r="D3931" s="1" t="s">
        <v>20</v>
      </c>
      <c r="E3931">
        <v>213.28639999999999</v>
      </c>
      <c r="F3931" s="1" t="s">
        <v>176</v>
      </c>
      <c r="G3931">
        <v>70</v>
      </c>
      <c r="H3931">
        <v>30</v>
      </c>
      <c r="I3931" s="1" t="s">
        <v>468</v>
      </c>
      <c r="J3931">
        <v>2</v>
      </c>
      <c r="K3931" t="str">
        <f>IF(Tb_data[[#This Row],[previous_workers]]&lt;Tb_data[[#This Row],[workers]],"yes","no")</f>
        <v>yes</v>
      </c>
      <c r="L3931">
        <f>Tb_data[[#This Row],[workers]]-Tb_data[[#This Row],[previous_workers]]</f>
        <v>40</v>
      </c>
      <c r="M3931" s="12">
        <f>Tb_data[[#This Row],[Employees Growth]]/Tb_data[[#This Row],[previous_workers]]</f>
        <v>1.3333333333333333</v>
      </c>
    </row>
    <row r="3932" spans="1:13" x14ac:dyDescent="0.25">
      <c r="A3932" s="1" t="s">
        <v>313</v>
      </c>
      <c r="B3932" s="1" t="s">
        <v>314</v>
      </c>
      <c r="C3932" s="1">
        <v>23600000</v>
      </c>
      <c r="D3932" s="1" t="s">
        <v>49</v>
      </c>
      <c r="E3932">
        <v>2911.1745999999998</v>
      </c>
      <c r="F3932" s="1" t="s">
        <v>161</v>
      </c>
      <c r="G3932">
        <v>740</v>
      </c>
      <c r="H3932">
        <v>5</v>
      </c>
      <c r="I3932" s="1" t="s">
        <v>55</v>
      </c>
      <c r="J3932">
        <v>2</v>
      </c>
      <c r="K3932" t="str">
        <f>IF(Tb_data[[#This Row],[previous_workers]]&lt;Tb_data[[#This Row],[workers]],"yes","no")</f>
        <v>yes</v>
      </c>
      <c r="L3932">
        <f>Tb_data[[#This Row],[workers]]-Tb_data[[#This Row],[previous_workers]]</f>
        <v>735</v>
      </c>
      <c r="M3932" s="12">
        <f>Tb_data[[#This Row],[Employees Growth]]/Tb_data[[#This Row],[previous_workers]]</f>
        <v>147</v>
      </c>
    </row>
    <row r="3933" spans="1:13" x14ac:dyDescent="0.25">
      <c r="A3933" s="1" t="s">
        <v>13</v>
      </c>
      <c r="B3933" s="1" t="s">
        <v>4118</v>
      </c>
      <c r="C3933" s="1">
        <v>11300000</v>
      </c>
      <c r="D3933" s="1" t="s">
        <v>49</v>
      </c>
      <c r="E3933">
        <v>199.5137</v>
      </c>
      <c r="F3933" s="1" t="s">
        <v>25</v>
      </c>
      <c r="G3933">
        <v>50</v>
      </c>
      <c r="H3933">
        <v>17</v>
      </c>
      <c r="I3933" s="1" t="s">
        <v>35</v>
      </c>
      <c r="J3933">
        <v>3</v>
      </c>
      <c r="K3933" t="str">
        <f>IF(Tb_data[[#This Row],[previous_workers]]&lt;Tb_data[[#This Row],[workers]],"yes","no")</f>
        <v>yes</v>
      </c>
      <c r="L3933">
        <f>Tb_data[[#This Row],[workers]]-Tb_data[[#This Row],[previous_workers]]</f>
        <v>33</v>
      </c>
      <c r="M3933" s="12">
        <f>Tb_data[[#This Row],[Employees Growth]]/Tb_data[[#This Row],[previous_workers]]</f>
        <v>1.9411764705882353</v>
      </c>
    </row>
    <row r="3934" spans="1:13" x14ac:dyDescent="0.25">
      <c r="A3934" s="1" t="s">
        <v>108</v>
      </c>
      <c r="B3934" s="1" t="s">
        <v>109</v>
      </c>
      <c r="C3934" s="1">
        <v>10200000</v>
      </c>
      <c r="D3934" s="1" t="s">
        <v>58</v>
      </c>
      <c r="E3934">
        <v>6641.6792999999998</v>
      </c>
      <c r="F3934" s="1" t="s">
        <v>25</v>
      </c>
      <c r="G3934">
        <v>21</v>
      </c>
      <c r="H3934">
        <v>4</v>
      </c>
      <c r="I3934" s="1" t="s">
        <v>55</v>
      </c>
      <c r="J3934">
        <v>1</v>
      </c>
      <c r="K3934" t="str">
        <f>IF(Tb_data[[#This Row],[previous_workers]]&lt;Tb_data[[#This Row],[workers]],"yes","no")</f>
        <v>yes</v>
      </c>
      <c r="L3934">
        <f>Tb_data[[#This Row],[workers]]-Tb_data[[#This Row],[previous_workers]]</f>
        <v>17</v>
      </c>
      <c r="M3934" s="12">
        <f>Tb_data[[#This Row],[Employees Growth]]/Tb_data[[#This Row],[previous_workers]]</f>
        <v>4.25</v>
      </c>
    </row>
    <row r="3935" spans="1:13" x14ac:dyDescent="0.25">
      <c r="A3935" s="1" t="s">
        <v>2040</v>
      </c>
      <c r="B3935" s="1" t="s">
        <v>2041</v>
      </c>
      <c r="C3935" s="1">
        <v>20900000</v>
      </c>
      <c r="D3935" s="1" t="s">
        <v>16</v>
      </c>
      <c r="E3935">
        <v>439.99059999999997</v>
      </c>
      <c r="F3935" s="1" t="s">
        <v>86</v>
      </c>
      <c r="G3935">
        <v>142</v>
      </c>
      <c r="H3935">
        <v>45</v>
      </c>
      <c r="I3935" s="1" t="s">
        <v>55</v>
      </c>
      <c r="J3935">
        <v>2</v>
      </c>
      <c r="K3935" t="str">
        <f>IF(Tb_data[[#This Row],[previous_workers]]&lt;Tb_data[[#This Row],[workers]],"yes","no")</f>
        <v>yes</v>
      </c>
      <c r="L3935">
        <f>Tb_data[[#This Row],[workers]]-Tb_data[[#This Row],[previous_workers]]</f>
        <v>97</v>
      </c>
      <c r="M3935" s="12">
        <f>Tb_data[[#This Row],[Employees Growth]]/Tb_data[[#This Row],[previous_workers]]</f>
        <v>2.1555555555555554</v>
      </c>
    </row>
    <row r="3936" spans="1:13" x14ac:dyDescent="0.25">
      <c r="A3936" s="1" t="s">
        <v>4583</v>
      </c>
      <c r="B3936" s="1" t="s">
        <v>4584</v>
      </c>
      <c r="C3936" s="1">
        <v>6500000</v>
      </c>
      <c r="D3936" s="1" t="s">
        <v>38</v>
      </c>
      <c r="E3936">
        <v>179.20050000000001</v>
      </c>
      <c r="F3936" s="1" t="s">
        <v>30</v>
      </c>
      <c r="G3936">
        <v>10</v>
      </c>
      <c r="H3936">
        <v>5</v>
      </c>
      <c r="I3936" s="1" t="s">
        <v>130</v>
      </c>
      <c r="J3936">
        <v>2</v>
      </c>
      <c r="K3936" t="str">
        <f>IF(Tb_data[[#This Row],[previous_workers]]&lt;Tb_data[[#This Row],[workers]],"yes","no")</f>
        <v>yes</v>
      </c>
      <c r="L3936">
        <f>Tb_data[[#This Row],[workers]]-Tb_data[[#This Row],[previous_workers]]</f>
        <v>5</v>
      </c>
      <c r="M3936" s="12">
        <f>Tb_data[[#This Row],[Employees Growth]]/Tb_data[[#This Row],[previous_workers]]</f>
        <v>1</v>
      </c>
    </row>
    <row r="3937" spans="1:13" x14ac:dyDescent="0.25">
      <c r="A3937" s="1" t="s">
        <v>4437</v>
      </c>
      <c r="B3937" s="1" t="s">
        <v>4438</v>
      </c>
      <c r="C3937" s="1">
        <v>5800000</v>
      </c>
      <c r="D3937" s="1" t="s">
        <v>79</v>
      </c>
      <c r="E3937">
        <v>185.42089999999999</v>
      </c>
      <c r="F3937" s="1" t="s">
        <v>86</v>
      </c>
      <c r="G3937">
        <v>62</v>
      </c>
      <c r="H3937">
        <v>46</v>
      </c>
      <c r="I3937" s="1" t="s">
        <v>164</v>
      </c>
      <c r="J3937">
        <v>3</v>
      </c>
      <c r="K3937" t="str">
        <f>IF(Tb_data[[#This Row],[previous_workers]]&lt;Tb_data[[#This Row],[workers]],"yes","no")</f>
        <v>yes</v>
      </c>
      <c r="L3937">
        <f>Tb_data[[#This Row],[workers]]-Tb_data[[#This Row],[previous_workers]]</f>
        <v>16</v>
      </c>
      <c r="M3937" s="12">
        <f>Tb_data[[#This Row],[Employees Growth]]/Tb_data[[#This Row],[previous_workers]]</f>
        <v>0.34782608695652173</v>
      </c>
    </row>
    <row r="3938" spans="1:13" x14ac:dyDescent="0.25">
      <c r="A3938" s="1" t="s">
        <v>211</v>
      </c>
      <c r="B3938" s="1" t="s">
        <v>212</v>
      </c>
      <c r="C3938" s="1">
        <v>4700000</v>
      </c>
      <c r="D3938" s="1" t="s">
        <v>20</v>
      </c>
      <c r="E3938">
        <v>4279.7745999999997</v>
      </c>
      <c r="F3938" s="1" t="s">
        <v>25</v>
      </c>
      <c r="G3938">
        <v>30</v>
      </c>
      <c r="H3938">
        <v>3</v>
      </c>
      <c r="I3938" s="1" t="s">
        <v>13</v>
      </c>
      <c r="J3938">
        <v>1</v>
      </c>
      <c r="K3938" t="str">
        <f>IF(Tb_data[[#This Row],[previous_workers]]&lt;Tb_data[[#This Row],[workers]],"yes","no")</f>
        <v>yes</v>
      </c>
      <c r="L3938">
        <f>Tb_data[[#This Row],[workers]]-Tb_data[[#This Row],[previous_workers]]</f>
        <v>27</v>
      </c>
      <c r="M3938" s="12">
        <f>Tb_data[[#This Row],[Employees Growth]]/Tb_data[[#This Row],[previous_workers]]</f>
        <v>9</v>
      </c>
    </row>
    <row r="3939" spans="1:13" x14ac:dyDescent="0.25">
      <c r="A3939" s="1" t="s">
        <v>3678</v>
      </c>
      <c r="B3939" s="1" t="s">
        <v>3679</v>
      </c>
      <c r="C3939" s="1">
        <v>13400000</v>
      </c>
      <c r="D3939" s="1" t="s">
        <v>33</v>
      </c>
      <c r="E3939">
        <v>229.59039999999999</v>
      </c>
      <c r="F3939" s="1" t="s">
        <v>17</v>
      </c>
      <c r="G3939">
        <v>400</v>
      </c>
      <c r="H3939">
        <v>125</v>
      </c>
      <c r="I3939" s="1" t="s">
        <v>26</v>
      </c>
      <c r="J3939">
        <v>1</v>
      </c>
      <c r="K3939" t="str">
        <f>IF(Tb_data[[#This Row],[previous_workers]]&lt;Tb_data[[#This Row],[workers]],"yes","no")</f>
        <v>yes</v>
      </c>
      <c r="L3939">
        <f>Tb_data[[#This Row],[workers]]-Tb_data[[#This Row],[previous_workers]]</f>
        <v>275</v>
      </c>
      <c r="M3939" s="12">
        <f>Tb_data[[#This Row],[Employees Growth]]/Tb_data[[#This Row],[previous_workers]]</f>
        <v>2.2000000000000002</v>
      </c>
    </row>
    <row r="3940" spans="1:13" x14ac:dyDescent="0.25">
      <c r="A3940" s="1" t="s">
        <v>6533</v>
      </c>
      <c r="B3940" s="1" t="s">
        <v>6534</v>
      </c>
      <c r="C3940" s="1">
        <v>2300000</v>
      </c>
      <c r="D3940" s="1" t="s">
        <v>61</v>
      </c>
      <c r="E3940">
        <v>112.9924</v>
      </c>
      <c r="F3940" s="1" t="s">
        <v>124</v>
      </c>
      <c r="G3940">
        <v>20</v>
      </c>
      <c r="H3940">
        <v>8</v>
      </c>
      <c r="I3940" s="1" t="s">
        <v>372</v>
      </c>
      <c r="J3940">
        <v>1</v>
      </c>
      <c r="K3940" t="str">
        <f>IF(Tb_data[[#This Row],[previous_workers]]&lt;Tb_data[[#This Row],[workers]],"yes","no")</f>
        <v>yes</v>
      </c>
      <c r="L3940">
        <f>Tb_data[[#This Row],[workers]]-Tb_data[[#This Row],[previous_workers]]</f>
        <v>12</v>
      </c>
      <c r="M3940" s="12">
        <f>Tb_data[[#This Row],[Employees Growth]]/Tb_data[[#This Row],[previous_workers]]</f>
        <v>1.5</v>
      </c>
    </row>
    <row r="3941" spans="1:13" x14ac:dyDescent="0.25">
      <c r="A3941" s="1" t="s">
        <v>4609</v>
      </c>
      <c r="B3941" s="1" t="s">
        <v>4610</v>
      </c>
      <c r="C3941" s="1">
        <v>15200000</v>
      </c>
      <c r="D3941" s="1" t="s">
        <v>49</v>
      </c>
      <c r="E3941">
        <v>178.07320000000001</v>
      </c>
      <c r="F3941" s="1" t="s">
        <v>124</v>
      </c>
      <c r="G3941">
        <v>80</v>
      </c>
      <c r="H3941">
        <v>50</v>
      </c>
      <c r="I3941" s="1" t="s">
        <v>295</v>
      </c>
      <c r="J3941">
        <v>3</v>
      </c>
      <c r="K3941" t="str">
        <f>IF(Tb_data[[#This Row],[previous_workers]]&lt;Tb_data[[#This Row],[workers]],"yes","no")</f>
        <v>yes</v>
      </c>
      <c r="L3941">
        <f>Tb_data[[#This Row],[workers]]-Tb_data[[#This Row],[previous_workers]]</f>
        <v>30</v>
      </c>
      <c r="M3941" s="12">
        <f>Tb_data[[#This Row],[Employees Growth]]/Tb_data[[#This Row],[previous_workers]]</f>
        <v>0.6</v>
      </c>
    </row>
    <row r="3942" spans="1:13" x14ac:dyDescent="0.25">
      <c r="A3942" s="1" t="s">
        <v>1886</v>
      </c>
      <c r="B3942" s="1" t="s">
        <v>1887</v>
      </c>
      <c r="C3942" s="1">
        <v>4700000</v>
      </c>
      <c r="D3942" s="1" t="s">
        <v>33</v>
      </c>
      <c r="E3942">
        <v>477.33699999999999</v>
      </c>
      <c r="F3942" s="1" t="s">
        <v>34</v>
      </c>
      <c r="G3942">
        <v>34</v>
      </c>
      <c r="H3942">
        <v>12</v>
      </c>
      <c r="I3942" s="1" t="s">
        <v>55</v>
      </c>
      <c r="J3942">
        <v>2</v>
      </c>
      <c r="K3942" t="str">
        <f>IF(Tb_data[[#This Row],[previous_workers]]&lt;Tb_data[[#This Row],[workers]],"yes","no")</f>
        <v>yes</v>
      </c>
      <c r="L3942">
        <f>Tb_data[[#This Row],[workers]]-Tb_data[[#This Row],[previous_workers]]</f>
        <v>22</v>
      </c>
      <c r="M3942" s="12">
        <f>Tb_data[[#This Row],[Employees Growth]]/Tb_data[[#This Row],[previous_workers]]</f>
        <v>1.8333333333333333</v>
      </c>
    </row>
    <row r="3943" spans="1:13" x14ac:dyDescent="0.25">
      <c r="A3943" s="1" t="s">
        <v>1950</v>
      </c>
      <c r="B3943" s="1" t="s">
        <v>1951</v>
      </c>
      <c r="C3943" s="1">
        <v>2000000</v>
      </c>
      <c r="D3943" s="1" t="s">
        <v>33</v>
      </c>
      <c r="E3943">
        <v>460.55180000000001</v>
      </c>
      <c r="F3943" s="1" t="s">
        <v>152</v>
      </c>
      <c r="G3943">
        <v>8</v>
      </c>
      <c r="H3943">
        <v>5</v>
      </c>
      <c r="I3943" s="1" t="s">
        <v>55</v>
      </c>
      <c r="J3943">
        <v>1</v>
      </c>
      <c r="K3943" t="str">
        <f>IF(Tb_data[[#This Row],[previous_workers]]&lt;Tb_data[[#This Row],[workers]],"yes","no")</f>
        <v>yes</v>
      </c>
      <c r="L3943">
        <f>Tb_data[[#This Row],[workers]]-Tb_data[[#This Row],[previous_workers]]</f>
        <v>3</v>
      </c>
      <c r="M3943" s="12">
        <f>Tb_data[[#This Row],[Employees Growth]]/Tb_data[[#This Row],[previous_workers]]</f>
        <v>0.6</v>
      </c>
    </row>
    <row r="3944" spans="1:13" x14ac:dyDescent="0.25">
      <c r="A3944" s="1" t="s">
        <v>9734</v>
      </c>
      <c r="B3944" s="1" t="s">
        <v>9735</v>
      </c>
      <c r="C3944" s="1">
        <v>2500000</v>
      </c>
      <c r="D3944" s="1" t="s">
        <v>33</v>
      </c>
      <c r="E3944">
        <v>57.764200000000002</v>
      </c>
      <c r="F3944" s="1" t="s">
        <v>3264</v>
      </c>
      <c r="G3944">
        <v>34</v>
      </c>
      <c r="H3944">
        <v>15</v>
      </c>
      <c r="I3944" s="1" t="s">
        <v>164</v>
      </c>
      <c r="J3944">
        <v>1</v>
      </c>
      <c r="K3944" t="str">
        <f>IF(Tb_data[[#This Row],[previous_workers]]&lt;Tb_data[[#This Row],[workers]],"yes","no")</f>
        <v>yes</v>
      </c>
      <c r="L3944">
        <f>Tb_data[[#This Row],[workers]]-Tb_data[[#This Row],[previous_workers]]</f>
        <v>19</v>
      </c>
      <c r="M3944" s="12">
        <f>Tb_data[[#This Row],[Employees Growth]]/Tb_data[[#This Row],[previous_workers]]</f>
        <v>1.2666666666666666</v>
      </c>
    </row>
    <row r="3945" spans="1:13" x14ac:dyDescent="0.25">
      <c r="A3945" s="1" t="s">
        <v>953</v>
      </c>
      <c r="B3945" s="1" t="s">
        <v>954</v>
      </c>
      <c r="C3945" s="1">
        <v>4300000</v>
      </c>
      <c r="D3945" s="1" t="s">
        <v>52</v>
      </c>
      <c r="E3945">
        <v>1047.1781000000001</v>
      </c>
      <c r="F3945" s="1" t="s">
        <v>142</v>
      </c>
      <c r="G3945">
        <v>13</v>
      </c>
      <c r="H3945">
        <v>1</v>
      </c>
      <c r="I3945" s="1" t="s">
        <v>35</v>
      </c>
      <c r="J3945">
        <v>1</v>
      </c>
      <c r="K3945" t="str">
        <f>IF(Tb_data[[#This Row],[previous_workers]]&lt;Tb_data[[#This Row],[workers]],"yes","no")</f>
        <v>yes</v>
      </c>
      <c r="L3945">
        <f>Tb_data[[#This Row],[workers]]-Tb_data[[#This Row],[previous_workers]]</f>
        <v>12</v>
      </c>
      <c r="M3945" s="12">
        <f>Tb_data[[#This Row],[Employees Growth]]/Tb_data[[#This Row],[previous_workers]]</f>
        <v>12</v>
      </c>
    </row>
    <row r="3946" spans="1:13" x14ac:dyDescent="0.25">
      <c r="A3946" s="1" t="s">
        <v>4016</v>
      </c>
      <c r="B3946" s="1" t="s">
        <v>4017</v>
      </c>
      <c r="C3946" s="1">
        <v>19300000</v>
      </c>
      <c r="D3946" s="1" t="s">
        <v>52</v>
      </c>
      <c r="E3946">
        <v>206.05529999999999</v>
      </c>
      <c r="F3946" s="1" t="s">
        <v>152</v>
      </c>
      <c r="G3946">
        <v>98</v>
      </c>
      <c r="H3946">
        <v>27</v>
      </c>
      <c r="I3946" s="1" t="s">
        <v>46</v>
      </c>
      <c r="J3946">
        <v>1</v>
      </c>
      <c r="K3946" t="str">
        <f>IF(Tb_data[[#This Row],[previous_workers]]&lt;Tb_data[[#This Row],[workers]],"yes","no")</f>
        <v>yes</v>
      </c>
      <c r="L3946">
        <f>Tb_data[[#This Row],[workers]]-Tb_data[[#This Row],[previous_workers]]</f>
        <v>71</v>
      </c>
      <c r="M3946" s="12">
        <f>Tb_data[[#This Row],[Employees Growth]]/Tb_data[[#This Row],[previous_workers]]</f>
        <v>2.6296296296296298</v>
      </c>
    </row>
    <row r="3947" spans="1:13" x14ac:dyDescent="0.25">
      <c r="A3947" s="1" t="s">
        <v>7254</v>
      </c>
      <c r="B3947" s="1" t="s">
        <v>7255</v>
      </c>
      <c r="C3947" s="1">
        <v>7300000</v>
      </c>
      <c r="D3947" s="1" t="s">
        <v>11</v>
      </c>
      <c r="E3947">
        <v>97.671000000000006</v>
      </c>
      <c r="F3947" s="1" t="s">
        <v>34</v>
      </c>
      <c r="G3947">
        <v>20</v>
      </c>
      <c r="H3947">
        <v>13</v>
      </c>
      <c r="I3947" s="1" t="s">
        <v>164</v>
      </c>
      <c r="J3947">
        <v>4</v>
      </c>
      <c r="K3947" t="str">
        <f>IF(Tb_data[[#This Row],[previous_workers]]&lt;Tb_data[[#This Row],[workers]],"yes","no")</f>
        <v>yes</v>
      </c>
      <c r="L3947">
        <f>Tb_data[[#This Row],[workers]]-Tb_data[[#This Row],[previous_workers]]</f>
        <v>7</v>
      </c>
      <c r="M3947" s="12">
        <f>Tb_data[[#This Row],[Employees Growth]]/Tb_data[[#This Row],[previous_workers]]</f>
        <v>0.53846153846153844</v>
      </c>
    </row>
    <row r="3948" spans="1:13" x14ac:dyDescent="0.25">
      <c r="A3948" s="1" t="s">
        <v>5156</v>
      </c>
      <c r="B3948" s="1" t="s">
        <v>5157</v>
      </c>
      <c r="C3948" s="1">
        <v>3800000</v>
      </c>
      <c r="D3948" s="1" t="s">
        <v>29</v>
      </c>
      <c r="E3948">
        <v>155.0599</v>
      </c>
      <c r="F3948" s="1" t="s">
        <v>86</v>
      </c>
      <c r="G3948">
        <v>21</v>
      </c>
      <c r="H3948">
        <v>7</v>
      </c>
      <c r="I3948" s="1" t="s">
        <v>55</v>
      </c>
      <c r="J3948">
        <v>2</v>
      </c>
      <c r="K3948" t="str">
        <f>IF(Tb_data[[#This Row],[previous_workers]]&lt;Tb_data[[#This Row],[workers]],"yes","no")</f>
        <v>yes</v>
      </c>
      <c r="L3948">
        <f>Tb_data[[#This Row],[workers]]-Tb_data[[#This Row],[previous_workers]]</f>
        <v>14</v>
      </c>
      <c r="M3948" s="12">
        <f>Tb_data[[#This Row],[Employees Growth]]/Tb_data[[#This Row],[previous_workers]]</f>
        <v>2</v>
      </c>
    </row>
    <row r="3949" spans="1:13" x14ac:dyDescent="0.25">
      <c r="A3949" s="1" t="s">
        <v>5166</v>
      </c>
      <c r="B3949" s="1" t="s">
        <v>5167</v>
      </c>
      <c r="C3949" s="1">
        <v>24900000</v>
      </c>
      <c r="D3949" s="1" t="s">
        <v>179</v>
      </c>
      <c r="E3949">
        <v>154.73419999999999</v>
      </c>
      <c r="F3949" s="1" t="s">
        <v>12</v>
      </c>
      <c r="G3949">
        <v>215</v>
      </c>
      <c r="H3949">
        <v>150</v>
      </c>
      <c r="I3949" s="1" t="s">
        <v>117</v>
      </c>
      <c r="J3949">
        <v>2</v>
      </c>
      <c r="K3949" t="str">
        <f>IF(Tb_data[[#This Row],[previous_workers]]&lt;Tb_data[[#This Row],[workers]],"yes","no")</f>
        <v>yes</v>
      </c>
      <c r="L3949">
        <f>Tb_data[[#This Row],[workers]]-Tb_data[[#This Row],[previous_workers]]</f>
        <v>65</v>
      </c>
      <c r="M3949" s="12">
        <f>Tb_data[[#This Row],[Employees Growth]]/Tb_data[[#This Row],[previous_workers]]</f>
        <v>0.43333333333333335</v>
      </c>
    </row>
    <row r="3950" spans="1:13" x14ac:dyDescent="0.25">
      <c r="A3950" s="1" t="s">
        <v>3001</v>
      </c>
      <c r="B3950" s="1" t="s">
        <v>3002</v>
      </c>
      <c r="C3950" s="1">
        <v>5300000</v>
      </c>
      <c r="D3950" s="1" t="s">
        <v>52</v>
      </c>
      <c r="E3950">
        <v>286.89870000000002</v>
      </c>
      <c r="F3950" s="1" t="s">
        <v>21</v>
      </c>
      <c r="G3950">
        <v>25</v>
      </c>
      <c r="H3950">
        <v>13</v>
      </c>
      <c r="I3950" s="1" t="s">
        <v>26</v>
      </c>
      <c r="J3950">
        <v>1</v>
      </c>
      <c r="K3950" t="str">
        <f>IF(Tb_data[[#This Row],[previous_workers]]&lt;Tb_data[[#This Row],[workers]],"yes","no")</f>
        <v>yes</v>
      </c>
      <c r="L3950">
        <f>Tb_data[[#This Row],[workers]]-Tb_data[[#This Row],[previous_workers]]</f>
        <v>12</v>
      </c>
      <c r="M3950" s="12">
        <f>Tb_data[[#This Row],[Employees Growth]]/Tb_data[[#This Row],[previous_workers]]</f>
        <v>0.92307692307692313</v>
      </c>
    </row>
    <row r="3951" spans="1:13" x14ac:dyDescent="0.25">
      <c r="A3951" s="1" t="s">
        <v>6027</v>
      </c>
      <c r="B3951" s="1" t="s">
        <v>6028</v>
      </c>
      <c r="C3951" s="1">
        <v>12600000</v>
      </c>
      <c r="D3951" s="1" t="s">
        <v>49</v>
      </c>
      <c r="E3951">
        <v>125.9329</v>
      </c>
      <c r="F3951" s="1" t="s">
        <v>34</v>
      </c>
      <c r="G3951">
        <v>75</v>
      </c>
      <c r="H3951">
        <v>35</v>
      </c>
      <c r="I3951" s="1" t="s">
        <v>1356</v>
      </c>
      <c r="J3951">
        <v>2</v>
      </c>
      <c r="K3951" t="str">
        <f>IF(Tb_data[[#This Row],[previous_workers]]&lt;Tb_data[[#This Row],[workers]],"yes","no")</f>
        <v>yes</v>
      </c>
      <c r="L3951">
        <f>Tb_data[[#This Row],[workers]]-Tb_data[[#This Row],[previous_workers]]</f>
        <v>40</v>
      </c>
      <c r="M3951" s="12">
        <f>Tb_data[[#This Row],[Employees Growth]]/Tb_data[[#This Row],[previous_workers]]</f>
        <v>1.1428571428571428</v>
      </c>
    </row>
    <row r="3952" spans="1:13" x14ac:dyDescent="0.25">
      <c r="A3952" s="1" t="s">
        <v>2639</v>
      </c>
      <c r="B3952" s="1" t="s">
        <v>2640</v>
      </c>
      <c r="C3952" s="1">
        <v>12300000</v>
      </c>
      <c r="D3952" s="1" t="s">
        <v>49</v>
      </c>
      <c r="E3952">
        <v>327.68439999999998</v>
      </c>
      <c r="F3952" s="1" t="s">
        <v>30</v>
      </c>
      <c r="G3952">
        <v>48</v>
      </c>
      <c r="H3952">
        <v>15</v>
      </c>
      <c r="I3952" s="1" t="s">
        <v>194</v>
      </c>
      <c r="J3952">
        <v>4</v>
      </c>
      <c r="K3952" t="str">
        <f>IF(Tb_data[[#This Row],[previous_workers]]&lt;Tb_data[[#This Row],[workers]],"yes","no")</f>
        <v>yes</v>
      </c>
      <c r="L3952">
        <f>Tb_data[[#This Row],[workers]]-Tb_data[[#This Row],[previous_workers]]</f>
        <v>33</v>
      </c>
      <c r="M3952" s="12">
        <f>Tb_data[[#This Row],[Employees Growth]]/Tb_data[[#This Row],[previous_workers]]</f>
        <v>2.2000000000000002</v>
      </c>
    </row>
    <row r="3953" spans="1:13" x14ac:dyDescent="0.25">
      <c r="A3953" s="1" t="s">
        <v>4274</v>
      </c>
      <c r="B3953" s="1" t="s">
        <v>4275</v>
      </c>
      <c r="C3953" s="1">
        <v>111400000</v>
      </c>
      <c r="D3953" s="1" t="s">
        <v>895</v>
      </c>
      <c r="E3953">
        <v>192.57929999999999</v>
      </c>
      <c r="F3953" s="1" t="s">
        <v>86</v>
      </c>
      <c r="G3953">
        <v>623</v>
      </c>
      <c r="H3953">
        <v>223</v>
      </c>
      <c r="I3953" s="1" t="s">
        <v>1051</v>
      </c>
      <c r="J3953">
        <v>12</v>
      </c>
      <c r="K3953" t="str">
        <f>IF(Tb_data[[#This Row],[previous_workers]]&lt;Tb_data[[#This Row],[workers]],"yes","no")</f>
        <v>yes</v>
      </c>
      <c r="L3953">
        <f>Tb_data[[#This Row],[workers]]-Tb_data[[#This Row],[previous_workers]]</f>
        <v>400</v>
      </c>
      <c r="M3953" s="12">
        <f>Tb_data[[#This Row],[Employees Growth]]/Tb_data[[#This Row],[previous_workers]]</f>
        <v>1.7937219730941705</v>
      </c>
    </row>
    <row r="3954" spans="1:13" x14ac:dyDescent="0.25">
      <c r="A3954" s="1" t="s">
        <v>8083</v>
      </c>
      <c r="B3954" s="1" t="s">
        <v>8084</v>
      </c>
      <c r="C3954" s="1">
        <v>76100000</v>
      </c>
      <c r="D3954" s="1" t="s">
        <v>20</v>
      </c>
      <c r="E3954">
        <v>81.244100000000003</v>
      </c>
      <c r="F3954" s="1" t="s">
        <v>94</v>
      </c>
      <c r="G3954">
        <v>225</v>
      </c>
      <c r="H3954">
        <v>117</v>
      </c>
      <c r="I3954" s="1" t="s">
        <v>46</v>
      </c>
      <c r="J3954">
        <v>3</v>
      </c>
      <c r="K3954" t="str">
        <f>IF(Tb_data[[#This Row],[previous_workers]]&lt;Tb_data[[#This Row],[workers]],"yes","no")</f>
        <v>yes</v>
      </c>
      <c r="L3954">
        <f>Tb_data[[#This Row],[workers]]-Tb_data[[#This Row],[previous_workers]]</f>
        <v>108</v>
      </c>
      <c r="M3954" s="12">
        <f>Tb_data[[#This Row],[Employees Growth]]/Tb_data[[#This Row],[previous_workers]]</f>
        <v>0.92307692307692313</v>
      </c>
    </row>
    <row r="3955" spans="1:13" x14ac:dyDescent="0.25">
      <c r="A3955" s="1" t="s">
        <v>1442</v>
      </c>
      <c r="B3955" s="1" t="s">
        <v>1443</v>
      </c>
      <c r="C3955" s="1">
        <v>13200000</v>
      </c>
      <c r="D3955" s="1" t="s">
        <v>20</v>
      </c>
      <c r="E3955">
        <v>652.88160000000005</v>
      </c>
      <c r="F3955" s="1" t="s">
        <v>100</v>
      </c>
      <c r="G3955">
        <v>105</v>
      </c>
      <c r="H3955">
        <v>17</v>
      </c>
      <c r="I3955" s="1" t="s">
        <v>55</v>
      </c>
      <c r="J3955">
        <v>1</v>
      </c>
      <c r="K3955" t="str">
        <f>IF(Tb_data[[#This Row],[previous_workers]]&lt;Tb_data[[#This Row],[workers]],"yes","no")</f>
        <v>yes</v>
      </c>
      <c r="L3955">
        <f>Tb_data[[#This Row],[workers]]-Tb_data[[#This Row],[previous_workers]]</f>
        <v>88</v>
      </c>
      <c r="M3955" s="12">
        <f>Tb_data[[#This Row],[Employees Growth]]/Tb_data[[#This Row],[previous_workers]]</f>
        <v>5.1764705882352944</v>
      </c>
    </row>
    <row r="3956" spans="1:13" x14ac:dyDescent="0.25">
      <c r="A3956" s="1" t="s">
        <v>10076</v>
      </c>
      <c r="B3956" s="1" t="s">
        <v>10077</v>
      </c>
      <c r="C3956" s="1">
        <v>20500000</v>
      </c>
      <c r="D3956" s="1" t="s">
        <v>58</v>
      </c>
      <c r="E3956">
        <v>52.5381</v>
      </c>
      <c r="F3956" s="1" t="s">
        <v>94</v>
      </c>
      <c r="G3956">
        <v>65</v>
      </c>
      <c r="H3956">
        <v>92</v>
      </c>
      <c r="I3956" s="1" t="s">
        <v>130</v>
      </c>
      <c r="J3956">
        <v>6</v>
      </c>
      <c r="K3956" t="str">
        <f>IF(Tb_data[[#This Row],[previous_workers]]&lt;Tb_data[[#This Row],[workers]],"yes","no")</f>
        <v>no</v>
      </c>
      <c r="L3956">
        <f>Tb_data[[#This Row],[workers]]-Tb_data[[#This Row],[previous_workers]]</f>
        <v>-27</v>
      </c>
      <c r="M3956" s="12">
        <f>Tb_data[[#This Row],[Employees Growth]]/Tb_data[[#This Row],[previous_workers]]</f>
        <v>-0.29347826086956524</v>
      </c>
    </row>
    <row r="3957" spans="1:13" x14ac:dyDescent="0.25">
      <c r="A3957" s="1" t="s">
        <v>1352</v>
      </c>
      <c r="B3957" s="1" t="s">
        <v>1353</v>
      </c>
      <c r="C3957" s="1">
        <v>5700000</v>
      </c>
      <c r="D3957" s="1" t="s">
        <v>321</v>
      </c>
      <c r="E3957">
        <v>703.52639999999997</v>
      </c>
      <c r="F3957" s="1" t="s">
        <v>94</v>
      </c>
      <c r="G3957">
        <v>14</v>
      </c>
      <c r="H3957">
        <v>1</v>
      </c>
      <c r="I3957" s="1" t="s">
        <v>55</v>
      </c>
      <c r="J3957">
        <v>1</v>
      </c>
      <c r="K3957" t="str">
        <f>IF(Tb_data[[#This Row],[previous_workers]]&lt;Tb_data[[#This Row],[workers]],"yes","no")</f>
        <v>yes</v>
      </c>
      <c r="L3957">
        <f>Tb_data[[#This Row],[workers]]-Tb_data[[#This Row],[previous_workers]]</f>
        <v>13</v>
      </c>
      <c r="M3957" s="12">
        <f>Tb_data[[#This Row],[Employees Growth]]/Tb_data[[#This Row],[previous_workers]]</f>
        <v>13</v>
      </c>
    </row>
    <row r="3958" spans="1:13" x14ac:dyDescent="0.25">
      <c r="A3958" s="1" t="s">
        <v>4278</v>
      </c>
      <c r="B3958" s="1" t="s">
        <v>4279</v>
      </c>
      <c r="C3958" s="1">
        <v>8900000</v>
      </c>
      <c r="D3958" s="1" t="s">
        <v>49</v>
      </c>
      <c r="E3958">
        <v>192.07650000000001</v>
      </c>
      <c r="F3958" s="1" t="s">
        <v>12</v>
      </c>
      <c r="G3958">
        <v>53</v>
      </c>
      <c r="H3958">
        <v>23</v>
      </c>
      <c r="I3958" s="1" t="s">
        <v>46</v>
      </c>
      <c r="J3958">
        <v>3</v>
      </c>
      <c r="K3958" t="str">
        <f>IF(Tb_data[[#This Row],[previous_workers]]&lt;Tb_data[[#This Row],[workers]],"yes","no")</f>
        <v>yes</v>
      </c>
      <c r="L3958">
        <f>Tb_data[[#This Row],[workers]]-Tb_data[[#This Row],[previous_workers]]</f>
        <v>30</v>
      </c>
      <c r="M3958" s="12">
        <f>Tb_data[[#This Row],[Employees Growth]]/Tb_data[[#This Row],[previous_workers]]</f>
        <v>1.3043478260869565</v>
      </c>
    </row>
    <row r="3959" spans="1:13" x14ac:dyDescent="0.25">
      <c r="A3959" s="1" t="s">
        <v>7955</v>
      </c>
      <c r="B3959" s="1" t="s">
        <v>7956</v>
      </c>
      <c r="C3959" s="1">
        <v>5800000</v>
      </c>
      <c r="D3959" s="1" t="s">
        <v>52</v>
      </c>
      <c r="E3959">
        <v>83.828599999999994</v>
      </c>
      <c r="F3959" s="1" t="s">
        <v>12</v>
      </c>
      <c r="G3959">
        <v>15</v>
      </c>
      <c r="H3959">
        <v>12</v>
      </c>
      <c r="I3959" s="1" t="s">
        <v>117</v>
      </c>
      <c r="J3959">
        <v>5</v>
      </c>
      <c r="K3959" t="str">
        <f>IF(Tb_data[[#This Row],[previous_workers]]&lt;Tb_data[[#This Row],[workers]],"yes","no")</f>
        <v>yes</v>
      </c>
      <c r="L3959">
        <f>Tb_data[[#This Row],[workers]]-Tb_data[[#This Row],[previous_workers]]</f>
        <v>3</v>
      </c>
      <c r="M3959" s="12">
        <f>Tb_data[[#This Row],[Employees Growth]]/Tb_data[[#This Row],[previous_workers]]</f>
        <v>0.25</v>
      </c>
    </row>
    <row r="3960" spans="1:13" x14ac:dyDescent="0.25">
      <c r="A3960" s="1" t="s">
        <v>5786</v>
      </c>
      <c r="B3960" s="1" t="s">
        <v>5787</v>
      </c>
      <c r="C3960" s="1">
        <v>8900000</v>
      </c>
      <c r="D3960" s="1" t="s">
        <v>427</v>
      </c>
      <c r="E3960">
        <v>131.60890000000001</v>
      </c>
      <c r="F3960" s="1" t="s">
        <v>86</v>
      </c>
      <c r="G3960">
        <v>73</v>
      </c>
      <c r="H3960">
        <v>73</v>
      </c>
      <c r="I3960" s="1" t="s">
        <v>117</v>
      </c>
      <c r="J3960">
        <v>4</v>
      </c>
      <c r="K3960" t="str">
        <f>IF(Tb_data[[#This Row],[previous_workers]]&lt;Tb_data[[#This Row],[workers]],"yes","no")</f>
        <v>no</v>
      </c>
      <c r="L3960">
        <f>Tb_data[[#This Row],[workers]]-Tb_data[[#This Row],[previous_workers]]</f>
        <v>0</v>
      </c>
      <c r="M3960" s="12">
        <f>Tb_data[[#This Row],[Employees Growth]]/Tb_data[[#This Row],[previous_workers]]</f>
        <v>0</v>
      </c>
    </row>
    <row r="3961" spans="1:13" x14ac:dyDescent="0.25">
      <c r="A3961" s="1" t="s">
        <v>4730</v>
      </c>
      <c r="B3961" s="1" t="s">
        <v>4731</v>
      </c>
      <c r="C3961" s="1">
        <v>2700000</v>
      </c>
      <c r="D3961" s="1" t="s">
        <v>422</v>
      </c>
      <c r="E3961">
        <v>173.57650000000001</v>
      </c>
      <c r="F3961" s="1" t="s">
        <v>124</v>
      </c>
      <c r="G3961">
        <v>16</v>
      </c>
      <c r="H3961">
        <v>7</v>
      </c>
      <c r="I3961" s="1" t="s">
        <v>46</v>
      </c>
      <c r="J3961">
        <v>1</v>
      </c>
      <c r="K3961" t="str">
        <f>IF(Tb_data[[#This Row],[previous_workers]]&lt;Tb_data[[#This Row],[workers]],"yes","no")</f>
        <v>yes</v>
      </c>
      <c r="L3961">
        <f>Tb_data[[#This Row],[workers]]-Tb_data[[#This Row],[previous_workers]]</f>
        <v>9</v>
      </c>
      <c r="M3961" s="12">
        <f>Tb_data[[#This Row],[Employees Growth]]/Tb_data[[#This Row],[previous_workers]]</f>
        <v>1.2857142857142858</v>
      </c>
    </row>
    <row r="3962" spans="1:13" x14ac:dyDescent="0.25">
      <c r="A3962" s="1" t="s">
        <v>5802</v>
      </c>
      <c r="B3962" s="1" t="s">
        <v>5803</v>
      </c>
      <c r="C3962" s="1">
        <v>4900000</v>
      </c>
      <c r="D3962" s="1" t="s">
        <v>38</v>
      </c>
      <c r="E3962">
        <v>131.3126</v>
      </c>
      <c r="F3962" s="1" t="s">
        <v>12</v>
      </c>
      <c r="G3962">
        <v>81</v>
      </c>
      <c r="H3962">
        <v>48</v>
      </c>
      <c r="I3962" s="1" t="s">
        <v>164</v>
      </c>
      <c r="J3962">
        <v>3</v>
      </c>
      <c r="K3962" t="str">
        <f>IF(Tb_data[[#This Row],[previous_workers]]&lt;Tb_data[[#This Row],[workers]],"yes","no")</f>
        <v>yes</v>
      </c>
      <c r="L3962">
        <f>Tb_data[[#This Row],[workers]]-Tb_data[[#This Row],[previous_workers]]</f>
        <v>33</v>
      </c>
      <c r="M3962" s="12">
        <f>Tb_data[[#This Row],[Employees Growth]]/Tb_data[[#This Row],[previous_workers]]</f>
        <v>0.6875</v>
      </c>
    </row>
    <row r="3963" spans="1:13" x14ac:dyDescent="0.25">
      <c r="A3963" s="1" t="s">
        <v>8141</v>
      </c>
      <c r="B3963" s="1" t="s">
        <v>8142</v>
      </c>
      <c r="C3963" s="1">
        <v>2900000</v>
      </c>
      <c r="D3963" s="1" t="s">
        <v>3768</v>
      </c>
      <c r="E3963">
        <v>80.576499999999996</v>
      </c>
      <c r="F3963" s="1" t="s">
        <v>34</v>
      </c>
      <c r="G3963">
        <v>9</v>
      </c>
      <c r="H3963">
        <v>6</v>
      </c>
      <c r="I3963" s="1" t="s">
        <v>117</v>
      </c>
      <c r="J3963">
        <v>1</v>
      </c>
      <c r="K3963" t="str">
        <f>IF(Tb_data[[#This Row],[previous_workers]]&lt;Tb_data[[#This Row],[workers]],"yes","no")</f>
        <v>yes</v>
      </c>
      <c r="L3963">
        <f>Tb_data[[#This Row],[workers]]-Tb_data[[#This Row],[previous_workers]]</f>
        <v>3</v>
      </c>
      <c r="M3963" s="12">
        <f>Tb_data[[#This Row],[Employees Growth]]/Tb_data[[#This Row],[previous_workers]]</f>
        <v>0.5</v>
      </c>
    </row>
    <row r="3964" spans="1:13" x14ac:dyDescent="0.25">
      <c r="A3964" s="1" t="s">
        <v>4475</v>
      </c>
      <c r="B3964" s="1" t="s">
        <v>4476</v>
      </c>
      <c r="C3964" s="1">
        <v>12400000</v>
      </c>
      <c r="D3964" s="1" t="s">
        <v>20</v>
      </c>
      <c r="E3964">
        <v>183.74629999999999</v>
      </c>
      <c r="F3964" s="1" t="s">
        <v>34</v>
      </c>
      <c r="G3964">
        <v>154</v>
      </c>
      <c r="H3964">
        <v>60</v>
      </c>
      <c r="I3964" s="1" t="s">
        <v>130</v>
      </c>
      <c r="J3964">
        <v>2</v>
      </c>
      <c r="K3964" t="str">
        <f>IF(Tb_data[[#This Row],[previous_workers]]&lt;Tb_data[[#This Row],[workers]],"yes","no")</f>
        <v>yes</v>
      </c>
      <c r="L3964">
        <f>Tb_data[[#This Row],[workers]]-Tb_data[[#This Row],[previous_workers]]</f>
        <v>94</v>
      </c>
      <c r="M3964" s="12">
        <f>Tb_data[[#This Row],[Employees Growth]]/Tb_data[[#This Row],[previous_workers]]</f>
        <v>1.5666666666666667</v>
      </c>
    </row>
    <row r="3965" spans="1:13" x14ac:dyDescent="0.25">
      <c r="A3965" s="1" t="s">
        <v>9503</v>
      </c>
      <c r="B3965" s="1" t="s">
        <v>9504</v>
      </c>
      <c r="C3965" s="1">
        <v>49300000</v>
      </c>
      <c r="D3965" s="1" t="s">
        <v>20</v>
      </c>
      <c r="E3965">
        <v>60.282800000000002</v>
      </c>
      <c r="F3965" s="1" t="s">
        <v>21</v>
      </c>
      <c r="G3965">
        <v>101</v>
      </c>
      <c r="H3965">
        <v>24</v>
      </c>
      <c r="I3965" s="1" t="s">
        <v>4071</v>
      </c>
      <c r="J3965">
        <v>1</v>
      </c>
      <c r="K3965" t="str">
        <f>IF(Tb_data[[#This Row],[previous_workers]]&lt;Tb_data[[#This Row],[workers]],"yes","no")</f>
        <v>yes</v>
      </c>
      <c r="L3965">
        <f>Tb_data[[#This Row],[workers]]-Tb_data[[#This Row],[previous_workers]]</f>
        <v>77</v>
      </c>
      <c r="M3965" s="12">
        <f>Tb_data[[#This Row],[Employees Growth]]/Tb_data[[#This Row],[previous_workers]]</f>
        <v>3.2083333333333335</v>
      </c>
    </row>
    <row r="3966" spans="1:13" x14ac:dyDescent="0.25">
      <c r="A3966" s="1" t="s">
        <v>4740</v>
      </c>
      <c r="B3966" s="1" t="s">
        <v>4741</v>
      </c>
      <c r="C3966" s="1">
        <v>213900000</v>
      </c>
      <c r="D3966" s="1" t="s">
        <v>33</v>
      </c>
      <c r="E3966">
        <v>173.29409999999999</v>
      </c>
      <c r="F3966" s="1" t="s">
        <v>34</v>
      </c>
      <c r="G3966">
        <v>148</v>
      </c>
      <c r="H3966">
        <v>95</v>
      </c>
      <c r="I3966" s="1" t="s">
        <v>948</v>
      </c>
      <c r="J3966">
        <v>11</v>
      </c>
      <c r="K3966" t="str">
        <f>IF(Tb_data[[#This Row],[previous_workers]]&lt;Tb_data[[#This Row],[workers]],"yes","no")</f>
        <v>yes</v>
      </c>
      <c r="L3966">
        <f>Tb_data[[#This Row],[workers]]-Tb_data[[#This Row],[previous_workers]]</f>
        <v>53</v>
      </c>
      <c r="M3966" s="12">
        <f>Tb_data[[#This Row],[Employees Growth]]/Tb_data[[#This Row],[previous_workers]]</f>
        <v>0.55789473684210522</v>
      </c>
    </row>
    <row r="3967" spans="1:13" x14ac:dyDescent="0.25">
      <c r="A3967" s="1" t="s">
        <v>3250</v>
      </c>
      <c r="B3967" s="1" t="s">
        <v>3251</v>
      </c>
      <c r="C3967" s="1">
        <v>25100000</v>
      </c>
      <c r="D3967" s="1" t="s">
        <v>115</v>
      </c>
      <c r="E3967">
        <v>264.80439999999999</v>
      </c>
      <c r="F3967" s="1" t="s">
        <v>156</v>
      </c>
      <c r="G3967">
        <v>76</v>
      </c>
      <c r="H3967">
        <v>20</v>
      </c>
      <c r="I3967" s="1" t="s">
        <v>26</v>
      </c>
      <c r="J3967">
        <v>1</v>
      </c>
      <c r="K3967" t="str">
        <f>IF(Tb_data[[#This Row],[previous_workers]]&lt;Tb_data[[#This Row],[workers]],"yes","no")</f>
        <v>yes</v>
      </c>
      <c r="L3967">
        <f>Tb_data[[#This Row],[workers]]-Tb_data[[#This Row],[previous_workers]]</f>
        <v>56</v>
      </c>
      <c r="M3967" s="12">
        <f>Tb_data[[#This Row],[Employees Growth]]/Tb_data[[#This Row],[previous_workers]]</f>
        <v>2.8</v>
      </c>
    </row>
    <row r="3968" spans="1:13" x14ac:dyDescent="0.25">
      <c r="A3968" s="1" t="s">
        <v>7641</v>
      </c>
      <c r="B3968" s="1" t="s">
        <v>7642</v>
      </c>
      <c r="C3968" s="1">
        <v>21700000</v>
      </c>
      <c r="D3968" s="1" t="s">
        <v>33</v>
      </c>
      <c r="E3968">
        <v>89.145300000000006</v>
      </c>
      <c r="F3968" s="1" t="s">
        <v>100</v>
      </c>
      <c r="G3968">
        <v>205</v>
      </c>
      <c r="H3968">
        <v>89</v>
      </c>
      <c r="I3968" s="1" t="s">
        <v>117</v>
      </c>
      <c r="J3968">
        <v>3</v>
      </c>
      <c r="K3968" t="str">
        <f>IF(Tb_data[[#This Row],[previous_workers]]&lt;Tb_data[[#This Row],[workers]],"yes","no")</f>
        <v>yes</v>
      </c>
      <c r="L3968">
        <f>Tb_data[[#This Row],[workers]]-Tb_data[[#This Row],[previous_workers]]</f>
        <v>116</v>
      </c>
      <c r="M3968" s="12">
        <f>Tb_data[[#This Row],[Employees Growth]]/Tb_data[[#This Row],[previous_workers]]</f>
        <v>1.303370786516854</v>
      </c>
    </row>
    <row r="3969" spans="1:13" x14ac:dyDescent="0.25">
      <c r="A3969" s="1" t="s">
        <v>673</v>
      </c>
      <c r="B3969" s="1" t="s">
        <v>674</v>
      </c>
      <c r="C3969" s="1">
        <v>9800000</v>
      </c>
      <c r="D3969" s="1" t="s">
        <v>41</v>
      </c>
      <c r="E3969">
        <v>1517.8234</v>
      </c>
      <c r="F3969" s="1" t="s">
        <v>97</v>
      </c>
      <c r="G3969">
        <v>175</v>
      </c>
      <c r="H3969">
        <v>4</v>
      </c>
      <c r="I3969" s="1" t="s">
        <v>229</v>
      </c>
      <c r="J3969">
        <v>1</v>
      </c>
      <c r="K3969" t="str">
        <f>IF(Tb_data[[#This Row],[previous_workers]]&lt;Tb_data[[#This Row],[workers]],"yes","no")</f>
        <v>yes</v>
      </c>
      <c r="L3969">
        <f>Tb_data[[#This Row],[workers]]-Tb_data[[#This Row],[previous_workers]]</f>
        <v>171</v>
      </c>
      <c r="M3969" s="12">
        <f>Tb_data[[#This Row],[Employees Growth]]/Tb_data[[#This Row],[previous_workers]]</f>
        <v>42.75</v>
      </c>
    </row>
    <row r="3970" spans="1:13" x14ac:dyDescent="0.25">
      <c r="A3970" s="1" t="s">
        <v>794</v>
      </c>
      <c r="B3970" s="1" t="s">
        <v>795</v>
      </c>
      <c r="C3970" s="1">
        <v>24200000</v>
      </c>
      <c r="D3970" s="1" t="s">
        <v>49</v>
      </c>
      <c r="E3970">
        <v>1293.0074999999999</v>
      </c>
      <c r="F3970" s="1" t="s">
        <v>21</v>
      </c>
      <c r="G3970">
        <v>166</v>
      </c>
      <c r="H3970">
        <v>37</v>
      </c>
      <c r="I3970" s="1" t="s">
        <v>26</v>
      </c>
      <c r="J3970">
        <v>2</v>
      </c>
      <c r="K3970" t="str">
        <f>IF(Tb_data[[#This Row],[previous_workers]]&lt;Tb_data[[#This Row],[workers]],"yes","no")</f>
        <v>yes</v>
      </c>
      <c r="L3970">
        <f>Tb_data[[#This Row],[workers]]-Tb_data[[#This Row],[previous_workers]]</f>
        <v>129</v>
      </c>
      <c r="M3970" s="12">
        <f>Tb_data[[#This Row],[Employees Growth]]/Tb_data[[#This Row],[previous_workers]]</f>
        <v>3.4864864864864864</v>
      </c>
    </row>
    <row r="3971" spans="1:13" x14ac:dyDescent="0.25">
      <c r="A3971" s="1" t="s">
        <v>5888</v>
      </c>
      <c r="B3971" s="1" t="s">
        <v>5889</v>
      </c>
      <c r="C3971" s="1">
        <v>2400000</v>
      </c>
      <c r="D3971" s="1" t="s">
        <v>155</v>
      </c>
      <c r="E3971">
        <v>129.3006</v>
      </c>
      <c r="F3971" s="1" t="s">
        <v>12</v>
      </c>
      <c r="G3971">
        <v>22</v>
      </c>
      <c r="H3971">
        <v>9</v>
      </c>
      <c r="I3971" s="1" t="s">
        <v>117</v>
      </c>
      <c r="J3971">
        <v>2</v>
      </c>
      <c r="K3971" t="str">
        <f>IF(Tb_data[[#This Row],[previous_workers]]&lt;Tb_data[[#This Row],[workers]],"yes","no")</f>
        <v>yes</v>
      </c>
      <c r="L3971">
        <f>Tb_data[[#This Row],[workers]]-Tb_data[[#This Row],[previous_workers]]</f>
        <v>13</v>
      </c>
      <c r="M3971" s="12">
        <f>Tb_data[[#This Row],[Employees Growth]]/Tb_data[[#This Row],[previous_workers]]</f>
        <v>1.4444444444444444</v>
      </c>
    </row>
    <row r="3972" spans="1:13" x14ac:dyDescent="0.25">
      <c r="A3972" s="1" t="s">
        <v>6105</v>
      </c>
      <c r="B3972" s="1" t="s">
        <v>6106</v>
      </c>
      <c r="C3972" s="1">
        <v>7800000</v>
      </c>
      <c r="D3972" s="1" t="s">
        <v>155</v>
      </c>
      <c r="E3972">
        <v>123.648</v>
      </c>
      <c r="F3972" s="1" t="s">
        <v>25</v>
      </c>
      <c r="G3972">
        <v>33</v>
      </c>
      <c r="H3972">
        <v>10</v>
      </c>
      <c r="I3972" s="1" t="s">
        <v>164</v>
      </c>
      <c r="J3972">
        <v>1</v>
      </c>
      <c r="K3972" t="str">
        <f>IF(Tb_data[[#This Row],[previous_workers]]&lt;Tb_data[[#This Row],[workers]],"yes","no")</f>
        <v>yes</v>
      </c>
      <c r="L3972">
        <f>Tb_data[[#This Row],[workers]]-Tb_data[[#This Row],[previous_workers]]</f>
        <v>23</v>
      </c>
      <c r="M3972" s="12">
        <f>Tb_data[[#This Row],[Employees Growth]]/Tb_data[[#This Row],[previous_workers]]</f>
        <v>2.2999999999999998</v>
      </c>
    </row>
    <row r="3973" spans="1:13" x14ac:dyDescent="0.25">
      <c r="A3973" s="1" t="s">
        <v>1580</v>
      </c>
      <c r="B3973" s="1" t="s">
        <v>1581</v>
      </c>
      <c r="C3973" s="1">
        <v>30200000</v>
      </c>
      <c r="D3973" s="1" t="s">
        <v>58</v>
      </c>
      <c r="E3973">
        <v>591.65329999999994</v>
      </c>
      <c r="F3973" s="1" t="s">
        <v>310</v>
      </c>
      <c r="G3973">
        <v>375</v>
      </c>
      <c r="H3973">
        <v>57</v>
      </c>
      <c r="I3973" s="1" t="s">
        <v>26</v>
      </c>
      <c r="J3973">
        <v>1</v>
      </c>
      <c r="K3973" t="str">
        <f>IF(Tb_data[[#This Row],[previous_workers]]&lt;Tb_data[[#This Row],[workers]],"yes","no")</f>
        <v>yes</v>
      </c>
      <c r="L3973">
        <f>Tb_data[[#This Row],[workers]]-Tb_data[[#This Row],[previous_workers]]</f>
        <v>318</v>
      </c>
      <c r="M3973" s="12">
        <f>Tb_data[[#This Row],[Employees Growth]]/Tb_data[[#This Row],[previous_workers]]</f>
        <v>5.5789473684210522</v>
      </c>
    </row>
    <row r="3974" spans="1:13" x14ac:dyDescent="0.25">
      <c r="A3974" s="1" t="s">
        <v>9888</v>
      </c>
      <c r="B3974" s="1" t="s">
        <v>9889</v>
      </c>
      <c r="C3974" s="1">
        <v>7200000</v>
      </c>
      <c r="D3974" s="1" t="s">
        <v>254</v>
      </c>
      <c r="E3974">
        <v>55.462200000000003</v>
      </c>
      <c r="F3974" s="1" t="s">
        <v>25</v>
      </c>
      <c r="G3974">
        <v>34</v>
      </c>
      <c r="H3974">
        <v>16</v>
      </c>
      <c r="I3974" s="1" t="s">
        <v>46</v>
      </c>
      <c r="J3974">
        <v>5</v>
      </c>
      <c r="K3974" t="str">
        <f>IF(Tb_data[[#This Row],[previous_workers]]&lt;Tb_data[[#This Row],[workers]],"yes","no")</f>
        <v>yes</v>
      </c>
      <c r="L3974">
        <f>Tb_data[[#This Row],[workers]]-Tb_data[[#This Row],[previous_workers]]</f>
        <v>18</v>
      </c>
      <c r="M3974" s="12">
        <f>Tb_data[[#This Row],[Employees Growth]]/Tb_data[[#This Row],[previous_workers]]</f>
        <v>1.125</v>
      </c>
    </row>
    <row r="3975" spans="1:13" x14ac:dyDescent="0.25">
      <c r="A3975" s="1" t="s">
        <v>2322</v>
      </c>
      <c r="B3975" s="1" t="s">
        <v>2323</v>
      </c>
      <c r="C3975" s="1">
        <v>37300000</v>
      </c>
      <c r="D3975" s="1" t="s">
        <v>254</v>
      </c>
      <c r="E3975">
        <v>379.45269999999999</v>
      </c>
      <c r="F3975" s="1" t="s">
        <v>172</v>
      </c>
      <c r="G3975">
        <v>497</v>
      </c>
      <c r="H3975">
        <v>120</v>
      </c>
      <c r="I3975" s="1" t="s">
        <v>117</v>
      </c>
      <c r="J3975">
        <v>1</v>
      </c>
      <c r="K3975" t="str">
        <f>IF(Tb_data[[#This Row],[previous_workers]]&lt;Tb_data[[#This Row],[workers]],"yes","no")</f>
        <v>yes</v>
      </c>
      <c r="L3975">
        <f>Tb_data[[#This Row],[workers]]-Tb_data[[#This Row],[previous_workers]]</f>
        <v>377</v>
      </c>
      <c r="M3975" s="12">
        <f>Tb_data[[#This Row],[Employees Growth]]/Tb_data[[#This Row],[previous_workers]]</f>
        <v>3.1416666666666666</v>
      </c>
    </row>
    <row r="3976" spans="1:13" x14ac:dyDescent="0.25">
      <c r="A3976" s="1" t="s">
        <v>9662</v>
      </c>
      <c r="B3976" s="1" t="s">
        <v>9663</v>
      </c>
      <c r="C3976" s="1">
        <v>4900000</v>
      </c>
      <c r="D3976" s="1" t="s">
        <v>16</v>
      </c>
      <c r="E3976">
        <v>58.454700000000003</v>
      </c>
      <c r="F3976" s="1" t="s">
        <v>12</v>
      </c>
      <c r="G3976">
        <v>45</v>
      </c>
      <c r="H3976">
        <v>28</v>
      </c>
      <c r="I3976" s="1" t="s">
        <v>117</v>
      </c>
      <c r="J3976">
        <v>5</v>
      </c>
      <c r="K3976" t="str">
        <f>IF(Tb_data[[#This Row],[previous_workers]]&lt;Tb_data[[#This Row],[workers]],"yes","no")</f>
        <v>yes</v>
      </c>
      <c r="L3976">
        <f>Tb_data[[#This Row],[workers]]-Tb_data[[#This Row],[previous_workers]]</f>
        <v>17</v>
      </c>
      <c r="M3976" s="12">
        <f>Tb_data[[#This Row],[Employees Growth]]/Tb_data[[#This Row],[previous_workers]]</f>
        <v>0.6071428571428571</v>
      </c>
    </row>
    <row r="3977" spans="1:13" x14ac:dyDescent="0.25">
      <c r="A3977" s="1" t="s">
        <v>3694</v>
      </c>
      <c r="B3977" s="1" t="s">
        <v>3695</v>
      </c>
      <c r="C3977" s="1">
        <v>7100000</v>
      </c>
      <c r="D3977" s="1" t="s">
        <v>33</v>
      </c>
      <c r="E3977">
        <v>228.7713</v>
      </c>
      <c r="F3977" s="1" t="s">
        <v>12</v>
      </c>
      <c r="G3977">
        <v>17</v>
      </c>
      <c r="H3977">
        <v>12</v>
      </c>
      <c r="I3977" s="1" t="s">
        <v>164</v>
      </c>
      <c r="J3977">
        <v>4</v>
      </c>
      <c r="K3977" t="str">
        <f>IF(Tb_data[[#This Row],[previous_workers]]&lt;Tb_data[[#This Row],[workers]],"yes","no")</f>
        <v>yes</v>
      </c>
      <c r="L3977">
        <f>Tb_data[[#This Row],[workers]]-Tb_data[[#This Row],[previous_workers]]</f>
        <v>5</v>
      </c>
      <c r="M3977" s="12">
        <f>Tb_data[[#This Row],[Employees Growth]]/Tb_data[[#This Row],[previous_workers]]</f>
        <v>0.41666666666666669</v>
      </c>
    </row>
    <row r="3978" spans="1:13" x14ac:dyDescent="0.25">
      <c r="A3978" s="1" t="s">
        <v>7861</v>
      </c>
      <c r="B3978" s="1" t="s">
        <v>7862</v>
      </c>
      <c r="C3978" s="1">
        <v>7400000</v>
      </c>
      <c r="D3978" s="1" t="s">
        <v>29</v>
      </c>
      <c r="E3978">
        <v>85.310699999999997</v>
      </c>
      <c r="F3978" s="1" t="s">
        <v>25</v>
      </c>
      <c r="G3978">
        <v>25</v>
      </c>
      <c r="H3978">
        <v>15</v>
      </c>
      <c r="I3978" s="1" t="s">
        <v>372</v>
      </c>
      <c r="J3978">
        <v>6</v>
      </c>
      <c r="K3978" t="str">
        <f>IF(Tb_data[[#This Row],[previous_workers]]&lt;Tb_data[[#This Row],[workers]],"yes","no")</f>
        <v>yes</v>
      </c>
      <c r="L3978">
        <f>Tb_data[[#This Row],[workers]]-Tb_data[[#This Row],[previous_workers]]</f>
        <v>10</v>
      </c>
      <c r="M3978" s="12">
        <f>Tb_data[[#This Row],[Employees Growth]]/Tb_data[[#This Row],[previous_workers]]</f>
        <v>0.66666666666666663</v>
      </c>
    </row>
    <row r="3979" spans="1:13" x14ac:dyDescent="0.25">
      <c r="A3979" s="1" t="s">
        <v>926</v>
      </c>
      <c r="B3979" s="1" t="s">
        <v>927</v>
      </c>
      <c r="C3979" s="1">
        <v>8800000</v>
      </c>
      <c r="D3979" s="1" t="s">
        <v>49</v>
      </c>
      <c r="E3979">
        <v>1097.3859</v>
      </c>
      <c r="F3979" s="1" t="s">
        <v>12</v>
      </c>
      <c r="G3979">
        <v>113</v>
      </c>
      <c r="H3979">
        <v>23</v>
      </c>
      <c r="I3979" s="1" t="s">
        <v>117</v>
      </c>
      <c r="J3979">
        <v>2</v>
      </c>
      <c r="K3979" t="str">
        <f>IF(Tb_data[[#This Row],[previous_workers]]&lt;Tb_data[[#This Row],[workers]],"yes","no")</f>
        <v>yes</v>
      </c>
      <c r="L3979">
        <f>Tb_data[[#This Row],[workers]]-Tb_data[[#This Row],[previous_workers]]</f>
        <v>90</v>
      </c>
      <c r="M3979" s="12">
        <f>Tb_data[[#This Row],[Employees Growth]]/Tb_data[[#This Row],[previous_workers]]</f>
        <v>3.9130434782608696</v>
      </c>
    </row>
    <row r="3980" spans="1:13" x14ac:dyDescent="0.25">
      <c r="A3980" s="1" t="s">
        <v>1282</v>
      </c>
      <c r="B3980" s="1" t="s">
        <v>1283</v>
      </c>
      <c r="C3980" s="1">
        <v>13000000</v>
      </c>
      <c r="D3980" s="1" t="s">
        <v>179</v>
      </c>
      <c r="E3980">
        <v>751.24440000000004</v>
      </c>
      <c r="F3980" s="1" t="s">
        <v>12</v>
      </c>
      <c r="G3980">
        <v>21</v>
      </c>
      <c r="H3980">
        <v>15</v>
      </c>
      <c r="I3980" s="1" t="s">
        <v>117</v>
      </c>
      <c r="J3980">
        <v>3</v>
      </c>
      <c r="K3980" t="str">
        <f>IF(Tb_data[[#This Row],[previous_workers]]&lt;Tb_data[[#This Row],[workers]],"yes","no")</f>
        <v>yes</v>
      </c>
      <c r="L3980">
        <f>Tb_data[[#This Row],[workers]]-Tb_data[[#This Row],[previous_workers]]</f>
        <v>6</v>
      </c>
      <c r="M3980" s="12">
        <f>Tb_data[[#This Row],[Employees Growth]]/Tb_data[[#This Row],[previous_workers]]</f>
        <v>0.4</v>
      </c>
    </row>
    <row r="3981" spans="1:13" x14ac:dyDescent="0.25">
      <c r="A3981" s="1" t="s">
        <v>1126</v>
      </c>
      <c r="B3981" s="1" t="s">
        <v>1127</v>
      </c>
      <c r="C3981" s="1">
        <v>2200000</v>
      </c>
      <c r="D3981" s="1" t="s">
        <v>254</v>
      </c>
      <c r="E3981">
        <v>852.85599999999999</v>
      </c>
      <c r="F3981" s="1" t="s">
        <v>25</v>
      </c>
      <c r="G3981">
        <v>9</v>
      </c>
      <c r="H3981">
        <v>1</v>
      </c>
      <c r="I3981" s="1" t="s">
        <v>55</v>
      </c>
      <c r="J3981">
        <v>1</v>
      </c>
      <c r="K3981" t="str">
        <f>IF(Tb_data[[#This Row],[previous_workers]]&lt;Tb_data[[#This Row],[workers]],"yes","no")</f>
        <v>yes</v>
      </c>
      <c r="L3981">
        <f>Tb_data[[#This Row],[workers]]-Tb_data[[#This Row],[previous_workers]]</f>
        <v>8</v>
      </c>
      <c r="M3981" s="12">
        <f>Tb_data[[#This Row],[Employees Growth]]/Tb_data[[#This Row],[previous_workers]]</f>
        <v>8</v>
      </c>
    </row>
    <row r="3982" spans="1:13" x14ac:dyDescent="0.25">
      <c r="A3982" s="1" t="s">
        <v>2026</v>
      </c>
      <c r="B3982" s="1" t="s">
        <v>2027</v>
      </c>
      <c r="C3982" s="1">
        <v>5400000</v>
      </c>
      <c r="D3982" s="1" t="s">
        <v>61</v>
      </c>
      <c r="E3982">
        <v>442.74560000000002</v>
      </c>
      <c r="F3982" s="1" t="s">
        <v>12</v>
      </c>
      <c r="G3982">
        <v>27</v>
      </c>
      <c r="H3982">
        <v>10</v>
      </c>
      <c r="I3982" s="1" t="s">
        <v>130</v>
      </c>
      <c r="J3982">
        <v>2</v>
      </c>
      <c r="K3982" t="str">
        <f>IF(Tb_data[[#This Row],[previous_workers]]&lt;Tb_data[[#This Row],[workers]],"yes","no")</f>
        <v>yes</v>
      </c>
      <c r="L3982">
        <f>Tb_data[[#This Row],[workers]]-Tb_data[[#This Row],[previous_workers]]</f>
        <v>17</v>
      </c>
      <c r="M3982" s="12">
        <f>Tb_data[[#This Row],[Employees Growth]]/Tb_data[[#This Row],[previous_workers]]</f>
        <v>1.7</v>
      </c>
    </row>
    <row r="3983" spans="1:13" x14ac:dyDescent="0.25">
      <c r="A3983" s="1" t="s">
        <v>4333</v>
      </c>
      <c r="B3983" s="1" t="s">
        <v>4334</v>
      </c>
      <c r="C3983" s="1">
        <v>7400000</v>
      </c>
      <c r="D3983" s="1" t="s">
        <v>52</v>
      </c>
      <c r="E3983">
        <v>189.6798</v>
      </c>
      <c r="F3983" s="1" t="s">
        <v>12</v>
      </c>
      <c r="G3983">
        <v>74</v>
      </c>
      <c r="H3983">
        <v>25</v>
      </c>
      <c r="I3983" s="1" t="s">
        <v>2628</v>
      </c>
      <c r="J3983">
        <v>3</v>
      </c>
      <c r="K3983" t="str">
        <f>IF(Tb_data[[#This Row],[previous_workers]]&lt;Tb_data[[#This Row],[workers]],"yes","no")</f>
        <v>yes</v>
      </c>
      <c r="L3983">
        <f>Tb_data[[#This Row],[workers]]-Tb_data[[#This Row],[previous_workers]]</f>
        <v>49</v>
      </c>
      <c r="M3983" s="12">
        <f>Tb_data[[#This Row],[Employees Growth]]/Tb_data[[#This Row],[previous_workers]]</f>
        <v>1.96</v>
      </c>
    </row>
    <row r="3984" spans="1:13" x14ac:dyDescent="0.25">
      <c r="A3984" s="1" t="s">
        <v>9331</v>
      </c>
      <c r="B3984" s="1" t="s">
        <v>9332</v>
      </c>
      <c r="C3984" s="1">
        <v>8400000</v>
      </c>
      <c r="D3984" s="1" t="s">
        <v>49</v>
      </c>
      <c r="E3984">
        <v>62.445</v>
      </c>
      <c r="F3984" s="1" t="s">
        <v>156</v>
      </c>
      <c r="G3984">
        <v>126</v>
      </c>
      <c r="H3984">
        <v>52</v>
      </c>
      <c r="I3984" s="1" t="s">
        <v>295</v>
      </c>
      <c r="J3984">
        <v>3</v>
      </c>
      <c r="K3984" t="str">
        <f>IF(Tb_data[[#This Row],[previous_workers]]&lt;Tb_data[[#This Row],[workers]],"yes","no")</f>
        <v>yes</v>
      </c>
      <c r="L3984">
        <f>Tb_data[[#This Row],[workers]]-Tb_data[[#This Row],[previous_workers]]</f>
        <v>74</v>
      </c>
      <c r="M3984" s="12">
        <f>Tb_data[[#This Row],[Employees Growth]]/Tb_data[[#This Row],[previous_workers]]</f>
        <v>1.4230769230769231</v>
      </c>
    </row>
    <row r="3985" spans="1:13" x14ac:dyDescent="0.25">
      <c r="A3985" s="1" t="s">
        <v>9772</v>
      </c>
      <c r="B3985" s="1" t="s">
        <v>9773</v>
      </c>
      <c r="C3985" s="1">
        <v>11600000</v>
      </c>
      <c r="D3985" s="1" t="s">
        <v>155</v>
      </c>
      <c r="E3985">
        <v>57.016300000000001</v>
      </c>
      <c r="F3985" s="1" t="s">
        <v>156</v>
      </c>
      <c r="G3985">
        <v>210</v>
      </c>
      <c r="H3985">
        <v>146</v>
      </c>
      <c r="I3985" s="1" t="s">
        <v>226</v>
      </c>
      <c r="J3985">
        <v>2</v>
      </c>
      <c r="K3985" t="str">
        <f>IF(Tb_data[[#This Row],[previous_workers]]&lt;Tb_data[[#This Row],[workers]],"yes","no")</f>
        <v>yes</v>
      </c>
      <c r="L3985">
        <f>Tb_data[[#This Row],[workers]]-Tb_data[[#This Row],[previous_workers]]</f>
        <v>64</v>
      </c>
      <c r="M3985" s="12">
        <f>Tb_data[[#This Row],[Employees Growth]]/Tb_data[[#This Row],[previous_workers]]</f>
        <v>0.43835616438356162</v>
      </c>
    </row>
    <row r="3986" spans="1:13" x14ac:dyDescent="0.25">
      <c r="A3986" s="1" t="s">
        <v>7064</v>
      </c>
      <c r="B3986" s="1" t="s">
        <v>7065</v>
      </c>
      <c r="C3986" s="1">
        <v>14500000</v>
      </c>
      <c r="D3986" s="1" t="s">
        <v>627</v>
      </c>
      <c r="E3986">
        <v>100.7959</v>
      </c>
      <c r="F3986" s="1" t="s">
        <v>86</v>
      </c>
      <c r="G3986">
        <v>88</v>
      </c>
      <c r="H3986">
        <v>54</v>
      </c>
      <c r="I3986" s="1" t="s">
        <v>1622</v>
      </c>
      <c r="J3986">
        <v>5</v>
      </c>
      <c r="K3986" t="str">
        <f>IF(Tb_data[[#This Row],[previous_workers]]&lt;Tb_data[[#This Row],[workers]],"yes","no")</f>
        <v>yes</v>
      </c>
      <c r="L3986">
        <f>Tb_data[[#This Row],[workers]]-Tb_data[[#This Row],[previous_workers]]</f>
        <v>34</v>
      </c>
      <c r="M3986" s="12">
        <f>Tb_data[[#This Row],[Employees Growth]]/Tb_data[[#This Row],[previous_workers]]</f>
        <v>0.62962962962962965</v>
      </c>
    </row>
    <row r="3987" spans="1:13" x14ac:dyDescent="0.25">
      <c r="A3987" s="1" t="s">
        <v>3125</v>
      </c>
      <c r="B3987" s="1" t="s">
        <v>3126</v>
      </c>
      <c r="C3987" s="1">
        <v>14100000</v>
      </c>
      <c r="D3987" s="1" t="s">
        <v>20</v>
      </c>
      <c r="E3987">
        <v>275.79570000000001</v>
      </c>
      <c r="F3987" s="1" t="s">
        <v>86</v>
      </c>
      <c r="G3987">
        <v>285</v>
      </c>
      <c r="H3987">
        <v>185</v>
      </c>
      <c r="I3987" s="1" t="s">
        <v>2628</v>
      </c>
      <c r="J3987">
        <v>2</v>
      </c>
      <c r="K3987" t="str">
        <f>IF(Tb_data[[#This Row],[previous_workers]]&lt;Tb_data[[#This Row],[workers]],"yes","no")</f>
        <v>yes</v>
      </c>
      <c r="L3987">
        <f>Tb_data[[#This Row],[workers]]-Tb_data[[#This Row],[previous_workers]]</f>
        <v>100</v>
      </c>
      <c r="M3987" s="12">
        <f>Tb_data[[#This Row],[Employees Growth]]/Tb_data[[#This Row],[previous_workers]]</f>
        <v>0.54054054054054057</v>
      </c>
    </row>
    <row r="3988" spans="1:13" x14ac:dyDescent="0.25">
      <c r="A3988" s="1" t="s">
        <v>9966</v>
      </c>
      <c r="B3988" s="1" t="s">
        <v>9967</v>
      </c>
      <c r="C3988" s="1">
        <v>73000000</v>
      </c>
      <c r="D3988" s="1" t="s">
        <v>29</v>
      </c>
      <c r="E3988">
        <v>54.084800000000001</v>
      </c>
      <c r="F3988" s="1" t="s">
        <v>86</v>
      </c>
      <c r="G3988">
        <v>220</v>
      </c>
      <c r="H3988">
        <v>200</v>
      </c>
      <c r="I3988" s="1" t="s">
        <v>3943</v>
      </c>
      <c r="J3988">
        <v>11</v>
      </c>
      <c r="K3988" t="str">
        <f>IF(Tb_data[[#This Row],[previous_workers]]&lt;Tb_data[[#This Row],[workers]],"yes","no")</f>
        <v>yes</v>
      </c>
      <c r="L3988">
        <f>Tb_data[[#This Row],[workers]]-Tb_data[[#This Row],[previous_workers]]</f>
        <v>20</v>
      </c>
      <c r="M3988" s="12">
        <f>Tb_data[[#This Row],[Employees Growth]]/Tb_data[[#This Row],[previous_workers]]</f>
        <v>0.1</v>
      </c>
    </row>
    <row r="3989" spans="1:13" x14ac:dyDescent="0.25">
      <c r="A3989" s="1" t="s">
        <v>6930</v>
      </c>
      <c r="B3989" s="1" t="s">
        <v>6931</v>
      </c>
      <c r="C3989" s="1">
        <v>22700000</v>
      </c>
      <c r="D3989" s="1" t="s">
        <v>29</v>
      </c>
      <c r="E3989">
        <v>103.53879999999999</v>
      </c>
      <c r="F3989" s="1" t="s">
        <v>156</v>
      </c>
      <c r="G3989">
        <v>120</v>
      </c>
      <c r="H3989">
        <v>75</v>
      </c>
      <c r="I3989" s="1" t="s">
        <v>1051</v>
      </c>
      <c r="J3989">
        <v>11</v>
      </c>
      <c r="K3989" t="str">
        <f>IF(Tb_data[[#This Row],[previous_workers]]&lt;Tb_data[[#This Row],[workers]],"yes","no")</f>
        <v>yes</v>
      </c>
      <c r="L3989">
        <f>Tb_data[[#This Row],[workers]]-Tb_data[[#This Row],[previous_workers]]</f>
        <v>45</v>
      </c>
      <c r="M3989" s="12">
        <f>Tb_data[[#This Row],[Employees Growth]]/Tb_data[[#This Row],[previous_workers]]</f>
        <v>0.6</v>
      </c>
    </row>
    <row r="3990" spans="1:13" x14ac:dyDescent="0.25">
      <c r="A3990" s="1" t="s">
        <v>1882</v>
      </c>
      <c r="B3990" s="1" t="s">
        <v>1883</v>
      </c>
      <c r="C3990" s="1">
        <v>16000000</v>
      </c>
      <c r="D3990" s="1" t="s">
        <v>41</v>
      </c>
      <c r="E3990">
        <v>478.19690000000003</v>
      </c>
      <c r="F3990" s="1" t="s">
        <v>135</v>
      </c>
      <c r="G3990">
        <v>100</v>
      </c>
      <c r="H3990">
        <v>10</v>
      </c>
      <c r="I3990" s="1" t="s">
        <v>194</v>
      </c>
      <c r="J3990">
        <v>1</v>
      </c>
      <c r="K3990" t="str">
        <f>IF(Tb_data[[#This Row],[previous_workers]]&lt;Tb_data[[#This Row],[workers]],"yes","no")</f>
        <v>yes</v>
      </c>
      <c r="L3990">
        <f>Tb_data[[#This Row],[workers]]-Tb_data[[#This Row],[previous_workers]]</f>
        <v>90</v>
      </c>
      <c r="M3990" s="12">
        <f>Tb_data[[#This Row],[Employees Growth]]/Tb_data[[#This Row],[previous_workers]]</f>
        <v>9</v>
      </c>
    </row>
    <row r="3991" spans="1:13" x14ac:dyDescent="0.25">
      <c r="A3991" s="1" t="s">
        <v>9399</v>
      </c>
      <c r="B3991" s="1" t="s">
        <v>9400</v>
      </c>
      <c r="C3991" s="1">
        <v>84300000</v>
      </c>
      <c r="D3991" s="1" t="s">
        <v>179</v>
      </c>
      <c r="E3991">
        <v>61.516399999999997</v>
      </c>
      <c r="F3991" s="1" t="s">
        <v>161</v>
      </c>
      <c r="G3991">
        <v>130</v>
      </c>
      <c r="H3991">
        <v>75</v>
      </c>
      <c r="I3991" s="1" t="s">
        <v>1356</v>
      </c>
      <c r="J3991">
        <v>5</v>
      </c>
      <c r="K3991" t="str">
        <f>IF(Tb_data[[#This Row],[previous_workers]]&lt;Tb_data[[#This Row],[workers]],"yes","no")</f>
        <v>yes</v>
      </c>
      <c r="L3991">
        <f>Tb_data[[#This Row],[workers]]-Tb_data[[#This Row],[previous_workers]]</f>
        <v>55</v>
      </c>
      <c r="M3991" s="12">
        <f>Tb_data[[#This Row],[Employees Growth]]/Tb_data[[#This Row],[previous_workers]]</f>
        <v>0.73333333333333328</v>
      </c>
    </row>
    <row r="3992" spans="1:13" x14ac:dyDescent="0.25">
      <c r="A3992" s="1" t="s">
        <v>2480</v>
      </c>
      <c r="B3992" s="1" t="s">
        <v>2481</v>
      </c>
      <c r="C3992" s="1">
        <v>6800000</v>
      </c>
      <c r="D3992" s="1" t="s">
        <v>61</v>
      </c>
      <c r="E3992">
        <v>351.20269999999999</v>
      </c>
      <c r="F3992" s="1" t="s">
        <v>135</v>
      </c>
      <c r="G3992">
        <v>60</v>
      </c>
      <c r="H3992">
        <v>30</v>
      </c>
      <c r="I3992" s="1" t="s">
        <v>117</v>
      </c>
      <c r="J3992">
        <v>3</v>
      </c>
      <c r="K3992" t="str">
        <f>IF(Tb_data[[#This Row],[previous_workers]]&lt;Tb_data[[#This Row],[workers]],"yes","no")</f>
        <v>yes</v>
      </c>
      <c r="L3992">
        <f>Tb_data[[#This Row],[workers]]-Tb_data[[#This Row],[previous_workers]]</f>
        <v>30</v>
      </c>
      <c r="M3992" s="12">
        <f>Tb_data[[#This Row],[Employees Growth]]/Tb_data[[#This Row],[previous_workers]]</f>
        <v>1</v>
      </c>
    </row>
    <row r="3993" spans="1:13" x14ac:dyDescent="0.25">
      <c r="A3993" s="1" t="s">
        <v>1898</v>
      </c>
      <c r="B3993" s="1" t="s">
        <v>1899</v>
      </c>
      <c r="C3993" s="1">
        <v>4200000</v>
      </c>
      <c r="D3993" s="1" t="s">
        <v>20</v>
      </c>
      <c r="E3993">
        <v>473.59210000000002</v>
      </c>
      <c r="F3993" s="1" t="s">
        <v>12</v>
      </c>
      <c r="G3993">
        <v>50</v>
      </c>
      <c r="H3993">
        <v>10</v>
      </c>
      <c r="I3993" s="1" t="s">
        <v>13</v>
      </c>
      <c r="J3993">
        <v>1</v>
      </c>
      <c r="K3993" t="str">
        <f>IF(Tb_data[[#This Row],[previous_workers]]&lt;Tb_data[[#This Row],[workers]],"yes","no")</f>
        <v>yes</v>
      </c>
      <c r="L3993">
        <f>Tb_data[[#This Row],[workers]]-Tb_data[[#This Row],[previous_workers]]</f>
        <v>40</v>
      </c>
      <c r="M3993" s="12">
        <f>Tb_data[[#This Row],[Employees Growth]]/Tb_data[[#This Row],[previous_workers]]</f>
        <v>4</v>
      </c>
    </row>
    <row r="3994" spans="1:13" x14ac:dyDescent="0.25">
      <c r="A3994" s="1" t="s">
        <v>8421</v>
      </c>
      <c r="B3994" s="1" t="s">
        <v>8422</v>
      </c>
      <c r="C3994" s="1">
        <v>15400000</v>
      </c>
      <c r="D3994" s="1" t="s">
        <v>483</v>
      </c>
      <c r="E3994">
        <v>75.569100000000006</v>
      </c>
      <c r="F3994" s="1" t="s">
        <v>94</v>
      </c>
      <c r="G3994">
        <v>49</v>
      </c>
      <c r="H3994">
        <v>26</v>
      </c>
      <c r="I3994" s="1" t="s">
        <v>46</v>
      </c>
      <c r="J3994">
        <v>5</v>
      </c>
      <c r="K3994" t="str">
        <f>IF(Tb_data[[#This Row],[previous_workers]]&lt;Tb_data[[#This Row],[workers]],"yes","no")</f>
        <v>yes</v>
      </c>
      <c r="L3994">
        <f>Tb_data[[#This Row],[workers]]-Tb_data[[#This Row],[previous_workers]]</f>
        <v>23</v>
      </c>
      <c r="M3994" s="12">
        <f>Tb_data[[#This Row],[Employees Growth]]/Tb_data[[#This Row],[previous_workers]]</f>
        <v>0.88461538461538458</v>
      </c>
    </row>
    <row r="3995" spans="1:13" x14ac:dyDescent="0.25">
      <c r="A3995" s="1" t="s">
        <v>7575</v>
      </c>
      <c r="B3995" s="1" t="s">
        <v>7576</v>
      </c>
      <c r="C3995" s="1">
        <v>4400000</v>
      </c>
      <c r="D3995" s="1" t="s">
        <v>33</v>
      </c>
      <c r="E3995">
        <v>90.991799999999998</v>
      </c>
      <c r="F3995" s="1" t="s">
        <v>86</v>
      </c>
      <c r="G3995">
        <v>23</v>
      </c>
      <c r="H3995">
        <v>14</v>
      </c>
      <c r="I3995" s="1" t="s">
        <v>74</v>
      </c>
      <c r="J3995">
        <v>4</v>
      </c>
      <c r="K3995" t="str">
        <f>IF(Tb_data[[#This Row],[previous_workers]]&lt;Tb_data[[#This Row],[workers]],"yes","no")</f>
        <v>yes</v>
      </c>
      <c r="L3995">
        <f>Tb_data[[#This Row],[workers]]-Tb_data[[#This Row],[previous_workers]]</f>
        <v>9</v>
      </c>
      <c r="M3995" s="12">
        <f>Tb_data[[#This Row],[Employees Growth]]/Tb_data[[#This Row],[previous_workers]]</f>
        <v>0.6428571428571429</v>
      </c>
    </row>
    <row r="3996" spans="1:13" x14ac:dyDescent="0.25">
      <c r="A3996" s="1" t="s">
        <v>7206</v>
      </c>
      <c r="B3996" s="1" t="s">
        <v>7207</v>
      </c>
      <c r="C3996" s="1">
        <v>6500000</v>
      </c>
      <c r="D3996" s="1" t="s">
        <v>33</v>
      </c>
      <c r="E3996">
        <v>98.275499999999994</v>
      </c>
      <c r="F3996" s="1" t="s">
        <v>124</v>
      </c>
      <c r="G3996">
        <v>48</v>
      </c>
      <c r="H3996">
        <v>43</v>
      </c>
      <c r="I3996" s="1" t="s">
        <v>117</v>
      </c>
      <c r="J3996">
        <v>5</v>
      </c>
      <c r="K3996" t="str">
        <f>IF(Tb_data[[#This Row],[previous_workers]]&lt;Tb_data[[#This Row],[workers]],"yes","no")</f>
        <v>yes</v>
      </c>
      <c r="L3996">
        <f>Tb_data[[#This Row],[workers]]-Tb_data[[#This Row],[previous_workers]]</f>
        <v>5</v>
      </c>
      <c r="M3996" s="12">
        <f>Tb_data[[#This Row],[Employees Growth]]/Tb_data[[#This Row],[previous_workers]]</f>
        <v>0.11627906976744186</v>
      </c>
    </row>
    <row r="3997" spans="1:13" x14ac:dyDescent="0.25">
      <c r="A3997" s="1" t="s">
        <v>5278</v>
      </c>
      <c r="B3997" s="1" t="s">
        <v>5279</v>
      </c>
      <c r="C3997" s="1">
        <v>7000000</v>
      </c>
      <c r="D3997" s="1" t="s">
        <v>20</v>
      </c>
      <c r="E3997">
        <v>150.89490000000001</v>
      </c>
      <c r="F3997" s="1" t="s">
        <v>42</v>
      </c>
      <c r="G3997">
        <v>36</v>
      </c>
      <c r="H3997">
        <v>20</v>
      </c>
      <c r="I3997" s="1" t="s">
        <v>836</v>
      </c>
      <c r="J3997">
        <v>4</v>
      </c>
      <c r="K3997" t="str">
        <f>IF(Tb_data[[#This Row],[previous_workers]]&lt;Tb_data[[#This Row],[workers]],"yes","no")</f>
        <v>yes</v>
      </c>
      <c r="L3997">
        <f>Tb_data[[#This Row],[workers]]-Tb_data[[#This Row],[previous_workers]]</f>
        <v>16</v>
      </c>
      <c r="M3997" s="12">
        <f>Tb_data[[#This Row],[Employees Growth]]/Tb_data[[#This Row],[previous_workers]]</f>
        <v>0.8</v>
      </c>
    </row>
    <row r="3998" spans="1:13" x14ac:dyDescent="0.25">
      <c r="A3998" s="1" t="s">
        <v>8705</v>
      </c>
      <c r="B3998" s="1" t="s">
        <v>8706</v>
      </c>
      <c r="C3998" s="1">
        <v>4100000</v>
      </c>
      <c r="D3998" s="1" t="s">
        <v>41</v>
      </c>
      <c r="E3998">
        <v>71.012</v>
      </c>
      <c r="F3998" s="1" t="s">
        <v>156</v>
      </c>
      <c r="G3998">
        <v>34</v>
      </c>
      <c r="H3998">
        <v>26</v>
      </c>
      <c r="I3998" s="1" t="s">
        <v>2628</v>
      </c>
      <c r="J3998">
        <v>3</v>
      </c>
      <c r="K3998" t="str">
        <f>IF(Tb_data[[#This Row],[previous_workers]]&lt;Tb_data[[#This Row],[workers]],"yes","no")</f>
        <v>yes</v>
      </c>
      <c r="L3998">
        <f>Tb_data[[#This Row],[workers]]-Tb_data[[#This Row],[previous_workers]]</f>
        <v>8</v>
      </c>
      <c r="M3998" s="12">
        <f>Tb_data[[#This Row],[Employees Growth]]/Tb_data[[#This Row],[previous_workers]]</f>
        <v>0.30769230769230771</v>
      </c>
    </row>
    <row r="3999" spans="1:13" x14ac:dyDescent="0.25">
      <c r="A3999" s="1" t="s">
        <v>1438</v>
      </c>
      <c r="B3999" s="1" t="s">
        <v>1439</v>
      </c>
      <c r="C3999" s="1">
        <v>2700000</v>
      </c>
      <c r="D3999" s="1" t="s">
        <v>20</v>
      </c>
      <c r="E3999">
        <v>654.98910000000001</v>
      </c>
      <c r="F3999" s="1" t="s">
        <v>156</v>
      </c>
      <c r="G3999">
        <v>6</v>
      </c>
      <c r="H3999">
        <v>2</v>
      </c>
      <c r="I3999" s="1" t="s">
        <v>26</v>
      </c>
      <c r="J3999">
        <v>1</v>
      </c>
      <c r="K3999" t="str">
        <f>IF(Tb_data[[#This Row],[previous_workers]]&lt;Tb_data[[#This Row],[workers]],"yes","no")</f>
        <v>yes</v>
      </c>
      <c r="L3999">
        <f>Tb_data[[#This Row],[workers]]-Tb_data[[#This Row],[previous_workers]]</f>
        <v>4</v>
      </c>
      <c r="M3999" s="12">
        <f>Tb_data[[#This Row],[Employees Growth]]/Tb_data[[#This Row],[previous_workers]]</f>
        <v>2</v>
      </c>
    </row>
    <row r="4000" spans="1:13" x14ac:dyDescent="0.25">
      <c r="A4000" s="1" t="s">
        <v>354</v>
      </c>
      <c r="B4000" s="1" t="s">
        <v>355</v>
      </c>
      <c r="C4000" s="1">
        <v>20400000</v>
      </c>
      <c r="D4000" s="1" t="s">
        <v>38</v>
      </c>
      <c r="E4000">
        <v>2623.9495000000002</v>
      </c>
      <c r="F4000" s="1" t="s">
        <v>82</v>
      </c>
      <c r="G4000">
        <v>10</v>
      </c>
      <c r="H4000">
        <v>2</v>
      </c>
      <c r="I4000" s="1" t="s">
        <v>55</v>
      </c>
      <c r="J4000">
        <v>2</v>
      </c>
      <c r="K4000" t="str">
        <f>IF(Tb_data[[#This Row],[previous_workers]]&lt;Tb_data[[#This Row],[workers]],"yes","no")</f>
        <v>yes</v>
      </c>
      <c r="L4000">
        <f>Tb_data[[#This Row],[workers]]-Tb_data[[#This Row],[previous_workers]]</f>
        <v>8</v>
      </c>
      <c r="M4000" s="12">
        <f>Tb_data[[#This Row],[Employees Growth]]/Tb_data[[#This Row],[previous_workers]]</f>
        <v>4</v>
      </c>
    </row>
    <row r="4001" spans="1:13" x14ac:dyDescent="0.25">
      <c r="A4001" s="1" t="s">
        <v>5470</v>
      </c>
      <c r="B4001" s="1" t="s">
        <v>5471</v>
      </c>
      <c r="C4001" s="1">
        <v>30200000</v>
      </c>
      <c r="D4001" s="1" t="s">
        <v>38</v>
      </c>
      <c r="E4001">
        <v>143.7783</v>
      </c>
      <c r="F4001" s="1" t="s">
        <v>25</v>
      </c>
      <c r="G4001">
        <v>98</v>
      </c>
      <c r="H4001">
        <v>63</v>
      </c>
      <c r="I4001" s="1" t="s">
        <v>961</v>
      </c>
      <c r="J4001">
        <v>3</v>
      </c>
      <c r="K4001" t="str">
        <f>IF(Tb_data[[#This Row],[previous_workers]]&lt;Tb_data[[#This Row],[workers]],"yes","no")</f>
        <v>yes</v>
      </c>
      <c r="L4001">
        <f>Tb_data[[#This Row],[workers]]-Tb_data[[#This Row],[previous_workers]]</f>
        <v>35</v>
      </c>
      <c r="M4001" s="12">
        <f>Tb_data[[#This Row],[Employees Growth]]/Tb_data[[#This Row],[previous_workers]]</f>
        <v>0.55555555555555558</v>
      </c>
    </row>
    <row r="4002" spans="1:13" x14ac:dyDescent="0.25">
      <c r="A4002" s="1" t="s">
        <v>3537</v>
      </c>
      <c r="B4002" s="1" t="s">
        <v>3538</v>
      </c>
      <c r="C4002" s="1">
        <v>40700000</v>
      </c>
      <c r="D4002" s="1" t="s">
        <v>129</v>
      </c>
      <c r="E4002">
        <v>239.1147</v>
      </c>
      <c r="F4002" s="1" t="s">
        <v>86</v>
      </c>
      <c r="G4002">
        <v>250</v>
      </c>
      <c r="H4002">
        <v>75</v>
      </c>
      <c r="I4002" s="1" t="s">
        <v>46</v>
      </c>
      <c r="J4002">
        <v>3</v>
      </c>
      <c r="K4002" t="str">
        <f>IF(Tb_data[[#This Row],[previous_workers]]&lt;Tb_data[[#This Row],[workers]],"yes","no")</f>
        <v>yes</v>
      </c>
      <c r="L4002">
        <f>Tb_data[[#This Row],[workers]]-Tb_data[[#This Row],[previous_workers]]</f>
        <v>175</v>
      </c>
      <c r="M4002" s="12">
        <f>Tb_data[[#This Row],[Employees Growth]]/Tb_data[[#This Row],[previous_workers]]</f>
        <v>2.3333333333333335</v>
      </c>
    </row>
    <row r="4003" spans="1:13" x14ac:dyDescent="0.25">
      <c r="A4003" s="1" t="s">
        <v>72</v>
      </c>
      <c r="B4003" s="1" t="s">
        <v>73</v>
      </c>
      <c r="C4003" s="1">
        <v>24400000</v>
      </c>
      <c r="D4003" s="1" t="s">
        <v>49</v>
      </c>
      <c r="E4003">
        <v>8656.9531999999999</v>
      </c>
      <c r="F4003" s="1" t="s">
        <v>34</v>
      </c>
      <c r="G4003">
        <v>191</v>
      </c>
      <c r="H4003">
        <v>66</v>
      </c>
      <c r="I4003" s="1" t="s">
        <v>74</v>
      </c>
      <c r="J4003">
        <v>1</v>
      </c>
      <c r="K4003" t="str">
        <f>IF(Tb_data[[#This Row],[previous_workers]]&lt;Tb_data[[#This Row],[workers]],"yes","no")</f>
        <v>yes</v>
      </c>
      <c r="L4003">
        <f>Tb_data[[#This Row],[workers]]-Tb_data[[#This Row],[previous_workers]]</f>
        <v>125</v>
      </c>
      <c r="M4003" s="12">
        <f>Tb_data[[#This Row],[Employees Growth]]/Tb_data[[#This Row],[previous_workers]]</f>
        <v>1.893939393939394</v>
      </c>
    </row>
    <row r="4004" spans="1:13" x14ac:dyDescent="0.25">
      <c r="A4004" s="1" t="s">
        <v>8177</v>
      </c>
      <c r="B4004" s="1" t="s">
        <v>8178</v>
      </c>
      <c r="C4004" s="1">
        <v>85300000</v>
      </c>
      <c r="D4004" s="1" t="s">
        <v>61</v>
      </c>
      <c r="E4004">
        <v>80.028400000000005</v>
      </c>
      <c r="F4004" s="1" t="s">
        <v>17</v>
      </c>
      <c r="G4004">
        <v>700</v>
      </c>
      <c r="H4004">
        <v>450</v>
      </c>
      <c r="I4004" s="1" t="s">
        <v>2643</v>
      </c>
      <c r="J4004">
        <v>1</v>
      </c>
      <c r="K4004" t="str">
        <f>IF(Tb_data[[#This Row],[previous_workers]]&lt;Tb_data[[#This Row],[workers]],"yes","no")</f>
        <v>yes</v>
      </c>
      <c r="L4004">
        <f>Tb_data[[#This Row],[workers]]-Tb_data[[#This Row],[previous_workers]]</f>
        <v>250</v>
      </c>
      <c r="M4004" s="12">
        <f>Tb_data[[#This Row],[Employees Growth]]/Tb_data[[#This Row],[previous_workers]]</f>
        <v>0.55555555555555558</v>
      </c>
    </row>
    <row r="4005" spans="1:13" x14ac:dyDescent="0.25">
      <c r="A4005" s="1" t="s">
        <v>6129</v>
      </c>
      <c r="B4005" s="1" t="s">
        <v>6130</v>
      </c>
      <c r="C4005" s="1">
        <v>7100000</v>
      </c>
      <c r="D4005" s="1" t="s">
        <v>58</v>
      </c>
      <c r="E4005">
        <v>123.0894</v>
      </c>
      <c r="F4005" s="1" t="s">
        <v>156</v>
      </c>
      <c r="G4005">
        <v>142</v>
      </c>
      <c r="H4005">
        <v>49</v>
      </c>
      <c r="I4005" s="1" t="s">
        <v>117</v>
      </c>
      <c r="J4005">
        <v>3</v>
      </c>
      <c r="K4005" t="str">
        <f>IF(Tb_data[[#This Row],[previous_workers]]&lt;Tb_data[[#This Row],[workers]],"yes","no")</f>
        <v>yes</v>
      </c>
      <c r="L4005">
        <f>Tb_data[[#This Row],[workers]]-Tb_data[[#This Row],[previous_workers]]</f>
        <v>93</v>
      </c>
      <c r="M4005" s="12">
        <f>Tb_data[[#This Row],[Employees Growth]]/Tb_data[[#This Row],[previous_workers]]</f>
        <v>1.8979591836734695</v>
      </c>
    </row>
    <row r="4006" spans="1:13" x14ac:dyDescent="0.25">
      <c r="A4006" s="1" t="s">
        <v>4010</v>
      </c>
      <c r="B4006" s="1" t="s">
        <v>4011</v>
      </c>
      <c r="C4006" s="1">
        <v>99400000</v>
      </c>
      <c r="D4006" s="1" t="s">
        <v>49</v>
      </c>
      <c r="E4006">
        <v>206.1146</v>
      </c>
      <c r="F4006" s="1" t="s">
        <v>142</v>
      </c>
      <c r="G4006">
        <v>101</v>
      </c>
      <c r="H4006">
        <v>79</v>
      </c>
      <c r="I4006" s="1" t="s">
        <v>147</v>
      </c>
      <c r="J4006">
        <v>4</v>
      </c>
      <c r="K4006" t="str">
        <f>IF(Tb_data[[#This Row],[previous_workers]]&lt;Tb_data[[#This Row],[workers]],"yes","no")</f>
        <v>yes</v>
      </c>
      <c r="L4006">
        <f>Tb_data[[#This Row],[workers]]-Tb_data[[#This Row],[previous_workers]]</f>
        <v>22</v>
      </c>
      <c r="M4006" s="12">
        <f>Tb_data[[#This Row],[Employees Growth]]/Tb_data[[#This Row],[previous_workers]]</f>
        <v>0.27848101265822783</v>
      </c>
    </row>
    <row r="4007" spans="1:13" x14ac:dyDescent="0.25">
      <c r="A4007" s="1" t="s">
        <v>2581</v>
      </c>
      <c r="B4007" s="1" t="s">
        <v>2582</v>
      </c>
      <c r="C4007" s="1">
        <v>2700000</v>
      </c>
      <c r="D4007" s="1" t="s">
        <v>49</v>
      </c>
      <c r="E4007">
        <v>333.93650000000002</v>
      </c>
      <c r="F4007" s="1" t="s">
        <v>25</v>
      </c>
      <c r="G4007">
        <v>13</v>
      </c>
      <c r="H4007">
        <v>4</v>
      </c>
      <c r="I4007" s="1" t="s">
        <v>130</v>
      </c>
      <c r="J4007">
        <v>1</v>
      </c>
      <c r="K4007" t="str">
        <f>IF(Tb_data[[#This Row],[previous_workers]]&lt;Tb_data[[#This Row],[workers]],"yes","no")</f>
        <v>yes</v>
      </c>
      <c r="L4007">
        <f>Tb_data[[#This Row],[workers]]-Tb_data[[#This Row],[previous_workers]]</f>
        <v>9</v>
      </c>
      <c r="M4007" s="12">
        <f>Tb_data[[#This Row],[Employees Growth]]/Tb_data[[#This Row],[previous_workers]]</f>
        <v>2.25</v>
      </c>
    </row>
    <row r="4008" spans="1:13" x14ac:dyDescent="0.25">
      <c r="A4008" s="1" t="s">
        <v>5100</v>
      </c>
      <c r="B4008" s="1" t="s">
        <v>5101</v>
      </c>
      <c r="C4008" s="1">
        <v>2900000</v>
      </c>
      <c r="D4008" s="1" t="s">
        <v>61</v>
      </c>
      <c r="E4008">
        <v>157.25470000000001</v>
      </c>
      <c r="F4008" s="1" t="s">
        <v>176</v>
      </c>
      <c r="G4008">
        <v>32</v>
      </c>
      <c r="H4008">
        <v>10</v>
      </c>
      <c r="I4008" s="1" t="s">
        <v>55</v>
      </c>
      <c r="J4008">
        <v>1</v>
      </c>
      <c r="K4008" t="str">
        <f>IF(Tb_data[[#This Row],[previous_workers]]&lt;Tb_data[[#This Row],[workers]],"yes","no")</f>
        <v>yes</v>
      </c>
      <c r="L4008">
        <f>Tb_data[[#This Row],[workers]]-Tb_data[[#This Row],[previous_workers]]</f>
        <v>22</v>
      </c>
      <c r="M4008" s="12">
        <f>Tb_data[[#This Row],[Employees Growth]]/Tb_data[[#This Row],[previous_workers]]</f>
        <v>2.2000000000000002</v>
      </c>
    </row>
    <row r="4009" spans="1:13" x14ac:dyDescent="0.25">
      <c r="A4009" s="1" t="s">
        <v>4888</v>
      </c>
      <c r="B4009" s="1" t="s">
        <v>4889</v>
      </c>
      <c r="C4009" s="1">
        <v>2300000</v>
      </c>
      <c r="D4009" s="1" t="s">
        <v>254</v>
      </c>
      <c r="E4009">
        <v>166.61500000000001</v>
      </c>
      <c r="F4009" s="1" t="s">
        <v>25</v>
      </c>
      <c r="G4009">
        <v>7</v>
      </c>
      <c r="H4009">
        <v>3</v>
      </c>
      <c r="I4009" s="1" t="s">
        <v>130</v>
      </c>
      <c r="J4009">
        <v>1</v>
      </c>
      <c r="K4009" t="str">
        <f>IF(Tb_data[[#This Row],[previous_workers]]&lt;Tb_data[[#This Row],[workers]],"yes","no")</f>
        <v>yes</v>
      </c>
      <c r="L4009">
        <f>Tb_data[[#This Row],[workers]]-Tb_data[[#This Row],[previous_workers]]</f>
        <v>4</v>
      </c>
      <c r="M4009" s="12">
        <f>Tb_data[[#This Row],[Employees Growth]]/Tb_data[[#This Row],[previous_workers]]</f>
        <v>1.3333333333333333</v>
      </c>
    </row>
    <row r="4010" spans="1:13" x14ac:dyDescent="0.25">
      <c r="A4010" s="1" t="s">
        <v>3507</v>
      </c>
      <c r="B4010" s="1" t="s">
        <v>3508</v>
      </c>
      <c r="C4010" s="1">
        <v>9100000</v>
      </c>
      <c r="D4010" s="1" t="s">
        <v>33</v>
      </c>
      <c r="E4010">
        <v>241.83170000000001</v>
      </c>
      <c r="F4010" s="1" t="s">
        <v>156</v>
      </c>
      <c r="G4010">
        <v>45</v>
      </c>
      <c r="H4010">
        <v>9</v>
      </c>
      <c r="I4010" s="1" t="s">
        <v>164</v>
      </c>
      <c r="J4010">
        <v>2</v>
      </c>
      <c r="K4010" t="str">
        <f>IF(Tb_data[[#This Row],[previous_workers]]&lt;Tb_data[[#This Row],[workers]],"yes","no")</f>
        <v>yes</v>
      </c>
      <c r="L4010">
        <f>Tb_data[[#This Row],[workers]]-Tb_data[[#This Row],[previous_workers]]</f>
        <v>36</v>
      </c>
      <c r="M4010" s="12">
        <f>Tb_data[[#This Row],[Employees Growth]]/Tb_data[[#This Row],[previous_workers]]</f>
        <v>4</v>
      </c>
    </row>
    <row r="4011" spans="1:13" x14ac:dyDescent="0.25">
      <c r="A4011" s="1" t="s">
        <v>9117</v>
      </c>
      <c r="B4011" s="1" t="s">
        <v>9118</v>
      </c>
      <c r="C4011" s="1">
        <v>15500000</v>
      </c>
      <c r="D4011" s="1" t="s">
        <v>254</v>
      </c>
      <c r="E4011">
        <v>65.220600000000005</v>
      </c>
      <c r="F4011" s="1" t="s">
        <v>17</v>
      </c>
      <c r="G4011">
        <v>22</v>
      </c>
      <c r="H4011">
        <v>13</v>
      </c>
      <c r="I4011" s="1" t="s">
        <v>117</v>
      </c>
      <c r="J4011">
        <v>3</v>
      </c>
      <c r="K4011" t="str">
        <f>IF(Tb_data[[#This Row],[previous_workers]]&lt;Tb_data[[#This Row],[workers]],"yes","no")</f>
        <v>yes</v>
      </c>
      <c r="L4011">
        <f>Tb_data[[#This Row],[workers]]-Tb_data[[#This Row],[previous_workers]]</f>
        <v>9</v>
      </c>
      <c r="M4011" s="12">
        <f>Tb_data[[#This Row],[Employees Growth]]/Tb_data[[#This Row],[previous_workers]]</f>
        <v>0.69230769230769229</v>
      </c>
    </row>
    <row r="4012" spans="1:13" x14ac:dyDescent="0.25">
      <c r="A4012" s="1" t="s">
        <v>3704</v>
      </c>
      <c r="B4012" s="1" t="s">
        <v>3705</v>
      </c>
      <c r="C4012" s="1">
        <v>9400000</v>
      </c>
      <c r="D4012" s="1" t="s">
        <v>627</v>
      </c>
      <c r="E4012">
        <v>228.40969999999999</v>
      </c>
      <c r="F4012" s="1" t="s">
        <v>30</v>
      </c>
      <c r="G4012">
        <v>12</v>
      </c>
      <c r="H4012">
        <v>5</v>
      </c>
      <c r="I4012" s="1" t="s">
        <v>130</v>
      </c>
      <c r="J4012">
        <v>3</v>
      </c>
      <c r="K4012" t="str">
        <f>IF(Tb_data[[#This Row],[previous_workers]]&lt;Tb_data[[#This Row],[workers]],"yes","no")</f>
        <v>yes</v>
      </c>
      <c r="L4012">
        <f>Tb_data[[#This Row],[workers]]-Tb_data[[#This Row],[previous_workers]]</f>
        <v>7</v>
      </c>
      <c r="M4012" s="12">
        <f>Tb_data[[#This Row],[Employees Growth]]/Tb_data[[#This Row],[previous_workers]]</f>
        <v>1.4</v>
      </c>
    </row>
    <row r="4013" spans="1:13" x14ac:dyDescent="0.25">
      <c r="A4013" s="1" t="s">
        <v>3525</v>
      </c>
      <c r="B4013" s="1" t="s">
        <v>3526</v>
      </c>
      <c r="C4013" s="1">
        <v>2900000</v>
      </c>
      <c r="D4013" s="1" t="s">
        <v>33</v>
      </c>
      <c r="E4013">
        <v>240.0401</v>
      </c>
      <c r="F4013" s="1" t="s">
        <v>86</v>
      </c>
      <c r="G4013">
        <v>18</v>
      </c>
      <c r="H4013">
        <v>11</v>
      </c>
      <c r="I4013" s="1" t="s">
        <v>46</v>
      </c>
      <c r="J4013">
        <v>2</v>
      </c>
      <c r="K4013" t="str">
        <f>IF(Tb_data[[#This Row],[previous_workers]]&lt;Tb_data[[#This Row],[workers]],"yes","no")</f>
        <v>yes</v>
      </c>
      <c r="L4013">
        <f>Tb_data[[#This Row],[workers]]-Tb_data[[#This Row],[previous_workers]]</f>
        <v>7</v>
      </c>
      <c r="M4013" s="12">
        <f>Tb_data[[#This Row],[Employees Growth]]/Tb_data[[#This Row],[previous_workers]]</f>
        <v>0.63636363636363635</v>
      </c>
    </row>
    <row r="4014" spans="1:13" x14ac:dyDescent="0.25">
      <c r="A4014" s="1" t="s">
        <v>5542</v>
      </c>
      <c r="B4014" s="1" t="s">
        <v>5543</v>
      </c>
      <c r="C4014" s="1">
        <v>2000000</v>
      </c>
      <c r="D4014" s="1" t="s">
        <v>49</v>
      </c>
      <c r="E4014">
        <v>141.07140000000001</v>
      </c>
      <c r="F4014" s="1" t="s">
        <v>25</v>
      </c>
      <c r="G4014">
        <v>85</v>
      </c>
      <c r="H4014">
        <v>15</v>
      </c>
      <c r="I4014" s="1" t="s">
        <v>26</v>
      </c>
      <c r="J4014">
        <v>1</v>
      </c>
      <c r="K4014" t="str">
        <f>IF(Tb_data[[#This Row],[previous_workers]]&lt;Tb_data[[#This Row],[workers]],"yes","no")</f>
        <v>yes</v>
      </c>
      <c r="L4014">
        <f>Tb_data[[#This Row],[workers]]-Tb_data[[#This Row],[previous_workers]]</f>
        <v>70</v>
      </c>
      <c r="M4014" s="12">
        <f>Tb_data[[#This Row],[Employees Growth]]/Tb_data[[#This Row],[previous_workers]]</f>
        <v>4.666666666666667</v>
      </c>
    </row>
    <row r="4015" spans="1:13" x14ac:dyDescent="0.25">
      <c r="A4015" s="1" t="s">
        <v>5993</v>
      </c>
      <c r="B4015" s="1" t="s">
        <v>5994</v>
      </c>
      <c r="C4015" s="1">
        <v>7400000</v>
      </c>
      <c r="D4015" s="1" t="s">
        <v>33</v>
      </c>
      <c r="E4015">
        <v>126.7753</v>
      </c>
      <c r="F4015" s="1" t="s">
        <v>25</v>
      </c>
      <c r="G4015">
        <v>55</v>
      </c>
      <c r="H4015">
        <v>25</v>
      </c>
      <c r="I4015" s="1" t="s">
        <v>117</v>
      </c>
      <c r="J4015">
        <v>1</v>
      </c>
      <c r="K4015" t="str">
        <f>IF(Tb_data[[#This Row],[previous_workers]]&lt;Tb_data[[#This Row],[workers]],"yes","no")</f>
        <v>yes</v>
      </c>
      <c r="L4015">
        <f>Tb_data[[#This Row],[workers]]-Tb_data[[#This Row],[previous_workers]]</f>
        <v>30</v>
      </c>
      <c r="M4015" s="12">
        <f>Tb_data[[#This Row],[Employees Growth]]/Tb_data[[#This Row],[previous_workers]]</f>
        <v>1.2</v>
      </c>
    </row>
    <row r="4016" spans="1:13" x14ac:dyDescent="0.25">
      <c r="A4016" s="1" t="s">
        <v>6944</v>
      </c>
      <c r="B4016" s="1" t="s">
        <v>6945</v>
      </c>
      <c r="C4016" s="1">
        <v>14800000</v>
      </c>
      <c r="D4016" s="1" t="s">
        <v>627</v>
      </c>
      <c r="E4016">
        <v>102.97150000000001</v>
      </c>
      <c r="F4016" s="1" t="s">
        <v>25</v>
      </c>
      <c r="G4016">
        <v>47</v>
      </c>
      <c r="H4016">
        <v>31</v>
      </c>
      <c r="I4016" s="1" t="s">
        <v>1051</v>
      </c>
      <c r="J4016">
        <v>7</v>
      </c>
      <c r="K4016" t="str">
        <f>IF(Tb_data[[#This Row],[previous_workers]]&lt;Tb_data[[#This Row],[workers]],"yes","no")</f>
        <v>yes</v>
      </c>
      <c r="L4016">
        <f>Tb_data[[#This Row],[workers]]-Tb_data[[#This Row],[previous_workers]]</f>
        <v>16</v>
      </c>
      <c r="M4016" s="12">
        <f>Tb_data[[#This Row],[Employees Growth]]/Tb_data[[#This Row],[previous_workers]]</f>
        <v>0.5161290322580645</v>
      </c>
    </row>
    <row r="4017" spans="1:13" x14ac:dyDescent="0.25">
      <c r="A4017" s="1" t="s">
        <v>1777</v>
      </c>
      <c r="B4017" s="1" t="s">
        <v>1778</v>
      </c>
      <c r="C4017" s="1">
        <v>5100000</v>
      </c>
      <c r="D4017" s="1" t="s">
        <v>664</v>
      </c>
      <c r="E4017">
        <v>508.64879999999999</v>
      </c>
      <c r="F4017" s="1" t="s">
        <v>112</v>
      </c>
      <c r="G4017">
        <v>40</v>
      </c>
      <c r="H4017">
        <v>15</v>
      </c>
      <c r="I4017" s="1" t="s">
        <v>46</v>
      </c>
      <c r="J4017">
        <v>3</v>
      </c>
      <c r="K4017" t="str">
        <f>IF(Tb_data[[#This Row],[previous_workers]]&lt;Tb_data[[#This Row],[workers]],"yes","no")</f>
        <v>yes</v>
      </c>
      <c r="L4017">
        <f>Tb_data[[#This Row],[workers]]-Tb_data[[#This Row],[previous_workers]]</f>
        <v>25</v>
      </c>
      <c r="M4017" s="12">
        <f>Tb_data[[#This Row],[Employees Growth]]/Tb_data[[#This Row],[previous_workers]]</f>
        <v>1.6666666666666667</v>
      </c>
    </row>
    <row r="4018" spans="1:13" x14ac:dyDescent="0.25">
      <c r="A4018" s="1" t="s">
        <v>8741</v>
      </c>
      <c r="B4018" s="1" t="s">
        <v>8742</v>
      </c>
      <c r="C4018" s="1">
        <v>12900000</v>
      </c>
      <c r="D4018" s="1" t="s">
        <v>69</v>
      </c>
      <c r="E4018">
        <v>70.420400000000001</v>
      </c>
      <c r="F4018" s="1" t="s">
        <v>30</v>
      </c>
      <c r="G4018">
        <v>35</v>
      </c>
      <c r="H4018">
        <v>14</v>
      </c>
      <c r="I4018" s="1" t="s">
        <v>4080</v>
      </c>
      <c r="J4018">
        <v>2</v>
      </c>
      <c r="K4018" t="str">
        <f>IF(Tb_data[[#This Row],[previous_workers]]&lt;Tb_data[[#This Row],[workers]],"yes","no")</f>
        <v>yes</v>
      </c>
      <c r="L4018">
        <f>Tb_data[[#This Row],[workers]]-Tb_data[[#This Row],[previous_workers]]</f>
        <v>21</v>
      </c>
      <c r="M4018" s="12">
        <f>Tb_data[[#This Row],[Employees Growth]]/Tb_data[[#This Row],[previous_workers]]</f>
        <v>1.5</v>
      </c>
    </row>
    <row r="4019" spans="1:13" x14ac:dyDescent="0.25">
      <c r="A4019" s="1" t="s">
        <v>948</v>
      </c>
      <c r="B4019" s="1" t="s">
        <v>4105</v>
      </c>
      <c r="C4019" s="1">
        <v>12400000</v>
      </c>
      <c r="D4019" s="1" t="s">
        <v>33</v>
      </c>
      <c r="E4019">
        <v>200.7064</v>
      </c>
      <c r="F4019" s="1" t="s">
        <v>124</v>
      </c>
      <c r="G4019">
        <v>116</v>
      </c>
      <c r="H4019">
        <v>22</v>
      </c>
      <c r="I4019" s="1" t="s">
        <v>35</v>
      </c>
      <c r="J4019">
        <v>1</v>
      </c>
      <c r="K4019" t="str">
        <f>IF(Tb_data[[#This Row],[previous_workers]]&lt;Tb_data[[#This Row],[workers]],"yes","no")</f>
        <v>yes</v>
      </c>
      <c r="L4019">
        <f>Tb_data[[#This Row],[workers]]-Tb_data[[#This Row],[previous_workers]]</f>
        <v>94</v>
      </c>
      <c r="M4019" s="12">
        <f>Tb_data[[#This Row],[Employees Growth]]/Tb_data[[#This Row],[previous_workers]]</f>
        <v>4.2727272727272725</v>
      </c>
    </row>
    <row r="4020" spans="1:13" x14ac:dyDescent="0.25">
      <c r="A4020" s="1" t="s">
        <v>660</v>
      </c>
      <c r="B4020" s="1" t="s">
        <v>661</v>
      </c>
      <c r="C4020" s="1">
        <v>113500000</v>
      </c>
      <c r="D4020" s="1" t="s">
        <v>175</v>
      </c>
      <c r="E4020">
        <v>1545.2612999999999</v>
      </c>
      <c r="F4020" s="1" t="s">
        <v>34</v>
      </c>
      <c r="G4020">
        <v>1500</v>
      </c>
      <c r="H4020">
        <v>500</v>
      </c>
      <c r="I4020" s="1" t="s">
        <v>26</v>
      </c>
      <c r="J4020">
        <v>2</v>
      </c>
      <c r="K4020" t="str">
        <f>IF(Tb_data[[#This Row],[previous_workers]]&lt;Tb_data[[#This Row],[workers]],"yes","no")</f>
        <v>yes</v>
      </c>
      <c r="L4020">
        <f>Tb_data[[#This Row],[workers]]-Tb_data[[#This Row],[previous_workers]]</f>
        <v>1000</v>
      </c>
      <c r="M4020" s="12">
        <f>Tb_data[[#This Row],[Employees Growth]]/Tb_data[[#This Row],[previous_workers]]</f>
        <v>2</v>
      </c>
    </row>
    <row r="4021" spans="1:13" x14ac:dyDescent="0.25">
      <c r="A4021" s="1" t="s">
        <v>6287</v>
      </c>
      <c r="B4021" s="1" t="s">
        <v>6288</v>
      </c>
      <c r="C4021" s="1">
        <v>7400000</v>
      </c>
      <c r="D4021" s="1" t="s">
        <v>49</v>
      </c>
      <c r="E4021">
        <v>119.2469</v>
      </c>
      <c r="F4021" s="1" t="s">
        <v>112</v>
      </c>
      <c r="G4021">
        <v>50</v>
      </c>
      <c r="H4021">
        <v>30</v>
      </c>
      <c r="I4021" s="1" t="s">
        <v>295</v>
      </c>
      <c r="J4021">
        <v>1</v>
      </c>
      <c r="K4021" t="str">
        <f>IF(Tb_data[[#This Row],[previous_workers]]&lt;Tb_data[[#This Row],[workers]],"yes","no")</f>
        <v>yes</v>
      </c>
      <c r="L4021">
        <f>Tb_data[[#This Row],[workers]]-Tb_data[[#This Row],[previous_workers]]</f>
        <v>20</v>
      </c>
      <c r="M4021" s="12">
        <f>Tb_data[[#This Row],[Employees Growth]]/Tb_data[[#This Row],[previous_workers]]</f>
        <v>0.66666666666666663</v>
      </c>
    </row>
    <row r="4022" spans="1:13" x14ac:dyDescent="0.25">
      <c r="A4022" s="1" t="s">
        <v>2482</v>
      </c>
      <c r="B4022" s="1" t="s">
        <v>2483</v>
      </c>
      <c r="C4022" s="1">
        <v>3900000</v>
      </c>
      <c r="D4022" s="1" t="s">
        <v>375</v>
      </c>
      <c r="E4022">
        <v>351.05889999999999</v>
      </c>
      <c r="F4022" s="1" t="s">
        <v>514</v>
      </c>
      <c r="G4022">
        <v>33</v>
      </c>
      <c r="H4022">
        <v>10</v>
      </c>
      <c r="I4022" s="1" t="s">
        <v>26</v>
      </c>
      <c r="J4022">
        <v>2</v>
      </c>
      <c r="K4022" t="str">
        <f>IF(Tb_data[[#This Row],[previous_workers]]&lt;Tb_data[[#This Row],[workers]],"yes","no")</f>
        <v>yes</v>
      </c>
      <c r="L4022">
        <f>Tb_data[[#This Row],[workers]]-Tb_data[[#This Row],[previous_workers]]</f>
        <v>23</v>
      </c>
      <c r="M4022" s="12">
        <f>Tb_data[[#This Row],[Employees Growth]]/Tb_data[[#This Row],[previous_workers]]</f>
        <v>2.2999999999999998</v>
      </c>
    </row>
    <row r="4023" spans="1:13" x14ac:dyDescent="0.25">
      <c r="A4023" s="1" t="s">
        <v>7375</v>
      </c>
      <c r="B4023" s="1" t="s">
        <v>7376</v>
      </c>
      <c r="C4023" s="1">
        <v>3800000</v>
      </c>
      <c r="D4023" s="1" t="s">
        <v>49</v>
      </c>
      <c r="E4023">
        <v>95.721100000000007</v>
      </c>
      <c r="F4023" s="1" t="s">
        <v>124</v>
      </c>
      <c r="G4023">
        <v>30</v>
      </c>
      <c r="H4023">
        <v>11</v>
      </c>
      <c r="I4023" s="1" t="s">
        <v>961</v>
      </c>
      <c r="J4023">
        <v>2</v>
      </c>
      <c r="K4023" t="str">
        <f>IF(Tb_data[[#This Row],[previous_workers]]&lt;Tb_data[[#This Row],[workers]],"yes","no")</f>
        <v>yes</v>
      </c>
      <c r="L4023">
        <f>Tb_data[[#This Row],[workers]]-Tb_data[[#This Row],[previous_workers]]</f>
        <v>19</v>
      </c>
      <c r="M4023" s="12">
        <f>Tb_data[[#This Row],[Employees Growth]]/Tb_data[[#This Row],[previous_workers]]</f>
        <v>1.7272727272727273</v>
      </c>
    </row>
    <row r="4024" spans="1:13" x14ac:dyDescent="0.25">
      <c r="A4024" s="1" t="s">
        <v>2383</v>
      </c>
      <c r="B4024" s="1" t="s">
        <v>2384</v>
      </c>
      <c r="C4024" s="1">
        <v>5200000</v>
      </c>
      <c r="D4024" s="1" t="s">
        <v>49</v>
      </c>
      <c r="E4024">
        <v>367.98669999999998</v>
      </c>
      <c r="F4024" s="1" t="s">
        <v>124</v>
      </c>
      <c r="G4024">
        <v>40</v>
      </c>
      <c r="H4024">
        <v>11</v>
      </c>
      <c r="I4024" s="1" t="s">
        <v>130</v>
      </c>
      <c r="J4024">
        <v>1</v>
      </c>
      <c r="K4024" t="str">
        <f>IF(Tb_data[[#This Row],[previous_workers]]&lt;Tb_data[[#This Row],[workers]],"yes","no")</f>
        <v>yes</v>
      </c>
      <c r="L4024">
        <f>Tb_data[[#This Row],[workers]]-Tb_data[[#This Row],[previous_workers]]</f>
        <v>29</v>
      </c>
      <c r="M4024" s="12">
        <f>Tb_data[[#This Row],[Employees Growth]]/Tb_data[[#This Row],[previous_workers]]</f>
        <v>2.6363636363636362</v>
      </c>
    </row>
    <row r="4025" spans="1:13" x14ac:dyDescent="0.25">
      <c r="A4025" s="1" t="s">
        <v>9848</v>
      </c>
      <c r="B4025" s="1" t="s">
        <v>9849</v>
      </c>
      <c r="C4025" s="1">
        <v>19200000</v>
      </c>
      <c r="D4025" s="1" t="s">
        <v>49</v>
      </c>
      <c r="E4025">
        <v>56.115900000000003</v>
      </c>
      <c r="F4025" s="1" t="s">
        <v>62</v>
      </c>
      <c r="G4025">
        <v>83</v>
      </c>
      <c r="H4025">
        <v>41</v>
      </c>
      <c r="I4025" s="1" t="s">
        <v>295</v>
      </c>
      <c r="J4025">
        <v>7</v>
      </c>
      <c r="K4025" t="str">
        <f>IF(Tb_data[[#This Row],[previous_workers]]&lt;Tb_data[[#This Row],[workers]],"yes","no")</f>
        <v>yes</v>
      </c>
      <c r="L4025">
        <f>Tb_data[[#This Row],[workers]]-Tb_data[[#This Row],[previous_workers]]</f>
        <v>42</v>
      </c>
      <c r="M4025" s="12">
        <f>Tb_data[[#This Row],[Employees Growth]]/Tb_data[[#This Row],[previous_workers]]</f>
        <v>1.024390243902439</v>
      </c>
    </row>
    <row r="4026" spans="1:13" x14ac:dyDescent="0.25">
      <c r="A4026" s="1" t="s">
        <v>9606</v>
      </c>
      <c r="B4026" s="1" t="s">
        <v>9607</v>
      </c>
      <c r="C4026" s="1">
        <v>62200000</v>
      </c>
      <c r="D4026" s="1" t="s">
        <v>45</v>
      </c>
      <c r="E4026">
        <v>59.131799999999998</v>
      </c>
      <c r="F4026" s="1" t="s">
        <v>30</v>
      </c>
      <c r="G4026">
        <v>47</v>
      </c>
      <c r="H4026">
        <v>38</v>
      </c>
      <c r="I4026" s="1" t="s">
        <v>2407</v>
      </c>
      <c r="J4026">
        <v>5</v>
      </c>
      <c r="K4026" t="str">
        <f>IF(Tb_data[[#This Row],[previous_workers]]&lt;Tb_data[[#This Row],[workers]],"yes","no")</f>
        <v>yes</v>
      </c>
      <c r="L4026">
        <f>Tb_data[[#This Row],[workers]]-Tb_data[[#This Row],[previous_workers]]</f>
        <v>9</v>
      </c>
      <c r="M4026" s="12">
        <f>Tb_data[[#This Row],[Employees Growth]]/Tb_data[[#This Row],[previous_workers]]</f>
        <v>0.23684210526315788</v>
      </c>
    </row>
    <row r="4027" spans="1:13" x14ac:dyDescent="0.25">
      <c r="A4027" s="1" t="s">
        <v>4780</v>
      </c>
      <c r="B4027" s="1" t="s">
        <v>4781</v>
      </c>
      <c r="C4027" s="1">
        <v>24800000</v>
      </c>
      <c r="D4027" s="1" t="s">
        <v>115</v>
      </c>
      <c r="E4027">
        <v>170.81299999999999</v>
      </c>
      <c r="F4027" s="1" t="s">
        <v>124</v>
      </c>
      <c r="G4027">
        <v>110</v>
      </c>
      <c r="H4027">
        <v>52</v>
      </c>
      <c r="I4027" s="1" t="s">
        <v>35</v>
      </c>
      <c r="J4027">
        <v>5</v>
      </c>
      <c r="K4027" t="str">
        <f>IF(Tb_data[[#This Row],[previous_workers]]&lt;Tb_data[[#This Row],[workers]],"yes","no")</f>
        <v>yes</v>
      </c>
      <c r="L4027">
        <f>Tb_data[[#This Row],[workers]]-Tb_data[[#This Row],[previous_workers]]</f>
        <v>58</v>
      </c>
      <c r="M4027" s="12">
        <f>Tb_data[[#This Row],[Employees Growth]]/Tb_data[[#This Row],[previous_workers]]</f>
        <v>1.1153846153846154</v>
      </c>
    </row>
    <row r="4028" spans="1:13" x14ac:dyDescent="0.25">
      <c r="A4028" s="1" t="s">
        <v>6990</v>
      </c>
      <c r="B4028" s="1" t="s">
        <v>6991</v>
      </c>
      <c r="C4028" s="1">
        <v>15500000</v>
      </c>
      <c r="D4028" s="1" t="s">
        <v>29</v>
      </c>
      <c r="E4028">
        <v>102.0776</v>
      </c>
      <c r="F4028" s="1" t="s">
        <v>34</v>
      </c>
      <c r="G4028">
        <v>88</v>
      </c>
      <c r="H4028">
        <v>35</v>
      </c>
      <c r="I4028" s="1" t="s">
        <v>117</v>
      </c>
      <c r="J4028">
        <v>1</v>
      </c>
      <c r="K4028" t="str">
        <f>IF(Tb_data[[#This Row],[previous_workers]]&lt;Tb_data[[#This Row],[workers]],"yes","no")</f>
        <v>yes</v>
      </c>
      <c r="L4028">
        <f>Tb_data[[#This Row],[workers]]-Tb_data[[#This Row],[previous_workers]]</f>
        <v>53</v>
      </c>
      <c r="M4028" s="12">
        <f>Tb_data[[#This Row],[Employees Growth]]/Tb_data[[#This Row],[previous_workers]]</f>
        <v>1.5142857142857142</v>
      </c>
    </row>
    <row r="4029" spans="1:13" x14ac:dyDescent="0.25">
      <c r="A4029" s="1" t="s">
        <v>1511</v>
      </c>
      <c r="B4029" s="1" t="s">
        <v>1512</v>
      </c>
      <c r="C4029" s="1">
        <v>2000000</v>
      </c>
      <c r="D4029" s="1" t="s">
        <v>61</v>
      </c>
      <c r="E4029">
        <v>620.91030000000001</v>
      </c>
      <c r="F4029" s="1" t="s">
        <v>176</v>
      </c>
      <c r="G4029">
        <v>21</v>
      </c>
      <c r="H4029">
        <v>5</v>
      </c>
      <c r="I4029" s="1" t="s">
        <v>55</v>
      </c>
      <c r="J4029">
        <v>1</v>
      </c>
      <c r="K4029" t="str">
        <f>IF(Tb_data[[#This Row],[previous_workers]]&lt;Tb_data[[#This Row],[workers]],"yes","no")</f>
        <v>yes</v>
      </c>
      <c r="L4029">
        <f>Tb_data[[#This Row],[workers]]-Tb_data[[#This Row],[previous_workers]]</f>
        <v>16</v>
      </c>
      <c r="M4029" s="12">
        <f>Tb_data[[#This Row],[Employees Growth]]/Tb_data[[#This Row],[previous_workers]]</f>
        <v>3.2</v>
      </c>
    </row>
    <row r="4030" spans="1:13" x14ac:dyDescent="0.25">
      <c r="A4030" s="1" t="s">
        <v>3754</v>
      </c>
      <c r="B4030" s="1" t="s">
        <v>3755</v>
      </c>
      <c r="C4030" s="1">
        <v>15200000</v>
      </c>
      <c r="D4030" s="1" t="s">
        <v>91</v>
      </c>
      <c r="E4030">
        <v>224.92920000000001</v>
      </c>
      <c r="F4030" s="1" t="s">
        <v>30</v>
      </c>
      <c r="G4030">
        <v>28</v>
      </c>
      <c r="H4030">
        <v>15</v>
      </c>
      <c r="I4030" s="1" t="s">
        <v>164</v>
      </c>
      <c r="J4030">
        <v>3</v>
      </c>
      <c r="K4030" t="str">
        <f>IF(Tb_data[[#This Row],[previous_workers]]&lt;Tb_data[[#This Row],[workers]],"yes","no")</f>
        <v>yes</v>
      </c>
      <c r="L4030">
        <f>Tb_data[[#This Row],[workers]]-Tb_data[[#This Row],[previous_workers]]</f>
        <v>13</v>
      </c>
      <c r="M4030" s="12">
        <f>Tb_data[[#This Row],[Employees Growth]]/Tb_data[[#This Row],[previous_workers]]</f>
        <v>0.8666666666666667</v>
      </c>
    </row>
    <row r="4031" spans="1:13" x14ac:dyDescent="0.25">
      <c r="A4031" s="1" t="s">
        <v>1144</v>
      </c>
      <c r="B4031" s="1" t="s">
        <v>1145</v>
      </c>
      <c r="C4031" s="1">
        <v>6600000</v>
      </c>
      <c r="D4031" s="1" t="s">
        <v>11</v>
      </c>
      <c r="E4031">
        <v>837.09010000000001</v>
      </c>
      <c r="F4031" s="1" t="s">
        <v>112</v>
      </c>
      <c r="G4031">
        <v>12</v>
      </c>
      <c r="H4031">
        <v>3</v>
      </c>
      <c r="I4031" s="1" t="s">
        <v>130</v>
      </c>
      <c r="J4031">
        <v>2</v>
      </c>
      <c r="K4031" t="str">
        <f>IF(Tb_data[[#This Row],[previous_workers]]&lt;Tb_data[[#This Row],[workers]],"yes","no")</f>
        <v>yes</v>
      </c>
      <c r="L4031">
        <f>Tb_data[[#This Row],[workers]]-Tb_data[[#This Row],[previous_workers]]</f>
        <v>9</v>
      </c>
      <c r="M4031" s="12">
        <f>Tb_data[[#This Row],[Employees Growth]]/Tb_data[[#This Row],[previous_workers]]</f>
        <v>3</v>
      </c>
    </row>
    <row r="4032" spans="1:13" x14ac:dyDescent="0.25">
      <c r="A4032" s="1" t="s">
        <v>4242</v>
      </c>
      <c r="B4032" s="1" t="s">
        <v>4243</v>
      </c>
      <c r="C4032" s="1">
        <v>25700000</v>
      </c>
      <c r="D4032" s="1" t="s">
        <v>175</v>
      </c>
      <c r="E4032">
        <v>194.25129999999999</v>
      </c>
      <c r="F4032" s="1" t="s">
        <v>100</v>
      </c>
      <c r="G4032">
        <v>19</v>
      </c>
      <c r="H4032">
        <v>8</v>
      </c>
      <c r="I4032" s="1" t="s">
        <v>164</v>
      </c>
      <c r="J4032">
        <v>6</v>
      </c>
      <c r="K4032" t="str">
        <f>IF(Tb_data[[#This Row],[previous_workers]]&lt;Tb_data[[#This Row],[workers]],"yes","no")</f>
        <v>yes</v>
      </c>
      <c r="L4032">
        <f>Tb_data[[#This Row],[workers]]-Tb_data[[#This Row],[previous_workers]]</f>
        <v>11</v>
      </c>
      <c r="M4032" s="12">
        <f>Tb_data[[#This Row],[Employees Growth]]/Tb_data[[#This Row],[previous_workers]]</f>
        <v>1.375</v>
      </c>
    </row>
    <row r="4033" spans="1:13" x14ac:dyDescent="0.25">
      <c r="A4033" s="1" t="s">
        <v>177</v>
      </c>
      <c r="B4033" s="1" t="s">
        <v>178</v>
      </c>
      <c r="C4033" s="1">
        <v>8000000</v>
      </c>
      <c r="D4033" s="1" t="s">
        <v>179</v>
      </c>
      <c r="E4033">
        <v>4916.2166999999999</v>
      </c>
      <c r="F4033" s="1" t="s">
        <v>25</v>
      </c>
      <c r="G4033">
        <v>25</v>
      </c>
      <c r="H4033">
        <v>8</v>
      </c>
      <c r="I4033" s="1" t="s">
        <v>26</v>
      </c>
      <c r="J4033">
        <v>1</v>
      </c>
      <c r="K4033" t="str">
        <f>IF(Tb_data[[#This Row],[previous_workers]]&lt;Tb_data[[#This Row],[workers]],"yes","no")</f>
        <v>yes</v>
      </c>
      <c r="L4033">
        <f>Tb_data[[#This Row],[workers]]-Tb_data[[#This Row],[previous_workers]]</f>
        <v>17</v>
      </c>
      <c r="M4033" s="12">
        <f>Tb_data[[#This Row],[Employees Growth]]/Tb_data[[#This Row],[previous_workers]]</f>
        <v>2.125</v>
      </c>
    </row>
    <row r="4034" spans="1:13" x14ac:dyDescent="0.25">
      <c r="A4034" s="1" t="s">
        <v>1710</v>
      </c>
      <c r="B4034" s="1" t="s">
        <v>1711</v>
      </c>
      <c r="C4034" s="1">
        <v>18400000</v>
      </c>
      <c r="D4034" s="1" t="s">
        <v>41</v>
      </c>
      <c r="E4034">
        <v>533.70640000000003</v>
      </c>
      <c r="F4034" s="1" t="s">
        <v>97</v>
      </c>
      <c r="G4034">
        <v>80</v>
      </c>
      <c r="H4034">
        <v>20</v>
      </c>
      <c r="I4034" s="1" t="s">
        <v>46</v>
      </c>
      <c r="J4034">
        <v>2</v>
      </c>
      <c r="K4034" t="str">
        <f>IF(Tb_data[[#This Row],[previous_workers]]&lt;Tb_data[[#This Row],[workers]],"yes","no")</f>
        <v>yes</v>
      </c>
      <c r="L4034">
        <f>Tb_data[[#This Row],[workers]]-Tb_data[[#This Row],[previous_workers]]</f>
        <v>60</v>
      </c>
      <c r="M4034" s="12">
        <f>Tb_data[[#This Row],[Employees Growth]]/Tb_data[[#This Row],[previous_workers]]</f>
        <v>3</v>
      </c>
    </row>
    <row r="4035" spans="1:13" x14ac:dyDescent="0.25">
      <c r="A4035" s="1" t="s">
        <v>3734</v>
      </c>
      <c r="B4035" s="1" t="s">
        <v>3735</v>
      </c>
      <c r="C4035" s="1">
        <v>35500000</v>
      </c>
      <c r="D4035" s="1" t="s">
        <v>61</v>
      </c>
      <c r="E4035">
        <v>226.1369</v>
      </c>
      <c r="F4035" s="1" t="s">
        <v>34</v>
      </c>
      <c r="G4035">
        <v>295</v>
      </c>
      <c r="H4035">
        <v>95</v>
      </c>
      <c r="I4035" s="1" t="s">
        <v>372</v>
      </c>
      <c r="J4035">
        <v>6</v>
      </c>
      <c r="K4035" t="str">
        <f>IF(Tb_data[[#This Row],[previous_workers]]&lt;Tb_data[[#This Row],[workers]],"yes","no")</f>
        <v>yes</v>
      </c>
      <c r="L4035">
        <f>Tb_data[[#This Row],[workers]]-Tb_data[[#This Row],[previous_workers]]</f>
        <v>200</v>
      </c>
      <c r="M4035" s="12">
        <f>Tb_data[[#This Row],[Employees Growth]]/Tb_data[[#This Row],[previous_workers]]</f>
        <v>2.1052631578947367</v>
      </c>
    </row>
    <row r="4036" spans="1:13" x14ac:dyDescent="0.25">
      <c r="A4036" s="1" t="s">
        <v>3758</v>
      </c>
      <c r="B4036" s="1" t="s">
        <v>3759</v>
      </c>
      <c r="C4036" s="1">
        <v>2800000</v>
      </c>
      <c r="D4036" s="1" t="s">
        <v>664</v>
      </c>
      <c r="E4036">
        <v>224.5095</v>
      </c>
      <c r="F4036" s="1" t="s">
        <v>12</v>
      </c>
      <c r="G4036">
        <v>13</v>
      </c>
      <c r="H4036">
        <v>5</v>
      </c>
      <c r="I4036" s="1" t="s">
        <v>46</v>
      </c>
      <c r="J4036">
        <v>1</v>
      </c>
      <c r="K4036" t="str">
        <f>IF(Tb_data[[#This Row],[previous_workers]]&lt;Tb_data[[#This Row],[workers]],"yes","no")</f>
        <v>yes</v>
      </c>
      <c r="L4036">
        <f>Tb_data[[#This Row],[workers]]-Tb_data[[#This Row],[previous_workers]]</f>
        <v>8</v>
      </c>
      <c r="M4036" s="12">
        <f>Tb_data[[#This Row],[Employees Growth]]/Tb_data[[#This Row],[previous_workers]]</f>
        <v>1.6</v>
      </c>
    </row>
    <row r="4037" spans="1:13" x14ac:dyDescent="0.25">
      <c r="A4037" s="1" t="s">
        <v>9141</v>
      </c>
      <c r="B4037" s="1" t="s">
        <v>9142</v>
      </c>
      <c r="C4037" s="1">
        <v>14500000</v>
      </c>
      <c r="D4037" s="1" t="s">
        <v>52</v>
      </c>
      <c r="E4037">
        <v>64.885599999999997</v>
      </c>
      <c r="F4037" s="1" t="s">
        <v>514</v>
      </c>
      <c r="G4037">
        <v>80</v>
      </c>
      <c r="H4037">
        <v>25</v>
      </c>
      <c r="I4037" s="1" t="s">
        <v>194</v>
      </c>
      <c r="J4037">
        <v>3</v>
      </c>
      <c r="K4037" t="str">
        <f>IF(Tb_data[[#This Row],[previous_workers]]&lt;Tb_data[[#This Row],[workers]],"yes","no")</f>
        <v>yes</v>
      </c>
      <c r="L4037">
        <f>Tb_data[[#This Row],[workers]]-Tb_data[[#This Row],[previous_workers]]</f>
        <v>55</v>
      </c>
      <c r="M4037" s="12">
        <f>Tb_data[[#This Row],[Employees Growth]]/Tb_data[[#This Row],[previous_workers]]</f>
        <v>2.2000000000000002</v>
      </c>
    </row>
    <row r="4038" spans="1:13" x14ac:dyDescent="0.25">
      <c r="A4038" s="1" t="s">
        <v>5352</v>
      </c>
      <c r="B4038" s="1" t="s">
        <v>5353</v>
      </c>
      <c r="C4038" s="1">
        <v>7200000</v>
      </c>
      <c r="D4038" s="1" t="s">
        <v>33</v>
      </c>
      <c r="E4038">
        <v>147.9588</v>
      </c>
      <c r="F4038" s="1" t="s">
        <v>176</v>
      </c>
      <c r="G4038">
        <v>24</v>
      </c>
      <c r="H4038">
        <v>10</v>
      </c>
      <c r="I4038" s="1" t="s">
        <v>1051</v>
      </c>
      <c r="J4038">
        <v>5</v>
      </c>
      <c r="K4038" t="str">
        <f>IF(Tb_data[[#This Row],[previous_workers]]&lt;Tb_data[[#This Row],[workers]],"yes","no")</f>
        <v>yes</v>
      </c>
      <c r="L4038">
        <f>Tb_data[[#This Row],[workers]]-Tb_data[[#This Row],[previous_workers]]</f>
        <v>14</v>
      </c>
      <c r="M4038" s="12">
        <f>Tb_data[[#This Row],[Employees Growth]]/Tb_data[[#This Row],[previous_workers]]</f>
        <v>1.4</v>
      </c>
    </row>
    <row r="4039" spans="1:13" x14ac:dyDescent="0.25">
      <c r="A4039" s="1" t="s">
        <v>4455</v>
      </c>
      <c r="B4039" s="1" t="s">
        <v>4456</v>
      </c>
      <c r="C4039" s="1">
        <v>19600000</v>
      </c>
      <c r="D4039" s="1" t="s">
        <v>49</v>
      </c>
      <c r="E4039">
        <v>184.78479999999999</v>
      </c>
      <c r="F4039" s="1" t="s">
        <v>161</v>
      </c>
      <c r="G4039">
        <v>481</v>
      </c>
      <c r="H4039">
        <v>113</v>
      </c>
      <c r="I4039" s="1" t="s">
        <v>55</v>
      </c>
      <c r="J4039">
        <v>2</v>
      </c>
      <c r="K4039" t="str">
        <f>IF(Tb_data[[#This Row],[previous_workers]]&lt;Tb_data[[#This Row],[workers]],"yes","no")</f>
        <v>yes</v>
      </c>
      <c r="L4039">
        <f>Tb_data[[#This Row],[workers]]-Tb_data[[#This Row],[previous_workers]]</f>
        <v>368</v>
      </c>
      <c r="M4039" s="12">
        <f>Tb_data[[#This Row],[Employees Growth]]/Tb_data[[#This Row],[previous_workers]]</f>
        <v>3.2566371681415931</v>
      </c>
    </row>
    <row r="4040" spans="1:13" x14ac:dyDescent="0.25">
      <c r="A4040" s="1" t="s">
        <v>7705</v>
      </c>
      <c r="B4040" s="1" t="s">
        <v>7706</v>
      </c>
      <c r="C4040" s="1">
        <v>42400000</v>
      </c>
      <c r="D4040" s="1" t="s">
        <v>33</v>
      </c>
      <c r="E4040">
        <v>88.010499999999993</v>
      </c>
      <c r="F4040" s="1" t="s">
        <v>12</v>
      </c>
      <c r="G4040">
        <v>230</v>
      </c>
      <c r="H4040">
        <v>100</v>
      </c>
      <c r="I4040" s="1" t="s">
        <v>3843</v>
      </c>
      <c r="J4040">
        <v>8</v>
      </c>
      <c r="K4040" t="str">
        <f>IF(Tb_data[[#This Row],[previous_workers]]&lt;Tb_data[[#This Row],[workers]],"yes","no")</f>
        <v>yes</v>
      </c>
      <c r="L4040">
        <f>Tb_data[[#This Row],[workers]]-Tb_data[[#This Row],[previous_workers]]</f>
        <v>130</v>
      </c>
      <c r="M4040" s="12">
        <f>Tb_data[[#This Row],[Employees Growth]]/Tb_data[[#This Row],[previous_workers]]</f>
        <v>1.3</v>
      </c>
    </row>
    <row r="4041" spans="1:13" x14ac:dyDescent="0.25">
      <c r="A4041" s="1" t="s">
        <v>3623</v>
      </c>
      <c r="B4041" s="1" t="s">
        <v>3624</v>
      </c>
      <c r="C4041" s="1">
        <v>8900000</v>
      </c>
      <c r="D4041" s="1" t="s">
        <v>123</v>
      </c>
      <c r="E4041">
        <v>232.3691</v>
      </c>
      <c r="F4041" s="1" t="s">
        <v>21</v>
      </c>
      <c r="G4041">
        <v>24</v>
      </c>
      <c r="H4041">
        <v>10</v>
      </c>
      <c r="I4041" s="1" t="s">
        <v>295</v>
      </c>
      <c r="J4041">
        <v>4</v>
      </c>
      <c r="K4041" t="str">
        <f>IF(Tb_data[[#This Row],[previous_workers]]&lt;Tb_data[[#This Row],[workers]],"yes","no")</f>
        <v>yes</v>
      </c>
      <c r="L4041">
        <f>Tb_data[[#This Row],[workers]]-Tb_data[[#This Row],[previous_workers]]</f>
        <v>14</v>
      </c>
      <c r="M4041" s="12">
        <f>Tb_data[[#This Row],[Employees Growth]]/Tb_data[[#This Row],[previous_workers]]</f>
        <v>1.4</v>
      </c>
    </row>
    <row r="4042" spans="1:13" x14ac:dyDescent="0.25">
      <c r="A4042" s="1" t="s">
        <v>3073</v>
      </c>
      <c r="B4042" s="1" t="s">
        <v>3074</v>
      </c>
      <c r="C4042" s="1">
        <v>3200000</v>
      </c>
      <c r="D4042" s="1" t="s">
        <v>58</v>
      </c>
      <c r="E4042">
        <v>279.71280000000002</v>
      </c>
      <c r="F4042" s="1" t="s">
        <v>21</v>
      </c>
      <c r="G4042">
        <v>49</v>
      </c>
      <c r="H4042">
        <v>10</v>
      </c>
      <c r="I4042" s="1" t="s">
        <v>55</v>
      </c>
      <c r="J4042">
        <v>1</v>
      </c>
      <c r="K4042" t="str">
        <f>IF(Tb_data[[#This Row],[previous_workers]]&lt;Tb_data[[#This Row],[workers]],"yes","no")</f>
        <v>yes</v>
      </c>
      <c r="L4042">
        <f>Tb_data[[#This Row],[workers]]-Tb_data[[#This Row],[previous_workers]]</f>
        <v>39</v>
      </c>
      <c r="M4042" s="12">
        <f>Tb_data[[#This Row],[Employees Growth]]/Tb_data[[#This Row],[previous_workers]]</f>
        <v>3.9</v>
      </c>
    </row>
    <row r="4043" spans="1:13" x14ac:dyDescent="0.25">
      <c r="A4043" s="1" t="s">
        <v>944</v>
      </c>
      <c r="B4043" s="1" t="s">
        <v>945</v>
      </c>
      <c r="C4043" s="1">
        <v>5400000</v>
      </c>
      <c r="D4043" s="1" t="s">
        <v>120</v>
      </c>
      <c r="E4043">
        <v>1073.5922</v>
      </c>
      <c r="F4043" s="1" t="s">
        <v>112</v>
      </c>
      <c r="G4043">
        <v>24</v>
      </c>
      <c r="H4043">
        <v>4</v>
      </c>
      <c r="I4043" s="1" t="s">
        <v>164</v>
      </c>
      <c r="J4043">
        <v>1</v>
      </c>
      <c r="K4043" t="str">
        <f>IF(Tb_data[[#This Row],[previous_workers]]&lt;Tb_data[[#This Row],[workers]],"yes","no")</f>
        <v>yes</v>
      </c>
      <c r="L4043">
        <f>Tb_data[[#This Row],[workers]]-Tb_data[[#This Row],[previous_workers]]</f>
        <v>20</v>
      </c>
      <c r="M4043" s="12">
        <f>Tb_data[[#This Row],[Employees Growth]]/Tb_data[[#This Row],[previous_workers]]</f>
        <v>5</v>
      </c>
    </row>
    <row r="4044" spans="1:13" x14ac:dyDescent="0.25">
      <c r="A4044" s="1" t="s">
        <v>2381</v>
      </c>
      <c r="B4044" s="1" t="s">
        <v>2382</v>
      </c>
      <c r="C4044" s="1">
        <v>3800000</v>
      </c>
      <c r="D4044" s="1" t="s">
        <v>91</v>
      </c>
      <c r="E4044">
        <v>368.13720000000001</v>
      </c>
      <c r="F4044" s="1" t="s">
        <v>112</v>
      </c>
      <c r="G4044">
        <v>42</v>
      </c>
      <c r="H4044">
        <v>9</v>
      </c>
      <c r="I4044" s="1" t="s">
        <v>117</v>
      </c>
      <c r="J4044">
        <v>1</v>
      </c>
      <c r="K4044" t="str">
        <f>IF(Tb_data[[#This Row],[previous_workers]]&lt;Tb_data[[#This Row],[workers]],"yes","no")</f>
        <v>yes</v>
      </c>
      <c r="L4044">
        <f>Tb_data[[#This Row],[workers]]-Tb_data[[#This Row],[previous_workers]]</f>
        <v>33</v>
      </c>
      <c r="M4044" s="12">
        <f>Tb_data[[#This Row],[Employees Growth]]/Tb_data[[#This Row],[previous_workers]]</f>
        <v>3.6666666666666665</v>
      </c>
    </row>
    <row r="4045" spans="1:13" x14ac:dyDescent="0.25">
      <c r="A4045" s="1" t="s">
        <v>1132</v>
      </c>
      <c r="B4045" s="1" t="s">
        <v>1133</v>
      </c>
      <c r="C4045" s="1">
        <v>6100000</v>
      </c>
      <c r="D4045" s="1" t="s">
        <v>41</v>
      </c>
      <c r="E4045">
        <v>850.19889999999998</v>
      </c>
      <c r="F4045" s="1" t="s">
        <v>176</v>
      </c>
      <c r="G4045">
        <v>30</v>
      </c>
      <c r="H4045">
        <v>3</v>
      </c>
      <c r="I4045" s="1" t="s">
        <v>130</v>
      </c>
      <c r="J4045">
        <v>1</v>
      </c>
      <c r="K4045" t="str">
        <f>IF(Tb_data[[#This Row],[previous_workers]]&lt;Tb_data[[#This Row],[workers]],"yes","no")</f>
        <v>yes</v>
      </c>
      <c r="L4045">
        <f>Tb_data[[#This Row],[workers]]-Tb_data[[#This Row],[previous_workers]]</f>
        <v>27</v>
      </c>
      <c r="M4045" s="12">
        <f>Tb_data[[#This Row],[Employees Growth]]/Tb_data[[#This Row],[previous_workers]]</f>
        <v>9</v>
      </c>
    </row>
    <row r="4046" spans="1:13" x14ac:dyDescent="0.25">
      <c r="A4046" s="1" t="s">
        <v>2254</v>
      </c>
      <c r="B4046" s="1" t="s">
        <v>2255</v>
      </c>
      <c r="C4046" s="1">
        <v>15400000</v>
      </c>
      <c r="D4046" s="1" t="s">
        <v>1002</v>
      </c>
      <c r="E4046">
        <v>392.13560000000001</v>
      </c>
      <c r="F4046" s="1" t="s">
        <v>12</v>
      </c>
      <c r="G4046">
        <v>59</v>
      </c>
      <c r="H4046">
        <v>26</v>
      </c>
      <c r="I4046" s="1" t="s">
        <v>226</v>
      </c>
      <c r="J4046">
        <v>2</v>
      </c>
      <c r="K4046" t="str">
        <f>IF(Tb_data[[#This Row],[previous_workers]]&lt;Tb_data[[#This Row],[workers]],"yes","no")</f>
        <v>yes</v>
      </c>
      <c r="L4046">
        <f>Tb_data[[#This Row],[workers]]-Tb_data[[#This Row],[previous_workers]]</f>
        <v>33</v>
      </c>
      <c r="M4046" s="12">
        <f>Tb_data[[#This Row],[Employees Growth]]/Tb_data[[#This Row],[previous_workers]]</f>
        <v>1.2692307692307692</v>
      </c>
    </row>
    <row r="4047" spans="1:13" x14ac:dyDescent="0.25">
      <c r="A4047" s="1" t="s">
        <v>5997</v>
      </c>
      <c r="B4047" s="1" t="s">
        <v>5998</v>
      </c>
      <c r="C4047" s="1">
        <v>12400000</v>
      </c>
      <c r="D4047" s="1" t="s">
        <v>52</v>
      </c>
      <c r="E4047">
        <v>126.60469999999999</v>
      </c>
      <c r="F4047" s="1" t="s">
        <v>86</v>
      </c>
      <c r="G4047">
        <v>77</v>
      </c>
      <c r="H4047">
        <v>36</v>
      </c>
      <c r="I4047" s="1" t="s">
        <v>1622</v>
      </c>
      <c r="J4047">
        <v>3</v>
      </c>
      <c r="K4047" t="str">
        <f>IF(Tb_data[[#This Row],[previous_workers]]&lt;Tb_data[[#This Row],[workers]],"yes","no")</f>
        <v>yes</v>
      </c>
      <c r="L4047">
        <f>Tb_data[[#This Row],[workers]]-Tb_data[[#This Row],[previous_workers]]</f>
        <v>41</v>
      </c>
      <c r="M4047" s="12">
        <f>Tb_data[[#This Row],[Employees Growth]]/Tb_data[[#This Row],[previous_workers]]</f>
        <v>1.1388888888888888</v>
      </c>
    </row>
    <row r="4048" spans="1:13" x14ac:dyDescent="0.25">
      <c r="A4048" s="1" t="s">
        <v>2368</v>
      </c>
      <c r="B4048" s="1" t="s">
        <v>2369</v>
      </c>
      <c r="C4048" s="1">
        <v>14200000</v>
      </c>
      <c r="D4048" s="1" t="s">
        <v>61</v>
      </c>
      <c r="E4048">
        <v>369.96850000000001</v>
      </c>
      <c r="F4048" s="1" t="s">
        <v>12</v>
      </c>
      <c r="G4048">
        <v>147</v>
      </c>
      <c r="H4048">
        <v>41</v>
      </c>
      <c r="I4048" s="1" t="s">
        <v>164</v>
      </c>
      <c r="J4048">
        <v>1</v>
      </c>
      <c r="K4048" t="str">
        <f>IF(Tb_data[[#This Row],[previous_workers]]&lt;Tb_data[[#This Row],[workers]],"yes","no")</f>
        <v>yes</v>
      </c>
      <c r="L4048">
        <f>Tb_data[[#This Row],[workers]]-Tb_data[[#This Row],[previous_workers]]</f>
        <v>106</v>
      </c>
      <c r="M4048" s="12">
        <f>Tb_data[[#This Row],[Employees Growth]]/Tb_data[[#This Row],[previous_workers]]</f>
        <v>2.5853658536585367</v>
      </c>
    </row>
    <row r="4049" spans="1:13" x14ac:dyDescent="0.25">
      <c r="A4049" s="1" t="s">
        <v>9159</v>
      </c>
      <c r="B4049" s="1" t="s">
        <v>9160</v>
      </c>
      <c r="C4049" s="1">
        <v>2300000</v>
      </c>
      <c r="D4049" s="1" t="s">
        <v>422</v>
      </c>
      <c r="E4049">
        <v>64.755600000000001</v>
      </c>
      <c r="F4049" s="1" t="s">
        <v>12</v>
      </c>
      <c r="G4049">
        <v>16</v>
      </c>
      <c r="H4049">
        <v>16</v>
      </c>
      <c r="I4049" s="1" t="s">
        <v>46</v>
      </c>
      <c r="J4049">
        <v>3</v>
      </c>
      <c r="K4049" t="str">
        <f>IF(Tb_data[[#This Row],[previous_workers]]&lt;Tb_data[[#This Row],[workers]],"yes","no")</f>
        <v>no</v>
      </c>
      <c r="L4049">
        <f>Tb_data[[#This Row],[workers]]-Tb_data[[#This Row],[previous_workers]]</f>
        <v>0</v>
      </c>
      <c r="M4049" s="12">
        <f>Tb_data[[#This Row],[Employees Growth]]/Tb_data[[#This Row],[previous_workers]]</f>
        <v>0</v>
      </c>
    </row>
    <row r="4050" spans="1:13" x14ac:dyDescent="0.25">
      <c r="A4050" s="1" t="s">
        <v>8815</v>
      </c>
      <c r="B4050" s="1" t="s">
        <v>8816</v>
      </c>
      <c r="C4050" s="1">
        <v>2500000</v>
      </c>
      <c r="D4050" s="1" t="s">
        <v>33</v>
      </c>
      <c r="E4050">
        <v>69.251499999999993</v>
      </c>
      <c r="F4050" s="1" t="s">
        <v>86</v>
      </c>
      <c r="G4050">
        <v>15</v>
      </c>
      <c r="H4050">
        <v>8</v>
      </c>
      <c r="I4050" s="1" t="s">
        <v>147</v>
      </c>
      <c r="J4050">
        <v>1</v>
      </c>
      <c r="K4050" t="str">
        <f>IF(Tb_data[[#This Row],[previous_workers]]&lt;Tb_data[[#This Row],[workers]],"yes","no")</f>
        <v>yes</v>
      </c>
      <c r="L4050">
        <f>Tb_data[[#This Row],[workers]]-Tb_data[[#This Row],[previous_workers]]</f>
        <v>7</v>
      </c>
      <c r="M4050" s="12">
        <f>Tb_data[[#This Row],[Employees Growth]]/Tb_data[[#This Row],[previous_workers]]</f>
        <v>0.875</v>
      </c>
    </row>
    <row r="4051" spans="1:13" x14ac:dyDescent="0.25">
      <c r="A4051" s="1" t="s">
        <v>7076</v>
      </c>
      <c r="B4051" s="1" t="s">
        <v>7077</v>
      </c>
      <c r="C4051" s="1">
        <v>6200000</v>
      </c>
      <c r="D4051" s="1" t="s">
        <v>49</v>
      </c>
      <c r="E4051">
        <v>100.5959</v>
      </c>
      <c r="F4051" s="1" t="s">
        <v>30</v>
      </c>
      <c r="G4051">
        <v>10</v>
      </c>
      <c r="H4051">
        <v>5</v>
      </c>
      <c r="I4051" s="1" t="s">
        <v>35</v>
      </c>
      <c r="J4051">
        <v>4</v>
      </c>
      <c r="K4051" t="str">
        <f>IF(Tb_data[[#This Row],[previous_workers]]&lt;Tb_data[[#This Row],[workers]],"yes","no")</f>
        <v>yes</v>
      </c>
      <c r="L4051">
        <f>Tb_data[[#This Row],[workers]]-Tb_data[[#This Row],[previous_workers]]</f>
        <v>5</v>
      </c>
      <c r="M4051" s="12">
        <f>Tb_data[[#This Row],[Employees Growth]]/Tb_data[[#This Row],[previous_workers]]</f>
        <v>1</v>
      </c>
    </row>
    <row r="4052" spans="1:13" x14ac:dyDescent="0.25">
      <c r="A4052" s="1" t="s">
        <v>1356</v>
      </c>
      <c r="B4052" s="1" t="s">
        <v>4095</v>
      </c>
      <c r="C4052" s="1">
        <v>4000000</v>
      </c>
      <c r="D4052" s="1" t="s">
        <v>155</v>
      </c>
      <c r="E4052">
        <v>201.37309999999999</v>
      </c>
      <c r="F4052" s="1" t="s">
        <v>86</v>
      </c>
      <c r="G4052">
        <v>25</v>
      </c>
      <c r="H4052">
        <v>15</v>
      </c>
      <c r="I4052" s="1" t="s">
        <v>164</v>
      </c>
      <c r="J4052">
        <v>1</v>
      </c>
      <c r="K4052" t="str">
        <f>IF(Tb_data[[#This Row],[previous_workers]]&lt;Tb_data[[#This Row],[workers]],"yes","no")</f>
        <v>yes</v>
      </c>
      <c r="L4052">
        <f>Tb_data[[#This Row],[workers]]-Tb_data[[#This Row],[previous_workers]]</f>
        <v>10</v>
      </c>
      <c r="M4052" s="12">
        <f>Tb_data[[#This Row],[Employees Growth]]/Tb_data[[#This Row],[previous_workers]]</f>
        <v>0.66666666666666663</v>
      </c>
    </row>
    <row r="4053" spans="1:13" x14ac:dyDescent="0.25">
      <c r="A4053" s="1" t="s">
        <v>3878</v>
      </c>
      <c r="B4053" s="1" t="s">
        <v>3879</v>
      </c>
      <c r="C4053" s="1">
        <v>201400000</v>
      </c>
      <c r="D4053" s="1" t="s">
        <v>427</v>
      </c>
      <c r="E4053">
        <v>215.95269999999999</v>
      </c>
      <c r="F4053" s="1" t="s">
        <v>17</v>
      </c>
      <c r="G4053">
        <v>173</v>
      </c>
      <c r="H4053">
        <v>62</v>
      </c>
      <c r="I4053" s="1" t="s">
        <v>35</v>
      </c>
      <c r="J4053">
        <v>6</v>
      </c>
      <c r="K4053" t="str">
        <f>IF(Tb_data[[#This Row],[previous_workers]]&lt;Tb_data[[#This Row],[workers]],"yes","no")</f>
        <v>yes</v>
      </c>
      <c r="L4053">
        <f>Tb_data[[#This Row],[workers]]-Tb_data[[#This Row],[previous_workers]]</f>
        <v>111</v>
      </c>
      <c r="M4053" s="12">
        <f>Tb_data[[#This Row],[Employees Growth]]/Tb_data[[#This Row],[previous_workers]]</f>
        <v>1.7903225806451613</v>
      </c>
    </row>
    <row r="4054" spans="1:13" x14ac:dyDescent="0.25">
      <c r="A4054" s="1" t="s">
        <v>1054</v>
      </c>
      <c r="B4054" s="1" t="s">
        <v>1055</v>
      </c>
      <c r="C4054" s="1">
        <v>3000000</v>
      </c>
      <c r="D4054" s="1" t="s">
        <v>20</v>
      </c>
      <c r="E4054">
        <v>924.44410000000005</v>
      </c>
      <c r="F4054" s="1" t="s">
        <v>86</v>
      </c>
      <c r="G4054">
        <v>21</v>
      </c>
      <c r="H4054">
        <v>3</v>
      </c>
      <c r="I4054" s="1" t="s">
        <v>26</v>
      </c>
      <c r="J4054">
        <v>1</v>
      </c>
      <c r="K4054" t="str">
        <f>IF(Tb_data[[#This Row],[previous_workers]]&lt;Tb_data[[#This Row],[workers]],"yes","no")</f>
        <v>yes</v>
      </c>
      <c r="L4054">
        <f>Tb_data[[#This Row],[workers]]-Tb_data[[#This Row],[previous_workers]]</f>
        <v>18</v>
      </c>
      <c r="M4054" s="12">
        <f>Tb_data[[#This Row],[Employees Growth]]/Tb_data[[#This Row],[previous_workers]]</f>
        <v>6</v>
      </c>
    </row>
    <row r="4055" spans="1:13" x14ac:dyDescent="0.25">
      <c r="A4055" s="1" t="s">
        <v>3207</v>
      </c>
      <c r="B4055" s="1" t="s">
        <v>3208</v>
      </c>
      <c r="C4055" s="1">
        <v>22000000</v>
      </c>
      <c r="D4055" s="1" t="s">
        <v>1021</v>
      </c>
      <c r="E4055">
        <v>269.01130000000001</v>
      </c>
      <c r="F4055" s="1" t="s">
        <v>34</v>
      </c>
      <c r="G4055">
        <v>290</v>
      </c>
      <c r="H4055">
        <v>30</v>
      </c>
      <c r="I4055" s="1" t="s">
        <v>26</v>
      </c>
      <c r="J4055">
        <v>1</v>
      </c>
      <c r="K4055" t="str">
        <f>IF(Tb_data[[#This Row],[previous_workers]]&lt;Tb_data[[#This Row],[workers]],"yes","no")</f>
        <v>yes</v>
      </c>
      <c r="L4055">
        <f>Tb_data[[#This Row],[workers]]-Tb_data[[#This Row],[previous_workers]]</f>
        <v>260</v>
      </c>
      <c r="M4055" s="12">
        <f>Tb_data[[#This Row],[Employees Growth]]/Tb_data[[#This Row],[previous_workers]]</f>
        <v>8.6666666666666661</v>
      </c>
    </row>
    <row r="4056" spans="1:13" x14ac:dyDescent="0.25">
      <c r="A4056" s="1" t="s">
        <v>1623</v>
      </c>
      <c r="B4056" s="1" t="s">
        <v>1624</v>
      </c>
      <c r="C4056" s="1">
        <v>9300000</v>
      </c>
      <c r="D4056" s="1" t="s">
        <v>69</v>
      </c>
      <c r="E4056">
        <v>573.11300000000006</v>
      </c>
      <c r="F4056" s="1" t="s">
        <v>86</v>
      </c>
      <c r="G4056">
        <v>112</v>
      </c>
      <c r="H4056">
        <v>53</v>
      </c>
      <c r="I4056" s="1" t="s">
        <v>130</v>
      </c>
      <c r="J4056">
        <v>2</v>
      </c>
      <c r="K4056" t="str">
        <f>IF(Tb_data[[#This Row],[previous_workers]]&lt;Tb_data[[#This Row],[workers]],"yes","no")</f>
        <v>yes</v>
      </c>
      <c r="L4056">
        <f>Tb_data[[#This Row],[workers]]-Tb_data[[#This Row],[previous_workers]]</f>
        <v>59</v>
      </c>
      <c r="M4056" s="12">
        <f>Tb_data[[#This Row],[Employees Growth]]/Tb_data[[#This Row],[previous_workers]]</f>
        <v>1.1132075471698113</v>
      </c>
    </row>
    <row r="4057" spans="1:13" x14ac:dyDescent="0.25">
      <c r="A4057" s="1" t="s">
        <v>1162</v>
      </c>
      <c r="B4057" s="1" t="s">
        <v>1163</v>
      </c>
      <c r="C4057" s="1">
        <v>2200000</v>
      </c>
      <c r="D4057" s="1" t="s">
        <v>41</v>
      </c>
      <c r="E4057">
        <v>823.92949999999996</v>
      </c>
      <c r="F4057" s="1" t="s">
        <v>30</v>
      </c>
      <c r="G4057">
        <v>12</v>
      </c>
      <c r="H4057">
        <v>2</v>
      </c>
      <c r="I4057" s="1" t="s">
        <v>26</v>
      </c>
      <c r="J4057">
        <v>1</v>
      </c>
      <c r="K4057" t="str">
        <f>IF(Tb_data[[#This Row],[previous_workers]]&lt;Tb_data[[#This Row],[workers]],"yes","no")</f>
        <v>yes</v>
      </c>
      <c r="L4057">
        <f>Tb_data[[#This Row],[workers]]-Tb_data[[#This Row],[previous_workers]]</f>
        <v>10</v>
      </c>
      <c r="M4057" s="12">
        <f>Tb_data[[#This Row],[Employees Growth]]/Tb_data[[#This Row],[previous_workers]]</f>
        <v>5</v>
      </c>
    </row>
    <row r="4058" spans="1:13" x14ac:dyDescent="0.25">
      <c r="A4058" s="1" t="s">
        <v>1440</v>
      </c>
      <c r="B4058" s="1" t="s">
        <v>1441</v>
      </c>
      <c r="C4058" s="1">
        <v>6600000</v>
      </c>
      <c r="D4058" s="1" t="s">
        <v>29</v>
      </c>
      <c r="E4058">
        <v>654.81740000000002</v>
      </c>
      <c r="F4058" s="1" t="s">
        <v>156</v>
      </c>
      <c r="G4058">
        <v>48</v>
      </c>
      <c r="H4058">
        <v>5</v>
      </c>
      <c r="I4058" s="1" t="s">
        <v>164</v>
      </c>
      <c r="J4058">
        <v>3</v>
      </c>
      <c r="K4058" t="str">
        <f>IF(Tb_data[[#This Row],[previous_workers]]&lt;Tb_data[[#This Row],[workers]],"yes","no")</f>
        <v>yes</v>
      </c>
      <c r="L4058">
        <f>Tb_data[[#This Row],[workers]]-Tb_data[[#This Row],[previous_workers]]</f>
        <v>43</v>
      </c>
      <c r="M4058" s="12">
        <f>Tb_data[[#This Row],[Employees Growth]]/Tb_data[[#This Row],[previous_workers]]</f>
        <v>8.6</v>
      </c>
    </row>
    <row r="4059" spans="1:13" x14ac:dyDescent="0.25">
      <c r="A4059" s="1" t="s">
        <v>10048</v>
      </c>
      <c r="B4059" s="1" t="s">
        <v>10049</v>
      </c>
      <c r="C4059" s="1">
        <v>34900000</v>
      </c>
      <c r="D4059" s="1" t="s">
        <v>175</v>
      </c>
      <c r="E4059">
        <v>52.856200000000001</v>
      </c>
      <c r="F4059" s="1" t="s">
        <v>161</v>
      </c>
      <c r="G4059">
        <v>4803</v>
      </c>
      <c r="H4059">
        <v>3248</v>
      </c>
      <c r="I4059" s="1" t="s">
        <v>46</v>
      </c>
      <c r="J4059">
        <v>8</v>
      </c>
      <c r="K4059" t="str">
        <f>IF(Tb_data[[#This Row],[previous_workers]]&lt;Tb_data[[#This Row],[workers]],"yes","no")</f>
        <v>yes</v>
      </c>
      <c r="L4059">
        <f>Tb_data[[#This Row],[workers]]-Tb_data[[#This Row],[previous_workers]]</f>
        <v>1555</v>
      </c>
      <c r="M4059" s="12">
        <f>Tb_data[[#This Row],[Employees Growth]]/Tb_data[[#This Row],[previous_workers]]</f>
        <v>0.47875615763546797</v>
      </c>
    </row>
    <row r="4060" spans="1:13" x14ac:dyDescent="0.25">
      <c r="A4060" s="1" t="s">
        <v>636</v>
      </c>
      <c r="B4060" s="1" t="s">
        <v>637</v>
      </c>
      <c r="C4060" s="1">
        <v>3000000</v>
      </c>
      <c r="D4060" s="1" t="s">
        <v>254</v>
      </c>
      <c r="E4060">
        <v>1600.7610999999999</v>
      </c>
      <c r="F4060" s="1" t="s">
        <v>176</v>
      </c>
      <c r="G4060">
        <v>10</v>
      </c>
      <c r="H4060">
        <v>1</v>
      </c>
      <c r="I4060" s="1" t="s">
        <v>164</v>
      </c>
      <c r="J4060">
        <v>2</v>
      </c>
      <c r="K4060" t="str">
        <f>IF(Tb_data[[#This Row],[previous_workers]]&lt;Tb_data[[#This Row],[workers]],"yes","no")</f>
        <v>yes</v>
      </c>
      <c r="L4060">
        <f>Tb_data[[#This Row],[workers]]-Tb_data[[#This Row],[previous_workers]]</f>
        <v>9</v>
      </c>
      <c r="M4060" s="12">
        <f>Tb_data[[#This Row],[Employees Growth]]/Tb_data[[#This Row],[previous_workers]]</f>
        <v>9</v>
      </c>
    </row>
    <row r="4061" spans="1:13" x14ac:dyDescent="0.25">
      <c r="A4061" s="1" t="s">
        <v>4673</v>
      </c>
      <c r="B4061" s="1" t="s">
        <v>4674</v>
      </c>
      <c r="C4061" s="1">
        <v>13500000</v>
      </c>
      <c r="D4061" s="1" t="s">
        <v>33</v>
      </c>
      <c r="E4061">
        <v>175.33619999999999</v>
      </c>
      <c r="F4061" s="1" t="s">
        <v>172</v>
      </c>
      <c r="G4061">
        <v>35</v>
      </c>
      <c r="H4061">
        <v>36</v>
      </c>
      <c r="I4061" s="1" t="s">
        <v>948</v>
      </c>
      <c r="J4061">
        <v>7</v>
      </c>
      <c r="K4061" t="str">
        <f>IF(Tb_data[[#This Row],[previous_workers]]&lt;Tb_data[[#This Row],[workers]],"yes","no")</f>
        <v>no</v>
      </c>
      <c r="L4061">
        <f>Tb_data[[#This Row],[workers]]-Tb_data[[#This Row],[previous_workers]]</f>
        <v>-1</v>
      </c>
      <c r="M4061" s="12">
        <f>Tb_data[[#This Row],[Employees Growth]]/Tb_data[[#This Row],[previous_workers]]</f>
        <v>-2.7777777777777776E-2</v>
      </c>
    </row>
    <row r="4062" spans="1:13" x14ac:dyDescent="0.25">
      <c r="A4062" s="1" t="s">
        <v>9099</v>
      </c>
      <c r="B4062" s="1" t="s">
        <v>9100</v>
      </c>
      <c r="C4062" s="1">
        <v>8400000</v>
      </c>
      <c r="D4062" s="1" t="s">
        <v>41</v>
      </c>
      <c r="E4062">
        <v>65.435000000000002</v>
      </c>
      <c r="F4062" s="1" t="s">
        <v>135</v>
      </c>
      <c r="G4062">
        <v>72</v>
      </c>
      <c r="H4062">
        <v>51</v>
      </c>
      <c r="I4062" s="1" t="s">
        <v>35</v>
      </c>
      <c r="J4062">
        <v>6</v>
      </c>
      <c r="K4062" t="str">
        <f>IF(Tb_data[[#This Row],[previous_workers]]&lt;Tb_data[[#This Row],[workers]],"yes","no")</f>
        <v>yes</v>
      </c>
      <c r="L4062">
        <f>Tb_data[[#This Row],[workers]]-Tb_data[[#This Row],[previous_workers]]</f>
        <v>21</v>
      </c>
      <c r="M4062" s="12">
        <f>Tb_data[[#This Row],[Employees Growth]]/Tb_data[[#This Row],[previous_workers]]</f>
        <v>0.41176470588235292</v>
      </c>
    </row>
    <row r="4063" spans="1:13" x14ac:dyDescent="0.25">
      <c r="A4063" s="1" t="s">
        <v>4022</v>
      </c>
      <c r="B4063" s="1" t="s">
        <v>4023</v>
      </c>
      <c r="C4063" s="1">
        <v>14400000</v>
      </c>
      <c r="D4063" s="1" t="s">
        <v>664</v>
      </c>
      <c r="E4063">
        <v>205.92580000000001</v>
      </c>
      <c r="F4063" s="1" t="s">
        <v>169</v>
      </c>
      <c r="G4063">
        <v>56</v>
      </c>
      <c r="H4063">
        <v>34</v>
      </c>
      <c r="I4063" s="1" t="s">
        <v>1411</v>
      </c>
      <c r="J4063">
        <v>4</v>
      </c>
      <c r="K4063" t="str">
        <f>IF(Tb_data[[#This Row],[previous_workers]]&lt;Tb_data[[#This Row],[workers]],"yes","no")</f>
        <v>yes</v>
      </c>
      <c r="L4063">
        <f>Tb_data[[#This Row],[workers]]-Tb_data[[#This Row],[previous_workers]]</f>
        <v>22</v>
      </c>
      <c r="M4063" s="12">
        <f>Tb_data[[#This Row],[Employees Growth]]/Tb_data[[#This Row],[previous_workers]]</f>
        <v>0.6470588235294118</v>
      </c>
    </row>
    <row r="4064" spans="1:13" x14ac:dyDescent="0.25">
      <c r="A4064" s="1" t="s">
        <v>7923</v>
      </c>
      <c r="B4064" s="1" t="s">
        <v>7924</v>
      </c>
      <c r="C4064" s="1">
        <v>2600000000</v>
      </c>
      <c r="D4064" s="1" t="s">
        <v>20</v>
      </c>
      <c r="E4064">
        <v>84.367099999999994</v>
      </c>
      <c r="F4064" s="1" t="s">
        <v>25</v>
      </c>
      <c r="G4064">
        <v>3750</v>
      </c>
      <c r="H4064">
        <v>2150</v>
      </c>
      <c r="I4064" s="1" t="s">
        <v>46</v>
      </c>
      <c r="J4064">
        <v>6</v>
      </c>
      <c r="K4064" t="str">
        <f>IF(Tb_data[[#This Row],[previous_workers]]&lt;Tb_data[[#This Row],[workers]],"yes","no")</f>
        <v>yes</v>
      </c>
      <c r="L4064">
        <f>Tb_data[[#This Row],[workers]]-Tb_data[[#This Row],[previous_workers]]</f>
        <v>1600</v>
      </c>
      <c r="M4064" s="12">
        <f>Tb_data[[#This Row],[Employees Growth]]/Tb_data[[#This Row],[previous_workers]]</f>
        <v>0.7441860465116279</v>
      </c>
    </row>
    <row r="4065" spans="1:13" x14ac:dyDescent="0.25">
      <c r="A4065" s="1" t="s">
        <v>4311</v>
      </c>
      <c r="B4065" s="1" t="s">
        <v>4312</v>
      </c>
      <c r="C4065" s="1">
        <v>57200000</v>
      </c>
      <c r="D4065" s="1" t="s">
        <v>33</v>
      </c>
      <c r="E4065">
        <v>190.8749</v>
      </c>
      <c r="F4065" s="1" t="s">
        <v>97</v>
      </c>
      <c r="G4065">
        <v>228</v>
      </c>
      <c r="H4065">
        <v>105</v>
      </c>
      <c r="I4065" s="1" t="s">
        <v>372</v>
      </c>
      <c r="J4065">
        <v>4</v>
      </c>
      <c r="K4065" t="str">
        <f>IF(Tb_data[[#This Row],[previous_workers]]&lt;Tb_data[[#This Row],[workers]],"yes","no")</f>
        <v>yes</v>
      </c>
      <c r="L4065">
        <f>Tb_data[[#This Row],[workers]]-Tb_data[[#This Row],[previous_workers]]</f>
        <v>123</v>
      </c>
      <c r="M4065" s="12">
        <f>Tb_data[[#This Row],[Employees Growth]]/Tb_data[[#This Row],[previous_workers]]</f>
        <v>1.1714285714285715</v>
      </c>
    </row>
    <row r="4066" spans="1:13" x14ac:dyDescent="0.25">
      <c r="A4066" s="1" t="s">
        <v>4461</v>
      </c>
      <c r="B4066" s="1" t="s">
        <v>4462</v>
      </c>
      <c r="C4066" s="1">
        <v>3400000</v>
      </c>
      <c r="D4066" s="1" t="s">
        <v>38</v>
      </c>
      <c r="E4066">
        <v>184.43960000000001</v>
      </c>
      <c r="F4066" s="1" t="s">
        <v>30</v>
      </c>
      <c r="G4066">
        <v>42</v>
      </c>
      <c r="H4066">
        <v>18</v>
      </c>
      <c r="I4066" s="1" t="s">
        <v>164</v>
      </c>
      <c r="J4066">
        <v>1</v>
      </c>
      <c r="K4066" t="str">
        <f>IF(Tb_data[[#This Row],[previous_workers]]&lt;Tb_data[[#This Row],[workers]],"yes","no")</f>
        <v>yes</v>
      </c>
      <c r="L4066">
        <f>Tb_data[[#This Row],[workers]]-Tb_data[[#This Row],[previous_workers]]</f>
        <v>24</v>
      </c>
      <c r="M4066" s="12">
        <f>Tb_data[[#This Row],[Employees Growth]]/Tb_data[[#This Row],[previous_workers]]</f>
        <v>1.3333333333333333</v>
      </c>
    </row>
    <row r="4067" spans="1:13" x14ac:dyDescent="0.25">
      <c r="A4067" s="1" t="s">
        <v>9205</v>
      </c>
      <c r="B4067" s="1" t="s">
        <v>9206</v>
      </c>
      <c r="C4067" s="1">
        <v>17200000</v>
      </c>
      <c r="D4067" s="1" t="s">
        <v>29</v>
      </c>
      <c r="E4067">
        <v>64.078800000000001</v>
      </c>
      <c r="F4067" s="1" t="s">
        <v>112</v>
      </c>
      <c r="G4067">
        <v>107</v>
      </c>
      <c r="H4067">
        <v>81</v>
      </c>
      <c r="I4067" s="1" t="s">
        <v>46</v>
      </c>
      <c r="J4067">
        <v>4</v>
      </c>
      <c r="K4067" t="str">
        <f>IF(Tb_data[[#This Row],[previous_workers]]&lt;Tb_data[[#This Row],[workers]],"yes","no")</f>
        <v>yes</v>
      </c>
      <c r="L4067">
        <f>Tb_data[[#This Row],[workers]]-Tb_data[[#This Row],[previous_workers]]</f>
        <v>26</v>
      </c>
      <c r="M4067" s="12">
        <f>Tb_data[[#This Row],[Employees Growth]]/Tb_data[[#This Row],[previous_workers]]</f>
        <v>0.32098765432098764</v>
      </c>
    </row>
    <row r="4068" spans="1:13" x14ac:dyDescent="0.25">
      <c r="A4068" s="1" t="s">
        <v>4778</v>
      </c>
      <c r="B4068" s="1" t="s">
        <v>4779</v>
      </c>
      <c r="C4068" s="1">
        <v>2000000</v>
      </c>
      <c r="D4068" s="1" t="s">
        <v>123</v>
      </c>
      <c r="E4068">
        <v>170.82230000000001</v>
      </c>
      <c r="F4068" s="1" t="s">
        <v>12</v>
      </c>
      <c r="G4068">
        <v>21</v>
      </c>
      <c r="H4068">
        <v>9</v>
      </c>
      <c r="I4068" s="1" t="s">
        <v>46</v>
      </c>
      <c r="J4068">
        <v>1</v>
      </c>
      <c r="K4068" t="str">
        <f>IF(Tb_data[[#This Row],[previous_workers]]&lt;Tb_data[[#This Row],[workers]],"yes","no")</f>
        <v>yes</v>
      </c>
      <c r="L4068">
        <f>Tb_data[[#This Row],[workers]]-Tb_data[[#This Row],[previous_workers]]</f>
        <v>12</v>
      </c>
      <c r="M4068" s="12">
        <f>Tb_data[[#This Row],[Employees Growth]]/Tb_data[[#This Row],[previous_workers]]</f>
        <v>1.3333333333333333</v>
      </c>
    </row>
    <row r="4069" spans="1:13" x14ac:dyDescent="0.25">
      <c r="A4069" s="1" t="s">
        <v>3283</v>
      </c>
      <c r="B4069" s="1" t="s">
        <v>3284</v>
      </c>
      <c r="C4069" s="1">
        <v>4300000</v>
      </c>
      <c r="D4069" s="1" t="s">
        <v>45</v>
      </c>
      <c r="E4069">
        <v>262.00080000000003</v>
      </c>
      <c r="F4069" s="1" t="s">
        <v>86</v>
      </c>
      <c r="G4069">
        <v>47</v>
      </c>
      <c r="H4069">
        <v>17</v>
      </c>
      <c r="I4069" s="1" t="s">
        <v>130</v>
      </c>
      <c r="J4069">
        <v>3</v>
      </c>
      <c r="K4069" t="str">
        <f>IF(Tb_data[[#This Row],[previous_workers]]&lt;Tb_data[[#This Row],[workers]],"yes","no")</f>
        <v>yes</v>
      </c>
      <c r="L4069">
        <f>Tb_data[[#This Row],[workers]]-Tb_data[[#This Row],[previous_workers]]</f>
        <v>30</v>
      </c>
      <c r="M4069" s="12">
        <f>Tb_data[[#This Row],[Employees Growth]]/Tb_data[[#This Row],[previous_workers]]</f>
        <v>1.7647058823529411</v>
      </c>
    </row>
    <row r="4070" spans="1:13" x14ac:dyDescent="0.25">
      <c r="A4070" s="1" t="s">
        <v>8747</v>
      </c>
      <c r="B4070" s="1" t="s">
        <v>8748</v>
      </c>
      <c r="C4070" s="1">
        <v>46500000</v>
      </c>
      <c r="D4070" s="1" t="s">
        <v>49</v>
      </c>
      <c r="E4070">
        <v>70.372600000000006</v>
      </c>
      <c r="F4070" s="1" t="s">
        <v>176</v>
      </c>
      <c r="G4070">
        <v>108</v>
      </c>
      <c r="H4070">
        <v>48</v>
      </c>
      <c r="I4070" s="1" t="s">
        <v>164</v>
      </c>
      <c r="J4070">
        <v>2</v>
      </c>
      <c r="K4070" t="str">
        <f>IF(Tb_data[[#This Row],[previous_workers]]&lt;Tb_data[[#This Row],[workers]],"yes","no")</f>
        <v>yes</v>
      </c>
      <c r="L4070">
        <f>Tb_data[[#This Row],[workers]]-Tb_data[[#This Row],[previous_workers]]</f>
        <v>60</v>
      </c>
      <c r="M4070" s="12">
        <f>Tb_data[[#This Row],[Employees Growth]]/Tb_data[[#This Row],[previous_workers]]</f>
        <v>1.25</v>
      </c>
    </row>
    <row r="4071" spans="1:13" x14ac:dyDescent="0.25">
      <c r="A4071" s="1" t="s">
        <v>849</v>
      </c>
      <c r="B4071" s="1" t="s">
        <v>850</v>
      </c>
      <c r="C4071" s="1">
        <v>2000000</v>
      </c>
      <c r="D4071" s="1" t="s">
        <v>236</v>
      </c>
      <c r="E4071">
        <v>1216.3501000000001</v>
      </c>
      <c r="F4071" s="1" t="s">
        <v>86</v>
      </c>
      <c r="G4071">
        <v>45</v>
      </c>
      <c r="H4071">
        <v>12</v>
      </c>
      <c r="I4071" s="1" t="s">
        <v>130</v>
      </c>
      <c r="J4071">
        <v>1</v>
      </c>
      <c r="K4071" t="str">
        <f>IF(Tb_data[[#This Row],[previous_workers]]&lt;Tb_data[[#This Row],[workers]],"yes","no")</f>
        <v>yes</v>
      </c>
      <c r="L4071">
        <f>Tb_data[[#This Row],[workers]]-Tb_data[[#This Row],[previous_workers]]</f>
        <v>33</v>
      </c>
      <c r="M4071" s="12">
        <f>Tb_data[[#This Row],[Employees Growth]]/Tb_data[[#This Row],[previous_workers]]</f>
        <v>2.75</v>
      </c>
    </row>
    <row r="4072" spans="1:13" x14ac:dyDescent="0.25">
      <c r="A4072" s="1" t="s">
        <v>1539</v>
      </c>
      <c r="B4072" s="1" t="s">
        <v>1540</v>
      </c>
      <c r="C4072" s="1">
        <v>4100000</v>
      </c>
      <c r="D4072" s="1" t="s">
        <v>61</v>
      </c>
      <c r="E4072">
        <v>611.16380000000004</v>
      </c>
      <c r="F4072" s="1" t="s">
        <v>12</v>
      </c>
      <c r="G4072">
        <v>40</v>
      </c>
      <c r="H4072">
        <v>4</v>
      </c>
      <c r="I4072" s="1" t="s">
        <v>194</v>
      </c>
      <c r="J4072">
        <v>1</v>
      </c>
      <c r="K4072" t="str">
        <f>IF(Tb_data[[#This Row],[previous_workers]]&lt;Tb_data[[#This Row],[workers]],"yes","no")</f>
        <v>yes</v>
      </c>
      <c r="L4072">
        <f>Tb_data[[#This Row],[workers]]-Tb_data[[#This Row],[previous_workers]]</f>
        <v>36</v>
      </c>
      <c r="M4072" s="12">
        <f>Tb_data[[#This Row],[Employees Growth]]/Tb_data[[#This Row],[previous_workers]]</f>
        <v>9</v>
      </c>
    </row>
    <row r="4073" spans="1:13" x14ac:dyDescent="0.25">
      <c r="A4073" s="1" t="s">
        <v>9053</v>
      </c>
      <c r="B4073" s="1" t="s">
        <v>9054</v>
      </c>
      <c r="C4073" s="1">
        <v>12000000</v>
      </c>
      <c r="D4073" s="1" t="s">
        <v>11</v>
      </c>
      <c r="E4073">
        <v>65.946700000000007</v>
      </c>
      <c r="F4073" s="1" t="s">
        <v>161</v>
      </c>
      <c r="G4073">
        <v>222</v>
      </c>
      <c r="H4073">
        <v>136</v>
      </c>
      <c r="I4073" s="1" t="s">
        <v>117</v>
      </c>
      <c r="J4073">
        <v>4</v>
      </c>
      <c r="K4073" t="str">
        <f>IF(Tb_data[[#This Row],[previous_workers]]&lt;Tb_data[[#This Row],[workers]],"yes","no")</f>
        <v>yes</v>
      </c>
      <c r="L4073">
        <f>Tb_data[[#This Row],[workers]]-Tb_data[[#This Row],[previous_workers]]</f>
        <v>86</v>
      </c>
      <c r="M4073" s="12">
        <f>Tb_data[[#This Row],[Employees Growth]]/Tb_data[[#This Row],[previous_workers]]</f>
        <v>0.63235294117647056</v>
      </c>
    </row>
    <row r="4074" spans="1:13" x14ac:dyDescent="0.25">
      <c r="A4074" s="1" t="s">
        <v>796</v>
      </c>
      <c r="B4074" s="1" t="s">
        <v>797</v>
      </c>
      <c r="C4074" s="1">
        <v>5700000</v>
      </c>
      <c r="D4074" s="1" t="s">
        <v>16</v>
      </c>
      <c r="E4074">
        <v>1291.1366</v>
      </c>
      <c r="F4074" s="1" t="s">
        <v>176</v>
      </c>
      <c r="G4074">
        <v>15</v>
      </c>
      <c r="H4074">
        <v>7</v>
      </c>
      <c r="I4074" s="1" t="s">
        <v>26</v>
      </c>
      <c r="J4074">
        <v>1</v>
      </c>
      <c r="K4074" t="str">
        <f>IF(Tb_data[[#This Row],[previous_workers]]&lt;Tb_data[[#This Row],[workers]],"yes","no")</f>
        <v>yes</v>
      </c>
      <c r="L4074">
        <f>Tb_data[[#This Row],[workers]]-Tb_data[[#This Row],[previous_workers]]</f>
        <v>8</v>
      </c>
      <c r="M4074" s="12">
        <f>Tb_data[[#This Row],[Employees Growth]]/Tb_data[[#This Row],[previous_workers]]</f>
        <v>1.1428571428571428</v>
      </c>
    </row>
    <row r="4075" spans="1:13" x14ac:dyDescent="0.25">
      <c r="A4075" s="1" t="s">
        <v>2951</v>
      </c>
      <c r="B4075" s="1" t="s">
        <v>2952</v>
      </c>
      <c r="C4075" s="1">
        <v>7800000</v>
      </c>
      <c r="D4075" s="1" t="s">
        <v>33</v>
      </c>
      <c r="E4075">
        <v>291.30119999999999</v>
      </c>
      <c r="F4075" s="1" t="s">
        <v>161</v>
      </c>
      <c r="G4075">
        <v>367</v>
      </c>
      <c r="H4075">
        <v>271</v>
      </c>
      <c r="I4075" s="1" t="s">
        <v>164</v>
      </c>
      <c r="J4075">
        <v>3</v>
      </c>
      <c r="K4075" t="str">
        <f>IF(Tb_data[[#This Row],[previous_workers]]&lt;Tb_data[[#This Row],[workers]],"yes","no")</f>
        <v>yes</v>
      </c>
      <c r="L4075">
        <f>Tb_data[[#This Row],[workers]]-Tb_data[[#This Row],[previous_workers]]</f>
        <v>96</v>
      </c>
      <c r="M4075" s="12">
        <f>Tb_data[[#This Row],[Employees Growth]]/Tb_data[[#This Row],[previous_workers]]</f>
        <v>0.35424354243542433</v>
      </c>
    </row>
    <row r="4076" spans="1:13" x14ac:dyDescent="0.25">
      <c r="A4076" s="1" t="s">
        <v>3416</v>
      </c>
      <c r="B4076" s="1" t="s">
        <v>3417</v>
      </c>
      <c r="C4076" s="1">
        <v>13100000</v>
      </c>
      <c r="D4076" s="1" t="s">
        <v>49</v>
      </c>
      <c r="E4076">
        <v>250.64109999999999</v>
      </c>
      <c r="F4076" s="1" t="s">
        <v>310</v>
      </c>
      <c r="G4076">
        <v>25</v>
      </c>
      <c r="H4076">
        <v>15</v>
      </c>
      <c r="I4076" s="1" t="s">
        <v>35</v>
      </c>
      <c r="J4076">
        <v>4</v>
      </c>
      <c r="K4076" t="str">
        <f>IF(Tb_data[[#This Row],[previous_workers]]&lt;Tb_data[[#This Row],[workers]],"yes","no")</f>
        <v>yes</v>
      </c>
      <c r="L4076">
        <f>Tb_data[[#This Row],[workers]]-Tb_data[[#This Row],[previous_workers]]</f>
        <v>10</v>
      </c>
      <c r="M4076" s="12">
        <f>Tb_data[[#This Row],[Employees Growth]]/Tb_data[[#This Row],[previous_workers]]</f>
        <v>0.66666666666666663</v>
      </c>
    </row>
    <row r="4077" spans="1:13" x14ac:dyDescent="0.25">
      <c r="A4077" s="1" t="s">
        <v>8227</v>
      </c>
      <c r="B4077" s="1" t="s">
        <v>8228</v>
      </c>
      <c r="C4077" s="1">
        <v>3000000</v>
      </c>
      <c r="D4077" s="1" t="s">
        <v>61</v>
      </c>
      <c r="E4077">
        <v>78.945800000000006</v>
      </c>
      <c r="F4077" s="1" t="s">
        <v>112</v>
      </c>
      <c r="G4077">
        <v>14</v>
      </c>
      <c r="H4077">
        <v>9</v>
      </c>
      <c r="I4077" s="1" t="s">
        <v>468</v>
      </c>
      <c r="J4077">
        <v>1</v>
      </c>
      <c r="K4077" t="str">
        <f>IF(Tb_data[[#This Row],[previous_workers]]&lt;Tb_data[[#This Row],[workers]],"yes","no")</f>
        <v>yes</v>
      </c>
      <c r="L4077">
        <f>Tb_data[[#This Row],[workers]]-Tb_data[[#This Row],[previous_workers]]</f>
        <v>5</v>
      </c>
      <c r="M4077" s="12">
        <f>Tb_data[[#This Row],[Employees Growth]]/Tb_data[[#This Row],[previous_workers]]</f>
        <v>0.55555555555555558</v>
      </c>
    </row>
    <row r="4078" spans="1:13" x14ac:dyDescent="0.25">
      <c r="A4078" s="1" t="s">
        <v>4012</v>
      </c>
      <c r="B4078" s="1" t="s">
        <v>4013</v>
      </c>
      <c r="C4078" s="1">
        <v>71100000</v>
      </c>
      <c r="D4078" s="1" t="s">
        <v>115</v>
      </c>
      <c r="E4078">
        <v>206.10560000000001</v>
      </c>
      <c r="F4078" s="1" t="s">
        <v>124</v>
      </c>
      <c r="G4078">
        <v>611</v>
      </c>
      <c r="H4078">
        <v>262</v>
      </c>
      <c r="I4078" s="1" t="s">
        <v>2628</v>
      </c>
      <c r="J4078">
        <v>1</v>
      </c>
      <c r="K4078" t="str">
        <f>IF(Tb_data[[#This Row],[previous_workers]]&lt;Tb_data[[#This Row],[workers]],"yes","no")</f>
        <v>yes</v>
      </c>
      <c r="L4078">
        <f>Tb_data[[#This Row],[workers]]-Tb_data[[#This Row],[previous_workers]]</f>
        <v>349</v>
      </c>
      <c r="M4078" s="12">
        <f>Tb_data[[#This Row],[Employees Growth]]/Tb_data[[#This Row],[previous_workers]]</f>
        <v>1.33206106870229</v>
      </c>
    </row>
    <row r="4079" spans="1:13" x14ac:dyDescent="0.25">
      <c r="A4079" s="1" t="s">
        <v>6263</v>
      </c>
      <c r="B4079" s="1" t="s">
        <v>6264</v>
      </c>
      <c r="C4079" s="1">
        <v>3400000</v>
      </c>
      <c r="D4079" s="1" t="s">
        <v>321</v>
      </c>
      <c r="E4079">
        <v>120.09010000000001</v>
      </c>
      <c r="F4079" s="1" t="s">
        <v>176</v>
      </c>
      <c r="G4079">
        <v>35</v>
      </c>
      <c r="H4079">
        <v>20</v>
      </c>
      <c r="I4079" s="1" t="s">
        <v>55</v>
      </c>
      <c r="J4079">
        <v>2</v>
      </c>
      <c r="K4079" t="str">
        <f>IF(Tb_data[[#This Row],[previous_workers]]&lt;Tb_data[[#This Row],[workers]],"yes","no")</f>
        <v>yes</v>
      </c>
      <c r="L4079">
        <f>Tb_data[[#This Row],[workers]]-Tb_data[[#This Row],[previous_workers]]</f>
        <v>15</v>
      </c>
      <c r="M4079" s="12">
        <f>Tb_data[[#This Row],[Employees Growth]]/Tb_data[[#This Row],[previous_workers]]</f>
        <v>0.75</v>
      </c>
    </row>
    <row r="4080" spans="1:13" x14ac:dyDescent="0.25">
      <c r="A4080" s="1" t="s">
        <v>5006</v>
      </c>
      <c r="B4080" s="1" t="s">
        <v>5007</v>
      </c>
      <c r="C4080" s="1">
        <v>3000000</v>
      </c>
      <c r="D4080" s="1" t="s">
        <v>33</v>
      </c>
      <c r="E4080">
        <v>161.5146</v>
      </c>
      <c r="F4080" s="1" t="s">
        <v>25</v>
      </c>
      <c r="G4080">
        <v>52</v>
      </c>
      <c r="H4080">
        <v>16</v>
      </c>
      <c r="I4080" s="1" t="s">
        <v>35</v>
      </c>
      <c r="J4080">
        <v>1</v>
      </c>
      <c r="K4080" t="str">
        <f>IF(Tb_data[[#This Row],[previous_workers]]&lt;Tb_data[[#This Row],[workers]],"yes","no")</f>
        <v>yes</v>
      </c>
      <c r="L4080">
        <f>Tb_data[[#This Row],[workers]]-Tb_data[[#This Row],[previous_workers]]</f>
        <v>36</v>
      </c>
      <c r="M4080" s="12">
        <f>Tb_data[[#This Row],[Employees Growth]]/Tb_data[[#This Row],[previous_workers]]</f>
        <v>2.25</v>
      </c>
    </row>
    <row r="4081" spans="1:13" x14ac:dyDescent="0.25">
      <c r="A4081" s="1" t="s">
        <v>8369</v>
      </c>
      <c r="B4081" s="1" t="s">
        <v>8370</v>
      </c>
      <c r="C4081" s="1">
        <v>8400000</v>
      </c>
      <c r="D4081" s="1" t="s">
        <v>49</v>
      </c>
      <c r="E4081">
        <v>76.745199999999997</v>
      </c>
      <c r="F4081" s="1" t="s">
        <v>12</v>
      </c>
      <c r="G4081">
        <v>21</v>
      </c>
      <c r="H4081">
        <v>10</v>
      </c>
      <c r="I4081" s="1" t="s">
        <v>35</v>
      </c>
      <c r="J4081">
        <v>1</v>
      </c>
      <c r="K4081" t="str">
        <f>IF(Tb_data[[#This Row],[previous_workers]]&lt;Tb_data[[#This Row],[workers]],"yes","no")</f>
        <v>yes</v>
      </c>
      <c r="L4081">
        <f>Tb_data[[#This Row],[workers]]-Tb_data[[#This Row],[previous_workers]]</f>
        <v>11</v>
      </c>
      <c r="M4081" s="12">
        <f>Tb_data[[#This Row],[Employees Growth]]/Tb_data[[#This Row],[previous_workers]]</f>
        <v>1.1000000000000001</v>
      </c>
    </row>
    <row r="4082" spans="1:13" x14ac:dyDescent="0.25">
      <c r="A4082" s="1" t="s">
        <v>1387</v>
      </c>
      <c r="B4082" s="1" t="s">
        <v>1388</v>
      </c>
      <c r="C4082" s="1">
        <v>13400000</v>
      </c>
      <c r="D4082" s="1" t="s">
        <v>20</v>
      </c>
      <c r="E4082">
        <v>689.54570000000001</v>
      </c>
      <c r="F4082" s="1" t="s">
        <v>17</v>
      </c>
      <c r="G4082">
        <v>13</v>
      </c>
      <c r="H4082">
        <v>3</v>
      </c>
      <c r="I4082" s="1" t="s">
        <v>26</v>
      </c>
      <c r="J4082">
        <v>1</v>
      </c>
      <c r="K4082" t="str">
        <f>IF(Tb_data[[#This Row],[previous_workers]]&lt;Tb_data[[#This Row],[workers]],"yes","no")</f>
        <v>yes</v>
      </c>
      <c r="L4082">
        <f>Tb_data[[#This Row],[workers]]-Tb_data[[#This Row],[previous_workers]]</f>
        <v>10</v>
      </c>
      <c r="M4082" s="12">
        <f>Tb_data[[#This Row],[Employees Growth]]/Tb_data[[#This Row],[previous_workers]]</f>
        <v>3.3333333333333335</v>
      </c>
    </row>
    <row r="4083" spans="1:13" x14ac:dyDescent="0.25">
      <c r="A4083" s="1" t="s">
        <v>4373</v>
      </c>
      <c r="B4083" s="1" t="s">
        <v>4374</v>
      </c>
      <c r="C4083" s="1">
        <v>3300000</v>
      </c>
      <c r="D4083" s="1" t="s">
        <v>20</v>
      </c>
      <c r="E4083">
        <v>187.65379999999999</v>
      </c>
      <c r="F4083" s="1" t="s">
        <v>176</v>
      </c>
      <c r="G4083">
        <v>246</v>
      </c>
      <c r="H4083">
        <v>93</v>
      </c>
      <c r="I4083" s="1" t="s">
        <v>46</v>
      </c>
      <c r="J4083">
        <v>2</v>
      </c>
      <c r="K4083" t="str">
        <f>IF(Tb_data[[#This Row],[previous_workers]]&lt;Tb_data[[#This Row],[workers]],"yes","no")</f>
        <v>yes</v>
      </c>
      <c r="L4083">
        <f>Tb_data[[#This Row],[workers]]-Tb_data[[#This Row],[previous_workers]]</f>
        <v>153</v>
      </c>
      <c r="M4083" s="12">
        <f>Tb_data[[#This Row],[Employees Growth]]/Tb_data[[#This Row],[previous_workers]]</f>
        <v>1.6451612903225807</v>
      </c>
    </row>
    <row r="4084" spans="1:13" x14ac:dyDescent="0.25">
      <c r="A4084" s="1" t="s">
        <v>3067</v>
      </c>
      <c r="B4084" s="1" t="s">
        <v>3068</v>
      </c>
      <c r="C4084" s="1">
        <v>5700000</v>
      </c>
      <c r="D4084" s="1" t="s">
        <v>483</v>
      </c>
      <c r="E4084">
        <v>281.19279999999998</v>
      </c>
      <c r="F4084" s="1" t="s">
        <v>86</v>
      </c>
      <c r="G4084">
        <v>20</v>
      </c>
      <c r="H4084">
        <v>9</v>
      </c>
      <c r="I4084" s="1" t="s">
        <v>26</v>
      </c>
      <c r="J4084">
        <v>1</v>
      </c>
      <c r="K4084" t="str">
        <f>IF(Tb_data[[#This Row],[previous_workers]]&lt;Tb_data[[#This Row],[workers]],"yes","no")</f>
        <v>yes</v>
      </c>
      <c r="L4084">
        <f>Tb_data[[#This Row],[workers]]-Tb_data[[#This Row],[previous_workers]]</f>
        <v>11</v>
      </c>
      <c r="M4084" s="12">
        <f>Tb_data[[#This Row],[Employees Growth]]/Tb_data[[#This Row],[previous_workers]]</f>
        <v>1.2222222222222223</v>
      </c>
    </row>
    <row r="4085" spans="1:13" x14ac:dyDescent="0.25">
      <c r="A4085" s="1" t="s">
        <v>8516</v>
      </c>
      <c r="B4085" s="1" t="s">
        <v>8517</v>
      </c>
      <c r="C4085" s="1">
        <v>2400000</v>
      </c>
      <c r="D4085" s="1" t="s">
        <v>123</v>
      </c>
      <c r="E4085">
        <v>73.675399999999996</v>
      </c>
      <c r="F4085" s="1" t="s">
        <v>161</v>
      </c>
      <c r="G4085">
        <v>100</v>
      </c>
      <c r="H4085">
        <v>49</v>
      </c>
      <c r="I4085" s="1" t="s">
        <v>2407</v>
      </c>
      <c r="J4085">
        <v>1</v>
      </c>
      <c r="K4085" t="str">
        <f>IF(Tb_data[[#This Row],[previous_workers]]&lt;Tb_data[[#This Row],[workers]],"yes","no")</f>
        <v>yes</v>
      </c>
      <c r="L4085">
        <f>Tb_data[[#This Row],[workers]]-Tb_data[[#This Row],[previous_workers]]</f>
        <v>51</v>
      </c>
      <c r="M4085" s="12">
        <f>Tb_data[[#This Row],[Employees Growth]]/Tb_data[[#This Row],[previous_workers]]</f>
        <v>1.0408163265306123</v>
      </c>
    </row>
    <row r="4086" spans="1:13" x14ac:dyDescent="0.25">
      <c r="A4086" s="1" t="s">
        <v>1017</v>
      </c>
      <c r="B4086" s="1" t="s">
        <v>1018</v>
      </c>
      <c r="C4086" s="1">
        <v>7800000</v>
      </c>
      <c r="D4086" s="1" t="s">
        <v>221</v>
      </c>
      <c r="E4086">
        <v>983.45209999999997</v>
      </c>
      <c r="F4086" s="1" t="s">
        <v>112</v>
      </c>
      <c r="G4086">
        <v>39</v>
      </c>
      <c r="H4086">
        <v>2</v>
      </c>
      <c r="I4086" s="1" t="s">
        <v>13</v>
      </c>
      <c r="J4086">
        <v>1</v>
      </c>
      <c r="K4086" t="str">
        <f>IF(Tb_data[[#This Row],[previous_workers]]&lt;Tb_data[[#This Row],[workers]],"yes","no")</f>
        <v>yes</v>
      </c>
      <c r="L4086">
        <f>Tb_data[[#This Row],[workers]]-Tb_data[[#This Row],[previous_workers]]</f>
        <v>37</v>
      </c>
      <c r="M4086" s="12">
        <f>Tb_data[[#This Row],[Employees Growth]]/Tb_data[[#This Row],[previous_workers]]</f>
        <v>18.5</v>
      </c>
    </row>
    <row r="4087" spans="1:13" x14ac:dyDescent="0.25">
      <c r="A4087" s="1" t="s">
        <v>10058</v>
      </c>
      <c r="B4087" s="1" t="s">
        <v>10059</v>
      </c>
      <c r="C4087" s="1">
        <v>8000000</v>
      </c>
      <c r="D4087" s="1" t="s">
        <v>49</v>
      </c>
      <c r="E4087">
        <v>52.717399999999998</v>
      </c>
      <c r="F4087" s="1" t="s">
        <v>30</v>
      </c>
      <c r="G4087">
        <v>23</v>
      </c>
      <c r="H4087">
        <v>16</v>
      </c>
      <c r="I4087" s="1" t="s">
        <v>194</v>
      </c>
      <c r="J4087">
        <v>4</v>
      </c>
      <c r="K4087" t="str">
        <f>IF(Tb_data[[#This Row],[previous_workers]]&lt;Tb_data[[#This Row],[workers]],"yes","no")</f>
        <v>yes</v>
      </c>
      <c r="L4087">
        <f>Tb_data[[#This Row],[workers]]-Tb_data[[#This Row],[previous_workers]]</f>
        <v>7</v>
      </c>
      <c r="M4087" s="12">
        <f>Tb_data[[#This Row],[Employees Growth]]/Tb_data[[#This Row],[previous_workers]]</f>
        <v>0.4375</v>
      </c>
    </row>
    <row r="4088" spans="1:13" x14ac:dyDescent="0.25">
      <c r="A4088" s="1" t="s">
        <v>8103</v>
      </c>
      <c r="B4088" s="1" t="s">
        <v>8104</v>
      </c>
      <c r="C4088" s="1">
        <v>4000000</v>
      </c>
      <c r="D4088" s="1" t="s">
        <v>175</v>
      </c>
      <c r="E4088">
        <v>81.069500000000005</v>
      </c>
      <c r="F4088" s="1" t="s">
        <v>116</v>
      </c>
      <c r="G4088">
        <v>32</v>
      </c>
      <c r="H4088">
        <v>17</v>
      </c>
      <c r="I4088" s="1" t="s">
        <v>46</v>
      </c>
      <c r="J4088">
        <v>4</v>
      </c>
      <c r="K4088" t="str">
        <f>IF(Tb_data[[#This Row],[previous_workers]]&lt;Tb_data[[#This Row],[workers]],"yes","no")</f>
        <v>yes</v>
      </c>
      <c r="L4088">
        <f>Tb_data[[#This Row],[workers]]-Tb_data[[#This Row],[previous_workers]]</f>
        <v>15</v>
      </c>
      <c r="M4088" s="12">
        <f>Tb_data[[#This Row],[Employees Growth]]/Tb_data[[#This Row],[previous_workers]]</f>
        <v>0.88235294117647056</v>
      </c>
    </row>
    <row r="4089" spans="1:13" x14ac:dyDescent="0.25">
      <c r="A4089" s="1" t="s">
        <v>7174</v>
      </c>
      <c r="B4089" s="1" t="s">
        <v>7175</v>
      </c>
      <c r="C4089" s="1">
        <v>3400000</v>
      </c>
      <c r="D4089" s="1" t="s">
        <v>41</v>
      </c>
      <c r="E4089">
        <v>98.971900000000005</v>
      </c>
      <c r="F4089" s="1" t="s">
        <v>156</v>
      </c>
      <c r="G4089">
        <v>16</v>
      </c>
      <c r="H4089">
        <v>8</v>
      </c>
      <c r="I4089" s="1" t="s">
        <v>35</v>
      </c>
      <c r="J4089">
        <v>1</v>
      </c>
      <c r="K4089" t="str">
        <f>IF(Tb_data[[#This Row],[previous_workers]]&lt;Tb_data[[#This Row],[workers]],"yes","no")</f>
        <v>yes</v>
      </c>
      <c r="L4089">
        <f>Tb_data[[#This Row],[workers]]-Tb_data[[#This Row],[previous_workers]]</f>
        <v>8</v>
      </c>
      <c r="M4089" s="12">
        <f>Tb_data[[#This Row],[Employees Growth]]/Tb_data[[#This Row],[previous_workers]]</f>
        <v>1</v>
      </c>
    </row>
    <row r="4090" spans="1:13" x14ac:dyDescent="0.25">
      <c r="A4090" s="1" t="s">
        <v>6271</v>
      </c>
      <c r="B4090" s="1" t="s">
        <v>6272</v>
      </c>
      <c r="C4090" s="1">
        <v>205500000</v>
      </c>
      <c r="D4090" s="1" t="s">
        <v>175</v>
      </c>
      <c r="E4090">
        <v>119.8228</v>
      </c>
      <c r="F4090" s="1" t="s">
        <v>34</v>
      </c>
      <c r="G4090">
        <v>400</v>
      </c>
      <c r="H4090">
        <v>150</v>
      </c>
      <c r="I4090" s="1" t="s">
        <v>147</v>
      </c>
      <c r="J4090">
        <v>4</v>
      </c>
      <c r="K4090" t="str">
        <f>IF(Tb_data[[#This Row],[previous_workers]]&lt;Tb_data[[#This Row],[workers]],"yes","no")</f>
        <v>yes</v>
      </c>
      <c r="L4090">
        <f>Tb_data[[#This Row],[workers]]-Tb_data[[#This Row],[previous_workers]]</f>
        <v>250</v>
      </c>
      <c r="M4090" s="12">
        <f>Tb_data[[#This Row],[Employees Growth]]/Tb_data[[#This Row],[previous_workers]]</f>
        <v>1.6666666666666667</v>
      </c>
    </row>
    <row r="4091" spans="1:13" x14ac:dyDescent="0.25">
      <c r="A4091" s="1" t="s">
        <v>3505</v>
      </c>
      <c r="B4091" s="1" t="s">
        <v>3506</v>
      </c>
      <c r="C4091" s="1">
        <v>2700000</v>
      </c>
      <c r="D4091" s="1" t="s">
        <v>61</v>
      </c>
      <c r="E4091">
        <v>241.90289999999999</v>
      </c>
      <c r="F4091" s="1" t="s">
        <v>30</v>
      </c>
      <c r="G4091">
        <v>8</v>
      </c>
      <c r="H4091">
        <v>2</v>
      </c>
      <c r="I4091" s="1" t="s">
        <v>117</v>
      </c>
      <c r="J4091">
        <v>1</v>
      </c>
      <c r="K4091" t="str">
        <f>IF(Tb_data[[#This Row],[previous_workers]]&lt;Tb_data[[#This Row],[workers]],"yes","no")</f>
        <v>yes</v>
      </c>
      <c r="L4091">
        <f>Tb_data[[#This Row],[workers]]-Tb_data[[#This Row],[previous_workers]]</f>
        <v>6</v>
      </c>
      <c r="M4091" s="12">
        <f>Tb_data[[#This Row],[Employees Growth]]/Tb_data[[#This Row],[previous_workers]]</f>
        <v>3</v>
      </c>
    </row>
    <row r="4092" spans="1:13" x14ac:dyDescent="0.25">
      <c r="A4092" s="1" t="s">
        <v>6599</v>
      </c>
      <c r="B4092" s="1" t="s">
        <v>6600</v>
      </c>
      <c r="C4092" s="1">
        <v>11400000</v>
      </c>
      <c r="D4092" s="1" t="s">
        <v>20</v>
      </c>
      <c r="E4092">
        <v>111.6007</v>
      </c>
      <c r="F4092" s="1" t="s">
        <v>12</v>
      </c>
      <c r="G4092">
        <v>50</v>
      </c>
      <c r="H4092">
        <v>28</v>
      </c>
      <c r="I4092" s="1" t="s">
        <v>130</v>
      </c>
      <c r="J4092">
        <v>4</v>
      </c>
      <c r="K4092" t="str">
        <f>IF(Tb_data[[#This Row],[previous_workers]]&lt;Tb_data[[#This Row],[workers]],"yes","no")</f>
        <v>yes</v>
      </c>
      <c r="L4092">
        <f>Tb_data[[#This Row],[workers]]-Tb_data[[#This Row],[previous_workers]]</f>
        <v>22</v>
      </c>
      <c r="M4092" s="12">
        <f>Tb_data[[#This Row],[Employees Growth]]/Tb_data[[#This Row],[previous_workers]]</f>
        <v>0.7857142857142857</v>
      </c>
    </row>
    <row r="4093" spans="1:13" x14ac:dyDescent="0.25">
      <c r="A4093" s="1" t="s">
        <v>2171</v>
      </c>
      <c r="B4093" s="1" t="s">
        <v>2172</v>
      </c>
      <c r="C4093" s="1">
        <v>66500000</v>
      </c>
      <c r="D4093" s="1" t="s">
        <v>58</v>
      </c>
      <c r="E4093">
        <v>408.96660000000003</v>
      </c>
      <c r="F4093" s="1" t="s">
        <v>142</v>
      </c>
      <c r="G4093">
        <v>229</v>
      </c>
      <c r="H4093">
        <v>56</v>
      </c>
      <c r="I4093" s="1" t="s">
        <v>164</v>
      </c>
      <c r="J4093">
        <v>4</v>
      </c>
      <c r="K4093" t="str">
        <f>IF(Tb_data[[#This Row],[previous_workers]]&lt;Tb_data[[#This Row],[workers]],"yes","no")</f>
        <v>yes</v>
      </c>
      <c r="L4093">
        <f>Tb_data[[#This Row],[workers]]-Tb_data[[#This Row],[previous_workers]]</f>
        <v>173</v>
      </c>
      <c r="M4093" s="12">
        <f>Tb_data[[#This Row],[Employees Growth]]/Tb_data[[#This Row],[previous_workers]]</f>
        <v>3.0892857142857144</v>
      </c>
    </row>
    <row r="4094" spans="1:13" x14ac:dyDescent="0.25">
      <c r="A4094" s="1" t="s">
        <v>5654</v>
      </c>
      <c r="B4094" s="1" t="s">
        <v>5655</v>
      </c>
      <c r="C4094" s="1">
        <v>3500000</v>
      </c>
      <c r="D4094" s="1" t="s">
        <v>11</v>
      </c>
      <c r="E4094">
        <v>135.9161</v>
      </c>
      <c r="F4094" s="1" t="s">
        <v>12</v>
      </c>
      <c r="G4094">
        <v>52</v>
      </c>
      <c r="H4094">
        <v>33</v>
      </c>
      <c r="I4094" s="1" t="s">
        <v>55</v>
      </c>
      <c r="J4094">
        <v>2</v>
      </c>
      <c r="K4094" t="str">
        <f>IF(Tb_data[[#This Row],[previous_workers]]&lt;Tb_data[[#This Row],[workers]],"yes","no")</f>
        <v>yes</v>
      </c>
      <c r="L4094">
        <f>Tb_data[[#This Row],[workers]]-Tb_data[[#This Row],[previous_workers]]</f>
        <v>19</v>
      </c>
      <c r="M4094" s="12">
        <f>Tb_data[[#This Row],[Employees Growth]]/Tb_data[[#This Row],[previous_workers]]</f>
        <v>0.5757575757575758</v>
      </c>
    </row>
    <row r="4095" spans="1:13" x14ac:dyDescent="0.25">
      <c r="A4095" s="1" t="s">
        <v>675</v>
      </c>
      <c r="B4095" s="1" t="s">
        <v>676</v>
      </c>
      <c r="C4095" s="1">
        <v>20800000</v>
      </c>
      <c r="D4095" s="1" t="s">
        <v>69</v>
      </c>
      <c r="E4095">
        <v>1515.7374</v>
      </c>
      <c r="F4095" s="1" t="s">
        <v>30</v>
      </c>
      <c r="G4095">
        <v>90</v>
      </c>
      <c r="H4095">
        <v>35</v>
      </c>
      <c r="I4095" s="1" t="s">
        <v>26</v>
      </c>
      <c r="J4095">
        <v>1</v>
      </c>
      <c r="K4095" t="str">
        <f>IF(Tb_data[[#This Row],[previous_workers]]&lt;Tb_data[[#This Row],[workers]],"yes","no")</f>
        <v>yes</v>
      </c>
      <c r="L4095">
        <f>Tb_data[[#This Row],[workers]]-Tb_data[[#This Row],[previous_workers]]</f>
        <v>55</v>
      </c>
      <c r="M4095" s="12">
        <f>Tb_data[[#This Row],[Employees Growth]]/Tb_data[[#This Row],[previous_workers]]</f>
        <v>1.5714285714285714</v>
      </c>
    </row>
    <row r="4096" spans="1:13" x14ac:dyDescent="0.25">
      <c r="A4096" s="1" t="s">
        <v>826</v>
      </c>
      <c r="B4096" s="1" t="s">
        <v>827</v>
      </c>
      <c r="C4096" s="1">
        <v>2600000</v>
      </c>
      <c r="D4096" s="1" t="s">
        <v>41</v>
      </c>
      <c r="E4096">
        <v>1240.5595000000001</v>
      </c>
      <c r="F4096" s="1" t="s">
        <v>156</v>
      </c>
      <c r="G4096">
        <v>19</v>
      </c>
      <c r="H4096">
        <v>3</v>
      </c>
      <c r="I4096" s="1" t="s">
        <v>229</v>
      </c>
      <c r="J4096">
        <v>2</v>
      </c>
      <c r="K4096" t="str">
        <f>IF(Tb_data[[#This Row],[previous_workers]]&lt;Tb_data[[#This Row],[workers]],"yes","no")</f>
        <v>yes</v>
      </c>
      <c r="L4096">
        <f>Tb_data[[#This Row],[workers]]-Tb_data[[#This Row],[previous_workers]]</f>
        <v>16</v>
      </c>
      <c r="M4096" s="12">
        <f>Tb_data[[#This Row],[Employees Growth]]/Tb_data[[#This Row],[previous_workers]]</f>
        <v>5.333333333333333</v>
      </c>
    </row>
    <row r="4097" spans="1:13" x14ac:dyDescent="0.25">
      <c r="A4097" s="1" t="s">
        <v>3920</v>
      </c>
      <c r="B4097" s="1" t="s">
        <v>3921</v>
      </c>
      <c r="C4097" s="1">
        <v>27800000</v>
      </c>
      <c r="D4097" s="1" t="s">
        <v>16</v>
      </c>
      <c r="E4097">
        <v>212.1506</v>
      </c>
      <c r="F4097" s="1" t="s">
        <v>17</v>
      </c>
      <c r="G4097">
        <v>38</v>
      </c>
      <c r="H4097">
        <v>16</v>
      </c>
      <c r="I4097" s="1" t="s">
        <v>130</v>
      </c>
      <c r="J4097">
        <v>3</v>
      </c>
      <c r="K4097" t="str">
        <f>IF(Tb_data[[#This Row],[previous_workers]]&lt;Tb_data[[#This Row],[workers]],"yes","no")</f>
        <v>yes</v>
      </c>
      <c r="L4097">
        <f>Tb_data[[#This Row],[workers]]-Tb_data[[#This Row],[previous_workers]]</f>
        <v>22</v>
      </c>
      <c r="M4097" s="12">
        <f>Tb_data[[#This Row],[Employees Growth]]/Tb_data[[#This Row],[previous_workers]]</f>
        <v>1.375</v>
      </c>
    </row>
    <row r="4098" spans="1:13" x14ac:dyDescent="0.25">
      <c r="A4098" s="1" t="s">
        <v>7166</v>
      </c>
      <c r="B4098" s="1" t="s">
        <v>7167</v>
      </c>
      <c r="C4098" s="1">
        <v>87200000</v>
      </c>
      <c r="D4098" s="1" t="s">
        <v>20</v>
      </c>
      <c r="E4098">
        <v>99.073700000000002</v>
      </c>
      <c r="F4098" s="1" t="s">
        <v>124</v>
      </c>
      <c r="G4098">
        <v>60</v>
      </c>
      <c r="H4098">
        <v>25</v>
      </c>
      <c r="I4098" s="1" t="s">
        <v>2374</v>
      </c>
      <c r="J4098">
        <v>1</v>
      </c>
      <c r="K4098" t="str">
        <f>IF(Tb_data[[#This Row],[previous_workers]]&lt;Tb_data[[#This Row],[workers]],"yes","no")</f>
        <v>yes</v>
      </c>
      <c r="L4098">
        <f>Tb_data[[#This Row],[workers]]-Tb_data[[#This Row],[previous_workers]]</f>
        <v>35</v>
      </c>
      <c r="M4098" s="12">
        <f>Tb_data[[#This Row],[Employees Growth]]/Tb_data[[#This Row],[previous_workers]]</f>
        <v>1.4</v>
      </c>
    </row>
    <row r="4099" spans="1:13" x14ac:dyDescent="0.25">
      <c r="A4099" s="1" t="s">
        <v>9718</v>
      </c>
      <c r="B4099" s="1" t="s">
        <v>9719</v>
      </c>
      <c r="C4099" s="1">
        <v>520100000</v>
      </c>
      <c r="D4099" s="1" t="s">
        <v>1853</v>
      </c>
      <c r="E4099">
        <v>57.8489</v>
      </c>
      <c r="F4099" s="1" t="s">
        <v>97</v>
      </c>
      <c r="G4099">
        <v>180</v>
      </c>
      <c r="H4099">
        <v>140</v>
      </c>
      <c r="I4099" s="1" t="s">
        <v>1411</v>
      </c>
      <c r="J4099">
        <v>8</v>
      </c>
      <c r="K4099" t="str">
        <f>IF(Tb_data[[#This Row],[previous_workers]]&lt;Tb_data[[#This Row],[workers]],"yes","no")</f>
        <v>yes</v>
      </c>
      <c r="L4099">
        <f>Tb_data[[#This Row],[workers]]-Tb_data[[#This Row],[previous_workers]]</f>
        <v>40</v>
      </c>
      <c r="M4099" s="12">
        <f>Tb_data[[#This Row],[Employees Growth]]/Tb_data[[#This Row],[previous_workers]]</f>
        <v>0.2857142857142857</v>
      </c>
    </row>
    <row r="4100" spans="1:13" x14ac:dyDescent="0.25">
      <c r="A4100" s="1" t="s">
        <v>6601</v>
      </c>
      <c r="B4100" s="1" t="s">
        <v>6602</v>
      </c>
      <c r="C4100" s="1">
        <v>240800000</v>
      </c>
      <c r="D4100" s="1" t="s">
        <v>254</v>
      </c>
      <c r="E4100">
        <v>111.5009</v>
      </c>
      <c r="F4100" s="1" t="s">
        <v>176</v>
      </c>
      <c r="G4100">
        <v>400</v>
      </c>
      <c r="H4100">
        <v>186</v>
      </c>
      <c r="I4100" s="1" t="s">
        <v>4024</v>
      </c>
      <c r="J4100">
        <v>1</v>
      </c>
      <c r="K4100" t="str">
        <f>IF(Tb_data[[#This Row],[previous_workers]]&lt;Tb_data[[#This Row],[workers]],"yes","no")</f>
        <v>yes</v>
      </c>
      <c r="L4100">
        <f>Tb_data[[#This Row],[workers]]-Tb_data[[#This Row],[previous_workers]]</f>
        <v>214</v>
      </c>
      <c r="M4100" s="12">
        <f>Tb_data[[#This Row],[Employees Growth]]/Tb_data[[#This Row],[previous_workers]]</f>
        <v>1.1505376344086022</v>
      </c>
    </row>
    <row r="4101" spans="1:13" x14ac:dyDescent="0.25">
      <c r="A4101" s="1" t="s">
        <v>8001</v>
      </c>
      <c r="B4101" s="1" t="s">
        <v>8002</v>
      </c>
      <c r="C4101" s="1">
        <v>5300000</v>
      </c>
      <c r="D4101" s="1" t="s">
        <v>20</v>
      </c>
      <c r="E4101">
        <v>82.699299999999994</v>
      </c>
      <c r="F4101" s="1" t="s">
        <v>34</v>
      </c>
      <c r="G4101">
        <v>38</v>
      </c>
      <c r="H4101">
        <v>7</v>
      </c>
      <c r="I4101" s="1" t="s">
        <v>164</v>
      </c>
      <c r="J4101">
        <v>4</v>
      </c>
      <c r="K4101" t="str">
        <f>IF(Tb_data[[#This Row],[previous_workers]]&lt;Tb_data[[#This Row],[workers]],"yes","no")</f>
        <v>yes</v>
      </c>
      <c r="L4101">
        <f>Tb_data[[#This Row],[workers]]-Tb_data[[#This Row],[previous_workers]]</f>
        <v>31</v>
      </c>
      <c r="M4101" s="12">
        <f>Tb_data[[#This Row],[Employees Growth]]/Tb_data[[#This Row],[previous_workers]]</f>
        <v>4.4285714285714288</v>
      </c>
    </row>
    <row r="4102" spans="1:13" x14ac:dyDescent="0.25">
      <c r="A4102" s="1" t="s">
        <v>6773</v>
      </c>
      <c r="B4102" s="1" t="s">
        <v>6774</v>
      </c>
      <c r="C4102" s="1">
        <v>44800000</v>
      </c>
      <c r="D4102" s="1" t="s">
        <v>1021</v>
      </c>
      <c r="E4102">
        <v>107.2637</v>
      </c>
      <c r="F4102" s="1" t="s">
        <v>17</v>
      </c>
      <c r="G4102">
        <v>305</v>
      </c>
      <c r="H4102">
        <v>165</v>
      </c>
      <c r="I4102" s="1" t="s">
        <v>2374</v>
      </c>
      <c r="J4102">
        <v>1</v>
      </c>
      <c r="K4102" t="str">
        <f>IF(Tb_data[[#This Row],[previous_workers]]&lt;Tb_data[[#This Row],[workers]],"yes","no")</f>
        <v>yes</v>
      </c>
      <c r="L4102">
        <f>Tb_data[[#This Row],[workers]]-Tb_data[[#This Row],[previous_workers]]</f>
        <v>140</v>
      </c>
      <c r="M4102" s="12">
        <f>Tb_data[[#This Row],[Employees Growth]]/Tb_data[[#This Row],[previous_workers]]</f>
        <v>0.84848484848484851</v>
      </c>
    </row>
    <row r="4103" spans="1:13" x14ac:dyDescent="0.25">
      <c r="A4103" s="1" t="s">
        <v>1210</v>
      </c>
      <c r="B4103" s="1" t="s">
        <v>1211</v>
      </c>
      <c r="C4103" s="1">
        <v>10700000</v>
      </c>
      <c r="D4103" s="1" t="s">
        <v>45</v>
      </c>
      <c r="E4103">
        <v>800.5729</v>
      </c>
      <c r="F4103" s="1" t="s">
        <v>124</v>
      </c>
      <c r="G4103">
        <v>9</v>
      </c>
      <c r="H4103">
        <v>2</v>
      </c>
      <c r="I4103" s="1" t="s">
        <v>26</v>
      </c>
      <c r="J4103">
        <v>1</v>
      </c>
      <c r="K4103" t="str">
        <f>IF(Tb_data[[#This Row],[previous_workers]]&lt;Tb_data[[#This Row],[workers]],"yes","no")</f>
        <v>yes</v>
      </c>
      <c r="L4103">
        <f>Tb_data[[#This Row],[workers]]-Tb_data[[#This Row],[previous_workers]]</f>
        <v>7</v>
      </c>
      <c r="M4103" s="12">
        <f>Tb_data[[#This Row],[Employees Growth]]/Tb_data[[#This Row],[previous_workers]]</f>
        <v>3.5</v>
      </c>
    </row>
    <row r="4104" spans="1:13" x14ac:dyDescent="0.25">
      <c r="A4104" s="1" t="s">
        <v>1562</v>
      </c>
      <c r="B4104" s="1" t="s">
        <v>1563</v>
      </c>
      <c r="C4104" s="1">
        <v>66600000</v>
      </c>
      <c r="D4104" s="1" t="s">
        <v>483</v>
      </c>
      <c r="E4104">
        <v>600.99659999999994</v>
      </c>
      <c r="F4104" s="1" t="s">
        <v>62</v>
      </c>
      <c r="G4104">
        <v>192</v>
      </c>
      <c r="H4104">
        <v>37</v>
      </c>
      <c r="I4104" s="1" t="s">
        <v>55</v>
      </c>
      <c r="J4104">
        <v>2</v>
      </c>
      <c r="K4104" t="str">
        <f>IF(Tb_data[[#This Row],[previous_workers]]&lt;Tb_data[[#This Row],[workers]],"yes","no")</f>
        <v>yes</v>
      </c>
      <c r="L4104">
        <f>Tb_data[[#This Row],[workers]]-Tb_data[[#This Row],[previous_workers]]</f>
        <v>155</v>
      </c>
      <c r="M4104" s="12">
        <f>Tb_data[[#This Row],[Employees Growth]]/Tb_data[[#This Row],[previous_workers]]</f>
        <v>4.1891891891891895</v>
      </c>
    </row>
    <row r="4105" spans="1:13" x14ac:dyDescent="0.25">
      <c r="A4105" s="1" t="s">
        <v>3963</v>
      </c>
      <c r="B4105" s="1" t="s">
        <v>3964</v>
      </c>
      <c r="C4105" s="1">
        <v>2500000</v>
      </c>
      <c r="D4105" s="1" t="s">
        <v>11</v>
      </c>
      <c r="E4105">
        <v>208.99510000000001</v>
      </c>
      <c r="F4105" s="1" t="s">
        <v>62</v>
      </c>
      <c r="G4105">
        <v>20</v>
      </c>
      <c r="H4105">
        <v>7</v>
      </c>
      <c r="I4105" s="1" t="s">
        <v>194</v>
      </c>
      <c r="J4105">
        <v>1</v>
      </c>
      <c r="K4105" t="str">
        <f>IF(Tb_data[[#This Row],[previous_workers]]&lt;Tb_data[[#This Row],[workers]],"yes","no")</f>
        <v>yes</v>
      </c>
      <c r="L4105">
        <f>Tb_data[[#This Row],[workers]]-Tb_data[[#This Row],[previous_workers]]</f>
        <v>13</v>
      </c>
      <c r="M4105" s="12">
        <f>Tb_data[[#This Row],[Employees Growth]]/Tb_data[[#This Row],[previous_workers]]</f>
        <v>1.8571428571428572</v>
      </c>
    </row>
    <row r="4106" spans="1:13" x14ac:dyDescent="0.25">
      <c r="A4106" s="1" t="s">
        <v>6791</v>
      </c>
      <c r="B4106" s="1" t="s">
        <v>6792</v>
      </c>
      <c r="C4106" s="1">
        <v>5200000</v>
      </c>
      <c r="D4106" s="1" t="s">
        <v>422</v>
      </c>
      <c r="E4106">
        <v>106.9165</v>
      </c>
      <c r="F4106" s="1" t="s">
        <v>100</v>
      </c>
      <c r="G4106">
        <v>18</v>
      </c>
      <c r="H4106">
        <v>7</v>
      </c>
      <c r="I4106" s="1" t="s">
        <v>164</v>
      </c>
      <c r="J4106">
        <v>2</v>
      </c>
      <c r="K4106" t="str">
        <f>IF(Tb_data[[#This Row],[previous_workers]]&lt;Tb_data[[#This Row],[workers]],"yes","no")</f>
        <v>yes</v>
      </c>
      <c r="L4106">
        <f>Tb_data[[#This Row],[workers]]-Tb_data[[#This Row],[previous_workers]]</f>
        <v>11</v>
      </c>
      <c r="M4106" s="12">
        <f>Tb_data[[#This Row],[Employees Growth]]/Tb_data[[#This Row],[previous_workers]]</f>
        <v>1.5714285714285714</v>
      </c>
    </row>
    <row r="4107" spans="1:13" x14ac:dyDescent="0.25">
      <c r="A4107" s="1" t="s">
        <v>6761</v>
      </c>
      <c r="B4107" s="1" t="s">
        <v>6762</v>
      </c>
      <c r="C4107" s="1">
        <v>17100000</v>
      </c>
      <c r="D4107" s="1" t="s">
        <v>52</v>
      </c>
      <c r="E4107">
        <v>107.4033</v>
      </c>
      <c r="F4107" s="1" t="s">
        <v>112</v>
      </c>
      <c r="G4107">
        <v>63</v>
      </c>
      <c r="H4107">
        <v>31</v>
      </c>
      <c r="I4107" s="1" t="s">
        <v>226</v>
      </c>
      <c r="J4107">
        <v>2</v>
      </c>
      <c r="K4107" t="str">
        <f>IF(Tb_data[[#This Row],[previous_workers]]&lt;Tb_data[[#This Row],[workers]],"yes","no")</f>
        <v>yes</v>
      </c>
      <c r="L4107">
        <f>Tb_data[[#This Row],[workers]]-Tb_data[[#This Row],[previous_workers]]</f>
        <v>32</v>
      </c>
      <c r="M4107" s="12">
        <f>Tb_data[[#This Row],[Employees Growth]]/Tb_data[[#This Row],[previous_workers]]</f>
        <v>1.032258064516129</v>
      </c>
    </row>
    <row r="4108" spans="1:13" x14ac:dyDescent="0.25">
      <c r="A4108" s="1" t="s">
        <v>5044</v>
      </c>
      <c r="B4108" s="1" t="s">
        <v>5045</v>
      </c>
      <c r="C4108" s="1">
        <v>7100000</v>
      </c>
      <c r="D4108" s="1" t="s">
        <v>20</v>
      </c>
      <c r="E4108">
        <v>159.601</v>
      </c>
      <c r="F4108" s="1" t="s">
        <v>12</v>
      </c>
      <c r="G4108">
        <v>46</v>
      </c>
      <c r="H4108">
        <v>35</v>
      </c>
      <c r="I4108" s="1" t="s">
        <v>35</v>
      </c>
      <c r="J4108">
        <v>2</v>
      </c>
      <c r="K4108" t="str">
        <f>IF(Tb_data[[#This Row],[previous_workers]]&lt;Tb_data[[#This Row],[workers]],"yes","no")</f>
        <v>yes</v>
      </c>
      <c r="L4108">
        <f>Tb_data[[#This Row],[workers]]-Tb_data[[#This Row],[previous_workers]]</f>
        <v>11</v>
      </c>
      <c r="M4108" s="12">
        <f>Tb_data[[#This Row],[Employees Growth]]/Tb_data[[#This Row],[previous_workers]]</f>
        <v>0.31428571428571428</v>
      </c>
    </row>
    <row r="4109" spans="1:13" x14ac:dyDescent="0.25">
      <c r="A4109" s="1" t="s">
        <v>4870</v>
      </c>
      <c r="B4109" s="1" t="s">
        <v>4871</v>
      </c>
      <c r="C4109" s="1">
        <v>2300000</v>
      </c>
      <c r="D4109" s="1" t="s">
        <v>627</v>
      </c>
      <c r="E4109">
        <v>166.93879999999999</v>
      </c>
      <c r="F4109" s="1" t="s">
        <v>62</v>
      </c>
      <c r="G4109">
        <v>20</v>
      </c>
      <c r="H4109">
        <v>8</v>
      </c>
      <c r="I4109" s="1" t="s">
        <v>372</v>
      </c>
      <c r="J4109">
        <v>1</v>
      </c>
      <c r="K4109" t="str">
        <f>IF(Tb_data[[#This Row],[previous_workers]]&lt;Tb_data[[#This Row],[workers]],"yes","no")</f>
        <v>yes</v>
      </c>
      <c r="L4109">
        <f>Tb_data[[#This Row],[workers]]-Tb_data[[#This Row],[previous_workers]]</f>
        <v>12</v>
      </c>
      <c r="M4109" s="12">
        <f>Tb_data[[#This Row],[Employees Growth]]/Tb_data[[#This Row],[previous_workers]]</f>
        <v>1.5</v>
      </c>
    </row>
    <row r="4110" spans="1:13" x14ac:dyDescent="0.25">
      <c r="A4110" s="1" t="s">
        <v>8534</v>
      </c>
      <c r="B4110" s="1" t="s">
        <v>8535</v>
      </c>
      <c r="C4110" s="1">
        <v>2800000</v>
      </c>
      <c r="D4110" s="1" t="s">
        <v>61</v>
      </c>
      <c r="E4110">
        <v>73.330600000000004</v>
      </c>
      <c r="F4110" s="1" t="s">
        <v>25</v>
      </c>
      <c r="G4110">
        <v>31</v>
      </c>
      <c r="H4110">
        <v>15</v>
      </c>
      <c r="I4110" s="1" t="s">
        <v>35</v>
      </c>
      <c r="J4110">
        <v>3</v>
      </c>
      <c r="K4110" t="str">
        <f>IF(Tb_data[[#This Row],[previous_workers]]&lt;Tb_data[[#This Row],[workers]],"yes","no")</f>
        <v>yes</v>
      </c>
      <c r="L4110">
        <f>Tb_data[[#This Row],[workers]]-Tb_data[[#This Row],[previous_workers]]</f>
        <v>16</v>
      </c>
      <c r="M4110" s="12">
        <f>Tb_data[[#This Row],[Employees Growth]]/Tb_data[[#This Row],[previous_workers]]</f>
        <v>1.0666666666666667</v>
      </c>
    </row>
    <row r="4111" spans="1:13" x14ac:dyDescent="0.25">
      <c r="A4111" s="1" t="s">
        <v>2514</v>
      </c>
      <c r="B4111" s="1" t="s">
        <v>2515</v>
      </c>
      <c r="C4111" s="1">
        <v>2600000</v>
      </c>
      <c r="D4111" s="1" t="s">
        <v>103</v>
      </c>
      <c r="E4111">
        <v>344.94159999999999</v>
      </c>
      <c r="F4111" s="1" t="s">
        <v>25</v>
      </c>
      <c r="G4111">
        <v>7</v>
      </c>
      <c r="H4111">
        <v>2</v>
      </c>
      <c r="I4111" s="1" t="s">
        <v>130</v>
      </c>
      <c r="J4111">
        <v>1</v>
      </c>
      <c r="K4111" t="str">
        <f>IF(Tb_data[[#This Row],[previous_workers]]&lt;Tb_data[[#This Row],[workers]],"yes","no")</f>
        <v>yes</v>
      </c>
      <c r="L4111">
        <f>Tb_data[[#This Row],[workers]]-Tb_data[[#This Row],[previous_workers]]</f>
        <v>5</v>
      </c>
      <c r="M4111" s="12">
        <f>Tb_data[[#This Row],[Employees Growth]]/Tb_data[[#This Row],[previous_workers]]</f>
        <v>2.5</v>
      </c>
    </row>
    <row r="4112" spans="1:13" x14ac:dyDescent="0.25">
      <c r="A4112" s="1" t="s">
        <v>8618</v>
      </c>
      <c r="B4112" s="1" t="s">
        <v>8619</v>
      </c>
      <c r="C4112" s="1">
        <v>22500000</v>
      </c>
      <c r="D4112" s="1" t="s">
        <v>69</v>
      </c>
      <c r="E4112">
        <v>72.230699999999999</v>
      </c>
      <c r="F4112" s="1" t="s">
        <v>161</v>
      </c>
      <c r="G4112">
        <v>190</v>
      </c>
      <c r="H4112">
        <v>124</v>
      </c>
      <c r="I4112" s="1" t="s">
        <v>117</v>
      </c>
      <c r="J4112">
        <v>6</v>
      </c>
      <c r="K4112" t="str">
        <f>IF(Tb_data[[#This Row],[previous_workers]]&lt;Tb_data[[#This Row],[workers]],"yes","no")</f>
        <v>yes</v>
      </c>
      <c r="L4112">
        <f>Tb_data[[#This Row],[workers]]-Tb_data[[#This Row],[previous_workers]]</f>
        <v>66</v>
      </c>
      <c r="M4112" s="12">
        <f>Tb_data[[#This Row],[Employees Growth]]/Tb_data[[#This Row],[previous_workers]]</f>
        <v>0.532258064516129</v>
      </c>
    </row>
    <row r="4113" spans="1:13" x14ac:dyDescent="0.25">
      <c r="A4113" s="1" t="s">
        <v>4365</v>
      </c>
      <c r="B4113" s="1" t="s">
        <v>4366</v>
      </c>
      <c r="C4113" s="1">
        <v>9000000</v>
      </c>
      <c r="D4113" s="1" t="s">
        <v>41</v>
      </c>
      <c r="E4113">
        <v>187.94159999999999</v>
      </c>
      <c r="F4113" s="1" t="s">
        <v>21</v>
      </c>
      <c r="G4113">
        <v>175</v>
      </c>
      <c r="H4113">
        <v>85</v>
      </c>
      <c r="I4113" s="1" t="s">
        <v>194</v>
      </c>
      <c r="J4113">
        <v>2</v>
      </c>
      <c r="K4113" t="str">
        <f>IF(Tb_data[[#This Row],[previous_workers]]&lt;Tb_data[[#This Row],[workers]],"yes","no")</f>
        <v>yes</v>
      </c>
      <c r="L4113">
        <f>Tb_data[[#This Row],[workers]]-Tb_data[[#This Row],[previous_workers]]</f>
        <v>90</v>
      </c>
      <c r="M4113" s="12">
        <f>Tb_data[[#This Row],[Employees Growth]]/Tb_data[[#This Row],[previous_workers]]</f>
        <v>1.0588235294117647</v>
      </c>
    </row>
    <row r="4114" spans="1:13" x14ac:dyDescent="0.25">
      <c r="A4114" s="1" t="s">
        <v>9810</v>
      </c>
      <c r="B4114" s="1" t="s">
        <v>9811</v>
      </c>
      <c r="C4114" s="1">
        <v>6000000</v>
      </c>
      <c r="D4114" s="1" t="s">
        <v>155</v>
      </c>
      <c r="E4114">
        <v>56.717199999999998</v>
      </c>
      <c r="F4114" s="1" t="s">
        <v>97</v>
      </c>
      <c r="G4114">
        <v>47</v>
      </c>
      <c r="H4114">
        <v>38</v>
      </c>
      <c r="I4114" s="1" t="s">
        <v>948</v>
      </c>
      <c r="J4114">
        <v>2</v>
      </c>
      <c r="K4114" t="str">
        <f>IF(Tb_data[[#This Row],[previous_workers]]&lt;Tb_data[[#This Row],[workers]],"yes","no")</f>
        <v>yes</v>
      </c>
      <c r="L4114">
        <f>Tb_data[[#This Row],[workers]]-Tb_data[[#This Row],[previous_workers]]</f>
        <v>9</v>
      </c>
      <c r="M4114" s="12">
        <f>Tb_data[[#This Row],[Employees Growth]]/Tb_data[[#This Row],[previous_workers]]</f>
        <v>0.23684210526315788</v>
      </c>
    </row>
    <row r="4115" spans="1:13" x14ac:dyDescent="0.25">
      <c r="A4115" s="1" t="s">
        <v>5712</v>
      </c>
      <c r="B4115" s="1" t="s">
        <v>5713</v>
      </c>
      <c r="C4115" s="1">
        <v>26600000</v>
      </c>
      <c r="D4115" s="1" t="s">
        <v>155</v>
      </c>
      <c r="E4115">
        <v>134.07300000000001</v>
      </c>
      <c r="F4115" s="1" t="s">
        <v>86</v>
      </c>
      <c r="G4115">
        <v>130</v>
      </c>
      <c r="H4115">
        <v>45</v>
      </c>
      <c r="I4115" s="1" t="s">
        <v>130</v>
      </c>
      <c r="J4115">
        <v>1</v>
      </c>
      <c r="K4115" t="str">
        <f>IF(Tb_data[[#This Row],[previous_workers]]&lt;Tb_data[[#This Row],[workers]],"yes","no")</f>
        <v>yes</v>
      </c>
      <c r="L4115">
        <f>Tb_data[[#This Row],[workers]]-Tb_data[[#This Row],[previous_workers]]</f>
        <v>85</v>
      </c>
      <c r="M4115" s="12">
        <f>Tb_data[[#This Row],[Employees Growth]]/Tb_data[[#This Row],[previous_workers]]</f>
        <v>1.8888888888888888</v>
      </c>
    </row>
    <row r="4116" spans="1:13" x14ac:dyDescent="0.25">
      <c r="A4116" s="1" t="s">
        <v>8353</v>
      </c>
      <c r="B4116" s="1" t="s">
        <v>8354</v>
      </c>
      <c r="C4116" s="1">
        <v>10700000</v>
      </c>
      <c r="D4116" s="1" t="s">
        <v>49</v>
      </c>
      <c r="E4116">
        <v>76.961399999999998</v>
      </c>
      <c r="F4116" s="1" t="s">
        <v>176</v>
      </c>
      <c r="G4116">
        <v>7</v>
      </c>
      <c r="H4116">
        <v>4</v>
      </c>
      <c r="I4116" s="1" t="s">
        <v>35</v>
      </c>
      <c r="J4116">
        <v>1</v>
      </c>
      <c r="K4116" t="str">
        <f>IF(Tb_data[[#This Row],[previous_workers]]&lt;Tb_data[[#This Row],[workers]],"yes","no")</f>
        <v>yes</v>
      </c>
      <c r="L4116">
        <f>Tb_data[[#This Row],[workers]]-Tb_data[[#This Row],[previous_workers]]</f>
        <v>3</v>
      </c>
      <c r="M4116" s="12">
        <f>Tb_data[[#This Row],[Employees Growth]]/Tb_data[[#This Row],[previous_workers]]</f>
        <v>0.75</v>
      </c>
    </row>
    <row r="4117" spans="1:13" x14ac:dyDescent="0.25">
      <c r="A4117" s="1" t="s">
        <v>4908</v>
      </c>
      <c r="B4117" s="1" t="s">
        <v>4909</v>
      </c>
      <c r="C4117" s="1">
        <v>61300000</v>
      </c>
      <c r="D4117" s="1" t="s">
        <v>61</v>
      </c>
      <c r="E4117">
        <v>165.2415</v>
      </c>
      <c r="F4117" s="1" t="s">
        <v>25</v>
      </c>
      <c r="G4117">
        <v>20</v>
      </c>
      <c r="H4117">
        <v>10</v>
      </c>
      <c r="I4117" s="1" t="s">
        <v>117</v>
      </c>
      <c r="J4117">
        <v>3</v>
      </c>
      <c r="K4117" t="str">
        <f>IF(Tb_data[[#This Row],[previous_workers]]&lt;Tb_data[[#This Row],[workers]],"yes","no")</f>
        <v>yes</v>
      </c>
      <c r="L4117">
        <f>Tb_data[[#This Row],[workers]]-Tb_data[[#This Row],[previous_workers]]</f>
        <v>10</v>
      </c>
      <c r="M4117" s="12">
        <f>Tb_data[[#This Row],[Employees Growth]]/Tb_data[[#This Row],[previous_workers]]</f>
        <v>1</v>
      </c>
    </row>
    <row r="4118" spans="1:13" x14ac:dyDescent="0.25">
      <c r="A4118" s="1" t="s">
        <v>9007</v>
      </c>
      <c r="B4118" s="1" t="s">
        <v>9008</v>
      </c>
      <c r="C4118" s="1">
        <v>7400000</v>
      </c>
      <c r="D4118" s="1" t="s">
        <v>61</v>
      </c>
      <c r="E4118">
        <v>66.566299999999998</v>
      </c>
      <c r="F4118" s="1" t="s">
        <v>3264</v>
      </c>
      <c r="G4118">
        <v>50</v>
      </c>
      <c r="H4118">
        <v>26</v>
      </c>
      <c r="I4118" s="1" t="s">
        <v>117</v>
      </c>
      <c r="J4118">
        <v>3</v>
      </c>
      <c r="K4118" t="str">
        <f>IF(Tb_data[[#This Row],[previous_workers]]&lt;Tb_data[[#This Row],[workers]],"yes","no")</f>
        <v>yes</v>
      </c>
      <c r="L4118">
        <f>Tb_data[[#This Row],[workers]]-Tb_data[[#This Row],[previous_workers]]</f>
        <v>24</v>
      </c>
      <c r="M4118" s="12">
        <f>Tb_data[[#This Row],[Employees Growth]]/Tb_data[[#This Row],[previous_workers]]</f>
        <v>0.92307692307692313</v>
      </c>
    </row>
    <row r="4119" spans="1:13" x14ac:dyDescent="0.25">
      <c r="A4119" s="1" t="s">
        <v>4399</v>
      </c>
      <c r="B4119" s="1" t="s">
        <v>4400</v>
      </c>
      <c r="C4119" s="1">
        <v>49800000</v>
      </c>
      <c r="D4119" s="1" t="s">
        <v>33</v>
      </c>
      <c r="E4119">
        <v>186.60050000000001</v>
      </c>
      <c r="F4119" s="1" t="s">
        <v>112</v>
      </c>
      <c r="G4119">
        <v>210</v>
      </c>
      <c r="H4119">
        <v>106</v>
      </c>
      <c r="I4119" s="1" t="s">
        <v>1411</v>
      </c>
      <c r="J4119">
        <v>5</v>
      </c>
      <c r="K4119" t="str">
        <f>IF(Tb_data[[#This Row],[previous_workers]]&lt;Tb_data[[#This Row],[workers]],"yes","no")</f>
        <v>yes</v>
      </c>
      <c r="L4119">
        <f>Tb_data[[#This Row],[workers]]-Tb_data[[#This Row],[previous_workers]]</f>
        <v>104</v>
      </c>
      <c r="M4119" s="12">
        <f>Tb_data[[#This Row],[Employees Growth]]/Tb_data[[#This Row],[previous_workers]]</f>
        <v>0.98113207547169812</v>
      </c>
    </row>
    <row r="4120" spans="1:13" x14ac:dyDescent="0.25">
      <c r="A4120" s="1" t="s">
        <v>5140</v>
      </c>
      <c r="B4120" s="1" t="s">
        <v>5141</v>
      </c>
      <c r="C4120" s="1">
        <v>12600000</v>
      </c>
      <c r="D4120" s="1" t="s">
        <v>29</v>
      </c>
      <c r="E4120">
        <v>155.94120000000001</v>
      </c>
      <c r="F4120" s="1" t="s">
        <v>62</v>
      </c>
      <c r="G4120">
        <v>130</v>
      </c>
      <c r="H4120">
        <v>34</v>
      </c>
      <c r="I4120" s="1" t="s">
        <v>46</v>
      </c>
      <c r="J4120">
        <v>2</v>
      </c>
      <c r="K4120" t="str">
        <f>IF(Tb_data[[#This Row],[previous_workers]]&lt;Tb_data[[#This Row],[workers]],"yes","no")</f>
        <v>yes</v>
      </c>
      <c r="L4120">
        <f>Tb_data[[#This Row],[workers]]-Tb_data[[#This Row],[previous_workers]]</f>
        <v>96</v>
      </c>
      <c r="M4120" s="12">
        <f>Tb_data[[#This Row],[Employees Growth]]/Tb_data[[#This Row],[previous_workers]]</f>
        <v>2.8235294117647061</v>
      </c>
    </row>
    <row r="4121" spans="1:13" x14ac:dyDescent="0.25">
      <c r="A4121" s="1" t="s">
        <v>4319</v>
      </c>
      <c r="B4121" s="1" t="s">
        <v>4320</v>
      </c>
      <c r="C4121" s="1">
        <v>18200000</v>
      </c>
      <c r="D4121" s="1" t="s">
        <v>20</v>
      </c>
      <c r="E4121">
        <v>190.5402</v>
      </c>
      <c r="F4121" s="1" t="s">
        <v>97</v>
      </c>
      <c r="G4121">
        <v>116</v>
      </c>
      <c r="H4121">
        <v>73</v>
      </c>
      <c r="I4121" s="1" t="s">
        <v>46</v>
      </c>
      <c r="J4121">
        <v>5</v>
      </c>
      <c r="K4121" t="str">
        <f>IF(Tb_data[[#This Row],[previous_workers]]&lt;Tb_data[[#This Row],[workers]],"yes","no")</f>
        <v>yes</v>
      </c>
      <c r="L4121">
        <f>Tb_data[[#This Row],[workers]]-Tb_data[[#This Row],[previous_workers]]</f>
        <v>43</v>
      </c>
      <c r="M4121" s="12">
        <f>Tb_data[[#This Row],[Employees Growth]]/Tb_data[[#This Row],[previous_workers]]</f>
        <v>0.58904109589041098</v>
      </c>
    </row>
    <row r="4122" spans="1:13" x14ac:dyDescent="0.25">
      <c r="A4122" s="1" t="s">
        <v>3698</v>
      </c>
      <c r="B4122" s="1" t="s">
        <v>3699</v>
      </c>
      <c r="C4122" s="1">
        <v>7300000</v>
      </c>
      <c r="D4122" s="1" t="s">
        <v>20</v>
      </c>
      <c r="E4122">
        <v>228.631</v>
      </c>
      <c r="F4122" s="1" t="s">
        <v>62</v>
      </c>
      <c r="G4122">
        <v>50</v>
      </c>
      <c r="H4122">
        <v>14</v>
      </c>
      <c r="I4122" s="1" t="s">
        <v>74</v>
      </c>
      <c r="J4122">
        <v>2</v>
      </c>
      <c r="K4122" t="str">
        <f>IF(Tb_data[[#This Row],[previous_workers]]&lt;Tb_data[[#This Row],[workers]],"yes","no")</f>
        <v>yes</v>
      </c>
      <c r="L4122">
        <f>Tb_data[[#This Row],[workers]]-Tb_data[[#This Row],[previous_workers]]</f>
        <v>36</v>
      </c>
      <c r="M4122" s="12">
        <f>Tb_data[[#This Row],[Employees Growth]]/Tb_data[[#This Row],[previous_workers]]</f>
        <v>2.5714285714285716</v>
      </c>
    </row>
    <row r="4123" spans="1:13" x14ac:dyDescent="0.25">
      <c r="A4123" s="1" t="s">
        <v>837</v>
      </c>
      <c r="B4123" s="1" t="s">
        <v>838</v>
      </c>
      <c r="C4123" s="1">
        <v>21700000</v>
      </c>
      <c r="D4123" s="1" t="s">
        <v>41</v>
      </c>
      <c r="E4123">
        <v>1228.9271000000001</v>
      </c>
      <c r="F4123" s="1" t="s">
        <v>97</v>
      </c>
      <c r="G4123">
        <v>134</v>
      </c>
      <c r="H4123">
        <v>13</v>
      </c>
      <c r="I4123" s="1" t="s">
        <v>295</v>
      </c>
      <c r="J4123">
        <v>2</v>
      </c>
      <c r="K4123" t="str">
        <f>IF(Tb_data[[#This Row],[previous_workers]]&lt;Tb_data[[#This Row],[workers]],"yes","no")</f>
        <v>yes</v>
      </c>
      <c r="L4123">
        <f>Tb_data[[#This Row],[workers]]-Tb_data[[#This Row],[previous_workers]]</f>
        <v>121</v>
      </c>
      <c r="M4123" s="12">
        <f>Tb_data[[#This Row],[Employees Growth]]/Tb_data[[#This Row],[previous_workers]]</f>
        <v>9.3076923076923084</v>
      </c>
    </row>
    <row r="4124" spans="1:13" x14ac:dyDescent="0.25">
      <c r="A4124" s="1" t="s">
        <v>1377</v>
      </c>
      <c r="B4124" s="1" t="s">
        <v>1378</v>
      </c>
      <c r="C4124" s="1">
        <v>2300000</v>
      </c>
      <c r="D4124" s="1" t="s">
        <v>33</v>
      </c>
      <c r="E4124">
        <v>692.29330000000004</v>
      </c>
      <c r="F4124" s="1" t="s">
        <v>12</v>
      </c>
      <c r="G4124">
        <v>7</v>
      </c>
      <c r="H4124">
        <v>3</v>
      </c>
      <c r="I4124" s="1" t="s">
        <v>26</v>
      </c>
      <c r="J4124">
        <v>1</v>
      </c>
      <c r="K4124" t="str">
        <f>IF(Tb_data[[#This Row],[previous_workers]]&lt;Tb_data[[#This Row],[workers]],"yes","no")</f>
        <v>yes</v>
      </c>
      <c r="L4124">
        <f>Tb_data[[#This Row],[workers]]-Tb_data[[#This Row],[previous_workers]]</f>
        <v>4</v>
      </c>
      <c r="M4124" s="12">
        <f>Tb_data[[#This Row],[Employees Growth]]/Tb_data[[#This Row],[previous_workers]]</f>
        <v>1.3333333333333333</v>
      </c>
    </row>
    <row r="4125" spans="1:13" x14ac:dyDescent="0.25">
      <c r="A4125" s="1" t="s">
        <v>9658</v>
      </c>
      <c r="B4125" s="1" t="s">
        <v>9659</v>
      </c>
      <c r="C4125" s="1">
        <v>20400000</v>
      </c>
      <c r="D4125" s="1" t="s">
        <v>129</v>
      </c>
      <c r="E4125">
        <v>58.5807</v>
      </c>
      <c r="F4125" s="1" t="s">
        <v>12</v>
      </c>
      <c r="G4125">
        <v>132</v>
      </c>
      <c r="H4125">
        <v>106</v>
      </c>
      <c r="I4125" s="1" t="s">
        <v>372</v>
      </c>
      <c r="J4125">
        <v>4</v>
      </c>
      <c r="K4125" t="str">
        <f>IF(Tb_data[[#This Row],[previous_workers]]&lt;Tb_data[[#This Row],[workers]],"yes","no")</f>
        <v>yes</v>
      </c>
      <c r="L4125">
        <f>Tb_data[[#This Row],[workers]]-Tb_data[[#This Row],[previous_workers]]</f>
        <v>26</v>
      </c>
      <c r="M4125" s="12">
        <f>Tb_data[[#This Row],[Employees Growth]]/Tb_data[[#This Row],[previous_workers]]</f>
        <v>0.24528301886792453</v>
      </c>
    </row>
    <row r="4126" spans="1:13" x14ac:dyDescent="0.25">
      <c r="A4126" s="1" t="s">
        <v>7729</v>
      </c>
      <c r="B4126" s="1" t="s">
        <v>7730</v>
      </c>
      <c r="C4126" s="1">
        <v>2400000</v>
      </c>
      <c r="D4126" s="1" t="s">
        <v>45</v>
      </c>
      <c r="E4126">
        <v>87.611099999999993</v>
      </c>
      <c r="F4126" s="1" t="s">
        <v>161</v>
      </c>
      <c r="G4126">
        <v>18</v>
      </c>
      <c r="H4126">
        <v>12</v>
      </c>
      <c r="I4126" s="1" t="s">
        <v>468</v>
      </c>
      <c r="J4126">
        <v>2</v>
      </c>
      <c r="K4126" t="str">
        <f>IF(Tb_data[[#This Row],[previous_workers]]&lt;Tb_data[[#This Row],[workers]],"yes","no")</f>
        <v>yes</v>
      </c>
      <c r="L4126">
        <f>Tb_data[[#This Row],[workers]]-Tb_data[[#This Row],[previous_workers]]</f>
        <v>6</v>
      </c>
      <c r="M4126" s="12">
        <f>Tb_data[[#This Row],[Employees Growth]]/Tb_data[[#This Row],[previous_workers]]</f>
        <v>0.5</v>
      </c>
    </row>
    <row r="4127" spans="1:13" x14ac:dyDescent="0.25">
      <c r="A4127" s="1" t="s">
        <v>2695</v>
      </c>
      <c r="B4127" s="1" t="s">
        <v>2696</v>
      </c>
      <c r="C4127" s="1">
        <v>6700000</v>
      </c>
      <c r="D4127" s="1" t="s">
        <v>29</v>
      </c>
      <c r="E4127">
        <v>319.13619999999997</v>
      </c>
      <c r="F4127" s="1" t="s">
        <v>142</v>
      </c>
      <c r="G4127">
        <v>2</v>
      </c>
      <c r="H4127">
        <v>2</v>
      </c>
      <c r="I4127" s="1" t="s">
        <v>194</v>
      </c>
      <c r="J4127">
        <v>3</v>
      </c>
      <c r="K4127" t="str">
        <f>IF(Tb_data[[#This Row],[previous_workers]]&lt;Tb_data[[#This Row],[workers]],"yes","no")</f>
        <v>no</v>
      </c>
      <c r="L4127">
        <f>Tb_data[[#This Row],[workers]]-Tb_data[[#This Row],[previous_workers]]</f>
        <v>0</v>
      </c>
      <c r="M4127" s="12">
        <f>Tb_data[[#This Row],[Employees Growth]]/Tb_data[[#This Row],[previous_workers]]</f>
        <v>0</v>
      </c>
    </row>
    <row r="4128" spans="1:13" x14ac:dyDescent="0.25">
      <c r="A4128" s="1" t="s">
        <v>4523</v>
      </c>
      <c r="B4128" s="1" t="s">
        <v>4524</v>
      </c>
      <c r="C4128" s="1">
        <v>9700000</v>
      </c>
      <c r="D4128" s="1" t="s">
        <v>52</v>
      </c>
      <c r="E4128">
        <v>181.5325</v>
      </c>
      <c r="F4128" s="1" t="s">
        <v>12</v>
      </c>
      <c r="G4128">
        <v>18</v>
      </c>
      <c r="H4128">
        <v>9</v>
      </c>
      <c r="I4128" s="1" t="s">
        <v>55</v>
      </c>
      <c r="J4128">
        <v>2</v>
      </c>
      <c r="K4128" t="str">
        <f>IF(Tb_data[[#This Row],[previous_workers]]&lt;Tb_data[[#This Row],[workers]],"yes","no")</f>
        <v>yes</v>
      </c>
      <c r="L4128">
        <f>Tb_data[[#This Row],[workers]]-Tb_data[[#This Row],[previous_workers]]</f>
        <v>9</v>
      </c>
      <c r="M4128" s="12">
        <f>Tb_data[[#This Row],[Employees Growth]]/Tb_data[[#This Row],[previous_workers]]</f>
        <v>1</v>
      </c>
    </row>
    <row r="4129" spans="1:13" x14ac:dyDescent="0.25">
      <c r="A4129" s="1" t="s">
        <v>3949</v>
      </c>
      <c r="B4129" s="1" t="s">
        <v>3950</v>
      </c>
      <c r="C4129" s="1">
        <v>2200000</v>
      </c>
      <c r="D4129" s="1" t="s">
        <v>175</v>
      </c>
      <c r="E4129">
        <v>209.61199999999999</v>
      </c>
      <c r="F4129" s="1" t="s">
        <v>176</v>
      </c>
      <c r="G4129">
        <v>12</v>
      </c>
      <c r="H4129">
        <v>4</v>
      </c>
      <c r="I4129" s="1" t="s">
        <v>55</v>
      </c>
      <c r="J4129">
        <v>2</v>
      </c>
      <c r="K4129" t="str">
        <f>IF(Tb_data[[#This Row],[previous_workers]]&lt;Tb_data[[#This Row],[workers]],"yes","no")</f>
        <v>yes</v>
      </c>
      <c r="L4129">
        <f>Tb_data[[#This Row],[workers]]-Tb_data[[#This Row],[previous_workers]]</f>
        <v>8</v>
      </c>
      <c r="M4129" s="12">
        <f>Tb_data[[#This Row],[Employees Growth]]/Tb_data[[#This Row],[previous_workers]]</f>
        <v>2</v>
      </c>
    </row>
    <row r="4130" spans="1:13" x14ac:dyDescent="0.25">
      <c r="A4130" s="1" t="s">
        <v>1584</v>
      </c>
      <c r="B4130" s="1" t="s">
        <v>1585</v>
      </c>
      <c r="C4130" s="1">
        <v>3900000</v>
      </c>
      <c r="D4130" s="1" t="s">
        <v>29</v>
      </c>
      <c r="E4130">
        <v>591.5385</v>
      </c>
      <c r="F4130" s="1" t="s">
        <v>86</v>
      </c>
      <c r="G4130">
        <v>52</v>
      </c>
      <c r="H4130">
        <v>2</v>
      </c>
      <c r="I4130" s="1" t="s">
        <v>55</v>
      </c>
      <c r="J4130">
        <v>2</v>
      </c>
      <c r="K4130" t="str">
        <f>IF(Tb_data[[#This Row],[previous_workers]]&lt;Tb_data[[#This Row],[workers]],"yes","no")</f>
        <v>yes</v>
      </c>
      <c r="L4130">
        <f>Tb_data[[#This Row],[workers]]-Tb_data[[#This Row],[previous_workers]]</f>
        <v>50</v>
      </c>
      <c r="M4130" s="12">
        <f>Tb_data[[#This Row],[Employees Growth]]/Tb_data[[#This Row],[previous_workers]]</f>
        <v>25</v>
      </c>
    </row>
    <row r="4131" spans="1:13" x14ac:dyDescent="0.25">
      <c r="A4131" s="1" t="s">
        <v>561</v>
      </c>
      <c r="B4131" s="1" t="s">
        <v>562</v>
      </c>
      <c r="C4131" s="1">
        <v>11100000</v>
      </c>
      <c r="D4131" s="1" t="s">
        <v>129</v>
      </c>
      <c r="E4131">
        <v>1781.0661</v>
      </c>
      <c r="F4131" s="1" t="s">
        <v>97</v>
      </c>
      <c r="G4131">
        <v>152</v>
      </c>
      <c r="H4131">
        <v>11</v>
      </c>
      <c r="I4131" s="1" t="s">
        <v>194</v>
      </c>
      <c r="J4131">
        <v>1</v>
      </c>
      <c r="K4131" t="str">
        <f>IF(Tb_data[[#This Row],[previous_workers]]&lt;Tb_data[[#This Row],[workers]],"yes","no")</f>
        <v>yes</v>
      </c>
      <c r="L4131">
        <f>Tb_data[[#This Row],[workers]]-Tb_data[[#This Row],[previous_workers]]</f>
        <v>141</v>
      </c>
      <c r="M4131" s="12">
        <f>Tb_data[[#This Row],[Employees Growth]]/Tb_data[[#This Row],[previous_workers]]</f>
        <v>12.818181818181818</v>
      </c>
    </row>
    <row r="4132" spans="1:13" x14ac:dyDescent="0.25">
      <c r="A4132" s="1" t="s">
        <v>7505</v>
      </c>
      <c r="B4132" s="1" t="s">
        <v>7506</v>
      </c>
      <c r="C4132" s="1">
        <v>30300000</v>
      </c>
      <c r="D4132" s="1" t="s">
        <v>29</v>
      </c>
      <c r="E4132">
        <v>92.879900000000006</v>
      </c>
      <c r="F4132" s="1" t="s">
        <v>156</v>
      </c>
      <c r="G4132">
        <v>130</v>
      </c>
      <c r="H4132">
        <v>65</v>
      </c>
      <c r="I4132" s="1" t="s">
        <v>4065</v>
      </c>
      <c r="J4132">
        <v>2</v>
      </c>
      <c r="K4132" t="str">
        <f>IF(Tb_data[[#This Row],[previous_workers]]&lt;Tb_data[[#This Row],[workers]],"yes","no")</f>
        <v>yes</v>
      </c>
      <c r="L4132">
        <f>Tb_data[[#This Row],[workers]]-Tb_data[[#This Row],[previous_workers]]</f>
        <v>65</v>
      </c>
      <c r="M4132" s="12">
        <f>Tb_data[[#This Row],[Employees Growth]]/Tb_data[[#This Row],[previous_workers]]</f>
        <v>1</v>
      </c>
    </row>
    <row r="4133" spans="1:13" x14ac:dyDescent="0.25">
      <c r="A4133" s="1" t="s">
        <v>6415</v>
      </c>
      <c r="B4133" s="1" t="s">
        <v>6416</v>
      </c>
      <c r="C4133" s="1">
        <v>74300000</v>
      </c>
      <c r="D4133" s="1" t="s">
        <v>49</v>
      </c>
      <c r="E4133">
        <v>115.94329999999999</v>
      </c>
      <c r="F4133" s="1" t="s">
        <v>176</v>
      </c>
      <c r="G4133">
        <v>12</v>
      </c>
      <c r="H4133">
        <v>6</v>
      </c>
      <c r="I4133" s="1" t="s">
        <v>74</v>
      </c>
      <c r="J4133">
        <v>3</v>
      </c>
      <c r="K4133" t="str">
        <f>IF(Tb_data[[#This Row],[previous_workers]]&lt;Tb_data[[#This Row],[workers]],"yes","no")</f>
        <v>yes</v>
      </c>
      <c r="L4133">
        <f>Tb_data[[#This Row],[workers]]-Tb_data[[#This Row],[previous_workers]]</f>
        <v>6</v>
      </c>
      <c r="M4133" s="12">
        <f>Tb_data[[#This Row],[Employees Growth]]/Tb_data[[#This Row],[previous_workers]]</f>
        <v>1</v>
      </c>
    </row>
    <row r="4134" spans="1:13" x14ac:dyDescent="0.25">
      <c r="A4134" s="1" t="s">
        <v>1872</v>
      </c>
      <c r="B4134" s="1" t="s">
        <v>1873</v>
      </c>
      <c r="C4134" s="1">
        <v>56400000</v>
      </c>
      <c r="D4134" s="1" t="s">
        <v>33</v>
      </c>
      <c r="E4134">
        <v>482.59550000000002</v>
      </c>
      <c r="F4134" s="1" t="s">
        <v>42</v>
      </c>
      <c r="G4134">
        <v>990</v>
      </c>
      <c r="H4134">
        <v>100</v>
      </c>
      <c r="I4134" s="1" t="s">
        <v>164</v>
      </c>
      <c r="J4134">
        <v>7</v>
      </c>
      <c r="K4134" t="str">
        <f>IF(Tb_data[[#This Row],[previous_workers]]&lt;Tb_data[[#This Row],[workers]],"yes","no")</f>
        <v>yes</v>
      </c>
      <c r="L4134">
        <f>Tb_data[[#This Row],[workers]]-Tb_data[[#This Row],[previous_workers]]</f>
        <v>890</v>
      </c>
      <c r="M4134" s="12">
        <f>Tb_data[[#This Row],[Employees Growth]]/Tb_data[[#This Row],[previous_workers]]</f>
        <v>8.9</v>
      </c>
    </row>
    <row r="4135" spans="1:13" x14ac:dyDescent="0.25">
      <c r="A4135" s="1" t="s">
        <v>8217</v>
      </c>
      <c r="B4135" s="1" t="s">
        <v>8218</v>
      </c>
      <c r="C4135" s="1">
        <v>77900000</v>
      </c>
      <c r="D4135" s="1" t="s">
        <v>29</v>
      </c>
      <c r="E4135">
        <v>79.269199999999998</v>
      </c>
      <c r="F4135" s="1" t="s">
        <v>12</v>
      </c>
      <c r="G4135">
        <v>298</v>
      </c>
      <c r="H4135">
        <v>135</v>
      </c>
      <c r="I4135" s="1" t="s">
        <v>1411</v>
      </c>
      <c r="J4135">
        <v>12</v>
      </c>
      <c r="K4135" t="str">
        <f>IF(Tb_data[[#This Row],[previous_workers]]&lt;Tb_data[[#This Row],[workers]],"yes","no")</f>
        <v>yes</v>
      </c>
      <c r="L4135">
        <f>Tb_data[[#This Row],[workers]]-Tb_data[[#This Row],[previous_workers]]</f>
        <v>163</v>
      </c>
      <c r="M4135" s="12">
        <f>Tb_data[[#This Row],[Employees Growth]]/Tb_data[[#This Row],[previous_workers]]</f>
        <v>1.2074074074074075</v>
      </c>
    </row>
    <row r="4136" spans="1:13" x14ac:dyDescent="0.25">
      <c r="A4136" s="1" t="s">
        <v>6137</v>
      </c>
      <c r="B4136" s="1" t="s">
        <v>6138</v>
      </c>
      <c r="C4136" s="1">
        <v>31000000</v>
      </c>
      <c r="D4136" s="1" t="s">
        <v>11</v>
      </c>
      <c r="E4136">
        <v>122.89279999999999</v>
      </c>
      <c r="F4136" s="1" t="s">
        <v>17</v>
      </c>
      <c r="G4136">
        <v>46</v>
      </c>
      <c r="H4136">
        <v>15</v>
      </c>
      <c r="I4136" s="1" t="s">
        <v>130</v>
      </c>
      <c r="J4136">
        <v>3</v>
      </c>
      <c r="K4136" t="str">
        <f>IF(Tb_data[[#This Row],[previous_workers]]&lt;Tb_data[[#This Row],[workers]],"yes","no")</f>
        <v>yes</v>
      </c>
      <c r="L4136">
        <f>Tb_data[[#This Row],[workers]]-Tb_data[[#This Row],[previous_workers]]</f>
        <v>31</v>
      </c>
      <c r="M4136" s="12">
        <f>Tb_data[[#This Row],[Employees Growth]]/Tb_data[[#This Row],[previous_workers]]</f>
        <v>2.0666666666666669</v>
      </c>
    </row>
    <row r="4137" spans="1:13" x14ac:dyDescent="0.25">
      <c r="A4137" s="1" t="s">
        <v>5584</v>
      </c>
      <c r="B4137" s="1" t="s">
        <v>5585</v>
      </c>
      <c r="C4137" s="1">
        <v>44800000</v>
      </c>
      <c r="D4137" s="1" t="s">
        <v>29</v>
      </c>
      <c r="E4137">
        <v>138.827</v>
      </c>
      <c r="F4137" s="1" t="s">
        <v>100</v>
      </c>
      <c r="G4137">
        <v>62</v>
      </c>
      <c r="H4137">
        <v>16</v>
      </c>
      <c r="I4137" s="1" t="s">
        <v>46</v>
      </c>
      <c r="J4137">
        <v>5</v>
      </c>
      <c r="K4137" t="str">
        <f>IF(Tb_data[[#This Row],[previous_workers]]&lt;Tb_data[[#This Row],[workers]],"yes","no")</f>
        <v>yes</v>
      </c>
      <c r="L4137">
        <f>Tb_data[[#This Row],[workers]]-Tb_data[[#This Row],[previous_workers]]</f>
        <v>46</v>
      </c>
      <c r="M4137" s="12">
        <f>Tb_data[[#This Row],[Employees Growth]]/Tb_data[[#This Row],[previous_workers]]</f>
        <v>2.875</v>
      </c>
    </row>
    <row r="4138" spans="1:13" x14ac:dyDescent="0.25">
      <c r="A4138" s="1" t="s">
        <v>2016</v>
      </c>
      <c r="B4138" s="1" t="s">
        <v>2017</v>
      </c>
      <c r="C4138" s="1">
        <v>2400000</v>
      </c>
      <c r="D4138" s="1" t="s">
        <v>58</v>
      </c>
      <c r="E4138">
        <v>445.29059999999998</v>
      </c>
      <c r="F4138" s="1" t="s">
        <v>12</v>
      </c>
      <c r="G4138">
        <v>24</v>
      </c>
      <c r="H4138">
        <v>2</v>
      </c>
      <c r="I4138" s="1" t="s">
        <v>26</v>
      </c>
      <c r="J4138">
        <v>2</v>
      </c>
      <c r="K4138" t="str">
        <f>IF(Tb_data[[#This Row],[previous_workers]]&lt;Tb_data[[#This Row],[workers]],"yes","no")</f>
        <v>yes</v>
      </c>
      <c r="L4138">
        <f>Tb_data[[#This Row],[workers]]-Tb_data[[#This Row],[previous_workers]]</f>
        <v>22</v>
      </c>
      <c r="M4138" s="12">
        <f>Tb_data[[#This Row],[Employees Growth]]/Tb_data[[#This Row],[previous_workers]]</f>
        <v>11</v>
      </c>
    </row>
    <row r="4139" spans="1:13" x14ac:dyDescent="0.25">
      <c r="A4139" s="1" t="s">
        <v>9361</v>
      </c>
      <c r="B4139" s="1" t="s">
        <v>9362</v>
      </c>
      <c r="C4139" s="1">
        <v>7800000</v>
      </c>
      <c r="D4139" s="1" t="s">
        <v>33</v>
      </c>
      <c r="E4139">
        <v>61.977699999999999</v>
      </c>
      <c r="F4139" s="1" t="s">
        <v>12</v>
      </c>
      <c r="G4139">
        <v>25</v>
      </c>
      <c r="H4139">
        <v>15</v>
      </c>
      <c r="I4139" s="1" t="s">
        <v>2407</v>
      </c>
      <c r="J4139">
        <v>5</v>
      </c>
      <c r="K4139" t="str">
        <f>IF(Tb_data[[#This Row],[previous_workers]]&lt;Tb_data[[#This Row],[workers]],"yes","no")</f>
        <v>yes</v>
      </c>
      <c r="L4139">
        <f>Tb_data[[#This Row],[workers]]-Tb_data[[#This Row],[previous_workers]]</f>
        <v>10</v>
      </c>
      <c r="M4139" s="12">
        <f>Tb_data[[#This Row],[Employees Growth]]/Tb_data[[#This Row],[previous_workers]]</f>
        <v>0.66666666666666663</v>
      </c>
    </row>
    <row r="4140" spans="1:13" x14ac:dyDescent="0.25">
      <c r="A4140" s="1" t="s">
        <v>2238</v>
      </c>
      <c r="B4140" s="1" t="s">
        <v>2240</v>
      </c>
      <c r="C4140" s="1">
        <v>7500000</v>
      </c>
      <c r="D4140" s="1" t="s">
        <v>33</v>
      </c>
      <c r="E4140">
        <v>393.77640000000002</v>
      </c>
      <c r="F4140" s="1" t="s">
        <v>30</v>
      </c>
      <c r="G4140">
        <v>17</v>
      </c>
      <c r="H4140">
        <v>10</v>
      </c>
      <c r="I4140" s="1" t="s">
        <v>164</v>
      </c>
      <c r="J4140">
        <v>3</v>
      </c>
      <c r="K4140" t="str">
        <f>IF(Tb_data[[#This Row],[previous_workers]]&lt;Tb_data[[#This Row],[workers]],"yes","no")</f>
        <v>yes</v>
      </c>
      <c r="L4140">
        <f>Tb_data[[#This Row],[workers]]-Tb_data[[#This Row],[previous_workers]]</f>
        <v>7</v>
      </c>
      <c r="M4140" s="12">
        <f>Tb_data[[#This Row],[Employees Growth]]/Tb_data[[#This Row],[previous_workers]]</f>
        <v>0.7</v>
      </c>
    </row>
    <row r="4141" spans="1:13" x14ac:dyDescent="0.25">
      <c r="A4141" s="1" t="s">
        <v>2488</v>
      </c>
      <c r="B4141" s="1" t="s">
        <v>2489</v>
      </c>
      <c r="C4141" s="1">
        <v>4300000</v>
      </c>
      <c r="D4141" s="1" t="s">
        <v>895</v>
      </c>
      <c r="E4141">
        <v>349.27190000000002</v>
      </c>
      <c r="F4141" s="1" t="s">
        <v>176</v>
      </c>
      <c r="G4141">
        <v>27</v>
      </c>
      <c r="H4141">
        <v>11</v>
      </c>
      <c r="I4141" s="1" t="s">
        <v>35</v>
      </c>
      <c r="J4141">
        <v>1</v>
      </c>
      <c r="K4141" t="str">
        <f>IF(Tb_data[[#This Row],[previous_workers]]&lt;Tb_data[[#This Row],[workers]],"yes","no")</f>
        <v>yes</v>
      </c>
      <c r="L4141">
        <f>Tb_data[[#This Row],[workers]]-Tb_data[[#This Row],[previous_workers]]</f>
        <v>16</v>
      </c>
      <c r="M4141" s="12">
        <f>Tb_data[[#This Row],[Employees Growth]]/Tb_data[[#This Row],[previous_workers]]</f>
        <v>1.4545454545454546</v>
      </c>
    </row>
    <row r="4142" spans="1:13" x14ac:dyDescent="0.25">
      <c r="A4142" s="1" t="s">
        <v>8795</v>
      </c>
      <c r="B4142" s="1" t="s">
        <v>8796</v>
      </c>
      <c r="C4142" s="1">
        <v>6100000</v>
      </c>
      <c r="D4142" s="1" t="s">
        <v>49</v>
      </c>
      <c r="E4142">
        <v>69.517099999999999</v>
      </c>
      <c r="F4142" s="1" t="s">
        <v>176</v>
      </c>
      <c r="G4142">
        <v>135</v>
      </c>
      <c r="H4142">
        <v>80</v>
      </c>
      <c r="I4142" s="1" t="s">
        <v>1051</v>
      </c>
      <c r="J4142">
        <v>4</v>
      </c>
      <c r="K4142" t="str">
        <f>IF(Tb_data[[#This Row],[previous_workers]]&lt;Tb_data[[#This Row],[workers]],"yes","no")</f>
        <v>yes</v>
      </c>
      <c r="L4142">
        <f>Tb_data[[#This Row],[workers]]-Tb_data[[#This Row],[previous_workers]]</f>
        <v>55</v>
      </c>
      <c r="M4142" s="12">
        <f>Tb_data[[#This Row],[Employees Growth]]/Tb_data[[#This Row],[previous_workers]]</f>
        <v>0.6875</v>
      </c>
    </row>
    <row r="4143" spans="1:13" x14ac:dyDescent="0.25">
      <c r="A4143" s="1" t="s">
        <v>3439</v>
      </c>
      <c r="B4143" s="1" t="s">
        <v>3440</v>
      </c>
      <c r="C4143" s="1">
        <v>17400000</v>
      </c>
      <c r="D4143" s="1" t="s">
        <v>61</v>
      </c>
      <c r="E4143">
        <v>247.85239999999999</v>
      </c>
      <c r="F4143" s="1" t="s">
        <v>86</v>
      </c>
      <c r="G4143">
        <v>73</v>
      </c>
      <c r="H4143">
        <v>31</v>
      </c>
      <c r="I4143" s="1" t="s">
        <v>26</v>
      </c>
      <c r="J4143">
        <v>2</v>
      </c>
      <c r="K4143" t="str">
        <f>IF(Tb_data[[#This Row],[previous_workers]]&lt;Tb_data[[#This Row],[workers]],"yes","no")</f>
        <v>yes</v>
      </c>
      <c r="L4143">
        <f>Tb_data[[#This Row],[workers]]-Tb_data[[#This Row],[previous_workers]]</f>
        <v>42</v>
      </c>
      <c r="M4143" s="12">
        <f>Tb_data[[#This Row],[Employees Growth]]/Tb_data[[#This Row],[previous_workers]]</f>
        <v>1.3548387096774193</v>
      </c>
    </row>
    <row r="4144" spans="1:13" x14ac:dyDescent="0.25">
      <c r="A4144" s="1" t="s">
        <v>5662</v>
      </c>
      <c r="B4144" s="1" t="s">
        <v>5663</v>
      </c>
      <c r="C4144" s="1">
        <v>1700000000</v>
      </c>
      <c r="D4144" s="1" t="s">
        <v>20</v>
      </c>
      <c r="E4144">
        <v>135.65219999999999</v>
      </c>
      <c r="F4144" s="1" t="s">
        <v>94</v>
      </c>
      <c r="G4144">
        <v>6941</v>
      </c>
      <c r="H4144">
        <v>3715</v>
      </c>
      <c r="I4144" s="1" t="s">
        <v>948</v>
      </c>
      <c r="J4144">
        <v>10</v>
      </c>
      <c r="K4144" t="str">
        <f>IF(Tb_data[[#This Row],[previous_workers]]&lt;Tb_data[[#This Row],[workers]],"yes","no")</f>
        <v>yes</v>
      </c>
      <c r="L4144">
        <f>Tb_data[[#This Row],[workers]]-Tb_data[[#This Row],[previous_workers]]</f>
        <v>3226</v>
      </c>
      <c r="M4144" s="12">
        <f>Tb_data[[#This Row],[Employees Growth]]/Tb_data[[#This Row],[previous_workers]]</f>
        <v>0.868371467025572</v>
      </c>
    </row>
    <row r="4145" spans="1:13" x14ac:dyDescent="0.25">
      <c r="A4145" s="1" t="s">
        <v>2520</v>
      </c>
      <c r="B4145" s="1" t="s">
        <v>2521</v>
      </c>
      <c r="C4145" s="1">
        <v>2400000</v>
      </c>
      <c r="D4145" s="1" t="s">
        <v>91</v>
      </c>
      <c r="E4145">
        <v>343.089</v>
      </c>
      <c r="F4145" s="1" t="s">
        <v>176</v>
      </c>
      <c r="G4145">
        <v>22</v>
      </c>
      <c r="H4145">
        <v>2</v>
      </c>
      <c r="I4145" s="1" t="s">
        <v>13</v>
      </c>
      <c r="J4145">
        <v>1</v>
      </c>
      <c r="K4145" t="str">
        <f>IF(Tb_data[[#This Row],[previous_workers]]&lt;Tb_data[[#This Row],[workers]],"yes","no")</f>
        <v>yes</v>
      </c>
      <c r="L4145">
        <f>Tb_data[[#This Row],[workers]]-Tb_data[[#This Row],[previous_workers]]</f>
        <v>20</v>
      </c>
      <c r="M4145" s="12">
        <f>Tb_data[[#This Row],[Employees Growth]]/Tb_data[[#This Row],[previous_workers]]</f>
        <v>10</v>
      </c>
    </row>
    <row r="4146" spans="1:13" x14ac:dyDescent="0.25">
      <c r="A4146" s="1" t="s">
        <v>4832</v>
      </c>
      <c r="B4146" s="1" t="s">
        <v>4833</v>
      </c>
      <c r="C4146" s="1">
        <v>5900000</v>
      </c>
      <c r="D4146" s="1" t="s">
        <v>387</v>
      </c>
      <c r="E4146">
        <v>168.83109999999999</v>
      </c>
      <c r="F4146" s="1" t="s">
        <v>176</v>
      </c>
      <c r="G4146">
        <v>116</v>
      </c>
      <c r="H4146">
        <v>52</v>
      </c>
      <c r="I4146" s="1" t="s">
        <v>26</v>
      </c>
      <c r="J4146">
        <v>2</v>
      </c>
      <c r="K4146" t="str">
        <f>IF(Tb_data[[#This Row],[previous_workers]]&lt;Tb_data[[#This Row],[workers]],"yes","no")</f>
        <v>yes</v>
      </c>
      <c r="L4146">
        <f>Tb_data[[#This Row],[workers]]-Tb_data[[#This Row],[previous_workers]]</f>
        <v>64</v>
      </c>
      <c r="M4146" s="12">
        <f>Tb_data[[#This Row],[Employees Growth]]/Tb_data[[#This Row],[previous_workers]]</f>
        <v>1.2307692307692308</v>
      </c>
    </row>
    <row r="4147" spans="1:13" x14ac:dyDescent="0.25">
      <c r="A4147" s="1" t="s">
        <v>7925</v>
      </c>
      <c r="B4147" s="1" t="s">
        <v>7926</v>
      </c>
      <c r="C4147" s="1">
        <v>4200000</v>
      </c>
      <c r="D4147" s="1" t="s">
        <v>129</v>
      </c>
      <c r="E4147">
        <v>84.352900000000005</v>
      </c>
      <c r="F4147" s="1" t="s">
        <v>34</v>
      </c>
      <c r="G4147">
        <v>40</v>
      </c>
      <c r="H4147">
        <v>14</v>
      </c>
      <c r="I4147" s="1" t="s">
        <v>55</v>
      </c>
      <c r="J4147">
        <v>3</v>
      </c>
      <c r="K4147" t="str">
        <f>IF(Tb_data[[#This Row],[previous_workers]]&lt;Tb_data[[#This Row],[workers]],"yes","no")</f>
        <v>yes</v>
      </c>
      <c r="L4147">
        <f>Tb_data[[#This Row],[workers]]-Tb_data[[#This Row],[previous_workers]]</f>
        <v>26</v>
      </c>
      <c r="M4147" s="12">
        <f>Tb_data[[#This Row],[Employees Growth]]/Tb_data[[#This Row],[previous_workers]]</f>
        <v>1.8571428571428572</v>
      </c>
    </row>
    <row r="4148" spans="1:13" x14ac:dyDescent="0.25">
      <c r="A4148" s="1" t="s">
        <v>3185</v>
      </c>
      <c r="B4148" s="1" t="s">
        <v>3186</v>
      </c>
      <c r="C4148" s="1">
        <v>3300000</v>
      </c>
      <c r="D4148" s="1" t="s">
        <v>38</v>
      </c>
      <c r="E4148">
        <v>269.76900000000001</v>
      </c>
      <c r="F4148" s="1" t="s">
        <v>25</v>
      </c>
      <c r="G4148">
        <v>39</v>
      </c>
      <c r="H4148">
        <v>8</v>
      </c>
      <c r="I4148" s="1" t="s">
        <v>74</v>
      </c>
      <c r="J4148">
        <v>1</v>
      </c>
      <c r="K4148" t="str">
        <f>IF(Tb_data[[#This Row],[previous_workers]]&lt;Tb_data[[#This Row],[workers]],"yes","no")</f>
        <v>yes</v>
      </c>
      <c r="L4148">
        <f>Tb_data[[#This Row],[workers]]-Tb_data[[#This Row],[previous_workers]]</f>
        <v>31</v>
      </c>
      <c r="M4148" s="12">
        <f>Tb_data[[#This Row],[Employees Growth]]/Tb_data[[#This Row],[previous_workers]]</f>
        <v>3.875</v>
      </c>
    </row>
    <row r="4149" spans="1:13" x14ac:dyDescent="0.25">
      <c r="A4149" s="1" t="s">
        <v>4238</v>
      </c>
      <c r="B4149" s="1" t="s">
        <v>4239</v>
      </c>
      <c r="C4149" s="1">
        <v>7700000</v>
      </c>
      <c r="D4149" s="1" t="s">
        <v>61</v>
      </c>
      <c r="E4149">
        <v>194.2989</v>
      </c>
      <c r="F4149" s="1" t="s">
        <v>124</v>
      </c>
      <c r="G4149">
        <v>35</v>
      </c>
      <c r="H4149">
        <v>10</v>
      </c>
      <c r="I4149" s="1" t="s">
        <v>117</v>
      </c>
      <c r="J4149">
        <v>1</v>
      </c>
      <c r="K4149" t="str">
        <f>IF(Tb_data[[#This Row],[previous_workers]]&lt;Tb_data[[#This Row],[workers]],"yes","no")</f>
        <v>yes</v>
      </c>
      <c r="L4149">
        <f>Tb_data[[#This Row],[workers]]-Tb_data[[#This Row],[previous_workers]]</f>
        <v>25</v>
      </c>
      <c r="M4149" s="12">
        <f>Tb_data[[#This Row],[Employees Growth]]/Tb_data[[#This Row],[previous_workers]]</f>
        <v>2.5</v>
      </c>
    </row>
    <row r="4150" spans="1:13" x14ac:dyDescent="0.25">
      <c r="A4150" s="1" t="s">
        <v>2917</v>
      </c>
      <c r="B4150" s="1" t="s">
        <v>2918</v>
      </c>
      <c r="C4150" s="1">
        <v>14600000</v>
      </c>
      <c r="D4150" s="1" t="s">
        <v>69</v>
      </c>
      <c r="E4150">
        <v>296.20139999999998</v>
      </c>
      <c r="F4150" s="1" t="s">
        <v>112</v>
      </c>
      <c r="G4150">
        <v>51</v>
      </c>
      <c r="H4150">
        <v>14</v>
      </c>
      <c r="I4150" s="1" t="s">
        <v>164</v>
      </c>
      <c r="J4150">
        <v>1</v>
      </c>
      <c r="K4150" t="str">
        <f>IF(Tb_data[[#This Row],[previous_workers]]&lt;Tb_data[[#This Row],[workers]],"yes","no")</f>
        <v>yes</v>
      </c>
      <c r="L4150">
        <f>Tb_data[[#This Row],[workers]]-Tb_data[[#This Row],[previous_workers]]</f>
        <v>37</v>
      </c>
      <c r="M4150" s="12">
        <f>Tb_data[[#This Row],[Employees Growth]]/Tb_data[[#This Row],[previous_workers]]</f>
        <v>2.6428571428571428</v>
      </c>
    </row>
    <row r="4151" spans="1:13" x14ac:dyDescent="0.25">
      <c r="A4151" s="1" t="s">
        <v>7126</v>
      </c>
      <c r="B4151" s="1" t="s">
        <v>7127</v>
      </c>
      <c r="C4151" s="1">
        <v>6200000</v>
      </c>
      <c r="D4151" s="1" t="s">
        <v>422</v>
      </c>
      <c r="E4151">
        <v>99.754000000000005</v>
      </c>
      <c r="F4151" s="1" t="s">
        <v>124</v>
      </c>
      <c r="G4151">
        <v>13</v>
      </c>
      <c r="H4151">
        <v>9</v>
      </c>
      <c r="I4151" s="1" t="s">
        <v>164</v>
      </c>
      <c r="J4151">
        <v>3</v>
      </c>
      <c r="K4151" t="str">
        <f>IF(Tb_data[[#This Row],[previous_workers]]&lt;Tb_data[[#This Row],[workers]],"yes","no")</f>
        <v>yes</v>
      </c>
      <c r="L4151">
        <f>Tb_data[[#This Row],[workers]]-Tb_data[[#This Row],[previous_workers]]</f>
        <v>4</v>
      </c>
      <c r="M4151" s="12">
        <f>Tb_data[[#This Row],[Employees Growth]]/Tb_data[[#This Row],[previous_workers]]</f>
        <v>0.44444444444444442</v>
      </c>
    </row>
    <row r="4152" spans="1:13" x14ac:dyDescent="0.25">
      <c r="A4152" s="1" t="s">
        <v>5538</v>
      </c>
      <c r="B4152" s="1" t="s">
        <v>5539</v>
      </c>
      <c r="C4152" s="1">
        <v>83900000</v>
      </c>
      <c r="D4152" s="1" t="s">
        <v>2568</v>
      </c>
      <c r="E4152">
        <v>141.1902</v>
      </c>
      <c r="F4152" s="1" t="s">
        <v>97</v>
      </c>
      <c r="G4152">
        <v>153</v>
      </c>
      <c r="H4152">
        <v>86</v>
      </c>
      <c r="I4152" s="1" t="s">
        <v>1949</v>
      </c>
      <c r="J4152">
        <v>6</v>
      </c>
      <c r="K4152" t="str">
        <f>IF(Tb_data[[#This Row],[previous_workers]]&lt;Tb_data[[#This Row],[workers]],"yes","no")</f>
        <v>yes</v>
      </c>
      <c r="L4152">
        <f>Tb_data[[#This Row],[workers]]-Tb_data[[#This Row],[previous_workers]]</f>
        <v>67</v>
      </c>
      <c r="M4152" s="12">
        <f>Tb_data[[#This Row],[Employees Growth]]/Tb_data[[#This Row],[previous_workers]]</f>
        <v>0.77906976744186052</v>
      </c>
    </row>
    <row r="4153" spans="1:13" x14ac:dyDescent="0.25">
      <c r="A4153" s="1" t="s">
        <v>4709</v>
      </c>
      <c r="B4153" s="1" t="s">
        <v>4710</v>
      </c>
      <c r="C4153" s="1">
        <v>4000000</v>
      </c>
      <c r="D4153" s="1" t="s">
        <v>20</v>
      </c>
      <c r="E4153">
        <v>174.07149999999999</v>
      </c>
      <c r="F4153" s="1" t="s">
        <v>142</v>
      </c>
      <c r="G4153">
        <v>40</v>
      </c>
      <c r="H4153">
        <v>19</v>
      </c>
      <c r="I4153" s="1" t="s">
        <v>164</v>
      </c>
      <c r="J4153">
        <v>2</v>
      </c>
      <c r="K4153" t="str">
        <f>IF(Tb_data[[#This Row],[previous_workers]]&lt;Tb_data[[#This Row],[workers]],"yes","no")</f>
        <v>yes</v>
      </c>
      <c r="L4153">
        <f>Tb_data[[#This Row],[workers]]-Tb_data[[#This Row],[previous_workers]]</f>
        <v>21</v>
      </c>
      <c r="M4153" s="12">
        <f>Tb_data[[#This Row],[Employees Growth]]/Tb_data[[#This Row],[previous_workers]]</f>
        <v>1.1052631578947369</v>
      </c>
    </row>
    <row r="4154" spans="1:13" x14ac:dyDescent="0.25">
      <c r="A4154" s="1" t="s">
        <v>3649</v>
      </c>
      <c r="B4154" s="1" t="s">
        <v>3650</v>
      </c>
      <c r="C4154" s="1">
        <v>6800000</v>
      </c>
      <c r="D4154" s="1" t="s">
        <v>49</v>
      </c>
      <c r="E4154">
        <v>230.9237</v>
      </c>
      <c r="F4154" s="1" t="s">
        <v>12</v>
      </c>
      <c r="G4154">
        <v>52</v>
      </c>
      <c r="H4154">
        <v>18</v>
      </c>
      <c r="I4154" s="1" t="s">
        <v>130</v>
      </c>
      <c r="J4154">
        <v>3</v>
      </c>
      <c r="K4154" t="str">
        <f>IF(Tb_data[[#This Row],[previous_workers]]&lt;Tb_data[[#This Row],[workers]],"yes","no")</f>
        <v>yes</v>
      </c>
      <c r="L4154">
        <f>Tb_data[[#This Row],[workers]]-Tb_data[[#This Row],[previous_workers]]</f>
        <v>34</v>
      </c>
      <c r="M4154" s="12">
        <f>Tb_data[[#This Row],[Employees Growth]]/Tb_data[[#This Row],[previous_workers]]</f>
        <v>1.8888888888888888</v>
      </c>
    </row>
    <row r="4155" spans="1:13" x14ac:dyDescent="0.25">
      <c r="A4155" s="1" t="s">
        <v>9580</v>
      </c>
      <c r="B4155" s="1" t="s">
        <v>9581</v>
      </c>
      <c r="C4155" s="1">
        <v>257200000</v>
      </c>
      <c r="D4155" s="1" t="s">
        <v>20</v>
      </c>
      <c r="E4155">
        <v>59.363300000000002</v>
      </c>
      <c r="F4155" s="1" t="s">
        <v>21</v>
      </c>
      <c r="G4155">
        <v>5350</v>
      </c>
      <c r="H4155">
        <v>3375</v>
      </c>
      <c r="I4155" s="1" t="s">
        <v>1622</v>
      </c>
      <c r="J4155">
        <v>4</v>
      </c>
      <c r="K4155" t="str">
        <f>IF(Tb_data[[#This Row],[previous_workers]]&lt;Tb_data[[#This Row],[workers]],"yes","no")</f>
        <v>yes</v>
      </c>
      <c r="L4155">
        <f>Tb_data[[#This Row],[workers]]-Tb_data[[#This Row],[previous_workers]]</f>
        <v>1975</v>
      </c>
      <c r="M4155" s="12">
        <f>Tb_data[[#This Row],[Employees Growth]]/Tb_data[[#This Row],[previous_workers]]</f>
        <v>0.58518518518518514</v>
      </c>
    </row>
    <row r="4156" spans="1:13" x14ac:dyDescent="0.25">
      <c r="A4156" s="1" t="s">
        <v>5860</v>
      </c>
      <c r="B4156" s="1" t="s">
        <v>5861</v>
      </c>
      <c r="C4156" s="1">
        <v>3400000</v>
      </c>
      <c r="D4156" s="1" t="s">
        <v>33</v>
      </c>
      <c r="E4156">
        <v>129.94069999999999</v>
      </c>
      <c r="F4156" s="1" t="s">
        <v>12</v>
      </c>
      <c r="G4156">
        <v>24</v>
      </c>
      <c r="H4156">
        <v>15</v>
      </c>
      <c r="I4156" s="1" t="s">
        <v>194</v>
      </c>
      <c r="J4156">
        <v>1</v>
      </c>
      <c r="K4156" t="str">
        <f>IF(Tb_data[[#This Row],[previous_workers]]&lt;Tb_data[[#This Row],[workers]],"yes","no")</f>
        <v>yes</v>
      </c>
      <c r="L4156">
        <f>Tb_data[[#This Row],[workers]]-Tb_data[[#This Row],[previous_workers]]</f>
        <v>9</v>
      </c>
      <c r="M4156" s="12">
        <f>Tb_data[[#This Row],[Employees Growth]]/Tb_data[[#This Row],[previous_workers]]</f>
        <v>0.6</v>
      </c>
    </row>
    <row r="4157" spans="1:13" x14ac:dyDescent="0.25">
      <c r="A4157" s="1" t="s">
        <v>1633</v>
      </c>
      <c r="B4157" s="1" t="s">
        <v>1634</v>
      </c>
      <c r="C4157" s="1">
        <v>3400000</v>
      </c>
      <c r="D4157" s="1" t="s">
        <v>85</v>
      </c>
      <c r="E4157">
        <v>569.58699999999999</v>
      </c>
      <c r="F4157" s="1" t="s">
        <v>310</v>
      </c>
      <c r="G4157">
        <v>43</v>
      </c>
      <c r="H4157">
        <v>10</v>
      </c>
      <c r="I4157" s="1" t="s">
        <v>55</v>
      </c>
      <c r="J4157">
        <v>2</v>
      </c>
      <c r="K4157" t="str">
        <f>IF(Tb_data[[#This Row],[previous_workers]]&lt;Tb_data[[#This Row],[workers]],"yes","no")</f>
        <v>yes</v>
      </c>
      <c r="L4157">
        <f>Tb_data[[#This Row],[workers]]-Tb_data[[#This Row],[previous_workers]]</f>
        <v>33</v>
      </c>
      <c r="M4157" s="12">
        <f>Tb_data[[#This Row],[Employees Growth]]/Tb_data[[#This Row],[previous_workers]]</f>
        <v>3.3</v>
      </c>
    </row>
    <row r="4158" spans="1:13" x14ac:dyDescent="0.25">
      <c r="A4158" s="1" t="s">
        <v>7959</v>
      </c>
      <c r="B4158" s="1" t="s">
        <v>7960</v>
      </c>
      <c r="C4158" s="1">
        <v>13900000</v>
      </c>
      <c r="D4158" s="1" t="s">
        <v>103</v>
      </c>
      <c r="E4158">
        <v>83.664599999999993</v>
      </c>
      <c r="F4158" s="1" t="s">
        <v>86</v>
      </c>
      <c r="G4158">
        <v>68</v>
      </c>
      <c r="H4158">
        <v>16</v>
      </c>
      <c r="I4158" s="1" t="s">
        <v>117</v>
      </c>
      <c r="J4158">
        <v>2</v>
      </c>
      <c r="K4158" t="str">
        <f>IF(Tb_data[[#This Row],[previous_workers]]&lt;Tb_data[[#This Row],[workers]],"yes","no")</f>
        <v>yes</v>
      </c>
      <c r="L4158">
        <f>Tb_data[[#This Row],[workers]]-Tb_data[[#This Row],[previous_workers]]</f>
        <v>52</v>
      </c>
      <c r="M4158" s="12">
        <f>Tb_data[[#This Row],[Employees Growth]]/Tb_data[[#This Row],[previous_workers]]</f>
        <v>3.25</v>
      </c>
    </row>
    <row r="4159" spans="1:13" x14ac:dyDescent="0.25">
      <c r="A4159" s="1" t="s">
        <v>6425</v>
      </c>
      <c r="B4159" s="1" t="s">
        <v>6426</v>
      </c>
      <c r="C4159" s="1">
        <v>2300000</v>
      </c>
      <c r="D4159" s="1" t="s">
        <v>895</v>
      </c>
      <c r="E4159">
        <v>115.7456</v>
      </c>
      <c r="F4159" s="1" t="s">
        <v>62</v>
      </c>
      <c r="G4159">
        <v>12</v>
      </c>
      <c r="H4159">
        <v>4</v>
      </c>
      <c r="I4159" s="1" t="s">
        <v>130</v>
      </c>
      <c r="J4159">
        <v>1</v>
      </c>
      <c r="K4159" t="str">
        <f>IF(Tb_data[[#This Row],[previous_workers]]&lt;Tb_data[[#This Row],[workers]],"yes","no")</f>
        <v>yes</v>
      </c>
      <c r="L4159">
        <f>Tb_data[[#This Row],[workers]]-Tb_data[[#This Row],[previous_workers]]</f>
        <v>8</v>
      </c>
      <c r="M4159" s="12">
        <f>Tb_data[[#This Row],[Employees Growth]]/Tb_data[[#This Row],[previous_workers]]</f>
        <v>2</v>
      </c>
    </row>
    <row r="4160" spans="1:13" x14ac:dyDescent="0.25">
      <c r="A4160" s="1" t="s">
        <v>2810</v>
      </c>
      <c r="B4160" s="1" t="s">
        <v>2811</v>
      </c>
      <c r="C4160" s="1">
        <v>10600000</v>
      </c>
      <c r="D4160" s="1" t="s">
        <v>49</v>
      </c>
      <c r="E4160">
        <v>307.4624</v>
      </c>
      <c r="F4160" s="1" t="s">
        <v>142</v>
      </c>
      <c r="G4160">
        <v>4</v>
      </c>
      <c r="H4160">
        <v>3</v>
      </c>
      <c r="I4160" s="1" t="s">
        <v>117</v>
      </c>
      <c r="J4160">
        <v>2</v>
      </c>
      <c r="K4160" t="str">
        <f>IF(Tb_data[[#This Row],[previous_workers]]&lt;Tb_data[[#This Row],[workers]],"yes","no")</f>
        <v>yes</v>
      </c>
      <c r="L4160">
        <f>Tb_data[[#This Row],[workers]]-Tb_data[[#This Row],[previous_workers]]</f>
        <v>1</v>
      </c>
      <c r="M4160" s="12">
        <f>Tb_data[[#This Row],[Employees Growth]]/Tb_data[[#This Row],[previous_workers]]</f>
        <v>0.33333333333333331</v>
      </c>
    </row>
    <row r="4161" spans="1:13" x14ac:dyDescent="0.25">
      <c r="A4161" s="1" t="s">
        <v>2050</v>
      </c>
      <c r="B4161" s="1" t="s">
        <v>2051</v>
      </c>
      <c r="C4161" s="1">
        <v>3100000</v>
      </c>
      <c r="D4161" s="1" t="s">
        <v>664</v>
      </c>
      <c r="E4161">
        <v>437.9545</v>
      </c>
      <c r="F4161" s="1" t="s">
        <v>100</v>
      </c>
      <c r="G4161">
        <v>10</v>
      </c>
      <c r="H4161">
        <v>5</v>
      </c>
      <c r="I4161" s="1" t="s">
        <v>130</v>
      </c>
      <c r="J4161">
        <v>1</v>
      </c>
      <c r="K4161" t="str">
        <f>IF(Tb_data[[#This Row],[previous_workers]]&lt;Tb_data[[#This Row],[workers]],"yes","no")</f>
        <v>yes</v>
      </c>
      <c r="L4161">
        <f>Tb_data[[#This Row],[workers]]-Tb_data[[#This Row],[previous_workers]]</f>
        <v>5</v>
      </c>
      <c r="M4161" s="12">
        <f>Tb_data[[#This Row],[Employees Growth]]/Tb_data[[#This Row],[previous_workers]]</f>
        <v>1</v>
      </c>
    </row>
    <row r="4162" spans="1:13" x14ac:dyDescent="0.25">
      <c r="A4162" s="1" t="s">
        <v>5148</v>
      </c>
      <c r="B4162" s="1" t="s">
        <v>5149</v>
      </c>
      <c r="C4162" s="1">
        <v>4800000</v>
      </c>
      <c r="D4162" s="1" t="s">
        <v>61</v>
      </c>
      <c r="E4162">
        <v>155.45699999999999</v>
      </c>
      <c r="F4162" s="1" t="s">
        <v>514</v>
      </c>
      <c r="G4162">
        <v>26</v>
      </c>
      <c r="H4162">
        <v>10</v>
      </c>
      <c r="I4162" s="1" t="s">
        <v>117</v>
      </c>
      <c r="J4162">
        <v>3</v>
      </c>
      <c r="K4162" t="str">
        <f>IF(Tb_data[[#This Row],[previous_workers]]&lt;Tb_data[[#This Row],[workers]],"yes","no")</f>
        <v>yes</v>
      </c>
      <c r="L4162">
        <f>Tb_data[[#This Row],[workers]]-Tb_data[[#This Row],[previous_workers]]</f>
        <v>16</v>
      </c>
      <c r="M4162" s="12">
        <f>Tb_data[[#This Row],[Employees Growth]]/Tb_data[[#This Row],[previous_workers]]</f>
        <v>1.6</v>
      </c>
    </row>
    <row r="4163" spans="1:13" x14ac:dyDescent="0.25">
      <c r="A4163" s="1" t="s">
        <v>5340</v>
      </c>
      <c r="B4163" s="1" t="s">
        <v>5341</v>
      </c>
      <c r="C4163" s="1">
        <v>4400000</v>
      </c>
      <c r="D4163" s="1" t="s">
        <v>427</v>
      </c>
      <c r="E4163">
        <v>148.21420000000001</v>
      </c>
      <c r="F4163" s="1" t="s">
        <v>62</v>
      </c>
      <c r="G4163">
        <v>35</v>
      </c>
      <c r="H4163">
        <v>26</v>
      </c>
      <c r="I4163" s="1" t="s">
        <v>229</v>
      </c>
      <c r="J4163">
        <v>3</v>
      </c>
      <c r="K4163" t="str">
        <f>IF(Tb_data[[#This Row],[previous_workers]]&lt;Tb_data[[#This Row],[workers]],"yes","no")</f>
        <v>yes</v>
      </c>
      <c r="L4163">
        <f>Tb_data[[#This Row],[workers]]-Tb_data[[#This Row],[previous_workers]]</f>
        <v>9</v>
      </c>
      <c r="M4163" s="12">
        <f>Tb_data[[#This Row],[Employees Growth]]/Tb_data[[#This Row],[previous_workers]]</f>
        <v>0.34615384615384615</v>
      </c>
    </row>
    <row r="4164" spans="1:13" x14ac:dyDescent="0.25">
      <c r="A4164" s="1" t="s">
        <v>9103</v>
      </c>
      <c r="B4164" s="1" t="s">
        <v>9104</v>
      </c>
      <c r="C4164" s="1">
        <v>9200000</v>
      </c>
      <c r="D4164" s="1" t="s">
        <v>52</v>
      </c>
      <c r="E4164">
        <v>65.396500000000003</v>
      </c>
      <c r="F4164" s="1" t="s">
        <v>62</v>
      </c>
      <c r="G4164">
        <v>55</v>
      </c>
      <c r="H4164">
        <v>40</v>
      </c>
      <c r="I4164" s="1" t="s">
        <v>229</v>
      </c>
      <c r="J4164">
        <v>2</v>
      </c>
      <c r="K4164" t="str">
        <f>IF(Tb_data[[#This Row],[previous_workers]]&lt;Tb_data[[#This Row],[workers]],"yes","no")</f>
        <v>yes</v>
      </c>
      <c r="L4164">
        <f>Tb_data[[#This Row],[workers]]-Tb_data[[#This Row],[previous_workers]]</f>
        <v>15</v>
      </c>
      <c r="M4164" s="12">
        <f>Tb_data[[#This Row],[Employees Growth]]/Tb_data[[#This Row],[previous_workers]]</f>
        <v>0.375</v>
      </c>
    </row>
    <row r="4165" spans="1:13" x14ac:dyDescent="0.25">
      <c r="A4165" s="1" t="s">
        <v>3931</v>
      </c>
      <c r="B4165" s="1" t="s">
        <v>3932</v>
      </c>
      <c r="C4165" s="1">
        <v>5800000</v>
      </c>
      <c r="D4165" s="1" t="s">
        <v>115</v>
      </c>
      <c r="E4165">
        <v>211.20689999999999</v>
      </c>
      <c r="F4165" s="1" t="s">
        <v>176</v>
      </c>
      <c r="G4165">
        <v>40</v>
      </c>
      <c r="H4165">
        <v>10</v>
      </c>
      <c r="I4165" s="1" t="s">
        <v>130</v>
      </c>
      <c r="J4165">
        <v>3</v>
      </c>
      <c r="K4165" t="str">
        <f>IF(Tb_data[[#This Row],[previous_workers]]&lt;Tb_data[[#This Row],[workers]],"yes","no")</f>
        <v>yes</v>
      </c>
      <c r="L4165">
        <f>Tb_data[[#This Row],[workers]]-Tb_data[[#This Row],[previous_workers]]</f>
        <v>30</v>
      </c>
      <c r="M4165" s="12">
        <f>Tb_data[[#This Row],[Employees Growth]]/Tb_data[[#This Row],[previous_workers]]</f>
        <v>3</v>
      </c>
    </row>
    <row r="4166" spans="1:13" x14ac:dyDescent="0.25">
      <c r="A4166" s="1" t="s">
        <v>2108</v>
      </c>
      <c r="B4166" s="1" t="s">
        <v>2109</v>
      </c>
      <c r="C4166" s="1">
        <v>5100000</v>
      </c>
      <c r="D4166" s="1" t="s">
        <v>91</v>
      </c>
      <c r="E4166">
        <v>424.44209999999998</v>
      </c>
      <c r="F4166" s="1" t="s">
        <v>42</v>
      </c>
      <c r="G4166">
        <v>12</v>
      </c>
      <c r="H4166">
        <v>2</v>
      </c>
      <c r="I4166" s="1" t="s">
        <v>229</v>
      </c>
      <c r="J4166">
        <v>2</v>
      </c>
      <c r="K4166" t="str">
        <f>IF(Tb_data[[#This Row],[previous_workers]]&lt;Tb_data[[#This Row],[workers]],"yes","no")</f>
        <v>yes</v>
      </c>
      <c r="L4166">
        <f>Tb_data[[#This Row],[workers]]-Tb_data[[#This Row],[previous_workers]]</f>
        <v>10</v>
      </c>
      <c r="M4166" s="12">
        <f>Tb_data[[#This Row],[Employees Growth]]/Tb_data[[#This Row],[previous_workers]]</f>
        <v>5</v>
      </c>
    </row>
    <row r="4167" spans="1:13" x14ac:dyDescent="0.25">
      <c r="A4167" s="1" t="s">
        <v>1487</v>
      </c>
      <c r="B4167" s="1" t="s">
        <v>1488</v>
      </c>
      <c r="C4167" s="1">
        <v>6600000</v>
      </c>
      <c r="D4167" s="1" t="s">
        <v>49</v>
      </c>
      <c r="E4167">
        <v>630.42169999999999</v>
      </c>
      <c r="F4167" s="1" t="s">
        <v>514</v>
      </c>
      <c r="G4167">
        <v>45</v>
      </c>
      <c r="H4167">
        <v>13</v>
      </c>
      <c r="I4167" s="1" t="s">
        <v>26</v>
      </c>
      <c r="J4167">
        <v>1</v>
      </c>
      <c r="K4167" t="str">
        <f>IF(Tb_data[[#This Row],[previous_workers]]&lt;Tb_data[[#This Row],[workers]],"yes","no")</f>
        <v>yes</v>
      </c>
      <c r="L4167">
        <f>Tb_data[[#This Row],[workers]]-Tb_data[[#This Row],[previous_workers]]</f>
        <v>32</v>
      </c>
      <c r="M4167" s="12">
        <f>Tb_data[[#This Row],[Employees Growth]]/Tb_data[[#This Row],[previous_workers]]</f>
        <v>2.4615384615384617</v>
      </c>
    </row>
    <row r="4168" spans="1:13" x14ac:dyDescent="0.25">
      <c r="A4168" s="1" t="s">
        <v>7635</v>
      </c>
      <c r="B4168" s="1" t="s">
        <v>7636</v>
      </c>
      <c r="C4168" s="1">
        <v>18300000</v>
      </c>
      <c r="D4168" s="1" t="s">
        <v>422</v>
      </c>
      <c r="E4168">
        <v>89.205699999999993</v>
      </c>
      <c r="F4168" s="1" t="s">
        <v>94</v>
      </c>
      <c r="G4168">
        <v>107</v>
      </c>
      <c r="H4168">
        <v>83</v>
      </c>
      <c r="I4168" s="1" t="s">
        <v>130</v>
      </c>
      <c r="J4168">
        <v>4</v>
      </c>
      <c r="K4168" t="str">
        <f>IF(Tb_data[[#This Row],[previous_workers]]&lt;Tb_data[[#This Row],[workers]],"yes","no")</f>
        <v>yes</v>
      </c>
      <c r="L4168">
        <f>Tb_data[[#This Row],[workers]]-Tb_data[[#This Row],[previous_workers]]</f>
        <v>24</v>
      </c>
      <c r="M4168" s="12">
        <f>Tb_data[[#This Row],[Employees Growth]]/Tb_data[[#This Row],[previous_workers]]</f>
        <v>0.28915662650602408</v>
      </c>
    </row>
    <row r="4169" spans="1:13" x14ac:dyDescent="0.25">
      <c r="A4169" s="1" t="s">
        <v>10068</v>
      </c>
      <c r="B4169" s="1" t="s">
        <v>10069</v>
      </c>
      <c r="C4169" s="1">
        <v>33800000</v>
      </c>
      <c r="D4169" s="1" t="s">
        <v>61</v>
      </c>
      <c r="E4169">
        <v>52.594700000000003</v>
      </c>
      <c r="F4169" s="1" t="s">
        <v>94</v>
      </c>
      <c r="G4169">
        <v>147</v>
      </c>
      <c r="H4169">
        <v>72</v>
      </c>
      <c r="I4169" s="1" t="s">
        <v>1051</v>
      </c>
      <c r="J4169">
        <v>4</v>
      </c>
      <c r="K4169" t="str">
        <f>IF(Tb_data[[#This Row],[previous_workers]]&lt;Tb_data[[#This Row],[workers]],"yes","no")</f>
        <v>yes</v>
      </c>
      <c r="L4169">
        <f>Tb_data[[#This Row],[workers]]-Tb_data[[#This Row],[previous_workers]]</f>
        <v>75</v>
      </c>
      <c r="M4169" s="12">
        <f>Tb_data[[#This Row],[Employees Growth]]/Tb_data[[#This Row],[previous_workers]]</f>
        <v>1.0416666666666667</v>
      </c>
    </row>
    <row r="4170" spans="1:13" x14ac:dyDescent="0.25">
      <c r="A4170" s="1" t="s">
        <v>9389</v>
      </c>
      <c r="B4170" s="1" t="s">
        <v>9390</v>
      </c>
      <c r="C4170" s="1">
        <v>11200000</v>
      </c>
      <c r="D4170" s="1" t="s">
        <v>33</v>
      </c>
      <c r="E4170">
        <v>61.601500000000001</v>
      </c>
      <c r="F4170" s="1" t="s">
        <v>112</v>
      </c>
      <c r="G4170">
        <v>70</v>
      </c>
      <c r="H4170">
        <v>45</v>
      </c>
      <c r="I4170" s="1" t="s">
        <v>147</v>
      </c>
      <c r="J4170">
        <v>2</v>
      </c>
      <c r="K4170" t="str">
        <f>IF(Tb_data[[#This Row],[previous_workers]]&lt;Tb_data[[#This Row],[workers]],"yes","no")</f>
        <v>yes</v>
      </c>
      <c r="L4170">
        <f>Tb_data[[#This Row],[workers]]-Tb_data[[#This Row],[previous_workers]]</f>
        <v>25</v>
      </c>
      <c r="M4170" s="12">
        <f>Tb_data[[#This Row],[Employees Growth]]/Tb_data[[#This Row],[previous_workers]]</f>
        <v>0.55555555555555558</v>
      </c>
    </row>
    <row r="4171" spans="1:13" x14ac:dyDescent="0.25">
      <c r="A4171" s="1" t="s">
        <v>2250</v>
      </c>
      <c r="B4171" s="1" t="s">
        <v>2251</v>
      </c>
      <c r="C4171" s="1">
        <v>21500000</v>
      </c>
      <c r="D4171" s="1" t="s">
        <v>49</v>
      </c>
      <c r="E4171">
        <v>393.25150000000002</v>
      </c>
      <c r="F4171" s="1" t="s">
        <v>12</v>
      </c>
      <c r="G4171">
        <v>22</v>
      </c>
      <c r="H4171">
        <v>2</v>
      </c>
      <c r="I4171" s="1" t="s">
        <v>35</v>
      </c>
      <c r="J4171">
        <v>2</v>
      </c>
      <c r="K4171" t="str">
        <f>IF(Tb_data[[#This Row],[previous_workers]]&lt;Tb_data[[#This Row],[workers]],"yes","no")</f>
        <v>yes</v>
      </c>
      <c r="L4171">
        <f>Tb_data[[#This Row],[workers]]-Tb_data[[#This Row],[previous_workers]]</f>
        <v>20</v>
      </c>
      <c r="M4171" s="12">
        <f>Tb_data[[#This Row],[Employees Growth]]/Tb_data[[#This Row],[previous_workers]]</f>
        <v>10</v>
      </c>
    </row>
    <row r="4172" spans="1:13" x14ac:dyDescent="0.25">
      <c r="A4172" s="1" t="s">
        <v>9189</v>
      </c>
      <c r="B4172" s="1" t="s">
        <v>9190</v>
      </c>
      <c r="C4172" s="1">
        <v>8200000</v>
      </c>
      <c r="D4172" s="1" t="s">
        <v>29</v>
      </c>
      <c r="E4172">
        <v>64.283699999999996</v>
      </c>
      <c r="F4172" s="1" t="s">
        <v>34</v>
      </c>
      <c r="G4172">
        <v>400</v>
      </c>
      <c r="H4172">
        <v>150</v>
      </c>
      <c r="I4172" s="1" t="s">
        <v>164</v>
      </c>
      <c r="J4172">
        <v>4</v>
      </c>
      <c r="K4172" t="str">
        <f>IF(Tb_data[[#This Row],[previous_workers]]&lt;Tb_data[[#This Row],[workers]],"yes","no")</f>
        <v>yes</v>
      </c>
      <c r="L4172">
        <f>Tb_data[[#This Row],[workers]]-Tb_data[[#This Row],[previous_workers]]</f>
        <v>250</v>
      </c>
      <c r="M4172" s="12">
        <f>Tb_data[[#This Row],[Employees Growth]]/Tb_data[[#This Row],[previous_workers]]</f>
        <v>1.6666666666666667</v>
      </c>
    </row>
    <row r="4173" spans="1:13" x14ac:dyDescent="0.25">
      <c r="A4173" s="1" t="s">
        <v>4198</v>
      </c>
      <c r="B4173" s="1" t="s">
        <v>4199</v>
      </c>
      <c r="C4173" s="1">
        <v>56700000</v>
      </c>
      <c r="D4173" s="1" t="s">
        <v>664</v>
      </c>
      <c r="E4173">
        <v>195.72389999999999</v>
      </c>
      <c r="F4173" s="1" t="s">
        <v>94</v>
      </c>
      <c r="G4173">
        <v>267</v>
      </c>
      <c r="H4173">
        <v>54</v>
      </c>
      <c r="I4173" s="1" t="s">
        <v>46</v>
      </c>
      <c r="J4173">
        <v>4</v>
      </c>
      <c r="K4173" t="str">
        <f>IF(Tb_data[[#This Row],[previous_workers]]&lt;Tb_data[[#This Row],[workers]],"yes","no")</f>
        <v>yes</v>
      </c>
      <c r="L4173">
        <f>Tb_data[[#This Row],[workers]]-Tb_data[[#This Row],[previous_workers]]</f>
        <v>213</v>
      </c>
      <c r="M4173" s="12">
        <f>Tb_data[[#This Row],[Employees Growth]]/Tb_data[[#This Row],[previous_workers]]</f>
        <v>3.9444444444444446</v>
      </c>
    </row>
    <row r="4174" spans="1:13" x14ac:dyDescent="0.25">
      <c r="A4174" s="1" t="s">
        <v>6085</v>
      </c>
      <c r="B4174" s="1" t="s">
        <v>6086</v>
      </c>
      <c r="C4174" s="1">
        <v>92000000</v>
      </c>
      <c r="D4174" s="1" t="s">
        <v>179</v>
      </c>
      <c r="E4174">
        <v>124.3434</v>
      </c>
      <c r="F4174" s="1" t="s">
        <v>124</v>
      </c>
      <c r="G4174">
        <v>312</v>
      </c>
      <c r="H4174">
        <v>180</v>
      </c>
      <c r="I4174" s="1" t="s">
        <v>1411</v>
      </c>
      <c r="J4174">
        <v>1</v>
      </c>
      <c r="K4174" t="str">
        <f>IF(Tb_data[[#This Row],[previous_workers]]&lt;Tb_data[[#This Row],[workers]],"yes","no")</f>
        <v>yes</v>
      </c>
      <c r="L4174">
        <f>Tb_data[[#This Row],[workers]]-Tb_data[[#This Row],[previous_workers]]</f>
        <v>132</v>
      </c>
      <c r="M4174" s="12">
        <f>Tb_data[[#This Row],[Employees Growth]]/Tb_data[[#This Row],[previous_workers]]</f>
        <v>0.73333333333333328</v>
      </c>
    </row>
    <row r="4175" spans="1:13" x14ac:dyDescent="0.25">
      <c r="A4175" s="1" t="s">
        <v>3874</v>
      </c>
      <c r="B4175" s="1" t="s">
        <v>3875</v>
      </c>
      <c r="C4175" s="1">
        <v>43600000</v>
      </c>
      <c r="D4175" s="1" t="s">
        <v>254</v>
      </c>
      <c r="E4175">
        <v>216.05969999999999</v>
      </c>
      <c r="F4175" s="1" t="s">
        <v>34</v>
      </c>
      <c r="G4175">
        <v>65</v>
      </c>
      <c r="H4175">
        <v>40</v>
      </c>
      <c r="I4175" s="1" t="s">
        <v>147</v>
      </c>
      <c r="J4175">
        <v>8</v>
      </c>
      <c r="K4175" t="str">
        <f>IF(Tb_data[[#This Row],[previous_workers]]&lt;Tb_data[[#This Row],[workers]],"yes","no")</f>
        <v>yes</v>
      </c>
      <c r="L4175">
        <f>Tb_data[[#This Row],[workers]]-Tb_data[[#This Row],[previous_workers]]</f>
        <v>25</v>
      </c>
      <c r="M4175" s="12">
        <f>Tb_data[[#This Row],[Employees Growth]]/Tb_data[[#This Row],[previous_workers]]</f>
        <v>0.625</v>
      </c>
    </row>
    <row r="4176" spans="1:13" x14ac:dyDescent="0.25">
      <c r="A4176" s="1" t="s">
        <v>7681</v>
      </c>
      <c r="B4176" s="1" t="s">
        <v>7682</v>
      </c>
      <c r="C4176" s="1">
        <v>159500000</v>
      </c>
      <c r="D4176" s="1" t="s">
        <v>422</v>
      </c>
      <c r="E4176">
        <v>88.362099999999998</v>
      </c>
      <c r="F4176" s="1" t="s">
        <v>17</v>
      </c>
      <c r="G4176">
        <v>130</v>
      </c>
      <c r="H4176">
        <v>90</v>
      </c>
      <c r="I4176" s="1" t="s">
        <v>1657</v>
      </c>
      <c r="J4176">
        <v>7</v>
      </c>
      <c r="K4176" t="str">
        <f>IF(Tb_data[[#This Row],[previous_workers]]&lt;Tb_data[[#This Row],[workers]],"yes","no")</f>
        <v>yes</v>
      </c>
      <c r="L4176">
        <f>Tb_data[[#This Row],[workers]]-Tb_data[[#This Row],[previous_workers]]</f>
        <v>40</v>
      </c>
      <c r="M4176" s="12">
        <f>Tb_data[[#This Row],[Employees Growth]]/Tb_data[[#This Row],[previous_workers]]</f>
        <v>0.44444444444444442</v>
      </c>
    </row>
    <row r="4177" spans="1:13" x14ac:dyDescent="0.25">
      <c r="A4177" s="1" t="s">
        <v>8261</v>
      </c>
      <c r="B4177" s="1" t="s">
        <v>8262</v>
      </c>
      <c r="C4177" s="1">
        <v>2600000</v>
      </c>
      <c r="D4177" s="1" t="s">
        <v>52</v>
      </c>
      <c r="E4177">
        <v>78.290400000000005</v>
      </c>
      <c r="F4177" s="1" t="s">
        <v>124</v>
      </c>
      <c r="G4177">
        <v>15</v>
      </c>
      <c r="H4177">
        <v>3</v>
      </c>
      <c r="I4177" s="1" t="s">
        <v>46</v>
      </c>
      <c r="J4177">
        <v>1</v>
      </c>
      <c r="K4177" t="str">
        <f>IF(Tb_data[[#This Row],[previous_workers]]&lt;Tb_data[[#This Row],[workers]],"yes","no")</f>
        <v>yes</v>
      </c>
      <c r="L4177">
        <f>Tb_data[[#This Row],[workers]]-Tb_data[[#This Row],[previous_workers]]</f>
        <v>12</v>
      </c>
      <c r="M4177" s="12">
        <f>Tb_data[[#This Row],[Employees Growth]]/Tb_data[[#This Row],[previous_workers]]</f>
        <v>4</v>
      </c>
    </row>
    <row r="4178" spans="1:13" x14ac:dyDescent="0.25">
      <c r="A4178" s="1" t="s">
        <v>5068</v>
      </c>
      <c r="B4178" s="1" t="s">
        <v>5069</v>
      </c>
      <c r="C4178" s="1">
        <v>5300000</v>
      </c>
      <c r="D4178" s="1" t="s">
        <v>33</v>
      </c>
      <c r="E4178">
        <v>158.42449999999999</v>
      </c>
      <c r="F4178" s="1" t="s">
        <v>30</v>
      </c>
      <c r="G4178">
        <v>12</v>
      </c>
      <c r="H4178">
        <v>4</v>
      </c>
      <c r="I4178" s="1" t="s">
        <v>1051</v>
      </c>
      <c r="J4178">
        <v>4</v>
      </c>
      <c r="K4178" t="str">
        <f>IF(Tb_data[[#This Row],[previous_workers]]&lt;Tb_data[[#This Row],[workers]],"yes","no")</f>
        <v>yes</v>
      </c>
      <c r="L4178">
        <f>Tb_data[[#This Row],[workers]]-Tb_data[[#This Row],[previous_workers]]</f>
        <v>8</v>
      </c>
      <c r="M4178" s="12">
        <f>Tb_data[[#This Row],[Employees Growth]]/Tb_data[[#This Row],[previous_workers]]</f>
        <v>2</v>
      </c>
    </row>
    <row r="4179" spans="1:13" x14ac:dyDescent="0.25">
      <c r="A4179" s="1" t="s">
        <v>7303</v>
      </c>
      <c r="B4179" s="1" t="s">
        <v>7304</v>
      </c>
      <c r="C4179" s="1">
        <v>10000000</v>
      </c>
      <c r="D4179" s="1" t="s">
        <v>123</v>
      </c>
      <c r="E4179">
        <v>97.004300000000001</v>
      </c>
      <c r="F4179" s="1" t="s">
        <v>17</v>
      </c>
      <c r="G4179">
        <v>20</v>
      </c>
      <c r="H4179">
        <v>12</v>
      </c>
      <c r="I4179" s="1" t="s">
        <v>35</v>
      </c>
      <c r="J4179">
        <v>1</v>
      </c>
      <c r="K4179" t="str">
        <f>IF(Tb_data[[#This Row],[previous_workers]]&lt;Tb_data[[#This Row],[workers]],"yes","no")</f>
        <v>yes</v>
      </c>
      <c r="L4179">
        <f>Tb_data[[#This Row],[workers]]-Tb_data[[#This Row],[previous_workers]]</f>
        <v>8</v>
      </c>
      <c r="M4179" s="12">
        <f>Tb_data[[#This Row],[Employees Growth]]/Tb_data[[#This Row],[previous_workers]]</f>
        <v>0.66666666666666663</v>
      </c>
    </row>
    <row r="4180" spans="1:13" x14ac:dyDescent="0.25">
      <c r="A4180" s="1" t="s">
        <v>55</v>
      </c>
      <c r="B4180" s="1" t="s">
        <v>4116</v>
      </c>
      <c r="C4180" s="1">
        <v>2000000</v>
      </c>
      <c r="D4180" s="1" t="s">
        <v>49</v>
      </c>
      <c r="E4180">
        <v>199.56139999999999</v>
      </c>
      <c r="F4180" s="1" t="s">
        <v>12</v>
      </c>
      <c r="G4180">
        <v>5</v>
      </c>
      <c r="H4180">
        <v>2</v>
      </c>
      <c r="I4180" s="1" t="s">
        <v>130</v>
      </c>
      <c r="J4180">
        <v>1</v>
      </c>
      <c r="K4180" t="str">
        <f>IF(Tb_data[[#This Row],[previous_workers]]&lt;Tb_data[[#This Row],[workers]],"yes","no")</f>
        <v>yes</v>
      </c>
      <c r="L4180">
        <f>Tb_data[[#This Row],[workers]]-Tb_data[[#This Row],[previous_workers]]</f>
        <v>3</v>
      </c>
      <c r="M4180" s="12">
        <f>Tb_data[[#This Row],[Employees Growth]]/Tb_data[[#This Row],[previous_workers]]</f>
        <v>1.5</v>
      </c>
    </row>
    <row r="4181" spans="1:13" x14ac:dyDescent="0.25">
      <c r="A4181" s="1" t="s">
        <v>4788</v>
      </c>
      <c r="B4181" s="1" t="s">
        <v>4789</v>
      </c>
      <c r="C4181" s="1">
        <v>8900000</v>
      </c>
      <c r="D4181" s="1" t="s">
        <v>49</v>
      </c>
      <c r="E4181">
        <v>170.4854</v>
      </c>
      <c r="F4181" s="1" t="s">
        <v>124</v>
      </c>
      <c r="G4181">
        <v>63</v>
      </c>
      <c r="H4181">
        <v>19</v>
      </c>
      <c r="I4181" s="1" t="s">
        <v>130</v>
      </c>
      <c r="J4181">
        <v>2</v>
      </c>
      <c r="K4181" t="str">
        <f>IF(Tb_data[[#This Row],[previous_workers]]&lt;Tb_data[[#This Row],[workers]],"yes","no")</f>
        <v>yes</v>
      </c>
      <c r="L4181">
        <f>Tb_data[[#This Row],[workers]]-Tb_data[[#This Row],[previous_workers]]</f>
        <v>44</v>
      </c>
      <c r="M4181" s="12">
        <f>Tb_data[[#This Row],[Employees Growth]]/Tb_data[[#This Row],[previous_workers]]</f>
        <v>2.3157894736842106</v>
      </c>
    </row>
    <row r="4182" spans="1:13" x14ac:dyDescent="0.25">
      <c r="A4182" s="1" t="s">
        <v>469</v>
      </c>
      <c r="B4182" s="1" t="s">
        <v>470</v>
      </c>
      <c r="C4182" s="1">
        <v>4500000</v>
      </c>
      <c r="D4182" s="1" t="s">
        <v>129</v>
      </c>
      <c r="E4182">
        <v>2076.8838999999998</v>
      </c>
      <c r="F4182" s="1" t="s">
        <v>97</v>
      </c>
      <c r="G4182">
        <v>10</v>
      </c>
      <c r="H4182">
        <v>2</v>
      </c>
      <c r="I4182" s="1" t="s">
        <v>35</v>
      </c>
      <c r="J4182">
        <v>1</v>
      </c>
      <c r="K4182" t="str">
        <f>IF(Tb_data[[#This Row],[previous_workers]]&lt;Tb_data[[#This Row],[workers]],"yes","no")</f>
        <v>yes</v>
      </c>
      <c r="L4182">
        <f>Tb_data[[#This Row],[workers]]-Tb_data[[#This Row],[previous_workers]]</f>
        <v>8</v>
      </c>
      <c r="M4182" s="12">
        <f>Tb_data[[#This Row],[Employees Growth]]/Tb_data[[#This Row],[previous_workers]]</f>
        <v>4</v>
      </c>
    </row>
    <row r="4183" spans="1:13" x14ac:dyDescent="0.25">
      <c r="A4183" s="1" t="s">
        <v>5310</v>
      </c>
      <c r="B4183" s="1" t="s">
        <v>5311</v>
      </c>
      <c r="C4183" s="1">
        <v>15000000</v>
      </c>
      <c r="D4183" s="1" t="s">
        <v>33</v>
      </c>
      <c r="E4183">
        <v>149.44309999999999</v>
      </c>
      <c r="F4183" s="1" t="s">
        <v>176</v>
      </c>
      <c r="G4183">
        <v>4</v>
      </c>
      <c r="H4183">
        <v>3</v>
      </c>
      <c r="I4183" s="1" t="s">
        <v>948</v>
      </c>
      <c r="J4183">
        <v>2</v>
      </c>
      <c r="K4183" t="str">
        <f>IF(Tb_data[[#This Row],[previous_workers]]&lt;Tb_data[[#This Row],[workers]],"yes","no")</f>
        <v>yes</v>
      </c>
      <c r="L4183">
        <f>Tb_data[[#This Row],[workers]]-Tb_data[[#This Row],[previous_workers]]</f>
        <v>1</v>
      </c>
      <c r="M4183" s="12">
        <f>Tb_data[[#This Row],[Employees Growth]]/Tb_data[[#This Row],[previous_workers]]</f>
        <v>0.33333333333333331</v>
      </c>
    </row>
    <row r="4184" spans="1:13" x14ac:dyDescent="0.25">
      <c r="A4184" s="1" t="s">
        <v>7519</v>
      </c>
      <c r="B4184" s="1" t="s">
        <v>7520</v>
      </c>
      <c r="C4184" s="1">
        <v>4300000</v>
      </c>
      <c r="D4184" s="1" t="s">
        <v>38</v>
      </c>
      <c r="E4184">
        <v>92.518799999999999</v>
      </c>
      <c r="F4184" s="1" t="s">
        <v>176</v>
      </c>
      <c r="G4184">
        <v>51</v>
      </c>
      <c r="H4184">
        <v>11</v>
      </c>
      <c r="I4184" s="1" t="s">
        <v>26</v>
      </c>
      <c r="J4184">
        <v>2</v>
      </c>
      <c r="K4184" t="str">
        <f>IF(Tb_data[[#This Row],[previous_workers]]&lt;Tb_data[[#This Row],[workers]],"yes","no")</f>
        <v>yes</v>
      </c>
      <c r="L4184">
        <f>Tb_data[[#This Row],[workers]]-Tb_data[[#This Row],[previous_workers]]</f>
        <v>40</v>
      </c>
      <c r="M4184" s="12">
        <f>Tb_data[[#This Row],[Employees Growth]]/Tb_data[[#This Row],[previous_workers]]</f>
        <v>3.6363636363636362</v>
      </c>
    </row>
    <row r="4185" spans="1:13" x14ac:dyDescent="0.25">
      <c r="A4185" s="1" t="s">
        <v>7106</v>
      </c>
      <c r="B4185" s="1" t="s">
        <v>7107</v>
      </c>
      <c r="C4185" s="1">
        <v>12900000</v>
      </c>
      <c r="D4185" s="1" t="s">
        <v>49</v>
      </c>
      <c r="E4185">
        <v>100.0009</v>
      </c>
      <c r="F4185" s="1" t="s">
        <v>176</v>
      </c>
      <c r="G4185">
        <v>27</v>
      </c>
      <c r="H4185">
        <v>21</v>
      </c>
      <c r="I4185" s="1" t="s">
        <v>295</v>
      </c>
      <c r="J4185">
        <v>5</v>
      </c>
      <c r="K4185" t="str">
        <f>IF(Tb_data[[#This Row],[previous_workers]]&lt;Tb_data[[#This Row],[workers]],"yes","no")</f>
        <v>yes</v>
      </c>
      <c r="L4185">
        <f>Tb_data[[#This Row],[workers]]-Tb_data[[#This Row],[previous_workers]]</f>
        <v>6</v>
      </c>
      <c r="M4185" s="12">
        <f>Tb_data[[#This Row],[Employees Growth]]/Tb_data[[#This Row],[previous_workers]]</f>
        <v>0.2857142857142857</v>
      </c>
    </row>
    <row r="4186" spans="1:13" x14ac:dyDescent="0.25">
      <c r="A4186" s="1" t="s">
        <v>8550</v>
      </c>
      <c r="B4186" s="1" t="s">
        <v>8551</v>
      </c>
      <c r="C4186" s="1">
        <v>446500000</v>
      </c>
      <c r="D4186" s="1" t="s">
        <v>254</v>
      </c>
      <c r="E4186">
        <v>73.132599999999996</v>
      </c>
      <c r="F4186" s="1" t="s">
        <v>97</v>
      </c>
      <c r="G4186">
        <v>266</v>
      </c>
      <c r="H4186">
        <v>148</v>
      </c>
      <c r="I4186" s="1" t="s">
        <v>2407</v>
      </c>
      <c r="J4186">
        <v>9</v>
      </c>
      <c r="K4186" t="str">
        <f>IF(Tb_data[[#This Row],[previous_workers]]&lt;Tb_data[[#This Row],[workers]],"yes","no")</f>
        <v>yes</v>
      </c>
      <c r="L4186">
        <f>Tb_data[[#This Row],[workers]]-Tb_data[[#This Row],[previous_workers]]</f>
        <v>118</v>
      </c>
      <c r="M4186" s="12">
        <f>Tb_data[[#This Row],[Employees Growth]]/Tb_data[[#This Row],[previous_workers]]</f>
        <v>0.79729729729729726</v>
      </c>
    </row>
    <row r="4187" spans="1:13" x14ac:dyDescent="0.25">
      <c r="A4187" s="1" t="s">
        <v>1726</v>
      </c>
      <c r="B4187" s="1" t="s">
        <v>1727</v>
      </c>
      <c r="C4187" s="1">
        <v>23600000</v>
      </c>
      <c r="D4187" s="1" t="s">
        <v>427</v>
      </c>
      <c r="E4187">
        <v>527.40809999999999</v>
      </c>
      <c r="F4187" s="1" t="s">
        <v>30</v>
      </c>
      <c r="G4187">
        <v>28</v>
      </c>
      <c r="H4187">
        <v>10</v>
      </c>
      <c r="I4187" s="1" t="s">
        <v>55</v>
      </c>
      <c r="J4187">
        <v>3</v>
      </c>
      <c r="K4187" t="str">
        <f>IF(Tb_data[[#This Row],[previous_workers]]&lt;Tb_data[[#This Row],[workers]],"yes","no")</f>
        <v>yes</v>
      </c>
      <c r="L4187">
        <f>Tb_data[[#This Row],[workers]]-Tb_data[[#This Row],[previous_workers]]</f>
        <v>18</v>
      </c>
      <c r="M4187" s="12">
        <f>Tb_data[[#This Row],[Employees Growth]]/Tb_data[[#This Row],[previous_workers]]</f>
        <v>1.8</v>
      </c>
    </row>
    <row r="4188" spans="1:13" x14ac:dyDescent="0.25">
      <c r="A4188" s="1" t="s">
        <v>244</v>
      </c>
      <c r="B4188" s="1" t="s">
        <v>245</v>
      </c>
      <c r="C4188" s="1">
        <v>4500000</v>
      </c>
      <c r="D4188" s="1" t="s">
        <v>20</v>
      </c>
      <c r="E4188">
        <v>3683.6824000000001</v>
      </c>
      <c r="F4188" s="1" t="s">
        <v>176</v>
      </c>
      <c r="G4188">
        <v>463</v>
      </c>
      <c r="H4188">
        <v>22</v>
      </c>
      <c r="I4188" s="1" t="s">
        <v>13</v>
      </c>
      <c r="J4188">
        <v>1</v>
      </c>
      <c r="K4188" t="str">
        <f>IF(Tb_data[[#This Row],[previous_workers]]&lt;Tb_data[[#This Row],[workers]],"yes","no")</f>
        <v>yes</v>
      </c>
      <c r="L4188">
        <f>Tb_data[[#This Row],[workers]]-Tb_data[[#This Row],[previous_workers]]</f>
        <v>441</v>
      </c>
      <c r="M4188" s="12">
        <f>Tb_data[[#This Row],[Employees Growth]]/Tb_data[[#This Row],[previous_workers]]</f>
        <v>20.045454545454547</v>
      </c>
    </row>
    <row r="4189" spans="1:13" x14ac:dyDescent="0.25">
      <c r="A4189" s="1" t="s">
        <v>9127</v>
      </c>
      <c r="B4189" s="1" t="s">
        <v>9128</v>
      </c>
      <c r="C4189" s="1">
        <v>99300000</v>
      </c>
      <c r="D4189" s="1" t="s">
        <v>69</v>
      </c>
      <c r="E4189">
        <v>65.032499999999999</v>
      </c>
      <c r="F4189" s="1" t="s">
        <v>176</v>
      </c>
      <c r="G4189">
        <v>22</v>
      </c>
      <c r="H4189">
        <v>15</v>
      </c>
      <c r="I4189" s="1" t="s">
        <v>961</v>
      </c>
      <c r="J4189">
        <v>7</v>
      </c>
      <c r="K4189" t="str">
        <f>IF(Tb_data[[#This Row],[previous_workers]]&lt;Tb_data[[#This Row],[workers]],"yes","no")</f>
        <v>yes</v>
      </c>
      <c r="L4189">
        <f>Tb_data[[#This Row],[workers]]-Tb_data[[#This Row],[previous_workers]]</f>
        <v>7</v>
      </c>
      <c r="M4189" s="12">
        <f>Tb_data[[#This Row],[Employees Growth]]/Tb_data[[#This Row],[previous_workers]]</f>
        <v>0.46666666666666667</v>
      </c>
    </row>
    <row r="4190" spans="1:13" x14ac:dyDescent="0.25">
      <c r="A4190" s="1" t="s">
        <v>5172</v>
      </c>
      <c r="B4190" s="1" t="s">
        <v>5173</v>
      </c>
      <c r="C4190" s="1">
        <v>3800000</v>
      </c>
      <c r="D4190" s="1" t="s">
        <v>58</v>
      </c>
      <c r="E4190">
        <v>154.49090000000001</v>
      </c>
      <c r="F4190" s="1" t="s">
        <v>25</v>
      </c>
      <c r="G4190">
        <v>25</v>
      </c>
      <c r="H4190">
        <v>8</v>
      </c>
      <c r="I4190" s="1" t="s">
        <v>46</v>
      </c>
      <c r="J4190">
        <v>2</v>
      </c>
      <c r="K4190" t="str">
        <f>IF(Tb_data[[#This Row],[previous_workers]]&lt;Tb_data[[#This Row],[workers]],"yes","no")</f>
        <v>yes</v>
      </c>
      <c r="L4190">
        <f>Tb_data[[#This Row],[workers]]-Tb_data[[#This Row],[previous_workers]]</f>
        <v>17</v>
      </c>
      <c r="M4190" s="12">
        <f>Tb_data[[#This Row],[Employees Growth]]/Tb_data[[#This Row],[previous_workers]]</f>
        <v>2.125</v>
      </c>
    </row>
    <row r="4191" spans="1:13" x14ac:dyDescent="0.25">
      <c r="A4191" s="1" t="s">
        <v>7036</v>
      </c>
      <c r="B4191" s="1" t="s">
        <v>7037</v>
      </c>
      <c r="C4191" s="1">
        <v>18900000</v>
      </c>
      <c r="D4191" s="1" t="s">
        <v>49</v>
      </c>
      <c r="E4191">
        <v>101.3326</v>
      </c>
      <c r="F4191" s="1" t="s">
        <v>112</v>
      </c>
      <c r="G4191">
        <v>33</v>
      </c>
      <c r="H4191">
        <v>22</v>
      </c>
      <c r="I4191" s="1" t="s">
        <v>1051</v>
      </c>
      <c r="J4191">
        <v>4</v>
      </c>
      <c r="K4191" t="str">
        <f>IF(Tb_data[[#This Row],[previous_workers]]&lt;Tb_data[[#This Row],[workers]],"yes","no")</f>
        <v>yes</v>
      </c>
      <c r="L4191">
        <f>Tb_data[[#This Row],[workers]]-Tb_data[[#This Row],[previous_workers]]</f>
        <v>11</v>
      </c>
      <c r="M4191" s="12">
        <f>Tb_data[[#This Row],[Employees Growth]]/Tb_data[[#This Row],[previous_workers]]</f>
        <v>0.5</v>
      </c>
    </row>
    <row r="4192" spans="1:13" x14ac:dyDescent="0.25">
      <c r="A4192" s="1" t="s">
        <v>5232</v>
      </c>
      <c r="B4192" s="1" t="s">
        <v>5233</v>
      </c>
      <c r="C4192" s="1">
        <v>10600000</v>
      </c>
      <c r="D4192" s="1" t="s">
        <v>41</v>
      </c>
      <c r="E4192">
        <v>152.51480000000001</v>
      </c>
      <c r="F4192" s="1" t="s">
        <v>12</v>
      </c>
      <c r="G4192">
        <v>153</v>
      </c>
      <c r="H4192">
        <v>79</v>
      </c>
      <c r="I4192" s="1" t="s">
        <v>117</v>
      </c>
      <c r="J4192">
        <v>6</v>
      </c>
      <c r="K4192" t="str">
        <f>IF(Tb_data[[#This Row],[previous_workers]]&lt;Tb_data[[#This Row],[workers]],"yes","no")</f>
        <v>yes</v>
      </c>
      <c r="L4192">
        <f>Tb_data[[#This Row],[workers]]-Tb_data[[#This Row],[previous_workers]]</f>
        <v>74</v>
      </c>
      <c r="M4192" s="12">
        <f>Tb_data[[#This Row],[Employees Growth]]/Tb_data[[#This Row],[previous_workers]]</f>
        <v>0.93670886075949367</v>
      </c>
    </row>
    <row r="4193" spans="1:13" x14ac:dyDescent="0.25">
      <c r="A4193" s="1" t="s">
        <v>5722</v>
      </c>
      <c r="B4193" s="1" t="s">
        <v>5723</v>
      </c>
      <c r="C4193" s="1">
        <v>6300000</v>
      </c>
      <c r="D4193" s="1" t="s">
        <v>52</v>
      </c>
      <c r="E4193">
        <v>133.9239</v>
      </c>
      <c r="F4193" s="1" t="s">
        <v>514</v>
      </c>
      <c r="G4193">
        <v>42</v>
      </c>
      <c r="H4193">
        <v>8</v>
      </c>
      <c r="I4193" s="1" t="s">
        <v>35</v>
      </c>
      <c r="J4193">
        <v>2</v>
      </c>
      <c r="K4193" t="str">
        <f>IF(Tb_data[[#This Row],[previous_workers]]&lt;Tb_data[[#This Row],[workers]],"yes","no")</f>
        <v>yes</v>
      </c>
      <c r="L4193">
        <f>Tb_data[[#This Row],[workers]]-Tb_data[[#This Row],[previous_workers]]</f>
        <v>34</v>
      </c>
      <c r="M4193" s="12">
        <f>Tb_data[[#This Row],[Employees Growth]]/Tb_data[[#This Row],[previous_workers]]</f>
        <v>4.25</v>
      </c>
    </row>
    <row r="4194" spans="1:13" x14ac:dyDescent="0.25">
      <c r="A4194" s="1" t="s">
        <v>2234</v>
      </c>
      <c r="B4194" s="1" t="s">
        <v>2235</v>
      </c>
      <c r="C4194" s="1">
        <v>3700000</v>
      </c>
      <c r="D4194" s="1" t="s">
        <v>179</v>
      </c>
      <c r="E4194">
        <v>394.56439999999998</v>
      </c>
      <c r="F4194" s="1" t="s">
        <v>124</v>
      </c>
      <c r="G4194">
        <v>31</v>
      </c>
      <c r="H4194">
        <v>5</v>
      </c>
      <c r="I4194" s="1" t="s">
        <v>26</v>
      </c>
      <c r="J4194">
        <v>1</v>
      </c>
      <c r="K4194" t="str">
        <f>IF(Tb_data[[#This Row],[previous_workers]]&lt;Tb_data[[#This Row],[workers]],"yes","no")</f>
        <v>yes</v>
      </c>
      <c r="L4194">
        <f>Tb_data[[#This Row],[workers]]-Tb_data[[#This Row],[previous_workers]]</f>
        <v>26</v>
      </c>
      <c r="M4194" s="12">
        <f>Tb_data[[#This Row],[Employees Growth]]/Tb_data[[#This Row],[previous_workers]]</f>
        <v>5.2</v>
      </c>
    </row>
    <row r="4195" spans="1:13" x14ac:dyDescent="0.25">
      <c r="A4195" s="1" t="s">
        <v>5894</v>
      </c>
      <c r="B4195" s="1" t="s">
        <v>5895</v>
      </c>
      <c r="C4195" s="1">
        <v>15300000</v>
      </c>
      <c r="D4195" s="1" t="s">
        <v>895</v>
      </c>
      <c r="E4195">
        <v>129.22880000000001</v>
      </c>
      <c r="F4195" s="1" t="s">
        <v>21</v>
      </c>
      <c r="G4195">
        <v>305</v>
      </c>
      <c r="H4195">
        <v>90</v>
      </c>
      <c r="I4195" s="1" t="s">
        <v>46</v>
      </c>
      <c r="J4195">
        <v>1</v>
      </c>
      <c r="K4195" t="str">
        <f>IF(Tb_data[[#This Row],[previous_workers]]&lt;Tb_data[[#This Row],[workers]],"yes","no")</f>
        <v>yes</v>
      </c>
      <c r="L4195">
        <f>Tb_data[[#This Row],[workers]]-Tb_data[[#This Row],[previous_workers]]</f>
        <v>215</v>
      </c>
      <c r="M4195" s="12">
        <f>Tb_data[[#This Row],[Employees Growth]]/Tb_data[[#This Row],[previous_workers]]</f>
        <v>2.3888888888888888</v>
      </c>
    </row>
    <row r="4196" spans="1:13" x14ac:dyDescent="0.25">
      <c r="A4196" s="1" t="s">
        <v>9289</v>
      </c>
      <c r="B4196" s="1" t="s">
        <v>9290</v>
      </c>
      <c r="C4196" s="1">
        <v>20200000</v>
      </c>
      <c r="D4196" s="1" t="s">
        <v>52</v>
      </c>
      <c r="E4196">
        <v>62.967700000000001</v>
      </c>
      <c r="F4196" s="1" t="s">
        <v>30</v>
      </c>
      <c r="G4196">
        <v>21</v>
      </c>
      <c r="H4196">
        <v>16</v>
      </c>
      <c r="I4196" s="1" t="s">
        <v>35</v>
      </c>
      <c r="J4196">
        <v>7</v>
      </c>
      <c r="K4196" t="str">
        <f>IF(Tb_data[[#This Row],[previous_workers]]&lt;Tb_data[[#This Row],[workers]],"yes","no")</f>
        <v>yes</v>
      </c>
      <c r="L4196">
        <f>Tb_data[[#This Row],[workers]]-Tb_data[[#This Row],[previous_workers]]</f>
        <v>5</v>
      </c>
      <c r="M4196" s="12">
        <f>Tb_data[[#This Row],[Employees Growth]]/Tb_data[[#This Row],[previous_workers]]</f>
        <v>0.3125</v>
      </c>
    </row>
    <row r="4197" spans="1:13" x14ac:dyDescent="0.25">
      <c r="A4197" s="1" t="s">
        <v>7248</v>
      </c>
      <c r="B4197" s="1" t="s">
        <v>7249</v>
      </c>
      <c r="C4197" s="1">
        <v>5100000</v>
      </c>
      <c r="D4197" s="1" t="s">
        <v>69</v>
      </c>
      <c r="E4197">
        <v>97.726100000000002</v>
      </c>
      <c r="F4197" s="1" t="s">
        <v>12</v>
      </c>
      <c r="G4197">
        <v>12</v>
      </c>
      <c r="H4197">
        <v>6</v>
      </c>
      <c r="I4197" s="1" t="s">
        <v>130</v>
      </c>
      <c r="J4197">
        <v>1</v>
      </c>
      <c r="K4197" t="str">
        <f>IF(Tb_data[[#This Row],[previous_workers]]&lt;Tb_data[[#This Row],[workers]],"yes","no")</f>
        <v>yes</v>
      </c>
      <c r="L4197">
        <f>Tb_data[[#This Row],[workers]]-Tb_data[[#This Row],[previous_workers]]</f>
        <v>6</v>
      </c>
      <c r="M4197" s="12">
        <f>Tb_data[[#This Row],[Employees Growth]]/Tb_data[[#This Row],[previous_workers]]</f>
        <v>1</v>
      </c>
    </row>
    <row r="4198" spans="1:13" x14ac:dyDescent="0.25">
      <c r="A4198" s="1" t="s">
        <v>7146</v>
      </c>
      <c r="B4198" s="1" t="s">
        <v>7147</v>
      </c>
      <c r="C4198" s="1">
        <v>12200000</v>
      </c>
      <c r="D4198" s="1" t="s">
        <v>627</v>
      </c>
      <c r="E4198">
        <v>99.437600000000003</v>
      </c>
      <c r="F4198" s="1" t="s">
        <v>42</v>
      </c>
      <c r="G4198">
        <v>60</v>
      </c>
      <c r="H4198">
        <v>28</v>
      </c>
      <c r="I4198" s="1" t="s">
        <v>35</v>
      </c>
      <c r="J4198">
        <v>4</v>
      </c>
      <c r="K4198" t="str">
        <f>IF(Tb_data[[#This Row],[previous_workers]]&lt;Tb_data[[#This Row],[workers]],"yes","no")</f>
        <v>yes</v>
      </c>
      <c r="L4198">
        <f>Tb_data[[#This Row],[workers]]-Tb_data[[#This Row],[previous_workers]]</f>
        <v>32</v>
      </c>
      <c r="M4198" s="12">
        <f>Tb_data[[#This Row],[Employees Growth]]/Tb_data[[#This Row],[previous_workers]]</f>
        <v>1.1428571428571428</v>
      </c>
    </row>
    <row r="4199" spans="1:13" x14ac:dyDescent="0.25">
      <c r="A4199" s="1" t="s">
        <v>8119</v>
      </c>
      <c r="B4199" s="1" t="s">
        <v>8120</v>
      </c>
      <c r="C4199" s="1">
        <v>24200000</v>
      </c>
      <c r="D4199" s="1" t="s">
        <v>38</v>
      </c>
      <c r="E4199">
        <v>80.923900000000003</v>
      </c>
      <c r="F4199" s="1" t="s">
        <v>3264</v>
      </c>
      <c r="G4199">
        <v>185</v>
      </c>
      <c r="H4199">
        <v>90</v>
      </c>
      <c r="I4199" s="1" t="s">
        <v>74</v>
      </c>
      <c r="J4199">
        <v>1</v>
      </c>
      <c r="K4199" t="str">
        <f>IF(Tb_data[[#This Row],[previous_workers]]&lt;Tb_data[[#This Row],[workers]],"yes","no")</f>
        <v>yes</v>
      </c>
      <c r="L4199">
        <f>Tb_data[[#This Row],[workers]]-Tb_data[[#This Row],[previous_workers]]</f>
        <v>95</v>
      </c>
      <c r="M4199" s="12">
        <f>Tb_data[[#This Row],[Employees Growth]]/Tb_data[[#This Row],[previous_workers]]</f>
        <v>1.0555555555555556</v>
      </c>
    </row>
    <row r="4200" spans="1:13" x14ac:dyDescent="0.25">
      <c r="A4200" s="1" t="s">
        <v>118</v>
      </c>
      <c r="B4200" s="1" t="s">
        <v>119</v>
      </c>
      <c r="C4200" s="1">
        <v>162600000</v>
      </c>
      <c r="D4200" s="1" t="s">
        <v>120</v>
      </c>
      <c r="E4200">
        <v>6382.9368000000004</v>
      </c>
      <c r="F4200" s="1" t="s">
        <v>17</v>
      </c>
      <c r="G4200">
        <v>38</v>
      </c>
      <c r="H4200">
        <v>13</v>
      </c>
      <c r="I4200" s="1" t="s">
        <v>55</v>
      </c>
      <c r="J4200">
        <v>3</v>
      </c>
      <c r="K4200" t="str">
        <f>IF(Tb_data[[#This Row],[previous_workers]]&lt;Tb_data[[#This Row],[workers]],"yes","no")</f>
        <v>yes</v>
      </c>
      <c r="L4200">
        <f>Tb_data[[#This Row],[workers]]-Tb_data[[#This Row],[previous_workers]]</f>
        <v>25</v>
      </c>
      <c r="M4200" s="12">
        <f>Tb_data[[#This Row],[Employees Growth]]/Tb_data[[#This Row],[previous_workers]]</f>
        <v>1.9230769230769231</v>
      </c>
    </row>
    <row r="4201" spans="1:13" x14ac:dyDescent="0.25">
      <c r="A4201" s="1" t="s">
        <v>5724</v>
      </c>
      <c r="B4201" s="1" t="s">
        <v>5725</v>
      </c>
      <c r="C4201" s="1">
        <v>16500000</v>
      </c>
      <c r="D4201" s="1" t="s">
        <v>33</v>
      </c>
      <c r="E4201">
        <v>133.7809</v>
      </c>
      <c r="F4201" s="1" t="s">
        <v>12</v>
      </c>
      <c r="G4201">
        <v>62</v>
      </c>
      <c r="H4201">
        <v>4</v>
      </c>
      <c r="I4201" s="1" t="s">
        <v>26</v>
      </c>
      <c r="J4201">
        <v>2</v>
      </c>
      <c r="K4201" t="str">
        <f>IF(Tb_data[[#This Row],[previous_workers]]&lt;Tb_data[[#This Row],[workers]],"yes","no")</f>
        <v>yes</v>
      </c>
      <c r="L4201">
        <f>Tb_data[[#This Row],[workers]]-Tb_data[[#This Row],[previous_workers]]</f>
        <v>58</v>
      </c>
      <c r="M4201" s="12">
        <f>Tb_data[[#This Row],[Employees Growth]]/Tb_data[[#This Row],[previous_workers]]</f>
        <v>14.5</v>
      </c>
    </row>
    <row r="4202" spans="1:13" x14ac:dyDescent="0.25">
      <c r="A4202" s="1" t="s">
        <v>7299</v>
      </c>
      <c r="B4202" s="1" t="s">
        <v>7300</v>
      </c>
      <c r="C4202" s="1">
        <v>2200000</v>
      </c>
      <c r="D4202" s="1" t="s">
        <v>20</v>
      </c>
      <c r="E4202">
        <v>97.028199999999998</v>
      </c>
      <c r="F4202" s="1" t="s">
        <v>12</v>
      </c>
      <c r="G4202">
        <v>17</v>
      </c>
      <c r="H4202">
        <v>13</v>
      </c>
      <c r="I4202" s="1" t="s">
        <v>46</v>
      </c>
      <c r="J4202">
        <v>2</v>
      </c>
      <c r="K4202" t="str">
        <f>IF(Tb_data[[#This Row],[previous_workers]]&lt;Tb_data[[#This Row],[workers]],"yes","no")</f>
        <v>yes</v>
      </c>
      <c r="L4202">
        <f>Tb_data[[#This Row],[workers]]-Tb_data[[#This Row],[previous_workers]]</f>
        <v>4</v>
      </c>
      <c r="M4202" s="12">
        <f>Tb_data[[#This Row],[Employees Growth]]/Tb_data[[#This Row],[previous_workers]]</f>
        <v>0.30769230769230771</v>
      </c>
    </row>
    <row r="4203" spans="1:13" x14ac:dyDescent="0.25">
      <c r="A4203" s="1" t="s">
        <v>302</v>
      </c>
      <c r="B4203" s="1" t="s">
        <v>303</v>
      </c>
      <c r="C4203" s="1">
        <v>6400000</v>
      </c>
      <c r="D4203" s="1" t="s">
        <v>61</v>
      </c>
      <c r="E4203">
        <v>3026.3532</v>
      </c>
      <c r="F4203" s="1" t="s">
        <v>21</v>
      </c>
      <c r="G4203">
        <v>5</v>
      </c>
      <c r="H4203">
        <v>3</v>
      </c>
      <c r="I4203" s="1" t="s">
        <v>117</v>
      </c>
      <c r="J4203">
        <v>1</v>
      </c>
      <c r="K4203" t="str">
        <f>IF(Tb_data[[#This Row],[previous_workers]]&lt;Tb_data[[#This Row],[workers]],"yes","no")</f>
        <v>yes</v>
      </c>
      <c r="L4203">
        <f>Tb_data[[#This Row],[workers]]-Tb_data[[#This Row],[previous_workers]]</f>
        <v>2</v>
      </c>
      <c r="M4203" s="12">
        <f>Tb_data[[#This Row],[Employees Growth]]/Tb_data[[#This Row],[previous_workers]]</f>
        <v>0.66666666666666663</v>
      </c>
    </row>
    <row r="4204" spans="1:13" x14ac:dyDescent="0.25">
      <c r="A4204" s="1" t="s">
        <v>5070</v>
      </c>
      <c r="B4204" s="1" t="s">
        <v>5071</v>
      </c>
      <c r="C4204" s="1">
        <v>2500000</v>
      </c>
      <c r="D4204" s="1" t="s">
        <v>69</v>
      </c>
      <c r="E4204">
        <v>158.34569999999999</v>
      </c>
      <c r="F4204" s="1" t="s">
        <v>25</v>
      </c>
      <c r="G4204">
        <v>38</v>
      </c>
      <c r="H4204">
        <v>27</v>
      </c>
      <c r="I4204" s="1" t="s">
        <v>130</v>
      </c>
      <c r="J4204">
        <v>3</v>
      </c>
      <c r="K4204" t="str">
        <f>IF(Tb_data[[#This Row],[previous_workers]]&lt;Tb_data[[#This Row],[workers]],"yes","no")</f>
        <v>yes</v>
      </c>
      <c r="L4204">
        <f>Tb_data[[#This Row],[workers]]-Tb_data[[#This Row],[previous_workers]]</f>
        <v>11</v>
      </c>
      <c r="M4204" s="12">
        <f>Tb_data[[#This Row],[Employees Growth]]/Tb_data[[#This Row],[previous_workers]]</f>
        <v>0.40740740740740738</v>
      </c>
    </row>
    <row r="4205" spans="1:13" x14ac:dyDescent="0.25">
      <c r="A4205" s="1" t="s">
        <v>867</v>
      </c>
      <c r="B4205" s="1" t="s">
        <v>868</v>
      </c>
      <c r="C4205" s="1">
        <v>2500000</v>
      </c>
      <c r="D4205" s="1" t="s">
        <v>29</v>
      </c>
      <c r="E4205">
        <v>1186.6111000000001</v>
      </c>
      <c r="F4205" s="1" t="s">
        <v>12</v>
      </c>
      <c r="G4205">
        <v>12</v>
      </c>
      <c r="H4205">
        <v>2</v>
      </c>
      <c r="I4205" s="1" t="s">
        <v>26</v>
      </c>
      <c r="J4205">
        <v>1</v>
      </c>
      <c r="K4205" t="str">
        <f>IF(Tb_data[[#This Row],[previous_workers]]&lt;Tb_data[[#This Row],[workers]],"yes","no")</f>
        <v>yes</v>
      </c>
      <c r="L4205">
        <f>Tb_data[[#This Row],[workers]]-Tb_data[[#This Row],[previous_workers]]</f>
        <v>10</v>
      </c>
      <c r="M4205" s="12">
        <f>Tb_data[[#This Row],[Employees Growth]]/Tb_data[[#This Row],[previous_workers]]</f>
        <v>5</v>
      </c>
    </row>
    <row r="4206" spans="1:13" x14ac:dyDescent="0.25">
      <c r="A4206" s="1" t="s">
        <v>2217</v>
      </c>
      <c r="B4206" s="1" t="s">
        <v>2218</v>
      </c>
      <c r="C4206" s="1">
        <v>4700000</v>
      </c>
      <c r="D4206" s="1" t="s">
        <v>49</v>
      </c>
      <c r="E4206">
        <v>398.33629999999999</v>
      </c>
      <c r="F4206" s="1" t="s">
        <v>86</v>
      </c>
      <c r="G4206">
        <v>19</v>
      </c>
      <c r="H4206">
        <v>6</v>
      </c>
      <c r="I4206" s="1" t="s">
        <v>26</v>
      </c>
      <c r="J4206">
        <v>1</v>
      </c>
      <c r="K4206" t="str">
        <f>IF(Tb_data[[#This Row],[previous_workers]]&lt;Tb_data[[#This Row],[workers]],"yes","no")</f>
        <v>yes</v>
      </c>
      <c r="L4206">
        <f>Tb_data[[#This Row],[workers]]-Tb_data[[#This Row],[previous_workers]]</f>
        <v>13</v>
      </c>
      <c r="M4206" s="12">
        <f>Tb_data[[#This Row],[Employees Growth]]/Tb_data[[#This Row],[previous_workers]]</f>
        <v>2.1666666666666665</v>
      </c>
    </row>
    <row r="4207" spans="1:13" x14ac:dyDescent="0.25">
      <c r="A4207" s="1" t="s">
        <v>6886</v>
      </c>
      <c r="B4207" s="1" t="s">
        <v>6887</v>
      </c>
      <c r="C4207" s="1">
        <v>3800000</v>
      </c>
      <c r="D4207" s="1" t="s">
        <v>58</v>
      </c>
      <c r="E4207">
        <v>104.66240000000001</v>
      </c>
      <c r="F4207" s="1" t="s">
        <v>161</v>
      </c>
      <c r="G4207">
        <v>25</v>
      </c>
      <c r="H4207">
        <v>14</v>
      </c>
      <c r="I4207" s="1" t="s">
        <v>147</v>
      </c>
      <c r="J4207">
        <v>2</v>
      </c>
      <c r="K4207" t="str">
        <f>IF(Tb_data[[#This Row],[previous_workers]]&lt;Tb_data[[#This Row],[workers]],"yes","no")</f>
        <v>yes</v>
      </c>
      <c r="L4207">
        <f>Tb_data[[#This Row],[workers]]-Tb_data[[#This Row],[previous_workers]]</f>
        <v>11</v>
      </c>
      <c r="M4207" s="12">
        <f>Tb_data[[#This Row],[Employees Growth]]/Tb_data[[#This Row],[previous_workers]]</f>
        <v>0.7857142857142857</v>
      </c>
    </row>
    <row r="4208" spans="1:13" x14ac:dyDescent="0.25">
      <c r="A4208" s="1" t="s">
        <v>6163</v>
      </c>
      <c r="B4208" s="1" t="s">
        <v>6164</v>
      </c>
      <c r="C4208" s="1">
        <v>36300000</v>
      </c>
      <c r="D4208" s="1" t="s">
        <v>69</v>
      </c>
      <c r="E4208">
        <v>122.0973</v>
      </c>
      <c r="F4208" s="1" t="s">
        <v>25</v>
      </c>
      <c r="G4208">
        <v>67</v>
      </c>
      <c r="H4208">
        <v>33</v>
      </c>
      <c r="I4208" s="1" t="s">
        <v>164</v>
      </c>
      <c r="J4208">
        <v>5</v>
      </c>
      <c r="K4208" t="str">
        <f>IF(Tb_data[[#This Row],[previous_workers]]&lt;Tb_data[[#This Row],[workers]],"yes","no")</f>
        <v>yes</v>
      </c>
      <c r="L4208">
        <f>Tb_data[[#This Row],[workers]]-Tb_data[[#This Row],[previous_workers]]</f>
        <v>34</v>
      </c>
      <c r="M4208" s="12">
        <f>Tb_data[[#This Row],[Employees Growth]]/Tb_data[[#This Row],[previous_workers]]</f>
        <v>1.0303030303030303</v>
      </c>
    </row>
    <row r="4209" spans="1:13" x14ac:dyDescent="0.25">
      <c r="A4209" s="1" t="s">
        <v>2314</v>
      </c>
      <c r="B4209" s="1" t="s">
        <v>2315</v>
      </c>
      <c r="C4209" s="1">
        <v>17700000</v>
      </c>
      <c r="D4209" s="1" t="s">
        <v>41</v>
      </c>
      <c r="E4209">
        <v>381.18450000000001</v>
      </c>
      <c r="F4209" s="1" t="s">
        <v>25</v>
      </c>
      <c r="G4209">
        <v>24</v>
      </c>
      <c r="H4209">
        <v>6</v>
      </c>
      <c r="I4209" s="1" t="s">
        <v>46</v>
      </c>
      <c r="J4209">
        <v>2</v>
      </c>
      <c r="K4209" t="str">
        <f>IF(Tb_data[[#This Row],[previous_workers]]&lt;Tb_data[[#This Row],[workers]],"yes","no")</f>
        <v>yes</v>
      </c>
      <c r="L4209">
        <f>Tb_data[[#This Row],[workers]]-Tb_data[[#This Row],[previous_workers]]</f>
        <v>18</v>
      </c>
      <c r="M4209" s="12">
        <f>Tb_data[[#This Row],[Employees Growth]]/Tb_data[[#This Row],[previous_workers]]</f>
        <v>3</v>
      </c>
    </row>
    <row r="4210" spans="1:13" x14ac:dyDescent="0.25">
      <c r="A4210" s="1" t="s">
        <v>9333</v>
      </c>
      <c r="B4210" s="1" t="s">
        <v>9334</v>
      </c>
      <c r="C4210" s="1">
        <v>18700000</v>
      </c>
      <c r="D4210" s="1" t="s">
        <v>91</v>
      </c>
      <c r="E4210">
        <v>62.412799999999997</v>
      </c>
      <c r="F4210" s="1" t="s">
        <v>86</v>
      </c>
      <c r="G4210">
        <v>97</v>
      </c>
      <c r="H4210">
        <v>51</v>
      </c>
      <c r="I4210" s="1" t="s">
        <v>372</v>
      </c>
      <c r="J4210">
        <v>9</v>
      </c>
      <c r="K4210" t="str">
        <f>IF(Tb_data[[#This Row],[previous_workers]]&lt;Tb_data[[#This Row],[workers]],"yes","no")</f>
        <v>yes</v>
      </c>
      <c r="L4210">
        <f>Tb_data[[#This Row],[workers]]-Tb_data[[#This Row],[previous_workers]]</f>
        <v>46</v>
      </c>
      <c r="M4210" s="12">
        <f>Tb_data[[#This Row],[Employees Growth]]/Tb_data[[#This Row],[previous_workers]]</f>
        <v>0.90196078431372551</v>
      </c>
    </row>
    <row r="4211" spans="1:13" x14ac:dyDescent="0.25">
      <c r="A4211" s="1" t="s">
        <v>4166</v>
      </c>
      <c r="B4211" s="1" t="s">
        <v>4167</v>
      </c>
      <c r="C4211" s="1">
        <v>76000000</v>
      </c>
      <c r="D4211" s="1" t="s">
        <v>20</v>
      </c>
      <c r="E4211">
        <v>197.05119999999999</v>
      </c>
      <c r="F4211" s="1" t="s">
        <v>112</v>
      </c>
      <c r="G4211">
        <v>360</v>
      </c>
      <c r="H4211">
        <v>150</v>
      </c>
      <c r="I4211" s="1" t="s">
        <v>961</v>
      </c>
      <c r="J4211">
        <v>1</v>
      </c>
      <c r="K4211" t="str">
        <f>IF(Tb_data[[#This Row],[previous_workers]]&lt;Tb_data[[#This Row],[workers]],"yes","no")</f>
        <v>yes</v>
      </c>
      <c r="L4211">
        <f>Tb_data[[#This Row],[workers]]-Tb_data[[#This Row],[previous_workers]]</f>
        <v>210</v>
      </c>
      <c r="M4211" s="12">
        <f>Tb_data[[#This Row],[Employees Growth]]/Tb_data[[#This Row],[previous_workers]]</f>
        <v>1.4</v>
      </c>
    </row>
    <row r="4212" spans="1:13" x14ac:dyDescent="0.25">
      <c r="A4212" s="1" t="s">
        <v>8715</v>
      </c>
      <c r="B4212" s="1" t="s">
        <v>8716</v>
      </c>
      <c r="C4212" s="1">
        <v>8600000</v>
      </c>
      <c r="D4212" s="1" t="s">
        <v>49</v>
      </c>
      <c r="E4212">
        <v>70.862799999999993</v>
      </c>
      <c r="F4212" s="1" t="s">
        <v>25</v>
      </c>
      <c r="G4212">
        <v>22</v>
      </c>
      <c r="H4212">
        <v>12</v>
      </c>
      <c r="I4212" s="1" t="s">
        <v>147</v>
      </c>
      <c r="J4212">
        <v>1</v>
      </c>
      <c r="K4212" t="str">
        <f>IF(Tb_data[[#This Row],[previous_workers]]&lt;Tb_data[[#This Row],[workers]],"yes","no")</f>
        <v>yes</v>
      </c>
      <c r="L4212">
        <f>Tb_data[[#This Row],[workers]]-Tb_data[[#This Row],[previous_workers]]</f>
        <v>10</v>
      </c>
      <c r="M4212" s="12">
        <f>Tb_data[[#This Row],[Employees Growth]]/Tb_data[[#This Row],[previous_workers]]</f>
        <v>0.83333333333333337</v>
      </c>
    </row>
    <row r="4213" spans="1:13" x14ac:dyDescent="0.25">
      <c r="A4213" s="1" t="s">
        <v>224</v>
      </c>
      <c r="B4213" s="1" t="s">
        <v>225</v>
      </c>
      <c r="C4213" s="1">
        <v>4300000</v>
      </c>
      <c r="D4213" s="1" t="s">
        <v>129</v>
      </c>
      <c r="E4213">
        <v>4090.7424000000001</v>
      </c>
      <c r="F4213" s="1" t="s">
        <v>97</v>
      </c>
      <c r="G4213">
        <v>14</v>
      </c>
      <c r="H4213">
        <v>1</v>
      </c>
      <c r="I4213" s="1" t="s">
        <v>226</v>
      </c>
      <c r="J4213">
        <v>1</v>
      </c>
      <c r="K4213" t="str">
        <f>IF(Tb_data[[#This Row],[previous_workers]]&lt;Tb_data[[#This Row],[workers]],"yes","no")</f>
        <v>yes</v>
      </c>
      <c r="L4213">
        <f>Tb_data[[#This Row],[workers]]-Tb_data[[#This Row],[previous_workers]]</f>
        <v>13</v>
      </c>
      <c r="M4213" s="12">
        <f>Tb_data[[#This Row],[Employees Growth]]/Tb_data[[#This Row],[previous_workers]]</f>
        <v>13</v>
      </c>
    </row>
    <row r="4214" spans="1:13" x14ac:dyDescent="0.25">
      <c r="A4214" s="1" t="s">
        <v>701</v>
      </c>
      <c r="B4214" s="1" t="s">
        <v>702</v>
      </c>
      <c r="C4214" s="1">
        <v>76900000</v>
      </c>
      <c r="D4214" s="1" t="s">
        <v>175</v>
      </c>
      <c r="E4214">
        <v>1472.3901000000001</v>
      </c>
      <c r="F4214" s="1" t="s">
        <v>34</v>
      </c>
      <c r="G4214">
        <v>60</v>
      </c>
      <c r="H4214">
        <v>30</v>
      </c>
      <c r="I4214" s="1" t="s">
        <v>130</v>
      </c>
      <c r="J4214">
        <v>1</v>
      </c>
      <c r="K4214" t="str">
        <f>IF(Tb_data[[#This Row],[previous_workers]]&lt;Tb_data[[#This Row],[workers]],"yes","no")</f>
        <v>yes</v>
      </c>
      <c r="L4214">
        <f>Tb_data[[#This Row],[workers]]-Tb_data[[#This Row],[previous_workers]]</f>
        <v>30</v>
      </c>
      <c r="M4214" s="12">
        <f>Tb_data[[#This Row],[Employees Growth]]/Tb_data[[#This Row],[previous_workers]]</f>
        <v>1</v>
      </c>
    </row>
    <row r="4215" spans="1:13" x14ac:dyDescent="0.25">
      <c r="A4215" s="1" t="s">
        <v>8189</v>
      </c>
      <c r="B4215" s="1" t="s">
        <v>8190</v>
      </c>
      <c r="C4215" s="1">
        <v>8600000</v>
      </c>
      <c r="D4215" s="1" t="s">
        <v>52</v>
      </c>
      <c r="E4215">
        <v>79.900099999999995</v>
      </c>
      <c r="F4215" s="1" t="s">
        <v>156</v>
      </c>
      <c r="G4215">
        <v>49</v>
      </c>
      <c r="H4215">
        <v>32</v>
      </c>
      <c r="I4215" s="1" t="s">
        <v>130</v>
      </c>
      <c r="J4215">
        <v>2</v>
      </c>
      <c r="K4215" t="str">
        <f>IF(Tb_data[[#This Row],[previous_workers]]&lt;Tb_data[[#This Row],[workers]],"yes","no")</f>
        <v>yes</v>
      </c>
      <c r="L4215">
        <f>Tb_data[[#This Row],[workers]]-Tb_data[[#This Row],[previous_workers]]</f>
        <v>17</v>
      </c>
      <c r="M4215" s="12">
        <f>Tb_data[[#This Row],[Employees Growth]]/Tb_data[[#This Row],[previous_workers]]</f>
        <v>0.53125</v>
      </c>
    </row>
    <row r="4216" spans="1:13" x14ac:dyDescent="0.25">
      <c r="A4216" s="1" t="s">
        <v>2913</v>
      </c>
      <c r="B4216" s="1" t="s">
        <v>2914</v>
      </c>
      <c r="C4216" s="1">
        <v>44000000</v>
      </c>
      <c r="D4216" s="1" t="s">
        <v>115</v>
      </c>
      <c r="E4216">
        <v>296.4375</v>
      </c>
      <c r="F4216" s="1" t="s">
        <v>172</v>
      </c>
      <c r="G4216">
        <v>50</v>
      </c>
      <c r="H4216">
        <v>28</v>
      </c>
      <c r="I4216" s="1" t="s">
        <v>35</v>
      </c>
      <c r="J4216">
        <v>4</v>
      </c>
      <c r="K4216" t="str">
        <f>IF(Tb_data[[#This Row],[previous_workers]]&lt;Tb_data[[#This Row],[workers]],"yes","no")</f>
        <v>yes</v>
      </c>
      <c r="L4216">
        <f>Tb_data[[#This Row],[workers]]-Tb_data[[#This Row],[previous_workers]]</f>
        <v>22</v>
      </c>
      <c r="M4216" s="12">
        <f>Tb_data[[#This Row],[Employees Growth]]/Tb_data[[#This Row],[previous_workers]]</f>
        <v>0.7857142857142857</v>
      </c>
    </row>
    <row r="4217" spans="1:13" x14ac:dyDescent="0.25">
      <c r="A4217" s="1" t="s">
        <v>4868</v>
      </c>
      <c r="B4217" s="1" t="s">
        <v>4869</v>
      </c>
      <c r="C4217" s="1">
        <v>63100000</v>
      </c>
      <c r="D4217" s="1" t="s">
        <v>20</v>
      </c>
      <c r="E4217">
        <v>166.9676</v>
      </c>
      <c r="F4217" s="1" t="s">
        <v>34</v>
      </c>
      <c r="G4217">
        <v>265</v>
      </c>
      <c r="H4217">
        <v>65</v>
      </c>
      <c r="I4217" s="1" t="s">
        <v>74</v>
      </c>
      <c r="J4217">
        <v>5</v>
      </c>
      <c r="K4217" t="str">
        <f>IF(Tb_data[[#This Row],[previous_workers]]&lt;Tb_data[[#This Row],[workers]],"yes","no")</f>
        <v>yes</v>
      </c>
      <c r="L4217">
        <f>Tb_data[[#This Row],[workers]]-Tb_data[[#This Row],[previous_workers]]</f>
        <v>200</v>
      </c>
      <c r="M4217" s="12">
        <f>Tb_data[[#This Row],[Employees Growth]]/Tb_data[[#This Row],[previous_workers]]</f>
        <v>3.0769230769230771</v>
      </c>
    </row>
    <row r="4218" spans="1:13" x14ac:dyDescent="0.25">
      <c r="A4218" s="1" t="s">
        <v>4065</v>
      </c>
      <c r="B4218" s="1" t="s">
        <v>4066</v>
      </c>
      <c r="C4218" s="1">
        <v>3000000</v>
      </c>
      <c r="D4218" s="1" t="s">
        <v>41</v>
      </c>
      <c r="E4218">
        <v>204.09110000000001</v>
      </c>
      <c r="F4218" s="1" t="s">
        <v>156</v>
      </c>
      <c r="G4218">
        <v>0</v>
      </c>
      <c r="H4218">
        <v>4</v>
      </c>
      <c r="I4218" s="1" t="s">
        <v>55</v>
      </c>
      <c r="J4218">
        <v>1</v>
      </c>
      <c r="K4218" t="str">
        <f>IF(Tb_data[[#This Row],[previous_workers]]&lt;Tb_data[[#This Row],[workers]],"yes","no")</f>
        <v>no</v>
      </c>
      <c r="L4218">
        <f>Tb_data[[#This Row],[workers]]-Tb_data[[#This Row],[previous_workers]]</f>
        <v>-4</v>
      </c>
      <c r="M4218" s="12">
        <f>Tb_data[[#This Row],[Employees Growth]]/Tb_data[[#This Row],[previous_workers]]</f>
        <v>-1</v>
      </c>
    </row>
    <row r="4219" spans="1:13" x14ac:dyDescent="0.25">
      <c r="A4219" s="1" t="s">
        <v>5460</v>
      </c>
      <c r="B4219" s="1" t="s">
        <v>5461</v>
      </c>
      <c r="C4219" s="1">
        <v>4200000</v>
      </c>
      <c r="D4219" s="1" t="s">
        <v>11</v>
      </c>
      <c r="E4219">
        <v>144.20189999999999</v>
      </c>
      <c r="F4219" s="1" t="s">
        <v>86</v>
      </c>
      <c r="G4219">
        <v>38</v>
      </c>
      <c r="H4219">
        <v>19</v>
      </c>
      <c r="I4219" s="1" t="s">
        <v>948</v>
      </c>
      <c r="J4219">
        <v>1</v>
      </c>
      <c r="K4219" t="str">
        <f>IF(Tb_data[[#This Row],[previous_workers]]&lt;Tb_data[[#This Row],[workers]],"yes","no")</f>
        <v>yes</v>
      </c>
      <c r="L4219">
        <f>Tb_data[[#This Row],[workers]]-Tb_data[[#This Row],[previous_workers]]</f>
        <v>19</v>
      </c>
      <c r="M4219" s="12">
        <f>Tb_data[[#This Row],[Employees Growth]]/Tb_data[[#This Row],[previous_workers]]</f>
        <v>1</v>
      </c>
    </row>
    <row r="4220" spans="1:13" x14ac:dyDescent="0.25">
      <c r="A4220" s="1" t="s">
        <v>9025</v>
      </c>
      <c r="B4220" s="1" t="s">
        <v>9026</v>
      </c>
      <c r="C4220" s="1">
        <v>7700000</v>
      </c>
      <c r="D4220" s="1" t="s">
        <v>52</v>
      </c>
      <c r="E4220">
        <v>66.325900000000004</v>
      </c>
      <c r="F4220" s="1" t="s">
        <v>161</v>
      </c>
      <c r="G4220">
        <v>122</v>
      </c>
      <c r="H4220">
        <v>70</v>
      </c>
      <c r="I4220" s="1" t="s">
        <v>117</v>
      </c>
      <c r="J4220">
        <v>1</v>
      </c>
      <c r="K4220" t="str">
        <f>IF(Tb_data[[#This Row],[previous_workers]]&lt;Tb_data[[#This Row],[workers]],"yes","no")</f>
        <v>yes</v>
      </c>
      <c r="L4220">
        <f>Tb_data[[#This Row],[workers]]-Tb_data[[#This Row],[previous_workers]]</f>
        <v>52</v>
      </c>
      <c r="M4220" s="12">
        <f>Tb_data[[#This Row],[Employees Growth]]/Tb_data[[#This Row],[previous_workers]]</f>
        <v>0.74285714285714288</v>
      </c>
    </row>
    <row r="4221" spans="1:13" x14ac:dyDescent="0.25">
      <c r="A4221" s="1" t="s">
        <v>7797</v>
      </c>
      <c r="B4221" s="1" t="s">
        <v>7798</v>
      </c>
      <c r="C4221" s="1">
        <v>18800000</v>
      </c>
      <c r="D4221" s="1" t="s">
        <v>115</v>
      </c>
      <c r="E4221">
        <v>86.364099999999993</v>
      </c>
      <c r="F4221" s="1" t="s">
        <v>17</v>
      </c>
      <c r="G4221">
        <v>25</v>
      </c>
      <c r="H4221">
        <v>14</v>
      </c>
      <c r="I4221" s="1" t="s">
        <v>117</v>
      </c>
      <c r="J4221">
        <v>2</v>
      </c>
      <c r="K4221" t="str">
        <f>IF(Tb_data[[#This Row],[previous_workers]]&lt;Tb_data[[#This Row],[workers]],"yes","no")</f>
        <v>yes</v>
      </c>
      <c r="L4221">
        <f>Tb_data[[#This Row],[workers]]-Tb_data[[#This Row],[previous_workers]]</f>
        <v>11</v>
      </c>
      <c r="M4221" s="12">
        <f>Tb_data[[#This Row],[Employees Growth]]/Tb_data[[#This Row],[previous_workers]]</f>
        <v>0.7857142857142857</v>
      </c>
    </row>
    <row r="4222" spans="1:13" x14ac:dyDescent="0.25">
      <c r="A4222" s="1" t="s">
        <v>8091</v>
      </c>
      <c r="B4222" s="1" t="s">
        <v>8092</v>
      </c>
      <c r="C4222" s="1">
        <v>2500000</v>
      </c>
      <c r="D4222" s="1" t="s">
        <v>45</v>
      </c>
      <c r="E4222">
        <v>81.193799999999996</v>
      </c>
      <c r="F4222" s="1" t="s">
        <v>12</v>
      </c>
      <c r="G4222">
        <v>23</v>
      </c>
      <c r="H4222">
        <v>15</v>
      </c>
      <c r="I4222" s="1" t="s">
        <v>229</v>
      </c>
      <c r="J4222">
        <v>2</v>
      </c>
      <c r="K4222" t="str">
        <f>IF(Tb_data[[#This Row],[previous_workers]]&lt;Tb_data[[#This Row],[workers]],"yes","no")</f>
        <v>yes</v>
      </c>
      <c r="L4222">
        <f>Tb_data[[#This Row],[workers]]-Tb_data[[#This Row],[previous_workers]]</f>
        <v>8</v>
      </c>
      <c r="M4222" s="12">
        <f>Tb_data[[#This Row],[Employees Growth]]/Tb_data[[#This Row],[previous_workers]]</f>
        <v>0.53333333333333333</v>
      </c>
    </row>
    <row r="4223" spans="1:13" x14ac:dyDescent="0.25">
      <c r="A4223" s="1" t="s">
        <v>7905</v>
      </c>
      <c r="B4223" s="1" t="s">
        <v>7906</v>
      </c>
      <c r="C4223" s="1">
        <v>11000000</v>
      </c>
      <c r="D4223" s="1" t="s">
        <v>20</v>
      </c>
      <c r="E4223">
        <v>84.654899999999998</v>
      </c>
      <c r="F4223" s="1" t="s">
        <v>34</v>
      </c>
      <c r="G4223">
        <v>328</v>
      </c>
      <c r="H4223">
        <v>202</v>
      </c>
      <c r="I4223" s="1" t="s">
        <v>164</v>
      </c>
      <c r="J4223">
        <v>5</v>
      </c>
      <c r="K4223" t="str">
        <f>IF(Tb_data[[#This Row],[previous_workers]]&lt;Tb_data[[#This Row],[workers]],"yes","no")</f>
        <v>yes</v>
      </c>
      <c r="L4223">
        <f>Tb_data[[#This Row],[workers]]-Tb_data[[#This Row],[previous_workers]]</f>
        <v>126</v>
      </c>
      <c r="M4223" s="12">
        <f>Tb_data[[#This Row],[Employees Growth]]/Tb_data[[#This Row],[previous_workers]]</f>
        <v>0.62376237623762376</v>
      </c>
    </row>
    <row r="4224" spans="1:13" x14ac:dyDescent="0.25">
      <c r="A4224" s="1" t="s">
        <v>7689</v>
      </c>
      <c r="B4224" s="1" t="s">
        <v>7690</v>
      </c>
      <c r="C4224" s="1">
        <v>22900000</v>
      </c>
      <c r="D4224" s="1" t="s">
        <v>29</v>
      </c>
      <c r="E4224">
        <v>88.248400000000004</v>
      </c>
      <c r="F4224" s="1" t="s">
        <v>172</v>
      </c>
      <c r="G4224">
        <v>34</v>
      </c>
      <c r="H4224">
        <v>23</v>
      </c>
      <c r="I4224" s="1" t="s">
        <v>295</v>
      </c>
      <c r="J4224">
        <v>4</v>
      </c>
      <c r="K4224" t="str">
        <f>IF(Tb_data[[#This Row],[previous_workers]]&lt;Tb_data[[#This Row],[workers]],"yes","no")</f>
        <v>yes</v>
      </c>
      <c r="L4224">
        <f>Tb_data[[#This Row],[workers]]-Tb_data[[#This Row],[previous_workers]]</f>
        <v>11</v>
      </c>
      <c r="M4224" s="12">
        <f>Tb_data[[#This Row],[Employees Growth]]/Tb_data[[#This Row],[previous_workers]]</f>
        <v>0.47826086956521741</v>
      </c>
    </row>
    <row r="4225" spans="1:13" x14ac:dyDescent="0.25">
      <c r="A4225" s="1" t="s">
        <v>1670</v>
      </c>
      <c r="B4225" s="1" t="s">
        <v>1671</v>
      </c>
      <c r="C4225" s="1">
        <v>4000000</v>
      </c>
      <c r="D4225" s="1" t="s">
        <v>79</v>
      </c>
      <c r="E4225">
        <v>552.60109999999997</v>
      </c>
      <c r="F4225" s="1" t="s">
        <v>25</v>
      </c>
      <c r="G4225">
        <v>29</v>
      </c>
      <c r="H4225">
        <v>16</v>
      </c>
      <c r="I4225" s="1" t="s">
        <v>26</v>
      </c>
      <c r="J4225">
        <v>1</v>
      </c>
      <c r="K4225" t="str">
        <f>IF(Tb_data[[#This Row],[previous_workers]]&lt;Tb_data[[#This Row],[workers]],"yes","no")</f>
        <v>yes</v>
      </c>
      <c r="L4225">
        <f>Tb_data[[#This Row],[workers]]-Tb_data[[#This Row],[previous_workers]]</f>
        <v>13</v>
      </c>
      <c r="M4225" s="12">
        <f>Tb_data[[#This Row],[Employees Growth]]/Tb_data[[#This Row],[previous_workers]]</f>
        <v>0.8125</v>
      </c>
    </row>
    <row r="4226" spans="1:13" x14ac:dyDescent="0.25">
      <c r="A4226" s="1" t="s">
        <v>6721</v>
      </c>
      <c r="B4226" s="1" t="s">
        <v>6722</v>
      </c>
      <c r="C4226" s="1">
        <v>11700000</v>
      </c>
      <c r="D4226" s="1" t="s">
        <v>33</v>
      </c>
      <c r="E4226">
        <v>108.6153</v>
      </c>
      <c r="F4226" s="1" t="s">
        <v>25</v>
      </c>
      <c r="G4226">
        <v>50</v>
      </c>
      <c r="H4226">
        <v>40</v>
      </c>
      <c r="I4226" s="1" t="s">
        <v>1949</v>
      </c>
      <c r="J4226">
        <v>3</v>
      </c>
      <c r="K4226" t="str">
        <f>IF(Tb_data[[#This Row],[previous_workers]]&lt;Tb_data[[#This Row],[workers]],"yes","no")</f>
        <v>yes</v>
      </c>
      <c r="L4226">
        <f>Tb_data[[#This Row],[workers]]-Tb_data[[#This Row],[previous_workers]]</f>
        <v>10</v>
      </c>
      <c r="M4226" s="12">
        <f>Tb_data[[#This Row],[Employees Growth]]/Tb_data[[#This Row],[previous_workers]]</f>
        <v>0.25</v>
      </c>
    </row>
    <row r="4227" spans="1:13" x14ac:dyDescent="0.25">
      <c r="A4227" s="1" t="s">
        <v>784</v>
      </c>
      <c r="B4227" s="1" t="s">
        <v>785</v>
      </c>
      <c r="C4227" s="1">
        <v>2700000</v>
      </c>
      <c r="D4227" s="1" t="s">
        <v>45</v>
      </c>
      <c r="E4227">
        <v>1326.3001999999999</v>
      </c>
      <c r="F4227" s="1" t="s">
        <v>176</v>
      </c>
      <c r="G4227">
        <v>2</v>
      </c>
      <c r="H4227">
        <v>2</v>
      </c>
      <c r="I4227" s="1" t="s">
        <v>26</v>
      </c>
      <c r="J4227">
        <v>1</v>
      </c>
      <c r="K4227" t="str">
        <f>IF(Tb_data[[#This Row],[previous_workers]]&lt;Tb_data[[#This Row],[workers]],"yes","no")</f>
        <v>no</v>
      </c>
      <c r="L4227">
        <f>Tb_data[[#This Row],[workers]]-Tb_data[[#This Row],[previous_workers]]</f>
        <v>0</v>
      </c>
      <c r="M4227" s="12">
        <f>Tb_data[[#This Row],[Employees Growth]]/Tb_data[[#This Row],[previous_workers]]</f>
        <v>0</v>
      </c>
    </row>
    <row r="4228" spans="1:13" x14ac:dyDescent="0.25">
      <c r="A4228" s="1" t="s">
        <v>5444</v>
      </c>
      <c r="B4228" s="1" t="s">
        <v>5445</v>
      </c>
      <c r="C4228" s="1">
        <v>3800000</v>
      </c>
      <c r="D4228" s="1" t="s">
        <v>41</v>
      </c>
      <c r="E4228">
        <v>144.75640000000001</v>
      </c>
      <c r="F4228" s="1" t="s">
        <v>97</v>
      </c>
      <c r="G4228">
        <v>75</v>
      </c>
      <c r="H4228">
        <v>41</v>
      </c>
      <c r="I4228" s="1" t="s">
        <v>117</v>
      </c>
      <c r="J4228">
        <v>3</v>
      </c>
      <c r="K4228" t="str">
        <f>IF(Tb_data[[#This Row],[previous_workers]]&lt;Tb_data[[#This Row],[workers]],"yes","no")</f>
        <v>yes</v>
      </c>
      <c r="L4228">
        <f>Tb_data[[#This Row],[workers]]-Tb_data[[#This Row],[previous_workers]]</f>
        <v>34</v>
      </c>
      <c r="M4228" s="12">
        <f>Tb_data[[#This Row],[Employees Growth]]/Tb_data[[#This Row],[previous_workers]]</f>
        <v>0.82926829268292679</v>
      </c>
    </row>
    <row r="4229" spans="1:13" x14ac:dyDescent="0.25">
      <c r="A4229" s="1" t="s">
        <v>839</v>
      </c>
      <c r="B4229" s="1" t="s">
        <v>840</v>
      </c>
      <c r="C4229" s="1">
        <v>3400000</v>
      </c>
      <c r="D4229" s="1" t="s">
        <v>61</v>
      </c>
      <c r="E4229">
        <v>1226.6247000000001</v>
      </c>
      <c r="F4229" s="1" t="s">
        <v>156</v>
      </c>
      <c r="G4229">
        <v>121</v>
      </c>
      <c r="H4229">
        <v>16</v>
      </c>
      <c r="I4229" s="1" t="s">
        <v>26</v>
      </c>
      <c r="J4229">
        <v>1</v>
      </c>
      <c r="K4229" t="str">
        <f>IF(Tb_data[[#This Row],[previous_workers]]&lt;Tb_data[[#This Row],[workers]],"yes","no")</f>
        <v>yes</v>
      </c>
      <c r="L4229">
        <f>Tb_data[[#This Row],[workers]]-Tb_data[[#This Row],[previous_workers]]</f>
        <v>105</v>
      </c>
      <c r="M4229" s="12">
        <f>Tb_data[[#This Row],[Employees Growth]]/Tb_data[[#This Row],[previous_workers]]</f>
        <v>6.5625</v>
      </c>
    </row>
    <row r="4230" spans="1:13" x14ac:dyDescent="0.25">
      <c r="A4230" s="1" t="s">
        <v>6437</v>
      </c>
      <c r="B4230" s="1" t="s">
        <v>6438</v>
      </c>
      <c r="C4230" s="1">
        <v>28700000</v>
      </c>
      <c r="D4230" s="1" t="s">
        <v>129</v>
      </c>
      <c r="E4230">
        <v>115.4049</v>
      </c>
      <c r="F4230" s="1" t="s">
        <v>156</v>
      </c>
      <c r="G4230">
        <v>72</v>
      </c>
      <c r="H4230">
        <v>78</v>
      </c>
      <c r="I4230" s="1" t="s">
        <v>3426</v>
      </c>
      <c r="J4230">
        <v>1</v>
      </c>
      <c r="K4230" t="str">
        <f>IF(Tb_data[[#This Row],[previous_workers]]&lt;Tb_data[[#This Row],[workers]],"yes","no")</f>
        <v>no</v>
      </c>
      <c r="L4230">
        <f>Tb_data[[#This Row],[workers]]-Tb_data[[#This Row],[previous_workers]]</f>
        <v>-6</v>
      </c>
      <c r="M4230" s="12">
        <f>Tb_data[[#This Row],[Employees Growth]]/Tb_data[[#This Row],[previous_workers]]</f>
        <v>-7.6923076923076927E-2</v>
      </c>
    </row>
    <row r="4231" spans="1:13" x14ac:dyDescent="0.25">
      <c r="A4231" s="1" t="s">
        <v>5432</v>
      </c>
      <c r="B4231" s="1" t="s">
        <v>5433</v>
      </c>
      <c r="C4231" s="1">
        <v>95700000</v>
      </c>
      <c r="D4231" s="1" t="s">
        <v>41</v>
      </c>
      <c r="E4231">
        <v>145.10040000000001</v>
      </c>
      <c r="F4231" s="1" t="s">
        <v>17</v>
      </c>
      <c r="G4231">
        <v>512</v>
      </c>
      <c r="H4231">
        <v>345</v>
      </c>
      <c r="I4231" s="1" t="s">
        <v>3973</v>
      </c>
      <c r="J4231">
        <v>4</v>
      </c>
      <c r="K4231" t="str">
        <f>IF(Tb_data[[#This Row],[previous_workers]]&lt;Tb_data[[#This Row],[workers]],"yes","no")</f>
        <v>yes</v>
      </c>
      <c r="L4231">
        <f>Tb_data[[#This Row],[workers]]-Tb_data[[#This Row],[previous_workers]]</f>
        <v>167</v>
      </c>
      <c r="M4231" s="12">
        <f>Tb_data[[#This Row],[Employees Growth]]/Tb_data[[#This Row],[previous_workers]]</f>
        <v>0.48405797101449277</v>
      </c>
    </row>
    <row r="4232" spans="1:13" x14ac:dyDescent="0.25">
      <c r="A4232" s="1" t="s">
        <v>5440</v>
      </c>
      <c r="B4232" s="1" t="s">
        <v>5441</v>
      </c>
      <c r="C4232" s="1">
        <v>62000000</v>
      </c>
      <c r="D4232" s="1" t="s">
        <v>179</v>
      </c>
      <c r="E4232">
        <v>144.7689</v>
      </c>
      <c r="F4232" s="1" t="s">
        <v>176</v>
      </c>
      <c r="G4232">
        <v>139</v>
      </c>
      <c r="H4232">
        <v>66</v>
      </c>
      <c r="I4232" s="1" t="s">
        <v>35</v>
      </c>
      <c r="J4232">
        <v>5</v>
      </c>
      <c r="K4232" t="str">
        <f>IF(Tb_data[[#This Row],[previous_workers]]&lt;Tb_data[[#This Row],[workers]],"yes","no")</f>
        <v>yes</v>
      </c>
      <c r="L4232">
        <f>Tb_data[[#This Row],[workers]]-Tb_data[[#This Row],[previous_workers]]</f>
        <v>73</v>
      </c>
      <c r="M4232" s="12">
        <f>Tb_data[[#This Row],[Employees Growth]]/Tb_data[[#This Row],[previous_workers]]</f>
        <v>1.106060606060606</v>
      </c>
    </row>
    <row r="4233" spans="1:13" x14ac:dyDescent="0.25">
      <c r="A4233" s="1" t="s">
        <v>7415</v>
      </c>
      <c r="B4233" s="1" t="s">
        <v>7416</v>
      </c>
      <c r="C4233" s="1">
        <v>32300000</v>
      </c>
      <c r="D4233" s="1" t="s">
        <v>45</v>
      </c>
      <c r="E4233">
        <v>95.064300000000003</v>
      </c>
      <c r="F4233" s="1" t="s">
        <v>97</v>
      </c>
      <c r="G4233">
        <v>190</v>
      </c>
      <c r="H4233">
        <v>62</v>
      </c>
      <c r="I4233" s="1" t="s">
        <v>74</v>
      </c>
      <c r="J4233">
        <v>4</v>
      </c>
      <c r="K4233" t="str">
        <f>IF(Tb_data[[#This Row],[previous_workers]]&lt;Tb_data[[#This Row],[workers]],"yes","no")</f>
        <v>yes</v>
      </c>
      <c r="L4233">
        <f>Tb_data[[#This Row],[workers]]-Tb_data[[#This Row],[previous_workers]]</f>
        <v>128</v>
      </c>
      <c r="M4233" s="12">
        <f>Tb_data[[#This Row],[Employees Growth]]/Tb_data[[#This Row],[previous_workers]]</f>
        <v>2.064516129032258</v>
      </c>
    </row>
    <row r="4234" spans="1:13" x14ac:dyDescent="0.25">
      <c r="A4234" s="1" t="s">
        <v>7525</v>
      </c>
      <c r="B4234" s="1" t="s">
        <v>7526</v>
      </c>
      <c r="C4234" s="1">
        <v>12000000</v>
      </c>
      <c r="D4234" s="1" t="s">
        <v>20</v>
      </c>
      <c r="E4234">
        <v>92.397900000000007</v>
      </c>
      <c r="F4234" s="1" t="s">
        <v>135</v>
      </c>
      <c r="G4234">
        <v>120</v>
      </c>
      <c r="H4234">
        <v>35</v>
      </c>
      <c r="I4234" s="1" t="s">
        <v>164</v>
      </c>
      <c r="J4234">
        <v>5</v>
      </c>
      <c r="K4234" t="str">
        <f>IF(Tb_data[[#This Row],[previous_workers]]&lt;Tb_data[[#This Row],[workers]],"yes","no")</f>
        <v>yes</v>
      </c>
      <c r="L4234">
        <f>Tb_data[[#This Row],[workers]]-Tb_data[[#This Row],[previous_workers]]</f>
        <v>85</v>
      </c>
      <c r="M4234" s="12">
        <f>Tb_data[[#This Row],[Employees Growth]]/Tb_data[[#This Row],[previous_workers]]</f>
        <v>2.4285714285714284</v>
      </c>
    </row>
    <row r="4235" spans="1:13" x14ac:dyDescent="0.25">
      <c r="A4235" s="1" t="s">
        <v>10074</v>
      </c>
      <c r="B4235" s="1" t="s">
        <v>10075</v>
      </c>
      <c r="C4235" s="1">
        <v>3600000</v>
      </c>
      <c r="D4235" s="1" t="s">
        <v>49</v>
      </c>
      <c r="E4235">
        <v>52.540999999999997</v>
      </c>
      <c r="F4235" s="1" t="s">
        <v>12</v>
      </c>
      <c r="G4235">
        <v>14</v>
      </c>
      <c r="H4235">
        <v>6</v>
      </c>
      <c r="I4235" s="1" t="s">
        <v>55</v>
      </c>
      <c r="J4235">
        <v>1</v>
      </c>
      <c r="K4235" t="str">
        <f>IF(Tb_data[[#This Row],[previous_workers]]&lt;Tb_data[[#This Row],[workers]],"yes","no")</f>
        <v>yes</v>
      </c>
      <c r="L4235">
        <f>Tb_data[[#This Row],[workers]]-Tb_data[[#This Row],[previous_workers]]</f>
        <v>8</v>
      </c>
      <c r="M4235" s="12">
        <f>Tb_data[[#This Row],[Employees Growth]]/Tb_data[[#This Row],[previous_workers]]</f>
        <v>1.3333333333333333</v>
      </c>
    </row>
    <row r="4236" spans="1:13" x14ac:dyDescent="0.25">
      <c r="A4236" s="1" t="s">
        <v>7485</v>
      </c>
      <c r="B4236" s="1" t="s">
        <v>7486</v>
      </c>
      <c r="C4236" s="1">
        <v>26900000</v>
      </c>
      <c r="D4236" s="1" t="s">
        <v>49</v>
      </c>
      <c r="E4236">
        <v>93.346100000000007</v>
      </c>
      <c r="F4236" s="1" t="s">
        <v>310</v>
      </c>
      <c r="G4236">
        <v>37</v>
      </c>
      <c r="H4236">
        <v>35</v>
      </c>
      <c r="I4236" s="1" t="s">
        <v>55</v>
      </c>
      <c r="J4236">
        <v>1</v>
      </c>
      <c r="K4236" t="str">
        <f>IF(Tb_data[[#This Row],[previous_workers]]&lt;Tb_data[[#This Row],[workers]],"yes","no")</f>
        <v>yes</v>
      </c>
      <c r="L4236">
        <f>Tb_data[[#This Row],[workers]]-Tb_data[[#This Row],[previous_workers]]</f>
        <v>2</v>
      </c>
      <c r="M4236" s="12">
        <f>Tb_data[[#This Row],[Employees Growth]]/Tb_data[[#This Row],[previous_workers]]</f>
        <v>5.7142857142857141E-2</v>
      </c>
    </row>
    <row r="4237" spans="1:13" x14ac:dyDescent="0.25">
      <c r="A4237" s="1" t="s">
        <v>77</v>
      </c>
      <c r="B4237" s="1" t="s">
        <v>78</v>
      </c>
      <c r="C4237" s="1">
        <v>10200000</v>
      </c>
      <c r="D4237" s="1" t="s">
        <v>79</v>
      </c>
      <c r="E4237">
        <v>8327.0956000000006</v>
      </c>
      <c r="F4237" s="1" t="s">
        <v>34</v>
      </c>
      <c r="G4237">
        <v>45</v>
      </c>
      <c r="H4237">
        <v>1</v>
      </c>
      <c r="I4237" s="1" t="s">
        <v>13</v>
      </c>
      <c r="J4237">
        <v>1</v>
      </c>
      <c r="K4237" t="str">
        <f>IF(Tb_data[[#This Row],[previous_workers]]&lt;Tb_data[[#This Row],[workers]],"yes","no")</f>
        <v>yes</v>
      </c>
      <c r="L4237">
        <f>Tb_data[[#This Row],[workers]]-Tb_data[[#This Row],[previous_workers]]</f>
        <v>44</v>
      </c>
      <c r="M4237" s="12">
        <f>Tb_data[[#This Row],[Employees Growth]]/Tb_data[[#This Row],[previous_workers]]</f>
        <v>44</v>
      </c>
    </row>
    <row r="4238" spans="1:13" x14ac:dyDescent="0.25">
      <c r="A4238" s="1" t="s">
        <v>2799</v>
      </c>
      <c r="B4238" s="1" t="s">
        <v>2800</v>
      </c>
      <c r="C4238" s="1">
        <v>35600000</v>
      </c>
      <c r="D4238" s="1" t="s">
        <v>16</v>
      </c>
      <c r="E4238">
        <v>308.46839999999997</v>
      </c>
      <c r="F4238" s="1" t="s">
        <v>17</v>
      </c>
      <c r="G4238">
        <v>17</v>
      </c>
      <c r="H4238">
        <v>8</v>
      </c>
      <c r="I4238" s="1" t="s">
        <v>130</v>
      </c>
      <c r="J4238">
        <v>1</v>
      </c>
      <c r="K4238" t="str">
        <f>IF(Tb_data[[#This Row],[previous_workers]]&lt;Tb_data[[#This Row],[workers]],"yes","no")</f>
        <v>yes</v>
      </c>
      <c r="L4238">
        <f>Tb_data[[#This Row],[workers]]-Tb_data[[#This Row],[previous_workers]]</f>
        <v>9</v>
      </c>
      <c r="M4238" s="12">
        <f>Tb_data[[#This Row],[Employees Growth]]/Tb_data[[#This Row],[previous_workers]]</f>
        <v>1.125</v>
      </c>
    </row>
    <row r="4239" spans="1:13" x14ac:dyDescent="0.25">
      <c r="A4239" s="1" t="s">
        <v>638</v>
      </c>
      <c r="B4239" s="1" t="s">
        <v>639</v>
      </c>
      <c r="C4239" s="1">
        <v>18400000</v>
      </c>
      <c r="D4239" s="1" t="s">
        <v>41</v>
      </c>
      <c r="E4239">
        <v>1600.2494999999999</v>
      </c>
      <c r="F4239" s="1" t="s">
        <v>156</v>
      </c>
      <c r="G4239">
        <v>106</v>
      </c>
      <c r="H4239">
        <v>16</v>
      </c>
      <c r="I4239" s="1" t="s">
        <v>26</v>
      </c>
      <c r="J4239">
        <v>1</v>
      </c>
      <c r="K4239" t="str">
        <f>IF(Tb_data[[#This Row],[previous_workers]]&lt;Tb_data[[#This Row],[workers]],"yes","no")</f>
        <v>yes</v>
      </c>
      <c r="L4239">
        <f>Tb_data[[#This Row],[workers]]-Tb_data[[#This Row],[previous_workers]]</f>
        <v>90</v>
      </c>
      <c r="M4239" s="12">
        <f>Tb_data[[#This Row],[Employees Growth]]/Tb_data[[#This Row],[previous_workers]]</f>
        <v>5.625</v>
      </c>
    </row>
    <row r="4240" spans="1:13" x14ac:dyDescent="0.25">
      <c r="A4240" s="1" t="s">
        <v>5454</v>
      </c>
      <c r="B4240" s="1" t="s">
        <v>5455</v>
      </c>
      <c r="C4240" s="1">
        <v>10900000</v>
      </c>
      <c r="D4240" s="1" t="s">
        <v>115</v>
      </c>
      <c r="E4240">
        <v>144.43530000000001</v>
      </c>
      <c r="F4240" s="1" t="s">
        <v>21</v>
      </c>
      <c r="G4240">
        <v>31</v>
      </c>
      <c r="H4240">
        <v>10</v>
      </c>
      <c r="I4240" s="1" t="s">
        <v>2628</v>
      </c>
      <c r="J4240">
        <v>2</v>
      </c>
      <c r="K4240" t="str">
        <f>IF(Tb_data[[#This Row],[previous_workers]]&lt;Tb_data[[#This Row],[workers]],"yes","no")</f>
        <v>yes</v>
      </c>
      <c r="L4240">
        <f>Tb_data[[#This Row],[workers]]-Tb_data[[#This Row],[previous_workers]]</f>
        <v>21</v>
      </c>
      <c r="M4240" s="12">
        <f>Tb_data[[#This Row],[Employees Growth]]/Tb_data[[#This Row],[previous_workers]]</f>
        <v>2.1</v>
      </c>
    </row>
    <row r="4241" spans="1:13" x14ac:dyDescent="0.25">
      <c r="A4241" s="1" t="s">
        <v>4262</v>
      </c>
      <c r="B4241" s="1" t="s">
        <v>4263</v>
      </c>
      <c r="C4241" s="1">
        <v>7300000</v>
      </c>
      <c r="D4241" s="1" t="s">
        <v>49</v>
      </c>
      <c r="E4241">
        <v>193.47970000000001</v>
      </c>
      <c r="F4241" s="1" t="s">
        <v>17</v>
      </c>
      <c r="G4241">
        <v>5</v>
      </c>
      <c r="H4241">
        <v>5</v>
      </c>
      <c r="I4241" s="1" t="s">
        <v>13</v>
      </c>
      <c r="J4241">
        <v>1</v>
      </c>
      <c r="K4241" t="str">
        <f>IF(Tb_data[[#This Row],[previous_workers]]&lt;Tb_data[[#This Row],[workers]],"yes","no")</f>
        <v>no</v>
      </c>
      <c r="L4241">
        <f>Tb_data[[#This Row],[workers]]-Tb_data[[#This Row],[previous_workers]]</f>
        <v>0</v>
      </c>
      <c r="M4241" s="12">
        <f>Tb_data[[#This Row],[Employees Growth]]/Tb_data[[#This Row],[previous_workers]]</f>
        <v>0</v>
      </c>
    </row>
    <row r="4242" spans="1:13" x14ac:dyDescent="0.25">
      <c r="A4242" s="1" t="s">
        <v>4716</v>
      </c>
      <c r="B4242" s="1" t="s">
        <v>4717</v>
      </c>
      <c r="C4242" s="1">
        <v>13500000</v>
      </c>
      <c r="D4242" s="1" t="s">
        <v>375</v>
      </c>
      <c r="E4242">
        <v>173.9427</v>
      </c>
      <c r="F4242" s="1" t="s">
        <v>161</v>
      </c>
      <c r="G4242">
        <v>1353</v>
      </c>
      <c r="H4242">
        <v>750</v>
      </c>
      <c r="I4242" s="1" t="s">
        <v>194</v>
      </c>
      <c r="J4242">
        <v>1</v>
      </c>
      <c r="K4242" t="str">
        <f>IF(Tb_data[[#This Row],[previous_workers]]&lt;Tb_data[[#This Row],[workers]],"yes","no")</f>
        <v>yes</v>
      </c>
      <c r="L4242">
        <f>Tb_data[[#This Row],[workers]]-Tb_data[[#This Row],[previous_workers]]</f>
        <v>603</v>
      </c>
      <c r="M4242" s="12">
        <f>Tb_data[[#This Row],[Employees Growth]]/Tb_data[[#This Row],[previous_workers]]</f>
        <v>0.80400000000000005</v>
      </c>
    </row>
    <row r="4243" spans="1:13" x14ac:dyDescent="0.25">
      <c r="A4243" s="1" t="s">
        <v>1495</v>
      </c>
      <c r="B4243" s="1" t="s">
        <v>1496</v>
      </c>
      <c r="C4243" s="1">
        <v>2200000</v>
      </c>
      <c r="D4243" s="1" t="s">
        <v>52</v>
      </c>
      <c r="E4243">
        <v>625.78390000000002</v>
      </c>
      <c r="F4243" s="1" t="s">
        <v>161</v>
      </c>
      <c r="G4243">
        <v>15</v>
      </c>
      <c r="H4243">
        <v>3</v>
      </c>
      <c r="I4243" s="1" t="s">
        <v>26</v>
      </c>
      <c r="J4243">
        <v>1</v>
      </c>
      <c r="K4243" t="str">
        <f>IF(Tb_data[[#This Row],[previous_workers]]&lt;Tb_data[[#This Row],[workers]],"yes","no")</f>
        <v>yes</v>
      </c>
      <c r="L4243">
        <f>Tb_data[[#This Row],[workers]]-Tb_data[[#This Row],[previous_workers]]</f>
        <v>12</v>
      </c>
      <c r="M4243" s="12">
        <f>Tb_data[[#This Row],[Employees Growth]]/Tb_data[[#This Row],[previous_workers]]</f>
        <v>4</v>
      </c>
    </row>
    <row r="4244" spans="1:13" x14ac:dyDescent="0.25">
      <c r="A4244" s="1" t="s">
        <v>5378</v>
      </c>
      <c r="B4244" s="1" t="s">
        <v>5379</v>
      </c>
      <c r="C4244" s="1">
        <v>80700000</v>
      </c>
      <c r="D4244" s="1" t="s">
        <v>61</v>
      </c>
      <c r="E4244">
        <v>147.13249999999999</v>
      </c>
      <c r="F4244" s="1" t="s">
        <v>161</v>
      </c>
      <c r="G4244">
        <v>1919</v>
      </c>
      <c r="H4244">
        <v>434</v>
      </c>
      <c r="I4244" s="1" t="s">
        <v>980</v>
      </c>
      <c r="J4244">
        <v>2</v>
      </c>
      <c r="K4244" t="str">
        <f>IF(Tb_data[[#This Row],[previous_workers]]&lt;Tb_data[[#This Row],[workers]],"yes","no")</f>
        <v>yes</v>
      </c>
      <c r="L4244">
        <f>Tb_data[[#This Row],[workers]]-Tb_data[[#This Row],[previous_workers]]</f>
        <v>1485</v>
      </c>
      <c r="M4244" s="12">
        <f>Tb_data[[#This Row],[Employees Growth]]/Tb_data[[#This Row],[previous_workers]]</f>
        <v>3.4216589861751152</v>
      </c>
    </row>
    <row r="4245" spans="1:13" x14ac:dyDescent="0.25">
      <c r="A4245" s="1" t="s">
        <v>7849</v>
      </c>
      <c r="B4245" s="1" t="s">
        <v>7850</v>
      </c>
      <c r="C4245" s="1">
        <v>105300000</v>
      </c>
      <c r="D4245" s="1" t="s">
        <v>45</v>
      </c>
      <c r="E4245">
        <v>85.419300000000007</v>
      </c>
      <c r="F4245" s="1" t="s">
        <v>161</v>
      </c>
      <c r="G4245">
        <v>210</v>
      </c>
      <c r="H4245">
        <v>80</v>
      </c>
      <c r="I4245" s="1" t="s">
        <v>1051</v>
      </c>
      <c r="J4245">
        <v>7</v>
      </c>
      <c r="K4245" t="str">
        <f>IF(Tb_data[[#This Row],[previous_workers]]&lt;Tb_data[[#This Row],[workers]],"yes","no")</f>
        <v>yes</v>
      </c>
      <c r="L4245">
        <f>Tb_data[[#This Row],[workers]]-Tb_data[[#This Row],[previous_workers]]</f>
        <v>130</v>
      </c>
      <c r="M4245" s="12">
        <f>Tb_data[[#This Row],[Employees Growth]]/Tb_data[[#This Row],[previous_workers]]</f>
        <v>1.625</v>
      </c>
    </row>
    <row r="4246" spans="1:13" x14ac:dyDescent="0.25">
      <c r="A4246" s="1" t="s">
        <v>159</v>
      </c>
      <c r="B4246" s="1" t="s">
        <v>160</v>
      </c>
      <c r="C4246" s="1">
        <v>48500000</v>
      </c>
      <c r="D4246" s="1" t="s">
        <v>129</v>
      </c>
      <c r="E4246">
        <v>5484.3681999999999</v>
      </c>
      <c r="F4246" s="1" t="s">
        <v>161</v>
      </c>
      <c r="G4246">
        <v>500</v>
      </c>
      <c r="H4246">
        <v>70</v>
      </c>
      <c r="I4246" s="1" t="s">
        <v>130</v>
      </c>
      <c r="J4246">
        <v>3</v>
      </c>
      <c r="K4246" t="str">
        <f>IF(Tb_data[[#This Row],[previous_workers]]&lt;Tb_data[[#This Row],[workers]],"yes","no")</f>
        <v>yes</v>
      </c>
      <c r="L4246">
        <f>Tb_data[[#This Row],[workers]]-Tb_data[[#This Row],[previous_workers]]</f>
        <v>430</v>
      </c>
      <c r="M4246" s="12">
        <f>Tb_data[[#This Row],[Employees Growth]]/Tb_data[[#This Row],[previous_workers]]</f>
        <v>6.1428571428571432</v>
      </c>
    </row>
    <row r="4247" spans="1:13" x14ac:dyDescent="0.25">
      <c r="A4247" s="1" t="s">
        <v>1234</v>
      </c>
      <c r="B4247" s="1" t="s">
        <v>1235</v>
      </c>
      <c r="C4247" s="1">
        <v>2800000</v>
      </c>
      <c r="D4247" s="1" t="s">
        <v>61</v>
      </c>
      <c r="E4247">
        <v>777.71510000000001</v>
      </c>
      <c r="F4247" s="1" t="s">
        <v>12</v>
      </c>
      <c r="G4247">
        <v>11</v>
      </c>
      <c r="H4247">
        <v>2</v>
      </c>
      <c r="I4247" s="1" t="s">
        <v>26</v>
      </c>
      <c r="J4247">
        <v>1</v>
      </c>
      <c r="K4247" t="str">
        <f>IF(Tb_data[[#This Row],[previous_workers]]&lt;Tb_data[[#This Row],[workers]],"yes","no")</f>
        <v>yes</v>
      </c>
      <c r="L4247">
        <f>Tb_data[[#This Row],[workers]]-Tb_data[[#This Row],[previous_workers]]</f>
        <v>9</v>
      </c>
      <c r="M4247" s="12">
        <f>Tb_data[[#This Row],[Employees Growth]]/Tb_data[[#This Row],[previous_workers]]</f>
        <v>4.5</v>
      </c>
    </row>
    <row r="4248" spans="1:13" x14ac:dyDescent="0.25">
      <c r="A4248" s="1" t="s">
        <v>5430</v>
      </c>
      <c r="B4248" s="1" t="s">
        <v>5431</v>
      </c>
      <c r="C4248" s="1">
        <v>3400000</v>
      </c>
      <c r="D4248" s="1" t="s">
        <v>33</v>
      </c>
      <c r="E4248">
        <v>145.1172</v>
      </c>
      <c r="F4248" s="1" t="s">
        <v>100</v>
      </c>
      <c r="G4248">
        <v>24</v>
      </c>
      <c r="H4248">
        <v>8</v>
      </c>
      <c r="I4248" s="1" t="s">
        <v>26</v>
      </c>
      <c r="J4248">
        <v>1</v>
      </c>
      <c r="K4248" t="str">
        <f>IF(Tb_data[[#This Row],[previous_workers]]&lt;Tb_data[[#This Row],[workers]],"yes","no")</f>
        <v>yes</v>
      </c>
      <c r="L4248">
        <f>Tb_data[[#This Row],[workers]]-Tb_data[[#This Row],[previous_workers]]</f>
        <v>16</v>
      </c>
      <c r="M4248" s="12">
        <f>Tb_data[[#This Row],[Employees Growth]]/Tb_data[[#This Row],[previous_workers]]</f>
        <v>2</v>
      </c>
    </row>
    <row r="4249" spans="1:13" x14ac:dyDescent="0.25">
      <c r="A4249" s="1" t="s">
        <v>1618</v>
      </c>
      <c r="B4249" s="1" t="s">
        <v>1619</v>
      </c>
      <c r="C4249" s="1">
        <v>28600000</v>
      </c>
      <c r="D4249" s="1" t="s">
        <v>236</v>
      </c>
      <c r="E4249">
        <v>576.25059999999996</v>
      </c>
      <c r="F4249" s="1" t="s">
        <v>17</v>
      </c>
      <c r="G4249">
        <v>15</v>
      </c>
      <c r="H4249">
        <v>5</v>
      </c>
      <c r="I4249" s="1" t="s">
        <v>130</v>
      </c>
      <c r="J4249">
        <v>3</v>
      </c>
      <c r="K4249" t="str">
        <f>IF(Tb_data[[#This Row],[previous_workers]]&lt;Tb_data[[#This Row],[workers]],"yes","no")</f>
        <v>yes</v>
      </c>
      <c r="L4249">
        <f>Tb_data[[#This Row],[workers]]-Tb_data[[#This Row],[previous_workers]]</f>
        <v>10</v>
      </c>
      <c r="M4249" s="12">
        <f>Tb_data[[#This Row],[Employees Growth]]/Tb_data[[#This Row],[previous_workers]]</f>
        <v>2</v>
      </c>
    </row>
    <row r="4250" spans="1:13" x14ac:dyDescent="0.25">
      <c r="A4250" s="1" t="s">
        <v>4820</v>
      </c>
      <c r="B4250" s="1" t="s">
        <v>4821</v>
      </c>
      <c r="C4250" s="1">
        <v>8900000</v>
      </c>
      <c r="D4250" s="1" t="s">
        <v>11</v>
      </c>
      <c r="E4250">
        <v>169.04400000000001</v>
      </c>
      <c r="F4250" s="1" t="s">
        <v>176</v>
      </c>
      <c r="G4250">
        <v>59</v>
      </c>
      <c r="H4250">
        <v>26</v>
      </c>
      <c r="I4250" s="1" t="s">
        <v>35</v>
      </c>
      <c r="J4250">
        <v>5</v>
      </c>
      <c r="K4250" t="str">
        <f>IF(Tb_data[[#This Row],[previous_workers]]&lt;Tb_data[[#This Row],[workers]],"yes","no")</f>
        <v>yes</v>
      </c>
      <c r="L4250">
        <f>Tb_data[[#This Row],[workers]]-Tb_data[[#This Row],[previous_workers]]</f>
        <v>33</v>
      </c>
      <c r="M4250" s="12">
        <f>Tb_data[[#This Row],[Employees Growth]]/Tb_data[[#This Row],[previous_workers]]</f>
        <v>1.2692307692307692</v>
      </c>
    </row>
    <row r="4251" spans="1:13" x14ac:dyDescent="0.25">
      <c r="A4251" s="1" t="s">
        <v>7258</v>
      </c>
      <c r="B4251" s="1" t="s">
        <v>7259</v>
      </c>
      <c r="C4251" s="1">
        <v>66300000</v>
      </c>
      <c r="D4251" s="1" t="s">
        <v>20</v>
      </c>
      <c r="E4251">
        <v>97.611599999999996</v>
      </c>
      <c r="F4251" s="1" t="s">
        <v>161</v>
      </c>
      <c r="G4251">
        <v>90</v>
      </c>
      <c r="H4251">
        <v>70</v>
      </c>
      <c r="I4251" s="1" t="s">
        <v>46</v>
      </c>
      <c r="J4251">
        <v>6</v>
      </c>
      <c r="K4251" t="str">
        <f>IF(Tb_data[[#This Row],[previous_workers]]&lt;Tb_data[[#This Row],[workers]],"yes","no")</f>
        <v>yes</v>
      </c>
      <c r="L4251">
        <f>Tb_data[[#This Row],[workers]]-Tb_data[[#This Row],[previous_workers]]</f>
        <v>20</v>
      </c>
      <c r="M4251" s="12">
        <f>Tb_data[[#This Row],[Employees Growth]]/Tb_data[[#This Row],[previous_workers]]</f>
        <v>0.2857142857142857</v>
      </c>
    </row>
    <row r="4252" spans="1:13" x14ac:dyDescent="0.25">
      <c r="A4252" s="1" t="s">
        <v>7799</v>
      </c>
      <c r="B4252" s="1" t="s">
        <v>7800</v>
      </c>
      <c r="C4252" s="1">
        <v>9100000</v>
      </c>
      <c r="D4252" s="1" t="s">
        <v>41</v>
      </c>
      <c r="E4252">
        <v>86.332300000000004</v>
      </c>
      <c r="F4252" s="1" t="s">
        <v>135</v>
      </c>
      <c r="G4252">
        <v>68</v>
      </c>
      <c r="H4252">
        <v>45</v>
      </c>
      <c r="I4252" s="1" t="s">
        <v>164</v>
      </c>
      <c r="J4252">
        <v>4</v>
      </c>
      <c r="K4252" t="str">
        <f>IF(Tb_data[[#This Row],[previous_workers]]&lt;Tb_data[[#This Row],[workers]],"yes","no")</f>
        <v>yes</v>
      </c>
      <c r="L4252">
        <f>Tb_data[[#This Row],[workers]]-Tb_data[[#This Row],[previous_workers]]</f>
        <v>23</v>
      </c>
      <c r="M4252" s="12">
        <f>Tb_data[[#This Row],[Employees Growth]]/Tb_data[[#This Row],[previous_workers]]</f>
        <v>0.51111111111111107</v>
      </c>
    </row>
    <row r="4253" spans="1:13" x14ac:dyDescent="0.25">
      <c r="A4253" s="1" t="s">
        <v>7266</v>
      </c>
      <c r="B4253" s="1" t="s">
        <v>7267</v>
      </c>
      <c r="C4253" s="1">
        <v>4500000</v>
      </c>
      <c r="D4253" s="1" t="s">
        <v>155</v>
      </c>
      <c r="E4253">
        <v>97.539299999999997</v>
      </c>
      <c r="F4253" s="1" t="s">
        <v>86</v>
      </c>
      <c r="G4253">
        <v>27</v>
      </c>
      <c r="H4253">
        <v>16</v>
      </c>
      <c r="I4253" s="1" t="s">
        <v>1051</v>
      </c>
      <c r="J4253">
        <v>4</v>
      </c>
      <c r="K4253" t="str">
        <f>IF(Tb_data[[#This Row],[previous_workers]]&lt;Tb_data[[#This Row],[workers]],"yes","no")</f>
        <v>yes</v>
      </c>
      <c r="L4253">
        <f>Tb_data[[#This Row],[workers]]-Tb_data[[#This Row],[previous_workers]]</f>
        <v>11</v>
      </c>
      <c r="M4253" s="12">
        <f>Tb_data[[#This Row],[Employees Growth]]/Tb_data[[#This Row],[previous_workers]]</f>
        <v>0.6875</v>
      </c>
    </row>
    <row r="4254" spans="1:13" x14ac:dyDescent="0.25">
      <c r="A4254" s="1" t="s">
        <v>414</v>
      </c>
      <c r="B4254" s="1" t="s">
        <v>415</v>
      </c>
      <c r="C4254" s="1">
        <v>15500000</v>
      </c>
      <c r="D4254" s="1" t="s">
        <v>33</v>
      </c>
      <c r="E4254">
        <v>2313.8368999999998</v>
      </c>
      <c r="F4254" s="1" t="s">
        <v>34</v>
      </c>
      <c r="G4254">
        <v>40</v>
      </c>
      <c r="H4254">
        <v>8</v>
      </c>
      <c r="I4254" s="1" t="s">
        <v>55</v>
      </c>
      <c r="J4254">
        <v>1</v>
      </c>
      <c r="K4254" t="str">
        <f>IF(Tb_data[[#This Row],[previous_workers]]&lt;Tb_data[[#This Row],[workers]],"yes","no")</f>
        <v>yes</v>
      </c>
      <c r="L4254">
        <f>Tb_data[[#This Row],[workers]]-Tb_data[[#This Row],[previous_workers]]</f>
        <v>32</v>
      </c>
      <c r="M4254" s="12">
        <f>Tb_data[[#This Row],[Employees Growth]]/Tb_data[[#This Row],[previous_workers]]</f>
        <v>4</v>
      </c>
    </row>
    <row r="4255" spans="1:13" x14ac:dyDescent="0.25">
      <c r="A4255" s="1" t="s">
        <v>6445</v>
      </c>
      <c r="B4255" s="1" t="s">
        <v>6446</v>
      </c>
      <c r="C4255" s="1">
        <v>2900000</v>
      </c>
      <c r="D4255" s="1" t="s">
        <v>61</v>
      </c>
      <c r="E4255">
        <v>115.28360000000001</v>
      </c>
      <c r="F4255" s="1" t="s">
        <v>12</v>
      </c>
      <c r="G4255">
        <v>12</v>
      </c>
      <c r="H4255">
        <v>4</v>
      </c>
      <c r="I4255" s="1" t="s">
        <v>229</v>
      </c>
      <c r="J4255">
        <v>3</v>
      </c>
      <c r="K4255" t="str">
        <f>IF(Tb_data[[#This Row],[previous_workers]]&lt;Tb_data[[#This Row],[workers]],"yes","no")</f>
        <v>yes</v>
      </c>
      <c r="L4255">
        <f>Tb_data[[#This Row],[workers]]-Tb_data[[#This Row],[previous_workers]]</f>
        <v>8</v>
      </c>
      <c r="M4255" s="12">
        <f>Tb_data[[#This Row],[Employees Growth]]/Tb_data[[#This Row],[previous_workers]]</f>
        <v>2</v>
      </c>
    </row>
    <row r="4256" spans="1:13" x14ac:dyDescent="0.25">
      <c r="A4256" s="1" t="s">
        <v>2887</v>
      </c>
      <c r="B4256" s="1" t="s">
        <v>2888</v>
      </c>
      <c r="C4256" s="1">
        <v>24500000</v>
      </c>
      <c r="D4256" s="1" t="s">
        <v>58</v>
      </c>
      <c r="E4256">
        <v>299.5471</v>
      </c>
      <c r="F4256" s="1" t="s">
        <v>86</v>
      </c>
      <c r="G4256">
        <v>94</v>
      </c>
      <c r="H4256">
        <v>42</v>
      </c>
      <c r="I4256" s="1" t="s">
        <v>35</v>
      </c>
      <c r="J4256">
        <v>4</v>
      </c>
      <c r="K4256" t="str">
        <f>IF(Tb_data[[#This Row],[previous_workers]]&lt;Tb_data[[#This Row],[workers]],"yes","no")</f>
        <v>yes</v>
      </c>
      <c r="L4256">
        <f>Tb_data[[#This Row],[workers]]-Tb_data[[#This Row],[previous_workers]]</f>
        <v>52</v>
      </c>
      <c r="M4256" s="12">
        <f>Tb_data[[#This Row],[Employees Growth]]/Tb_data[[#This Row],[previous_workers]]</f>
        <v>1.2380952380952381</v>
      </c>
    </row>
    <row r="4257" spans="1:13" x14ac:dyDescent="0.25">
      <c r="A4257" s="1" t="s">
        <v>7761</v>
      </c>
      <c r="B4257" s="1" t="s">
        <v>7762</v>
      </c>
      <c r="C4257" s="1">
        <v>6000000</v>
      </c>
      <c r="D4257" s="1" t="s">
        <v>483</v>
      </c>
      <c r="E4257">
        <v>87.029300000000006</v>
      </c>
      <c r="F4257" s="1" t="s">
        <v>12</v>
      </c>
      <c r="G4257">
        <v>47</v>
      </c>
      <c r="H4257">
        <v>26</v>
      </c>
      <c r="I4257" s="1" t="s">
        <v>1411</v>
      </c>
      <c r="J4257">
        <v>4</v>
      </c>
      <c r="K4257" t="str">
        <f>IF(Tb_data[[#This Row],[previous_workers]]&lt;Tb_data[[#This Row],[workers]],"yes","no")</f>
        <v>yes</v>
      </c>
      <c r="L4257">
        <f>Tb_data[[#This Row],[workers]]-Tb_data[[#This Row],[previous_workers]]</f>
        <v>21</v>
      </c>
      <c r="M4257" s="12">
        <f>Tb_data[[#This Row],[Employees Growth]]/Tb_data[[#This Row],[previous_workers]]</f>
        <v>0.80769230769230771</v>
      </c>
    </row>
    <row r="4258" spans="1:13" x14ac:dyDescent="0.25">
      <c r="A4258" s="1" t="s">
        <v>8811</v>
      </c>
      <c r="B4258" s="1" t="s">
        <v>8812</v>
      </c>
      <c r="C4258" s="1">
        <v>20500000</v>
      </c>
      <c r="D4258" s="1" t="s">
        <v>155</v>
      </c>
      <c r="E4258">
        <v>69.272900000000007</v>
      </c>
      <c r="F4258" s="1" t="s">
        <v>86</v>
      </c>
      <c r="G4258">
        <v>170</v>
      </c>
      <c r="H4258">
        <v>117</v>
      </c>
      <c r="I4258" s="1" t="s">
        <v>117</v>
      </c>
      <c r="J4258">
        <v>5</v>
      </c>
      <c r="K4258" t="str">
        <f>IF(Tb_data[[#This Row],[previous_workers]]&lt;Tb_data[[#This Row],[workers]],"yes","no")</f>
        <v>yes</v>
      </c>
      <c r="L4258">
        <f>Tb_data[[#This Row],[workers]]-Tb_data[[#This Row],[previous_workers]]</f>
        <v>53</v>
      </c>
      <c r="M4258" s="12">
        <f>Tb_data[[#This Row],[Employees Growth]]/Tb_data[[#This Row],[previous_workers]]</f>
        <v>0.45299145299145299</v>
      </c>
    </row>
    <row r="4259" spans="1:13" x14ac:dyDescent="0.25">
      <c r="A4259" s="1" t="s">
        <v>8449</v>
      </c>
      <c r="B4259" s="1" t="s">
        <v>8450</v>
      </c>
      <c r="C4259" s="1">
        <v>4000000</v>
      </c>
      <c r="D4259" s="1" t="s">
        <v>49</v>
      </c>
      <c r="E4259">
        <v>74.927800000000005</v>
      </c>
      <c r="F4259" s="1" t="s">
        <v>12</v>
      </c>
      <c r="G4259">
        <v>19</v>
      </c>
      <c r="H4259">
        <v>24</v>
      </c>
      <c r="I4259" s="1" t="s">
        <v>55</v>
      </c>
      <c r="J4259">
        <v>1</v>
      </c>
      <c r="K4259" t="str">
        <f>IF(Tb_data[[#This Row],[previous_workers]]&lt;Tb_data[[#This Row],[workers]],"yes","no")</f>
        <v>no</v>
      </c>
      <c r="L4259">
        <f>Tb_data[[#This Row],[workers]]-Tb_data[[#This Row],[previous_workers]]</f>
        <v>-5</v>
      </c>
      <c r="M4259" s="12">
        <f>Tb_data[[#This Row],[Employees Growth]]/Tb_data[[#This Row],[previous_workers]]</f>
        <v>-0.20833333333333334</v>
      </c>
    </row>
    <row r="4260" spans="1:13" x14ac:dyDescent="0.25">
      <c r="A4260" s="1" t="s">
        <v>9704</v>
      </c>
      <c r="B4260" s="1" t="s">
        <v>9705</v>
      </c>
      <c r="C4260" s="1">
        <v>25400000</v>
      </c>
      <c r="D4260" s="1" t="s">
        <v>29</v>
      </c>
      <c r="E4260">
        <v>57.978900000000003</v>
      </c>
      <c r="F4260" s="1" t="s">
        <v>152</v>
      </c>
      <c r="G4260">
        <v>114</v>
      </c>
      <c r="H4260">
        <v>98</v>
      </c>
      <c r="I4260" s="1" t="s">
        <v>295</v>
      </c>
      <c r="J4260">
        <v>6</v>
      </c>
      <c r="K4260" t="str">
        <f>IF(Tb_data[[#This Row],[previous_workers]]&lt;Tb_data[[#This Row],[workers]],"yes","no")</f>
        <v>yes</v>
      </c>
      <c r="L4260">
        <f>Tb_data[[#This Row],[workers]]-Tb_data[[#This Row],[previous_workers]]</f>
        <v>16</v>
      </c>
      <c r="M4260" s="12">
        <f>Tb_data[[#This Row],[Employees Growth]]/Tb_data[[#This Row],[previous_workers]]</f>
        <v>0.16326530612244897</v>
      </c>
    </row>
    <row r="4261" spans="1:13" x14ac:dyDescent="0.25">
      <c r="A4261" s="1" t="s">
        <v>2751</v>
      </c>
      <c r="B4261" s="1" t="s">
        <v>2752</v>
      </c>
      <c r="C4261" s="1">
        <v>12700000</v>
      </c>
      <c r="D4261" s="1" t="s">
        <v>49</v>
      </c>
      <c r="E4261">
        <v>312.93849999999998</v>
      </c>
      <c r="F4261" s="1" t="s">
        <v>176</v>
      </c>
      <c r="G4261">
        <v>13</v>
      </c>
      <c r="H4261">
        <v>5</v>
      </c>
      <c r="I4261" s="1" t="s">
        <v>55</v>
      </c>
      <c r="J4261">
        <v>2</v>
      </c>
      <c r="K4261" t="str">
        <f>IF(Tb_data[[#This Row],[previous_workers]]&lt;Tb_data[[#This Row],[workers]],"yes","no")</f>
        <v>yes</v>
      </c>
      <c r="L4261">
        <f>Tb_data[[#This Row],[workers]]-Tb_data[[#This Row],[previous_workers]]</f>
        <v>8</v>
      </c>
      <c r="M4261" s="12">
        <f>Tb_data[[#This Row],[Employees Growth]]/Tb_data[[#This Row],[previous_workers]]</f>
        <v>1.6</v>
      </c>
    </row>
    <row r="4262" spans="1:13" x14ac:dyDescent="0.25">
      <c r="A4262" s="1" t="s">
        <v>8997</v>
      </c>
      <c r="B4262" s="1" t="s">
        <v>8998</v>
      </c>
      <c r="C4262" s="1">
        <v>18100000</v>
      </c>
      <c r="D4262" s="1" t="s">
        <v>41</v>
      </c>
      <c r="E4262">
        <v>66.714399999999998</v>
      </c>
      <c r="F4262" s="1" t="s">
        <v>12</v>
      </c>
      <c r="G4262">
        <v>31</v>
      </c>
      <c r="H4262">
        <v>23</v>
      </c>
      <c r="I4262" s="1" t="s">
        <v>948</v>
      </c>
      <c r="J4262">
        <v>12</v>
      </c>
      <c r="K4262" t="str">
        <f>IF(Tb_data[[#This Row],[previous_workers]]&lt;Tb_data[[#This Row],[workers]],"yes","no")</f>
        <v>yes</v>
      </c>
      <c r="L4262">
        <f>Tb_data[[#This Row],[workers]]-Tb_data[[#This Row],[previous_workers]]</f>
        <v>8</v>
      </c>
      <c r="M4262" s="12">
        <f>Tb_data[[#This Row],[Employees Growth]]/Tb_data[[#This Row],[previous_workers]]</f>
        <v>0.34782608695652173</v>
      </c>
    </row>
    <row r="4263" spans="1:13" x14ac:dyDescent="0.25">
      <c r="A4263" s="1" t="s">
        <v>6497</v>
      </c>
      <c r="B4263" s="1" t="s">
        <v>6498</v>
      </c>
      <c r="C4263" s="1">
        <v>33700000</v>
      </c>
      <c r="D4263" s="1" t="s">
        <v>29</v>
      </c>
      <c r="E4263">
        <v>114.1225</v>
      </c>
      <c r="F4263" s="1" t="s">
        <v>112</v>
      </c>
      <c r="G4263">
        <v>340</v>
      </c>
      <c r="H4263">
        <v>120</v>
      </c>
      <c r="I4263" s="1" t="s">
        <v>226</v>
      </c>
      <c r="J4263">
        <v>3</v>
      </c>
      <c r="K4263" t="str">
        <f>IF(Tb_data[[#This Row],[previous_workers]]&lt;Tb_data[[#This Row],[workers]],"yes","no")</f>
        <v>yes</v>
      </c>
      <c r="L4263">
        <f>Tb_data[[#This Row],[workers]]-Tb_data[[#This Row],[previous_workers]]</f>
        <v>220</v>
      </c>
      <c r="M4263" s="12">
        <f>Tb_data[[#This Row],[Employees Growth]]/Tb_data[[#This Row],[previous_workers]]</f>
        <v>1.8333333333333333</v>
      </c>
    </row>
    <row r="4264" spans="1:13" x14ac:dyDescent="0.25">
      <c r="A4264" s="1" t="s">
        <v>5346</v>
      </c>
      <c r="B4264" s="1" t="s">
        <v>5347</v>
      </c>
      <c r="C4264" s="1">
        <v>5900000</v>
      </c>
      <c r="D4264" s="1" t="s">
        <v>895</v>
      </c>
      <c r="E4264">
        <v>148.06729999999999</v>
      </c>
      <c r="F4264" s="1" t="s">
        <v>176</v>
      </c>
      <c r="G4264">
        <v>24</v>
      </c>
      <c r="H4264">
        <v>12</v>
      </c>
      <c r="I4264" s="1" t="s">
        <v>35</v>
      </c>
      <c r="J4264">
        <v>1</v>
      </c>
      <c r="K4264" t="str">
        <f>IF(Tb_data[[#This Row],[previous_workers]]&lt;Tb_data[[#This Row],[workers]],"yes","no")</f>
        <v>yes</v>
      </c>
      <c r="L4264">
        <f>Tb_data[[#This Row],[workers]]-Tb_data[[#This Row],[previous_workers]]</f>
        <v>12</v>
      </c>
      <c r="M4264" s="12">
        <f>Tb_data[[#This Row],[Employees Growth]]/Tb_data[[#This Row],[previous_workers]]</f>
        <v>1</v>
      </c>
    </row>
    <row r="4265" spans="1:13" x14ac:dyDescent="0.25">
      <c r="A4265" s="1" t="s">
        <v>9307</v>
      </c>
      <c r="B4265" s="1" t="s">
        <v>9308</v>
      </c>
      <c r="C4265" s="1">
        <v>18100000</v>
      </c>
      <c r="D4265" s="1" t="s">
        <v>49</v>
      </c>
      <c r="E4265">
        <v>62.678400000000003</v>
      </c>
      <c r="F4265" s="1" t="s">
        <v>12</v>
      </c>
      <c r="G4265">
        <v>71</v>
      </c>
      <c r="H4265">
        <v>79</v>
      </c>
      <c r="I4265" s="1" t="s">
        <v>1622</v>
      </c>
      <c r="J4265">
        <v>9</v>
      </c>
      <c r="K4265" t="str">
        <f>IF(Tb_data[[#This Row],[previous_workers]]&lt;Tb_data[[#This Row],[workers]],"yes","no")</f>
        <v>no</v>
      </c>
      <c r="L4265">
        <f>Tb_data[[#This Row],[workers]]-Tb_data[[#This Row],[previous_workers]]</f>
        <v>-8</v>
      </c>
      <c r="M4265" s="12">
        <f>Tb_data[[#This Row],[Employees Growth]]/Tb_data[[#This Row],[previous_workers]]</f>
        <v>-0.10126582278481013</v>
      </c>
    </row>
    <row r="4266" spans="1:13" x14ac:dyDescent="0.25">
      <c r="A4266" s="1" t="s">
        <v>3141</v>
      </c>
      <c r="B4266" s="1" t="s">
        <v>3142</v>
      </c>
      <c r="C4266" s="1">
        <v>7900000</v>
      </c>
      <c r="D4266" s="1" t="s">
        <v>155</v>
      </c>
      <c r="E4266">
        <v>273.80549999999999</v>
      </c>
      <c r="F4266" s="1" t="s">
        <v>86</v>
      </c>
      <c r="G4266">
        <v>102</v>
      </c>
      <c r="H4266">
        <v>25</v>
      </c>
      <c r="I4266" s="1" t="s">
        <v>130</v>
      </c>
      <c r="J4266">
        <v>4</v>
      </c>
      <c r="K4266" t="str">
        <f>IF(Tb_data[[#This Row],[previous_workers]]&lt;Tb_data[[#This Row],[workers]],"yes","no")</f>
        <v>yes</v>
      </c>
      <c r="L4266">
        <f>Tb_data[[#This Row],[workers]]-Tb_data[[#This Row],[previous_workers]]</f>
        <v>77</v>
      </c>
      <c r="M4266" s="12">
        <f>Tb_data[[#This Row],[Employees Growth]]/Tb_data[[#This Row],[previous_workers]]</f>
        <v>3.08</v>
      </c>
    </row>
    <row r="4267" spans="1:13" x14ac:dyDescent="0.25">
      <c r="A4267" s="1" t="s">
        <v>8389</v>
      </c>
      <c r="B4267" s="1" t="s">
        <v>8390</v>
      </c>
      <c r="C4267" s="1">
        <v>3500000</v>
      </c>
      <c r="D4267" s="1" t="s">
        <v>61</v>
      </c>
      <c r="E4267">
        <v>76.340100000000007</v>
      </c>
      <c r="F4267" s="1" t="s">
        <v>156</v>
      </c>
      <c r="G4267">
        <v>17</v>
      </c>
      <c r="H4267">
        <v>12</v>
      </c>
      <c r="I4267" s="1" t="s">
        <v>948</v>
      </c>
      <c r="J4267">
        <v>2</v>
      </c>
      <c r="K4267" t="str">
        <f>IF(Tb_data[[#This Row],[previous_workers]]&lt;Tb_data[[#This Row],[workers]],"yes","no")</f>
        <v>yes</v>
      </c>
      <c r="L4267">
        <f>Tb_data[[#This Row],[workers]]-Tb_data[[#This Row],[previous_workers]]</f>
        <v>5</v>
      </c>
      <c r="M4267" s="12">
        <f>Tb_data[[#This Row],[Employees Growth]]/Tb_data[[#This Row],[previous_workers]]</f>
        <v>0.41666666666666669</v>
      </c>
    </row>
    <row r="4268" spans="1:13" x14ac:dyDescent="0.25">
      <c r="A4268" s="1" t="s">
        <v>2344</v>
      </c>
      <c r="B4268" s="1" t="s">
        <v>2345</v>
      </c>
      <c r="C4268" s="1">
        <v>254200000</v>
      </c>
      <c r="D4268" s="1" t="s">
        <v>49</v>
      </c>
      <c r="E4268">
        <v>373.5557</v>
      </c>
      <c r="F4268" s="1" t="s">
        <v>176</v>
      </c>
      <c r="G4268">
        <v>14098</v>
      </c>
      <c r="H4268">
        <v>4900</v>
      </c>
      <c r="I4268" s="1" t="s">
        <v>46</v>
      </c>
      <c r="J4268">
        <v>7</v>
      </c>
      <c r="K4268" t="str">
        <f>IF(Tb_data[[#This Row],[previous_workers]]&lt;Tb_data[[#This Row],[workers]],"yes","no")</f>
        <v>yes</v>
      </c>
      <c r="L4268">
        <f>Tb_data[[#This Row],[workers]]-Tb_data[[#This Row],[previous_workers]]</f>
        <v>9198</v>
      </c>
      <c r="M4268" s="12">
        <f>Tb_data[[#This Row],[Employees Growth]]/Tb_data[[#This Row],[previous_workers]]</f>
        <v>1.8771428571428572</v>
      </c>
    </row>
    <row r="4269" spans="1:13" x14ac:dyDescent="0.25">
      <c r="A4269" s="1" t="s">
        <v>4972</v>
      </c>
      <c r="B4269" s="1" t="s">
        <v>4973</v>
      </c>
      <c r="C4269" s="1">
        <v>127500000</v>
      </c>
      <c r="D4269" s="1" t="s">
        <v>49</v>
      </c>
      <c r="E4269">
        <v>163.0052</v>
      </c>
      <c r="F4269" s="1" t="s">
        <v>21</v>
      </c>
      <c r="G4269">
        <v>91</v>
      </c>
      <c r="H4269">
        <v>41</v>
      </c>
      <c r="I4269" s="1" t="s">
        <v>117</v>
      </c>
      <c r="J4269">
        <v>1</v>
      </c>
      <c r="K4269" t="str">
        <f>IF(Tb_data[[#This Row],[previous_workers]]&lt;Tb_data[[#This Row],[workers]],"yes","no")</f>
        <v>yes</v>
      </c>
      <c r="L4269">
        <f>Tb_data[[#This Row],[workers]]-Tb_data[[#This Row],[previous_workers]]</f>
        <v>50</v>
      </c>
      <c r="M4269" s="12">
        <f>Tb_data[[#This Row],[Employees Growth]]/Tb_data[[#This Row],[previous_workers]]</f>
        <v>1.2195121951219512</v>
      </c>
    </row>
    <row r="4270" spans="1:13" x14ac:dyDescent="0.25">
      <c r="A4270" s="1" t="s">
        <v>3390</v>
      </c>
      <c r="B4270" s="1" t="s">
        <v>3391</v>
      </c>
      <c r="C4270" s="1">
        <v>2800000</v>
      </c>
      <c r="D4270" s="1" t="s">
        <v>155</v>
      </c>
      <c r="E4270">
        <v>252.98490000000001</v>
      </c>
      <c r="F4270" s="1" t="s">
        <v>21</v>
      </c>
      <c r="G4270">
        <v>45</v>
      </c>
      <c r="H4270">
        <v>16</v>
      </c>
      <c r="I4270" s="1" t="s">
        <v>26</v>
      </c>
      <c r="J4270">
        <v>1</v>
      </c>
      <c r="K4270" t="str">
        <f>IF(Tb_data[[#This Row],[previous_workers]]&lt;Tb_data[[#This Row],[workers]],"yes","no")</f>
        <v>yes</v>
      </c>
      <c r="L4270">
        <f>Tb_data[[#This Row],[workers]]-Tb_data[[#This Row],[previous_workers]]</f>
        <v>29</v>
      </c>
      <c r="M4270" s="12">
        <f>Tb_data[[#This Row],[Employees Growth]]/Tb_data[[#This Row],[previous_workers]]</f>
        <v>1.8125</v>
      </c>
    </row>
    <row r="4271" spans="1:13" x14ac:dyDescent="0.25">
      <c r="A4271" s="1" t="s">
        <v>3321</v>
      </c>
      <c r="B4271" s="1" t="s">
        <v>3322</v>
      </c>
      <c r="C4271" s="1">
        <v>48800000</v>
      </c>
      <c r="D4271" s="1" t="s">
        <v>49</v>
      </c>
      <c r="E4271">
        <v>257.05610000000001</v>
      </c>
      <c r="F4271" s="1" t="s">
        <v>86</v>
      </c>
      <c r="G4271">
        <v>210</v>
      </c>
      <c r="H4271">
        <v>232</v>
      </c>
      <c r="I4271" s="1" t="s">
        <v>35</v>
      </c>
      <c r="J4271">
        <v>1</v>
      </c>
      <c r="K4271" t="str">
        <f>IF(Tb_data[[#This Row],[previous_workers]]&lt;Tb_data[[#This Row],[workers]],"yes","no")</f>
        <v>no</v>
      </c>
      <c r="L4271">
        <f>Tb_data[[#This Row],[workers]]-Tb_data[[#This Row],[previous_workers]]</f>
        <v>-22</v>
      </c>
      <c r="M4271" s="12">
        <f>Tb_data[[#This Row],[Employees Growth]]/Tb_data[[#This Row],[previous_workers]]</f>
        <v>-9.4827586206896547E-2</v>
      </c>
    </row>
    <row r="4272" spans="1:13" x14ac:dyDescent="0.25">
      <c r="A4272" s="1" t="s">
        <v>8797</v>
      </c>
      <c r="B4272" s="1" t="s">
        <v>8798</v>
      </c>
      <c r="C4272" s="1">
        <v>2000000</v>
      </c>
      <c r="D4272" s="1" t="s">
        <v>254</v>
      </c>
      <c r="E4272">
        <v>69.492999999999995</v>
      </c>
      <c r="F4272" s="1" t="s">
        <v>25</v>
      </c>
      <c r="G4272">
        <v>19</v>
      </c>
      <c r="H4272">
        <v>13</v>
      </c>
      <c r="I4272" s="1" t="s">
        <v>4071</v>
      </c>
      <c r="J4272">
        <v>1</v>
      </c>
      <c r="K4272" t="str">
        <f>IF(Tb_data[[#This Row],[previous_workers]]&lt;Tb_data[[#This Row],[workers]],"yes","no")</f>
        <v>yes</v>
      </c>
      <c r="L4272">
        <f>Tb_data[[#This Row],[workers]]-Tb_data[[#This Row],[previous_workers]]</f>
        <v>6</v>
      </c>
      <c r="M4272" s="12">
        <f>Tb_data[[#This Row],[Employees Growth]]/Tb_data[[#This Row],[previous_workers]]</f>
        <v>0.46153846153846156</v>
      </c>
    </row>
    <row r="4273" spans="1:13" x14ac:dyDescent="0.25">
      <c r="A4273" s="1" t="s">
        <v>9930</v>
      </c>
      <c r="B4273" s="1" t="s">
        <v>9931</v>
      </c>
      <c r="C4273" s="1">
        <v>19900000</v>
      </c>
      <c r="D4273" s="1" t="s">
        <v>69</v>
      </c>
      <c r="E4273">
        <v>54.771900000000002</v>
      </c>
      <c r="F4273" s="1" t="s">
        <v>25</v>
      </c>
      <c r="G4273">
        <v>65</v>
      </c>
      <c r="H4273">
        <v>24</v>
      </c>
      <c r="I4273" s="1" t="s">
        <v>295</v>
      </c>
      <c r="J4273">
        <v>2</v>
      </c>
      <c r="K4273" t="str">
        <f>IF(Tb_data[[#This Row],[previous_workers]]&lt;Tb_data[[#This Row],[workers]],"yes","no")</f>
        <v>yes</v>
      </c>
      <c r="L4273">
        <f>Tb_data[[#This Row],[workers]]-Tb_data[[#This Row],[previous_workers]]</f>
        <v>41</v>
      </c>
      <c r="M4273" s="12">
        <f>Tb_data[[#This Row],[Employees Growth]]/Tb_data[[#This Row],[previous_workers]]</f>
        <v>1.7083333333333333</v>
      </c>
    </row>
    <row r="4274" spans="1:13" x14ac:dyDescent="0.25">
      <c r="A4274" s="1" t="s">
        <v>727</v>
      </c>
      <c r="B4274" s="1" t="s">
        <v>728</v>
      </c>
      <c r="C4274" s="1">
        <v>2800000</v>
      </c>
      <c r="D4274" s="1" t="s">
        <v>20</v>
      </c>
      <c r="E4274">
        <v>1444.146</v>
      </c>
      <c r="F4274" s="1" t="s">
        <v>310</v>
      </c>
      <c r="G4274">
        <v>15</v>
      </c>
      <c r="H4274">
        <v>2</v>
      </c>
      <c r="I4274" s="1" t="s">
        <v>26</v>
      </c>
      <c r="J4274">
        <v>1</v>
      </c>
      <c r="K4274" t="str">
        <f>IF(Tb_data[[#This Row],[previous_workers]]&lt;Tb_data[[#This Row],[workers]],"yes","no")</f>
        <v>yes</v>
      </c>
      <c r="L4274">
        <f>Tb_data[[#This Row],[workers]]-Tb_data[[#This Row],[previous_workers]]</f>
        <v>13</v>
      </c>
      <c r="M4274" s="12">
        <f>Tb_data[[#This Row],[Employees Growth]]/Tb_data[[#This Row],[previous_workers]]</f>
        <v>6.5</v>
      </c>
    </row>
    <row r="4275" spans="1:13" x14ac:dyDescent="0.25">
      <c r="A4275" s="1" t="s">
        <v>4050</v>
      </c>
      <c r="B4275" s="1" t="s">
        <v>4051</v>
      </c>
      <c r="C4275" s="1">
        <v>6200000</v>
      </c>
      <c r="D4275" s="1" t="s">
        <v>20</v>
      </c>
      <c r="E4275">
        <v>204.80279999999999</v>
      </c>
      <c r="F4275" s="1" t="s">
        <v>161</v>
      </c>
      <c r="G4275">
        <v>30</v>
      </c>
      <c r="H4275">
        <v>10</v>
      </c>
      <c r="I4275" s="1" t="s">
        <v>55</v>
      </c>
      <c r="J4275">
        <v>3</v>
      </c>
      <c r="K4275" t="str">
        <f>IF(Tb_data[[#This Row],[previous_workers]]&lt;Tb_data[[#This Row],[workers]],"yes","no")</f>
        <v>yes</v>
      </c>
      <c r="L4275">
        <f>Tb_data[[#This Row],[workers]]-Tb_data[[#This Row],[previous_workers]]</f>
        <v>20</v>
      </c>
      <c r="M4275" s="12">
        <f>Tb_data[[#This Row],[Employees Growth]]/Tb_data[[#This Row],[previous_workers]]</f>
        <v>2</v>
      </c>
    </row>
    <row r="4276" spans="1:13" x14ac:dyDescent="0.25">
      <c r="A4276" s="1" t="s">
        <v>6069</v>
      </c>
      <c r="B4276" s="1" t="s">
        <v>6070</v>
      </c>
      <c r="C4276" s="1">
        <v>22100000</v>
      </c>
      <c r="D4276" s="1" t="s">
        <v>422</v>
      </c>
      <c r="E4276">
        <v>125.0324</v>
      </c>
      <c r="F4276" s="1" t="s">
        <v>135</v>
      </c>
      <c r="G4276">
        <v>151</v>
      </c>
      <c r="H4276">
        <v>75</v>
      </c>
      <c r="I4276" s="1" t="s">
        <v>1051</v>
      </c>
      <c r="J4276">
        <v>3</v>
      </c>
      <c r="K4276" t="str">
        <f>IF(Tb_data[[#This Row],[previous_workers]]&lt;Tb_data[[#This Row],[workers]],"yes","no")</f>
        <v>yes</v>
      </c>
      <c r="L4276">
        <f>Tb_data[[#This Row],[workers]]-Tb_data[[#This Row],[previous_workers]]</f>
        <v>76</v>
      </c>
      <c r="M4276" s="12">
        <f>Tb_data[[#This Row],[Employees Growth]]/Tb_data[[#This Row],[previous_workers]]</f>
        <v>1.0133333333333334</v>
      </c>
    </row>
    <row r="4277" spans="1:13" x14ac:dyDescent="0.25">
      <c r="A4277" s="1" t="s">
        <v>634</v>
      </c>
      <c r="B4277" s="1" t="s">
        <v>635</v>
      </c>
      <c r="C4277" s="1">
        <v>14000000</v>
      </c>
      <c r="D4277" s="1" t="s">
        <v>61</v>
      </c>
      <c r="E4277">
        <v>1606.1159</v>
      </c>
      <c r="F4277" s="1" t="s">
        <v>86</v>
      </c>
      <c r="G4277">
        <v>81</v>
      </c>
      <c r="H4277">
        <v>16</v>
      </c>
      <c r="I4277" s="1" t="s">
        <v>26</v>
      </c>
      <c r="J4277">
        <v>1</v>
      </c>
      <c r="K4277" t="str">
        <f>IF(Tb_data[[#This Row],[previous_workers]]&lt;Tb_data[[#This Row],[workers]],"yes","no")</f>
        <v>yes</v>
      </c>
      <c r="L4277">
        <f>Tb_data[[#This Row],[workers]]-Tb_data[[#This Row],[previous_workers]]</f>
        <v>65</v>
      </c>
      <c r="M4277" s="12">
        <f>Tb_data[[#This Row],[Employees Growth]]/Tb_data[[#This Row],[previous_workers]]</f>
        <v>4.0625</v>
      </c>
    </row>
    <row r="4278" spans="1:13" x14ac:dyDescent="0.25">
      <c r="A4278" s="1" t="s">
        <v>1662</v>
      </c>
      <c r="B4278" s="1" t="s">
        <v>1663</v>
      </c>
      <c r="C4278" s="1">
        <v>5100000</v>
      </c>
      <c r="D4278" s="1" t="s">
        <v>49</v>
      </c>
      <c r="E4278">
        <v>555.72919999999999</v>
      </c>
      <c r="F4278" s="1" t="s">
        <v>176</v>
      </c>
      <c r="G4278">
        <v>75</v>
      </c>
      <c r="H4278">
        <v>5</v>
      </c>
      <c r="I4278" s="1" t="s">
        <v>26</v>
      </c>
      <c r="J4278">
        <v>1</v>
      </c>
      <c r="K4278" t="str">
        <f>IF(Tb_data[[#This Row],[previous_workers]]&lt;Tb_data[[#This Row],[workers]],"yes","no")</f>
        <v>yes</v>
      </c>
      <c r="L4278">
        <f>Tb_data[[#This Row],[workers]]-Tb_data[[#This Row],[previous_workers]]</f>
        <v>70</v>
      </c>
      <c r="M4278" s="12">
        <f>Tb_data[[#This Row],[Employees Growth]]/Tb_data[[#This Row],[previous_workers]]</f>
        <v>14</v>
      </c>
    </row>
    <row r="4279" spans="1:13" x14ac:dyDescent="0.25">
      <c r="A4279" s="1" t="s">
        <v>5376</v>
      </c>
      <c r="B4279" s="1" t="s">
        <v>5377</v>
      </c>
      <c r="C4279" s="1">
        <v>3300000</v>
      </c>
      <c r="D4279" s="1" t="s">
        <v>45</v>
      </c>
      <c r="E4279">
        <v>147.25790000000001</v>
      </c>
      <c r="F4279" s="1" t="s">
        <v>112</v>
      </c>
      <c r="G4279">
        <v>22</v>
      </c>
      <c r="H4279">
        <v>12</v>
      </c>
      <c r="I4279" s="1" t="s">
        <v>46</v>
      </c>
      <c r="J4279">
        <v>2</v>
      </c>
      <c r="K4279" t="str">
        <f>IF(Tb_data[[#This Row],[previous_workers]]&lt;Tb_data[[#This Row],[workers]],"yes","no")</f>
        <v>yes</v>
      </c>
      <c r="L4279">
        <f>Tb_data[[#This Row],[workers]]-Tb_data[[#This Row],[previous_workers]]</f>
        <v>10</v>
      </c>
      <c r="M4279" s="12">
        <f>Tb_data[[#This Row],[Employees Growth]]/Tb_data[[#This Row],[previous_workers]]</f>
        <v>0.83333333333333337</v>
      </c>
    </row>
    <row r="4280" spans="1:13" x14ac:dyDescent="0.25">
      <c r="A4280" s="1" t="s">
        <v>3137</v>
      </c>
      <c r="B4280" s="1" t="s">
        <v>3138</v>
      </c>
      <c r="C4280" s="1">
        <v>22200000</v>
      </c>
      <c r="D4280" s="1" t="s">
        <v>1446</v>
      </c>
      <c r="E4280">
        <v>274.3877</v>
      </c>
      <c r="F4280" s="1" t="s">
        <v>12</v>
      </c>
      <c r="G4280">
        <v>75</v>
      </c>
      <c r="H4280">
        <v>49</v>
      </c>
      <c r="I4280" s="1" t="s">
        <v>117</v>
      </c>
      <c r="J4280">
        <v>3</v>
      </c>
      <c r="K4280" t="str">
        <f>IF(Tb_data[[#This Row],[previous_workers]]&lt;Tb_data[[#This Row],[workers]],"yes","no")</f>
        <v>yes</v>
      </c>
      <c r="L4280">
        <f>Tb_data[[#This Row],[workers]]-Tb_data[[#This Row],[previous_workers]]</f>
        <v>26</v>
      </c>
      <c r="M4280" s="12">
        <f>Tb_data[[#This Row],[Employees Growth]]/Tb_data[[#This Row],[previous_workers]]</f>
        <v>0.53061224489795922</v>
      </c>
    </row>
    <row r="4281" spans="1:13" x14ac:dyDescent="0.25">
      <c r="A4281" s="1" t="s">
        <v>2544</v>
      </c>
      <c r="B4281" s="1" t="s">
        <v>2545</v>
      </c>
      <c r="C4281" s="1">
        <v>7000000</v>
      </c>
      <c r="D4281" s="1" t="s">
        <v>33</v>
      </c>
      <c r="E4281">
        <v>337.95409999999998</v>
      </c>
      <c r="F4281" s="1" t="s">
        <v>112</v>
      </c>
      <c r="G4281">
        <v>51</v>
      </c>
      <c r="H4281">
        <v>18</v>
      </c>
      <c r="I4281" s="1" t="s">
        <v>55</v>
      </c>
      <c r="J4281">
        <v>1</v>
      </c>
      <c r="K4281" t="str">
        <f>IF(Tb_data[[#This Row],[previous_workers]]&lt;Tb_data[[#This Row],[workers]],"yes","no")</f>
        <v>yes</v>
      </c>
      <c r="L4281">
        <f>Tb_data[[#This Row],[workers]]-Tb_data[[#This Row],[previous_workers]]</f>
        <v>33</v>
      </c>
      <c r="M4281" s="12">
        <f>Tb_data[[#This Row],[Employees Growth]]/Tb_data[[#This Row],[previous_workers]]</f>
        <v>1.8333333333333333</v>
      </c>
    </row>
    <row r="4282" spans="1:13" x14ac:dyDescent="0.25">
      <c r="A4282" s="1" t="s">
        <v>9964</v>
      </c>
      <c r="B4282" s="1" t="s">
        <v>9965</v>
      </c>
      <c r="C4282" s="1">
        <v>120500000</v>
      </c>
      <c r="D4282" s="1" t="s">
        <v>41</v>
      </c>
      <c r="E4282">
        <v>54.097700000000003</v>
      </c>
      <c r="F4282" s="1" t="s">
        <v>12</v>
      </c>
      <c r="G4282">
        <v>267</v>
      </c>
      <c r="H4282">
        <v>221</v>
      </c>
      <c r="I4282" s="1" t="s">
        <v>295</v>
      </c>
      <c r="J4282">
        <v>6</v>
      </c>
      <c r="K4282" t="str">
        <f>IF(Tb_data[[#This Row],[previous_workers]]&lt;Tb_data[[#This Row],[workers]],"yes","no")</f>
        <v>yes</v>
      </c>
      <c r="L4282">
        <f>Tb_data[[#This Row],[workers]]-Tb_data[[#This Row],[previous_workers]]</f>
        <v>46</v>
      </c>
      <c r="M4282" s="12">
        <f>Tb_data[[#This Row],[Employees Growth]]/Tb_data[[#This Row],[previous_workers]]</f>
        <v>0.20814479638009051</v>
      </c>
    </row>
    <row r="4283" spans="1:13" x14ac:dyDescent="0.25">
      <c r="A4283" s="1" t="s">
        <v>6749</v>
      </c>
      <c r="B4283" s="1" t="s">
        <v>6750</v>
      </c>
      <c r="C4283" s="1">
        <v>7200000</v>
      </c>
      <c r="D4283" s="1" t="s">
        <v>49</v>
      </c>
      <c r="E4283">
        <v>107.6502</v>
      </c>
      <c r="F4283" s="1" t="s">
        <v>156</v>
      </c>
      <c r="G4283">
        <v>545</v>
      </c>
      <c r="H4283">
        <v>297</v>
      </c>
      <c r="I4283" s="1" t="s">
        <v>295</v>
      </c>
      <c r="J4283">
        <v>3</v>
      </c>
      <c r="K4283" t="str">
        <f>IF(Tb_data[[#This Row],[previous_workers]]&lt;Tb_data[[#This Row],[workers]],"yes","no")</f>
        <v>yes</v>
      </c>
      <c r="L4283">
        <f>Tb_data[[#This Row],[workers]]-Tb_data[[#This Row],[previous_workers]]</f>
        <v>248</v>
      </c>
      <c r="M4283" s="12">
        <f>Tb_data[[#This Row],[Employees Growth]]/Tb_data[[#This Row],[previous_workers]]</f>
        <v>0.83501683501683499</v>
      </c>
    </row>
    <row r="4284" spans="1:13" x14ac:dyDescent="0.25">
      <c r="A4284" s="1" t="s">
        <v>3213</v>
      </c>
      <c r="B4284" s="1" t="s">
        <v>3214</v>
      </c>
      <c r="C4284" s="1">
        <v>15600000</v>
      </c>
      <c r="D4284" s="1" t="s">
        <v>61</v>
      </c>
      <c r="E4284">
        <v>268.06979999999999</v>
      </c>
      <c r="F4284" s="1" t="s">
        <v>25</v>
      </c>
      <c r="G4284">
        <v>60</v>
      </c>
      <c r="H4284">
        <v>20</v>
      </c>
      <c r="I4284" s="1" t="s">
        <v>2628</v>
      </c>
      <c r="J4284">
        <v>1</v>
      </c>
      <c r="K4284" t="str">
        <f>IF(Tb_data[[#This Row],[previous_workers]]&lt;Tb_data[[#This Row],[workers]],"yes","no")</f>
        <v>yes</v>
      </c>
      <c r="L4284">
        <f>Tb_data[[#This Row],[workers]]-Tb_data[[#This Row],[previous_workers]]</f>
        <v>40</v>
      </c>
      <c r="M4284" s="12">
        <f>Tb_data[[#This Row],[Employees Growth]]/Tb_data[[#This Row],[previous_workers]]</f>
        <v>2</v>
      </c>
    </row>
    <row r="4285" spans="1:13" x14ac:dyDescent="0.25">
      <c r="A4285" s="1" t="s">
        <v>5402</v>
      </c>
      <c r="B4285" s="1" t="s">
        <v>5403</v>
      </c>
      <c r="C4285" s="1">
        <v>5900000</v>
      </c>
      <c r="D4285" s="1" t="s">
        <v>20</v>
      </c>
      <c r="E4285">
        <v>146.4605</v>
      </c>
      <c r="F4285" s="1" t="s">
        <v>156</v>
      </c>
      <c r="G4285">
        <v>100</v>
      </c>
      <c r="H4285">
        <v>50</v>
      </c>
      <c r="I4285" s="1" t="s">
        <v>130</v>
      </c>
      <c r="J4285">
        <v>2</v>
      </c>
      <c r="K4285" t="str">
        <f>IF(Tb_data[[#This Row],[previous_workers]]&lt;Tb_data[[#This Row],[workers]],"yes","no")</f>
        <v>yes</v>
      </c>
      <c r="L4285">
        <f>Tb_data[[#This Row],[workers]]-Tb_data[[#This Row],[previous_workers]]</f>
        <v>50</v>
      </c>
      <c r="M4285" s="12">
        <f>Tb_data[[#This Row],[Employees Growth]]/Tb_data[[#This Row],[previous_workers]]</f>
        <v>1</v>
      </c>
    </row>
    <row r="4286" spans="1:13" x14ac:dyDescent="0.25">
      <c r="A4286" s="1" t="s">
        <v>9654</v>
      </c>
      <c r="B4286" s="1" t="s">
        <v>9655</v>
      </c>
      <c r="C4286" s="1">
        <v>3000000</v>
      </c>
      <c r="D4286" s="1" t="s">
        <v>155</v>
      </c>
      <c r="E4286">
        <v>58.625900000000001</v>
      </c>
      <c r="F4286" s="1" t="s">
        <v>156</v>
      </c>
      <c r="G4286">
        <v>11</v>
      </c>
      <c r="H4286">
        <v>8</v>
      </c>
      <c r="I4286" s="1" t="s">
        <v>147</v>
      </c>
      <c r="J4286">
        <v>3</v>
      </c>
      <c r="K4286" t="str">
        <f>IF(Tb_data[[#This Row],[previous_workers]]&lt;Tb_data[[#This Row],[workers]],"yes","no")</f>
        <v>yes</v>
      </c>
      <c r="L4286">
        <f>Tb_data[[#This Row],[workers]]-Tb_data[[#This Row],[previous_workers]]</f>
        <v>3</v>
      </c>
      <c r="M4286" s="12">
        <f>Tb_data[[#This Row],[Employees Growth]]/Tb_data[[#This Row],[previous_workers]]</f>
        <v>0.375</v>
      </c>
    </row>
    <row r="4287" spans="1:13" x14ac:dyDescent="0.25">
      <c r="A4287" s="1" t="s">
        <v>1974</v>
      </c>
      <c r="B4287" s="1" t="s">
        <v>1975</v>
      </c>
      <c r="C4287" s="1">
        <v>2800000</v>
      </c>
      <c r="D4287" s="1" t="s">
        <v>115</v>
      </c>
      <c r="E4287">
        <v>456.83</v>
      </c>
      <c r="F4287" s="1" t="s">
        <v>310</v>
      </c>
      <c r="G4287">
        <v>15</v>
      </c>
      <c r="H4287">
        <v>10</v>
      </c>
      <c r="I4287" s="1" t="s">
        <v>26</v>
      </c>
      <c r="J4287">
        <v>2</v>
      </c>
      <c r="K4287" t="str">
        <f>IF(Tb_data[[#This Row],[previous_workers]]&lt;Tb_data[[#This Row],[workers]],"yes","no")</f>
        <v>yes</v>
      </c>
      <c r="L4287">
        <f>Tb_data[[#This Row],[workers]]-Tb_data[[#This Row],[previous_workers]]</f>
        <v>5</v>
      </c>
      <c r="M4287" s="12">
        <f>Tb_data[[#This Row],[Employees Growth]]/Tb_data[[#This Row],[previous_workers]]</f>
        <v>0.5</v>
      </c>
    </row>
    <row r="4288" spans="1:13" x14ac:dyDescent="0.25">
      <c r="A4288" s="1" t="s">
        <v>1338</v>
      </c>
      <c r="B4288" s="1" t="s">
        <v>1339</v>
      </c>
      <c r="C4288" s="1">
        <v>29700000</v>
      </c>
      <c r="D4288" s="1" t="s">
        <v>41</v>
      </c>
      <c r="E4288">
        <v>709.89369999999997</v>
      </c>
      <c r="F4288" s="1" t="s">
        <v>97</v>
      </c>
      <c r="G4288">
        <v>22</v>
      </c>
      <c r="H4288">
        <v>8</v>
      </c>
      <c r="I4288" s="1" t="s">
        <v>130</v>
      </c>
      <c r="J4288">
        <v>3</v>
      </c>
      <c r="K4288" t="str">
        <f>IF(Tb_data[[#This Row],[previous_workers]]&lt;Tb_data[[#This Row],[workers]],"yes","no")</f>
        <v>yes</v>
      </c>
      <c r="L4288">
        <f>Tb_data[[#This Row],[workers]]-Tb_data[[#This Row],[previous_workers]]</f>
        <v>14</v>
      </c>
      <c r="M4288" s="12">
        <f>Tb_data[[#This Row],[Employees Growth]]/Tb_data[[#This Row],[previous_workers]]</f>
        <v>1.75</v>
      </c>
    </row>
    <row r="4289" spans="1:13" x14ac:dyDescent="0.25">
      <c r="A4289" s="1" t="s">
        <v>4473</v>
      </c>
      <c r="B4289" s="1" t="s">
        <v>4474</v>
      </c>
      <c r="C4289" s="1">
        <v>24900000</v>
      </c>
      <c r="D4289" s="1" t="s">
        <v>49</v>
      </c>
      <c r="E4289">
        <v>183.76089999999999</v>
      </c>
      <c r="F4289" s="1" t="s">
        <v>135</v>
      </c>
      <c r="G4289">
        <v>551</v>
      </c>
      <c r="H4289">
        <v>326</v>
      </c>
      <c r="I4289" s="1" t="s">
        <v>226</v>
      </c>
      <c r="J4289">
        <v>1</v>
      </c>
      <c r="K4289" t="str">
        <f>IF(Tb_data[[#This Row],[previous_workers]]&lt;Tb_data[[#This Row],[workers]],"yes","no")</f>
        <v>yes</v>
      </c>
      <c r="L4289">
        <f>Tb_data[[#This Row],[workers]]-Tb_data[[#This Row],[previous_workers]]</f>
        <v>225</v>
      </c>
      <c r="M4289" s="12">
        <f>Tb_data[[#This Row],[Employees Growth]]/Tb_data[[#This Row],[previous_workers]]</f>
        <v>0.69018404907975461</v>
      </c>
    </row>
    <row r="4290" spans="1:13" x14ac:dyDescent="0.25">
      <c r="A4290" s="1" t="s">
        <v>8528</v>
      </c>
      <c r="B4290" s="1" t="s">
        <v>8529</v>
      </c>
      <c r="C4290" s="1">
        <v>23600000</v>
      </c>
      <c r="D4290" s="1" t="s">
        <v>69</v>
      </c>
      <c r="E4290">
        <v>73.445800000000006</v>
      </c>
      <c r="F4290" s="1" t="s">
        <v>176</v>
      </c>
      <c r="G4290">
        <v>111</v>
      </c>
      <c r="H4290">
        <v>73</v>
      </c>
      <c r="I4290" s="1" t="s">
        <v>948</v>
      </c>
      <c r="J4290">
        <v>11</v>
      </c>
      <c r="K4290" t="str">
        <f>IF(Tb_data[[#This Row],[previous_workers]]&lt;Tb_data[[#This Row],[workers]],"yes","no")</f>
        <v>yes</v>
      </c>
      <c r="L4290">
        <f>Tb_data[[#This Row],[workers]]-Tb_data[[#This Row],[previous_workers]]</f>
        <v>38</v>
      </c>
      <c r="M4290" s="12">
        <f>Tb_data[[#This Row],[Employees Growth]]/Tb_data[[#This Row],[previous_workers]]</f>
        <v>0.52054794520547942</v>
      </c>
    </row>
    <row r="4291" spans="1:13" x14ac:dyDescent="0.25">
      <c r="A4291" s="1" t="s">
        <v>5666</v>
      </c>
      <c r="B4291" s="1" t="s">
        <v>5667</v>
      </c>
      <c r="C4291" s="1">
        <v>2200000</v>
      </c>
      <c r="D4291" s="1" t="s">
        <v>29</v>
      </c>
      <c r="E4291">
        <v>135.44329999999999</v>
      </c>
      <c r="F4291" s="1" t="s">
        <v>176</v>
      </c>
      <c r="G4291">
        <v>13</v>
      </c>
      <c r="H4291">
        <v>3</v>
      </c>
      <c r="I4291" s="1" t="s">
        <v>26</v>
      </c>
      <c r="J4291">
        <v>1</v>
      </c>
      <c r="K4291" t="str">
        <f>IF(Tb_data[[#This Row],[previous_workers]]&lt;Tb_data[[#This Row],[workers]],"yes","no")</f>
        <v>yes</v>
      </c>
      <c r="L4291">
        <f>Tb_data[[#This Row],[workers]]-Tb_data[[#This Row],[previous_workers]]</f>
        <v>10</v>
      </c>
      <c r="M4291" s="12">
        <f>Tb_data[[#This Row],[Employees Growth]]/Tb_data[[#This Row],[previous_workers]]</f>
        <v>3.3333333333333335</v>
      </c>
    </row>
    <row r="4292" spans="1:13" x14ac:dyDescent="0.25">
      <c r="A4292" s="1" t="s">
        <v>9051</v>
      </c>
      <c r="B4292" s="1" t="s">
        <v>9052</v>
      </c>
      <c r="C4292" s="1">
        <v>11700000</v>
      </c>
      <c r="D4292" s="1" t="s">
        <v>38</v>
      </c>
      <c r="E4292">
        <v>65.971699999999998</v>
      </c>
      <c r="F4292" s="1" t="s">
        <v>156</v>
      </c>
      <c r="G4292">
        <v>52</v>
      </c>
      <c r="H4292">
        <v>30</v>
      </c>
      <c r="I4292" s="1" t="s">
        <v>35</v>
      </c>
      <c r="J4292">
        <v>2</v>
      </c>
      <c r="K4292" t="str">
        <f>IF(Tb_data[[#This Row],[previous_workers]]&lt;Tb_data[[#This Row],[workers]],"yes","no")</f>
        <v>yes</v>
      </c>
      <c r="L4292">
        <f>Tb_data[[#This Row],[workers]]-Tb_data[[#This Row],[previous_workers]]</f>
        <v>22</v>
      </c>
      <c r="M4292" s="12">
        <f>Tb_data[[#This Row],[Employees Growth]]/Tb_data[[#This Row],[previous_workers]]</f>
        <v>0.73333333333333328</v>
      </c>
    </row>
    <row r="4293" spans="1:13" x14ac:dyDescent="0.25">
      <c r="A4293" s="1" t="s">
        <v>6153</v>
      </c>
      <c r="B4293" s="1" t="s">
        <v>6154</v>
      </c>
      <c r="C4293" s="1">
        <v>12200000</v>
      </c>
      <c r="D4293" s="1" t="s">
        <v>895</v>
      </c>
      <c r="E4293">
        <v>122.33839999999999</v>
      </c>
      <c r="F4293" s="1" t="s">
        <v>176</v>
      </c>
      <c r="G4293">
        <v>61</v>
      </c>
      <c r="H4293">
        <v>26</v>
      </c>
      <c r="I4293" s="1" t="s">
        <v>46</v>
      </c>
      <c r="J4293">
        <v>5</v>
      </c>
      <c r="K4293" t="str">
        <f>IF(Tb_data[[#This Row],[previous_workers]]&lt;Tb_data[[#This Row],[workers]],"yes","no")</f>
        <v>yes</v>
      </c>
      <c r="L4293">
        <f>Tb_data[[#This Row],[workers]]-Tb_data[[#This Row],[previous_workers]]</f>
        <v>35</v>
      </c>
      <c r="M4293" s="12">
        <f>Tb_data[[#This Row],[Employees Growth]]/Tb_data[[#This Row],[previous_workers]]</f>
        <v>1.3461538461538463</v>
      </c>
    </row>
    <row r="4294" spans="1:13" x14ac:dyDescent="0.25">
      <c r="A4294" s="1" t="s">
        <v>9409</v>
      </c>
      <c r="B4294" s="1" t="s">
        <v>9410</v>
      </c>
      <c r="C4294" s="1">
        <v>7700000</v>
      </c>
      <c r="D4294" s="1" t="s">
        <v>49</v>
      </c>
      <c r="E4294">
        <v>61.432200000000002</v>
      </c>
      <c r="F4294" s="1" t="s">
        <v>156</v>
      </c>
      <c r="G4294">
        <v>61</v>
      </c>
      <c r="H4294">
        <v>31</v>
      </c>
      <c r="I4294" s="1" t="s">
        <v>948</v>
      </c>
      <c r="J4294">
        <v>6</v>
      </c>
      <c r="K4294" t="str">
        <f>IF(Tb_data[[#This Row],[previous_workers]]&lt;Tb_data[[#This Row],[workers]],"yes","no")</f>
        <v>yes</v>
      </c>
      <c r="L4294">
        <f>Tb_data[[#This Row],[workers]]-Tb_data[[#This Row],[previous_workers]]</f>
        <v>30</v>
      </c>
      <c r="M4294" s="12">
        <f>Tb_data[[#This Row],[Employees Growth]]/Tb_data[[#This Row],[previous_workers]]</f>
        <v>0.967741935483871</v>
      </c>
    </row>
    <row r="4295" spans="1:13" x14ac:dyDescent="0.25">
      <c r="A4295" s="1" t="s">
        <v>3635</v>
      </c>
      <c r="B4295" s="1" t="s">
        <v>3636</v>
      </c>
      <c r="C4295" s="1">
        <v>44600000</v>
      </c>
      <c r="D4295" s="1" t="s">
        <v>45</v>
      </c>
      <c r="E4295">
        <v>231.41249999999999</v>
      </c>
      <c r="F4295" s="1" t="s">
        <v>176</v>
      </c>
      <c r="G4295">
        <v>59</v>
      </c>
      <c r="H4295">
        <v>44</v>
      </c>
      <c r="I4295" s="1" t="s">
        <v>1356</v>
      </c>
      <c r="J4295">
        <v>4</v>
      </c>
      <c r="K4295" t="str">
        <f>IF(Tb_data[[#This Row],[previous_workers]]&lt;Tb_data[[#This Row],[workers]],"yes","no")</f>
        <v>yes</v>
      </c>
      <c r="L4295">
        <f>Tb_data[[#This Row],[workers]]-Tb_data[[#This Row],[previous_workers]]</f>
        <v>15</v>
      </c>
      <c r="M4295" s="12">
        <f>Tb_data[[#This Row],[Employees Growth]]/Tb_data[[#This Row],[previous_workers]]</f>
        <v>0.34090909090909088</v>
      </c>
    </row>
    <row r="4296" spans="1:13" x14ac:dyDescent="0.25">
      <c r="A4296" s="1" t="s">
        <v>352</v>
      </c>
      <c r="B4296" s="1" t="s">
        <v>353</v>
      </c>
      <c r="C4296" s="1">
        <v>9800000</v>
      </c>
      <c r="D4296" s="1" t="s">
        <v>61</v>
      </c>
      <c r="E4296">
        <v>2633.9524999999999</v>
      </c>
      <c r="F4296" s="1" t="s">
        <v>135</v>
      </c>
      <c r="G4296">
        <v>176</v>
      </c>
      <c r="H4296">
        <v>10</v>
      </c>
      <c r="I4296" s="1" t="s">
        <v>26</v>
      </c>
      <c r="J4296">
        <v>1</v>
      </c>
      <c r="K4296" t="str">
        <f>IF(Tb_data[[#This Row],[previous_workers]]&lt;Tb_data[[#This Row],[workers]],"yes","no")</f>
        <v>yes</v>
      </c>
      <c r="L4296">
        <f>Tb_data[[#This Row],[workers]]-Tb_data[[#This Row],[previous_workers]]</f>
        <v>166</v>
      </c>
      <c r="M4296" s="12">
        <f>Tb_data[[#This Row],[Employees Growth]]/Tb_data[[#This Row],[previous_workers]]</f>
        <v>16.600000000000001</v>
      </c>
    </row>
    <row r="4297" spans="1:13" x14ac:dyDescent="0.25">
      <c r="A4297" s="1" t="s">
        <v>7917</v>
      </c>
      <c r="B4297" s="1" t="s">
        <v>7918</v>
      </c>
      <c r="C4297" s="1">
        <v>10000000</v>
      </c>
      <c r="D4297" s="1" t="s">
        <v>41</v>
      </c>
      <c r="E4297">
        <v>84.421099999999996</v>
      </c>
      <c r="F4297" s="1" t="s">
        <v>97</v>
      </c>
      <c r="G4297">
        <v>68</v>
      </c>
      <c r="H4297">
        <v>40</v>
      </c>
      <c r="I4297" s="1" t="s">
        <v>295</v>
      </c>
      <c r="J4297">
        <v>1</v>
      </c>
      <c r="K4297" t="str">
        <f>IF(Tb_data[[#This Row],[previous_workers]]&lt;Tb_data[[#This Row],[workers]],"yes","no")</f>
        <v>yes</v>
      </c>
      <c r="L4297">
        <f>Tb_data[[#This Row],[workers]]-Tb_data[[#This Row],[previous_workers]]</f>
        <v>28</v>
      </c>
      <c r="M4297" s="12">
        <f>Tb_data[[#This Row],[Employees Growth]]/Tb_data[[#This Row],[previous_workers]]</f>
        <v>0.7</v>
      </c>
    </row>
    <row r="4298" spans="1:13" x14ac:dyDescent="0.25">
      <c r="A4298" s="1" t="s">
        <v>7851</v>
      </c>
      <c r="B4298" s="1" t="s">
        <v>7852</v>
      </c>
      <c r="C4298" s="1">
        <v>24000000</v>
      </c>
      <c r="D4298" s="1" t="s">
        <v>20</v>
      </c>
      <c r="E4298">
        <v>85.406499999999994</v>
      </c>
      <c r="F4298" s="1" t="s">
        <v>135</v>
      </c>
      <c r="G4298">
        <v>230</v>
      </c>
      <c r="H4298">
        <v>100</v>
      </c>
      <c r="I4298" s="1" t="s">
        <v>229</v>
      </c>
      <c r="J4298">
        <v>2</v>
      </c>
      <c r="K4298" t="str">
        <f>IF(Tb_data[[#This Row],[previous_workers]]&lt;Tb_data[[#This Row],[workers]],"yes","no")</f>
        <v>yes</v>
      </c>
      <c r="L4298">
        <f>Tb_data[[#This Row],[workers]]-Tb_data[[#This Row],[previous_workers]]</f>
        <v>130</v>
      </c>
      <c r="M4298" s="12">
        <f>Tb_data[[#This Row],[Employees Growth]]/Tb_data[[#This Row],[previous_workers]]</f>
        <v>1.3</v>
      </c>
    </row>
    <row r="4299" spans="1:13" x14ac:dyDescent="0.25">
      <c r="A4299" s="1" t="s">
        <v>5204</v>
      </c>
      <c r="B4299" s="1" t="s">
        <v>5205</v>
      </c>
      <c r="C4299" s="1">
        <v>4400000</v>
      </c>
      <c r="D4299" s="1" t="s">
        <v>58</v>
      </c>
      <c r="E4299">
        <v>153.3623</v>
      </c>
      <c r="F4299" s="1" t="s">
        <v>25</v>
      </c>
      <c r="G4299">
        <v>25</v>
      </c>
      <c r="H4299">
        <v>10</v>
      </c>
      <c r="I4299" s="1" t="s">
        <v>130</v>
      </c>
      <c r="J4299">
        <v>1</v>
      </c>
      <c r="K4299" t="str">
        <f>IF(Tb_data[[#This Row],[previous_workers]]&lt;Tb_data[[#This Row],[workers]],"yes","no")</f>
        <v>yes</v>
      </c>
      <c r="L4299">
        <f>Tb_data[[#This Row],[workers]]-Tb_data[[#This Row],[previous_workers]]</f>
        <v>15</v>
      </c>
      <c r="M4299" s="12">
        <f>Tb_data[[#This Row],[Employees Growth]]/Tb_data[[#This Row],[previous_workers]]</f>
        <v>1.5</v>
      </c>
    </row>
    <row r="4300" spans="1:13" x14ac:dyDescent="0.25">
      <c r="A4300" s="1" t="s">
        <v>4653</v>
      </c>
      <c r="B4300" s="1" t="s">
        <v>4654</v>
      </c>
      <c r="C4300" s="1">
        <v>13200000</v>
      </c>
      <c r="D4300" s="1" t="s">
        <v>33</v>
      </c>
      <c r="E4300">
        <v>175.9615</v>
      </c>
      <c r="F4300" s="1" t="s">
        <v>142</v>
      </c>
      <c r="G4300">
        <v>36</v>
      </c>
      <c r="H4300">
        <v>13</v>
      </c>
      <c r="I4300" s="1" t="s">
        <v>55</v>
      </c>
      <c r="J4300">
        <v>3</v>
      </c>
      <c r="K4300" t="str">
        <f>IF(Tb_data[[#This Row],[previous_workers]]&lt;Tb_data[[#This Row],[workers]],"yes","no")</f>
        <v>yes</v>
      </c>
      <c r="L4300">
        <f>Tb_data[[#This Row],[workers]]-Tb_data[[#This Row],[previous_workers]]</f>
        <v>23</v>
      </c>
      <c r="M4300" s="12">
        <f>Tb_data[[#This Row],[Employees Growth]]/Tb_data[[#This Row],[previous_workers]]</f>
        <v>1.7692307692307692</v>
      </c>
    </row>
    <row r="4301" spans="1:13" x14ac:dyDescent="0.25">
      <c r="A4301" s="1" t="s">
        <v>7531</v>
      </c>
      <c r="B4301" s="1" t="s">
        <v>7532</v>
      </c>
      <c r="C4301" s="1">
        <v>11600000</v>
      </c>
      <c r="D4301" s="1" t="s">
        <v>115</v>
      </c>
      <c r="E4301">
        <v>92.141999999999996</v>
      </c>
      <c r="F4301" s="1" t="s">
        <v>82</v>
      </c>
      <c r="G4301">
        <v>24</v>
      </c>
      <c r="H4301">
        <v>10</v>
      </c>
      <c r="I4301" s="1" t="s">
        <v>117</v>
      </c>
      <c r="J4301">
        <v>4</v>
      </c>
      <c r="K4301" t="str">
        <f>IF(Tb_data[[#This Row],[previous_workers]]&lt;Tb_data[[#This Row],[workers]],"yes","no")</f>
        <v>yes</v>
      </c>
      <c r="L4301">
        <f>Tb_data[[#This Row],[workers]]-Tb_data[[#This Row],[previous_workers]]</f>
        <v>14</v>
      </c>
      <c r="M4301" s="12">
        <f>Tb_data[[#This Row],[Employees Growth]]/Tb_data[[#This Row],[previous_workers]]</f>
        <v>1.4</v>
      </c>
    </row>
    <row r="4302" spans="1:13" x14ac:dyDescent="0.25">
      <c r="A4302" s="1" t="s">
        <v>2312</v>
      </c>
      <c r="B4302" s="1" t="s">
        <v>2313</v>
      </c>
      <c r="C4302" s="1">
        <v>24000000</v>
      </c>
      <c r="D4302" s="1" t="s">
        <v>20</v>
      </c>
      <c r="E4302">
        <v>381.37630000000001</v>
      </c>
      <c r="F4302" s="1" t="s">
        <v>156</v>
      </c>
      <c r="G4302">
        <v>226</v>
      </c>
      <c r="H4302">
        <v>73</v>
      </c>
      <c r="I4302" s="1" t="s">
        <v>46</v>
      </c>
      <c r="J4302">
        <v>2</v>
      </c>
      <c r="K4302" t="str">
        <f>IF(Tb_data[[#This Row],[previous_workers]]&lt;Tb_data[[#This Row],[workers]],"yes","no")</f>
        <v>yes</v>
      </c>
      <c r="L4302">
        <f>Tb_data[[#This Row],[workers]]-Tb_data[[#This Row],[previous_workers]]</f>
        <v>153</v>
      </c>
      <c r="M4302" s="12">
        <f>Tb_data[[#This Row],[Employees Growth]]/Tb_data[[#This Row],[previous_workers]]</f>
        <v>2.095890410958904</v>
      </c>
    </row>
    <row r="4303" spans="1:13" x14ac:dyDescent="0.25">
      <c r="A4303" s="1" t="s">
        <v>3175</v>
      </c>
      <c r="B4303" s="1" t="s">
        <v>3176</v>
      </c>
      <c r="C4303" s="1">
        <v>8900000</v>
      </c>
      <c r="D4303" s="1" t="s">
        <v>29</v>
      </c>
      <c r="E4303">
        <v>270.62029999999999</v>
      </c>
      <c r="F4303" s="1" t="s">
        <v>42</v>
      </c>
      <c r="G4303">
        <v>13</v>
      </c>
      <c r="H4303">
        <v>7</v>
      </c>
      <c r="I4303" s="1" t="s">
        <v>295</v>
      </c>
      <c r="J4303">
        <v>1</v>
      </c>
      <c r="K4303" t="str">
        <f>IF(Tb_data[[#This Row],[previous_workers]]&lt;Tb_data[[#This Row],[workers]],"yes","no")</f>
        <v>yes</v>
      </c>
      <c r="L4303">
        <f>Tb_data[[#This Row],[workers]]-Tb_data[[#This Row],[previous_workers]]</f>
        <v>6</v>
      </c>
      <c r="M4303" s="12">
        <f>Tb_data[[#This Row],[Employees Growth]]/Tb_data[[#This Row],[previous_workers]]</f>
        <v>0.8571428571428571</v>
      </c>
    </row>
    <row r="4304" spans="1:13" x14ac:dyDescent="0.25">
      <c r="A4304" s="1" t="s">
        <v>9890</v>
      </c>
      <c r="B4304" s="1" t="s">
        <v>9891</v>
      </c>
      <c r="C4304" s="1">
        <v>3200000</v>
      </c>
      <c r="D4304" s="1" t="s">
        <v>123</v>
      </c>
      <c r="E4304">
        <v>55.423000000000002</v>
      </c>
      <c r="F4304" s="1" t="s">
        <v>135</v>
      </c>
      <c r="G4304">
        <v>25</v>
      </c>
      <c r="H4304">
        <v>15</v>
      </c>
      <c r="I4304" s="1" t="s">
        <v>35</v>
      </c>
      <c r="J4304">
        <v>4</v>
      </c>
      <c r="K4304" t="str">
        <f>IF(Tb_data[[#This Row],[previous_workers]]&lt;Tb_data[[#This Row],[workers]],"yes","no")</f>
        <v>yes</v>
      </c>
      <c r="L4304">
        <f>Tb_data[[#This Row],[workers]]-Tb_data[[#This Row],[previous_workers]]</f>
        <v>10</v>
      </c>
      <c r="M4304" s="12">
        <f>Tb_data[[#This Row],[Employees Growth]]/Tb_data[[#This Row],[previous_workers]]</f>
        <v>0.66666666666666663</v>
      </c>
    </row>
    <row r="4305" spans="1:13" x14ac:dyDescent="0.25">
      <c r="A4305" s="1" t="s">
        <v>9976</v>
      </c>
      <c r="B4305" s="1" t="s">
        <v>9977</v>
      </c>
      <c r="C4305" s="1">
        <v>27100000</v>
      </c>
      <c r="D4305" s="1" t="s">
        <v>41</v>
      </c>
      <c r="E4305">
        <v>53.830599999999997</v>
      </c>
      <c r="F4305" s="1" t="s">
        <v>97</v>
      </c>
      <c r="G4305">
        <v>120</v>
      </c>
      <c r="H4305">
        <v>68</v>
      </c>
      <c r="I4305" s="1" t="s">
        <v>468</v>
      </c>
      <c r="J4305">
        <v>1</v>
      </c>
      <c r="K4305" t="str">
        <f>IF(Tb_data[[#This Row],[previous_workers]]&lt;Tb_data[[#This Row],[workers]],"yes","no")</f>
        <v>yes</v>
      </c>
      <c r="L4305">
        <f>Tb_data[[#This Row],[workers]]-Tb_data[[#This Row],[previous_workers]]</f>
        <v>52</v>
      </c>
      <c r="M4305" s="12">
        <f>Tb_data[[#This Row],[Employees Growth]]/Tb_data[[#This Row],[previous_workers]]</f>
        <v>0.76470588235294112</v>
      </c>
    </row>
    <row r="4306" spans="1:13" x14ac:dyDescent="0.25">
      <c r="A4306" s="1" t="s">
        <v>1160</v>
      </c>
      <c r="B4306" s="1" t="s">
        <v>1161</v>
      </c>
      <c r="C4306" s="1">
        <v>3000000</v>
      </c>
      <c r="D4306" s="1" t="s">
        <v>20</v>
      </c>
      <c r="E4306">
        <v>825.99469999999997</v>
      </c>
      <c r="F4306" s="1" t="s">
        <v>135</v>
      </c>
      <c r="G4306">
        <v>27</v>
      </c>
      <c r="H4306">
        <v>3</v>
      </c>
      <c r="I4306" s="1" t="s">
        <v>130</v>
      </c>
      <c r="J4306">
        <v>1</v>
      </c>
      <c r="K4306" t="str">
        <f>IF(Tb_data[[#This Row],[previous_workers]]&lt;Tb_data[[#This Row],[workers]],"yes","no")</f>
        <v>yes</v>
      </c>
      <c r="L4306">
        <f>Tb_data[[#This Row],[workers]]-Tb_data[[#This Row],[previous_workers]]</f>
        <v>24</v>
      </c>
      <c r="M4306" s="12">
        <f>Tb_data[[#This Row],[Employees Growth]]/Tb_data[[#This Row],[previous_workers]]</f>
        <v>8</v>
      </c>
    </row>
    <row r="4307" spans="1:13" x14ac:dyDescent="0.25">
      <c r="A4307" s="1" t="s">
        <v>7284</v>
      </c>
      <c r="B4307" s="1" t="s">
        <v>7285</v>
      </c>
      <c r="C4307" s="1">
        <v>31200000</v>
      </c>
      <c r="D4307" s="1" t="s">
        <v>69</v>
      </c>
      <c r="E4307">
        <v>97.290499999999994</v>
      </c>
      <c r="F4307" s="1" t="s">
        <v>135</v>
      </c>
      <c r="G4307">
        <v>177</v>
      </c>
      <c r="H4307">
        <v>100</v>
      </c>
      <c r="I4307" s="1" t="s">
        <v>164</v>
      </c>
      <c r="J4307">
        <v>5</v>
      </c>
      <c r="K4307" t="str">
        <f>IF(Tb_data[[#This Row],[previous_workers]]&lt;Tb_data[[#This Row],[workers]],"yes","no")</f>
        <v>yes</v>
      </c>
      <c r="L4307">
        <f>Tb_data[[#This Row],[workers]]-Tb_data[[#This Row],[previous_workers]]</f>
        <v>77</v>
      </c>
      <c r="M4307" s="12">
        <f>Tb_data[[#This Row],[Employees Growth]]/Tb_data[[#This Row],[previous_workers]]</f>
        <v>0.77</v>
      </c>
    </row>
    <row r="4308" spans="1:13" x14ac:dyDescent="0.25">
      <c r="A4308" s="1" t="s">
        <v>3896</v>
      </c>
      <c r="B4308" s="1" t="s">
        <v>3897</v>
      </c>
      <c r="C4308" s="1">
        <v>119100000</v>
      </c>
      <c r="D4308" s="1" t="s">
        <v>91</v>
      </c>
      <c r="E4308">
        <v>214.73869999999999</v>
      </c>
      <c r="F4308" s="1" t="s">
        <v>42</v>
      </c>
      <c r="G4308">
        <v>150</v>
      </c>
      <c r="H4308">
        <v>58</v>
      </c>
      <c r="I4308" s="1" t="s">
        <v>229</v>
      </c>
      <c r="J4308">
        <v>3</v>
      </c>
      <c r="K4308" t="str">
        <f>IF(Tb_data[[#This Row],[previous_workers]]&lt;Tb_data[[#This Row],[workers]],"yes","no")</f>
        <v>yes</v>
      </c>
      <c r="L4308">
        <f>Tb_data[[#This Row],[workers]]-Tb_data[[#This Row],[previous_workers]]</f>
        <v>92</v>
      </c>
      <c r="M4308" s="12">
        <f>Tb_data[[#This Row],[Employees Growth]]/Tb_data[[#This Row],[previous_workers]]</f>
        <v>1.5862068965517242</v>
      </c>
    </row>
    <row r="4309" spans="1:13" x14ac:dyDescent="0.25">
      <c r="A4309" s="1" t="s">
        <v>2843</v>
      </c>
      <c r="B4309" s="1" t="s">
        <v>2844</v>
      </c>
      <c r="C4309" s="1">
        <v>3500000</v>
      </c>
      <c r="D4309" s="1" t="s">
        <v>49</v>
      </c>
      <c r="E4309">
        <v>304.61399999999998</v>
      </c>
      <c r="F4309" s="1" t="s">
        <v>42</v>
      </c>
      <c r="G4309">
        <v>2</v>
      </c>
      <c r="H4309">
        <v>1</v>
      </c>
      <c r="I4309" s="1" t="s">
        <v>55</v>
      </c>
      <c r="J4309">
        <v>1</v>
      </c>
      <c r="K4309" t="str">
        <f>IF(Tb_data[[#This Row],[previous_workers]]&lt;Tb_data[[#This Row],[workers]],"yes","no")</f>
        <v>yes</v>
      </c>
      <c r="L4309">
        <f>Tb_data[[#This Row],[workers]]-Tb_data[[#This Row],[previous_workers]]</f>
        <v>1</v>
      </c>
      <c r="M4309" s="12">
        <f>Tb_data[[#This Row],[Employees Growth]]/Tb_data[[#This Row],[previous_workers]]</f>
        <v>1</v>
      </c>
    </row>
    <row r="4310" spans="1:13" x14ac:dyDescent="0.25">
      <c r="A4310" s="1" t="s">
        <v>468</v>
      </c>
      <c r="B4310" s="1" t="s">
        <v>4097</v>
      </c>
      <c r="C4310" s="1">
        <v>25200000</v>
      </c>
      <c r="D4310" s="1" t="s">
        <v>254</v>
      </c>
      <c r="E4310">
        <v>201.17830000000001</v>
      </c>
      <c r="F4310" s="1" t="s">
        <v>34</v>
      </c>
      <c r="G4310">
        <v>44</v>
      </c>
      <c r="H4310">
        <v>23</v>
      </c>
      <c r="I4310" s="1" t="s">
        <v>147</v>
      </c>
      <c r="J4310">
        <v>3</v>
      </c>
      <c r="K4310" t="str">
        <f>IF(Tb_data[[#This Row],[previous_workers]]&lt;Tb_data[[#This Row],[workers]],"yes","no")</f>
        <v>yes</v>
      </c>
      <c r="L4310">
        <f>Tb_data[[#This Row],[workers]]-Tb_data[[#This Row],[previous_workers]]</f>
        <v>21</v>
      </c>
      <c r="M4310" s="12">
        <f>Tb_data[[#This Row],[Employees Growth]]/Tb_data[[#This Row],[previous_workers]]</f>
        <v>0.91304347826086951</v>
      </c>
    </row>
    <row r="4311" spans="1:13" x14ac:dyDescent="0.25">
      <c r="A4311" s="1" t="s">
        <v>6503</v>
      </c>
      <c r="B4311" s="1" t="s">
        <v>6504</v>
      </c>
      <c r="C4311" s="1">
        <v>11400000</v>
      </c>
      <c r="D4311" s="1" t="s">
        <v>483</v>
      </c>
      <c r="E4311">
        <v>113.77</v>
      </c>
      <c r="F4311" s="1" t="s">
        <v>176</v>
      </c>
      <c r="G4311">
        <v>205</v>
      </c>
      <c r="H4311">
        <v>110</v>
      </c>
      <c r="I4311" s="1" t="s">
        <v>226</v>
      </c>
      <c r="J4311">
        <v>2</v>
      </c>
      <c r="K4311" t="str">
        <f>IF(Tb_data[[#This Row],[previous_workers]]&lt;Tb_data[[#This Row],[workers]],"yes","no")</f>
        <v>yes</v>
      </c>
      <c r="L4311">
        <f>Tb_data[[#This Row],[workers]]-Tb_data[[#This Row],[previous_workers]]</f>
        <v>95</v>
      </c>
      <c r="M4311" s="12">
        <f>Tb_data[[#This Row],[Employees Growth]]/Tb_data[[#This Row],[previous_workers]]</f>
        <v>0.86363636363636365</v>
      </c>
    </row>
    <row r="4312" spans="1:13" x14ac:dyDescent="0.25">
      <c r="A4312" s="1" t="s">
        <v>3673</v>
      </c>
      <c r="B4312" s="1" t="s">
        <v>4077</v>
      </c>
      <c r="C4312" s="1">
        <v>2200000</v>
      </c>
      <c r="D4312" s="1" t="s">
        <v>33</v>
      </c>
      <c r="E4312">
        <v>203.33840000000001</v>
      </c>
      <c r="F4312" s="1" t="s">
        <v>42</v>
      </c>
      <c r="G4312">
        <v>16</v>
      </c>
      <c r="H4312">
        <v>8</v>
      </c>
      <c r="I4312" s="1" t="s">
        <v>26</v>
      </c>
      <c r="J4312">
        <v>1</v>
      </c>
      <c r="K4312" t="str">
        <f>IF(Tb_data[[#This Row],[previous_workers]]&lt;Tb_data[[#This Row],[workers]],"yes","no")</f>
        <v>yes</v>
      </c>
      <c r="L4312">
        <f>Tb_data[[#This Row],[workers]]-Tb_data[[#This Row],[previous_workers]]</f>
        <v>8</v>
      </c>
      <c r="M4312" s="12">
        <f>Tb_data[[#This Row],[Employees Growth]]/Tb_data[[#This Row],[previous_workers]]</f>
        <v>1</v>
      </c>
    </row>
    <row r="4313" spans="1:13" x14ac:dyDescent="0.25">
      <c r="A4313" s="1" t="s">
        <v>1781</v>
      </c>
      <c r="B4313" s="1" t="s">
        <v>1782</v>
      </c>
      <c r="C4313" s="1">
        <v>9300000</v>
      </c>
      <c r="D4313" s="1" t="s">
        <v>129</v>
      </c>
      <c r="E4313">
        <v>507.1986</v>
      </c>
      <c r="F4313" s="1" t="s">
        <v>135</v>
      </c>
      <c r="G4313">
        <v>15</v>
      </c>
      <c r="H4313">
        <v>10</v>
      </c>
      <c r="I4313" s="1" t="s">
        <v>194</v>
      </c>
      <c r="J4313">
        <v>1</v>
      </c>
      <c r="K4313" t="str">
        <f>IF(Tb_data[[#This Row],[previous_workers]]&lt;Tb_data[[#This Row],[workers]],"yes","no")</f>
        <v>yes</v>
      </c>
      <c r="L4313">
        <f>Tb_data[[#This Row],[workers]]-Tb_data[[#This Row],[previous_workers]]</f>
        <v>5</v>
      </c>
      <c r="M4313" s="12">
        <f>Tb_data[[#This Row],[Employees Growth]]/Tb_data[[#This Row],[previous_workers]]</f>
        <v>0.5</v>
      </c>
    </row>
    <row r="4314" spans="1:13" x14ac:dyDescent="0.25">
      <c r="A4314" s="1" t="s">
        <v>7200</v>
      </c>
      <c r="B4314" s="1" t="s">
        <v>7201</v>
      </c>
      <c r="C4314" s="1">
        <v>6100000</v>
      </c>
      <c r="D4314" s="1" t="s">
        <v>69</v>
      </c>
      <c r="E4314">
        <v>98.366799999999998</v>
      </c>
      <c r="F4314" s="1" t="s">
        <v>176</v>
      </c>
      <c r="G4314">
        <v>10</v>
      </c>
      <c r="H4314">
        <v>5</v>
      </c>
      <c r="I4314" s="1" t="s">
        <v>55</v>
      </c>
      <c r="J4314">
        <v>1</v>
      </c>
      <c r="K4314" t="str">
        <f>IF(Tb_data[[#This Row],[previous_workers]]&lt;Tb_data[[#This Row],[workers]],"yes","no")</f>
        <v>yes</v>
      </c>
      <c r="L4314">
        <f>Tb_data[[#This Row],[workers]]-Tb_data[[#This Row],[previous_workers]]</f>
        <v>5</v>
      </c>
      <c r="M4314" s="12">
        <f>Tb_data[[#This Row],[Employees Growth]]/Tb_data[[#This Row],[previous_workers]]</f>
        <v>1</v>
      </c>
    </row>
    <row r="4315" spans="1:13" x14ac:dyDescent="0.25">
      <c r="A4315" s="1" t="s">
        <v>2697</v>
      </c>
      <c r="B4315" s="1" t="s">
        <v>2698</v>
      </c>
      <c r="C4315" s="1">
        <v>2100000</v>
      </c>
      <c r="D4315" s="1" t="s">
        <v>33</v>
      </c>
      <c r="E4315">
        <v>319.10570000000001</v>
      </c>
      <c r="F4315" s="1" t="s">
        <v>34</v>
      </c>
      <c r="G4315">
        <v>45</v>
      </c>
      <c r="H4315">
        <v>3</v>
      </c>
      <c r="I4315" s="1" t="s">
        <v>26</v>
      </c>
      <c r="J4315">
        <v>3</v>
      </c>
      <c r="K4315" t="str">
        <f>IF(Tb_data[[#This Row],[previous_workers]]&lt;Tb_data[[#This Row],[workers]],"yes","no")</f>
        <v>yes</v>
      </c>
      <c r="L4315">
        <f>Tb_data[[#This Row],[workers]]-Tb_data[[#This Row],[previous_workers]]</f>
        <v>42</v>
      </c>
      <c r="M4315" s="12">
        <f>Tb_data[[#This Row],[Employees Growth]]/Tb_data[[#This Row],[previous_workers]]</f>
        <v>14</v>
      </c>
    </row>
    <row r="4316" spans="1:13" x14ac:dyDescent="0.25">
      <c r="A4316" s="1" t="s">
        <v>7437</v>
      </c>
      <c r="B4316" s="1" t="s">
        <v>7438</v>
      </c>
      <c r="C4316" s="1">
        <v>8300000</v>
      </c>
      <c r="D4316" s="1" t="s">
        <v>38</v>
      </c>
      <c r="E4316">
        <v>94.593800000000002</v>
      </c>
      <c r="F4316" s="1" t="s">
        <v>25</v>
      </c>
      <c r="G4316">
        <v>13</v>
      </c>
      <c r="H4316">
        <v>8</v>
      </c>
      <c r="I4316" s="1" t="s">
        <v>46</v>
      </c>
      <c r="J4316">
        <v>1</v>
      </c>
      <c r="K4316" t="str">
        <f>IF(Tb_data[[#This Row],[previous_workers]]&lt;Tb_data[[#This Row],[workers]],"yes","no")</f>
        <v>yes</v>
      </c>
      <c r="L4316">
        <f>Tb_data[[#This Row],[workers]]-Tb_data[[#This Row],[previous_workers]]</f>
        <v>5</v>
      </c>
      <c r="M4316" s="12">
        <f>Tb_data[[#This Row],[Employees Growth]]/Tb_data[[#This Row],[previous_workers]]</f>
        <v>0.625</v>
      </c>
    </row>
    <row r="4317" spans="1:13" x14ac:dyDescent="0.25">
      <c r="A4317" s="1" t="s">
        <v>8125</v>
      </c>
      <c r="B4317" s="1" t="s">
        <v>8126</v>
      </c>
      <c r="C4317" s="1">
        <v>7500000</v>
      </c>
      <c r="D4317" s="1" t="s">
        <v>61</v>
      </c>
      <c r="E4317">
        <v>80.78</v>
      </c>
      <c r="F4317" s="1" t="s">
        <v>112</v>
      </c>
      <c r="G4317">
        <v>57</v>
      </c>
      <c r="H4317">
        <v>35</v>
      </c>
      <c r="I4317" s="1" t="s">
        <v>55</v>
      </c>
      <c r="J4317">
        <v>1</v>
      </c>
      <c r="K4317" t="str">
        <f>IF(Tb_data[[#This Row],[previous_workers]]&lt;Tb_data[[#This Row],[workers]],"yes","no")</f>
        <v>yes</v>
      </c>
      <c r="L4317">
        <f>Tb_data[[#This Row],[workers]]-Tb_data[[#This Row],[previous_workers]]</f>
        <v>22</v>
      </c>
      <c r="M4317" s="12">
        <f>Tb_data[[#This Row],[Employees Growth]]/Tb_data[[#This Row],[previous_workers]]</f>
        <v>0.62857142857142856</v>
      </c>
    </row>
    <row r="4318" spans="1:13" x14ac:dyDescent="0.25">
      <c r="A4318" s="1" t="s">
        <v>6171</v>
      </c>
      <c r="B4318" s="1" t="s">
        <v>6172</v>
      </c>
      <c r="C4318" s="1">
        <v>3600000</v>
      </c>
      <c r="D4318" s="1" t="s">
        <v>179</v>
      </c>
      <c r="E4318">
        <v>121.8047</v>
      </c>
      <c r="F4318" s="1" t="s">
        <v>86</v>
      </c>
      <c r="G4318">
        <v>28</v>
      </c>
      <c r="H4318">
        <v>13</v>
      </c>
      <c r="I4318" s="1" t="s">
        <v>46</v>
      </c>
      <c r="J4318">
        <v>2</v>
      </c>
      <c r="K4318" t="str">
        <f>IF(Tb_data[[#This Row],[previous_workers]]&lt;Tb_data[[#This Row],[workers]],"yes","no")</f>
        <v>yes</v>
      </c>
      <c r="L4318">
        <f>Tb_data[[#This Row],[workers]]-Tb_data[[#This Row],[previous_workers]]</f>
        <v>15</v>
      </c>
      <c r="M4318" s="12">
        <f>Tb_data[[#This Row],[Employees Growth]]/Tb_data[[#This Row],[previous_workers]]</f>
        <v>1.1538461538461537</v>
      </c>
    </row>
    <row r="4319" spans="1:13" x14ac:dyDescent="0.25">
      <c r="A4319" s="1" t="s">
        <v>6888</v>
      </c>
      <c r="B4319" s="1" t="s">
        <v>6889</v>
      </c>
      <c r="C4319" s="1">
        <v>7100000</v>
      </c>
      <c r="D4319" s="1" t="s">
        <v>38</v>
      </c>
      <c r="E4319">
        <v>104.6266</v>
      </c>
      <c r="F4319" s="1" t="s">
        <v>176</v>
      </c>
      <c r="G4319">
        <v>69</v>
      </c>
      <c r="H4319">
        <v>26</v>
      </c>
      <c r="I4319" s="1" t="s">
        <v>2840</v>
      </c>
      <c r="J4319">
        <v>2</v>
      </c>
      <c r="K4319" t="str">
        <f>IF(Tb_data[[#This Row],[previous_workers]]&lt;Tb_data[[#This Row],[workers]],"yes","no")</f>
        <v>yes</v>
      </c>
      <c r="L4319">
        <f>Tb_data[[#This Row],[workers]]-Tb_data[[#This Row],[previous_workers]]</f>
        <v>43</v>
      </c>
      <c r="M4319" s="12">
        <f>Tb_data[[#This Row],[Employees Growth]]/Tb_data[[#This Row],[previous_workers]]</f>
        <v>1.6538461538461537</v>
      </c>
    </row>
    <row r="4320" spans="1:13" x14ac:dyDescent="0.25">
      <c r="A4320" s="1" t="s">
        <v>8087</v>
      </c>
      <c r="B4320" s="1" t="s">
        <v>8088</v>
      </c>
      <c r="C4320" s="1">
        <v>11100000</v>
      </c>
      <c r="D4320" s="1" t="s">
        <v>52</v>
      </c>
      <c r="E4320">
        <v>81.2059</v>
      </c>
      <c r="F4320" s="1" t="s">
        <v>21</v>
      </c>
      <c r="G4320">
        <v>22</v>
      </c>
      <c r="H4320">
        <v>10</v>
      </c>
      <c r="I4320" s="1" t="s">
        <v>117</v>
      </c>
      <c r="J4320">
        <v>5</v>
      </c>
      <c r="K4320" t="str">
        <f>IF(Tb_data[[#This Row],[previous_workers]]&lt;Tb_data[[#This Row],[workers]],"yes","no")</f>
        <v>yes</v>
      </c>
      <c r="L4320">
        <f>Tb_data[[#This Row],[workers]]-Tb_data[[#This Row],[previous_workers]]</f>
        <v>12</v>
      </c>
      <c r="M4320" s="12">
        <f>Tb_data[[#This Row],[Employees Growth]]/Tb_data[[#This Row],[previous_workers]]</f>
        <v>1.2</v>
      </c>
    </row>
    <row r="4321" spans="1:13" x14ac:dyDescent="0.25">
      <c r="A4321" s="1" t="s">
        <v>3844</v>
      </c>
      <c r="B4321" s="1" t="s">
        <v>3845</v>
      </c>
      <c r="C4321" s="1">
        <v>4100000</v>
      </c>
      <c r="D4321" s="1" t="s">
        <v>895</v>
      </c>
      <c r="E4321">
        <v>217.91720000000001</v>
      </c>
      <c r="F4321" s="1" t="s">
        <v>30</v>
      </c>
      <c r="G4321">
        <v>50</v>
      </c>
      <c r="H4321">
        <v>15</v>
      </c>
      <c r="I4321" s="1" t="s">
        <v>194</v>
      </c>
      <c r="J4321">
        <v>2</v>
      </c>
      <c r="K4321" t="str">
        <f>IF(Tb_data[[#This Row],[previous_workers]]&lt;Tb_data[[#This Row],[workers]],"yes","no")</f>
        <v>yes</v>
      </c>
      <c r="L4321">
        <f>Tb_data[[#This Row],[workers]]-Tb_data[[#This Row],[previous_workers]]</f>
        <v>35</v>
      </c>
      <c r="M4321" s="12">
        <f>Tb_data[[#This Row],[Employees Growth]]/Tb_data[[#This Row],[previous_workers]]</f>
        <v>2.3333333333333335</v>
      </c>
    </row>
    <row r="4322" spans="1:13" x14ac:dyDescent="0.25">
      <c r="A4322" s="1" t="s">
        <v>3545</v>
      </c>
      <c r="B4322" s="1" t="s">
        <v>3546</v>
      </c>
      <c r="C4322" s="1">
        <v>3900000</v>
      </c>
      <c r="D4322" s="1" t="s">
        <v>45</v>
      </c>
      <c r="E4322">
        <v>238.5077</v>
      </c>
      <c r="F4322" s="1" t="s">
        <v>12</v>
      </c>
      <c r="G4322">
        <v>15</v>
      </c>
      <c r="H4322">
        <v>4</v>
      </c>
      <c r="I4322" s="1" t="s">
        <v>26</v>
      </c>
      <c r="J4322">
        <v>2</v>
      </c>
      <c r="K4322" t="str">
        <f>IF(Tb_data[[#This Row],[previous_workers]]&lt;Tb_data[[#This Row],[workers]],"yes","no")</f>
        <v>yes</v>
      </c>
      <c r="L4322">
        <f>Tb_data[[#This Row],[workers]]-Tb_data[[#This Row],[previous_workers]]</f>
        <v>11</v>
      </c>
      <c r="M4322" s="12">
        <f>Tb_data[[#This Row],[Employees Growth]]/Tb_data[[#This Row],[previous_workers]]</f>
        <v>2.75</v>
      </c>
    </row>
    <row r="4323" spans="1:13" x14ac:dyDescent="0.25">
      <c r="A4323" s="1" t="s">
        <v>9157</v>
      </c>
      <c r="B4323" s="1" t="s">
        <v>9158</v>
      </c>
      <c r="C4323" s="1">
        <v>10200000</v>
      </c>
      <c r="D4323" s="1" t="s">
        <v>20</v>
      </c>
      <c r="E4323">
        <v>64.759699999999995</v>
      </c>
      <c r="F4323" s="1" t="s">
        <v>42</v>
      </c>
      <c r="G4323">
        <v>38</v>
      </c>
      <c r="H4323">
        <v>38</v>
      </c>
      <c r="I4323" s="1" t="s">
        <v>229</v>
      </c>
      <c r="J4323">
        <v>9</v>
      </c>
      <c r="K4323" t="str">
        <f>IF(Tb_data[[#This Row],[previous_workers]]&lt;Tb_data[[#This Row],[workers]],"yes","no")</f>
        <v>no</v>
      </c>
      <c r="L4323">
        <f>Tb_data[[#This Row],[workers]]-Tb_data[[#This Row],[previous_workers]]</f>
        <v>0</v>
      </c>
      <c r="M4323" s="12">
        <f>Tb_data[[#This Row],[Employees Growth]]/Tb_data[[#This Row],[previous_workers]]</f>
        <v>0</v>
      </c>
    </row>
    <row r="4324" spans="1:13" x14ac:dyDescent="0.25">
      <c r="A4324" s="1" t="s">
        <v>7763</v>
      </c>
      <c r="B4324" s="1" t="s">
        <v>7764</v>
      </c>
      <c r="C4324" s="1">
        <v>7300000</v>
      </c>
      <c r="D4324" s="1" t="s">
        <v>179</v>
      </c>
      <c r="E4324">
        <v>86.930700000000002</v>
      </c>
      <c r="F4324" s="1" t="s">
        <v>142</v>
      </c>
      <c r="G4324">
        <v>23</v>
      </c>
      <c r="H4324">
        <v>17</v>
      </c>
      <c r="I4324" s="1" t="s">
        <v>194</v>
      </c>
      <c r="J4324">
        <v>5</v>
      </c>
      <c r="K4324" t="str">
        <f>IF(Tb_data[[#This Row],[previous_workers]]&lt;Tb_data[[#This Row],[workers]],"yes","no")</f>
        <v>yes</v>
      </c>
      <c r="L4324">
        <f>Tb_data[[#This Row],[workers]]-Tb_data[[#This Row],[previous_workers]]</f>
        <v>6</v>
      </c>
      <c r="M4324" s="12">
        <f>Tb_data[[#This Row],[Employees Growth]]/Tb_data[[#This Row],[previous_workers]]</f>
        <v>0.35294117647058826</v>
      </c>
    </row>
    <row r="4325" spans="1:13" x14ac:dyDescent="0.25">
      <c r="A4325" s="1" t="s">
        <v>9029</v>
      </c>
      <c r="B4325" s="1" t="s">
        <v>9030</v>
      </c>
      <c r="C4325" s="1">
        <v>3600000</v>
      </c>
      <c r="D4325" s="1" t="s">
        <v>20</v>
      </c>
      <c r="E4325">
        <v>66.292500000000004</v>
      </c>
      <c r="F4325" s="1" t="s">
        <v>34</v>
      </c>
      <c r="G4325">
        <v>25</v>
      </c>
      <c r="H4325">
        <v>15</v>
      </c>
      <c r="I4325" s="1" t="s">
        <v>229</v>
      </c>
      <c r="J4325">
        <v>2</v>
      </c>
      <c r="K4325" t="str">
        <f>IF(Tb_data[[#This Row],[previous_workers]]&lt;Tb_data[[#This Row],[workers]],"yes","no")</f>
        <v>yes</v>
      </c>
      <c r="L4325">
        <f>Tb_data[[#This Row],[workers]]-Tb_data[[#This Row],[previous_workers]]</f>
        <v>10</v>
      </c>
      <c r="M4325" s="12">
        <f>Tb_data[[#This Row],[Employees Growth]]/Tb_data[[#This Row],[previous_workers]]</f>
        <v>0.66666666666666663</v>
      </c>
    </row>
    <row r="4326" spans="1:13" x14ac:dyDescent="0.25">
      <c r="A4326" s="1" t="s">
        <v>4697</v>
      </c>
      <c r="B4326" s="1" t="s">
        <v>4698</v>
      </c>
      <c r="C4326" s="1">
        <v>32900000</v>
      </c>
      <c r="D4326" s="1" t="s">
        <v>52</v>
      </c>
      <c r="E4326">
        <v>174.60890000000001</v>
      </c>
      <c r="F4326" s="1" t="s">
        <v>21</v>
      </c>
      <c r="G4326">
        <v>26</v>
      </c>
      <c r="H4326">
        <v>9</v>
      </c>
      <c r="I4326" s="1" t="s">
        <v>948</v>
      </c>
      <c r="J4326">
        <v>3</v>
      </c>
      <c r="K4326" t="str">
        <f>IF(Tb_data[[#This Row],[previous_workers]]&lt;Tb_data[[#This Row],[workers]],"yes","no")</f>
        <v>yes</v>
      </c>
      <c r="L4326">
        <f>Tb_data[[#This Row],[workers]]-Tb_data[[#This Row],[previous_workers]]</f>
        <v>17</v>
      </c>
      <c r="M4326" s="12">
        <f>Tb_data[[#This Row],[Employees Growth]]/Tb_data[[#This Row],[previous_workers]]</f>
        <v>1.8888888888888888</v>
      </c>
    </row>
    <row r="4327" spans="1:13" x14ac:dyDescent="0.25">
      <c r="A4327" s="1" t="s">
        <v>188</v>
      </c>
      <c r="B4327" s="1" t="s">
        <v>189</v>
      </c>
      <c r="C4327" s="1">
        <v>21500000</v>
      </c>
      <c r="D4327" s="1" t="s">
        <v>69</v>
      </c>
      <c r="E4327">
        <v>4730.0523000000003</v>
      </c>
      <c r="F4327" s="1" t="s">
        <v>86</v>
      </c>
      <c r="G4327">
        <v>162</v>
      </c>
      <c r="H4327">
        <v>21</v>
      </c>
      <c r="I4327" s="1" t="s">
        <v>26</v>
      </c>
      <c r="J4327">
        <v>1</v>
      </c>
      <c r="K4327" t="str">
        <f>IF(Tb_data[[#This Row],[previous_workers]]&lt;Tb_data[[#This Row],[workers]],"yes","no")</f>
        <v>yes</v>
      </c>
      <c r="L4327">
        <f>Tb_data[[#This Row],[workers]]-Tb_data[[#This Row],[previous_workers]]</f>
        <v>141</v>
      </c>
      <c r="M4327" s="12">
        <f>Tb_data[[#This Row],[Employees Growth]]/Tb_data[[#This Row],[previous_workers]]</f>
        <v>6.7142857142857144</v>
      </c>
    </row>
    <row r="4328" spans="1:13" x14ac:dyDescent="0.25">
      <c r="A4328" s="1" t="s">
        <v>3299</v>
      </c>
      <c r="B4328" s="1" t="s">
        <v>3300</v>
      </c>
      <c r="C4328" s="1">
        <v>48900000</v>
      </c>
      <c r="D4328" s="1" t="s">
        <v>375</v>
      </c>
      <c r="E4328">
        <v>259.33019999999999</v>
      </c>
      <c r="F4328" s="1" t="s">
        <v>21</v>
      </c>
      <c r="G4328">
        <v>22</v>
      </c>
      <c r="H4328">
        <v>8</v>
      </c>
      <c r="I4328" s="1" t="s">
        <v>130</v>
      </c>
      <c r="J4328">
        <v>2</v>
      </c>
      <c r="K4328" t="str">
        <f>IF(Tb_data[[#This Row],[previous_workers]]&lt;Tb_data[[#This Row],[workers]],"yes","no")</f>
        <v>yes</v>
      </c>
      <c r="L4328">
        <f>Tb_data[[#This Row],[workers]]-Tb_data[[#This Row],[previous_workers]]</f>
        <v>14</v>
      </c>
      <c r="M4328" s="12">
        <f>Tb_data[[#This Row],[Employees Growth]]/Tb_data[[#This Row],[previous_workers]]</f>
        <v>1.75</v>
      </c>
    </row>
    <row r="4329" spans="1:13" x14ac:dyDescent="0.25">
      <c r="A4329" s="1" t="s">
        <v>8317</v>
      </c>
      <c r="B4329" s="1" t="s">
        <v>8318</v>
      </c>
      <c r="C4329" s="1">
        <v>31800000</v>
      </c>
      <c r="D4329" s="1" t="s">
        <v>38</v>
      </c>
      <c r="E4329">
        <v>77.506699999999995</v>
      </c>
      <c r="F4329" s="1" t="s">
        <v>169</v>
      </c>
      <c r="G4329">
        <v>250</v>
      </c>
      <c r="H4329">
        <v>120</v>
      </c>
      <c r="I4329" s="1" t="s">
        <v>948</v>
      </c>
      <c r="J4329">
        <v>5</v>
      </c>
      <c r="K4329" t="str">
        <f>IF(Tb_data[[#This Row],[previous_workers]]&lt;Tb_data[[#This Row],[workers]],"yes","no")</f>
        <v>yes</v>
      </c>
      <c r="L4329">
        <f>Tb_data[[#This Row],[workers]]-Tb_data[[#This Row],[previous_workers]]</f>
        <v>130</v>
      </c>
      <c r="M4329" s="12">
        <f>Tb_data[[#This Row],[Employees Growth]]/Tb_data[[#This Row],[previous_workers]]</f>
        <v>1.0833333333333333</v>
      </c>
    </row>
    <row r="4330" spans="1:13" x14ac:dyDescent="0.25">
      <c r="A4330" s="1" t="s">
        <v>2187</v>
      </c>
      <c r="B4330" s="1" t="s">
        <v>2188</v>
      </c>
      <c r="C4330" s="1">
        <v>6500000</v>
      </c>
      <c r="D4330" s="1" t="s">
        <v>20</v>
      </c>
      <c r="E4330">
        <v>405.08339999999998</v>
      </c>
      <c r="F4330" s="1" t="s">
        <v>514</v>
      </c>
      <c r="G4330">
        <v>61</v>
      </c>
      <c r="H4330">
        <v>14</v>
      </c>
      <c r="I4330" s="1" t="s">
        <v>468</v>
      </c>
      <c r="J4330">
        <v>1</v>
      </c>
      <c r="K4330" t="str">
        <f>IF(Tb_data[[#This Row],[previous_workers]]&lt;Tb_data[[#This Row],[workers]],"yes","no")</f>
        <v>yes</v>
      </c>
      <c r="L4330">
        <f>Tb_data[[#This Row],[workers]]-Tb_data[[#This Row],[previous_workers]]</f>
        <v>47</v>
      </c>
      <c r="M4330" s="12">
        <f>Tb_data[[#This Row],[Employees Growth]]/Tb_data[[#This Row],[previous_workers]]</f>
        <v>3.3571428571428572</v>
      </c>
    </row>
    <row r="4331" spans="1:13" x14ac:dyDescent="0.25">
      <c r="A4331" s="1" t="s">
        <v>1807</v>
      </c>
      <c r="B4331" s="1" t="s">
        <v>1808</v>
      </c>
      <c r="C4331" s="1">
        <v>7000000</v>
      </c>
      <c r="D4331" s="1" t="s">
        <v>120</v>
      </c>
      <c r="E4331">
        <v>499.04590000000002</v>
      </c>
      <c r="F4331" s="1" t="s">
        <v>156</v>
      </c>
      <c r="G4331">
        <v>49</v>
      </c>
      <c r="H4331">
        <v>15</v>
      </c>
      <c r="I4331" s="1" t="s">
        <v>295</v>
      </c>
      <c r="J4331">
        <v>2</v>
      </c>
      <c r="K4331" t="str">
        <f>IF(Tb_data[[#This Row],[previous_workers]]&lt;Tb_data[[#This Row],[workers]],"yes","no")</f>
        <v>yes</v>
      </c>
      <c r="L4331">
        <f>Tb_data[[#This Row],[workers]]-Tb_data[[#This Row],[previous_workers]]</f>
        <v>34</v>
      </c>
      <c r="M4331" s="12">
        <f>Tb_data[[#This Row],[Employees Growth]]/Tb_data[[#This Row],[previous_workers]]</f>
        <v>2.2666666666666666</v>
      </c>
    </row>
    <row r="4332" spans="1:13" x14ac:dyDescent="0.25">
      <c r="A4332" s="1" t="s">
        <v>5448</v>
      </c>
      <c r="B4332" s="1" t="s">
        <v>5449</v>
      </c>
      <c r="C4332" s="1">
        <v>9800000</v>
      </c>
      <c r="D4332" s="1" t="s">
        <v>45</v>
      </c>
      <c r="E4332">
        <v>144.68979999999999</v>
      </c>
      <c r="F4332" s="1" t="s">
        <v>86</v>
      </c>
      <c r="G4332">
        <v>40</v>
      </c>
      <c r="H4332">
        <v>16</v>
      </c>
      <c r="I4332" s="1" t="s">
        <v>164</v>
      </c>
      <c r="J4332">
        <v>4</v>
      </c>
      <c r="K4332" t="str">
        <f>IF(Tb_data[[#This Row],[previous_workers]]&lt;Tb_data[[#This Row],[workers]],"yes","no")</f>
        <v>yes</v>
      </c>
      <c r="L4332">
        <f>Tb_data[[#This Row],[workers]]-Tb_data[[#This Row],[previous_workers]]</f>
        <v>24</v>
      </c>
      <c r="M4332" s="12">
        <f>Tb_data[[#This Row],[Employees Growth]]/Tb_data[[#This Row],[previous_workers]]</f>
        <v>1.5</v>
      </c>
    </row>
    <row r="4333" spans="1:13" x14ac:dyDescent="0.25">
      <c r="A4333" s="1" t="s">
        <v>6707</v>
      </c>
      <c r="B4333" s="1" t="s">
        <v>6708</v>
      </c>
      <c r="C4333" s="1">
        <v>37900000</v>
      </c>
      <c r="D4333" s="1" t="s">
        <v>49</v>
      </c>
      <c r="E4333">
        <v>108.9532</v>
      </c>
      <c r="F4333" s="1" t="s">
        <v>156</v>
      </c>
      <c r="G4333">
        <v>82</v>
      </c>
      <c r="H4333">
        <v>28</v>
      </c>
      <c r="I4333" s="1" t="s">
        <v>948</v>
      </c>
      <c r="J4333">
        <v>6</v>
      </c>
      <c r="K4333" t="str">
        <f>IF(Tb_data[[#This Row],[previous_workers]]&lt;Tb_data[[#This Row],[workers]],"yes","no")</f>
        <v>yes</v>
      </c>
      <c r="L4333">
        <f>Tb_data[[#This Row],[workers]]-Tb_data[[#This Row],[previous_workers]]</f>
        <v>54</v>
      </c>
      <c r="M4333" s="12">
        <f>Tb_data[[#This Row],[Employees Growth]]/Tb_data[[#This Row],[previous_workers]]</f>
        <v>1.9285714285714286</v>
      </c>
    </row>
    <row r="4334" spans="1:13" x14ac:dyDescent="0.25">
      <c r="A4334" s="1" t="s">
        <v>5866</v>
      </c>
      <c r="B4334" s="1" t="s">
        <v>5867</v>
      </c>
      <c r="C4334" s="1">
        <v>10200000</v>
      </c>
      <c r="D4334" s="1" t="s">
        <v>20</v>
      </c>
      <c r="E4334">
        <v>129.8098</v>
      </c>
      <c r="F4334" s="1" t="s">
        <v>514</v>
      </c>
      <c r="G4334">
        <v>39</v>
      </c>
      <c r="H4334">
        <v>23</v>
      </c>
      <c r="I4334" s="1" t="s">
        <v>55</v>
      </c>
      <c r="J4334">
        <v>1</v>
      </c>
      <c r="K4334" t="str">
        <f>IF(Tb_data[[#This Row],[previous_workers]]&lt;Tb_data[[#This Row],[workers]],"yes","no")</f>
        <v>yes</v>
      </c>
      <c r="L4334">
        <f>Tb_data[[#This Row],[workers]]-Tb_data[[#This Row],[previous_workers]]</f>
        <v>16</v>
      </c>
      <c r="M4334" s="12">
        <f>Tb_data[[#This Row],[Employees Growth]]/Tb_data[[#This Row],[previous_workers]]</f>
        <v>0.69565217391304346</v>
      </c>
    </row>
    <row r="4335" spans="1:13" x14ac:dyDescent="0.25">
      <c r="A4335" s="1" t="s">
        <v>4074</v>
      </c>
      <c r="B4335" s="1" t="s">
        <v>4075</v>
      </c>
      <c r="C4335" s="1">
        <v>26700000</v>
      </c>
      <c r="D4335" s="1" t="s">
        <v>20</v>
      </c>
      <c r="E4335">
        <v>203.43350000000001</v>
      </c>
      <c r="F4335" s="1" t="s">
        <v>34</v>
      </c>
      <c r="G4335">
        <v>220</v>
      </c>
      <c r="H4335">
        <v>55</v>
      </c>
      <c r="I4335" s="1" t="s">
        <v>130</v>
      </c>
      <c r="J4335">
        <v>3</v>
      </c>
      <c r="K4335" t="str">
        <f>IF(Tb_data[[#This Row],[previous_workers]]&lt;Tb_data[[#This Row],[workers]],"yes","no")</f>
        <v>yes</v>
      </c>
      <c r="L4335">
        <f>Tb_data[[#This Row],[workers]]-Tb_data[[#This Row],[previous_workers]]</f>
        <v>165</v>
      </c>
      <c r="M4335" s="12">
        <f>Tb_data[[#This Row],[Employees Growth]]/Tb_data[[#This Row],[previous_workers]]</f>
        <v>3</v>
      </c>
    </row>
    <row r="4336" spans="1:13" x14ac:dyDescent="0.25">
      <c r="A4336" s="1" t="s">
        <v>665</v>
      </c>
      <c r="B4336" s="1" t="s">
        <v>666</v>
      </c>
      <c r="C4336" s="1">
        <v>9100000</v>
      </c>
      <c r="D4336" s="1" t="s">
        <v>20</v>
      </c>
      <c r="E4336">
        <v>1539.2442000000001</v>
      </c>
      <c r="F4336" s="1" t="s">
        <v>112</v>
      </c>
      <c r="G4336">
        <v>88</v>
      </c>
      <c r="H4336">
        <v>15</v>
      </c>
      <c r="I4336" s="1" t="s">
        <v>194</v>
      </c>
      <c r="J4336">
        <v>2</v>
      </c>
      <c r="K4336" t="str">
        <f>IF(Tb_data[[#This Row],[previous_workers]]&lt;Tb_data[[#This Row],[workers]],"yes","no")</f>
        <v>yes</v>
      </c>
      <c r="L4336">
        <f>Tb_data[[#This Row],[workers]]-Tb_data[[#This Row],[previous_workers]]</f>
        <v>73</v>
      </c>
      <c r="M4336" s="12">
        <f>Tb_data[[#This Row],[Employees Growth]]/Tb_data[[#This Row],[previous_workers]]</f>
        <v>4.8666666666666663</v>
      </c>
    </row>
    <row r="4337" spans="1:13" x14ac:dyDescent="0.25">
      <c r="A4337" s="1" t="s">
        <v>3402</v>
      </c>
      <c r="B4337" s="1" t="s">
        <v>3403</v>
      </c>
      <c r="C4337" s="1">
        <v>12600000</v>
      </c>
      <c r="D4337" s="1" t="s">
        <v>29</v>
      </c>
      <c r="E4337">
        <v>251.71100000000001</v>
      </c>
      <c r="F4337" s="1" t="s">
        <v>17</v>
      </c>
      <c r="G4337">
        <v>16</v>
      </c>
      <c r="H4337">
        <v>3</v>
      </c>
      <c r="I4337" s="1" t="s">
        <v>35</v>
      </c>
      <c r="J4337">
        <v>5</v>
      </c>
      <c r="K4337" t="str">
        <f>IF(Tb_data[[#This Row],[previous_workers]]&lt;Tb_data[[#This Row],[workers]],"yes","no")</f>
        <v>yes</v>
      </c>
      <c r="L4337">
        <f>Tb_data[[#This Row],[workers]]-Tb_data[[#This Row],[previous_workers]]</f>
        <v>13</v>
      </c>
      <c r="M4337" s="12">
        <f>Tb_data[[#This Row],[Employees Growth]]/Tb_data[[#This Row],[previous_workers]]</f>
        <v>4.333333333333333</v>
      </c>
    </row>
    <row r="4338" spans="1:13" x14ac:dyDescent="0.25">
      <c r="A4338" s="1" t="s">
        <v>5578</v>
      </c>
      <c r="B4338" s="1" t="s">
        <v>5579</v>
      </c>
      <c r="C4338" s="1">
        <v>14600000</v>
      </c>
      <c r="D4338" s="1" t="s">
        <v>16</v>
      </c>
      <c r="E4338">
        <v>139.17490000000001</v>
      </c>
      <c r="F4338" s="1" t="s">
        <v>124</v>
      </c>
      <c r="G4338">
        <v>109</v>
      </c>
      <c r="H4338">
        <v>60</v>
      </c>
      <c r="I4338" s="1" t="s">
        <v>372</v>
      </c>
      <c r="J4338">
        <v>5</v>
      </c>
      <c r="K4338" t="str">
        <f>IF(Tb_data[[#This Row],[previous_workers]]&lt;Tb_data[[#This Row],[workers]],"yes","no")</f>
        <v>yes</v>
      </c>
      <c r="L4338">
        <f>Tb_data[[#This Row],[workers]]-Tb_data[[#This Row],[previous_workers]]</f>
        <v>49</v>
      </c>
      <c r="M4338" s="12">
        <f>Tb_data[[#This Row],[Employees Growth]]/Tb_data[[#This Row],[previous_workers]]</f>
        <v>0.81666666666666665</v>
      </c>
    </row>
    <row r="4339" spans="1:13" x14ac:dyDescent="0.25">
      <c r="A4339" s="1" t="s">
        <v>7605</v>
      </c>
      <c r="B4339" s="1" t="s">
        <v>7606</v>
      </c>
      <c r="C4339" s="1">
        <v>10100000</v>
      </c>
      <c r="D4339" s="1" t="s">
        <v>49</v>
      </c>
      <c r="E4339">
        <v>90.193700000000007</v>
      </c>
      <c r="F4339" s="1" t="s">
        <v>62</v>
      </c>
      <c r="G4339">
        <v>95</v>
      </c>
      <c r="H4339">
        <v>53</v>
      </c>
      <c r="I4339" s="1" t="s">
        <v>74</v>
      </c>
      <c r="J4339">
        <v>5</v>
      </c>
      <c r="K4339" t="str">
        <f>IF(Tb_data[[#This Row],[previous_workers]]&lt;Tb_data[[#This Row],[workers]],"yes","no")</f>
        <v>yes</v>
      </c>
      <c r="L4339">
        <f>Tb_data[[#This Row],[workers]]-Tb_data[[#This Row],[previous_workers]]</f>
        <v>42</v>
      </c>
      <c r="M4339" s="12">
        <f>Tb_data[[#This Row],[Employees Growth]]/Tb_data[[#This Row],[previous_workers]]</f>
        <v>0.79245283018867929</v>
      </c>
    </row>
    <row r="4340" spans="1:13" x14ac:dyDescent="0.25">
      <c r="A4340" s="1" t="s">
        <v>8965</v>
      </c>
      <c r="B4340" s="1" t="s">
        <v>8966</v>
      </c>
      <c r="C4340" s="1">
        <v>4500000</v>
      </c>
      <c r="D4340" s="1" t="s">
        <v>52</v>
      </c>
      <c r="E4340">
        <v>67.073899999999995</v>
      </c>
      <c r="F4340" s="1" t="s">
        <v>176</v>
      </c>
      <c r="G4340">
        <v>31</v>
      </c>
      <c r="H4340">
        <v>31</v>
      </c>
      <c r="I4340" s="1" t="s">
        <v>117</v>
      </c>
      <c r="J4340">
        <v>1</v>
      </c>
      <c r="K4340" t="str">
        <f>IF(Tb_data[[#This Row],[previous_workers]]&lt;Tb_data[[#This Row],[workers]],"yes","no")</f>
        <v>no</v>
      </c>
      <c r="L4340">
        <f>Tb_data[[#This Row],[workers]]-Tb_data[[#This Row],[previous_workers]]</f>
        <v>0</v>
      </c>
      <c r="M4340" s="12">
        <f>Tb_data[[#This Row],[Employees Growth]]/Tb_data[[#This Row],[previous_workers]]</f>
        <v>0</v>
      </c>
    </row>
    <row r="4341" spans="1:13" x14ac:dyDescent="0.25">
      <c r="A4341" s="1" t="s">
        <v>2236</v>
      </c>
      <c r="B4341" s="1" t="s">
        <v>2237</v>
      </c>
      <c r="C4341" s="1">
        <v>3600000</v>
      </c>
      <c r="D4341" s="1" t="s">
        <v>123</v>
      </c>
      <c r="E4341">
        <v>393.96129999999999</v>
      </c>
      <c r="F4341" s="1" t="s">
        <v>25</v>
      </c>
      <c r="G4341">
        <v>8</v>
      </c>
      <c r="H4341">
        <v>2</v>
      </c>
      <c r="I4341" s="1" t="s">
        <v>26</v>
      </c>
      <c r="J4341">
        <v>2</v>
      </c>
      <c r="K4341" t="str">
        <f>IF(Tb_data[[#This Row],[previous_workers]]&lt;Tb_data[[#This Row],[workers]],"yes","no")</f>
        <v>yes</v>
      </c>
      <c r="L4341">
        <f>Tb_data[[#This Row],[workers]]-Tb_data[[#This Row],[previous_workers]]</f>
        <v>6</v>
      </c>
      <c r="M4341" s="12">
        <f>Tb_data[[#This Row],[Employees Growth]]/Tb_data[[#This Row],[previous_workers]]</f>
        <v>3</v>
      </c>
    </row>
    <row r="4342" spans="1:13" x14ac:dyDescent="0.25">
      <c r="A4342" s="1" t="s">
        <v>6958</v>
      </c>
      <c r="B4342" s="1" t="s">
        <v>6959</v>
      </c>
      <c r="C4342" s="1">
        <v>2200000</v>
      </c>
      <c r="D4342" s="1" t="s">
        <v>33</v>
      </c>
      <c r="E4342">
        <v>102.6846</v>
      </c>
      <c r="F4342" s="1" t="s">
        <v>12</v>
      </c>
      <c r="G4342">
        <v>15</v>
      </c>
      <c r="H4342">
        <v>8</v>
      </c>
      <c r="I4342" s="1" t="s">
        <v>147</v>
      </c>
      <c r="J4342">
        <v>1</v>
      </c>
      <c r="K4342" t="str">
        <f>IF(Tb_data[[#This Row],[previous_workers]]&lt;Tb_data[[#This Row],[workers]],"yes","no")</f>
        <v>yes</v>
      </c>
      <c r="L4342">
        <f>Tb_data[[#This Row],[workers]]-Tb_data[[#This Row],[previous_workers]]</f>
        <v>7</v>
      </c>
      <c r="M4342" s="12">
        <f>Tb_data[[#This Row],[Employees Growth]]/Tb_data[[#This Row],[previous_workers]]</f>
        <v>0.875</v>
      </c>
    </row>
    <row r="4343" spans="1:13" x14ac:dyDescent="0.25">
      <c r="A4343" s="1" t="s">
        <v>6855</v>
      </c>
      <c r="B4343" s="1" t="s">
        <v>6856</v>
      </c>
      <c r="C4343" s="1">
        <v>4200000</v>
      </c>
      <c r="D4343" s="1" t="s">
        <v>375</v>
      </c>
      <c r="E4343">
        <v>105.45359999999999</v>
      </c>
      <c r="F4343" s="1" t="s">
        <v>12</v>
      </c>
      <c r="G4343">
        <v>33</v>
      </c>
      <c r="H4343">
        <v>12</v>
      </c>
      <c r="I4343" s="1" t="s">
        <v>46</v>
      </c>
      <c r="J4343">
        <v>4</v>
      </c>
      <c r="K4343" t="str">
        <f>IF(Tb_data[[#This Row],[previous_workers]]&lt;Tb_data[[#This Row],[workers]],"yes","no")</f>
        <v>yes</v>
      </c>
      <c r="L4343">
        <f>Tb_data[[#This Row],[workers]]-Tb_data[[#This Row],[previous_workers]]</f>
        <v>21</v>
      </c>
      <c r="M4343" s="12">
        <f>Tb_data[[#This Row],[Employees Growth]]/Tb_data[[#This Row],[previous_workers]]</f>
        <v>1.75</v>
      </c>
    </row>
    <row r="4344" spans="1:13" x14ac:dyDescent="0.25">
      <c r="A4344" s="1" t="s">
        <v>8685</v>
      </c>
      <c r="B4344" s="1" t="s">
        <v>8686</v>
      </c>
      <c r="C4344" s="1">
        <v>11900000</v>
      </c>
      <c r="D4344" s="1" t="s">
        <v>91</v>
      </c>
      <c r="E4344">
        <v>71.305300000000003</v>
      </c>
      <c r="F4344" s="1" t="s">
        <v>25</v>
      </c>
      <c r="G4344">
        <v>65</v>
      </c>
      <c r="H4344">
        <v>34</v>
      </c>
      <c r="I4344" s="1" t="s">
        <v>1949</v>
      </c>
      <c r="J4344">
        <v>1</v>
      </c>
      <c r="K4344" t="str">
        <f>IF(Tb_data[[#This Row],[previous_workers]]&lt;Tb_data[[#This Row],[workers]],"yes","no")</f>
        <v>yes</v>
      </c>
      <c r="L4344">
        <f>Tb_data[[#This Row],[workers]]-Tb_data[[#This Row],[previous_workers]]</f>
        <v>31</v>
      </c>
      <c r="M4344" s="12">
        <f>Tb_data[[#This Row],[Employees Growth]]/Tb_data[[#This Row],[previous_workers]]</f>
        <v>0.91176470588235292</v>
      </c>
    </row>
    <row r="4345" spans="1:13" x14ac:dyDescent="0.25">
      <c r="A4345" s="1" t="s">
        <v>6441</v>
      </c>
      <c r="B4345" s="1" t="s">
        <v>6442</v>
      </c>
      <c r="C4345" s="1">
        <v>107000000</v>
      </c>
      <c r="D4345" s="1" t="s">
        <v>49</v>
      </c>
      <c r="E4345">
        <v>115.31100000000001</v>
      </c>
      <c r="F4345" s="1" t="s">
        <v>100</v>
      </c>
      <c r="G4345">
        <v>697</v>
      </c>
      <c r="H4345">
        <v>222</v>
      </c>
      <c r="I4345" s="1" t="s">
        <v>164</v>
      </c>
      <c r="J4345">
        <v>4</v>
      </c>
      <c r="K4345" t="str">
        <f>IF(Tb_data[[#This Row],[previous_workers]]&lt;Tb_data[[#This Row],[workers]],"yes","no")</f>
        <v>yes</v>
      </c>
      <c r="L4345">
        <f>Tb_data[[#This Row],[workers]]-Tb_data[[#This Row],[previous_workers]]</f>
        <v>475</v>
      </c>
      <c r="M4345" s="12">
        <f>Tb_data[[#This Row],[Employees Growth]]/Tb_data[[#This Row],[previous_workers]]</f>
        <v>2.1396396396396398</v>
      </c>
    </row>
    <row r="4346" spans="1:13" x14ac:dyDescent="0.25">
      <c r="A4346" s="1" t="s">
        <v>1831</v>
      </c>
      <c r="B4346" s="1" t="s">
        <v>1832</v>
      </c>
      <c r="C4346" s="1">
        <v>5600000</v>
      </c>
      <c r="D4346" s="1" t="s">
        <v>20</v>
      </c>
      <c r="E4346">
        <v>493.81279999999998</v>
      </c>
      <c r="F4346" s="1" t="s">
        <v>100</v>
      </c>
      <c r="G4346">
        <v>75</v>
      </c>
      <c r="H4346">
        <v>5</v>
      </c>
      <c r="I4346" s="1" t="s">
        <v>55</v>
      </c>
      <c r="J4346">
        <v>1</v>
      </c>
      <c r="K4346" t="str">
        <f>IF(Tb_data[[#This Row],[previous_workers]]&lt;Tb_data[[#This Row],[workers]],"yes","no")</f>
        <v>yes</v>
      </c>
      <c r="L4346">
        <f>Tb_data[[#This Row],[workers]]-Tb_data[[#This Row],[previous_workers]]</f>
        <v>70</v>
      </c>
      <c r="M4346" s="12">
        <f>Tb_data[[#This Row],[Employees Growth]]/Tb_data[[#This Row],[previous_workers]]</f>
        <v>14</v>
      </c>
    </row>
    <row r="4347" spans="1:13" x14ac:dyDescent="0.25">
      <c r="A4347" s="1" t="s">
        <v>1102</v>
      </c>
      <c r="B4347" s="1" t="s">
        <v>1103</v>
      </c>
      <c r="C4347" s="1">
        <v>12300000</v>
      </c>
      <c r="D4347" s="1" t="s">
        <v>29</v>
      </c>
      <c r="E4347">
        <v>868.61</v>
      </c>
      <c r="F4347" s="1" t="s">
        <v>42</v>
      </c>
      <c r="G4347">
        <v>45</v>
      </c>
      <c r="H4347">
        <v>6</v>
      </c>
      <c r="I4347" s="1" t="s">
        <v>295</v>
      </c>
      <c r="J4347">
        <v>1</v>
      </c>
      <c r="K4347" t="str">
        <f>IF(Tb_data[[#This Row],[previous_workers]]&lt;Tb_data[[#This Row],[workers]],"yes","no")</f>
        <v>yes</v>
      </c>
      <c r="L4347">
        <f>Tb_data[[#This Row],[workers]]-Tb_data[[#This Row],[previous_workers]]</f>
        <v>39</v>
      </c>
      <c r="M4347" s="12">
        <f>Tb_data[[#This Row],[Employees Growth]]/Tb_data[[#This Row],[previous_workers]]</f>
        <v>6.5</v>
      </c>
    </row>
    <row r="4348" spans="1:13" x14ac:dyDescent="0.25">
      <c r="A4348" s="1" t="s">
        <v>4585</v>
      </c>
      <c r="B4348" s="1" t="s">
        <v>4586</v>
      </c>
      <c r="C4348" s="1">
        <v>13100000</v>
      </c>
      <c r="D4348" s="1" t="s">
        <v>91</v>
      </c>
      <c r="E4348">
        <v>179.12270000000001</v>
      </c>
      <c r="F4348" s="1" t="s">
        <v>176</v>
      </c>
      <c r="G4348">
        <v>50</v>
      </c>
      <c r="H4348">
        <v>14</v>
      </c>
      <c r="I4348" s="1" t="s">
        <v>2374</v>
      </c>
      <c r="J4348">
        <v>1</v>
      </c>
      <c r="K4348" t="str">
        <f>IF(Tb_data[[#This Row],[previous_workers]]&lt;Tb_data[[#This Row],[workers]],"yes","no")</f>
        <v>yes</v>
      </c>
      <c r="L4348">
        <f>Tb_data[[#This Row],[workers]]-Tb_data[[#This Row],[previous_workers]]</f>
        <v>36</v>
      </c>
      <c r="M4348" s="12">
        <f>Tb_data[[#This Row],[Employees Growth]]/Tb_data[[#This Row],[previous_workers]]</f>
        <v>2.5714285714285716</v>
      </c>
    </row>
    <row r="4349" spans="1:13" x14ac:dyDescent="0.25">
      <c r="A4349" s="1" t="s">
        <v>6519</v>
      </c>
      <c r="B4349" s="1" t="s">
        <v>6520</v>
      </c>
      <c r="C4349" s="1">
        <v>7200000</v>
      </c>
      <c r="D4349" s="1" t="s">
        <v>20</v>
      </c>
      <c r="E4349">
        <v>113.3373</v>
      </c>
      <c r="F4349" s="1" t="s">
        <v>310</v>
      </c>
      <c r="G4349">
        <v>50</v>
      </c>
      <c r="H4349">
        <v>5</v>
      </c>
      <c r="I4349" s="1" t="s">
        <v>35</v>
      </c>
      <c r="J4349">
        <v>3</v>
      </c>
      <c r="K4349" t="str">
        <f>IF(Tb_data[[#This Row],[previous_workers]]&lt;Tb_data[[#This Row],[workers]],"yes","no")</f>
        <v>yes</v>
      </c>
      <c r="L4349">
        <f>Tb_data[[#This Row],[workers]]-Tb_data[[#This Row],[previous_workers]]</f>
        <v>45</v>
      </c>
      <c r="M4349" s="12">
        <f>Tb_data[[#This Row],[Employees Growth]]/Tb_data[[#This Row],[previous_workers]]</f>
        <v>9</v>
      </c>
    </row>
    <row r="4350" spans="1:13" x14ac:dyDescent="0.25">
      <c r="A4350" s="1" t="s">
        <v>2484</v>
      </c>
      <c r="B4350" s="1" t="s">
        <v>2485</v>
      </c>
      <c r="C4350" s="1">
        <v>5800000</v>
      </c>
      <c r="D4350" s="1" t="s">
        <v>422</v>
      </c>
      <c r="E4350">
        <v>349.9443</v>
      </c>
      <c r="F4350" s="1" t="s">
        <v>86</v>
      </c>
      <c r="G4350">
        <v>40</v>
      </c>
      <c r="H4350">
        <v>8</v>
      </c>
      <c r="I4350" s="1" t="s">
        <v>55</v>
      </c>
      <c r="J4350">
        <v>1</v>
      </c>
      <c r="K4350" t="str">
        <f>IF(Tb_data[[#This Row],[previous_workers]]&lt;Tb_data[[#This Row],[workers]],"yes","no")</f>
        <v>yes</v>
      </c>
      <c r="L4350">
        <f>Tb_data[[#This Row],[workers]]-Tb_data[[#This Row],[previous_workers]]</f>
        <v>32</v>
      </c>
      <c r="M4350" s="12">
        <f>Tb_data[[#This Row],[Employees Growth]]/Tb_data[[#This Row],[previous_workers]]</f>
        <v>4</v>
      </c>
    </row>
    <row r="4351" spans="1:13" x14ac:dyDescent="0.25">
      <c r="A4351" s="1" t="s">
        <v>1525</v>
      </c>
      <c r="B4351" s="1" t="s">
        <v>1526</v>
      </c>
      <c r="C4351" s="1">
        <v>18600000</v>
      </c>
      <c r="D4351" s="1" t="s">
        <v>20</v>
      </c>
      <c r="E4351">
        <v>616.16300000000001</v>
      </c>
      <c r="F4351" s="1" t="s">
        <v>30</v>
      </c>
      <c r="G4351">
        <v>30</v>
      </c>
      <c r="H4351">
        <v>5</v>
      </c>
      <c r="I4351" s="1" t="s">
        <v>26</v>
      </c>
      <c r="J4351">
        <v>2</v>
      </c>
      <c r="K4351" t="str">
        <f>IF(Tb_data[[#This Row],[previous_workers]]&lt;Tb_data[[#This Row],[workers]],"yes","no")</f>
        <v>yes</v>
      </c>
      <c r="L4351">
        <f>Tb_data[[#This Row],[workers]]-Tb_data[[#This Row],[previous_workers]]</f>
        <v>25</v>
      </c>
      <c r="M4351" s="12">
        <f>Tb_data[[#This Row],[Employees Growth]]/Tb_data[[#This Row],[previous_workers]]</f>
        <v>5</v>
      </c>
    </row>
    <row r="4352" spans="1:13" x14ac:dyDescent="0.25">
      <c r="A4352" s="1" t="s">
        <v>4792</v>
      </c>
      <c r="B4352" s="1" t="s">
        <v>4793</v>
      </c>
      <c r="C4352" s="1">
        <v>10400000</v>
      </c>
      <c r="D4352" s="1" t="s">
        <v>387</v>
      </c>
      <c r="E4352">
        <v>170.39400000000001</v>
      </c>
      <c r="F4352" s="1" t="s">
        <v>156</v>
      </c>
      <c r="G4352">
        <v>13</v>
      </c>
      <c r="H4352">
        <v>7</v>
      </c>
      <c r="I4352" s="1" t="s">
        <v>46</v>
      </c>
      <c r="J4352">
        <v>4</v>
      </c>
      <c r="K4352" t="str">
        <f>IF(Tb_data[[#This Row],[previous_workers]]&lt;Tb_data[[#This Row],[workers]],"yes","no")</f>
        <v>yes</v>
      </c>
      <c r="L4352">
        <f>Tb_data[[#This Row],[workers]]-Tb_data[[#This Row],[previous_workers]]</f>
        <v>6</v>
      </c>
      <c r="M4352" s="12">
        <f>Tb_data[[#This Row],[Employees Growth]]/Tb_data[[#This Row],[previous_workers]]</f>
        <v>0.8571428571428571</v>
      </c>
    </row>
    <row r="4353" spans="1:13" x14ac:dyDescent="0.25">
      <c r="A4353" s="1" t="s">
        <v>5884</v>
      </c>
      <c r="B4353" s="1" t="s">
        <v>5885</v>
      </c>
      <c r="C4353" s="1">
        <v>18100000</v>
      </c>
      <c r="D4353" s="1" t="s">
        <v>33</v>
      </c>
      <c r="E4353">
        <v>129.35419999999999</v>
      </c>
      <c r="F4353" s="1" t="s">
        <v>17</v>
      </c>
      <c r="G4353">
        <v>18</v>
      </c>
      <c r="H4353">
        <v>6</v>
      </c>
      <c r="I4353" s="1" t="s">
        <v>35</v>
      </c>
      <c r="J4353">
        <v>5</v>
      </c>
      <c r="K4353" t="str">
        <f>IF(Tb_data[[#This Row],[previous_workers]]&lt;Tb_data[[#This Row],[workers]],"yes","no")</f>
        <v>yes</v>
      </c>
      <c r="L4353">
        <f>Tb_data[[#This Row],[workers]]-Tb_data[[#This Row],[previous_workers]]</f>
        <v>12</v>
      </c>
      <c r="M4353" s="12">
        <f>Tb_data[[#This Row],[Employees Growth]]/Tb_data[[#This Row],[previous_workers]]</f>
        <v>2</v>
      </c>
    </row>
    <row r="4354" spans="1:13" x14ac:dyDescent="0.25">
      <c r="A4354" s="1" t="s">
        <v>4256</v>
      </c>
      <c r="B4354" s="1" t="s">
        <v>4257</v>
      </c>
      <c r="C4354" s="1">
        <v>52100000</v>
      </c>
      <c r="D4354" s="1" t="s">
        <v>61</v>
      </c>
      <c r="E4354">
        <v>193.76339999999999</v>
      </c>
      <c r="F4354" s="1" t="s">
        <v>161</v>
      </c>
      <c r="G4354">
        <v>175</v>
      </c>
      <c r="H4354">
        <v>122</v>
      </c>
      <c r="I4354" s="1" t="s">
        <v>1768</v>
      </c>
      <c r="J4354">
        <v>1</v>
      </c>
      <c r="K4354" t="str">
        <f>IF(Tb_data[[#This Row],[previous_workers]]&lt;Tb_data[[#This Row],[workers]],"yes","no")</f>
        <v>yes</v>
      </c>
      <c r="L4354">
        <f>Tb_data[[#This Row],[workers]]-Tb_data[[#This Row],[previous_workers]]</f>
        <v>53</v>
      </c>
      <c r="M4354" s="12">
        <f>Tb_data[[#This Row],[Employees Growth]]/Tb_data[[#This Row],[previous_workers]]</f>
        <v>0.4344262295081967</v>
      </c>
    </row>
    <row r="4355" spans="1:13" x14ac:dyDescent="0.25">
      <c r="A4355" s="1" t="s">
        <v>5092</v>
      </c>
      <c r="B4355" s="1" t="s">
        <v>5093</v>
      </c>
      <c r="C4355" s="1">
        <v>11100000</v>
      </c>
      <c r="D4355" s="1" t="s">
        <v>427</v>
      </c>
      <c r="E4355">
        <v>157.43</v>
      </c>
      <c r="F4355" s="1" t="s">
        <v>12</v>
      </c>
      <c r="G4355">
        <v>35</v>
      </c>
      <c r="H4355">
        <v>16</v>
      </c>
      <c r="I4355" s="1" t="s">
        <v>194</v>
      </c>
      <c r="J4355">
        <v>5</v>
      </c>
      <c r="K4355" t="str">
        <f>IF(Tb_data[[#This Row],[previous_workers]]&lt;Tb_data[[#This Row],[workers]],"yes","no")</f>
        <v>yes</v>
      </c>
      <c r="L4355">
        <f>Tb_data[[#This Row],[workers]]-Tb_data[[#This Row],[previous_workers]]</f>
        <v>19</v>
      </c>
      <c r="M4355" s="12">
        <f>Tb_data[[#This Row],[Employees Growth]]/Tb_data[[#This Row],[previous_workers]]</f>
        <v>1.1875</v>
      </c>
    </row>
    <row r="4356" spans="1:13" x14ac:dyDescent="0.25">
      <c r="A4356" s="1" t="s">
        <v>7178</v>
      </c>
      <c r="B4356" s="1" t="s">
        <v>7179</v>
      </c>
      <c r="C4356" s="1">
        <v>11400000</v>
      </c>
      <c r="D4356" s="1" t="s">
        <v>20</v>
      </c>
      <c r="E4356">
        <v>98.966800000000006</v>
      </c>
      <c r="F4356" s="1" t="s">
        <v>30</v>
      </c>
      <c r="G4356">
        <v>25</v>
      </c>
      <c r="H4356">
        <v>14</v>
      </c>
      <c r="I4356" s="1" t="s">
        <v>46</v>
      </c>
      <c r="J4356">
        <v>5</v>
      </c>
      <c r="K4356" t="str">
        <f>IF(Tb_data[[#This Row],[previous_workers]]&lt;Tb_data[[#This Row],[workers]],"yes","no")</f>
        <v>yes</v>
      </c>
      <c r="L4356">
        <f>Tb_data[[#This Row],[workers]]-Tb_data[[#This Row],[previous_workers]]</f>
        <v>11</v>
      </c>
      <c r="M4356" s="12">
        <f>Tb_data[[#This Row],[Employees Growth]]/Tb_data[[#This Row],[previous_workers]]</f>
        <v>0.7857142857142857</v>
      </c>
    </row>
    <row r="4357" spans="1:13" x14ac:dyDescent="0.25">
      <c r="A4357" s="1" t="s">
        <v>7212</v>
      </c>
      <c r="B4357" s="1" t="s">
        <v>7213</v>
      </c>
      <c r="C4357" s="1">
        <v>6100000</v>
      </c>
      <c r="D4357" s="1" t="s">
        <v>41</v>
      </c>
      <c r="E4357">
        <v>98.2166</v>
      </c>
      <c r="F4357" s="1" t="s">
        <v>176</v>
      </c>
      <c r="G4357">
        <v>17</v>
      </c>
      <c r="H4357">
        <v>11</v>
      </c>
      <c r="I4357" s="1" t="s">
        <v>26</v>
      </c>
      <c r="J4357">
        <v>2</v>
      </c>
      <c r="K4357" t="str">
        <f>IF(Tb_data[[#This Row],[previous_workers]]&lt;Tb_data[[#This Row],[workers]],"yes","no")</f>
        <v>yes</v>
      </c>
      <c r="L4357">
        <f>Tb_data[[#This Row],[workers]]-Tb_data[[#This Row],[previous_workers]]</f>
        <v>6</v>
      </c>
      <c r="M4357" s="12">
        <f>Tb_data[[#This Row],[Employees Growth]]/Tb_data[[#This Row],[previous_workers]]</f>
        <v>0.54545454545454541</v>
      </c>
    </row>
    <row r="4358" spans="1:13" x14ac:dyDescent="0.25">
      <c r="A4358" s="1" t="s">
        <v>7595</v>
      </c>
      <c r="B4358" s="1" t="s">
        <v>7596</v>
      </c>
      <c r="C4358" s="1">
        <v>2100000</v>
      </c>
      <c r="D4358" s="1" t="s">
        <v>41</v>
      </c>
      <c r="E4358">
        <v>90.526899999999998</v>
      </c>
      <c r="F4358" s="1" t="s">
        <v>172</v>
      </c>
      <c r="G4358">
        <v>39</v>
      </c>
      <c r="H4358">
        <v>12</v>
      </c>
      <c r="I4358" s="1" t="s">
        <v>1622</v>
      </c>
      <c r="J4358">
        <v>1</v>
      </c>
      <c r="K4358" t="str">
        <f>IF(Tb_data[[#This Row],[previous_workers]]&lt;Tb_data[[#This Row],[workers]],"yes","no")</f>
        <v>yes</v>
      </c>
      <c r="L4358">
        <f>Tb_data[[#This Row],[workers]]-Tb_data[[#This Row],[previous_workers]]</f>
        <v>27</v>
      </c>
      <c r="M4358" s="12">
        <f>Tb_data[[#This Row],[Employees Growth]]/Tb_data[[#This Row],[previous_workers]]</f>
        <v>2.25</v>
      </c>
    </row>
    <row r="4359" spans="1:13" x14ac:dyDescent="0.25">
      <c r="A4359" s="1" t="s">
        <v>1043</v>
      </c>
      <c r="B4359" s="1" t="s">
        <v>1044</v>
      </c>
      <c r="C4359" s="1">
        <v>11600000</v>
      </c>
      <c r="D4359" s="1" t="s">
        <v>41</v>
      </c>
      <c r="E4359">
        <v>955.40260000000001</v>
      </c>
      <c r="F4359" s="1" t="s">
        <v>100</v>
      </c>
      <c r="G4359">
        <v>87</v>
      </c>
      <c r="H4359">
        <v>14</v>
      </c>
      <c r="I4359" s="1" t="s">
        <v>130</v>
      </c>
      <c r="J4359">
        <v>2</v>
      </c>
      <c r="K4359" t="str">
        <f>IF(Tb_data[[#This Row],[previous_workers]]&lt;Tb_data[[#This Row],[workers]],"yes","no")</f>
        <v>yes</v>
      </c>
      <c r="L4359">
        <f>Tb_data[[#This Row],[workers]]-Tb_data[[#This Row],[previous_workers]]</f>
        <v>73</v>
      </c>
      <c r="M4359" s="12">
        <f>Tb_data[[#This Row],[Employees Growth]]/Tb_data[[#This Row],[previous_workers]]</f>
        <v>5.2142857142857144</v>
      </c>
    </row>
    <row r="4360" spans="1:13" x14ac:dyDescent="0.25">
      <c r="A4360" s="1" t="s">
        <v>1444</v>
      </c>
      <c r="B4360" s="1" t="s">
        <v>1445</v>
      </c>
      <c r="C4360" s="1">
        <v>2600000</v>
      </c>
      <c r="D4360" s="1" t="s">
        <v>1446</v>
      </c>
      <c r="E4360">
        <v>651.50599999999997</v>
      </c>
      <c r="F4360" s="1" t="s">
        <v>62</v>
      </c>
      <c r="G4360">
        <v>21</v>
      </c>
      <c r="H4360">
        <v>5</v>
      </c>
      <c r="I4360" s="1" t="s">
        <v>46</v>
      </c>
      <c r="J4360">
        <v>1</v>
      </c>
      <c r="K4360" t="str">
        <f>IF(Tb_data[[#This Row],[previous_workers]]&lt;Tb_data[[#This Row],[workers]],"yes","no")</f>
        <v>yes</v>
      </c>
      <c r="L4360">
        <f>Tb_data[[#This Row],[workers]]-Tb_data[[#This Row],[previous_workers]]</f>
        <v>16</v>
      </c>
      <c r="M4360" s="12">
        <f>Tb_data[[#This Row],[Employees Growth]]/Tb_data[[#This Row],[previous_workers]]</f>
        <v>3.2</v>
      </c>
    </row>
    <row r="4361" spans="1:13" x14ac:dyDescent="0.25">
      <c r="A4361" s="1" t="s">
        <v>3637</v>
      </c>
      <c r="B4361" s="1" t="s">
        <v>3638</v>
      </c>
      <c r="C4361" s="1">
        <v>6500000</v>
      </c>
      <c r="D4361" s="1" t="s">
        <v>179</v>
      </c>
      <c r="E4361">
        <v>231.35310000000001</v>
      </c>
      <c r="F4361" s="1" t="s">
        <v>161</v>
      </c>
      <c r="G4361">
        <v>6</v>
      </c>
      <c r="H4361">
        <v>4</v>
      </c>
      <c r="I4361" s="1" t="s">
        <v>55</v>
      </c>
      <c r="J4361">
        <v>3</v>
      </c>
      <c r="K4361" t="str">
        <f>IF(Tb_data[[#This Row],[previous_workers]]&lt;Tb_data[[#This Row],[workers]],"yes","no")</f>
        <v>yes</v>
      </c>
      <c r="L4361">
        <f>Tb_data[[#This Row],[workers]]-Tb_data[[#This Row],[previous_workers]]</f>
        <v>2</v>
      </c>
      <c r="M4361" s="12">
        <f>Tb_data[[#This Row],[Employees Growth]]/Tb_data[[#This Row],[previous_workers]]</f>
        <v>0.5</v>
      </c>
    </row>
    <row r="4362" spans="1:13" x14ac:dyDescent="0.25">
      <c r="A4362" s="1" t="s">
        <v>7965</v>
      </c>
      <c r="B4362" s="1" t="s">
        <v>7966</v>
      </c>
      <c r="C4362" s="1">
        <v>18500000</v>
      </c>
      <c r="D4362" s="1" t="s">
        <v>483</v>
      </c>
      <c r="E4362">
        <v>83.608999999999995</v>
      </c>
      <c r="F4362" s="1" t="s">
        <v>176</v>
      </c>
      <c r="G4362">
        <v>104</v>
      </c>
      <c r="H4362">
        <v>46</v>
      </c>
      <c r="I4362" s="1" t="s">
        <v>194</v>
      </c>
      <c r="J4362">
        <v>6</v>
      </c>
      <c r="K4362" t="str">
        <f>IF(Tb_data[[#This Row],[previous_workers]]&lt;Tb_data[[#This Row],[workers]],"yes","no")</f>
        <v>yes</v>
      </c>
      <c r="L4362">
        <f>Tb_data[[#This Row],[workers]]-Tb_data[[#This Row],[previous_workers]]</f>
        <v>58</v>
      </c>
      <c r="M4362" s="12">
        <f>Tb_data[[#This Row],[Employees Growth]]/Tb_data[[#This Row],[previous_workers]]</f>
        <v>1.2608695652173914</v>
      </c>
    </row>
    <row r="4363" spans="1:13" x14ac:dyDescent="0.25">
      <c r="A4363" s="1" t="s">
        <v>8610</v>
      </c>
      <c r="B4363" s="1" t="s">
        <v>8611</v>
      </c>
      <c r="C4363" s="1">
        <v>2200000</v>
      </c>
      <c r="D4363" s="1" t="s">
        <v>52</v>
      </c>
      <c r="E4363">
        <v>72.280600000000007</v>
      </c>
      <c r="F4363" s="1" t="s">
        <v>310</v>
      </c>
      <c r="G4363">
        <v>36</v>
      </c>
      <c r="H4363">
        <v>24</v>
      </c>
      <c r="I4363" s="1" t="s">
        <v>468</v>
      </c>
      <c r="J4363">
        <v>1</v>
      </c>
      <c r="K4363" t="str">
        <f>IF(Tb_data[[#This Row],[previous_workers]]&lt;Tb_data[[#This Row],[workers]],"yes","no")</f>
        <v>yes</v>
      </c>
      <c r="L4363">
        <f>Tb_data[[#This Row],[workers]]-Tb_data[[#This Row],[previous_workers]]</f>
        <v>12</v>
      </c>
      <c r="M4363" s="12">
        <f>Tb_data[[#This Row],[Employees Growth]]/Tb_data[[#This Row],[previous_workers]]</f>
        <v>0.5</v>
      </c>
    </row>
    <row r="4364" spans="1:13" x14ac:dyDescent="0.25">
      <c r="A4364" s="1" t="s">
        <v>9415</v>
      </c>
      <c r="B4364" s="1" t="s">
        <v>9416</v>
      </c>
      <c r="C4364" s="1">
        <v>11300000</v>
      </c>
      <c r="D4364" s="1" t="s">
        <v>179</v>
      </c>
      <c r="E4364">
        <v>61.301900000000003</v>
      </c>
      <c r="F4364" s="1" t="s">
        <v>156</v>
      </c>
      <c r="G4364">
        <v>45</v>
      </c>
      <c r="H4364">
        <v>25</v>
      </c>
      <c r="I4364" s="1" t="s">
        <v>1657</v>
      </c>
      <c r="J4364">
        <v>3</v>
      </c>
      <c r="K4364" t="str">
        <f>IF(Tb_data[[#This Row],[previous_workers]]&lt;Tb_data[[#This Row],[workers]],"yes","no")</f>
        <v>yes</v>
      </c>
      <c r="L4364">
        <f>Tb_data[[#This Row],[workers]]-Tb_data[[#This Row],[previous_workers]]</f>
        <v>20</v>
      </c>
      <c r="M4364" s="12">
        <f>Tb_data[[#This Row],[Employees Growth]]/Tb_data[[#This Row],[previous_workers]]</f>
        <v>0.8</v>
      </c>
    </row>
    <row r="4365" spans="1:13" x14ac:dyDescent="0.25">
      <c r="A4365" s="1" t="s">
        <v>9347</v>
      </c>
      <c r="B4365" s="1" t="s">
        <v>9348</v>
      </c>
      <c r="C4365" s="1">
        <v>10700000</v>
      </c>
      <c r="D4365" s="1" t="s">
        <v>38</v>
      </c>
      <c r="E4365">
        <v>62.118000000000002</v>
      </c>
      <c r="F4365" s="1" t="s">
        <v>25</v>
      </c>
      <c r="G4365">
        <v>65</v>
      </c>
      <c r="H4365">
        <v>46</v>
      </c>
      <c r="I4365" s="1" t="s">
        <v>35</v>
      </c>
      <c r="J4365">
        <v>6</v>
      </c>
      <c r="K4365" t="str">
        <f>IF(Tb_data[[#This Row],[previous_workers]]&lt;Tb_data[[#This Row],[workers]],"yes","no")</f>
        <v>yes</v>
      </c>
      <c r="L4365">
        <f>Tb_data[[#This Row],[workers]]-Tb_data[[#This Row],[previous_workers]]</f>
        <v>19</v>
      </c>
      <c r="M4365" s="12">
        <f>Tb_data[[#This Row],[Employees Growth]]/Tb_data[[#This Row],[previous_workers]]</f>
        <v>0.41304347826086957</v>
      </c>
    </row>
    <row r="4366" spans="1:13" x14ac:dyDescent="0.25">
      <c r="A4366" s="1" t="s">
        <v>6119</v>
      </c>
      <c r="B4366" s="1" t="s">
        <v>6120</v>
      </c>
      <c r="C4366" s="1">
        <v>3000000</v>
      </c>
      <c r="D4366" s="1" t="s">
        <v>69</v>
      </c>
      <c r="E4366">
        <v>123.24760000000001</v>
      </c>
      <c r="F4366" s="1" t="s">
        <v>112</v>
      </c>
      <c r="G4366">
        <v>18</v>
      </c>
      <c r="H4366">
        <v>4</v>
      </c>
      <c r="I4366" s="1" t="s">
        <v>229</v>
      </c>
      <c r="J4366">
        <v>2</v>
      </c>
      <c r="K4366" t="str">
        <f>IF(Tb_data[[#This Row],[previous_workers]]&lt;Tb_data[[#This Row],[workers]],"yes","no")</f>
        <v>yes</v>
      </c>
      <c r="L4366">
        <f>Tb_data[[#This Row],[workers]]-Tb_data[[#This Row],[previous_workers]]</f>
        <v>14</v>
      </c>
      <c r="M4366" s="12">
        <f>Tb_data[[#This Row],[Employees Growth]]/Tb_data[[#This Row],[previous_workers]]</f>
        <v>3.5</v>
      </c>
    </row>
    <row r="4367" spans="1:13" x14ac:dyDescent="0.25">
      <c r="A4367" s="1" t="s">
        <v>8397</v>
      </c>
      <c r="B4367" s="1" t="s">
        <v>8398</v>
      </c>
      <c r="C4367" s="1">
        <v>18500000</v>
      </c>
      <c r="D4367" s="1" t="s">
        <v>49</v>
      </c>
      <c r="E4367">
        <v>76.137699999999995</v>
      </c>
      <c r="F4367" s="1" t="s">
        <v>161</v>
      </c>
      <c r="G4367">
        <v>115</v>
      </c>
      <c r="H4367">
        <v>72</v>
      </c>
      <c r="I4367" s="1" t="s">
        <v>74</v>
      </c>
      <c r="J4367">
        <v>6</v>
      </c>
      <c r="K4367" t="str">
        <f>IF(Tb_data[[#This Row],[previous_workers]]&lt;Tb_data[[#This Row],[workers]],"yes","no")</f>
        <v>yes</v>
      </c>
      <c r="L4367">
        <f>Tb_data[[#This Row],[workers]]-Tb_data[[#This Row],[previous_workers]]</f>
        <v>43</v>
      </c>
      <c r="M4367" s="12">
        <f>Tb_data[[#This Row],[Employees Growth]]/Tb_data[[#This Row],[previous_workers]]</f>
        <v>0.59722222222222221</v>
      </c>
    </row>
    <row r="4368" spans="1:13" x14ac:dyDescent="0.25">
      <c r="A4368" s="1" t="s">
        <v>6467</v>
      </c>
      <c r="B4368" s="1" t="s">
        <v>6468</v>
      </c>
      <c r="C4368" s="1">
        <v>32100000</v>
      </c>
      <c r="D4368" s="1" t="s">
        <v>29</v>
      </c>
      <c r="E4368">
        <v>114.9096</v>
      </c>
      <c r="F4368" s="1" t="s">
        <v>124</v>
      </c>
      <c r="G4368">
        <v>32</v>
      </c>
      <c r="H4368">
        <v>18</v>
      </c>
      <c r="I4368" s="1" t="s">
        <v>74</v>
      </c>
      <c r="J4368">
        <v>8</v>
      </c>
      <c r="K4368" t="str">
        <f>IF(Tb_data[[#This Row],[previous_workers]]&lt;Tb_data[[#This Row],[workers]],"yes","no")</f>
        <v>yes</v>
      </c>
      <c r="L4368">
        <f>Tb_data[[#This Row],[workers]]-Tb_data[[#This Row],[previous_workers]]</f>
        <v>14</v>
      </c>
      <c r="M4368" s="12">
        <f>Tb_data[[#This Row],[Employees Growth]]/Tb_data[[#This Row],[previous_workers]]</f>
        <v>0.77777777777777779</v>
      </c>
    </row>
    <row r="4369" spans="1:13" x14ac:dyDescent="0.25">
      <c r="A4369" s="1" t="s">
        <v>9325</v>
      </c>
      <c r="B4369" s="1" t="s">
        <v>9326</v>
      </c>
      <c r="C4369" s="1">
        <v>3800000</v>
      </c>
      <c r="D4369" s="1" t="s">
        <v>29</v>
      </c>
      <c r="E4369">
        <v>62.497500000000002</v>
      </c>
      <c r="F4369" s="1" t="s">
        <v>161</v>
      </c>
      <c r="G4369">
        <v>12</v>
      </c>
      <c r="H4369">
        <v>6</v>
      </c>
      <c r="I4369" s="1" t="s">
        <v>74</v>
      </c>
      <c r="J4369">
        <v>3</v>
      </c>
      <c r="K4369" t="str">
        <f>IF(Tb_data[[#This Row],[previous_workers]]&lt;Tb_data[[#This Row],[workers]],"yes","no")</f>
        <v>yes</v>
      </c>
      <c r="L4369">
        <f>Tb_data[[#This Row],[workers]]-Tb_data[[#This Row],[previous_workers]]</f>
        <v>6</v>
      </c>
      <c r="M4369" s="12">
        <f>Tb_data[[#This Row],[Employees Growth]]/Tb_data[[#This Row],[previous_workers]]</f>
        <v>1</v>
      </c>
    </row>
    <row r="4370" spans="1:13" x14ac:dyDescent="0.25">
      <c r="A4370" s="1" t="s">
        <v>7497</v>
      </c>
      <c r="B4370" s="1" t="s">
        <v>7498</v>
      </c>
      <c r="C4370" s="1">
        <v>64500000</v>
      </c>
      <c r="D4370" s="1" t="s">
        <v>49</v>
      </c>
      <c r="E4370">
        <v>93.064300000000003</v>
      </c>
      <c r="F4370" s="1" t="s">
        <v>161</v>
      </c>
      <c r="G4370">
        <v>342</v>
      </c>
      <c r="H4370">
        <v>175</v>
      </c>
      <c r="I4370" s="1" t="s">
        <v>226</v>
      </c>
      <c r="J4370">
        <v>1</v>
      </c>
      <c r="K4370" t="str">
        <f>IF(Tb_data[[#This Row],[previous_workers]]&lt;Tb_data[[#This Row],[workers]],"yes","no")</f>
        <v>yes</v>
      </c>
      <c r="L4370">
        <f>Tb_data[[#This Row],[workers]]-Tb_data[[#This Row],[previous_workers]]</f>
        <v>167</v>
      </c>
      <c r="M4370" s="12">
        <f>Tb_data[[#This Row],[Employees Growth]]/Tb_data[[#This Row],[previous_workers]]</f>
        <v>0.95428571428571429</v>
      </c>
    </row>
    <row r="4371" spans="1:13" x14ac:dyDescent="0.25">
      <c r="A4371" s="1" t="s">
        <v>1242</v>
      </c>
      <c r="B4371" s="1" t="s">
        <v>1243</v>
      </c>
      <c r="C4371" s="1">
        <v>3700000</v>
      </c>
      <c r="D4371" s="1" t="s">
        <v>120</v>
      </c>
      <c r="E4371">
        <v>773.52059999999994</v>
      </c>
      <c r="F4371" s="1" t="s">
        <v>12</v>
      </c>
      <c r="G4371">
        <v>22</v>
      </c>
      <c r="H4371">
        <v>5</v>
      </c>
      <c r="I4371" s="1" t="s">
        <v>13</v>
      </c>
      <c r="J4371">
        <v>1</v>
      </c>
      <c r="K4371" t="str">
        <f>IF(Tb_data[[#This Row],[previous_workers]]&lt;Tb_data[[#This Row],[workers]],"yes","no")</f>
        <v>yes</v>
      </c>
      <c r="L4371">
        <f>Tb_data[[#This Row],[workers]]-Tb_data[[#This Row],[previous_workers]]</f>
        <v>17</v>
      </c>
      <c r="M4371" s="12">
        <f>Tb_data[[#This Row],[Employees Growth]]/Tb_data[[#This Row],[previous_workers]]</f>
        <v>3.4</v>
      </c>
    </row>
    <row r="4372" spans="1:13" x14ac:dyDescent="0.25">
      <c r="A4372" s="1" t="s">
        <v>8699</v>
      </c>
      <c r="B4372" s="1" t="s">
        <v>8700</v>
      </c>
      <c r="C4372" s="1">
        <v>4400000</v>
      </c>
      <c r="D4372" s="1" t="s">
        <v>49</v>
      </c>
      <c r="E4372">
        <v>71.082800000000006</v>
      </c>
      <c r="F4372" s="1" t="s">
        <v>124</v>
      </c>
      <c r="G4372">
        <v>9</v>
      </c>
      <c r="H4372">
        <v>4</v>
      </c>
      <c r="I4372" s="1" t="s">
        <v>2225</v>
      </c>
      <c r="J4372">
        <v>3</v>
      </c>
      <c r="K4372" t="str">
        <f>IF(Tb_data[[#This Row],[previous_workers]]&lt;Tb_data[[#This Row],[workers]],"yes","no")</f>
        <v>yes</v>
      </c>
      <c r="L4372">
        <f>Tb_data[[#This Row],[workers]]-Tb_data[[#This Row],[previous_workers]]</f>
        <v>5</v>
      </c>
      <c r="M4372" s="12">
        <f>Tb_data[[#This Row],[Employees Growth]]/Tb_data[[#This Row],[previous_workers]]</f>
        <v>1.25</v>
      </c>
    </row>
    <row r="4373" spans="1:13" x14ac:dyDescent="0.25">
      <c r="A4373" s="1" t="s">
        <v>3481</v>
      </c>
      <c r="B4373" s="1" t="s">
        <v>3482</v>
      </c>
      <c r="C4373" s="1">
        <v>2700000</v>
      </c>
      <c r="D4373" s="1" t="s">
        <v>69</v>
      </c>
      <c r="E4373">
        <v>243.97800000000001</v>
      </c>
      <c r="F4373" s="1" t="s">
        <v>12</v>
      </c>
      <c r="G4373">
        <v>18</v>
      </c>
      <c r="H4373">
        <v>7</v>
      </c>
      <c r="I4373" s="1" t="s">
        <v>226</v>
      </c>
      <c r="J4373">
        <v>1</v>
      </c>
      <c r="K4373" t="str">
        <f>IF(Tb_data[[#This Row],[previous_workers]]&lt;Tb_data[[#This Row],[workers]],"yes","no")</f>
        <v>yes</v>
      </c>
      <c r="L4373">
        <f>Tb_data[[#This Row],[workers]]-Tb_data[[#This Row],[previous_workers]]</f>
        <v>11</v>
      </c>
      <c r="M4373" s="12">
        <f>Tb_data[[#This Row],[Employees Growth]]/Tb_data[[#This Row],[previous_workers]]</f>
        <v>1.5714285714285714</v>
      </c>
    </row>
    <row r="4374" spans="1:13" x14ac:dyDescent="0.25">
      <c r="A4374" s="1" t="s">
        <v>9860</v>
      </c>
      <c r="B4374" s="1" t="s">
        <v>9861</v>
      </c>
      <c r="C4374" s="1">
        <v>2500000</v>
      </c>
      <c r="D4374" s="1" t="s">
        <v>52</v>
      </c>
      <c r="E4374">
        <v>55.807000000000002</v>
      </c>
      <c r="F4374" s="1" t="s">
        <v>176</v>
      </c>
      <c r="G4374">
        <v>18</v>
      </c>
      <c r="H4374">
        <v>10</v>
      </c>
      <c r="I4374" s="1" t="s">
        <v>46</v>
      </c>
      <c r="J4374">
        <v>2</v>
      </c>
      <c r="K4374" t="str">
        <f>IF(Tb_data[[#This Row],[previous_workers]]&lt;Tb_data[[#This Row],[workers]],"yes","no")</f>
        <v>yes</v>
      </c>
      <c r="L4374">
        <f>Tb_data[[#This Row],[workers]]-Tb_data[[#This Row],[previous_workers]]</f>
        <v>8</v>
      </c>
      <c r="M4374" s="12">
        <f>Tb_data[[#This Row],[Employees Growth]]/Tb_data[[#This Row],[previous_workers]]</f>
        <v>0.8</v>
      </c>
    </row>
    <row r="4375" spans="1:13" x14ac:dyDescent="0.25">
      <c r="A4375" s="1" t="s">
        <v>2735</v>
      </c>
      <c r="B4375" s="1" t="s">
        <v>2736</v>
      </c>
      <c r="C4375" s="1">
        <v>35900000</v>
      </c>
      <c r="D4375" s="1" t="s">
        <v>29</v>
      </c>
      <c r="E4375">
        <v>314.98419999999999</v>
      </c>
      <c r="F4375" s="1" t="s">
        <v>124</v>
      </c>
      <c r="G4375">
        <v>57</v>
      </c>
      <c r="H4375">
        <v>15</v>
      </c>
      <c r="I4375" s="1" t="s">
        <v>130</v>
      </c>
      <c r="J4375">
        <v>4</v>
      </c>
      <c r="K4375" t="str">
        <f>IF(Tb_data[[#This Row],[previous_workers]]&lt;Tb_data[[#This Row],[workers]],"yes","no")</f>
        <v>yes</v>
      </c>
      <c r="L4375">
        <f>Tb_data[[#This Row],[workers]]-Tb_data[[#This Row],[previous_workers]]</f>
        <v>42</v>
      </c>
      <c r="M4375" s="12">
        <f>Tb_data[[#This Row],[Employees Growth]]/Tb_data[[#This Row],[previous_workers]]</f>
        <v>2.8</v>
      </c>
    </row>
    <row r="4376" spans="1:13" x14ac:dyDescent="0.25">
      <c r="A4376" s="1" t="s">
        <v>9059</v>
      </c>
      <c r="B4376" s="1" t="s">
        <v>9060</v>
      </c>
      <c r="C4376" s="1">
        <v>4900000</v>
      </c>
      <c r="D4376" s="1" t="s">
        <v>33</v>
      </c>
      <c r="E4376">
        <v>65.897300000000001</v>
      </c>
      <c r="F4376" s="1" t="s">
        <v>34</v>
      </c>
      <c r="G4376">
        <v>31</v>
      </c>
      <c r="H4376">
        <v>33</v>
      </c>
      <c r="I4376" s="1" t="s">
        <v>46</v>
      </c>
      <c r="J4376">
        <v>1</v>
      </c>
      <c r="K4376" t="str">
        <f>IF(Tb_data[[#This Row],[previous_workers]]&lt;Tb_data[[#This Row],[workers]],"yes","no")</f>
        <v>no</v>
      </c>
      <c r="L4376">
        <f>Tb_data[[#This Row],[workers]]-Tb_data[[#This Row],[previous_workers]]</f>
        <v>-2</v>
      </c>
      <c r="M4376" s="12">
        <f>Tb_data[[#This Row],[Employees Growth]]/Tb_data[[#This Row],[previous_workers]]</f>
        <v>-6.0606060606060608E-2</v>
      </c>
    </row>
    <row r="4377" spans="1:13" x14ac:dyDescent="0.25">
      <c r="A4377" s="1" t="s">
        <v>1068</v>
      </c>
      <c r="B4377" s="1" t="s">
        <v>1069</v>
      </c>
      <c r="C4377" s="1">
        <v>3500000</v>
      </c>
      <c r="D4377" s="1" t="s">
        <v>41</v>
      </c>
      <c r="E4377">
        <v>904.62059999999997</v>
      </c>
      <c r="F4377" s="1" t="s">
        <v>97</v>
      </c>
      <c r="G4377">
        <v>20</v>
      </c>
      <c r="H4377">
        <v>2</v>
      </c>
      <c r="I4377" s="1" t="s">
        <v>147</v>
      </c>
      <c r="J4377">
        <v>2</v>
      </c>
      <c r="K4377" t="str">
        <f>IF(Tb_data[[#This Row],[previous_workers]]&lt;Tb_data[[#This Row],[workers]],"yes","no")</f>
        <v>yes</v>
      </c>
      <c r="L4377">
        <f>Tb_data[[#This Row],[workers]]-Tb_data[[#This Row],[previous_workers]]</f>
        <v>18</v>
      </c>
      <c r="M4377" s="12">
        <f>Tb_data[[#This Row],[Employees Growth]]/Tb_data[[#This Row],[previous_workers]]</f>
        <v>9</v>
      </c>
    </row>
    <row r="4378" spans="1:13" x14ac:dyDescent="0.25">
      <c r="A4378" s="1" t="s">
        <v>8733</v>
      </c>
      <c r="B4378" s="1" t="s">
        <v>8734</v>
      </c>
      <c r="C4378" s="1">
        <v>2700000</v>
      </c>
      <c r="D4378" s="1" t="s">
        <v>500</v>
      </c>
      <c r="E4378">
        <v>70.494699999999995</v>
      </c>
      <c r="F4378" s="1" t="s">
        <v>176</v>
      </c>
      <c r="G4378">
        <v>10</v>
      </c>
      <c r="H4378">
        <v>7</v>
      </c>
      <c r="I4378" s="1" t="s">
        <v>117</v>
      </c>
      <c r="J4378">
        <v>1</v>
      </c>
      <c r="K4378" t="str">
        <f>IF(Tb_data[[#This Row],[previous_workers]]&lt;Tb_data[[#This Row],[workers]],"yes","no")</f>
        <v>yes</v>
      </c>
      <c r="L4378">
        <f>Tb_data[[#This Row],[workers]]-Tb_data[[#This Row],[previous_workers]]</f>
        <v>3</v>
      </c>
      <c r="M4378" s="12">
        <f>Tb_data[[#This Row],[Employees Growth]]/Tb_data[[#This Row],[previous_workers]]</f>
        <v>0.42857142857142855</v>
      </c>
    </row>
    <row r="4379" spans="1:13" x14ac:dyDescent="0.25">
      <c r="A4379" s="1" t="s">
        <v>4276</v>
      </c>
      <c r="B4379" s="1" t="s">
        <v>4277</v>
      </c>
      <c r="C4379" s="1">
        <v>3000000</v>
      </c>
      <c r="D4379" s="1" t="s">
        <v>627</v>
      </c>
      <c r="E4379">
        <v>192.17230000000001</v>
      </c>
      <c r="F4379" s="1" t="s">
        <v>100</v>
      </c>
      <c r="G4379">
        <v>5</v>
      </c>
      <c r="H4379">
        <v>3</v>
      </c>
      <c r="I4379" s="1" t="s">
        <v>147</v>
      </c>
      <c r="J4379">
        <v>1</v>
      </c>
      <c r="K4379" t="str">
        <f>IF(Tb_data[[#This Row],[previous_workers]]&lt;Tb_data[[#This Row],[workers]],"yes","no")</f>
        <v>yes</v>
      </c>
      <c r="L4379">
        <f>Tb_data[[#This Row],[workers]]-Tb_data[[#This Row],[previous_workers]]</f>
        <v>2</v>
      </c>
      <c r="M4379" s="12">
        <f>Tb_data[[#This Row],[Employees Growth]]/Tb_data[[#This Row],[previous_workers]]</f>
        <v>0.66666666666666663</v>
      </c>
    </row>
    <row r="4380" spans="1:13" x14ac:dyDescent="0.25">
      <c r="A4380" s="1" t="s">
        <v>1653</v>
      </c>
      <c r="B4380" s="1" t="s">
        <v>1654</v>
      </c>
      <c r="C4380" s="1">
        <v>4600000</v>
      </c>
      <c r="D4380" s="1" t="s">
        <v>45</v>
      </c>
      <c r="E4380">
        <v>558.39940000000001</v>
      </c>
      <c r="F4380" s="1" t="s">
        <v>176</v>
      </c>
      <c r="G4380">
        <v>25</v>
      </c>
      <c r="H4380">
        <v>5</v>
      </c>
      <c r="I4380" s="1" t="s">
        <v>117</v>
      </c>
      <c r="J4380">
        <v>3</v>
      </c>
      <c r="K4380" t="str">
        <f>IF(Tb_data[[#This Row],[previous_workers]]&lt;Tb_data[[#This Row],[workers]],"yes","no")</f>
        <v>yes</v>
      </c>
      <c r="L4380">
        <f>Tb_data[[#This Row],[workers]]-Tb_data[[#This Row],[previous_workers]]</f>
        <v>20</v>
      </c>
      <c r="M4380" s="12">
        <f>Tb_data[[#This Row],[Employees Growth]]/Tb_data[[#This Row],[previous_workers]]</f>
        <v>4</v>
      </c>
    </row>
    <row r="4381" spans="1:13" x14ac:dyDescent="0.25">
      <c r="A4381" s="1" t="s">
        <v>9513</v>
      </c>
      <c r="B4381" s="1" t="s">
        <v>9514</v>
      </c>
      <c r="C4381" s="1">
        <v>738200000</v>
      </c>
      <c r="D4381" s="1" t="s">
        <v>45</v>
      </c>
      <c r="E4381">
        <v>60.151000000000003</v>
      </c>
      <c r="F4381" s="1" t="s">
        <v>112</v>
      </c>
      <c r="G4381">
        <v>1269</v>
      </c>
      <c r="H4381">
        <v>792</v>
      </c>
      <c r="I4381" s="1" t="s">
        <v>3918</v>
      </c>
      <c r="J4381">
        <v>9</v>
      </c>
      <c r="K4381" t="str">
        <f>IF(Tb_data[[#This Row],[previous_workers]]&lt;Tb_data[[#This Row],[workers]],"yes","no")</f>
        <v>yes</v>
      </c>
      <c r="L4381">
        <f>Tb_data[[#This Row],[workers]]-Tb_data[[#This Row],[previous_workers]]</f>
        <v>477</v>
      </c>
      <c r="M4381" s="12">
        <f>Tb_data[[#This Row],[Employees Growth]]/Tb_data[[#This Row],[previous_workers]]</f>
        <v>0.60227272727272729</v>
      </c>
    </row>
    <row r="4382" spans="1:13" x14ac:dyDescent="0.25">
      <c r="A4382" s="1" t="s">
        <v>968</v>
      </c>
      <c r="B4382" s="1" t="s">
        <v>969</v>
      </c>
      <c r="C4382" s="1">
        <v>67800000</v>
      </c>
      <c r="D4382" s="1" t="s">
        <v>427</v>
      </c>
      <c r="E4382">
        <v>1043.2461000000001</v>
      </c>
      <c r="F4382" s="1" t="s">
        <v>100</v>
      </c>
      <c r="G4382">
        <v>53</v>
      </c>
      <c r="H4382">
        <v>12</v>
      </c>
      <c r="I4382" s="1" t="s">
        <v>35</v>
      </c>
      <c r="J4382">
        <v>4</v>
      </c>
      <c r="K4382" t="str">
        <f>IF(Tb_data[[#This Row],[previous_workers]]&lt;Tb_data[[#This Row],[workers]],"yes","no")</f>
        <v>yes</v>
      </c>
      <c r="L4382">
        <f>Tb_data[[#This Row],[workers]]-Tb_data[[#This Row],[previous_workers]]</f>
        <v>41</v>
      </c>
      <c r="M4382" s="12">
        <f>Tb_data[[#This Row],[Employees Growth]]/Tb_data[[#This Row],[previous_workers]]</f>
        <v>3.4166666666666665</v>
      </c>
    </row>
    <row r="4383" spans="1:13" x14ac:dyDescent="0.25">
      <c r="A4383" s="1" t="s">
        <v>3392</v>
      </c>
      <c r="B4383" s="1" t="s">
        <v>3393</v>
      </c>
      <c r="C4383" s="1">
        <v>9100000</v>
      </c>
      <c r="D4383" s="1" t="s">
        <v>123</v>
      </c>
      <c r="E4383">
        <v>252.32740000000001</v>
      </c>
      <c r="F4383" s="1" t="s">
        <v>21</v>
      </c>
      <c r="G4383">
        <v>56</v>
      </c>
      <c r="H4383">
        <v>19</v>
      </c>
      <c r="I4383" s="1" t="s">
        <v>117</v>
      </c>
      <c r="J4383">
        <v>1</v>
      </c>
      <c r="K4383" t="str">
        <f>IF(Tb_data[[#This Row],[previous_workers]]&lt;Tb_data[[#This Row],[workers]],"yes","no")</f>
        <v>yes</v>
      </c>
      <c r="L4383">
        <f>Tb_data[[#This Row],[workers]]-Tb_data[[#This Row],[previous_workers]]</f>
        <v>37</v>
      </c>
      <c r="M4383" s="12">
        <f>Tb_data[[#This Row],[Employees Growth]]/Tb_data[[#This Row],[previous_workers]]</f>
        <v>1.9473684210526316</v>
      </c>
    </row>
    <row r="4384" spans="1:13" x14ac:dyDescent="0.25">
      <c r="A4384" s="1" t="s">
        <v>9830</v>
      </c>
      <c r="B4384" s="1" t="s">
        <v>9831</v>
      </c>
      <c r="C4384" s="1">
        <v>35600000</v>
      </c>
      <c r="D4384" s="1" t="s">
        <v>115</v>
      </c>
      <c r="E4384">
        <v>56.333399999999997</v>
      </c>
      <c r="F4384" s="1" t="s">
        <v>161</v>
      </c>
      <c r="G4384">
        <v>2531</v>
      </c>
      <c r="H4384">
        <v>1600</v>
      </c>
      <c r="I4384" s="1" t="s">
        <v>3843</v>
      </c>
      <c r="J4384">
        <v>1</v>
      </c>
      <c r="K4384" t="str">
        <f>IF(Tb_data[[#This Row],[previous_workers]]&lt;Tb_data[[#This Row],[workers]],"yes","no")</f>
        <v>yes</v>
      </c>
      <c r="L4384">
        <f>Tb_data[[#This Row],[workers]]-Tb_data[[#This Row],[previous_workers]]</f>
        <v>931</v>
      </c>
      <c r="M4384" s="12">
        <f>Tb_data[[#This Row],[Employees Growth]]/Tb_data[[#This Row],[previous_workers]]</f>
        <v>0.58187500000000003</v>
      </c>
    </row>
    <row r="4385" spans="1:13" x14ac:dyDescent="0.25">
      <c r="A4385" s="1" t="s">
        <v>6175</v>
      </c>
      <c r="B4385" s="1" t="s">
        <v>6176</v>
      </c>
      <c r="C4385" s="1">
        <v>2400000</v>
      </c>
      <c r="D4385" s="1" t="s">
        <v>627</v>
      </c>
      <c r="E4385">
        <v>121.7316</v>
      </c>
      <c r="F4385" s="1" t="s">
        <v>100</v>
      </c>
      <c r="G4385">
        <v>19</v>
      </c>
      <c r="H4385">
        <v>18</v>
      </c>
      <c r="I4385" s="1" t="s">
        <v>117</v>
      </c>
      <c r="J4385">
        <v>2</v>
      </c>
      <c r="K4385" t="str">
        <f>IF(Tb_data[[#This Row],[previous_workers]]&lt;Tb_data[[#This Row],[workers]],"yes","no")</f>
        <v>yes</v>
      </c>
      <c r="L4385">
        <f>Tb_data[[#This Row],[workers]]-Tb_data[[#This Row],[previous_workers]]</f>
        <v>1</v>
      </c>
      <c r="M4385" s="12">
        <f>Tb_data[[#This Row],[Employees Growth]]/Tb_data[[#This Row],[previous_workers]]</f>
        <v>5.5555555555555552E-2</v>
      </c>
    </row>
    <row r="4386" spans="1:13" x14ac:dyDescent="0.25">
      <c r="A4386" s="1" t="s">
        <v>4945</v>
      </c>
      <c r="B4386" s="1" t="s">
        <v>4946</v>
      </c>
      <c r="C4386" s="1">
        <v>5800000</v>
      </c>
      <c r="D4386" s="1" t="s">
        <v>20</v>
      </c>
      <c r="E4386">
        <v>164.357</v>
      </c>
      <c r="F4386" s="1" t="s">
        <v>176</v>
      </c>
      <c r="G4386">
        <v>26</v>
      </c>
      <c r="H4386">
        <v>19</v>
      </c>
      <c r="I4386" s="1" t="s">
        <v>117</v>
      </c>
      <c r="J4386">
        <v>3</v>
      </c>
      <c r="K4386" t="str">
        <f>IF(Tb_data[[#This Row],[previous_workers]]&lt;Tb_data[[#This Row],[workers]],"yes","no")</f>
        <v>yes</v>
      </c>
      <c r="L4386">
        <f>Tb_data[[#This Row],[workers]]-Tb_data[[#This Row],[previous_workers]]</f>
        <v>7</v>
      </c>
      <c r="M4386" s="12">
        <f>Tb_data[[#This Row],[Employees Growth]]/Tb_data[[#This Row],[previous_workers]]</f>
        <v>0.36842105263157893</v>
      </c>
    </row>
    <row r="4387" spans="1:13" x14ac:dyDescent="0.25">
      <c r="A4387" s="1" t="s">
        <v>1768</v>
      </c>
      <c r="B4387" s="1" t="s">
        <v>4073</v>
      </c>
      <c r="C4387" s="1">
        <v>229800000</v>
      </c>
      <c r="D4387" s="1" t="s">
        <v>33</v>
      </c>
      <c r="E4387">
        <v>203.5975</v>
      </c>
      <c r="F4387" s="1" t="s">
        <v>34</v>
      </c>
      <c r="G4387">
        <v>1626</v>
      </c>
      <c r="H4387">
        <v>250</v>
      </c>
      <c r="I4387" s="1" t="s">
        <v>46</v>
      </c>
      <c r="J4387">
        <v>7</v>
      </c>
      <c r="K4387" t="str">
        <f>IF(Tb_data[[#This Row],[previous_workers]]&lt;Tb_data[[#This Row],[workers]],"yes","no")</f>
        <v>yes</v>
      </c>
      <c r="L4387">
        <f>Tb_data[[#This Row],[workers]]-Tb_data[[#This Row],[previous_workers]]</f>
        <v>1376</v>
      </c>
      <c r="M4387" s="12">
        <f>Tb_data[[#This Row],[Employees Growth]]/Tb_data[[#This Row],[previous_workers]]</f>
        <v>5.5039999999999996</v>
      </c>
    </row>
    <row r="4388" spans="1:13" x14ac:dyDescent="0.25">
      <c r="A4388" s="1" t="s">
        <v>6653</v>
      </c>
      <c r="B4388" s="1" t="s">
        <v>6654</v>
      </c>
      <c r="C4388" s="1">
        <v>8800000</v>
      </c>
      <c r="D4388" s="1" t="s">
        <v>20</v>
      </c>
      <c r="E4388">
        <v>110.13249999999999</v>
      </c>
      <c r="F4388" s="1" t="s">
        <v>176</v>
      </c>
      <c r="G4388">
        <v>22</v>
      </c>
      <c r="H4388">
        <v>10</v>
      </c>
      <c r="I4388" s="1" t="s">
        <v>130</v>
      </c>
      <c r="J4388">
        <v>2</v>
      </c>
      <c r="K4388" t="str">
        <f>IF(Tb_data[[#This Row],[previous_workers]]&lt;Tb_data[[#This Row],[workers]],"yes","no")</f>
        <v>yes</v>
      </c>
      <c r="L4388">
        <f>Tb_data[[#This Row],[workers]]-Tb_data[[#This Row],[previous_workers]]</f>
        <v>12</v>
      </c>
      <c r="M4388" s="12">
        <f>Tb_data[[#This Row],[Employees Growth]]/Tb_data[[#This Row],[previous_workers]]</f>
        <v>1.2</v>
      </c>
    </row>
    <row r="4389" spans="1:13" x14ac:dyDescent="0.25">
      <c r="A4389" s="1" t="s">
        <v>8171</v>
      </c>
      <c r="B4389" s="1" t="s">
        <v>8172</v>
      </c>
      <c r="C4389" s="1">
        <v>4400000</v>
      </c>
      <c r="D4389" s="1" t="s">
        <v>20</v>
      </c>
      <c r="E4389">
        <v>80.066199999999995</v>
      </c>
      <c r="F4389" s="1" t="s">
        <v>100</v>
      </c>
      <c r="G4389">
        <v>13</v>
      </c>
      <c r="H4389">
        <v>10</v>
      </c>
      <c r="I4389" s="1" t="s">
        <v>117</v>
      </c>
      <c r="J4389">
        <v>5</v>
      </c>
      <c r="K4389" t="str">
        <f>IF(Tb_data[[#This Row],[previous_workers]]&lt;Tb_data[[#This Row],[workers]],"yes","no")</f>
        <v>yes</v>
      </c>
      <c r="L4389">
        <f>Tb_data[[#This Row],[workers]]-Tb_data[[#This Row],[previous_workers]]</f>
        <v>3</v>
      </c>
      <c r="M4389" s="12">
        <f>Tb_data[[#This Row],[Employees Growth]]/Tb_data[[#This Row],[previous_workers]]</f>
        <v>0.3</v>
      </c>
    </row>
    <row r="4390" spans="1:13" x14ac:dyDescent="0.25">
      <c r="A4390" s="1" t="s">
        <v>3023</v>
      </c>
      <c r="B4390" s="1" t="s">
        <v>3024</v>
      </c>
      <c r="C4390" s="1">
        <v>141700000</v>
      </c>
      <c r="D4390" s="1" t="s">
        <v>41</v>
      </c>
      <c r="E4390">
        <v>285.01190000000003</v>
      </c>
      <c r="F4390" s="1" t="s">
        <v>172</v>
      </c>
      <c r="G4390">
        <v>717</v>
      </c>
      <c r="H4390">
        <v>174</v>
      </c>
      <c r="I4390" s="1" t="s">
        <v>35</v>
      </c>
      <c r="J4390">
        <v>5</v>
      </c>
      <c r="K4390" t="str">
        <f>IF(Tb_data[[#This Row],[previous_workers]]&lt;Tb_data[[#This Row],[workers]],"yes","no")</f>
        <v>yes</v>
      </c>
      <c r="L4390">
        <f>Tb_data[[#This Row],[workers]]-Tb_data[[#This Row],[previous_workers]]</f>
        <v>543</v>
      </c>
      <c r="M4390" s="12">
        <f>Tb_data[[#This Row],[Employees Growth]]/Tb_data[[#This Row],[previous_workers]]</f>
        <v>3.1206896551724137</v>
      </c>
    </row>
    <row r="4391" spans="1:13" x14ac:dyDescent="0.25">
      <c r="A4391" s="1" t="s">
        <v>1639</v>
      </c>
      <c r="B4391" s="1" t="s">
        <v>1640</v>
      </c>
      <c r="C4391" s="1">
        <v>4800000</v>
      </c>
      <c r="D4391" s="1" t="s">
        <v>627</v>
      </c>
      <c r="E4391">
        <v>565.72</v>
      </c>
      <c r="F4391" s="1" t="s">
        <v>161</v>
      </c>
      <c r="G4391">
        <v>11</v>
      </c>
      <c r="H4391">
        <v>2</v>
      </c>
      <c r="I4391" s="1" t="s">
        <v>26</v>
      </c>
      <c r="J4391">
        <v>2</v>
      </c>
      <c r="K4391" t="str">
        <f>IF(Tb_data[[#This Row],[previous_workers]]&lt;Tb_data[[#This Row],[workers]],"yes","no")</f>
        <v>yes</v>
      </c>
      <c r="L4391">
        <f>Tb_data[[#This Row],[workers]]-Tb_data[[#This Row],[previous_workers]]</f>
        <v>9</v>
      </c>
      <c r="M4391" s="12">
        <f>Tb_data[[#This Row],[Employees Growth]]/Tb_data[[#This Row],[previous_workers]]</f>
        <v>4.5</v>
      </c>
    </row>
    <row r="4392" spans="1:13" x14ac:dyDescent="0.25">
      <c r="A4392" s="1" t="s">
        <v>2052</v>
      </c>
      <c r="B4392" s="1" t="s">
        <v>2053</v>
      </c>
      <c r="C4392" s="1">
        <v>18700000</v>
      </c>
      <c r="D4392" s="1" t="s">
        <v>33</v>
      </c>
      <c r="E4392">
        <v>437.34730000000002</v>
      </c>
      <c r="F4392" s="1" t="s">
        <v>12</v>
      </c>
      <c r="G4392">
        <v>45</v>
      </c>
      <c r="H4392">
        <v>8</v>
      </c>
      <c r="I4392" s="1" t="s">
        <v>164</v>
      </c>
      <c r="J4392">
        <v>3</v>
      </c>
      <c r="K4392" t="str">
        <f>IF(Tb_data[[#This Row],[previous_workers]]&lt;Tb_data[[#This Row],[workers]],"yes","no")</f>
        <v>yes</v>
      </c>
      <c r="L4392">
        <f>Tb_data[[#This Row],[workers]]-Tb_data[[#This Row],[previous_workers]]</f>
        <v>37</v>
      </c>
      <c r="M4392" s="12">
        <f>Tb_data[[#This Row],[Employees Growth]]/Tb_data[[#This Row],[previous_workers]]</f>
        <v>4.625</v>
      </c>
    </row>
    <row r="4393" spans="1:13" x14ac:dyDescent="0.25">
      <c r="A4393" s="1" t="s">
        <v>8602</v>
      </c>
      <c r="B4393" s="1" t="s">
        <v>8603</v>
      </c>
      <c r="C4393" s="1">
        <v>31100000</v>
      </c>
      <c r="D4393" s="1" t="s">
        <v>69</v>
      </c>
      <c r="E4393">
        <v>72.342200000000005</v>
      </c>
      <c r="F4393" s="1" t="s">
        <v>176</v>
      </c>
      <c r="G4393">
        <v>130</v>
      </c>
      <c r="H4393">
        <v>60</v>
      </c>
      <c r="I4393" s="1" t="s">
        <v>1051</v>
      </c>
      <c r="J4393">
        <v>4</v>
      </c>
      <c r="K4393" t="str">
        <f>IF(Tb_data[[#This Row],[previous_workers]]&lt;Tb_data[[#This Row],[workers]],"yes","no")</f>
        <v>yes</v>
      </c>
      <c r="L4393">
        <f>Tb_data[[#This Row],[workers]]-Tb_data[[#This Row],[previous_workers]]</f>
        <v>70</v>
      </c>
      <c r="M4393" s="12">
        <f>Tb_data[[#This Row],[Employees Growth]]/Tb_data[[#This Row],[previous_workers]]</f>
        <v>1.1666666666666667</v>
      </c>
    </row>
    <row r="4394" spans="1:13" x14ac:dyDescent="0.25">
      <c r="A4394" s="1" t="s">
        <v>2761</v>
      </c>
      <c r="B4394" s="1" t="s">
        <v>2762</v>
      </c>
      <c r="C4394" s="1">
        <v>3100000</v>
      </c>
      <c r="D4394" s="1" t="s">
        <v>33</v>
      </c>
      <c r="E4394">
        <v>311.34949999999998</v>
      </c>
      <c r="F4394" s="1" t="s">
        <v>176</v>
      </c>
      <c r="G4394">
        <v>8</v>
      </c>
      <c r="H4394">
        <v>2</v>
      </c>
      <c r="I4394" s="1" t="s">
        <v>55</v>
      </c>
      <c r="J4394">
        <v>2</v>
      </c>
      <c r="K4394" t="str">
        <f>IF(Tb_data[[#This Row],[previous_workers]]&lt;Tb_data[[#This Row],[workers]],"yes","no")</f>
        <v>yes</v>
      </c>
      <c r="L4394">
        <f>Tb_data[[#This Row],[workers]]-Tb_data[[#This Row],[previous_workers]]</f>
        <v>6</v>
      </c>
      <c r="M4394" s="12">
        <f>Tb_data[[#This Row],[Employees Growth]]/Tb_data[[#This Row],[previous_workers]]</f>
        <v>3</v>
      </c>
    </row>
    <row r="4395" spans="1:13" x14ac:dyDescent="0.25">
      <c r="A4395" s="1" t="s">
        <v>6123</v>
      </c>
      <c r="B4395" s="1" t="s">
        <v>6124</v>
      </c>
      <c r="C4395" s="1">
        <v>48400000</v>
      </c>
      <c r="D4395" s="1" t="s">
        <v>627</v>
      </c>
      <c r="E4395">
        <v>123.2333</v>
      </c>
      <c r="F4395" s="1" t="s">
        <v>21</v>
      </c>
      <c r="G4395">
        <v>960</v>
      </c>
      <c r="H4395">
        <v>330</v>
      </c>
      <c r="I4395" s="1" t="s">
        <v>35</v>
      </c>
      <c r="J4395">
        <v>1</v>
      </c>
      <c r="K4395" t="str">
        <f>IF(Tb_data[[#This Row],[previous_workers]]&lt;Tb_data[[#This Row],[workers]],"yes","no")</f>
        <v>yes</v>
      </c>
      <c r="L4395">
        <f>Tb_data[[#This Row],[workers]]-Tb_data[[#This Row],[previous_workers]]</f>
        <v>630</v>
      </c>
      <c r="M4395" s="12">
        <f>Tb_data[[#This Row],[Employees Growth]]/Tb_data[[#This Row],[previous_workers]]</f>
        <v>1.9090909090909092</v>
      </c>
    </row>
    <row r="4396" spans="1:13" x14ac:dyDescent="0.25">
      <c r="A4396" s="1" t="s">
        <v>3769</v>
      </c>
      <c r="B4396" s="1" t="s">
        <v>3770</v>
      </c>
      <c r="C4396" s="1">
        <v>8200000</v>
      </c>
      <c r="D4396" s="1" t="s">
        <v>52</v>
      </c>
      <c r="E4396">
        <v>223.54499999999999</v>
      </c>
      <c r="F4396" s="1" t="s">
        <v>62</v>
      </c>
      <c r="G4396">
        <v>10</v>
      </c>
      <c r="H4396">
        <v>8</v>
      </c>
      <c r="I4396" s="1" t="s">
        <v>948</v>
      </c>
      <c r="J4396">
        <v>3</v>
      </c>
      <c r="K4396" t="str">
        <f>IF(Tb_data[[#This Row],[previous_workers]]&lt;Tb_data[[#This Row],[workers]],"yes","no")</f>
        <v>yes</v>
      </c>
      <c r="L4396">
        <f>Tb_data[[#This Row],[workers]]-Tb_data[[#This Row],[previous_workers]]</f>
        <v>2</v>
      </c>
      <c r="M4396" s="12">
        <f>Tb_data[[#This Row],[Employees Growth]]/Tb_data[[#This Row],[previous_workers]]</f>
        <v>0.25</v>
      </c>
    </row>
    <row r="4397" spans="1:13" x14ac:dyDescent="0.25">
      <c r="A4397" s="1" t="s">
        <v>2783</v>
      </c>
      <c r="B4397" s="1" t="s">
        <v>2784</v>
      </c>
      <c r="C4397" s="1">
        <v>2500000</v>
      </c>
      <c r="D4397" s="1" t="s">
        <v>41</v>
      </c>
      <c r="E4397">
        <v>309.97219999999999</v>
      </c>
      <c r="F4397" s="1" t="s">
        <v>100</v>
      </c>
      <c r="G4397">
        <v>25</v>
      </c>
      <c r="H4397">
        <v>5</v>
      </c>
      <c r="I4397" s="1" t="s">
        <v>164</v>
      </c>
      <c r="J4397">
        <v>1</v>
      </c>
      <c r="K4397" t="str">
        <f>IF(Tb_data[[#This Row],[previous_workers]]&lt;Tb_data[[#This Row],[workers]],"yes","no")</f>
        <v>yes</v>
      </c>
      <c r="L4397">
        <f>Tb_data[[#This Row],[workers]]-Tb_data[[#This Row],[previous_workers]]</f>
        <v>20</v>
      </c>
      <c r="M4397" s="12">
        <f>Tb_data[[#This Row],[Employees Growth]]/Tb_data[[#This Row],[previous_workers]]</f>
        <v>4</v>
      </c>
    </row>
    <row r="4398" spans="1:13" x14ac:dyDescent="0.25">
      <c r="A4398" s="1" t="s">
        <v>5742</v>
      </c>
      <c r="B4398" s="1" t="s">
        <v>5743</v>
      </c>
      <c r="C4398" s="1">
        <v>13000000</v>
      </c>
      <c r="D4398" s="1" t="s">
        <v>321</v>
      </c>
      <c r="E4398">
        <v>132.99350000000001</v>
      </c>
      <c r="F4398" s="1" t="s">
        <v>169</v>
      </c>
      <c r="G4398">
        <v>62</v>
      </c>
      <c r="H4398">
        <v>55</v>
      </c>
      <c r="I4398" s="1" t="s">
        <v>4119</v>
      </c>
      <c r="J4398">
        <v>6</v>
      </c>
      <c r="K4398" t="str">
        <f>IF(Tb_data[[#This Row],[previous_workers]]&lt;Tb_data[[#This Row],[workers]],"yes","no")</f>
        <v>yes</v>
      </c>
      <c r="L4398">
        <f>Tb_data[[#This Row],[workers]]-Tb_data[[#This Row],[previous_workers]]</f>
        <v>7</v>
      </c>
      <c r="M4398" s="12">
        <f>Tb_data[[#This Row],[Employees Growth]]/Tb_data[[#This Row],[previous_workers]]</f>
        <v>0.12727272727272726</v>
      </c>
    </row>
    <row r="4399" spans="1:13" x14ac:dyDescent="0.25">
      <c r="A4399" s="1" t="s">
        <v>226</v>
      </c>
      <c r="B4399" s="1" t="s">
        <v>4102</v>
      </c>
      <c r="C4399" s="1">
        <v>30200000</v>
      </c>
      <c r="D4399" s="1" t="s">
        <v>33</v>
      </c>
      <c r="E4399">
        <v>200.95330000000001</v>
      </c>
      <c r="F4399" s="1" t="s">
        <v>100</v>
      </c>
      <c r="G4399">
        <v>11</v>
      </c>
      <c r="H4399">
        <v>4</v>
      </c>
      <c r="I4399" s="1" t="s">
        <v>35</v>
      </c>
      <c r="J4399">
        <v>5</v>
      </c>
      <c r="K4399" t="str">
        <f>IF(Tb_data[[#This Row],[previous_workers]]&lt;Tb_data[[#This Row],[workers]],"yes","no")</f>
        <v>yes</v>
      </c>
      <c r="L4399">
        <f>Tb_data[[#This Row],[workers]]-Tb_data[[#This Row],[previous_workers]]</f>
        <v>7</v>
      </c>
      <c r="M4399" s="12">
        <f>Tb_data[[#This Row],[Employees Growth]]/Tb_data[[#This Row],[previous_workers]]</f>
        <v>1.75</v>
      </c>
    </row>
    <row r="4400" spans="1:13" x14ac:dyDescent="0.25">
      <c r="A4400" s="1" t="s">
        <v>9650</v>
      </c>
      <c r="B4400" s="1" t="s">
        <v>9651</v>
      </c>
      <c r="C4400" s="1">
        <v>5900000</v>
      </c>
      <c r="D4400" s="1" t="s">
        <v>16</v>
      </c>
      <c r="E4400">
        <v>58.667000000000002</v>
      </c>
      <c r="F4400" s="1" t="s">
        <v>124</v>
      </c>
      <c r="G4400">
        <v>13</v>
      </c>
      <c r="H4400">
        <v>12</v>
      </c>
      <c r="I4400" s="1" t="s">
        <v>194</v>
      </c>
      <c r="J4400">
        <v>4</v>
      </c>
      <c r="K4400" t="str">
        <f>IF(Tb_data[[#This Row],[previous_workers]]&lt;Tb_data[[#This Row],[workers]],"yes","no")</f>
        <v>yes</v>
      </c>
      <c r="L4400">
        <f>Tb_data[[#This Row],[workers]]-Tb_data[[#This Row],[previous_workers]]</f>
        <v>1</v>
      </c>
      <c r="M4400" s="12">
        <f>Tb_data[[#This Row],[Employees Growth]]/Tb_data[[#This Row],[previous_workers]]</f>
        <v>8.3333333333333329E-2</v>
      </c>
    </row>
    <row r="4401" spans="1:13" x14ac:dyDescent="0.25">
      <c r="A4401" s="1" t="s">
        <v>2248</v>
      </c>
      <c r="B4401" s="1" t="s">
        <v>2249</v>
      </c>
      <c r="C4401" s="1">
        <v>5000000</v>
      </c>
      <c r="D4401" s="1" t="s">
        <v>69</v>
      </c>
      <c r="E4401">
        <v>393.37209999999999</v>
      </c>
      <c r="F4401" s="1" t="s">
        <v>12</v>
      </c>
      <c r="G4401">
        <v>2</v>
      </c>
      <c r="H4401">
        <v>1</v>
      </c>
      <c r="I4401" s="1" t="s">
        <v>55</v>
      </c>
      <c r="J4401">
        <v>1</v>
      </c>
      <c r="K4401" t="str">
        <f>IF(Tb_data[[#This Row],[previous_workers]]&lt;Tb_data[[#This Row],[workers]],"yes","no")</f>
        <v>yes</v>
      </c>
      <c r="L4401">
        <f>Tb_data[[#This Row],[workers]]-Tb_data[[#This Row],[previous_workers]]</f>
        <v>1</v>
      </c>
      <c r="M4401" s="12">
        <f>Tb_data[[#This Row],[Employees Growth]]/Tb_data[[#This Row],[previous_workers]]</f>
        <v>1</v>
      </c>
    </row>
    <row r="4402" spans="1:13" x14ac:dyDescent="0.25">
      <c r="A4402" s="1" t="s">
        <v>5260</v>
      </c>
      <c r="B4402" s="1" t="s">
        <v>5261</v>
      </c>
      <c r="C4402" s="1">
        <v>4000000</v>
      </c>
      <c r="D4402" s="1" t="s">
        <v>69</v>
      </c>
      <c r="E4402">
        <v>151.316</v>
      </c>
      <c r="F4402" s="1" t="s">
        <v>42</v>
      </c>
      <c r="G4402">
        <v>32</v>
      </c>
      <c r="H4402">
        <v>12</v>
      </c>
      <c r="I4402" s="1" t="s">
        <v>1411</v>
      </c>
      <c r="J4402">
        <v>2</v>
      </c>
      <c r="K4402" t="str">
        <f>IF(Tb_data[[#This Row],[previous_workers]]&lt;Tb_data[[#This Row],[workers]],"yes","no")</f>
        <v>yes</v>
      </c>
      <c r="L4402">
        <f>Tb_data[[#This Row],[workers]]-Tb_data[[#This Row],[previous_workers]]</f>
        <v>20</v>
      </c>
      <c r="M4402" s="12">
        <f>Tb_data[[#This Row],[Employees Growth]]/Tb_data[[#This Row],[previous_workers]]</f>
        <v>1.6666666666666667</v>
      </c>
    </row>
    <row r="4403" spans="1:13" x14ac:dyDescent="0.25">
      <c r="A4403" s="1" t="s">
        <v>806</v>
      </c>
      <c r="B4403" s="1" t="s">
        <v>807</v>
      </c>
      <c r="C4403" s="1">
        <v>8100000</v>
      </c>
      <c r="D4403" s="1" t="s">
        <v>41</v>
      </c>
      <c r="E4403">
        <v>1278.5516</v>
      </c>
      <c r="F4403" s="1" t="s">
        <v>176</v>
      </c>
      <c r="G4403">
        <v>27</v>
      </c>
      <c r="H4403">
        <v>3</v>
      </c>
      <c r="I4403" s="1" t="s">
        <v>372</v>
      </c>
      <c r="J4403">
        <v>3</v>
      </c>
      <c r="K4403" t="str">
        <f>IF(Tb_data[[#This Row],[previous_workers]]&lt;Tb_data[[#This Row],[workers]],"yes","no")</f>
        <v>yes</v>
      </c>
      <c r="L4403">
        <f>Tb_data[[#This Row],[workers]]-Tb_data[[#This Row],[previous_workers]]</f>
        <v>24</v>
      </c>
      <c r="M4403" s="12">
        <f>Tb_data[[#This Row],[Employees Growth]]/Tb_data[[#This Row],[previous_workers]]</f>
        <v>8</v>
      </c>
    </row>
    <row r="4404" spans="1:13" x14ac:dyDescent="0.25">
      <c r="A4404" s="1" t="s">
        <v>1686</v>
      </c>
      <c r="B4404" s="1" t="s">
        <v>1687</v>
      </c>
      <c r="C4404" s="1">
        <v>6300000</v>
      </c>
      <c r="D4404" s="1" t="s">
        <v>664</v>
      </c>
      <c r="E4404">
        <v>546.24109999999996</v>
      </c>
      <c r="F4404" s="1" t="s">
        <v>34</v>
      </c>
      <c r="G4404">
        <v>12</v>
      </c>
      <c r="H4404">
        <v>6</v>
      </c>
      <c r="I4404" s="1" t="s">
        <v>948</v>
      </c>
      <c r="J4404">
        <v>4</v>
      </c>
      <c r="K4404" t="str">
        <f>IF(Tb_data[[#This Row],[previous_workers]]&lt;Tb_data[[#This Row],[workers]],"yes","no")</f>
        <v>yes</v>
      </c>
      <c r="L4404">
        <f>Tb_data[[#This Row],[workers]]-Tb_data[[#This Row],[previous_workers]]</f>
        <v>6</v>
      </c>
      <c r="M4404" s="12">
        <f>Tb_data[[#This Row],[Employees Growth]]/Tb_data[[#This Row],[previous_workers]]</f>
        <v>1</v>
      </c>
    </row>
    <row r="4405" spans="1:13" x14ac:dyDescent="0.25">
      <c r="A4405" s="1" t="s">
        <v>1702</v>
      </c>
      <c r="B4405" s="1" t="s">
        <v>1703</v>
      </c>
      <c r="C4405" s="1">
        <v>2200000</v>
      </c>
      <c r="D4405" s="1" t="s">
        <v>45</v>
      </c>
      <c r="E4405">
        <v>537.92049999999995</v>
      </c>
      <c r="F4405" s="1" t="s">
        <v>12</v>
      </c>
      <c r="G4405">
        <v>20</v>
      </c>
      <c r="H4405">
        <v>2</v>
      </c>
      <c r="I4405" s="1" t="s">
        <v>164</v>
      </c>
      <c r="J4405">
        <v>1</v>
      </c>
      <c r="K4405" t="str">
        <f>IF(Tb_data[[#This Row],[previous_workers]]&lt;Tb_data[[#This Row],[workers]],"yes","no")</f>
        <v>yes</v>
      </c>
      <c r="L4405">
        <f>Tb_data[[#This Row],[workers]]-Tb_data[[#This Row],[previous_workers]]</f>
        <v>18</v>
      </c>
      <c r="M4405" s="12">
        <f>Tb_data[[#This Row],[Employees Growth]]/Tb_data[[#This Row],[previous_workers]]</f>
        <v>9</v>
      </c>
    </row>
    <row r="4406" spans="1:13" x14ac:dyDescent="0.25">
      <c r="A4406" s="1" t="s">
        <v>5284</v>
      </c>
      <c r="B4406" s="1" t="s">
        <v>5285</v>
      </c>
      <c r="C4406" s="1">
        <v>50900000</v>
      </c>
      <c r="D4406" s="1" t="s">
        <v>321</v>
      </c>
      <c r="E4406">
        <v>150.58430000000001</v>
      </c>
      <c r="F4406" s="1" t="s">
        <v>12</v>
      </c>
      <c r="G4406">
        <v>199</v>
      </c>
      <c r="H4406">
        <v>83</v>
      </c>
      <c r="I4406" s="1" t="s">
        <v>194</v>
      </c>
      <c r="J4406">
        <v>3</v>
      </c>
      <c r="K4406" t="str">
        <f>IF(Tb_data[[#This Row],[previous_workers]]&lt;Tb_data[[#This Row],[workers]],"yes","no")</f>
        <v>yes</v>
      </c>
      <c r="L4406">
        <f>Tb_data[[#This Row],[workers]]-Tb_data[[#This Row],[previous_workers]]</f>
        <v>116</v>
      </c>
      <c r="M4406" s="12">
        <f>Tb_data[[#This Row],[Employees Growth]]/Tb_data[[#This Row],[previous_workers]]</f>
        <v>1.3975903614457832</v>
      </c>
    </row>
    <row r="4407" spans="1:13" x14ac:dyDescent="0.25">
      <c r="A4407" s="1" t="s">
        <v>3217</v>
      </c>
      <c r="B4407" s="1" t="s">
        <v>3218</v>
      </c>
      <c r="C4407" s="1">
        <v>7500000</v>
      </c>
      <c r="D4407" s="1" t="s">
        <v>33</v>
      </c>
      <c r="E4407">
        <v>267.6395</v>
      </c>
      <c r="F4407" s="1" t="s">
        <v>116</v>
      </c>
      <c r="G4407">
        <v>29</v>
      </c>
      <c r="H4407">
        <v>16</v>
      </c>
      <c r="I4407" s="1" t="s">
        <v>948</v>
      </c>
      <c r="J4407">
        <v>3</v>
      </c>
      <c r="K4407" t="str">
        <f>IF(Tb_data[[#This Row],[previous_workers]]&lt;Tb_data[[#This Row],[workers]],"yes","no")</f>
        <v>yes</v>
      </c>
      <c r="L4407">
        <f>Tb_data[[#This Row],[workers]]-Tb_data[[#This Row],[previous_workers]]</f>
        <v>13</v>
      </c>
      <c r="M4407" s="12">
        <f>Tb_data[[#This Row],[Employees Growth]]/Tb_data[[#This Row],[previous_workers]]</f>
        <v>0.8125</v>
      </c>
    </row>
    <row r="4408" spans="1:13" x14ac:dyDescent="0.25">
      <c r="A4408" s="1" t="s">
        <v>6301</v>
      </c>
      <c r="B4408" s="1" t="s">
        <v>6302</v>
      </c>
      <c r="C4408" s="1">
        <v>5900000</v>
      </c>
      <c r="D4408" s="1" t="s">
        <v>52</v>
      </c>
      <c r="E4408">
        <v>118.9234</v>
      </c>
      <c r="F4408" s="1" t="s">
        <v>25</v>
      </c>
      <c r="G4408">
        <v>18</v>
      </c>
      <c r="H4408">
        <v>5</v>
      </c>
      <c r="I4408" s="1" t="s">
        <v>164</v>
      </c>
      <c r="J4408">
        <v>1</v>
      </c>
      <c r="K4408" t="str">
        <f>IF(Tb_data[[#This Row],[previous_workers]]&lt;Tb_data[[#This Row],[workers]],"yes","no")</f>
        <v>yes</v>
      </c>
      <c r="L4408">
        <f>Tb_data[[#This Row],[workers]]-Tb_data[[#This Row],[previous_workers]]</f>
        <v>13</v>
      </c>
      <c r="M4408" s="12">
        <f>Tb_data[[#This Row],[Employees Growth]]/Tb_data[[#This Row],[previous_workers]]</f>
        <v>2.6</v>
      </c>
    </row>
    <row r="4409" spans="1:13" x14ac:dyDescent="0.25">
      <c r="A4409" s="1" t="s">
        <v>5398</v>
      </c>
      <c r="B4409" s="1" t="s">
        <v>5399</v>
      </c>
      <c r="C4409" s="1">
        <v>44900000</v>
      </c>
      <c r="D4409" s="1" t="s">
        <v>58</v>
      </c>
      <c r="E4409">
        <v>146.512</v>
      </c>
      <c r="F4409" s="1" t="s">
        <v>100</v>
      </c>
      <c r="G4409">
        <v>164</v>
      </c>
      <c r="H4409">
        <v>85</v>
      </c>
      <c r="I4409" s="1" t="s">
        <v>1657</v>
      </c>
      <c r="J4409">
        <v>4</v>
      </c>
      <c r="K4409" t="str">
        <f>IF(Tb_data[[#This Row],[previous_workers]]&lt;Tb_data[[#This Row],[workers]],"yes","no")</f>
        <v>yes</v>
      </c>
      <c r="L4409">
        <f>Tb_data[[#This Row],[workers]]-Tb_data[[#This Row],[previous_workers]]</f>
        <v>79</v>
      </c>
      <c r="M4409" s="12">
        <f>Tb_data[[#This Row],[Employees Growth]]/Tb_data[[#This Row],[previous_workers]]</f>
        <v>0.92941176470588238</v>
      </c>
    </row>
    <row r="4410" spans="1:13" x14ac:dyDescent="0.25">
      <c r="A4410" s="1" t="s">
        <v>5548</v>
      </c>
      <c r="B4410" s="1" t="s">
        <v>5549</v>
      </c>
      <c r="C4410" s="1">
        <v>6300000</v>
      </c>
      <c r="D4410" s="1" t="s">
        <v>49</v>
      </c>
      <c r="E4410">
        <v>140.6575</v>
      </c>
      <c r="F4410" s="1" t="s">
        <v>156</v>
      </c>
      <c r="G4410">
        <v>33</v>
      </c>
      <c r="H4410">
        <v>16</v>
      </c>
      <c r="I4410" s="1" t="s">
        <v>948</v>
      </c>
      <c r="J4410">
        <v>3</v>
      </c>
      <c r="K4410" t="str">
        <f>IF(Tb_data[[#This Row],[previous_workers]]&lt;Tb_data[[#This Row],[workers]],"yes","no")</f>
        <v>yes</v>
      </c>
      <c r="L4410">
        <f>Tb_data[[#This Row],[workers]]-Tb_data[[#This Row],[previous_workers]]</f>
        <v>17</v>
      </c>
      <c r="M4410" s="12">
        <f>Tb_data[[#This Row],[Employees Growth]]/Tb_data[[#This Row],[previous_workers]]</f>
        <v>1.0625</v>
      </c>
    </row>
    <row r="4411" spans="1:13" x14ac:dyDescent="0.25">
      <c r="A4411" s="1" t="s">
        <v>5940</v>
      </c>
      <c r="B4411" s="1" t="s">
        <v>5941</v>
      </c>
      <c r="C4411" s="1">
        <v>2700000</v>
      </c>
      <c r="D4411" s="1" t="s">
        <v>155</v>
      </c>
      <c r="E4411">
        <v>128.04589999999999</v>
      </c>
      <c r="F4411" s="1" t="s">
        <v>30</v>
      </c>
      <c r="G4411">
        <v>17</v>
      </c>
      <c r="H4411">
        <v>5</v>
      </c>
      <c r="I4411" s="1" t="s">
        <v>55</v>
      </c>
      <c r="J4411">
        <v>1</v>
      </c>
      <c r="K4411" t="str">
        <f>IF(Tb_data[[#This Row],[previous_workers]]&lt;Tb_data[[#This Row],[workers]],"yes","no")</f>
        <v>yes</v>
      </c>
      <c r="L4411">
        <f>Tb_data[[#This Row],[workers]]-Tb_data[[#This Row],[previous_workers]]</f>
        <v>12</v>
      </c>
      <c r="M4411" s="12">
        <f>Tb_data[[#This Row],[Employees Growth]]/Tb_data[[#This Row],[previous_workers]]</f>
        <v>2.4</v>
      </c>
    </row>
    <row r="4412" spans="1:13" x14ac:dyDescent="0.25">
      <c r="A4412" s="1" t="s">
        <v>8669</v>
      </c>
      <c r="B4412" s="1" t="s">
        <v>8670</v>
      </c>
      <c r="C4412" s="1">
        <v>85600000</v>
      </c>
      <c r="D4412" s="1" t="s">
        <v>179</v>
      </c>
      <c r="E4412">
        <v>71.412599999999998</v>
      </c>
      <c r="F4412" s="1" t="s">
        <v>34</v>
      </c>
      <c r="G4412">
        <v>1352</v>
      </c>
      <c r="H4412">
        <v>1016</v>
      </c>
      <c r="I4412" s="1" t="s">
        <v>147</v>
      </c>
      <c r="J4412">
        <v>3</v>
      </c>
      <c r="K4412" t="str">
        <f>IF(Tb_data[[#This Row],[previous_workers]]&lt;Tb_data[[#This Row],[workers]],"yes","no")</f>
        <v>yes</v>
      </c>
      <c r="L4412">
        <f>Tb_data[[#This Row],[workers]]-Tb_data[[#This Row],[previous_workers]]</f>
        <v>336</v>
      </c>
      <c r="M4412" s="12">
        <f>Tb_data[[#This Row],[Employees Growth]]/Tb_data[[#This Row],[previous_workers]]</f>
        <v>0.33070866141732286</v>
      </c>
    </row>
    <row r="4413" spans="1:13" x14ac:dyDescent="0.25">
      <c r="A4413" s="1" t="s">
        <v>4635</v>
      </c>
      <c r="B4413" s="1" t="s">
        <v>4636</v>
      </c>
      <c r="C4413" s="1">
        <v>4600000</v>
      </c>
      <c r="D4413" s="1" t="s">
        <v>41</v>
      </c>
      <c r="E4413">
        <v>176.31450000000001</v>
      </c>
      <c r="F4413" s="1" t="s">
        <v>34</v>
      </c>
      <c r="G4413">
        <v>25</v>
      </c>
      <c r="H4413">
        <v>8</v>
      </c>
      <c r="I4413" s="1" t="s">
        <v>117</v>
      </c>
      <c r="J4413">
        <v>3</v>
      </c>
      <c r="K4413" t="str">
        <f>IF(Tb_data[[#This Row],[previous_workers]]&lt;Tb_data[[#This Row],[workers]],"yes","no")</f>
        <v>yes</v>
      </c>
      <c r="L4413">
        <f>Tb_data[[#This Row],[workers]]-Tb_data[[#This Row],[previous_workers]]</f>
        <v>17</v>
      </c>
      <c r="M4413" s="12">
        <f>Tb_data[[#This Row],[Employees Growth]]/Tb_data[[#This Row],[previous_workers]]</f>
        <v>2.125</v>
      </c>
    </row>
    <row r="4414" spans="1:13" x14ac:dyDescent="0.25">
      <c r="A4414" s="1" t="s">
        <v>3406</v>
      </c>
      <c r="B4414" s="1" t="s">
        <v>3407</v>
      </c>
      <c r="C4414" s="1">
        <v>8400000</v>
      </c>
      <c r="D4414" s="1" t="s">
        <v>61</v>
      </c>
      <c r="E4414">
        <v>251.5163</v>
      </c>
      <c r="F4414" s="1" t="s">
        <v>12</v>
      </c>
      <c r="G4414">
        <v>35</v>
      </c>
      <c r="H4414">
        <v>10</v>
      </c>
      <c r="I4414" s="1" t="s">
        <v>164</v>
      </c>
      <c r="J4414">
        <v>4</v>
      </c>
      <c r="K4414" t="str">
        <f>IF(Tb_data[[#This Row],[previous_workers]]&lt;Tb_data[[#This Row],[workers]],"yes","no")</f>
        <v>yes</v>
      </c>
      <c r="L4414">
        <f>Tb_data[[#This Row],[workers]]-Tb_data[[#This Row],[previous_workers]]</f>
        <v>25</v>
      </c>
      <c r="M4414" s="12">
        <f>Tb_data[[#This Row],[Employees Growth]]/Tb_data[[#This Row],[previous_workers]]</f>
        <v>2.5</v>
      </c>
    </row>
    <row r="4415" spans="1:13" x14ac:dyDescent="0.25">
      <c r="A4415" s="1" t="s">
        <v>8647</v>
      </c>
      <c r="B4415" s="1" t="s">
        <v>8648</v>
      </c>
      <c r="C4415" s="1">
        <v>6000000</v>
      </c>
      <c r="D4415" s="1" t="s">
        <v>422</v>
      </c>
      <c r="E4415">
        <v>71.693700000000007</v>
      </c>
      <c r="F4415" s="1" t="s">
        <v>161</v>
      </c>
      <c r="G4415">
        <v>38</v>
      </c>
      <c r="H4415">
        <v>23</v>
      </c>
      <c r="I4415" s="1" t="s">
        <v>1051</v>
      </c>
      <c r="J4415">
        <v>4</v>
      </c>
      <c r="K4415" t="str">
        <f>IF(Tb_data[[#This Row],[previous_workers]]&lt;Tb_data[[#This Row],[workers]],"yes","no")</f>
        <v>yes</v>
      </c>
      <c r="L4415">
        <f>Tb_data[[#This Row],[workers]]-Tb_data[[#This Row],[previous_workers]]</f>
        <v>15</v>
      </c>
      <c r="M4415" s="12">
        <f>Tb_data[[#This Row],[Employees Growth]]/Tb_data[[#This Row],[previous_workers]]</f>
        <v>0.65217391304347827</v>
      </c>
    </row>
    <row r="4416" spans="1:13" x14ac:dyDescent="0.25">
      <c r="A4416" s="1" t="s">
        <v>10046</v>
      </c>
      <c r="B4416" s="1" t="s">
        <v>10047</v>
      </c>
      <c r="C4416" s="1">
        <v>18000000</v>
      </c>
      <c r="D4416" s="1" t="s">
        <v>49</v>
      </c>
      <c r="E4416">
        <v>52.871099999999998</v>
      </c>
      <c r="F4416" s="1" t="s">
        <v>34</v>
      </c>
      <c r="G4416">
        <v>285</v>
      </c>
      <c r="H4416">
        <v>200</v>
      </c>
      <c r="I4416" s="1" t="s">
        <v>372</v>
      </c>
      <c r="J4416">
        <v>1</v>
      </c>
      <c r="K4416" t="str">
        <f>IF(Tb_data[[#This Row],[previous_workers]]&lt;Tb_data[[#This Row],[workers]],"yes","no")</f>
        <v>yes</v>
      </c>
      <c r="L4416">
        <f>Tb_data[[#This Row],[workers]]-Tb_data[[#This Row],[previous_workers]]</f>
        <v>85</v>
      </c>
      <c r="M4416" s="12">
        <f>Tb_data[[#This Row],[Employees Growth]]/Tb_data[[#This Row],[previous_workers]]</f>
        <v>0.42499999999999999</v>
      </c>
    </row>
    <row r="4417" spans="1:13" x14ac:dyDescent="0.25">
      <c r="A4417" s="1" t="s">
        <v>1919</v>
      </c>
      <c r="B4417" s="1" t="s">
        <v>1920</v>
      </c>
      <c r="C4417" s="1">
        <v>8600000</v>
      </c>
      <c r="D4417" s="1" t="s">
        <v>20</v>
      </c>
      <c r="E4417">
        <v>469.79610000000002</v>
      </c>
      <c r="F4417" s="1" t="s">
        <v>25</v>
      </c>
      <c r="G4417">
        <v>96</v>
      </c>
      <c r="H4417">
        <v>15</v>
      </c>
      <c r="I4417" s="1" t="s">
        <v>26</v>
      </c>
      <c r="J4417">
        <v>1</v>
      </c>
      <c r="K4417" t="str">
        <f>IF(Tb_data[[#This Row],[previous_workers]]&lt;Tb_data[[#This Row],[workers]],"yes","no")</f>
        <v>yes</v>
      </c>
      <c r="L4417">
        <f>Tb_data[[#This Row],[workers]]-Tb_data[[#This Row],[previous_workers]]</f>
        <v>81</v>
      </c>
      <c r="M4417" s="12">
        <f>Tb_data[[#This Row],[Employees Growth]]/Tb_data[[#This Row],[previous_workers]]</f>
        <v>5.4</v>
      </c>
    </row>
    <row r="4418" spans="1:13" x14ac:dyDescent="0.25">
      <c r="A4418" s="1" t="s">
        <v>6419</v>
      </c>
      <c r="B4418" s="1" t="s">
        <v>6420</v>
      </c>
      <c r="C4418" s="1">
        <v>40700000</v>
      </c>
      <c r="D4418" s="1" t="s">
        <v>179</v>
      </c>
      <c r="E4418">
        <v>115.9061</v>
      </c>
      <c r="F4418" s="1" t="s">
        <v>176</v>
      </c>
      <c r="G4418">
        <v>114</v>
      </c>
      <c r="H4418">
        <v>55</v>
      </c>
      <c r="I4418" s="1" t="s">
        <v>4037</v>
      </c>
      <c r="J4418">
        <v>2</v>
      </c>
      <c r="K4418" t="str">
        <f>IF(Tb_data[[#This Row],[previous_workers]]&lt;Tb_data[[#This Row],[workers]],"yes","no")</f>
        <v>yes</v>
      </c>
      <c r="L4418">
        <f>Tb_data[[#This Row],[workers]]-Tb_data[[#This Row],[previous_workers]]</f>
        <v>59</v>
      </c>
      <c r="M4418" s="12">
        <f>Tb_data[[#This Row],[Employees Growth]]/Tb_data[[#This Row],[previous_workers]]</f>
        <v>1.0727272727272728</v>
      </c>
    </row>
    <row r="4419" spans="1:13" x14ac:dyDescent="0.25">
      <c r="A4419" s="1" t="s">
        <v>8013</v>
      </c>
      <c r="B4419" s="1" t="s">
        <v>8014</v>
      </c>
      <c r="C4419" s="1">
        <v>6800000</v>
      </c>
      <c r="D4419" s="1" t="s">
        <v>236</v>
      </c>
      <c r="E4419">
        <v>82.494799999999998</v>
      </c>
      <c r="F4419" s="1" t="s">
        <v>156</v>
      </c>
      <c r="G4419">
        <v>41</v>
      </c>
      <c r="H4419">
        <v>20</v>
      </c>
      <c r="I4419" s="1" t="s">
        <v>1051</v>
      </c>
      <c r="J4419">
        <v>2</v>
      </c>
      <c r="K4419" t="str">
        <f>IF(Tb_data[[#This Row],[previous_workers]]&lt;Tb_data[[#This Row],[workers]],"yes","no")</f>
        <v>yes</v>
      </c>
      <c r="L4419">
        <f>Tb_data[[#This Row],[workers]]-Tb_data[[#This Row],[previous_workers]]</f>
        <v>21</v>
      </c>
      <c r="M4419" s="12">
        <f>Tb_data[[#This Row],[Employees Growth]]/Tb_data[[#This Row],[previous_workers]]</f>
        <v>1.05</v>
      </c>
    </row>
    <row r="4420" spans="1:13" x14ac:dyDescent="0.25">
      <c r="A4420" s="1" t="s">
        <v>7128</v>
      </c>
      <c r="B4420" s="1" t="s">
        <v>7129</v>
      </c>
      <c r="C4420" s="1">
        <v>2100000</v>
      </c>
      <c r="D4420" s="1" t="s">
        <v>38</v>
      </c>
      <c r="E4420">
        <v>99.6995</v>
      </c>
      <c r="F4420" s="1" t="s">
        <v>100</v>
      </c>
      <c r="G4420">
        <v>20</v>
      </c>
      <c r="H4420">
        <v>5</v>
      </c>
      <c r="I4420" s="1" t="s">
        <v>1949</v>
      </c>
      <c r="J4420">
        <v>1</v>
      </c>
      <c r="K4420" t="str">
        <f>IF(Tb_data[[#This Row],[previous_workers]]&lt;Tb_data[[#This Row],[workers]],"yes","no")</f>
        <v>yes</v>
      </c>
      <c r="L4420">
        <f>Tb_data[[#This Row],[workers]]-Tb_data[[#This Row],[previous_workers]]</f>
        <v>15</v>
      </c>
      <c r="M4420" s="12">
        <f>Tb_data[[#This Row],[Employees Growth]]/Tb_data[[#This Row],[previous_workers]]</f>
        <v>3</v>
      </c>
    </row>
    <row r="4421" spans="1:13" x14ac:dyDescent="0.25">
      <c r="A4421" s="1" t="s">
        <v>8799</v>
      </c>
      <c r="B4421" s="1" t="s">
        <v>8800</v>
      </c>
      <c r="C4421" s="1">
        <v>15000000</v>
      </c>
      <c r="D4421" s="1" t="s">
        <v>69</v>
      </c>
      <c r="E4421">
        <v>69.473600000000005</v>
      </c>
      <c r="F4421" s="1" t="s">
        <v>86</v>
      </c>
      <c r="G4421">
        <v>92</v>
      </c>
      <c r="H4421">
        <v>62</v>
      </c>
      <c r="I4421" s="1" t="s">
        <v>1622</v>
      </c>
      <c r="J4421">
        <v>8</v>
      </c>
      <c r="K4421" t="str">
        <f>IF(Tb_data[[#This Row],[previous_workers]]&lt;Tb_data[[#This Row],[workers]],"yes","no")</f>
        <v>yes</v>
      </c>
      <c r="L4421">
        <f>Tb_data[[#This Row],[workers]]-Tb_data[[#This Row],[previous_workers]]</f>
        <v>30</v>
      </c>
      <c r="M4421" s="12">
        <f>Tb_data[[#This Row],[Employees Growth]]/Tb_data[[#This Row],[previous_workers]]</f>
        <v>0.4838709677419355</v>
      </c>
    </row>
    <row r="4422" spans="1:13" x14ac:dyDescent="0.25">
      <c r="A4422" s="1" t="s">
        <v>4705</v>
      </c>
      <c r="B4422" s="1" t="s">
        <v>4706</v>
      </c>
      <c r="C4422" s="1">
        <v>11200000</v>
      </c>
      <c r="D4422" s="1" t="s">
        <v>20</v>
      </c>
      <c r="E4422">
        <v>174.1951</v>
      </c>
      <c r="F4422" s="1" t="s">
        <v>161</v>
      </c>
      <c r="G4422">
        <v>200</v>
      </c>
      <c r="H4422">
        <v>40</v>
      </c>
      <c r="I4422" s="1" t="s">
        <v>35</v>
      </c>
      <c r="J4422">
        <v>1</v>
      </c>
      <c r="K4422" t="str">
        <f>IF(Tb_data[[#This Row],[previous_workers]]&lt;Tb_data[[#This Row],[workers]],"yes","no")</f>
        <v>yes</v>
      </c>
      <c r="L4422">
        <f>Tb_data[[#This Row],[workers]]-Tb_data[[#This Row],[previous_workers]]</f>
        <v>160</v>
      </c>
      <c r="M4422" s="12">
        <f>Tb_data[[#This Row],[Employees Growth]]/Tb_data[[#This Row],[previous_workers]]</f>
        <v>4</v>
      </c>
    </row>
    <row r="4423" spans="1:13" x14ac:dyDescent="0.25">
      <c r="A4423" s="1" t="s">
        <v>1906</v>
      </c>
      <c r="B4423" s="1" t="s">
        <v>1907</v>
      </c>
      <c r="C4423" s="1">
        <v>99600000</v>
      </c>
      <c r="D4423" s="1" t="s">
        <v>33</v>
      </c>
      <c r="E4423">
        <v>473.00720000000001</v>
      </c>
      <c r="F4423" s="1" t="s">
        <v>30</v>
      </c>
      <c r="G4423">
        <v>3287</v>
      </c>
      <c r="H4423">
        <v>734</v>
      </c>
      <c r="I4423" s="1" t="s">
        <v>226</v>
      </c>
      <c r="J4423">
        <v>5</v>
      </c>
      <c r="K4423" t="str">
        <f>IF(Tb_data[[#This Row],[previous_workers]]&lt;Tb_data[[#This Row],[workers]],"yes","no")</f>
        <v>yes</v>
      </c>
      <c r="L4423">
        <f>Tb_data[[#This Row],[workers]]-Tb_data[[#This Row],[previous_workers]]</f>
        <v>2553</v>
      </c>
      <c r="M4423" s="12">
        <f>Tb_data[[#This Row],[Employees Growth]]/Tb_data[[#This Row],[previous_workers]]</f>
        <v>3.4782016348773843</v>
      </c>
    </row>
    <row r="4424" spans="1:13" x14ac:dyDescent="0.25">
      <c r="A4424" s="1" t="s">
        <v>2733</v>
      </c>
      <c r="B4424" s="1" t="s">
        <v>2734</v>
      </c>
      <c r="C4424" s="1">
        <v>145800000</v>
      </c>
      <c r="D4424" s="1" t="s">
        <v>33</v>
      </c>
      <c r="E4424">
        <v>315.06630000000001</v>
      </c>
      <c r="F4424" s="1" t="s">
        <v>176</v>
      </c>
      <c r="G4424">
        <v>4011</v>
      </c>
      <c r="H4424">
        <v>772</v>
      </c>
      <c r="I4424" s="1" t="s">
        <v>226</v>
      </c>
      <c r="J4424">
        <v>4</v>
      </c>
      <c r="K4424" t="str">
        <f>IF(Tb_data[[#This Row],[previous_workers]]&lt;Tb_data[[#This Row],[workers]],"yes","no")</f>
        <v>yes</v>
      </c>
      <c r="L4424">
        <f>Tb_data[[#This Row],[workers]]-Tb_data[[#This Row],[previous_workers]]</f>
        <v>3239</v>
      </c>
      <c r="M4424" s="12">
        <f>Tb_data[[#This Row],[Employees Growth]]/Tb_data[[#This Row],[previous_workers]]</f>
        <v>4.1955958549222796</v>
      </c>
    </row>
    <row r="4425" spans="1:13" x14ac:dyDescent="0.25">
      <c r="A4425" s="1" t="s">
        <v>1748</v>
      </c>
      <c r="B4425" s="1" t="s">
        <v>1749</v>
      </c>
      <c r="C4425" s="1">
        <v>2700000</v>
      </c>
      <c r="D4425" s="1" t="s">
        <v>61</v>
      </c>
      <c r="E4425">
        <v>521.58479999999997</v>
      </c>
      <c r="F4425" s="1" t="s">
        <v>12</v>
      </c>
      <c r="G4425">
        <v>10</v>
      </c>
      <c r="H4425">
        <v>1</v>
      </c>
      <c r="I4425" s="1" t="s">
        <v>26</v>
      </c>
      <c r="J4425">
        <v>1</v>
      </c>
      <c r="K4425" t="str">
        <f>IF(Tb_data[[#This Row],[previous_workers]]&lt;Tb_data[[#This Row],[workers]],"yes","no")</f>
        <v>yes</v>
      </c>
      <c r="L4425">
        <f>Tb_data[[#This Row],[workers]]-Tb_data[[#This Row],[previous_workers]]</f>
        <v>9</v>
      </c>
      <c r="M4425" s="12">
        <f>Tb_data[[#This Row],[Employees Growth]]/Tb_data[[#This Row],[previous_workers]]</f>
        <v>9</v>
      </c>
    </row>
    <row r="4426" spans="1:13" x14ac:dyDescent="0.25">
      <c r="A4426" s="1" t="s">
        <v>2644</v>
      </c>
      <c r="B4426" s="1" t="s">
        <v>2645</v>
      </c>
      <c r="C4426" s="1">
        <v>6000000</v>
      </c>
      <c r="D4426" s="1" t="s">
        <v>29</v>
      </c>
      <c r="E4426">
        <v>327.4049</v>
      </c>
      <c r="F4426" s="1" t="s">
        <v>142</v>
      </c>
      <c r="G4426">
        <v>75</v>
      </c>
      <c r="H4426">
        <v>10</v>
      </c>
      <c r="I4426" s="1" t="s">
        <v>46</v>
      </c>
      <c r="J4426">
        <v>2</v>
      </c>
      <c r="K4426" t="str">
        <f>IF(Tb_data[[#This Row],[previous_workers]]&lt;Tb_data[[#This Row],[workers]],"yes","no")</f>
        <v>yes</v>
      </c>
      <c r="L4426">
        <f>Tb_data[[#This Row],[workers]]-Tb_data[[#This Row],[previous_workers]]</f>
        <v>65</v>
      </c>
      <c r="M4426" s="12">
        <f>Tb_data[[#This Row],[Employees Growth]]/Tb_data[[#This Row],[previous_workers]]</f>
        <v>6.5</v>
      </c>
    </row>
    <row r="4427" spans="1:13" x14ac:dyDescent="0.25">
      <c r="A4427" s="1" t="s">
        <v>1682</v>
      </c>
      <c r="B4427" s="1" t="s">
        <v>1683</v>
      </c>
      <c r="C4427" s="1">
        <v>2300000</v>
      </c>
      <c r="D4427" s="1" t="s">
        <v>33</v>
      </c>
      <c r="E4427">
        <v>548.04290000000003</v>
      </c>
      <c r="F4427" s="1" t="s">
        <v>34</v>
      </c>
      <c r="G4427">
        <v>18</v>
      </c>
      <c r="H4427">
        <v>6</v>
      </c>
      <c r="I4427" s="1" t="s">
        <v>55</v>
      </c>
      <c r="J4427">
        <v>1</v>
      </c>
      <c r="K4427" t="str">
        <f>IF(Tb_data[[#This Row],[previous_workers]]&lt;Tb_data[[#This Row],[workers]],"yes","no")</f>
        <v>yes</v>
      </c>
      <c r="L4427">
        <f>Tb_data[[#This Row],[workers]]-Tb_data[[#This Row],[previous_workers]]</f>
        <v>12</v>
      </c>
      <c r="M4427" s="12">
        <f>Tb_data[[#This Row],[Employees Growth]]/Tb_data[[#This Row],[previous_workers]]</f>
        <v>2</v>
      </c>
    </row>
    <row r="4428" spans="1:13" x14ac:dyDescent="0.25">
      <c r="A4428" s="1" t="s">
        <v>4032</v>
      </c>
      <c r="B4428" s="1" t="s">
        <v>4033</v>
      </c>
      <c r="C4428" s="1">
        <v>2600000</v>
      </c>
      <c r="D4428" s="1" t="s">
        <v>20</v>
      </c>
      <c r="E4428">
        <v>205.57159999999999</v>
      </c>
      <c r="F4428" s="1" t="s">
        <v>100</v>
      </c>
      <c r="G4428">
        <v>12</v>
      </c>
      <c r="H4428">
        <v>5</v>
      </c>
      <c r="I4428" s="1" t="s">
        <v>948</v>
      </c>
      <c r="J4428">
        <v>1</v>
      </c>
      <c r="K4428" t="str">
        <f>IF(Tb_data[[#This Row],[previous_workers]]&lt;Tb_data[[#This Row],[workers]],"yes","no")</f>
        <v>yes</v>
      </c>
      <c r="L4428">
        <f>Tb_data[[#This Row],[workers]]-Tb_data[[#This Row],[previous_workers]]</f>
        <v>7</v>
      </c>
      <c r="M4428" s="12">
        <f>Tb_data[[#This Row],[Employees Growth]]/Tb_data[[#This Row],[previous_workers]]</f>
        <v>1.4</v>
      </c>
    </row>
    <row r="4429" spans="1:13" x14ac:dyDescent="0.25">
      <c r="A4429" s="1" t="s">
        <v>5782</v>
      </c>
      <c r="B4429" s="1" t="s">
        <v>5783</v>
      </c>
      <c r="C4429" s="1">
        <v>14500000</v>
      </c>
      <c r="D4429" s="1" t="s">
        <v>49</v>
      </c>
      <c r="E4429">
        <v>131.71690000000001</v>
      </c>
      <c r="F4429" s="1" t="s">
        <v>100</v>
      </c>
      <c r="G4429">
        <v>48</v>
      </c>
      <c r="H4429">
        <v>28</v>
      </c>
      <c r="I4429" s="1" t="s">
        <v>836</v>
      </c>
      <c r="J4429">
        <v>5</v>
      </c>
      <c r="K4429" t="str">
        <f>IF(Tb_data[[#This Row],[previous_workers]]&lt;Tb_data[[#This Row],[workers]],"yes","no")</f>
        <v>yes</v>
      </c>
      <c r="L4429">
        <f>Tb_data[[#This Row],[workers]]-Tb_data[[#This Row],[previous_workers]]</f>
        <v>20</v>
      </c>
      <c r="M4429" s="12">
        <f>Tb_data[[#This Row],[Employees Growth]]/Tb_data[[#This Row],[previous_workers]]</f>
        <v>0.7142857142857143</v>
      </c>
    </row>
    <row r="4430" spans="1:13" x14ac:dyDescent="0.25">
      <c r="A4430" s="1" t="s">
        <v>5896</v>
      </c>
      <c r="B4430" s="1" t="s">
        <v>5897</v>
      </c>
      <c r="C4430" s="1">
        <v>8000000</v>
      </c>
      <c r="D4430" s="1" t="s">
        <v>49</v>
      </c>
      <c r="E4430">
        <v>129.22800000000001</v>
      </c>
      <c r="F4430" s="1" t="s">
        <v>12</v>
      </c>
      <c r="G4430">
        <v>18</v>
      </c>
      <c r="H4430">
        <v>6</v>
      </c>
      <c r="I4430" s="1" t="s">
        <v>194</v>
      </c>
      <c r="J4430">
        <v>1</v>
      </c>
      <c r="K4430" t="str">
        <f>IF(Tb_data[[#This Row],[previous_workers]]&lt;Tb_data[[#This Row],[workers]],"yes","no")</f>
        <v>yes</v>
      </c>
      <c r="L4430">
        <f>Tb_data[[#This Row],[workers]]-Tb_data[[#This Row],[previous_workers]]</f>
        <v>12</v>
      </c>
      <c r="M4430" s="12">
        <f>Tb_data[[#This Row],[Employees Growth]]/Tb_data[[#This Row],[previous_workers]]</f>
        <v>2</v>
      </c>
    </row>
    <row r="4431" spans="1:13" x14ac:dyDescent="0.25">
      <c r="A4431" s="1" t="s">
        <v>1292</v>
      </c>
      <c r="B4431" s="1" t="s">
        <v>1293</v>
      </c>
      <c r="C4431" s="1">
        <v>2000000</v>
      </c>
      <c r="D4431" s="1" t="s">
        <v>1002</v>
      </c>
      <c r="E4431">
        <v>746.03989999999999</v>
      </c>
      <c r="F4431" s="1" t="s">
        <v>176</v>
      </c>
      <c r="G4431">
        <v>18</v>
      </c>
      <c r="H4431">
        <v>4</v>
      </c>
      <c r="I4431" s="1" t="s">
        <v>164</v>
      </c>
      <c r="J4431">
        <v>1</v>
      </c>
      <c r="K4431" t="str">
        <f>IF(Tb_data[[#This Row],[previous_workers]]&lt;Tb_data[[#This Row],[workers]],"yes","no")</f>
        <v>yes</v>
      </c>
      <c r="L4431">
        <f>Tb_data[[#This Row],[workers]]-Tb_data[[#This Row],[previous_workers]]</f>
        <v>14</v>
      </c>
      <c r="M4431" s="12">
        <f>Tb_data[[#This Row],[Employees Growth]]/Tb_data[[#This Row],[previous_workers]]</f>
        <v>3.5</v>
      </c>
    </row>
    <row r="4432" spans="1:13" x14ac:dyDescent="0.25">
      <c r="A4432" s="1" t="s">
        <v>7597</v>
      </c>
      <c r="B4432" s="1" t="s">
        <v>7598</v>
      </c>
      <c r="C4432" s="1">
        <v>218100000</v>
      </c>
      <c r="D4432" s="1" t="s">
        <v>1557</v>
      </c>
      <c r="E4432">
        <v>90.503600000000006</v>
      </c>
      <c r="F4432" s="1" t="s">
        <v>62</v>
      </c>
      <c r="G4432">
        <v>849</v>
      </c>
      <c r="H4432">
        <v>513</v>
      </c>
      <c r="I4432" s="1" t="s">
        <v>961</v>
      </c>
      <c r="J4432">
        <v>5</v>
      </c>
      <c r="K4432" t="str">
        <f>IF(Tb_data[[#This Row],[previous_workers]]&lt;Tb_data[[#This Row],[workers]],"yes","no")</f>
        <v>yes</v>
      </c>
      <c r="L4432">
        <f>Tb_data[[#This Row],[workers]]-Tb_data[[#This Row],[previous_workers]]</f>
        <v>336</v>
      </c>
      <c r="M4432" s="12">
        <f>Tb_data[[#This Row],[Employees Growth]]/Tb_data[[#This Row],[previous_workers]]</f>
        <v>0.65497076023391809</v>
      </c>
    </row>
    <row r="4433" spans="1:13" x14ac:dyDescent="0.25">
      <c r="A4433" s="1" t="s">
        <v>9161</v>
      </c>
      <c r="B4433" s="1" t="s">
        <v>9162</v>
      </c>
      <c r="C4433" s="1">
        <v>18800000</v>
      </c>
      <c r="D4433" s="1" t="s">
        <v>33</v>
      </c>
      <c r="E4433">
        <v>64.733199999999997</v>
      </c>
      <c r="F4433" s="1" t="s">
        <v>100</v>
      </c>
      <c r="G4433">
        <v>40</v>
      </c>
      <c r="H4433">
        <v>36</v>
      </c>
      <c r="I4433" s="1" t="s">
        <v>74</v>
      </c>
      <c r="J4433">
        <v>1</v>
      </c>
      <c r="K4433" t="str">
        <f>IF(Tb_data[[#This Row],[previous_workers]]&lt;Tb_data[[#This Row],[workers]],"yes","no")</f>
        <v>yes</v>
      </c>
      <c r="L4433">
        <f>Tb_data[[#This Row],[workers]]-Tb_data[[#This Row],[previous_workers]]</f>
        <v>4</v>
      </c>
      <c r="M4433" s="12">
        <f>Tb_data[[#This Row],[Employees Growth]]/Tb_data[[#This Row],[previous_workers]]</f>
        <v>0.1111111111111111</v>
      </c>
    </row>
    <row r="4434" spans="1:13" x14ac:dyDescent="0.25">
      <c r="A4434" s="1" t="s">
        <v>10040</v>
      </c>
      <c r="B4434" s="1" t="s">
        <v>10041</v>
      </c>
      <c r="C4434" s="1">
        <v>5400000</v>
      </c>
      <c r="D4434" s="1" t="s">
        <v>254</v>
      </c>
      <c r="E4434">
        <v>52.928199999999997</v>
      </c>
      <c r="F4434" s="1" t="s">
        <v>3264</v>
      </c>
      <c r="G4434">
        <v>30</v>
      </c>
      <c r="H4434">
        <v>25</v>
      </c>
      <c r="I4434" s="1" t="s">
        <v>117</v>
      </c>
      <c r="J4434">
        <v>3</v>
      </c>
      <c r="K4434" t="str">
        <f>IF(Tb_data[[#This Row],[previous_workers]]&lt;Tb_data[[#This Row],[workers]],"yes","no")</f>
        <v>yes</v>
      </c>
      <c r="L4434">
        <f>Tb_data[[#This Row],[workers]]-Tb_data[[#This Row],[previous_workers]]</f>
        <v>5</v>
      </c>
      <c r="M4434" s="12">
        <f>Tb_data[[#This Row],[Employees Growth]]/Tb_data[[#This Row],[previous_workers]]</f>
        <v>0.2</v>
      </c>
    </row>
    <row r="4435" spans="1:13" x14ac:dyDescent="0.25">
      <c r="A4435" s="1" t="s">
        <v>1045</v>
      </c>
      <c r="B4435" s="1" t="s">
        <v>1046</v>
      </c>
      <c r="C4435" s="1">
        <v>2000000</v>
      </c>
      <c r="D4435" s="1" t="s">
        <v>58</v>
      </c>
      <c r="E4435">
        <v>947.21199999999999</v>
      </c>
      <c r="F4435" s="1" t="s">
        <v>176</v>
      </c>
      <c r="G4435">
        <v>34</v>
      </c>
      <c r="H4435">
        <v>4</v>
      </c>
      <c r="I4435" s="1" t="s">
        <v>130</v>
      </c>
      <c r="J4435">
        <v>1</v>
      </c>
      <c r="K4435" t="str">
        <f>IF(Tb_data[[#This Row],[previous_workers]]&lt;Tb_data[[#This Row],[workers]],"yes","no")</f>
        <v>yes</v>
      </c>
      <c r="L4435">
        <f>Tb_data[[#This Row],[workers]]-Tb_data[[#This Row],[previous_workers]]</f>
        <v>30</v>
      </c>
      <c r="M4435" s="12">
        <f>Tb_data[[#This Row],[Employees Growth]]/Tb_data[[#This Row],[previous_workers]]</f>
        <v>7.5</v>
      </c>
    </row>
    <row r="4436" spans="1:13" x14ac:dyDescent="0.25">
      <c r="A4436" s="1" t="s">
        <v>2664</v>
      </c>
      <c r="B4436" s="1" t="s">
        <v>2665</v>
      </c>
      <c r="C4436" s="1">
        <v>2200000</v>
      </c>
      <c r="D4436" s="1" t="s">
        <v>155</v>
      </c>
      <c r="E4436">
        <v>324.36160000000001</v>
      </c>
      <c r="F4436" s="1" t="s">
        <v>12</v>
      </c>
      <c r="G4436">
        <v>25</v>
      </c>
      <c r="H4436">
        <v>6</v>
      </c>
      <c r="I4436" s="1" t="s">
        <v>164</v>
      </c>
      <c r="J4436">
        <v>1</v>
      </c>
      <c r="K4436" t="str">
        <f>IF(Tb_data[[#This Row],[previous_workers]]&lt;Tb_data[[#This Row],[workers]],"yes","no")</f>
        <v>yes</v>
      </c>
      <c r="L4436">
        <f>Tb_data[[#This Row],[workers]]-Tb_data[[#This Row],[previous_workers]]</f>
        <v>19</v>
      </c>
      <c r="M4436" s="12">
        <f>Tb_data[[#This Row],[Employees Growth]]/Tb_data[[#This Row],[previous_workers]]</f>
        <v>3.1666666666666665</v>
      </c>
    </row>
    <row r="4437" spans="1:13" x14ac:dyDescent="0.25">
      <c r="A4437" s="1" t="s">
        <v>6545</v>
      </c>
      <c r="B4437" s="1" t="s">
        <v>6546</v>
      </c>
      <c r="C4437" s="1">
        <v>29000000</v>
      </c>
      <c r="D4437" s="1" t="s">
        <v>58</v>
      </c>
      <c r="E4437">
        <v>112.7735</v>
      </c>
      <c r="F4437" s="1" t="s">
        <v>176</v>
      </c>
      <c r="G4437">
        <v>183</v>
      </c>
      <c r="H4437">
        <v>79</v>
      </c>
      <c r="I4437" s="1" t="s">
        <v>55</v>
      </c>
      <c r="J4437">
        <v>4</v>
      </c>
      <c r="K4437" t="str">
        <f>IF(Tb_data[[#This Row],[previous_workers]]&lt;Tb_data[[#This Row],[workers]],"yes","no")</f>
        <v>yes</v>
      </c>
      <c r="L4437">
        <f>Tb_data[[#This Row],[workers]]-Tb_data[[#This Row],[previous_workers]]</f>
        <v>104</v>
      </c>
      <c r="M4437" s="12">
        <f>Tb_data[[#This Row],[Employees Growth]]/Tb_data[[#This Row],[previous_workers]]</f>
        <v>1.3164556962025316</v>
      </c>
    </row>
    <row r="4438" spans="1:13" x14ac:dyDescent="0.25">
      <c r="A4438" s="1" t="s">
        <v>8025</v>
      </c>
      <c r="B4438" s="1" t="s">
        <v>8026</v>
      </c>
      <c r="C4438" s="1">
        <v>5200000</v>
      </c>
      <c r="D4438" s="1" t="s">
        <v>61</v>
      </c>
      <c r="E4438">
        <v>82.373199999999997</v>
      </c>
      <c r="F4438" s="1" t="s">
        <v>176</v>
      </c>
      <c r="G4438">
        <v>27</v>
      </c>
      <c r="H4438">
        <v>14</v>
      </c>
      <c r="I4438" s="1" t="s">
        <v>55</v>
      </c>
      <c r="J4438">
        <v>3</v>
      </c>
      <c r="K4438" t="str">
        <f>IF(Tb_data[[#This Row],[previous_workers]]&lt;Tb_data[[#This Row],[workers]],"yes","no")</f>
        <v>yes</v>
      </c>
      <c r="L4438">
        <f>Tb_data[[#This Row],[workers]]-Tb_data[[#This Row],[previous_workers]]</f>
        <v>13</v>
      </c>
      <c r="M4438" s="12">
        <f>Tb_data[[#This Row],[Employees Growth]]/Tb_data[[#This Row],[previous_workers]]</f>
        <v>0.9285714285714286</v>
      </c>
    </row>
    <row r="4439" spans="1:13" x14ac:dyDescent="0.25">
      <c r="A4439" s="1" t="s">
        <v>5254</v>
      </c>
      <c r="B4439" s="1" t="s">
        <v>5255</v>
      </c>
      <c r="C4439" s="1">
        <v>5100000</v>
      </c>
      <c r="D4439" s="1" t="s">
        <v>69</v>
      </c>
      <c r="E4439">
        <v>151.60740000000001</v>
      </c>
      <c r="F4439" s="1" t="s">
        <v>124</v>
      </c>
      <c r="G4439">
        <v>21</v>
      </c>
      <c r="H4439">
        <v>10</v>
      </c>
      <c r="I4439" s="1" t="s">
        <v>164</v>
      </c>
      <c r="J4439">
        <v>4</v>
      </c>
      <c r="K4439" t="str">
        <f>IF(Tb_data[[#This Row],[previous_workers]]&lt;Tb_data[[#This Row],[workers]],"yes","no")</f>
        <v>yes</v>
      </c>
      <c r="L4439">
        <f>Tb_data[[#This Row],[workers]]-Tb_data[[#This Row],[previous_workers]]</f>
        <v>11</v>
      </c>
      <c r="M4439" s="12">
        <f>Tb_data[[#This Row],[Employees Growth]]/Tb_data[[#This Row],[previous_workers]]</f>
        <v>1.1000000000000001</v>
      </c>
    </row>
    <row r="4440" spans="1:13" x14ac:dyDescent="0.25">
      <c r="A4440" s="1" t="s">
        <v>4172</v>
      </c>
      <c r="B4440" s="1" t="s">
        <v>4173</v>
      </c>
      <c r="C4440" s="1">
        <v>2300000</v>
      </c>
      <c r="D4440" s="1" t="s">
        <v>4145</v>
      </c>
      <c r="E4440">
        <v>196.69759999999999</v>
      </c>
      <c r="F4440" s="1" t="s">
        <v>310</v>
      </c>
      <c r="G4440">
        <v>4</v>
      </c>
      <c r="H4440">
        <v>1</v>
      </c>
      <c r="I4440" s="1" t="s">
        <v>130</v>
      </c>
      <c r="J4440">
        <v>1</v>
      </c>
      <c r="K4440" t="str">
        <f>IF(Tb_data[[#This Row],[previous_workers]]&lt;Tb_data[[#This Row],[workers]],"yes","no")</f>
        <v>yes</v>
      </c>
      <c r="L4440">
        <f>Tb_data[[#This Row],[workers]]-Tb_data[[#This Row],[previous_workers]]</f>
        <v>3</v>
      </c>
      <c r="M4440" s="12">
        <f>Tb_data[[#This Row],[Employees Growth]]/Tb_data[[#This Row],[previous_workers]]</f>
        <v>3</v>
      </c>
    </row>
    <row r="4441" spans="1:13" x14ac:dyDescent="0.25">
      <c r="A4441" s="1" t="s">
        <v>3227</v>
      </c>
      <c r="B4441" s="1" t="s">
        <v>3228</v>
      </c>
      <c r="C4441" s="1">
        <v>10700000</v>
      </c>
      <c r="D4441" s="1" t="s">
        <v>20</v>
      </c>
      <c r="E4441">
        <v>267.19839999999999</v>
      </c>
      <c r="F4441" s="1" t="s">
        <v>176</v>
      </c>
      <c r="G4441">
        <v>56</v>
      </c>
      <c r="H4441">
        <v>17</v>
      </c>
      <c r="I4441" s="1" t="s">
        <v>164</v>
      </c>
      <c r="J4441">
        <v>3</v>
      </c>
      <c r="K4441" t="str">
        <f>IF(Tb_data[[#This Row],[previous_workers]]&lt;Tb_data[[#This Row],[workers]],"yes","no")</f>
        <v>yes</v>
      </c>
      <c r="L4441">
        <f>Tb_data[[#This Row],[workers]]-Tb_data[[#This Row],[previous_workers]]</f>
        <v>39</v>
      </c>
      <c r="M4441" s="12">
        <f>Tb_data[[#This Row],[Employees Growth]]/Tb_data[[#This Row],[previous_workers]]</f>
        <v>2.2941176470588234</v>
      </c>
    </row>
    <row r="4442" spans="1:13" x14ac:dyDescent="0.25">
      <c r="A4442" s="1" t="s">
        <v>106</v>
      </c>
      <c r="B4442" s="1" t="s">
        <v>107</v>
      </c>
      <c r="C4442" s="1">
        <v>20400000</v>
      </c>
      <c r="D4442" s="1" t="s">
        <v>33</v>
      </c>
      <c r="E4442">
        <v>6870.9856</v>
      </c>
      <c r="F4442" s="1" t="s">
        <v>100</v>
      </c>
      <c r="G4442">
        <v>51</v>
      </c>
      <c r="H4442">
        <v>35</v>
      </c>
      <c r="I4442" s="1" t="s">
        <v>26</v>
      </c>
      <c r="J4442">
        <v>2</v>
      </c>
      <c r="K4442" t="str">
        <f>IF(Tb_data[[#This Row],[previous_workers]]&lt;Tb_data[[#This Row],[workers]],"yes","no")</f>
        <v>yes</v>
      </c>
      <c r="L4442">
        <f>Tb_data[[#This Row],[workers]]-Tb_data[[#This Row],[previous_workers]]</f>
        <v>16</v>
      </c>
      <c r="M4442" s="12">
        <f>Tb_data[[#This Row],[Employees Growth]]/Tb_data[[#This Row],[previous_workers]]</f>
        <v>0.45714285714285713</v>
      </c>
    </row>
    <row r="4443" spans="1:13" x14ac:dyDescent="0.25">
      <c r="A4443" s="1" t="s">
        <v>5042</v>
      </c>
      <c r="B4443" s="1" t="s">
        <v>5043</v>
      </c>
      <c r="C4443" s="1">
        <v>15200000</v>
      </c>
      <c r="D4443" s="1" t="s">
        <v>179</v>
      </c>
      <c r="E4443">
        <v>159.66919999999999</v>
      </c>
      <c r="F4443" s="1" t="s">
        <v>172</v>
      </c>
      <c r="G4443">
        <v>18</v>
      </c>
      <c r="H4443">
        <v>9</v>
      </c>
      <c r="I4443" s="1" t="s">
        <v>194</v>
      </c>
      <c r="J4443">
        <v>4</v>
      </c>
      <c r="K4443" t="str">
        <f>IF(Tb_data[[#This Row],[previous_workers]]&lt;Tb_data[[#This Row],[workers]],"yes","no")</f>
        <v>yes</v>
      </c>
      <c r="L4443">
        <f>Tb_data[[#This Row],[workers]]-Tb_data[[#This Row],[previous_workers]]</f>
        <v>9</v>
      </c>
      <c r="M4443" s="12">
        <f>Tb_data[[#This Row],[Employees Growth]]/Tb_data[[#This Row],[previous_workers]]</f>
        <v>1</v>
      </c>
    </row>
    <row r="4444" spans="1:13" x14ac:dyDescent="0.25">
      <c r="A4444" s="1" t="s">
        <v>8831</v>
      </c>
      <c r="B4444" s="1" t="s">
        <v>8832</v>
      </c>
      <c r="C4444" s="1">
        <v>114200000</v>
      </c>
      <c r="D4444" s="1" t="s">
        <v>38</v>
      </c>
      <c r="E4444">
        <v>68.955299999999994</v>
      </c>
      <c r="F4444" s="1" t="s">
        <v>30</v>
      </c>
      <c r="G4444">
        <v>414</v>
      </c>
      <c r="H4444">
        <v>298</v>
      </c>
      <c r="I4444" s="1" t="s">
        <v>2628</v>
      </c>
      <c r="J4444">
        <v>4</v>
      </c>
      <c r="K4444" t="str">
        <f>IF(Tb_data[[#This Row],[previous_workers]]&lt;Tb_data[[#This Row],[workers]],"yes","no")</f>
        <v>yes</v>
      </c>
      <c r="L4444">
        <f>Tb_data[[#This Row],[workers]]-Tb_data[[#This Row],[previous_workers]]</f>
        <v>116</v>
      </c>
      <c r="M4444" s="12">
        <f>Tb_data[[#This Row],[Employees Growth]]/Tb_data[[#This Row],[previous_workers]]</f>
        <v>0.38926174496644295</v>
      </c>
    </row>
    <row r="4445" spans="1:13" x14ac:dyDescent="0.25">
      <c r="A4445" s="1" t="s">
        <v>9149</v>
      </c>
      <c r="B4445" s="1" t="s">
        <v>9150</v>
      </c>
      <c r="C4445" s="1">
        <v>6700000</v>
      </c>
      <c r="D4445" s="1" t="s">
        <v>20</v>
      </c>
      <c r="E4445">
        <v>64.834699999999998</v>
      </c>
      <c r="F4445" s="1" t="s">
        <v>34</v>
      </c>
      <c r="G4445">
        <v>2000</v>
      </c>
      <c r="H4445">
        <v>1500</v>
      </c>
      <c r="I4445" s="1" t="s">
        <v>948</v>
      </c>
      <c r="J4445">
        <v>4</v>
      </c>
      <c r="K4445" t="str">
        <f>IF(Tb_data[[#This Row],[previous_workers]]&lt;Tb_data[[#This Row],[workers]],"yes","no")</f>
        <v>yes</v>
      </c>
      <c r="L4445">
        <f>Tb_data[[#This Row],[workers]]-Tb_data[[#This Row],[previous_workers]]</f>
        <v>500</v>
      </c>
      <c r="M4445" s="12">
        <f>Tb_data[[#This Row],[Employees Growth]]/Tb_data[[#This Row],[previous_workers]]</f>
        <v>0.33333333333333331</v>
      </c>
    </row>
    <row r="4446" spans="1:13" x14ac:dyDescent="0.25">
      <c r="A4446" s="1" t="s">
        <v>9181</v>
      </c>
      <c r="B4446" s="1" t="s">
        <v>9182</v>
      </c>
      <c r="C4446" s="1">
        <v>10700000</v>
      </c>
      <c r="D4446" s="1" t="s">
        <v>49</v>
      </c>
      <c r="E4446">
        <v>64.345100000000002</v>
      </c>
      <c r="F4446" s="1" t="s">
        <v>112</v>
      </c>
      <c r="G4446">
        <v>76</v>
      </c>
      <c r="H4446">
        <v>41</v>
      </c>
      <c r="I4446" s="1" t="s">
        <v>980</v>
      </c>
      <c r="J4446">
        <v>1</v>
      </c>
      <c r="K4446" t="str">
        <f>IF(Tb_data[[#This Row],[previous_workers]]&lt;Tb_data[[#This Row],[workers]],"yes","no")</f>
        <v>yes</v>
      </c>
      <c r="L4446">
        <f>Tb_data[[#This Row],[workers]]-Tb_data[[#This Row],[previous_workers]]</f>
        <v>35</v>
      </c>
      <c r="M4446" s="12">
        <f>Tb_data[[#This Row],[Employees Growth]]/Tb_data[[#This Row],[previous_workers]]</f>
        <v>0.85365853658536583</v>
      </c>
    </row>
    <row r="4447" spans="1:13" x14ac:dyDescent="0.25">
      <c r="A4447" s="1" t="s">
        <v>1013</v>
      </c>
      <c r="B4447" s="1" t="s">
        <v>1014</v>
      </c>
      <c r="C4447" s="1">
        <v>3600000</v>
      </c>
      <c r="D4447" s="1" t="s">
        <v>49</v>
      </c>
      <c r="E4447">
        <v>987.04240000000004</v>
      </c>
      <c r="F4447" s="1" t="s">
        <v>30</v>
      </c>
      <c r="G4447">
        <v>8</v>
      </c>
      <c r="H4447">
        <v>4</v>
      </c>
      <c r="I4447" s="1" t="s">
        <v>164</v>
      </c>
      <c r="J4447">
        <v>1</v>
      </c>
      <c r="K4447" t="str">
        <f>IF(Tb_data[[#This Row],[previous_workers]]&lt;Tb_data[[#This Row],[workers]],"yes","no")</f>
        <v>yes</v>
      </c>
      <c r="L4447">
        <f>Tb_data[[#This Row],[workers]]-Tb_data[[#This Row],[previous_workers]]</f>
        <v>4</v>
      </c>
      <c r="M4447" s="12">
        <f>Tb_data[[#This Row],[Employees Growth]]/Tb_data[[#This Row],[previous_workers]]</f>
        <v>1</v>
      </c>
    </row>
    <row r="4448" spans="1:13" x14ac:dyDescent="0.25">
      <c r="A4448" s="1" t="s">
        <v>2478</v>
      </c>
      <c r="B4448" s="1" t="s">
        <v>2479</v>
      </c>
      <c r="C4448" s="1">
        <v>2300000</v>
      </c>
      <c r="D4448" s="1" t="s">
        <v>52</v>
      </c>
      <c r="E4448">
        <v>351.49509999999998</v>
      </c>
      <c r="F4448" s="1" t="s">
        <v>25</v>
      </c>
      <c r="G4448">
        <v>1</v>
      </c>
      <c r="H4448">
        <v>1</v>
      </c>
      <c r="I4448" s="1" t="s">
        <v>26</v>
      </c>
      <c r="J4448">
        <v>1</v>
      </c>
      <c r="K4448" t="str">
        <f>IF(Tb_data[[#This Row],[previous_workers]]&lt;Tb_data[[#This Row],[workers]],"yes","no")</f>
        <v>no</v>
      </c>
      <c r="L4448">
        <f>Tb_data[[#This Row],[workers]]-Tb_data[[#This Row],[previous_workers]]</f>
        <v>0</v>
      </c>
      <c r="M4448" s="12">
        <f>Tb_data[[#This Row],[Employees Growth]]/Tb_data[[#This Row],[previous_workers]]</f>
        <v>0</v>
      </c>
    </row>
    <row r="4449" spans="1:13" x14ac:dyDescent="0.25">
      <c r="A4449" s="1" t="s">
        <v>7997</v>
      </c>
      <c r="B4449" s="1" t="s">
        <v>7998</v>
      </c>
      <c r="C4449" s="1">
        <v>17800000</v>
      </c>
      <c r="D4449" s="1" t="s">
        <v>29</v>
      </c>
      <c r="E4449">
        <v>82.785399999999996</v>
      </c>
      <c r="F4449" s="1" t="s">
        <v>176</v>
      </c>
      <c r="G4449">
        <v>114</v>
      </c>
      <c r="H4449">
        <v>52</v>
      </c>
      <c r="I4449" s="1" t="s">
        <v>194</v>
      </c>
      <c r="J4449">
        <v>7</v>
      </c>
      <c r="K4449" t="str">
        <f>IF(Tb_data[[#This Row],[previous_workers]]&lt;Tb_data[[#This Row],[workers]],"yes","no")</f>
        <v>yes</v>
      </c>
      <c r="L4449">
        <f>Tb_data[[#This Row],[workers]]-Tb_data[[#This Row],[previous_workers]]</f>
        <v>62</v>
      </c>
      <c r="M4449" s="12">
        <f>Tb_data[[#This Row],[Employees Growth]]/Tb_data[[#This Row],[previous_workers]]</f>
        <v>1.1923076923076923</v>
      </c>
    </row>
    <row r="4450" spans="1:13" x14ac:dyDescent="0.25">
      <c r="A4450" s="1" t="s">
        <v>4327</v>
      </c>
      <c r="B4450" s="1" t="s">
        <v>4328</v>
      </c>
      <c r="C4450" s="1">
        <v>35300000</v>
      </c>
      <c r="D4450" s="1" t="s">
        <v>179</v>
      </c>
      <c r="E4450">
        <v>190.24270000000001</v>
      </c>
      <c r="F4450" s="1" t="s">
        <v>112</v>
      </c>
      <c r="G4450">
        <v>48</v>
      </c>
      <c r="H4450">
        <v>24</v>
      </c>
      <c r="I4450" s="1" t="s">
        <v>35</v>
      </c>
      <c r="J4450">
        <v>3</v>
      </c>
      <c r="K4450" t="str">
        <f>IF(Tb_data[[#This Row],[previous_workers]]&lt;Tb_data[[#This Row],[workers]],"yes","no")</f>
        <v>yes</v>
      </c>
      <c r="L4450">
        <f>Tb_data[[#This Row],[workers]]-Tb_data[[#This Row],[previous_workers]]</f>
        <v>24</v>
      </c>
      <c r="M4450" s="12">
        <f>Tb_data[[#This Row],[Employees Growth]]/Tb_data[[#This Row],[previous_workers]]</f>
        <v>1</v>
      </c>
    </row>
    <row r="4451" spans="1:13" x14ac:dyDescent="0.25">
      <c r="A4451" s="1" t="s">
        <v>7058</v>
      </c>
      <c r="B4451" s="1" t="s">
        <v>7059</v>
      </c>
      <c r="C4451" s="1">
        <v>5500000</v>
      </c>
      <c r="D4451" s="1" t="s">
        <v>895</v>
      </c>
      <c r="E4451">
        <v>100.84229999999999</v>
      </c>
      <c r="F4451" s="1" t="s">
        <v>135</v>
      </c>
      <c r="G4451">
        <v>36</v>
      </c>
      <c r="H4451">
        <v>20</v>
      </c>
      <c r="I4451" s="1" t="s">
        <v>2628</v>
      </c>
      <c r="J4451">
        <v>5</v>
      </c>
      <c r="K4451" t="str">
        <f>IF(Tb_data[[#This Row],[previous_workers]]&lt;Tb_data[[#This Row],[workers]],"yes","no")</f>
        <v>yes</v>
      </c>
      <c r="L4451">
        <f>Tb_data[[#This Row],[workers]]-Tb_data[[#This Row],[previous_workers]]</f>
        <v>16</v>
      </c>
      <c r="M4451" s="12">
        <f>Tb_data[[#This Row],[Employees Growth]]/Tb_data[[#This Row],[previous_workers]]</f>
        <v>0.8</v>
      </c>
    </row>
    <row r="4452" spans="1:13" x14ac:dyDescent="0.25">
      <c r="A4452" s="1" t="s">
        <v>1383</v>
      </c>
      <c r="B4452" s="1" t="s">
        <v>1384</v>
      </c>
      <c r="C4452" s="1">
        <v>39400000</v>
      </c>
      <c r="D4452" s="1" t="s">
        <v>61</v>
      </c>
      <c r="E4452">
        <v>690.79909999999995</v>
      </c>
      <c r="F4452" s="1" t="s">
        <v>30</v>
      </c>
      <c r="G4452">
        <v>60</v>
      </c>
      <c r="H4452">
        <v>14</v>
      </c>
      <c r="I4452" s="1" t="s">
        <v>26</v>
      </c>
      <c r="J4452">
        <v>2</v>
      </c>
      <c r="K4452" t="str">
        <f>IF(Tb_data[[#This Row],[previous_workers]]&lt;Tb_data[[#This Row],[workers]],"yes","no")</f>
        <v>yes</v>
      </c>
      <c r="L4452">
        <f>Tb_data[[#This Row],[workers]]-Tb_data[[#This Row],[previous_workers]]</f>
        <v>46</v>
      </c>
      <c r="M4452" s="12">
        <f>Tb_data[[#This Row],[Employees Growth]]/Tb_data[[#This Row],[previous_workers]]</f>
        <v>3.2857142857142856</v>
      </c>
    </row>
    <row r="4453" spans="1:13" x14ac:dyDescent="0.25">
      <c r="A4453" s="1" t="s">
        <v>5868</v>
      </c>
      <c r="B4453" s="1" t="s">
        <v>5869</v>
      </c>
      <c r="C4453" s="1">
        <v>7200000</v>
      </c>
      <c r="D4453" s="1" t="s">
        <v>45</v>
      </c>
      <c r="E4453">
        <v>129.76589999999999</v>
      </c>
      <c r="F4453" s="1" t="s">
        <v>82</v>
      </c>
      <c r="G4453">
        <v>21</v>
      </c>
      <c r="H4453">
        <v>9</v>
      </c>
      <c r="I4453" s="1" t="s">
        <v>194</v>
      </c>
      <c r="J4453">
        <v>2</v>
      </c>
      <c r="K4453" t="str">
        <f>IF(Tb_data[[#This Row],[previous_workers]]&lt;Tb_data[[#This Row],[workers]],"yes","no")</f>
        <v>yes</v>
      </c>
      <c r="L4453">
        <f>Tb_data[[#This Row],[workers]]-Tb_data[[#This Row],[previous_workers]]</f>
        <v>12</v>
      </c>
      <c r="M4453" s="12">
        <f>Tb_data[[#This Row],[Employees Growth]]/Tb_data[[#This Row],[previous_workers]]</f>
        <v>1.3333333333333333</v>
      </c>
    </row>
    <row r="4454" spans="1:13" x14ac:dyDescent="0.25">
      <c r="A4454" s="1" t="s">
        <v>3015</v>
      </c>
      <c r="B4454" s="1" t="s">
        <v>3016</v>
      </c>
      <c r="C4454" s="1">
        <v>35600000</v>
      </c>
      <c r="D4454" s="1" t="s">
        <v>38</v>
      </c>
      <c r="E4454">
        <v>285.80779999999999</v>
      </c>
      <c r="F4454" s="1" t="s">
        <v>34</v>
      </c>
      <c r="G4454">
        <v>155</v>
      </c>
      <c r="H4454">
        <v>40</v>
      </c>
      <c r="I4454" s="1" t="s">
        <v>147</v>
      </c>
      <c r="J4454">
        <v>1</v>
      </c>
      <c r="K4454" t="str">
        <f>IF(Tb_data[[#This Row],[previous_workers]]&lt;Tb_data[[#This Row],[workers]],"yes","no")</f>
        <v>yes</v>
      </c>
      <c r="L4454">
        <f>Tb_data[[#This Row],[workers]]-Tb_data[[#This Row],[previous_workers]]</f>
        <v>115</v>
      </c>
      <c r="M4454" s="12">
        <f>Tb_data[[#This Row],[Employees Growth]]/Tb_data[[#This Row],[previous_workers]]</f>
        <v>2.875</v>
      </c>
    </row>
    <row r="4455" spans="1:13" x14ac:dyDescent="0.25">
      <c r="A4455" s="1" t="s">
        <v>8037</v>
      </c>
      <c r="B4455" s="1" t="s">
        <v>8038</v>
      </c>
      <c r="C4455" s="1">
        <v>58800000</v>
      </c>
      <c r="D4455" s="1" t="s">
        <v>380</v>
      </c>
      <c r="E4455">
        <v>82.113799999999998</v>
      </c>
      <c r="F4455" s="1" t="s">
        <v>124</v>
      </c>
      <c r="G4455">
        <v>30</v>
      </c>
      <c r="H4455">
        <v>21</v>
      </c>
      <c r="I4455" s="1" t="s">
        <v>194</v>
      </c>
      <c r="J4455">
        <v>3</v>
      </c>
      <c r="K4455" t="str">
        <f>IF(Tb_data[[#This Row],[previous_workers]]&lt;Tb_data[[#This Row],[workers]],"yes","no")</f>
        <v>yes</v>
      </c>
      <c r="L4455">
        <f>Tb_data[[#This Row],[workers]]-Tb_data[[#This Row],[previous_workers]]</f>
        <v>9</v>
      </c>
      <c r="M4455" s="12">
        <f>Tb_data[[#This Row],[Employees Growth]]/Tb_data[[#This Row],[previous_workers]]</f>
        <v>0.42857142857142855</v>
      </c>
    </row>
    <row r="4456" spans="1:13" x14ac:dyDescent="0.25">
      <c r="A4456" s="1" t="s">
        <v>7274</v>
      </c>
      <c r="B4456" s="1" t="s">
        <v>7275</v>
      </c>
      <c r="C4456" s="1">
        <v>3000000</v>
      </c>
      <c r="D4456" s="1" t="s">
        <v>115</v>
      </c>
      <c r="E4456">
        <v>97.4559</v>
      </c>
      <c r="F4456" s="1" t="s">
        <v>514</v>
      </c>
      <c r="G4456">
        <v>21</v>
      </c>
      <c r="H4456">
        <v>10</v>
      </c>
      <c r="I4456" s="1" t="s">
        <v>1949</v>
      </c>
      <c r="J4456">
        <v>2</v>
      </c>
      <c r="K4456" t="str">
        <f>IF(Tb_data[[#This Row],[previous_workers]]&lt;Tb_data[[#This Row],[workers]],"yes","no")</f>
        <v>yes</v>
      </c>
      <c r="L4456">
        <f>Tb_data[[#This Row],[workers]]-Tb_data[[#This Row],[previous_workers]]</f>
        <v>11</v>
      </c>
      <c r="M4456" s="12">
        <f>Tb_data[[#This Row],[Employees Growth]]/Tb_data[[#This Row],[previous_workers]]</f>
        <v>1.1000000000000001</v>
      </c>
    </row>
    <row r="4457" spans="1:13" x14ac:dyDescent="0.25">
      <c r="A4457" s="1" t="s">
        <v>8073</v>
      </c>
      <c r="B4457" s="1" t="s">
        <v>8074</v>
      </c>
      <c r="C4457" s="1">
        <v>2000000</v>
      </c>
      <c r="D4457" s="1" t="s">
        <v>91</v>
      </c>
      <c r="E4457">
        <v>81.454099999999997</v>
      </c>
      <c r="F4457" s="1" t="s">
        <v>176</v>
      </c>
      <c r="G4457">
        <v>27</v>
      </c>
      <c r="H4457">
        <v>15</v>
      </c>
      <c r="I4457" s="1" t="s">
        <v>194</v>
      </c>
      <c r="J4457">
        <v>1</v>
      </c>
      <c r="K4457" t="str">
        <f>IF(Tb_data[[#This Row],[previous_workers]]&lt;Tb_data[[#This Row],[workers]],"yes","no")</f>
        <v>yes</v>
      </c>
      <c r="L4457">
        <f>Tb_data[[#This Row],[workers]]-Tb_data[[#This Row],[previous_workers]]</f>
        <v>12</v>
      </c>
      <c r="M4457" s="12">
        <f>Tb_data[[#This Row],[Employees Growth]]/Tb_data[[#This Row],[previous_workers]]</f>
        <v>0.8</v>
      </c>
    </row>
    <row r="4458" spans="1:13" x14ac:dyDescent="0.25">
      <c r="A4458" s="1" t="s">
        <v>6449</v>
      </c>
      <c r="B4458" s="1" t="s">
        <v>6450</v>
      </c>
      <c r="C4458" s="1">
        <v>2200000</v>
      </c>
      <c r="D4458" s="1" t="s">
        <v>49</v>
      </c>
      <c r="E4458">
        <v>115.265</v>
      </c>
      <c r="F4458" s="1" t="s">
        <v>172</v>
      </c>
      <c r="G4458">
        <v>19</v>
      </c>
      <c r="H4458">
        <v>7</v>
      </c>
      <c r="I4458" s="1" t="s">
        <v>948</v>
      </c>
      <c r="J4458">
        <v>2</v>
      </c>
      <c r="K4458" t="str">
        <f>IF(Tb_data[[#This Row],[previous_workers]]&lt;Tb_data[[#This Row],[workers]],"yes","no")</f>
        <v>yes</v>
      </c>
      <c r="L4458">
        <f>Tb_data[[#This Row],[workers]]-Tb_data[[#This Row],[previous_workers]]</f>
        <v>12</v>
      </c>
      <c r="M4458" s="12">
        <f>Tb_data[[#This Row],[Employees Growth]]/Tb_data[[#This Row],[previous_workers]]</f>
        <v>1.7142857142857142</v>
      </c>
    </row>
    <row r="4459" spans="1:13" x14ac:dyDescent="0.25">
      <c r="A4459" s="1" t="s">
        <v>1094</v>
      </c>
      <c r="B4459" s="1" t="s">
        <v>1095</v>
      </c>
      <c r="C4459" s="1">
        <v>21300000</v>
      </c>
      <c r="D4459" s="1" t="s">
        <v>69</v>
      </c>
      <c r="E4459">
        <v>871.3972</v>
      </c>
      <c r="F4459" s="1" t="s">
        <v>176</v>
      </c>
      <c r="G4459">
        <v>97</v>
      </c>
      <c r="H4459">
        <v>10</v>
      </c>
      <c r="I4459" s="1" t="s">
        <v>55</v>
      </c>
      <c r="J4459">
        <v>3</v>
      </c>
      <c r="K4459" t="str">
        <f>IF(Tb_data[[#This Row],[previous_workers]]&lt;Tb_data[[#This Row],[workers]],"yes","no")</f>
        <v>yes</v>
      </c>
      <c r="L4459">
        <f>Tb_data[[#This Row],[workers]]-Tb_data[[#This Row],[previous_workers]]</f>
        <v>87</v>
      </c>
      <c r="M4459" s="12">
        <f>Tb_data[[#This Row],[Employees Growth]]/Tb_data[[#This Row],[previous_workers]]</f>
        <v>8.6999999999999993</v>
      </c>
    </row>
    <row r="4460" spans="1:13" x14ac:dyDescent="0.25">
      <c r="A4460" s="1" t="s">
        <v>9774</v>
      </c>
      <c r="B4460" s="1" t="s">
        <v>9775</v>
      </c>
      <c r="C4460" s="1">
        <v>3100000</v>
      </c>
      <c r="D4460" s="1" t="s">
        <v>69</v>
      </c>
      <c r="E4460">
        <v>57</v>
      </c>
      <c r="F4460" s="1" t="s">
        <v>161</v>
      </c>
      <c r="G4460">
        <v>21</v>
      </c>
      <c r="H4460">
        <v>13</v>
      </c>
      <c r="I4460" s="1" t="s">
        <v>948</v>
      </c>
      <c r="J4460">
        <v>3</v>
      </c>
      <c r="K4460" t="str">
        <f>IF(Tb_data[[#This Row],[previous_workers]]&lt;Tb_data[[#This Row],[workers]],"yes","no")</f>
        <v>yes</v>
      </c>
      <c r="L4460">
        <f>Tb_data[[#This Row],[workers]]-Tb_data[[#This Row],[previous_workers]]</f>
        <v>8</v>
      </c>
      <c r="M4460" s="12">
        <f>Tb_data[[#This Row],[Employees Growth]]/Tb_data[[#This Row],[previous_workers]]</f>
        <v>0.61538461538461542</v>
      </c>
    </row>
    <row r="4461" spans="1:13" x14ac:dyDescent="0.25">
      <c r="A4461" s="1" t="s">
        <v>7016</v>
      </c>
      <c r="B4461" s="1" t="s">
        <v>7017</v>
      </c>
      <c r="C4461" s="1">
        <v>11600000</v>
      </c>
      <c r="D4461" s="1" t="s">
        <v>33</v>
      </c>
      <c r="E4461">
        <v>101.688</v>
      </c>
      <c r="F4461" s="1" t="s">
        <v>176</v>
      </c>
      <c r="G4461">
        <v>35</v>
      </c>
      <c r="H4461">
        <v>8</v>
      </c>
      <c r="I4461" s="1" t="s">
        <v>46</v>
      </c>
      <c r="J4461">
        <v>4</v>
      </c>
      <c r="K4461" t="str">
        <f>IF(Tb_data[[#This Row],[previous_workers]]&lt;Tb_data[[#This Row],[workers]],"yes","no")</f>
        <v>yes</v>
      </c>
      <c r="L4461">
        <f>Tb_data[[#This Row],[workers]]-Tb_data[[#This Row],[previous_workers]]</f>
        <v>27</v>
      </c>
      <c r="M4461" s="12">
        <f>Tb_data[[#This Row],[Employees Growth]]/Tb_data[[#This Row],[previous_workers]]</f>
        <v>3.375</v>
      </c>
    </row>
    <row r="4462" spans="1:13" x14ac:dyDescent="0.25">
      <c r="A4462" s="1" t="s">
        <v>5566</v>
      </c>
      <c r="B4462" s="1" t="s">
        <v>5567</v>
      </c>
      <c r="C4462" s="1">
        <v>12300000</v>
      </c>
      <c r="D4462" s="1" t="s">
        <v>41</v>
      </c>
      <c r="E4462">
        <v>139.791</v>
      </c>
      <c r="F4462" s="1" t="s">
        <v>97</v>
      </c>
      <c r="G4462">
        <v>45</v>
      </c>
      <c r="H4462">
        <v>21</v>
      </c>
      <c r="I4462" s="1" t="s">
        <v>130</v>
      </c>
      <c r="J4462">
        <v>1</v>
      </c>
      <c r="K4462" t="str">
        <f>IF(Tb_data[[#This Row],[previous_workers]]&lt;Tb_data[[#This Row],[workers]],"yes","no")</f>
        <v>yes</v>
      </c>
      <c r="L4462">
        <f>Tb_data[[#This Row],[workers]]-Tb_data[[#This Row],[previous_workers]]</f>
        <v>24</v>
      </c>
      <c r="M4462" s="12">
        <f>Tb_data[[#This Row],[Employees Growth]]/Tb_data[[#This Row],[previous_workers]]</f>
        <v>1.1428571428571428</v>
      </c>
    </row>
    <row r="4463" spans="1:13" x14ac:dyDescent="0.25">
      <c r="A4463" s="1" t="s">
        <v>5342</v>
      </c>
      <c r="B4463" s="1" t="s">
        <v>5343</v>
      </c>
      <c r="C4463" s="1">
        <v>23300000</v>
      </c>
      <c r="D4463" s="1" t="s">
        <v>41</v>
      </c>
      <c r="E4463">
        <v>148.13720000000001</v>
      </c>
      <c r="F4463" s="1" t="s">
        <v>152</v>
      </c>
      <c r="G4463">
        <v>124</v>
      </c>
      <c r="H4463">
        <v>90</v>
      </c>
      <c r="I4463" s="1" t="s">
        <v>164</v>
      </c>
      <c r="J4463">
        <v>2</v>
      </c>
      <c r="K4463" t="str">
        <f>IF(Tb_data[[#This Row],[previous_workers]]&lt;Tb_data[[#This Row],[workers]],"yes","no")</f>
        <v>yes</v>
      </c>
      <c r="L4463">
        <f>Tb_data[[#This Row],[workers]]-Tb_data[[#This Row],[previous_workers]]</f>
        <v>34</v>
      </c>
      <c r="M4463" s="12">
        <f>Tb_data[[#This Row],[Employees Growth]]/Tb_data[[#This Row],[previous_workers]]</f>
        <v>0.37777777777777777</v>
      </c>
    </row>
    <row r="4464" spans="1:13" x14ac:dyDescent="0.25">
      <c r="A4464" s="1" t="s">
        <v>7034</v>
      </c>
      <c r="B4464" s="1" t="s">
        <v>7035</v>
      </c>
      <c r="C4464" s="1">
        <v>4600000</v>
      </c>
      <c r="D4464" s="1" t="s">
        <v>49</v>
      </c>
      <c r="E4464">
        <v>101.37730000000001</v>
      </c>
      <c r="F4464" s="1" t="s">
        <v>25</v>
      </c>
      <c r="G4464">
        <v>50</v>
      </c>
      <c r="H4464">
        <v>25</v>
      </c>
      <c r="I4464" s="1" t="s">
        <v>55</v>
      </c>
      <c r="J4464">
        <v>1</v>
      </c>
      <c r="K4464" t="str">
        <f>IF(Tb_data[[#This Row],[previous_workers]]&lt;Tb_data[[#This Row],[workers]],"yes","no")</f>
        <v>yes</v>
      </c>
      <c r="L4464">
        <f>Tb_data[[#This Row],[workers]]-Tb_data[[#This Row],[previous_workers]]</f>
        <v>25</v>
      </c>
      <c r="M4464" s="12">
        <f>Tb_data[[#This Row],[Employees Growth]]/Tb_data[[#This Row],[previous_workers]]</f>
        <v>1</v>
      </c>
    </row>
    <row r="4465" spans="1:13" x14ac:dyDescent="0.25">
      <c r="A4465" s="1" t="s">
        <v>3690</v>
      </c>
      <c r="B4465" s="1" t="s">
        <v>3691</v>
      </c>
      <c r="C4465" s="1">
        <v>2400000</v>
      </c>
      <c r="D4465" s="1" t="s">
        <v>123</v>
      </c>
      <c r="E4465">
        <v>228.9616</v>
      </c>
      <c r="F4465" s="1" t="s">
        <v>100</v>
      </c>
      <c r="G4465">
        <v>14</v>
      </c>
      <c r="H4465">
        <v>8</v>
      </c>
      <c r="I4465" s="1" t="s">
        <v>55</v>
      </c>
      <c r="J4465">
        <v>2</v>
      </c>
      <c r="K4465" t="str">
        <f>IF(Tb_data[[#This Row],[previous_workers]]&lt;Tb_data[[#This Row],[workers]],"yes","no")</f>
        <v>yes</v>
      </c>
      <c r="L4465">
        <f>Tb_data[[#This Row],[workers]]-Tb_data[[#This Row],[previous_workers]]</f>
        <v>6</v>
      </c>
      <c r="M4465" s="12">
        <f>Tb_data[[#This Row],[Employees Growth]]/Tb_data[[#This Row],[previous_workers]]</f>
        <v>0.75</v>
      </c>
    </row>
    <row r="4466" spans="1:13" x14ac:dyDescent="0.25">
      <c r="A4466" s="1" t="s">
        <v>8291</v>
      </c>
      <c r="B4466" s="1" t="s">
        <v>8292</v>
      </c>
      <c r="C4466" s="1">
        <v>81500000</v>
      </c>
      <c r="D4466" s="1" t="s">
        <v>155</v>
      </c>
      <c r="E4466">
        <v>77.836600000000004</v>
      </c>
      <c r="F4466" s="1" t="s">
        <v>3264</v>
      </c>
      <c r="G4466">
        <v>648</v>
      </c>
      <c r="H4466">
        <v>314</v>
      </c>
      <c r="I4466" s="1" t="s">
        <v>35</v>
      </c>
      <c r="J4466">
        <v>3</v>
      </c>
      <c r="K4466" t="str">
        <f>IF(Tb_data[[#This Row],[previous_workers]]&lt;Tb_data[[#This Row],[workers]],"yes","no")</f>
        <v>yes</v>
      </c>
      <c r="L4466">
        <f>Tb_data[[#This Row],[workers]]-Tb_data[[#This Row],[previous_workers]]</f>
        <v>334</v>
      </c>
      <c r="M4466" s="12">
        <f>Tb_data[[#This Row],[Employees Growth]]/Tb_data[[#This Row],[previous_workers]]</f>
        <v>1.0636942675159236</v>
      </c>
    </row>
    <row r="4467" spans="1:13" x14ac:dyDescent="0.25">
      <c r="A4467" s="1" t="s">
        <v>9868</v>
      </c>
      <c r="B4467" s="1" t="s">
        <v>9869</v>
      </c>
      <c r="C4467" s="1">
        <v>2200000</v>
      </c>
      <c r="D4467" s="1" t="s">
        <v>20</v>
      </c>
      <c r="E4467">
        <v>55.745899999999999</v>
      </c>
      <c r="F4467" s="1" t="s">
        <v>161</v>
      </c>
      <c r="G4467">
        <v>40</v>
      </c>
      <c r="H4467">
        <v>25</v>
      </c>
      <c r="I4467" s="1" t="s">
        <v>948</v>
      </c>
      <c r="J4467">
        <v>1</v>
      </c>
      <c r="K4467" t="str">
        <f>IF(Tb_data[[#This Row],[previous_workers]]&lt;Tb_data[[#This Row],[workers]],"yes","no")</f>
        <v>yes</v>
      </c>
      <c r="L4467">
        <f>Tb_data[[#This Row],[workers]]-Tb_data[[#This Row],[previous_workers]]</f>
        <v>15</v>
      </c>
      <c r="M4467" s="12">
        <f>Tb_data[[#This Row],[Employees Growth]]/Tb_data[[#This Row],[previous_workers]]</f>
        <v>0.6</v>
      </c>
    </row>
    <row r="4468" spans="1:13" x14ac:dyDescent="0.25">
      <c r="A4468" s="1" t="s">
        <v>4457</v>
      </c>
      <c r="B4468" s="1" t="s">
        <v>4458</v>
      </c>
      <c r="C4468" s="1">
        <v>7300000</v>
      </c>
      <c r="D4468" s="1" t="s">
        <v>20</v>
      </c>
      <c r="E4468">
        <v>184.6833</v>
      </c>
      <c r="F4468" s="1" t="s">
        <v>12</v>
      </c>
      <c r="G4468">
        <v>29</v>
      </c>
      <c r="H4468">
        <v>13</v>
      </c>
      <c r="I4468" s="1" t="s">
        <v>55</v>
      </c>
      <c r="J4468">
        <v>1</v>
      </c>
      <c r="K4468" t="str">
        <f>IF(Tb_data[[#This Row],[previous_workers]]&lt;Tb_data[[#This Row],[workers]],"yes","no")</f>
        <v>yes</v>
      </c>
      <c r="L4468">
        <f>Tb_data[[#This Row],[workers]]-Tb_data[[#This Row],[previous_workers]]</f>
        <v>16</v>
      </c>
      <c r="M4468" s="12">
        <f>Tb_data[[#This Row],[Employees Growth]]/Tb_data[[#This Row],[previous_workers]]</f>
        <v>1.2307692307692308</v>
      </c>
    </row>
    <row r="4469" spans="1:13" x14ac:dyDescent="0.25">
      <c r="A4469" s="1" t="s">
        <v>2560</v>
      </c>
      <c r="B4469" s="1" t="s">
        <v>2561</v>
      </c>
      <c r="C4469" s="1">
        <v>56000000</v>
      </c>
      <c r="D4469" s="1" t="s">
        <v>179</v>
      </c>
      <c r="E4469">
        <v>336.67039999999997</v>
      </c>
      <c r="F4469" s="1" t="s">
        <v>514</v>
      </c>
      <c r="G4469">
        <v>247</v>
      </c>
      <c r="H4469">
        <v>126</v>
      </c>
      <c r="I4469" s="1" t="s">
        <v>226</v>
      </c>
      <c r="J4469">
        <v>3</v>
      </c>
      <c r="K4469" t="str">
        <f>IF(Tb_data[[#This Row],[previous_workers]]&lt;Tb_data[[#This Row],[workers]],"yes","no")</f>
        <v>yes</v>
      </c>
      <c r="L4469">
        <f>Tb_data[[#This Row],[workers]]-Tb_data[[#This Row],[previous_workers]]</f>
        <v>121</v>
      </c>
      <c r="M4469" s="12">
        <f>Tb_data[[#This Row],[Employees Growth]]/Tb_data[[#This Row],[previous_workers]]</f>
        <v>0.96031746031746035</v>
      </c>
    </row>
    <row r="4470" spans="1:13" x14ac:dyDescent="0.25">
      <c r="A4470" s="1" t="s">
        <v>7583</v>
      </c>
      <c r="B4470" s="1" t="s">
        <v>7584</v>
      </c>
      <c r="C4470" s="1">
        <v>5200000</v>
      </c>
      <c r="D4470" s="1" t="s">
        <v>69</v>
      </c>
      <c r="E4470">
        <v>90.881299999999996</v>
      </c>
      <c r="F4470" s="1" t="s">
        <v>176</v>
      </c>
      <c r="G4470">
        <v>25</v>
      </c>
      <c r="H4470">
        <v>16</v>
      </c>
      <c r="I4470" s="1" t="s">
        <v>117</v>
      </c>
      <c r="J4470">
        <v>1</v>
      </c>
      <c r="K4470" t="str">
        <f>IF(Tb_data[[#This Row],[previous_workers]]&lt;Tb_data[[#This Row],[workers]],"yes","no")</f>
        <v>yes</v>
      </c>
      <c r="L4470">
        <f>Tb_data[[#This Row],[workers]]-Tb_data[[#This Row],[previous_workers]]</f>
        <v>9</v>
      </c>
      <c r="M4470" s="12">
        <f>Tb_data[[#This Row],[Employees Growth]]/Tb_data[[#This Row],[previous_workers]]</f>
        <v>0.5625</v>
      </c>
    </row>
    <row r="4471" spans="1:13" x14ac:dyDescent="0.25">
      <c r="A4471" s="1" t="s">
        <v>2516</v>
      </c>
      <c r="B4471" s="1" t="s">
        <v>2517</v>
      </c>
      <c r="C4471" s="1">
        <v>6300000</v>
      </c>
      <c r="D4471" s="1" t="s">
        <v>20</v>
      </c>
      <c r="E4471">
        <v>344.65159999999997</v>
      </c>
      <c r="F4471" s="1" t="s">
        <v>12</v>
      </c>
      <c r="G4471">
        <v>78</v>
      </c>
      <c r="H4471">
        <v>21</v>
      </c>
      <c r="I4471" s="1" t="s">
        <v>295</v>
      </c>
      <c r="J4471">
        <v>3</v>
      </c>
      <c r="K4471" t="str">
        <f>IF(Tb_data[[#This Row],[previous_workers]]&lt;Tb_data[[#This Row],[workers]],"yes","no")</f>
        <v>yes</v>
      </c>
      <c r="L4471">
        <f>Tb_data[[#This Row],[workers]]-Tb_data[[#This Row],[previous_workers]]</f>
        <v>57</v>
      </c>
      <c r="M4471" s="12">
        <f>Tb_data[[#This Row],[Employees Growth]]/Tb_data[[#This Row],[previous_workers]]</f>
        <v>2.7142857142857144</v>
      </c>
    </row>
    <row r="4472" spans="1:13" x14ac:dyDescent="0.25">
      <c r="A4472" s="1" t="s">
        <v>8671</v>
      </c>
      <c r="B4472" s="1" t="s">
        <v>8672</v>
      </c>
      <c r="C4472" s="1">
        <v>4100000</v>
      </c>
      <c r="D4472" s="1" t="s">
        <v>155</v>
      </c>
      <c r="E4472">
        <v>71.381399999999999</v>
      </c>
      <c r="F4472" s="1" t="s">
        <v>3264</v>
      </c>
      <c r="G4472">
        <v>20</v>
      </c>
      <c r="H4472">
        <v>12</v>
      </c>
      <c r="I4472" s="1" t="s">
        <v>229</v>
      </c>
      <c r="J4472">
        <v>1</v>
      </c>
      <c r="K4472" t="str">
        <f>IF(Tb_data[[#This Row],[previous_workers]]&lt;Tb_data[[#This Row],[workers]],"yes","no")</f>
        <v>yes</v>
      </c>
      <c r="L4472">
        <f>Tb_data[[#This Row],[workers]]-Tb_data[[#This Row],[previous_workers]]</f>
        <v>8</v>
      </c>
      <c r="M4472" s="12">
        <f>Tb_data[[#This Row],[Employees Growth]]/Tb_data[[#This Row],[previous_workers]]</f>
        <v>0.66666666666666663</v>
      </c>
    </row>
    <row r="4473" spans="1:13" x14ac:dyDescent="0.25">
      <c r="A4473" s="1" t="s">
        <v>609</v>
      </c>
      <c r="B4473" s="1" t="s">
        <v>610</v>
      </c>
      <c r="C4473" s="1">
        <v>4200000</v>
      </c>
      <c r="D4473" s="1" t="s">
        <v>52</v>
      </c>
      <c r="E4473">
        <v>1653.9969000000001</v>
      </c>
      <c r="F4473" s="1" t="s">
        <v>34</v>
      </c>
      <c r="G4473">
        <v>31</v>
      </c>
      <c r="H4473">
        <v>12</v>
      </c>
      <c r="I4473" s="1" t="s">
        <v>13</v>
      </c>
      <c r="J4473">
        <v>1</v>
      </c>
      <c r="K4473" t="str">
        <f>IF(Tb_data[[#This Row],[previous_workers]]&lt;Tb_data[[#This Row],[workers]],"yes","no")</f>
        <v>yes</v>
      </c>
      <c r="L4473">
        <f>Tb_data[[#This Row],[workers]]-Tb_data[[#This Row],[previous_workers]]</f>
        <v>19</v>
      </c>
      <c r="M4473" s="12">
        <f>Tb_data[[#This Row],[Employees Growth]]/Tb_data[[#This Row],[previous_workers]]</f>
        <v>1.5833333333333333</v>
      </c>
    </row>
    <row r="4474" spans="1:13" x14ac:dyDescent="0.25">
      <c r="A4474" s="1" t="s">
        <v>8833</v>
      </c>
      <c r="B4474" s="1" t="s">
        <v>8834</v>
      </c>
      <c r="C4474" s="1">
        <v>52200000</v>
      </c>
      <c r="D4474" s="1" t="s">
        <v>627</v>
      </c>
      <c r="E4474">
        <v>68.900400000000005</v>
      </c>
      <c r="F4474" s="1" t="s">
        <v>124</v>
      </c>
      <c r="G4474">
        <v>27</v>
      </c>
      <c r="H4474">
        <v>17</v>
      </c>
      <c r="I4474" s="1" t="s">
        <v>295</v>
      </c>
      <c r="J4474">
        <v>1</v>
      </c>
      <c r="K4474" t="str">
        <f>IF(Tb_data[[#This Row],[previous_workers]]&lt;Tb_data[[#This Row],[workers]],"yes","no")</f>
        <v>yes</v>
      </c>
      <c r="L4474">
        <f>Tb_data[[#This Row],[workers]]-Tb_data[[#This Row],[previous_workers]]</f>
        <v>10</v>
      </c>
      <c r="M4474" s="12">
        <f>Tb_data[[#This Row],[Employees Growth]]/Tb_data[[#This Row],[previous_workers]]</f>
        <v>0.58823529411764708</v>
      </c>
    </row>
    <row r="4475" spans="1:13" x14ac:dyDescent="0.25">
      <c r="A4475" s="1" t="s">
        <v>3205</v>
      </c>
      <c r="B4475" s="1" t="s">
        <v>3206</v>
      </c>
      <c r="C4475" s="1">
        <v>46700000</v>
      </c>
      <c r="D4475" s="1" t="s">
        <v>483</v>
      </c>
      <c r="E4475">
        <v>269.05329999999998</v>
      </c>
      <c r="F4475" s="1" t="s">
        <v>86</v>
      </c>
      <c r="G4475">
        <v>300</v>
      </c>
      <c r="H4475">
        <v>50</v>
      </c>
      <c r="I4475" s="1" t="s">
        <v>1411</v>
      </c>
      <c r="J4475">
        <v>7</v>
      </c>
      <c r="K4475" t="str">
        <f>IF(Tb_data[[#This Row],[previous_workers]]&lt;Tb_data[[#This Row],[workers]],"yes","no")</f>
        <v>yes</v>
      </c>
      <c r="L4475">
        <f>Tb_data[[#This Row],[workers]]-Tb_data[[#This Row],[previous_workers]]</f>
        <v>250</v>
      </c>
      <c r="M4475" s="12">
        <f>Tb_data[[#This Row],[Employees Growth]]/Tb_data[[#This Row],[previous_workers]]</f>
        <v>5</v>
      </c>
    </row>
    <row r="4476" spans="1:13" x14ac:dyDescent="0.25">
      <c r="A4476" s="1" t="s">
        <v>9119</v>
      </c>
      <c r="B4476" s="1" t="s">
        <v>9120</v>
      </c>
      <c r="C4476" s="1">
        <v>23400000</v>
      </c>
      <c r="D4476" s="1" t="s">
        <v>49</v>
      </c>
      <c r="E4476">
        <v>65.187600000000003</v>
      </c>
      <c r="F4476" s="1" t="s">
        <v>86</v>
      </c>
      <c r="G4476">
        <v>65</v>
      </c>
      <c r="H4476">
        <v>26</v>
      </c>
      <c r="I4476" s="1" t="s">
        <v>194</v>
      </c>
      <c r="J4476">
        <v>5</v>
      </c>
      <c r="K4476" t="str">
        <f>IF(Tb_data[[#This Row],[previous_workers]]&lt;Tb_data[[#This Row],[workers]],"yes","no")</f>
        <v>yes</v>
      </c>
      <c r="L4476">
        <f>Tb_data[[#This Row],[workers]]-Tb_data[[#This Row],[previous_workers]]</f>
        <v>39</v>
      </c>
      <c r="M4476" s="12">
        <f>Tb_data[[#This Row],[Employees Growth]]/Tb_data[[#This Row],[previous_workers]]</f>
        <v>1.5</v>
      </c>
    </row>
    <row r="4477" spans="1:13" x14ac:dyDescent="0.25">
      <c r="A4477" s="1" t="s">
        <v>1128</v>
      </c>
      <c r="B4477" s="1" t="s">
        <v>1129</v>
      </c>
      <c r="C4477" s="1">
        <v>2400000</v>
      </c>
      <c r="D4477" s="1" t="s">
        <v>49</v>
      </c>
      <c r="E4477">
        <v>852.23490000000004</v>
      </c>
      <c r="F4477" s="1" t="s">
        <v>86</v>
      </c>
      <c r="G4477">
        <v>16</v>
      </c>
      <c r="H4477">
        <v>2</v>
      </c>
      <c r="I4477" s="1" t="s">
        <v>26</v>
      </c>
      <c r="J4477">
        <v>1</v>
      </c>
      <c r="K4477" t="str">
        <f>IF(Tb_data[[#This Row],[previous_workers]]&lt;Tb_data[[#This Row],[workers]],"yes","no")</f>
        <v>yes</v>
      </c>
      <c r="L4477">
        <f>Tb_data[[#This Row],[workers]]-Tb_data[[#This Row],[previous_workers]]</f>
        <v>14</v>
      </c>
      <c r="M4477" s="12">
        <f>Tb_data[[#This Row],[Employees Growth]]/Tb_data[[#This Row],[previous_workers]]</f>
        <v>7</v>
      </c>
    </row>
    <row r="4478" spans="1:13" x14ac:dyDescent="0.25">
      <c r="A4478" s="1" t="s">
        <v>2246</v>
      </c>
      <c r="B4478" s="1" t="s">
        <v>2247</v>
      </c>
      <c r="C4478" s="1">
        <v>117600000</v>
      </c>
      <c r="D4478" s="1" t="s">
        <v>38</v>
      </c>
      <c r="E4478">
        <v>393.47359999999998</v>
      </c>
      <c r="F4478" s="1" t="s">
        <v>25</v>
      </c>
      <c r="G4478">
        <v>26</v>
      </c>
      <c r="H4478">
        <v>7</v>
      </c>
      <c r="I4478" s="1" t="s">
        <v>164</v>
      </c>
      <c r="J4478">
        <v>4</v>
      </c>
      <c r="K4478" t="str">
        <f>IF(Tb_data[[#This Row],[previous_workers]]&lt;Tb_data[[#This Row],[workers]],"yes","no")</f>
        <v>yes</v>
      </c>
      <c r="L4478">
        <f>Tb_data[[#This Row],[workers]]-Tb_data[[#This Row],[previous_workers]]</f>
        <v>19</v>
      </c>
      <c r="M4478" s="12">
        <f>Tb_data[[#This Row],[Employees Growth]]/Tb_data[[#This Row],[previous_workers]]</f>
        <v>2.7142857142857144</v>
      </c>
    </row>
    <row r="4479" spans="1:13" x14ac:dyDescent="0.25">
      <c r="A4479" s="1" t="s">
        <v>6191</v>
      </c>
      <c r="B4479" s="1" t="s">
        <v>6192</v>
      </c>
      <c r="C4479" s="1">
        <v>60700000</v>
      </c>
      <c r="D4479" s="1" t="s">
        <v>41</v>
      </c>
      <c r="E4479">
        <v>121.511</v>
      </c>
      <c r="F4479" s="1" t="s">
        <v>17</v>
      </c>
      <c r="G4479">
        <v>200</v>
      </c>
      <c r="H4479">
        <v>100</v>
      </c>
      <c r="I4479" s="1" t="s">
        <v>4032</v>
      </c>
      <c r="J4479">
        <v>7</v>
      </c>
      <c r="K4479" t="str">
        <f>IF(Tb_data[[#This Row],[previous_workers]]&lt;Tb_data[[#This Row],[workers]],"yes","no")</f>
        <v>yes</v>
      </c>
      <c r="L4479">
        <f>Tb_data[[#This Row],[workers]]-Tb_data[[#This Row],[previous_workers]]</f>
        <v>100</v>
      </c>
      <c r="M4479" s="12">
        <f>Tb_data[[#This Row],[Employees Growth]]/Tb_data[[#This Row],[previous_workers]]</f>
        <v>1</v>
      </c>
    </row>
    <row r="4480" spans="1:13" x14ac:dyDescent="0.25">
      <c r="A4480" s="1" t="s">
        <v>5922</v>
      </c>
      <c r="B4480" s="1" t="s">
        <v>5923</v>
      </c>
      <c r="C4480" s="1">
        <v>20900000</v>
      </c>
      <c r="D4480" s="1" t="s">
        <v>11</v>
      </c>
      <c r="E4480">
        <v>128.52950000000001</v>
      </c>
      <c r="F4480" s="1" t="s">
        <v>86</v>
      </c>
      <c r="G4480">
        <v>386</v>
      </c>
      <c r="H4480">
        <v>209</v>
      </c>
      <c r="I4480" s="1" t="s">
        <v>295</v>
      </c>
      <c r="J4480">
        <v>7</v>
      </c>
      <c r="K4480" t="str">
        <f>IF(Tb_data[[#This Row],[previous_workers]]&lt;Tb_data[[#This Row],[workers]],"yes","no")</f>
        <v>yes</v>
      </c>
      <c r="L4480">
        <f>Tb_data[[#This Row],[workers]]-Tb_data[[#This Row],[previous_workers]]</f>
        <v>177</v>
      </c>
      <c r="M4480" s="12">
        <f>Tb_data[[#This Row],[Employees Growth]]/Tb_data[[#This Row],[previous_workers]]</f>
        <v>0.84688995215311003</v>
      </c>
    </row>
    <row r="4481" spans="1:13" x14ac:dyDescent="0.25">
      <c r="A4481" s="1" t="s">
        <v>7803</v>
      </c>
      <c r="B4481" s="1" t="s">
        <v>7804</v>
      </c>
      <c r="C4481" s="1">
        <v>36400000</v>
      </c>
      <c r="D4481" s="1" t="s">
        <v>79</v>
      </c>
      <c r="E4481">
        <v>86.229799999999997</v>
      </c>
      <c r="F4481" s="1" t="s">
        <v>176</v>
      </c>
      <c r="G4481">
        <v>182</v>
      </c>
      <c r="H4481">
        <v>156</v>
      </c>
      <c r="I4481" s="1" t="s">
        <v>229</v>
      </c>
      <c r="J4481">
        <v>13</v>
      </c>
      <c r="K4481" t="str">
        <f>IF(Tb_data[[#This Row],[previous_workers]]&lt;Tb_data[[#This Row],[workers]],"yes","no")</f>
        <v>yes</v>
      </c>
      <c r="L4481">
        <f>Tb_data[[#This Row],[workers]]-Tb_data[[#This Row],[previous_workers]]</f>
        <v>26</v>
      </c>
      <c r="M4481" s="12">
        <f>Tb_data[[#This Row],[Employees Growth]]/Tb_data[[#This Row],[previous_workers]]</f>
        <v>0.16666666666666666</v>
      </c>
    </row>
    <row r="4482" spans="1:13" x14ac:dyDescent="0.25">
      <c r="A4482" s="1" t="s">
        <v>3692</v>
      </c>
      <c r="B4482" s="1" t="s">
        <v>3693</v>
      </c>
      <c r="C4482" s="1">
        <v>2600000</v>
      </c>
      <c r="D4482" s="1" t="s">
        <v>69</v>
      </c>
      <c r="E4482">
        <v>228.78530000000001</v>
      </c>
      <c r="F4482" s="1" t="s">
        <v>156</v>
      </c>
      <c r="G4482">
        <v>19</v>
      </c>
      <c r="H4482">
        <v>3</v>
      </c>
      <c r="I4482" s="1" t="s">
        <v>55</v>
      </c>
      <c r="J4482">
        <v>2</v>
      </c>
      <c r="K4482" t="str">
        <f>IF(Tb_data[[#This Row],[previous_workers]]&lt;Tb_data[[#This Row],[workers]],"yes","no")</f>
        <v>yes</v>
      </c>
      <c r="L4482">
        <f>Tb_data[[#This Row],[workers]]-Tb_data[[#This Row],[previous_workers]]</f>
        <v>16</v>
      </c>
      <c r="M4482" s="12">
        <f>Tb_data[[#This Row],[Employees Growth]]/Tb_data[[#This Row],[previous_workers]]</f>
        <v>5.333333333333333</v>
      </c>
    </row>
    <row r="4483" spans="1:13" x14ac:dyDescent="0.25">
      <c r="A4483" s="1" t="s">
        <v>577</v>
      </c>
      <c r="B4483" s="1" t="s">
        <v>578</v>
      </c>
      <c r="C4483" s="1">
        <v>4600000</v>
      </c>
      <c r="D4483" s="1" t="s">
        <v>69</v>
      </c>
      <c r="E4483">
        <v>1729.3981000000001</v>
      </c>
      <c r="F4483" s="1" t="s">
        <v>176</v>
      </c>
      <c r="G4483">
        <v>0</v>
      </c>
      <c r="H4483">
        <v>3</v>
      </c>
      <c r="I4483" s="1" t="s">
        <v>117</v>
      </c>
      <c r="J4483">
        <v>1</v>
      </c>
      <c r="K4483" t="str">
        <f>IF(Tb_data[[#This Row],[previous_workers]]&lt;Tb_data[[#This Row],[workers]],"yes","no")</f>
        <v>no</v>
      </c>
      <c r="L4483">
        <f>Tb_data[[#This Row],[workers]]-Tb_data[[#This Row],[previous_workers]]</f>
        <v>-3</v>
      </c>
      <c r="M4483" s="12">
        <f>Tb_data[[#This Row],[Employees Growth]]/Tb_data[[#This Row],[previous_workers]]</f>
        <v>-1</v>
      </c>
    </row>
    <row r="4484" spans="1:13" x14ac:dyDescent="0.25">
      <c r="A4484" s="1" t="s">
        <v>1240</v>
      </c>
      <c r="B4484" s="1" t="s">
        <v>1241</v>
      </c>
      <c r="C4484" s="1">
        <v>5000000</v>
      </c>
      <c r="D4484" s="1" t="s">
        <v>155</v>
      </c>
      <c r="E4484">
        <v>773.74599999999998</v>
      </c>
      <c r="F4484" s="1" t="s">
        <v>310</v>
      </c>
      <c r="G4484">
        <v>90</v>
      </c>
      <c r="H4484">
        <v>15</v>
      </c>
      <c r="I4484" s="1" t="s">
        <v>55</v>
      </c>
      <c r="J4484">
        <v>1</v>
      </c>
      <c r="K4484" t="str">
        <f>IF(Tb_data[[#This Row],[previous_workers]]&lt;Tb_data[[#This Row],[workers]],"yes","no")</f>
        <v>yes</v>
      </c>
      <c r="L4484">
        <f>Tb_data[[#This Row],[workers]]-Tb_data[[#This Row],[previous_workers]]</f>
        <v>75</v>
      </c>
      <c r="M4484" s="12">
        <f>Tb_data[[#This Row],[Employees Growth]]/Tb_data[[#This Row],[previous_workers]]</f>
        <v>5</v>
      </c>
    </row>
    <row r="4485" spans="1:13" x14ac:dyDescent="0.25">
      <c r="A4485" s="1" t="s">
        <v>3870</v>
      </c>
      <c r="B4485" s="1" t="s">
        <v>3871</v>
      </c>
      <c r="C4485" s="1">
        <v>7600000</v>
      </c>
      <c r="D4485" s="1" t="s">
        <v>254</v>
      </c>
      <c r="E4485">
        <v>216.44139999999999</v>
      </c>
      <c r="F4485" s="1" t="s">
        <v>21</v>
      </c>
      <c r="G4485">
        <v>21</v>
      </c>
      <c r="H4485">
        <v>10</v>
      </c>
      <c r="I4485" s="1" t="s">
        <v>117</v>
      </c>
      <c r="J4485">
        <v>3</v>
      </c>
      <c r="K4485" t="str">
        <f>IF(Tb_data[[#This Row],[previous_workers]]&lt;Tb_data[[#This Row],[workers]],"yes","no")</f>
        <v>yes</v>
      </c>
      <c r="L4485">
        <f>Tb_data[[#This Row],[workers]]-Tb_data[[#This Row],[previous_workers]]</f>
        <v>11</v>
      </c>
      <c r="M4485" s="12">
        <f>Tb_data[[#This Row],[Employees Growth]]/Tb_data[[#This Row],[previous_workers]]</f>
        <v>1.1000000000000001</v>
      </c>
    </row>
    <row r="4486" spans="1:13" x14ac:dyDescent="0.25">
      <c r="A4486" s="1" t="s">
        <v>2919</v>
      </c>
      <c r="B4486" s="1" t="s">
        <v>2920</v>
      </c>
      <c r="C4486" s="1">
        <v>13100000</v>
      </c>
      <c r="D4486" s="1" t="s">
        <v>49</v>
      </c>
      <c r="E4486">
        <v>296.01679999999999</v>
      </c>
      <c r="F4486" s="1" t="s">
        <v>86</v>
      </c>
      <c r="G4486">
        <v>250</v>
      </c>
      <c r="H4486">
        <v>80</v>
      </c>
      <c r="I4486" s="1" t="s">
        <v>164</v>
      </c>
      <c r="J4486">
        <v>2</v>
      </c>
      <c r="K4486" t="str">
        <f>IF(Tb_data[[#This Row],[previous_workers]]&lt;Tb_data[[#This Row],[workers]],"yes","no")</f>
        <v>yes</v>
      </c>
      <c r="L4486">
        <f>Tb_data[[#This Row],[workers]]-Tb_data[[#This Row],[previous_workers]]</f>
        <v>170</v>
      </c>
      <c r="M4486" s="12">
        <f>Tb_data[[#This Row],[Employees Growth]]/Tb_data[[#This Row],[previous_workers]]</f>
        <v>2.125</v>
      </c>
    </row>
    <row r="4487" spans="1:13" x14ac:dyDescent="0.25">
      <c r="A4487" s="1" t="s">
        <v>3674</v>
      </c>
      <c r="B4487" s="1" t="s">
        <v>3675</v>
      </c>
      <c r="C4487" s="1">
        <v>71400000</v>
      </c>
      <c r="D4487" s="1" t="s">
        <v>221</v>
      </c>
      <c r="E4487">
        <v>229.89359999999999</v>
      </c>
      <c r="F4487" s="1" t="s">
        <v>42</v>
      </c>
      <c r="G4487">
        <v>481</v>
      </c>
      <c r="H4487">
        <v>132</v>
      </c>
      <c r="I4487" s="1" t="s">
        <v>1411</v>
      </c>
      <c r="J4487">
        <v>9</v>
      </c>
      <c r="K4487" t="str">
        <f>IF(Tb_data[[#This Row],[previous_workers]]&lt;Tb_data[[#This Row],[workers]],"yes","no")</f>
        <v>yes</v>
      </c>
      <c r="L4487">
        <f>Tb_data[[#This Row],[workers]]-Tb_data[[#This Row],[previous_workers]]</f>
        <v>349</v>
      </c>
      <c r="M4487" s="12">
        <f>Tb_data[[#This Row],[Employees Growth]]/Tb_data[[#This Row],[previous_workers]]</f>
        <v>2.643939393939394</v>
      </c>
    </row>
    <row r="4488" spans="1:13" x14ac:dyDescent="0.25">
      <c r="A4488" s="1" t="s">
        <v>8767</v>
      </c>
      <c r="B4488" s="1" t="s">
        <v>8768</v>
      </c>
      <c r="C4488" s="1">
        <v>4900000</v>
      </c>
      <c r="D4488" s="1" t="s">
        <v>129</v>
      </c>
      <c r="E4488">
        <v>69.999700000000004</v>
      </c>
      <c r="F4488" s="1" t="s">
        <v>112</v>
      </c>
      <c r="G4488">
        <v>5</v>
      </c>
      <c r="H4488">
        <v>4</v>
      </c>
      <c r="I4488" s="1" t="s">
        <v>55</v>
      </c>
      <c r="J4488">
        <v>1</v>
      </c>
      <c r="K4488" t="str">
        <f>IF(Tb_data[[#This Row],[previous_workers]]&lt;Tb_data[[#This Row],[workers]],"yes","no")</f>
        <v>yes</v>
      </c>
      <c r="L4488">
        <f>Tb_data[[#This Row],[workers]]-Tb_data[[#This Row],[previous_workers]]</f>
        <v>1</v>
      </c>
      <c r="M4488" s="12">
        <f>Tb_data[[#This Row],[Employees Growth]]/Tb_data[[#This Row],[previous_workers]]</f>
        <v>0.25</v>
      </c>
    </row>
    <row r="4489" spans="1:13" x14ac:dyDescent="0.25">
      <c r="A4489" s="1" t="s">
        <v>3236</v>
      </c>
      <c r="B4489" s="1" t="s">
        <v>3237</v>
      </c>
      <c r="C4489" s="1">
        <v>3300000</v>
      </c>
      <c r="D4489" s="1" t="s">
        <v>41</v>
      </c>
      <c r="E4489">
        <v>266.63290000000001</v>
      </c>
      <c r="F4489" s="1" t="s">
        <v>97</v>
      </c>
      <c r="G4489">
        <v>48</v>
      </c>
      <c r="H4489">
        <v>13</v>
      </c>
      <c r="I4489" s="1" t="s">
        <v>295</v>
      </c>
      <c r="J4489">
        <v>3</v>
      </c>
      <c r="K4489" t="str">
        <f>IF(Tb_data[[#This Row],[previous_workers]]&lt;Tb_data[[#This Row],[workers]],"yes","no")</f>
        <v>yes</v>
      </c>
      <c r="L4489">
        <f>Tb_data[[#This Row],[workers]]-Tb_data[[#This Row],[previous_workers]]</f>
        <v>35</v>
      </c>
      <c r="M4489" s="12">
        <f>Tb_data[[#This Row],[Employees Growth]]/Tb_data[[#This Row],[previous_workers]]</f>
        <v>2.6923076923076925</v>
      </c>
    </row>
    <row r="4490" spans="1:13" x14ac:dyDescent="0.25">
      <c r="A4490" s="1" t="s">
        <v>9874</v>
      </c>
      <c r="B4490" s="1" t="s">
        <v>9875</v>
      </c>
      <c r="C4490" s="1">
        <v>86400000</v>
      </c>
      <c r="D4490" s="1" t="s">
        <v>41</v>
      </c>
      <c r="E4490">
        <v>55.686399999999999</v>
      </c>
      <c r="F4490" s="1" t="s">
        <v>514</v>
      </c>
      <c r="G4490">
        <v>541</v>
      </c>
      <c r="H4490">
        <v>381</v>
      </c>
      <c r="I4490" s="1" t="s">
        <v>4032</v>
      </c>
      <c r="J4490">
        <v>4</v>
      </c>
      <c r="K4490" t="str">
        <f>IF(Tb_data[[#This Row],[previous_workers]]&lt;Tb_data[[#This Row],[workers]],"yes","no")</f>
        <v>yes</v>
      </c>
      <c r="L4490">
        <f>Tb_data[[#This Row],[workers]]-Tb_data[[#This Row],[previous_workers]]</f>
        <v>160</v>
      </c>
      <c r="M4490" s="12">
        <f>Tb_data[[#This Row],[Employees Growth]]/Tb_data[[#This Row],[previous_workers]]</f>
        <v>0.41994750656167978</v>
      </c>
    </row>
    <row r="4491" spans="1:13" x14ac:dyDescent="0.25">
      <c r="A4491" s="1" t="s">
        <v>8187</v>
      </c>
      <c r="B4491" s="1" t="s">
        <v>8188</v>
      </c>
      <c r="C4491" s="1">
        <v>6100000</v>
      </c>
      <c r="D4491" s="1" t="s">
        <v>49</v>
      </c>
      <c r="E4491">
        <v>79.970600000000005</v>
      </c>
      <c r="F4491" s="1" t="s">
        <v>124</v>
      </c>
      <c r="G4491">
        <v>30</v>
      </c>
      <c r="H4491">
        <v>15</v>
      </c>
      <c r="I4491" s="1" t="s">
        <v>1622</v>
      </c>
      <c r="J4491">
        <v>3</v>
      </c>
      <c r="K4491" t="str">
        <f>IF(Tb_data[[#This Row],[previous_workers]]&lt;Tb_data[[#This Row],[workers]],"yes","no")</f>
        <v>yes</v>
      </c>
      <c r="L4491">
        <f>Tb_data[[#This Row],[workers]]-Tb_data[[#This Row],[previous_workers]]</f>
        <v>15</v>
      </c>
      <c r="M4491" s="12">
        <f>Tb_data[[#This Row],[Employees Growth]]/Tb_data[[#This Row],[previous_workers]]</f>
        <v>1</v>
      </c>
    </row>
    <row r="4492" spans="1:13" x14ac:dyDescent="0.25">
      <c r="A4492" s="1" t="s">
        <v>5324</v>
      </c>
      <c r="B4492" s="1" t="s">
        <v>5325</v>
      </c>
      <c r="C4492" s="1">
        <v>28000000</v>
      </c>
      <c r="D4492" s="1" t="s">
        <v>69</v>
      </c>
      <c r="E4492">
        <v>149.3304</v>
      </c>
      <c r="F4492" s="1" t="s">
        <v>86</v>
      </c>
      <c r="G4492">
        <v>215</v>
      </c>
      <c r="H4492">
        <v>56</v>
      </c>
      <c r="I4492" s="1" t="s">
        <v>26</v>
      </c>
      <c r="J4492">
        <v>1</v>
      </c>
      <c r="K4492" t="str">
        <f>IF(Tb_data[[#This Row],[previous_workers]]&lt;Tb_data[[#This Row],[workers]],"yes","no")</f>
        <v>yes</v>
      </c>
      <c r="L4492">
        <f>Tb_data[[#This Row],[workers]]-Tb_data[[#This Row],[previous_workers]]</f>
        <v>159</v>
      </c>
      <c r="M4492" s="12">
        <f>Tb_data[[#This Row],[Employees Growth]]/Tb_data[[#This Row],[previous_workers]]</f>
        <v>2.8392857142857144</v>
      </c>
    </row>
    <row r="4493" spans="1:13" x14ac:dyDescent="0.25">
      <c r="A4493" s="1" t="s">
        <v>8351</v>
      </c>
      <c r="B4493" s="1" t="s">
        <v>8352</v>
      </c>
      <c r="C4493" s="1">
        <v>33600000</v>
      </c>
      <c r="D4493" s="1" t="s">
        <v>33</v>
      </c>
      <c r="E4493">
        <v>76.966099999999997</v>
      </c>
      <c r="F4493" s="1" t="s">
        <v>30</v>
      </c>
      <c r="G4493">
        <v>280</v>
      </c>
      <c r="H4493">
        <v>190</v>
      </c>
      <c r="I4493" s="1" t="s">
        <v>2611</v>
      </c>
      <c r="J4493">
        <v>5</v>
      </c>
      <c r="K4493" t="str">
        <f>IF(Tb_data[[#This Row],[previous_workers]]&lt;Tb_data[[#This Row],[workers]],"yes","no")</f>
        <v>yes</v>
      </c>
      <c r="L4493">
        <f>Tb_data[[#This Row],[workers]]-Tb_data[[#This Row],[previous_workers]]</f>
        <v>90</v>
      </c>
      <c r="M4493" s="12">
        <f>Tb_data[[#This Row],[Employees Growth]]/Tb_data[[#This Row],[previous_workers]]</f>
        <v>0.47368421052631576</v>
      </c>
    </row>
    <row r="4494" spans="1:13" x14ac:dyDescent="0.25">
      <c r="A4494" s="1" t="s">
        <v>2739</v>
      </c>
      <c r="B4494" s="1" t="s">
        <v>2740</v>
      </c>
      <c r="C4494" s="1">
        <v>90100000</v>
      </c>
      <c r="D4494" s="1" t="s">
        <v>61</v>
      </c>
      <c r="E4494">
        <v>314.5068</v>
      </c>
      <c r="F4494" s="1" t="s">
        <v>12</v>
      </c>
      <c r="G4494">
        <v>508</v>
      </c>
      <c r="H4494">
        <v>128</v>
      </c>
      <c r="I4494" s="1" t="s">
        <v>147</v>
      </c>
      <c r="J4494">
        <v>7</v>
      </c>
      <c r="K4494" t="str">
        <f>IF(Tb_data[[#This Row],[previous_workers]]&lt;Tb_data[[#This Row],[workers]],"yes","no")</f>
        <v>yes</v>
      </c>
      <c r="L4494">
        <f>Tb_data[[#This Row],[workers]]-Tb_data[[#This Row],[previous_workers]]</f>
        <v>380</v>
      </c>
      <c r="M4494" s="12">
        <f>Tb_data[[#This Row],[Employees Growth]]/Tb_data[[#This Row],[previous_workers]]</f>
        <v>2.96875</v>
      </c>
    </row>
    <row r="4495" spans="1:13" x14ac:dyDescent="0.25">
      <c r="A4495" s="1" t="s">
        <v>2508</v>
      </c>
      <c r="B4495" s="1" t="s">
        <v>2509</v>
      </c>
      <c r="C4495" s="1">
        <v>13300000</v>
      </c>
      <c r="D4495" s="1" t="s">
        <v>49</v>
      </c>
      <c r="E4495">
        <v>345.53199999999998</v>
      </c>
      <c r="F4495" s="1" t="s">
        <v>86</v>
      </c>
      <c r="G4495">
        <v>135</v>
      </c>
      <c r="H4495">
        <v>31</v>
      </c>
      <c r="I4495" s="1" t="s">
        <v>117</v>
      </c>
      <c r="J4495">
        <v>2</v>
      </c>
      <c r="K4495" t="str">
        <f>IF(Tb_data[[#This Row],[previous_workers]]&lt;Tb_data[[#This Row],[workers]],"yes","no")</f>
        <v>yes</v>
      </c>
      <c r="L4495">
        <f>Tb_data[[#This Row],[workers]]-Tb_data[[#This Row],[previous_workers]]</f>
        <v>104</v>
      </c>
      <c r="M4495" s="12">
        <f>Tb_data[[#This Row],[Employees Growth]]/Tb_data[[#This Row],[previous_workers]]</f>
        <v>3.3548387096774195</v>
      </c>
    </row>
    <row r="4496" spans="1:13" x14ac:dyDescent="0.25">
      <c r="A4496" s="1" t="s">
        <v>2022</v>
      </c>
      <c r="B4496" s="1" t="s">
        <v>2023</v>
      </c>
      <c r="C4496" s="1">
        <v>5000000</v>
      </c>
      <c r="D4496" s="1" t="s">
        <v>52</v>
      </c>
      <c r="E4496">
        <v>443.58659999999998</v>
      </c>
      <c r="F4496" s="1" t="s">
        <v>310</v>
      </c>
      <c r="G4496">
        <v>36</v>
      </c>
      <c r="H4496">
        <v>9</v>
      </c>
      <c r="I4496" s="1" t="s">
        <v>164</v>
      </c>
      <c r="J4496">
        <v>2</v>
      </c>
      <c r="K4496" t="str">
        <f>IF(Tb_data[[#This Row],[previous_workers]]&lt;Tb_data[[#This Row],[workers]],"yes","no")</f>
        <v>yes</v>
      </c>
      <c r="L4496">
        <f>Tb_data[[#This Row],[workers]]-Tb_data[[#This Row],[previous_workers]]</f>
        <v>27</v>
      </c>
      <c r="M4496" s="12">
        <f>Tb_data[[#This Row],[Employees Growth]]/Tb_data[[#This Row],[previous_workers]]</f>
        <v>3</v>
      </c>
    </row>
    <row r="4497" spans="1:13" x14ac:dyDescent="0.25">
      <c r="A4497" s="1" t="s">
        <v>2849</v>
      </c>
      <c r="B4497" s="1" t="s">
        <v>2850</v>
      </c>
      <c r="C4497" s="1">
        <v>130700000</v>
      </c>
      <c r="D4497" s="1" t="s">
        <v>129</v>
      </c>
      <c r="E4497">
        <v>303.35789999999997</v>
      </c>
      <c r="F4497" s="1" t="s">
        <v>97</v>
      </c>
      <c r="G4497">
        <v>485</v>
      </c>
      <c r="H4497">
        <v>112</v>
      </c>
      <c r="I4497" s="1" t="s">
        <v>295</v>
      </c>
      <c r="J4497">
        <v>9</v>
      </c>
      <c r="K4497" t="str">
        <f>IF(Tb_data[[#This Row],[previous_workers]]&lt;Tb_data[[#This Row],[workers]],"yes","no")</f>
        <v>yes</v>
      </c>
      <c r="L4497">
        <f>Tb_data[[#This Row],[workers]]-Tb_data[[#This Row],[previous_workers]]</f>
        <v>373</v>
      </c>
      <c r="M4497" s="12">
        <f>Tb_data[[#This Row],[Employees Growth]]/Tb_data[[#This Row],[previous_workers]]</f>
        <v>3.3303571428571428</v>
      </c>
    </row>
    <row r="4498" spans="1:13" x14ac:dyDescent="0.25">
      <c r="A4498" s="1" t="s">
        <v>7715</v>
      </c>
      <c r="B4498" s="1" t="s">
        <v>7716</v>
      </c>
      <c r="C4498" s="1">
        <v>10000000</v>
      </c>
      <c r="D4498" s="1" t="s">
        <v>49</v>
      </c>
      <c r="E4498">
        <v>87.829300000000003</v>
      </c>
      <c r="F4498" s="1" t="s">
        <v>12</v>
      </c>
      <c r="G4498">
        <v>45</v>
      </c>
      <c r="H4498">
        <v>25</v>
      </c>
      <c r="I4498" s="1" t="s">
        <v>147</v>
      </c>
      <c r="J4498">
        <v>8</v>
      </c>
      <c r="K4498" t="str">
        <f>IF(Tb_data[[#This Row],[previous_workers]]&lt;Tb_data[[#This Row],[workers]],"yes","no")</f>
        <v>yes</v>
      </c>
      <c r="L4498">
        <f>Tb_data[[#This Row],[workers]]-Tb_data[[#This Row],[previous_workers]]</f>
        <v>20</v>
      </c>
      <c r="M4498" s="12">
        <f>Tb_data[[#This Row],[Employees Growth]]/Tb_data[[#This Row],[previous_workers]]</f>
        <v>0.8</v>
      </c>
    </row>
    <row r="4499" spans="1:13" x14ac:dyDescent="0.25">
      <c r="A4499" s="1" t="s">
        <v>816</v>
      </c>
      <c r="B4499" s="1" t="s">
        <v>817</v>
      </c>
      <c r="C4499" s="1">
        <v>16000000</v>
      </c>
      <c r="D4499" s="1" t="s">
        <v>41</v>
      </c>
      <c r="E4499">
        <v>1254.748</v>
      </c>
      <c r="F4499" s="1" t="s">
        <v>124</v>
      </c>
      <c r="G4499">
        <v>32</v>
      </c>
      <c r="H4499">
        <v>3</v>
      </c>
      <c r="I4499" s="1" t="s">
        <v>26</v>
      </c>
      <c r="J4499">
        <v>1</v>
      </c>
      <c r="K4499" t="str">
        <f>IF(Tb_data[[#This Row],[previous_workers]]&lt;Tb_data[[#This Row],[workers]],"yes","no")</f>
        <v>yes</v>
      </c>
      <c r="L4499">
        <f>Tb_data[[#This Row],[workers]]-Tb_data[[#This Row],[previous_workers]]</f>
        <v>29</v>
      </c>
      <c r="M4499" s="12">
        <f>Tb_data[[#This Row],[Employees Growth]]/Tb_data[[#This Row],[previous_workers]]</f>
        <v>9.6666666666666661</v>
      </c>
    </row>
    <row r="4500" spans="1:13" x14ac:dyDescent="0.25">
      <c r="A4500" s="1" t="s">
        <v>6561</v>
      </c>
      <c r="B4500" s="1" t="s">
        <v>6562</v>
      </c>
      <c r="C4500" s="1">
        <v>9200000</v>
      </c>
      <c r="D4500" s="1" t="s">
        <v>120</v>
      </c>
      <c r="E4500">
        <v>112.2928</v>
      </c>
      <c r="F4500" s="1" t="s">
        <v>161</v>
      </c>
      <c r="G4500">
        <v>75</v>
      </c>
      <c r="H4500">
        <v>25</v>
      </c>
      <c r="I4500" s="1" t="s">
        <v>13</v>
      </c>
      <c r="J4500">
        <v>1</v>
      </c>
      <c r="K4500" t="str">
        <f>IF(Tb_data[[#This Row],[previous_workers]]&lt;Tb_data[[#This Row],[workers]],"yes","no")</f>
        <v>yes</v>
      </c>
      <c r="L4500">
        <f>Tb_data[[#This Row],[workers]]-Tb_data[[#This Row],[previous_workers]]</f>
        <v>50</v>
      </c>
      <c r="M4500" s="12">
        <f>Tb_data[[#This Row],[Employees Growth]]/Tb_data[[#This Row],[previous_workers]]</f>
        <v>2</v>
      </c>
    </row>
    <row r="4501" spans="1:13" x14ac:dyDescent="0.25">
      <c r="A4501" s="1" t="s">
        <v>7615</v>
      </c>
      <c r="B4501" s="1" t="s">
        <v>7616</v>
      </c>
      <c r="C4501" s="1">
        <v>7900000</v>
      </c>
      <c r="D4501" s="1" t="s">
        <v>69</v>
      </c>
      <c r="E4501">
        <v>89.590199999999996</v>
      </c>
      <c r="F4501" s="1" t="s">
        <v>97</v>
      </c>
      <c r="G4501">
        <v>104</v>
      </c>
      <c r="H4501">
        <v>55</v>
      </c>
      <c r="I4501" s="1" t="s">
        <v>35</v>
      </c>
      <c r="J4501">
        <v>3</v>
      </c>
      <c r="K4501" t="str">
        <f>IF(Tb_data[[#This Row],[previous_workers]]&lt;Tb_data[[#This Row],[workers]],"yes","no")</f>
        <v>yes</v>
      </c>
      <c r="L4501">
        <f>Tb_data[[#This Row],[workers]]-Tb_data[[#This Row],[previous_workers]]</f>
        <v>49</v>
      </c>
      <c r="M4501" s="12">
        <f>Tb_data[[#This Row],[Employees Growth]]/Tb_data[[#This Row],[previous_workers]]</f>
        <v>0.89090909090909087</v>
      </c>
    </row>
    <row r="4502" spans="1:13" x14ac:dyDescent="0.25">
      <c r="A4502" s="1" t="s">
        <v>8506</v>
      </c>
      <c r="B4502" s="1" t="s">
        <v>8507</v>
      </c>
      <c r="C4502" s="1">
        <v>2900000</v>
      </c>
      <c r="D4502" s="1" t="s">
        <v>41</v>
      </c>
      <c r="E4502">
        <v>73.966300000000004</v>
      </c>
      <c r="F4502" s="1" t="s">
        <v>12</v>
      </c>
      <c r="G4502">
        <v>8</v>
      </c>
      <c r="H4502">
        <v>4</v>
      </c>
      <c r="I4502" s="1" t="s">
        <v>46</v>
      </c>
      <c r="J4502">
        <v>1</v>
      </c>
      <c r="K4502" t="str">
        <f>IF(Tb_data[[#This Row],[previous_workers]]&lt;Tb_data[[#This Row],[workers]],"yes","no")</f>
        <v>yes</v>
      </c>
      <c r="L4502">
        <f>Tb_data[[#This Row],[workers]]-Tb_data[[#This Row],[previous_workers]]</f>
        <v>4</v>
      </c>
      <c r="M4502" s="12">
        <f>Tb_data[[#This Row],[Employees Growth]]/Tb_data[[#This Row],[previous_workers]]</f>
        <v>1</v>
      </c>
    </row>
    <row r="4503" spans="1:13" x14ac:dyDescent="0.25">
      <c r="A4503" s="1" t="s">
        <v>2282</v>
      </c>
      <c r="B4503" s="1" t="s">
        <v>2283</v>
      </c>
      <c r="C4503" s="1">
        <v>4700000</v>
      </c>
      <c r="D4503" s="1" t="s">
        <v>20</v>
      </c>
      <c r="E4503">
        <v>386.87099999999998</v>
      </c>
      <c r="F4503" s="1" t="s">
        <v>30</v>
      </c>
      <c r="G4503">
        <v>12</v>
      </c>
      <c r="H4503">
        <v>3</v>
      </c>
      <c r="I4503" s="1" t="s">
        <v>26</v>
      </c>
      <c r="J4503">
        <v>2</v>
      </c>
      <c r="K4503" t="str">
        <f>IF(Tb_data[[#This Row],[previous_workers]]&lt;Tb_data[[#This Row],[workers]],"yes","no")</f>
        <v>yes</v>
      </c>
      <c r="L4503">
        <f>Tb_data[[#This Row],[workers]]-Tb_data[[#This Row],[previous_workers]]</f>
        <v>9</v>
      </c>
      <c r="M4503" s="12">
        <f>Tb_data[[#This Row],[Employees Growth]]/Tb_data[[#This Row],[previous_workers]]</f>
        <v>3</v>
      </c>
    </row>
    <row r="4504" spans="1:13" x14ac:dyDescent="0.25">
      <c r="A4504" s="1" t="s">
        <v>5698</v>
      </c>
      <c r="B4504" s="1" t="s">
        <v>5699</v>
      </c>
      <c r="C4504" s="1">
        <v>47000000</v>
      </c>
      <c r="D4504" s="1" t="s">
        <v>1002</v>
      </c>
      <c r="E4504">
        <v>134.4324</v>
      </c>
      <c r="F4504" s="1" t="s">
        <v>176</v>
      </c>
      <c r="G4504">
        <v>1982</v>
      </c>
      <c r="H4504">
        <v>824</v>
      </c>
      <c r="I4504" s="1" t="s">
        <v>194</v>
      </c>
      <c r="J4504">
        <v>3</v>
      </c>
      <c r="K4504" t="str">
        <f>IF(Tb_data[[#This Row],[previous_workers]]&lt;Tb_data[[#This Row],[workers]],"yes","no")</f>
        <v>yes</v>
      </c>
      <c r="L4504">
        <f>Tb_data[[#This Row],[workers]]-Tb_data[[#This Row],[previous_workers]]</f>
        <v>1158</v>
      </c>
      <c r="M4504" s="12">
        <f>Tb_data[[#This Row],[Employees Growth]]/Tb_data[[#This Row],[previous_workers]]</f>
        <v>1.4053398058252426</v>
      </c>
    </row>
    <row r="4505" spans="1:13" x14ac:dyDescent="0.25">
      <c r="A4505" s="1" t="s">
        <v>9237</v>
      </c>
      <c r="B4505" s="1" t="s">
        <v>9238</v>
      </c>
      <c r="C4505" s="1">
        <v>3500000</v>
      </c>
      <c r="D4505" s="1" t="s">
        <v>20</v>
      </c>
      <c r="E4505">
        <v>63.713999999999999</v>
      </c>
      <c r="F4505" s="1" t="s">
        <v>100</v>
      </c>
      <c r="G4505">
        <v>7</v>
      </c>
      <c r="H4505">
        <v>5</v>
      </c>
      <c r="I4505" s="1" t="s">
        <v>117</v>
      </c>
      <c r="J4505">
        <v>2</v>
      </c>
      <c r="K4505" t="str">
        <f>IF(Tb_data[[#This Row],[previous_workers]]&lt;Tb_data[[#This Row],[workers]],"yes","no")</f>
        <v>yes</v>
      </c>
      <c r="L4505">
        <f>Tb_data[[#This Row],[workers]]-Tb_data[[#This Row],[previous_workers]]</f>
        <v>2</v>
      </c>
      <c r="M4505" s="12">
        <f>Tb_data[[#This Row],[Employees Growth]]/Tb_data[[#This Row],[previous_workers]]</f>
        <v>0.4</v>
      </c>
    </row>
    <row r="4506" spans="1:13" x14ac:dyDescent="0.25">
      <c r="A4506" s="1" t="s">
        <v>8445</v>
      </c>
      <c r="B4506" s="1" t="s">
        <v>8446</v>
      </c>
      <c r="C4506" s="1">
        <v>4600000</v>
      </c>
      <c r="D4506" s="1" t="s">
        <v>38</v>
      </c>
      <c r="E4506">
        <v>75.026899999999998</v>
      </c>
      <c r="F4506" s="1" t="s">
        <v>12</v>
      </c>
      <c r="G4506">
        <v>33</v>
      </c>
      <c r="H4506">
        <v>25</v>
      </c>
      <c r="I4506" s="1" t="s">
        <v>164</v>
      </c>
      <c r="J4506">
        <v>2</v>
      </c>
      <c r="K4506" t="str">
        <f>IF(Tb_data[[#This Row],[previous_workers]]&lt;Tb_data[[#This Row],[workers]],"yes","no")</f>
        <v>yes</v>
      </c>
      <c r="L4506">
        <f>Tb_data[[#This Row],[workers]]-Tb_data[[#This Row],[previous_workers]]</f>
        <v>8</v>
      </c>
      <c r="M4506" s="12">
        <f>Tb_data[[#This Row],[Employees Growth]]/Tb_data[[#This Row],[previous_workers]]</f>
        <v>0.32</v>
      </c>
    </row>
    <row r="4507" spans="1:13" x14ac:dyDescent="0.25">
      <c r="A4507" s="1" t="s">
        <v>2816</v>
      </c>
      <c r="B4507" s="1" t="s">
        <v>2817</v>
      </c>
      <c r="C4507" s="1">
        <v>4700000</v>
      </c>
      <c r="D4507" s="1" t="s">
        <v>1021</v>
      </c>
      <c r="E4507">
        <v>306.41059999999999</v>
      </c>
      <c r="F4507" s="1" t="s">
        <v>86</v>
      </c>
      <c r="G4507">
        <v>24</v>
      </c>
      <c r="H4507">
        <v>4</v>
      </c>
      <c r="I4507" s="1" t="s">
        <v>117</v>
      </c>
      <c r="J4507">
        <v>2</v>
      </c>
      <c r="K4507" t="str">
        <f>IF(Tb_data[[#This Row],[previous_workers]]&lt;Tb_data[[#This Row],[workers]],"yes","no")</f>
        <v>yes</v>
      </c>
      <c r="L4507">
        <f>Tb_data[[#This Row],[workers]]-Tb_data[[#This Row],[previous_workers]]</f>
        <v>20</v>
      </c>
      <c r="M4507" s="12">
        <f>Tb_data[[#This Row],[Employees Growth]]/Tb_data[[#This Row],[previous_workers]]</f>
        <v>5</v>
      </c>
    </row>
    <row r="4508" spans="1:13" x14ac:dyDescent="0.25">
      <c r="A4508" s="1" t="s">
        <v>8279</v>
      </c>
      <c r="B4508" s="1" t="s">
        <v>8280</v>
      </c>
      <c r="C4508" s="1">
        <v>23300000</v>
      </c>
      <c r="D4508" s="1" t="s">
        <v>79</v>
      </c>
      <c r="E4508">
        <v>78.026799999999994</v>
      </c>
      <c r="F4508" s="1" t="s">
        <v>124</v>
      </c>
      <c r="G4508">
        <v>166</v>
      </c>
      <c r="H4508">
        <v>115</v>
      </c>
      <c r="I4508" s="1" t="s">
        <v>2611</v>
      </c>
      <c r="J4508">
        <v>1</v>
      </c>
      <c r="K4508" t="str">
        <f>IF(Tb_data[[#This Row],[previous_workers]]&lt;Tb_data[[#This Row],[workers]],"yes","no")</f>
        <v>yes</v>
      </c>
      <c r="L4508">
        <f>Tb_data[[#This Row],[workers]]-Tb_data[[#This Row],[previous_workers]]</f>
        <v>51</v>
      </c>
      <c r="M4508" s="12">
        <f>Tb_data[[#This Row],[Employees Growth]]/Tb_data[[#This Row],[previous_workers]]</f>
        <v>0.44347826086956521</v>
      </c>
    </row>
    <row r="4509" spans="1:13" x14ac:dyDescent="0.25">
      <c r="A4509" s="1" t="s">
        <v>6459</v>
      </c>
      <c r="B4509" s="1" t="s">
        <v>6460</v>
      </c>
      <c r="C4509" s="1">
        <v>46100000</v>
      </c>
      <c r="D4509" s="1" t="s">
        <v>49</v>
      </c>
      <c r="E4509">
        <v>115.11490000000001</v>
      </c>
      <c r="F4509" s="1" t="s">
        <v>176</v>
      </c>
      <c r="G4509">
        <v>164</v>
      </c>
      <c r="H4509">
        <v>36</v>
      </c>
      <c r="I4509" s="1" t="s">
        <v>147</v>
      </c>
      <c r="J4509">
        <v>6</v>
      </c>
      <c r="K4509" t="str">
        <f>IF(Tb_data[[#This Row],[previous_workers]]&lt;Tb_data[[#This Row],[workers]],"yes","no")</f>
        <v>yes</v>
      </c>
      <c r="L4509">
        <f>Tb_data[[#This Row],[workers]]-Tb_data[[#This Row],[previous_workers]]</f>
        <v>128</v>
      </c>
      <c r="M4509" s="12">
        <f>Tb_data[[#This Row],[Employees Growth]]/Tb_data[[#This Row],[previous_workers]]</f>
        <v>3.5555555555555554</v>
      </c>
    </row>
    <row r="4510" spans="1:13" x14ac:dyDescent="0.25">
      <c r="A4510" s="1" t="s">
        <v>875</v>
      </c>
      <c r="B4510" s="1" t="s">
        <v>876</v>
      </c>
      <c r="C4510" s="1">
        <v>2800000</v>
      </c>
      <c r="D4510" s="1" t="s">
        <v>16</v>
      </c>
      <c r="E4510">
        <v>1168.2828</v>
      </c>
      <c r="F4510" s="1" t="s">
        <v>152</v>
      </c>
      <c r="G4510">
        <v>12</v>
      </c>
      <c r="H4510">
        <v>2</v>
      </c>
      <c r="I4510" s="1" t="s">
        <v>26</v>
      </c>
      <c r="J4510">
        <v>1</v>
      </c>
      <c r="K4510" t="str">
        <f>IF(Tb_data[[#This Row],[previous_workers]]&lt;Tb_data[[#This Row],[workers]],"yes","no")</f>
        <v>yes</v>
      </c>
      <c r="L4510">
        <f>Tb_data[[#This Row],[workers]]-Tb_data[[#This Row],[previous_workers]]</f>
        <v>10</v>
      </c>
      <c r="M4510" s="12">
        <f>Tb_data[[#This Row],[Employees Growth]]/Tb_data[[#This Row],[previous_workers]]</f>
        <v>5</v>
      </c>
    </row>
    <row r="4511" spans="1:13" x14ac:dyDescent="0.25">
      <c r="A4511" s="1" t="s">
        <v>788</v>
      </c>
      <c r="B4511" s="1" t="s">
        <v>789</v>
      </c>
      <c r="C4511" s="1">
        <v>10400000</v>
      </c>
      <c r="D4511" s="1" t="s">
        <v>58</v>
      </c>
      <c r="E4511">
        <v>1316.5717999999999</v>
      </c>
      <c r="F4511" s="1" t="s">
        <v>25</v>
      </c>
      <c r="G4511">
        <v>18</v>
      </c>
      <c r="H4511">
        <v>4</v>
      </c>
      <c r="I4511" s="1" t="s">
        <v>55</v>
      </c>
      <c r="J4511">
        <v>2</v>
      </c>
      <c r="K4511" t="str">
        <f>IF(Tb_data[[#This Row],[previous_workers]]&lt;Tb_data[[#This Row],[workers]],"yes","no")</f>
        <v>yes</v>
      </c>
      <c r="L4511">
        <f>Tb_data[[#This Row],[workers]]-Tb_data[[#This Row],[previous_workers]]</f>
        <v>14</v>
      </c>
      <c r="M4511" s="12">
        <f>Tb_data[[#This Row],[Employees Growth]]/Tb_data[[#This Row],[previous_workers]]</f>
        <v>3.5</v>
      </c>
    </row>
    <row r="4512" spans="1:13" x14ac:dyDescent="0.25">
      <c r="A4512" s="1" t="s">
        <v>630</v>
      </c>
      <c r="B4512" s="1" t="s">
        <v>631</v>
      </c>
      <c r="C4512" s="1">
        <v>7700000</v>
      </c>
      <c r="D4512" s="1" t="s">
        <v>254</v>
      </c>
      <c r="E4512">
        <v>1621.3485000000001</v>
      </c>
      <c r="F4512" s="1" t="s">
        <v>30</v>
      </c>
      <c r="G4512">
        <v>12</v>
      </c>
      <c r="H4512">
        <v>2</v>
      </c>
      <c r="I4512" s="1" t="s">
        <v>13</v>
      </c>
      <c r="J4512">
        <v>1</v>
      </c>
      <c r="K4512" t="str">
        <f>IF(Tb_data[[#This Row],[previous_workers]]&lt;Tb_data[[#This Row],[workers]],"yes","no")</f>
        <v>yes</v>
      </c>
      <c r="L4512">
        <f>Tb_data[[#This Row],[workers]]-Tb_data[[#This Row],[previous_workers]]</f>
        <v>10</v>
      </c>
      <c r="M4512" s="12">
        <f>Tb_data[[#This Row],[Employees Growth]]/Tb_data[[#This Row],[previous_workers]]</f>
        <v>5</v>
      </c>
    </row>
    <row r="4513" spans="1:13" x14ac:dyDescent="0.25">
      <c r="A4513" s="1" t="s">
        <v>8821</v>
      </c>
      <c r="B4513" s="1" t="s">
        <v>8822</v>
      </c>
      <c r="C4513" s="1">
        <v>2300000</v>
      </c>
      <c r="D4513" s="1" t="s">
        <v>11</v>
      </c>
      <c r="E4513">
        <v>69.039500000000004</v>
      </c>
      <c r="F4513" s="1" t="s">
        <v>25</v>
      </c>
      <c r="G4513">
        <v>25</v>
      </c>
      <c r="H4513">
        <v>4</v>
      </c>
      <c r="I4513" s="1" t="s">
        <v>46</v>
      </c>
      <c r="J4513">
        <v>1</v>
      </c>
      <c r="K4513" t="str">
        <f>IF(Tb_data[[#This Row],[previous_workers]]&lt;Tb_data[[#This Row],[workers]],"yes","no")</f>
        <v>yes</v>
      </c>
      <c r="L4513">
        <f>Tb_data[[#This Row],[workers]]-Tb_data[[#This Row],[previous_workers]]</f>
        <v>21</v>
      </c>
      <c r="M4513" s="12">
        <f>Tb_data[[#This Row],[Employees Growth]]/Tb_data[[#This Row],[previous_workers]]</f>
        <v>5.25</v>
      </c>
    </row>
    <row r="4514" spans="1:13" x14ac:dyDescent="0.25">
      <c r="A4514" s="1" t="s">
        <v>7280</v>
      </c>
      <c r="B4514" s="1" t="s">
        <v>7281</v>
      </c>
      <c r="C4514" s="1">
        <v>3100000</v>
      </c>
      <c r="D4514" s="1" t="s">
        <v>69</v>
      </c>
      <c r="E4514">
        <v>97.392700000000005</v>
      </c>
      <c r="F4514" s="1" t="s">
        <v>12</v>
      </c>
      <c r="G4514">
        <v>25</v>
      </c>
      <c r="H4514">
        <v>6</v>
      </c>
      <c r="I4514" s="1" t="s">
        <v>194</v>
      </c>
      <c r="J4514">
        <v>1</v>
      </c>
      <c r="K4514" t="str">
        <f>IF(Tb_data[[#This Row],[previous_workers]]&lt;Tb_data[[#This Row],[workers]],"yes","no")</f>
        <v>yes</v>
      </c>
      <c r="L4514">
        <f>Tb_data[[#This Row],[workers]]-Tb_data[[#This Row],[previous_workers]]</f>
        <v>19</v>
      </c>
      <c r="M4514" s="12">
        <f>Tb_data[[#This Row],[Employees Growth]]/Tb_data[[#This Row],[previous_workers]]</f>
        <v>3.1666666666666665</v>
      </c>
    </row>
    <row r="4515" spans="1:13" x14ac:dyDescent="0.25">
      <c r="A4515" s="1" t="s">
        <v>4321</v>
      </c>
      <c r="B4515" s="1" t="s">
        <v>4322</v>
      </c>
      <c r="C4515" s="1">
        <v>9500000</v>
      </c>
      <c r="D4515" s="1" t="s">
        <v>254</v>
      </c>
      <c r="E4515">
        <v>190.3466</v>
      </c>
      <c r="F4515" s="1" t="s">
        <v>62</v>
      </c>
      <c r="G4515">
        <v>34</v>
      </c>
      <c r="H4515">
        <v>18</v>
      </c>
      <c r="I4515" s="1" t="s">
        <v>130</v>
      </c>
      <c r="J4515">
        <v>3</v>
      </c>
      <c r="K4515" t="str">
        <f>IF(Tb_data[[#This Row],[previous_workers]]&lt;Tb_data[[#This Row],[workers]],"yes","no")</f>
        <v>yes</v>
      </c>
      <c r="L4515">
        <f>Tb_data[[#This Row],[workers]]-Tb_data[[#This Row],[previous_workers]]</f>
        <v>16</v>
      </c>
      <c r="M4515" s="12">
        <f>Tb_data[[#This Row],[Employees Growth]]/Tb_data[[#This Row],[previous_workers]]</f>
        <v>0.88888888888888884</v>
      </c>
    </row>
    <row r="4516" spans="1:13" x14ac:dyDescent="0.25">
      <c r="A4516" s="1" t="s">
        <v>8494</v>
      </c>
      <c r="B4516" s="1" t="s">
        <v>8495</v>
      </c>
      <c r="C4516" s="1">
        <v>405400000</v>
      </c>
      <c r="D4516" s="1" t="s">
        <v>175</v>
      </c>
      <c r="E4516">
        <v>74.179400000000001</v>
      </c>
      <c r="F4516" s="1" t="s">
        <v>97</v>
      </c>
      <c r="G4516">
        <v>975</v>
      </c>
      <c r="H4516">
        <v>445</v>
      </c>
      <c r="I4516" s="1" t="s">
        <v>229</v>
      </c>
      <c r="J4516">
        <v>13</v>
      </c>
      <c r="K4516" t="str">
        <f>IF(Tb_data[[#This Row],[previous_workers]]&lt;Tb_data[[#This Row],[workers]],"yes","no")</f>
        <v>yes</v>
      </c>
      <c r="L4516">
        <f>Tb_data[[#This Row],[workers]]-Tb_data[[#This Row],[previous_workers]]</f>
        <v>530</v>
      </c>
      <c r="M4516" s="12">
        <f>Tb_data[[#This Row],[Employees Growth]]/Tb_data[[#This Row],[previous_workers]]</f>
        <v>1.1910112359550562</v>
      </c>
    </row>
    <row r="4517" spans="1:13" x14ac:dyDescent="0.25">
      <c r="A4517" s="1" t="s">
        <v>6393</v>
      </c>
      <c r="B4517" s="1" t="s">
        <v>6394</v>
      </c>
      <c r="C4517" s="1">
        <v>5600000</v>
      </c>
      <c r="D4517" s="1" t="s">
        <v>41</v>
      </c>
      <c r="E4517">
        <v>116.4357</v>
      </c>
      <c r="F4517" s="1" t="s">
        <v>12</v>
      </c>
      <c r="G4517">
        <v>13</v>
      </c>
      <c r="H4517">
        <v>7</v>
      </c>
      <c r="I4517" s="1" t="s">
        <v>130</v>
      </c>
      <c r="J4517">
        <v>3</v>
      </c>
      <c r="K4517" t="str">
        <f>IF(Tb_data[[#This Row],[previous_workers]]&lt;Tb_data[[#This Row],[workers]],"yes","no")</f>
        <v>yes</v>
      </c>
      <c r="L4517">
        <f>Tb_data[[#This Row],[workers]]-Tb_data[[#This Row],[previous_workers]]</f>
        <v>6</v>
      </c>
      <c r="M4517" s="12">
        <f>Tb_data[[#This Row],[Employees Growth]]/Tb_data[[#This Row],[previous_workers]]</f>
        <v>0.8571428571428571</v>
      </c>
    </row>
    <row r="4518" spans="1:13" x14ac:dyDescent="0.25">
      <c r="A4518" s="1" t="s">
        <v>1700</v>
      </c>
      <c r="B4518" s="1" t="s">
        <v>1701</v>
      </c>
      <c r="C4518" s="1">
        <v>8400000</v>
      </c>
      <c r="D4518" s="1" t="s">
        <v>49</v>
      </c>
      <c r="E4518">
        <v>538.46</v>
      </c>
      <c r="F4518" s="1" t="s">
        <v>25</v>
      </c>
      <c r="G4518">
        <v>31</v>
      </c>
      <c r="H4518">
        <v>4</v>
      </c>
      <c r="I4518" s="1" t="s">
        <v>130</v>
      </c>
      <c r="J4518">
        <v>1</v>
      </c>
      <c r="K4518" t="str">
        <f>IF(Tb_data[[#This Row],[previous_workers]]&lt;Tb_data[[#This Row],[workers]],"yes","no")</f>
        <v>yes</v>
      </c>
      <c r="L4518">
        <f>Tb_data[[#This Row],[workers]]-Tb_data[[#This Row],[previous_workers]]</f>
        <v>27</v>
      </c>
      <c r="M4518" s="12">
        <f>Tb_data[[#This Row],[Employees Growth]]/Tb_data[[#This Row],[previous_workers]]</f>
        <v>6.75</v>
      </c>
    </row>
    <row r="4519" spans="1:13" x14ac:dyDescent="0.25">
      <c r="A4519" s="1" t="s">
        <v>4533</v>
      </c>
      <c r="B4519" s="1" t="s">
        <v>4534</v>
      </c>
      <c r="C4519" s="1">
        <v>2100000</v>
      </c>
      <c r="D4519" s="1" t="s">
        <v>375</v>
      </c>
      <c r="E4519">
        <v>181.2501</v>
      </c>
      <c r="F4519" s="1" t="s">
        <v>62</v>
      </c>
      <c r="G4519">
        <v>10</v>
      </c>
      <c r="H4519">
        <v>5</v>
      </c>
      <c r="I4519" s="1" t="s">
        <v>117</v>
      </c>
      <c r="J4519">
        <v>2</v>
      </c>
      <c r="K4519" t="str">
        <f>IF(Tb_data[[#This Row],[previous_workers]]&lt;Tb_data[[#This Row],[workers]],"yes","no")</f>
        <v>yes</v>
      </c>
      <c r="L4519">
        <f>Tb_data[[#This Row],[workers]]-Tb_data[[#This Row],[previous_workers]]</f>
        <v>5</v>
      </c>
      <c r="M4519" s="12">
        <f>Tb_data[[#This Row],[Employees Growth]]/Tb_data[[#This Row],[previous_workers]]</f>
        <v>1</v>
      </c>
    </row>
    <row r="4520" spans="1:13" x14ac:dyDescent="0.25">
      <c r="A4520" s="1" t="s">
        <v>3091</v>
      </c>
      <c r="B4520" s="1" t="s">
        <v>3092</v>
      </c>
      <c r="C4520" s="1">
        <v>10300000</v>
      </c>
      <c r="D4520" s="1" t="s">
        <v>115</v>
      </c>
      <c r="E4520">
        <v>277.38679999999999</v>
      </c>
      <c r="F4520" s="1" t="s">
        <v>176</v>
      </c>
      <c r="G4520">
        <v>81</v>
      </c>
      <c r="H4520">
        <v>41</v>
      </c>
      <c r="I4520" s="1" t="s">
        <v>130</v>
      </c>
      <c r="J4520">
        <v>4</v>
      </c>
      <c r="K4520" t="str">
        <f>IF(Tb_data[[#This Row],[previous_workers]]&lt;Tb_data[[#This Row],[workers]],"yes","no")</f>
        <v>yes</v>
      </c>
      <c r="L4520">
        <f>Tb_data[[#This Row],[workers]]-Tb_data[[#This Row],[previous_workers]]</f>
        <v>40</v>
      </c>
      <c r="M4520" s="12">
        <f>Tb_data[[#This Row],[Employees Growth]]/Tb_data[[#This Row],[previous_workers]]</f>
        <v>0.97560975609756095</v>
      </c>
    </row>
    <row r="4521" spans="1:13" x14ac:dyDescent="0.25">
      <c r="A4521" s="1" t="s">
        <v>715</v>
      </c>
      <c r="B4521" s="1" t="s">
        <v>716</v>
      </c>
      <c r="C4521" s="1">
        <v>5300000</v>
      </c>
      <c r="D4521" s="1" t="s">
        <v>49</v>
      </c>
      <c r="E4521">
        <v>1458.0881999999999</v>
      </c>
      <c r="F4521" s="1" t="s">
        <v>25</v>
      </c>
      <c r="G4521">
        <v>15</v>
      </c>
      <c r="H4521">
        <v>4</v>
      </c>
      <c r="I4521" s="1" t="s">
        <v>26</v>
      </c>
      <c r="J4521">
        <v>1</v>
      </c>
      <c r="K4521" t="str">
        <f>IF(Tb_data[[#This Row],[previous_workers]]&lt;Tb_data[[#This Row],[workers]],"yes","no")</f>
        <v>yes</v>
      </c>
      <c r="L4521">
        <f>Tb_data[[#This Row],[workers]]-Tb_data[[#This Row],[previous_workers]]</f>
        <v>11</v>
      </c>
      <c r="M4521" s="12">
        <f>Tb_data[[#This Row],[Employees Growth]]/Tb_data[[#This Row],[previous_workers]]</f>
        <v>2.75</v>
      </c>
    </row>
    <row r="4522" spans="1:13" x14ac:dyDescent="0.25">
      <c r="A4522" s="1" t="s">
        <v>8482</v>
      </c>
      <c r="B4522" s="1" t="s">
        <v>8483</v>
      </c>
      <c r="C4522" s="1">
        <v>4200000</v>
      </c>
      <c r="D4522" s="1" t="s">
        <v>11</v>
      </c>
      <c r="E4522">
        <v>74.334400000000002</v>
      </c>
      <c r="F4522" s="1" t="s">
        <v>34</v>
      </c>
      <c r="G4522">
        <v>250</v>
      </c>
      <c r="H4522">
        <v>150</v>
      </c>
      <c r="I4522" s="1" t="s">
        <v>35</v>
      </c>
      <c r="J4522">
        <v>4</v>
      </c>
      <c r="K4522" t="str">
        <f>IF(Tb_data[[#This Row],[previous_workers]]&lt;Tb_data[[#This Row],[workers]],"yes","no")</f>
        <v>yes</v>
      </c>
      <c r="L4522">
        <f>Tb_data[[#This Row],[workers]]-Tb_data[[#This Row],[previous_workers]]</f>
        <v>100</v>
      </c>
      <c r="M4522" s="12">
        <f>Tb_data[[#This Row],[Employees Growth]]/Tb_data[[#This Row],[previous_workers]]</f>
        <v>0.66666666666666663</v>
      </c>
    </row>
    <row r="4523" spans="1:13" x14ac:dyDescent="0.25">
      <c r="A4523" s="1" t="s">
        <v>283</v>
      </c>
      <c r="B4523" s="1" t="s">
        <v>284</v>
      </c>
      <c r="C4523" s="1">
        <v>11100000</v>
      </c>
      <c r="D4523" s="1" t="s">
        <v>155</v>
      </c>
      <c r="E4523">
        <v>3205.607</v>
      </c>
      <c r="F4523" s="1" t="s">
        <v>86</v>
      </c>
      <c r="G4523">
        <v>180</v>
      </c>
      <c r="H4523">
        <v>12</v>
      </c>
      <c r="I4523" s="1" t="s">
        <v>26</v>
      </c>
      <c r="J4523">
        <v>2</v>
      </c>
      <c r="K4523" t="str">
        <f>IF(Tb_data[[#This Row],[previous_workers]]&lt;Tb_data[[#This Row],[workers]],"yes","no")</f>
        <v>yes</v>
      </c>
      <c r="L4523">
        <f>Tb_data[[#This Row],[workers]]-Tb_data[[#This Row],[previous_workers]]</f>
        <v>168</v>
      </c>
      <c r="M4523" s="12">
        <f>Tb_data[[#This Row],[Employees Growth]]/Tb_data[[#This Row],[previous_workers]]</f>
        <v>14</v>
      </c>
    </row>
    <row r="4524" spans="1:13" x14ac:dyDescent="0.25">
      <c r="A4524" s="1" t="s">
        <v>9489</v>
      </c>
      <c r="B4524" s="1" t="s">
        <v>9490</v>
      </c>
      <c r="C4524" s="1">
        <v>3800000</v>
      </c>
      <c r="D4524" s="1" t="s">
        <v>38</v>
      </c>
      <c r="E4524">
        <v>60.4373</v>
      </c>
      <c r="F4524" s="1" t="s">
        <v>176</v>
      </c>
      <c r="G4524">
        <v>100</v>
      </c>
      <c r="H4524">
        <v>50</v>
      </c>
      <c r="I4524" s="1" t="s">
        <v>948</v>
      </c>
      <c r="J4524">
        <v>3</v>
      </c>
      <c r="K4524" t="str">
        <f>IF(Tb_data[[#This Row],[previous_workers]]&lt;Tb_data[[#This Row],[workers]],"yes","no")</f>
        <v>yes</v>
      </c>
      <c r="L4524">
        <f>Tb_data[[#This Row],[workers]]-Tb_data[[#This Row],[previous_workers]]</f>
        <v>50</v>
      </c>
      <c r="M4524" s="12">
        <f>Tb_data[[#This Row],[Employees Growth]]/Tb_data[[#This Row],[previous_workers]]</f>
        <v>1</v>
      </c>
    </row>
    <row r="4525" spans="1:13" x14ac:dyDescent="0.25">
      <c r="A4525" s="1" t="s">
        <v>9313</v>
      </c>
      <c r="B4525" s="1" t="s">
        <v>9314</v>
      </c>
      <c r="C4525" s="1">
        <v>3600000000</v>
      </c>
      <c r="D4525" s="1" t="s">
        <v>45</v>
      </c>
      <c r="E4525">
        <v>62.646799999999999</v>
      </c>
      <c r="F4525" s="1" t="s">
        <v>17</v>
      </c>
      <c r="G4525">
        <v>5493</v>
      </c>
      <c r="H4525">
        <v>3791</v>
      </c>
      <c r="I4525" s="1" t="s">
        <v>2628</v>
      </c>
      <c r="J4525">
        <v>14</v>
      </c>
      <c r="K4525" t="str">
        <f>IF(Tb_data[[#This Row],[previous_workers]]&lt;Tb_data[[#This Row],[workers]],"yes","no")</f>
        <v>yes</v>
      </c>
      <c r="L4525">
        <f>Tb_data[[#This Row],[workers]]-Tb_data[[#This Row],[previous_workers]]</f>
        <v>1702</v>
      </c>
      <c r="M4525" s="12">
        <f>Tb_data[[#This Row],[Employees Growth]]/Tb_data[[#This Row],[previous_workers]]</f>
        <v>0.44895805855974674</v>
      </c>
    </row>
    <row r="4526" spans="1:13" x14ac:dyDescent="0.25">
      <c r="A4526" s="1" t="s">
        <v>3215</v>
      </c>
      <c r="B4526" s="1" t="s">
        <v>3216</v>
      </c>
      <c r="C4526" s="1">
        <v>28400000</v>
      </c>
      <c r="D4526" s="1" t="s">
        <v>69</v>
      </c>
      <c r="E4526">
        <v>267.75659999999999</v>
      </c>
      <c r="F4526" s="1" t="s">
        <v>156</v>
      </c>
      <c r="G4526">
        <v>94</v>
      </c>
      <c r="H4526">
        <v>27</v>
      </c>
      <c r="I4526" s="1" t="s">
        <v>295</v>
      </c>
      <c r="J4526">
        <v>3</v>
      </c>
      <c r="K4526" t="str">
        <f>IF(Tb_data[[#This Row],[previous_workers]]&lt;Tb_data[[#This Row],[workers]],"yes","no")</f>
        <v>yes</v>
      </c>
      <c r="L4526">
        <f>Tb_data[[#This Row],[workers]]-Tb_data[[#This Row],[previous_workers]]</f>
        <v>67</v>
      </c>
      <c r="M4526" s="12">
        <f>Tb_data[[#This Row],[Employees Growth]]/Tb_data[[#This Row],[previous_workers]]</f>
        <v>2.4814814814814814</v>
      </c>
    </row>
    <row r="4527" spans="1:13" x14ac:dyDescent="0.25">
      <c r="A4527" s="1" t="s">
        <v>2414</v>
      </c>
      <c r="B4527" s="1" t="s">
        <v>2415</v>
      </c>
      <c r="C4527" s="1">
        <v>33700000</v>
      </c>
      <c r="D4527" s="1" t="s">
        <v>49</v>
      </c>
      <c r="E4527">
        <v>360.50310000000002</v>
      </c>
      <c r="F4527" s="1" t="s">
        <v>82</v>
      </c>
      <c r="G4527">
        <v>78</v>
      </c>
      <c r="H4527">
        <v>6</v>
      </c>
      <c r="I4527" s="1" t="s">
        <v>164</v>
      </c>
      <c r="J4527">
        <v>2</v>
      </c>
      <c r="K4527" t="str">
        <f>IF(Tb_data[[#This Row],[previous_workers]]&lt;Tb_data[[#This Row],[workers]],"yes","no")</f>
        <v>yes</v>
      </c>
      <c r="L4527">
        <f>Tb_data[[#This Row],[workers]]-Tb_data[[#This Row],[previous_workers]]</f>
        <v>72</v>
      </c>
      <c r="M4527" s="12">
        <f>Tb_data[[#This Row],[Employees Growth]]/Tb_data[[#This Row],[previous_workers]]</f>
        <v>12</v>
      </c>
    </row>
    <row r="4528" spans="1:13" x14ac:dyDescent="0.25">
      <c r="A4528" s="1" t="s">
        <v>9371</v>
      </c>
      <c r="B4528" s="1" t="s">
        <v>9372</v>
      </c>
      <c r="C4528" s="1">
        <v>9200000</v>
      </c>
      <c r="D4528" s="1" t="s">
        <v>52</v>
      </c>
      <c r="E4528">
        <v>61.863700000000001</v>
      </c>
      <c r="F4528" s="1" t="s">
        <v>176</v>
      </c>
      <c r="G4528">
        <v>44</v>
      </c>
      <c r="H4528">
        <v>22</v>
      </c>
      <c r="I4528" s="1" t="s">
        <v>980</v>
      </c>
      <c r="J4528">
        <v>5</v>
      </c>
      <c r="K4528" t="str">
        <f>IF(Tb_data[[#This Row],[previous_workers]]&lt;Tb_data[[#This Row],[workers]],"yes","no")</f>
        <v>yes</v>
      </c>
      <c r="L4528">
        <f>Tb_data[[#This Row],[workers]]-Tb_data[[#This Row],[previous_workers]]</f>
        <v>22</v>
      </c>
      <c r="M4528" s="12">
        <f>Tb_data[[#This Row],[Employees Growth]]/Tb_data[[#This Row],[previous_workers]]</f>
        <v>1</v>
      </c>
    </row>
    <row r="4529" spans="1:13" x14ac:dyDescent="0.25">
      <c r="A4529" s="1" t="s">
        <v>5594</v>
      </c>
      <c r="B4529" s="1" t="s">
        <v>5595</v>
      </c>
      <c r="C4529" s="1">
        <v>44300000</v>
      </c>
      <c r="D4529" s="1" t="s">
        <v>45</v>
      </c>
      <c r="E4529">
        <v>138.41929999999999</v>
      </c>
      <c r="F4529" s="1" t="s">
        <v>25</v>
      </c>
      <c r="G4529">
        <v>87</v>
      </c>
      <c r="H4529">
        <v>90</v>
      </c>
      <c r="I4529" s="1" t="s">
        <v>1411</v>
      </c>
      <c r="J4529">
        <v>1</v>
      </c>
      <c r="K4529" t="str">
        <f>IF(Tb_data[[#This Row],[previous_workers]]&lt;Tb_data[[#This Row],[workers]],"yes","no")</f>
        <v>no</v>
      </c>
      <c r="L4529">
        <f>Tb_data[[#This Row],[workers]]-Tb_data[[#This Row],[previous_workers]]</f>
        <v>-3</v>
      </c>
      <c r="M4529" s="12">
        <f>Tb_data[[#This Row],[Employees Growth]]/Tb_data[[#This Row],[previous_workers]]</f>
        <v>-3.3333333333333333E-2</v>
      </c>
    </row>
    <row r="4530" spans="1:13" x14ac:dyDescent="0.25">
      <c r="A4530" s="1" t="s">
        <v>2577</v>
      </c>
      <c r="B4530" s="1" t="s">
        <v>2578</v>
      </c>
      <c r="C4530" s="1">
        <v>5300000</v>
      </c>
      <c r="D4530" s="1" t="s">
        <v>49</v>
      </c>
      <c r="E4530">
        <v>333.97789999999998</v>
      </c>
      <c r="F4530" s="1" t="s">
        <v>25</v>
      </c>
      <c r="G4530">
        <v>16</v>
      </c>
      <c r="H4530">
        <v>3</v>
      </c>
      <c r="I4530" s="1" t="s">
        <v>130</v>
      </c>
      <c r="J4530">
        <v>1</v>
      </c>
      <c r="K4530" t="str">
        <f>IF(Tb_data[[#This Row],[previous_workers]]&lt;Tb_data[[#This Row],[workers]],"yes","no")</f>
        <v>yes</v>
      </c>
      <c r="L4530">
        <f>Tb_data[[#This Row],[workers]]-Tb_data[[#This Row],[previous_workers]]</f>
        <v>13</v>
      </c>
      <c r="M4530" s="12">
        <f>Tb_data[[#This Row],[Employees Growth]]/Tb_data[[#This Row],[previous_workers]]</f>
        <v>4.333333333333333</v>
      </c>
    </row>
    <row r="4531" spans="1:13" x14ac:dyDescent="0.25">
      <c r="A4531" s="1" t="s">
        <v>2290</v>
      </c>
      <c r="B4531" s="1" t="s">
        <v>2291</v>
      </c>
      <c r="C4531" s="1">
        <v>2500000</v>
      </c>
      <c r="D4531" s="1" t="s">
        <v>123</v>
      </c>
      <c r="E4531">
        <v>385.75299999999999</v>
      </c>
      <c r="F4531" s="1" t="s">
        <v>176</v>
      </c>
      <c r="G4531">
        <v>13</v>
      </c>
      <c r="H4531">
        <v>10</v>
      </c>
      <c r="I4531" s="1" t="s">
        <v>35</v>
      </c>
      <c r="J4531">
        <v>1</v>
      </c>
      <c r="K4531" t="str">
        <f>IF(Tb_data[[#This Row],[previous_workers]]&lt;Tb_data[[#This Row],[workers]],"yes","no")</f>
        <v>yes</v>
      </c>
      <c r="L4531">
        <f>Tb_data[[#This Row],[workers]]-Tb_data[[#This Row],[previous_workers]]</f>
        <v>3</v>
      </c>
      <c r="M4531" s="12">
        <f>Tb_data[[#This Row],[Employees Growth]]/Tb_data[[#This Row],[previous_workers]]</f>
        <v>0.3</v>
      </c>
    </row>
    <row r="4532" spans="1:13" x14ac:dyDescent="0.25">
      <c r="A4532" s="1" t="s">
        <v>7341</v>
      </c>
      <c r="B4532" s="1" t="s">
        <v>7342</v>
      </c>
      <c r="C4532" s="1">
        <v>23700000</v>
      </c>
      <c r="D4532" s="1" t="s">
        <v>20</v>
      </c>
      <c r="E4532">
        <v>96.351699999999994</v>
      </c>
      <c r="F4532" s="1" t="s">
        <v>62</v>
      </c>
      <c r="G4532">
        <v>163</v>
      </c>
      <c r="H4532">
        <v>80</v>
      </c>
      <c r="I4532" s="1" t="s">
        <v>35</v>
      </c>
      <c r="J4532">
        <v>4</v>
      </c>
      <c r="K4532" t="str">
        <f>IF(Tb_data[[#This Row],[previous_workers]]&lt;Tb_data[[#This Row],[workers]],"yes","no")</f>
        <v>yes</v>
      </c>
      <c r="L4532">
        <f>Tb_data[[#This Row],[workers]]-Tb_data[[#This Row],[previous_workers]]</f>
        <v>83</v>
      </c>
      <c r="M4532" s="12">
        <f>Tb_data[[#This Row],[Employees Growth]]/Tb_data[[#This Row],[previous_workers]]</f>
        <v>1.0375000000000001</v>
      </c>
    </row>
    <row r="4533" spans="1:13" x14ac:dyDescent="0.25">
      <c r="A4533" s="1" t="s">
        <v>8596</v>
      </c>
      <c r="B4533" s="1" t="s">
        <v>8597</v>
      </c>
      <c r="C4533" s="1">
        <v>2000000</v>
      </c>
      <c r="D4533" s="1" t="s">
        <v>236</v>
      </c>
      <c r="E4533">
        <v>72.471100000000007</v>
      </c>
      <c r="F4533" s="1" t="s">
        <v>42</v>
      </c>
      <c r="G4533">
        <v>15</v>
      </c>
      <c r="H4533">
        <v>6</v>
      </c>
      <c r="I4533" s="1" t="s">
        <v>4054</v>
      </c>
      <c r="J4533">
        <v>1</v>
      </c>
      <c r="K4533" t="str">
        <f>IF(Tb_data[[#This Row],[previous_workers]]&lt;Tb_data[[#This Row],[workers]],"yes","no")</f>
        <v>yes</v>
      </c>
      <c r="L4533">
        <f>Tb_data[[#This Row],[workers]]-Tb_data[[#This Row],[previous_workers]]</f>
        <v>9</v>
      </c>
      <c r="M4533" s="12">
        <f>Tb_data[[#This Row],[Employees Growth]]/Tb_data[[#This Row],[previous_workers]]</f>
        <v>1.5</v>
      </c>
    </row>
    <row r="4534" spans="1:13" x14ac:dyDescent="0.25">
      <c r="A4534" s="1" t="s">
        <v>8813</v>
      </c>
      <c r="B4534" s="1" t="s">
        <v>8814</v>
      </c>
      <c r="C4534" s="1">
        <v>6600000</v>
      </c>
      <c r="D4534" s="1" t="s">
        <v>45</v>
      </c>
      <c r="E4534">
        <v>69.271699999999996</v>
      </c>
      <c r="F4534" s="1" t="s">
        <v>176</v>
      </c>
      <c r="G4534">
        <v>41</v>
      </c>
      <c r="H4534">
        <v>23</v>
      </c>
      <c r="I4534" s="1" t="s">
        <v>35</v>
      </c>
      <c r="J4534">
        <v>3</v>
      </c>
      <c r="K4534" t="str">
        <f>IF(Tb_data[[#This Row],[previous_workers]]&lt;Tb_data[[#This Row],[workers]],"yes","no")</f>
        <v>yes</v>
      </c>
      <c r="L4534">
        <f>Tb_data[[#This Row],[workers]]-Tb_data[[#This Row],[previous_workers]]</f>
        <v>18</v>
      </c>
      <c r="M4534" s="12">
        <f>Tb_data[[#This Row],[Employees Growth]]/Tb_data[[#This Row],[previous_workers]]</f>
        <v>0.78260869565217395</v>
      </c>
    </row>
    <row r="4535" spans="1:13" x14ac:dyDescent="0.25">
      <c r="A4535" s="1" t="s">
        <v>6337</v>
      </c>
      <c r="B4535" s="1" t="s">
        <v>6338</v>
      </c>
      <c r="C4535" s="1">
        <v>5300000</v>
      </c>
      <c r="D4535" s="1" t="s">
        <v>254</v>
      </c>
      <c r="E4535">
        <v>117.7283</v>
      </c>
      <c r="F4535" s="1" t="s">
        <v>124</v>
      </c>
      <c r="G4535">
        <v>30</v>
      </c>
      <c r="H4535">
        <v>14</v>
      </c>
      <c r="I4535" s="1" t="s">
        <v>46</v>
      </c>
      <c r="J4535">
        <v>1</v>
      </c>
      <c r="K4535" t="str">
        <f>IF(Tb_data[[#This Row],[previous_workers]]&lt;Tb_data[[#This Row],[workers]],"yes","no")</f>
        <v>yes</v>
      </c>
      <c r="L4535">
        <f>Tb_data[[#This Row],[workers]]-Tb_data[[#This Row],[previous_workers]]</f>
        <v>16</v>
      </c>
      <c r="M4535" s="12">
        <f>Tb_data[[#This Row],[Employees Growth]]/Tb_data[[#This Row],[previous_workers]]</f>
        <v>1.1428571428571428</v>
      </c>
    </row>
    <row r="4536" spans="1:13" x14ac:dyDescent="0.25">
      <c r="A4536" s="1" t="s">
        <v>7272</v>
      </c>
      <c r="B4536" s="1" t="s">
        <v>7273</v>
      </c>
      <c r="C4536" s="1">
        <v>5500000</v>
      </c>
      <c r="D4536" s="1" t="s">
        <v>49</v>
      </c>
      <c r="E4536">
        <v>97.490300000000005</v>
      </c>
      <c r="F4536" s="1" t="s">
        <v>97</v>
      </c>
      <c r="G4536">
        <v>38</v>
      </c>
      <c r="H4536">
        <v>19</v>
      </c>
      <c r="I4536" s="1" t="s">
        <v>117</v>
      </c>
      <c r="J4536">
        <v>5</v>
      </c>
      <c r="K4536" t="str">
        <f>IF(Tb_data[[#This Row],[previous_workers]]&lt;Tb_data[[#This Row],[workers]],"yes","no")</f>
        <v>yes</v>
      </c>
      <c r="L4536">
        <f>Tb_data[[#This Row],[workers]]-Tb_data[[#This Row],[previous_workers]]</f>
        <v>19</v>
      </c>
      <c r="M4536" s="12">
        <f>Tb_data[[#This Row],[Employees Growth]]/Tb_data[[#This Row],[previous_workers]]</f>
        <v>1</v>
      </c>
    </row>
    <row r="4537" spans="1:13" x14ac:dyDescent="0.25">
      <c r="A4537" s="1" t="s">
        <v>1304</v>
      </c>
      <c r="B4537" s="1" t="s">
        <v>1305</v>
      </c>
      <c r="C4537" s="1">
        <v>2400000</v>
      </c>
      <c r="D4537" s="1" t="s">
        <v>61</v>
      </c>
      <c r="E4537">
        <v>736.8569</v>
      </c>
      <c r="F4537" s="1" t="s">
        <v>12</v>
      </c>
      <c r="G4537">
        <v>2</v>
      </c>
      <c r="H4537">
        <v>1</v>
      </c>
      <c r="I4537" s="1" t="s">
        <v>117</v>
      </c>
      <c r="J4537">
        <v>1</v>
      </c>
      <c r="K4537" t="str">
        <f>IF(Tb_data[[#This Row],[previous_workers]]&lt;Tb_data[[#This Row],[workers]],"yes","no")</f>
        <v>yes</v>
      </c>
      <c r="L4537">
        <f>Tb_data[[#This Row],[workers]]-Tb_data[[#This Row],[previous_workers]]</f>
        <v>1</v>
      </c>
      <c r="M4537" s="12">
        <f>Tb_data[[#This Row],[Employees Growth]]/Tb_data[[#This Row],[previous_workers]]</f>
        <v>1</v>
      </c>
    </row>
    <row r="4538" spans="1:13" x14ac:dyDescent="0.25">
      <c r="A4538" s="1" t="s">
        <v>3988</v>
      </c>
      <c r="B4538" s="1" t="s">
        <v>3989</v>
      </c>
      <c r="C4538" s="1">
        <v>7000000</v>
      </c>
      <c r="D4538" s="1" t="s">
        <v>49</v>
      </c>
      <c r="E4538">
        <v>207.41499999999999</v>
      </c>
      <c r="F4538" s="1" t="s">
        <v>86</v>
      </c>
      <c r="G4538">
        <v>22</v>
      </c>
      <c r="H4538">
        <v>8</v>
      </c>
      <c r="I4538" s="1" t="s">
        <v>948</v>
      </c>
      <c r="J4538">
        <v>3</v>
      </c>
      <c r="K4538" t="str">
        <f>IF(Tb_data[[#This Row],[previous_workers]]&lt;Tb_data[[#This Row],[workers]],"yes","no")</f>
        <v>yes</v>
      </c>
      <c r="L4538">
        <f>Tb_data[[#This Row],[workers]]-Tb_data[[#This Row],[previous_workers]]</f>
        <v>14</v>
      </c>
      <c r="M4538" s="12">
        <f>Tb_data[[#This Row],[Employees Growth]]/Tb_data[[#This Row],[previous_workers]]</f>
        <v>1.75</v>
      </c>
    </row>
    <row r="4539" spans="1:13" x14ac:dyDescent="0.25">
      <c r="A4539" s="1" t="s">
        <v>7475</v>
      </c>
      <c r="B4539" s="1" t="s">
        <v>7476</v>
      </c>
      <c r="C4539" s="1">
        <v>2500000</v>
      </c>
      <c r="D4539" s="1" t="s">
        <v>61</v>
      </c>
      <c r="E4539">
        <v>93.754400000000004</v>
      </c>
      <c r="F4539" s="1" t="s">
        <v>25</v>
      </c>
      <c r="G4539">
        <v>13</v>
      </c>
      <c r="H4539">
        <v>3</v>
      </c>
      <c r="I4539" s="1" t="s">
        <v>130</v>
      </c>
      <c r="J4539">
        <v>1</v>
      </c>
      <c r="K4539" t="str">
        <f>IF(Tb_data[[#This Row],[previous_workers]]&lt;Tb_data[[#This Row],[workers]],"yes","no")</f>
        <v>yes</v>
      </c>
      <c r="L4539">
        <f>Tb_data[[#This Row],[workers]]-Tb_data[[#This Row],[previous_workers]]</f>
        <v>10</v>
      </c>
      <c r="M4539" s="12">
        <f>Tb_data[[#This Row],[Employees Growth]]/Tb_data[[#This Row],[previous_workers]]</f>
        <v>3.3333333333333335</v>
      </c>
    </row>
    <row r="4540" spans="1:13" x14ac:dyDescent="0.25">
      <c r="A4540" s="1" t="s">
        <v>8600</v>
      </c>
      <c r="B4540" s="1" t="s">
        <v>8601</v>
      </c>
      <c r="C4540" s="1">
        <v>28800000</v>
      </c>
      <c r="D4540" s="1" t="s">
        <v>41</v>
      </c>
      <c r="E4540">
        <v>72.446299999999994</v>
      </c>
      <c r="F4540" s="1" t="s">
        <v>176</v>
      </c>
      <c r="G4540">
        <v>161</v>
      </c>
      <c r="H4540">
        <v>116</v>
      </c>
      <c r="I4540" s="1" t="s">
        <v>3426</v>
      </c>
      <c r="J4540">
        <v>2</v>
      </c>
      <c r="K4540" t="str">
        <f>IF(Tb_data[[#This Row],[previous_workers]]&lt;Tb_data[[#This Row],[workers]],"yes","no")</f>
        <v>yes</v>
      </c>
      <c r="L4540">
        <f>Tb_data[[#This Row],[workers]]-Tb_data[[#This Row],[previous_workers]]</f>
        <v>45</v>
      </c>
      <c r="M4540" s="12">
        <f>Tb_data[[#This Row],[Employees Growth]]/Tb_data[[#This Row],[previous_workers]]</f>
        <v>0.38793103448275862</v>
      </c>
    </row>
    <row r="4541" spans="1:13" x14ac:dyDescent="0.25">
      <c r="A4541" s="1" t="s">
        <v>195</v>
      </c>
      <c r="B4541" s="1" t="s">
        <v>196</v>
      </c>
      <c r="C4541" s="1">
        <v>5800000</v>
      </c>
      <c r="D4541" s="1" t="s">
        <v>115</v>
      </c>
      <c r="E4541">
        <v>4430.1379999999999</v>
      </c>
      <c r="F4541" s="1" t="s">
        <v>86</v>
      </c>
      <c r="G4541">
        <v>28</v>
      </c>
      <c r="H4541">
        <v>3</v>
      </c>
      <c r="I4541" s="1" t="s">
        <v>26</v>
      </c>
      <c r="J4541">
        <v>1</v>
      </c>
      <c r="K4541" t="str">
        <f>IF(Tb_data[[#This Row],[previous_workers]]&lt;Tb_data[[#This Row],[workers]],"yes","no")</f>
        <v>yes</v>
      </c>
      <c r="L4541">
        <f>Tb_data[[#This Row],[workers]]-Tb_data[[#This Row],[previous_workers]]</f>
        <v>25</v>
      </c>
      <c r="M4541" s="12">
        <f>Tb_data[[#This Row],[Employees Growth]]/Tb_data[[#This Row],[previous_workers]]</f>
        <v>8.3333333333333339</v>
      </c>
    </row>
    <row r="4542" spans="1:13" x14ac:dyDescent="0.25">
      <c r="A4542" s="1" t="s">
        <v>9195</v>
      </c>
      <c r="B4542" s="1" t="s">
        <v>9196</v>
      </c>
      <c r="C4542" s="1">
        <v>17800000</v>
      </c>
      <c r="D4542" s="1" t="s">
        <v>254</v>
      </c>
      <c r="E4542">
        <v>64.138900000000007</v>
      </c>
      <c r="F4542" s="1" t="s">
        <v>176</v>
      </c>
      <c r="G4542">
        <v>49</v>
      </c>
      <c r="H4542">
        <v>40</v>
      </c>
      <c r="I4542" s="1" t="s">
        <v>372</v>
      </c>
      <c r="J4542">
        <v>1</v>
      </c>
      <c r="K4542" t="str">
        <f>IF(Tb_data[[#This Row],[previous_workers]]&lt;Tb_data[[#This Row],[workers]],"yes","no")</f>
        <v>yes</v>
      </c>
      <c r="L4542">
        <f>Tb_data[[#This Row],[workers]]-Tb_data[[#This Row],[previous_workers]]</f>
        <v>9</v>
      </c>
      <c r="M4542" s="12">
        <f>Tb_data[[#This Row],[Employees Growth]]/Tb_data[[#This Row],[previous_workers]]</f>
        <v>0.22500000000000001</v>
      </c>
    </row>
    <row r="4543" spans="1:13" x14ac:dyDescent="0.25">
      <c r="A4543" s="1" t="s">
        <v>3777</v>
      </c>
      <c r="B4543" s="1" t="s">
        <v>3778</v>
      </c>
      <c r="C4543" s="1">
        <v>47000000</v>
      </c>
      <c r="D4543" s="1" t="s">
        <v>20</v>
      </c>
      <c r="E4543">
        <v>223.16159999999999</v>
      </c>
      <c r="F4543" s="1" t="s">
        <v>34</v>
      </c>
      <c r="G4543">
        <v>400</v>
      </c>
      <c r="H4543">
        <v>140</v>
      </c>
      <c r="I4543" s="1" t="s">
        <v>35</v>
      </c>
      <c r="J4543">
        <v>1</v>
      </c>
      <c r="K4543" t="str">
        <f>IF(Tb_data[[#This Row],[previous_workers]]&lt;Tb_data[[#This Row],[workers]],"yes","no")</f>
        <v>yes</v>
      </c>
      <c r="L4543">
        <f>Tb_data[[#This Row],[workers]]-Tb_data[[#This Row],[previous_workers]]</f>
        <v>260</v>
      </c>
      <c r="M4543" s="12">
        <f>Tb_data[[#This Row],[Employees Growth]]/Tb_data[[#This Row],[previous_workers]]</f>
        <v>1.8571428571428572</v>
      </c>
    </row>
    <row r="4544" spans="1:13" x14ac:dyDescent="0.25">
      <c r="A4544" s="1" t="s">
        <v>9758</v>
      </c>
      <c r="B4544" s="1" t="s">
        <v>9759</v>
      </c>
      <c r="C4544" s="1">
        <v>20700000</v>
      </c>
      <c r="D4544" s="1" t="s">
        <v>29</v>
      </c>
      <c r="E4544">
        <v>57.204000000000001</v>
      </c>
      <c r="F4544" s="1" t="s">
        <v>514</v>
      </c>
      <c r="G4544">
        <v>150</v>
      </c>
      <c r="H4544">
        <v>95</v>
      </c>
      <c r="I4544" s="1" t="s">
        <v>1657</v>
      </c>
      <c r="J4544">
        <v>5</v>
      </c>
      <c r="K4544" t="str">
        <f>IF(Tb_data[[#This Row],[previous_workers]]&lt;Tb_data[[#This Row],[workers]],"yes","no")</f>
        <v>yes</v>
      </c>
      <c r="L4544">
        <f>Tb_data[[#This Row],[workers]]-Tb_data[[#This Row],[previous_workers]]</f>
        <v>55</v>
      </c>
      <c r="M4544" s="12">
        <f>Tb_data[[#This Row],[Employees Growth]]/Tb_data[[#This Row],[previous_workers]]</f>
        <v>0.57894736842105265</v>
      </c>
    </row>
    <row r="4545" spans="1:13" x14ac:dyDescent="0.25">
      <c r="A4545" s="1" t="s">
        <v>7683</v>
      </c>
      <c r="B4545" s="1" t="s">
        <v>7684</v>
      </c>
      <c r="C4545" s="1">
        <v>19900000</v>
      </c>
      <c r="D4545" s="1" t="s">
        <v>29</v>
      </c>
      <c r="E4545">
        <v>88.279399999999995</v>
      </c>
      <c r="F4545" s="1" t="s">
        <v>112</v>
      </c>
      <c r="G4545">
        <v>35</v>
      </c>
      <c r="H4545">
        <v>31</v>
      </c>
      <c r="I4545" s="1" t="s">
        <v>229</v>
      </c>
      <c r="J4545">
        <v>4</v>
      </c>
      <c r="K4545" t="str">
        <f>IF(Tb_data[[#This Row],[previous_workers]]&lt;Tb_data[[#This Row],[workers]],"yes","no")</f>
        <v>yes</v>
      </c>
      <c r="L4545">
        <f>Tb_data[[#This Row],[workers]]-Tb_data[[#This Row],[previous_workers]]</f>
        <v>4</v>
      </c>
      <c r="M4545" s="12">
        <f>Tb_data[[#This Row],[Employees Growth]]/Tb_data[[#This Row],[previous_workers]]</f>
        <v>0.12903225806451613</v>
      </c>
    </row>
    <row r="4546" spans="1:13" x14ac:dyDescent="0.25">
      <c r="A4546" s="1" t="s">
        <v>987</v>
      </c>
      <c r="B4546" s="1" t="s">
        <v>988</v>
      </c>
      <c r="C4546" s="1">
        <v>3000000</v>
      </c>
      <c r="D4546" s="1" t="s">
        <v>895</v>
      </c>
      <c r="E4546">
        <v>1021.1287</v>
      </c>
      <c r="F4546" s="1" t="s">
        <v>12</v>
      </c>
      <c r="G4546">
        <v>45</v>
      </c>
      <c r="H4546">
        <v>4</v>
      </c>
      <c r="I4546" s="1" t="s">
        <v>55</v>
      </c>
      <c r="J4546">
        <v>1</v>
      </c>
      <c r="K4546" t="str">
        <f>IF(Tb_data[[#This Row],[previous_workers]]&lt;Tb_data[[#This Row],[workers]],"yes","no")</f>
        <v>yes</v>
      </c>
      <c r="L4546">
        <f>Tb_data[[#This Row],[workers]]-Tb_data[[#This Row],[previous_workers]]</f>
        <v>41</v>
      </c>
      <c r="M4546" s="12">
        <f>Tb_data[[#This Row],[Employees Growth]]/Tb_data[[#This Row],[previous_workers]]</f>
        <v>10.25</v>
      </c>
    </row>
    <row r="4547" spans="1:13" x14ac:dyDescent="0.25">
      <c r="A4547" s="1" t="s">
        <v>1294</v>
      </c>
      <c r="B4547" s="1" t="s">
        <v>1295</v>
      </c>
      <c r="C4547" s="1">
        <v>14900000</v>
      </c>
      <c r="D4547" s="1" t="s">
        <v>91</v>
      </c>
      <c r="E4547">
        <v>743.58489999999995</v>
      </c>
      <c r="F4547" s="1" t="s">
        <v>25</v>
      </c>
      <c r="G4547">
        <v>39</v>
      </c>
      <c r="H4547">
        <v>9</v>
      </c>
      <c r="I4547" s="1" t="s">
        <v>55</v>
      </c>
      <c r="J4547">
        <v>2</v>
      </c>
      <c r="K4547" t="str">
        <f>IF(Tb_data[[#This Row],[previous_workers]]&lt;Tb_data[[#This Row],[workers]],"yes","no")</f>
        <v>yes</v>
      </c>
      <c r="L4547">
        <f>Tb_data[[#This Row],[workers]]-Tb_data[[#This Row],[previous_workers]]</f>
        <v>30</v>
      </c>
      <c r="M4547" s="12">
        <f>Tb_data[[#This Row],[Employees Growth]]/Tb_data[[#This Row],[previous_workers]]</f>
        <v>3.3333333333333335</v>
      </c>
    </row>
    <row r="4548" spans="1:13" x14ac:dyDescent="0.25">
      <c r="A4548" s="1" t="s">
        <v>7571</v>
      </c>
      <c r="B4548" s="1" t="s">
        <v>7572</v>
      </c>
      <c r="C4548" s="1">
        <v>4000000</v>
      </c>
      <c r="D4548" s="1" t="s">
        <v>58</v>
      </c>
      <c r="E4548">
        <v>91.061099999999996</v>
      </c>
      <c r="F4548" s="1" t="s">
        <v>34</v>
      </c>
      <c r="G4548">
        <v>22</v>
      </c>
      <c r="H4548">
        <v>15</v>
      </c>
      <c r="I4548" s="1" t="s">
        <v>130</v>
      </c>
      <c r="J4548">
        <v>1</v>
      </c>
      <c r="K4548" t="str">
        <f>IF(Tb_data[[#This Row],[previous_workers]]&lt;Tb_data[[#This Row],[workers]],"yes","no")</f>
        <v>yes</v>
      </c>
      <c r="L4548">
        <f>Tb_data[[#This Row],[workers]]-Tb_data[[#This Row],[previous_workers]]</f>
        <v>7</v>
      </c>
      <c r="M4548" s="12">
        <f>Tb_data[[#This Row],[Employees Growth]]/Tb_data[[#This Row],[previous_workers]]</f>
        <v>0.46666666666666667</v>
      </c>
    </row>
    <row r="4549" spans="1:13" x14ac:dyDescent="0.25">
      <c r="A4549" s="1" t="s">
        <v>551</v>
      </c>
      <c r="B4549" s="1" t="s">
        <v>552</v>
      </c>
      <c r="C4549" s="1">
        <v>120500000</v>
      </c>
      <c r="D4549" s="1" t="s">
        <v>49</v>
      </c>
      <c r="E4549">
        <v>1795.6922</v>
      </c>
      <c r="F4549" s="1" t="s">
        <v>17</v>
      </c>
      <c r="G4549">
        <v>22</v>
      </c>
      <c r="H4549">
        <v>2</v>
      </c>
      <c r="I4549" s="1" t="s">
        <v>13</v>
      </c>
      <c r="J4549">
        <v>1</v>
      </c>
      <c r="K4549" t="str">
        <f>IF(Tb_data[[#This Row],[previous_workers]]&lt;Tb_data[[#This Row],[workers]],"yes","no")</f>
        <v>yes</v>
      </c>
      <c r="L4549">
        <f>Tb_data[[#This Row],[workers]]-Tb_data[[#This Row],[previous_workers]]</f>
        <v>20</v>
      </c>
      <c r="M4549" s="12">
        <f>Tb_data[[#This Row],[Employees Growth]]/Tb_data[[#This Row],[previous_workers]]</f>
        <v>10</v>
      </c>
    </row>
    <row r="4550" spans="1:13" x14ac:dyDescent="0.25">
      <c r="A4550" s="1" t="s">
        <v>583</v>
      </c>
      <c r="B4550" s="1" t="s">
        <v>584</v>
      </c>
      <c r="C4550" s="1">
        <v>8300000</v>
      </c>
      <c r="D4550" s="1" t="s">
        <v>11</v>
      </c>
      <c r="E4550">
        <v>1713.4616000000001</v>
      </c>
      <c r="F4550" s="1" t="s">
        <v>152</v>
      </c>
      <c r="G4550">
        <v>275</v>
      </c>
      <c r="H4550">
        <v>35</v>
      </c>
      <c r="I4550" s="1" t="s">
        <v>26</v>
      </c>
      <c r="J4550">
        <v>1</v>
      </c>
      <c r="K4550" t="str">
        <f>IF(Tb_data[[#This Row],[previous_workers]]&lt;Tb_data[[#This Row],[workers]],"yes","no")</f>
        <v>yes</v>
      </c>
      <c r="L4550">
        <f>Tb_data[[#This Row],[workers]]-Tb_data[[#This Row],[previous_workers]]</f>
        <v>240</v>
      </c>
      <c r="M4550" s="12">
        <f>Tb_data[[#This Row],[Employees Growth]]/Tb_data[[#This Row],[previous_workers]]</f>
        <v>6.8571428571428568</v>
      </c>
    </row>
    <row r="4551" spans="1:13" x14ac:dyDescent="0.25">
      <c r="A4551" s="1" t="s">
        <v>1108</v>
      </c>
      <c r="B4551" s="1" t="s">
        <v>1109</v>
      </c>
      <c r="C4551" s="1">
        <v>8500000</v>
      </c>
      <c r="D4551" s="1" t="s">
        <v>773</v>
      </c>
      <c r="E4551">
        <v>864.79470000000003</v>
      </c>
      <c r="F4551" s="1" t="s">
        <v>12</v>
      </c>
      <c r="G4551">
        <v>30</v>
      </c>
      <c r="H4551">
        <v>10</v>
      </c>
      <c r="I4551" s="1" t="s">
        <v>13</v>
      </c>
      <c r="J4551">
        <v>1</v>
      </c>
      <c r="K4551" t="str">
        <f>IF(Tb_data[[#This Row],[previous_workers]]&lt;Tb_data[[#This Row],[workers]],"yes","no")</f>
        <v>yes</v>
      </c>
      <c r="L4551">
        <f>Tb_data[[#This Row],[workers]]-Tb_data[[#This Row],[previous_workers]]</f>
        <v>20</v>
      </c>
      <c r="M4551" s="12">
        <f>Tb_data[[#This Row],[Employees Growth]]/Tb_data[[#This Row],[previous_workers]]</f>
        <v>2</v>
      </c>
    </row>
    <row r="4552" spans="1:13" x14ac:dyDescent="0.25">
      <c r="A4552" s="1" t="s">
        <v>7018</v>
      </c>
      <c r="B4552" s="1" t="s">
        <v>7019</v>
      </c>
      <c r="C4552" s="1">
        <v>16100000</v>
      </c>
      <c r="D4552" s="1" t="s">
        <v>129</v>
      </c>
      <c r="E4552">
        <v>101.6439</v>
      </c>
      <c r="F4552" s="1" t="s">
        <v>176</v>
      </c>
      <c r="G4552">
        <v>750</v>
      </c>
      <c r="H4552">
        <v>502</v>
      </c>
      <c r="I4552" s="1" t="s">
        <v>35</v>
      </c>
      <c r="J4552">
        <v>5</v>
      </c>
      <c r="K4552" t="str">
        <f>IF(Tb_data[[#This Row],[previous_workers]]&lt;Tb_data[[#This Row],[workers]],"yes","no")</f>
        <v>yes</v>
      </c>
      <c r="L4552">
        <f>Tb_data[[#This Row],[workers]]-Tb_data[[#This Row],[previous_workers]]</f>
        <v>248</v>
      </c>
      <c r="M4552" s="12">
        <f>Tb_data[[#This Row],[Employees Growth]]/Tb_data[[#This Row],[previous_workers]]</f>
        <v>0.49402390438247012</v>
      </c>
    </row>
    <row r="4553" spans="1:13" x14ac:dyDescent="0.25">
      <c r="A4553" s="1" t="s">
        <v>9223</v>
      </c>
      <c r="B4553" s="1" t="s">
        <v>9224</v>
      </c>
      <c r="C4553" s="1">
        <v>16700000</v>
      </c>
      <c r="D4553" s="1" t="s">
        <v>155</v>
      </c>
      <c r="E4553">
        <v>63.8643</v>
      </c>
      <c r="F4553" s="1" t="s">
        <v>17</v>
      </c>
      <c r="G4553">
        <v>10</v>
      </c>
      <c r="H4553">
        <v>8</v>
      </c>
      <c r="I4553" s="1" t="s">
        <v>3426</v>
      </c>
      <c r="J4553">
        <v>3</v>
      </c>
      <c r="K4553" t="str">
        <f>IF(Tb_data[[#This Row],[previous_workers]]&lt;Tb_data[[#This Row],[workers]],"yes","no")</f>
        <v>yes</v>
      </c>
      <c r="L4553">
        <f>Tb_data[[#This Row],[workers]]-Tb_data[[#This Row],[previous_workers]]</f>
        <v>2</v>
      </c>
      <c r="M4553" s="12">
        <f>Tb_data[[#This Row],[Employees Growth]]/Tb_data[[#This Row],[previous_workers]]</f>
        <v>0.25</v>
      </c>
    </row>
    <row r="4554" spans="1:13" x14ac:dyDescent="0.25">
      <c r="A4554" s="1" t="s">
        <v>9676</v>
      </c>
      <c r="B4554" s="1" t="s">
        <v>9677</v>
      </c>
      <c r="C4554" s="1">
        <v>27700000</v>
      </c>
      <c r="D4554" s="1" t="s">
        <v>45</v>
      </c>
      <c r="E4554">
        <v>58.254399999999997</v>
      </c>
      <c r="F4554" s="1" t="s">
        <v>17</v>
      </c>
      <c r="G4554">
        <v>73</v>
      </c>
      <c r="H4554">
        <v>42</v>
      </c>
      <c r="I4554" s="1" t="s">
        <v>2840</v>
      </c>
      <c r="J4554">
        <v>2</v>
      </c>
      <c r="K4554" t="str">
        <f>IF(Tb_data[[#This Row],[previous_workers]]&lt;Tb_data[[#This Row],[workers]],"yes","no")</f>
        <v>yes</v>
      </c>
      <c r="L4554">
        <f>Tb_data[[#This Row],[workers]]-Tb_data[[#This Row],[previous_workers]]</f>
        <v>31</v>
      </c>
      <c r="M4554" s="12">
        <f>Tb_data[[#This Row],[Employees Growth]]/Tb_data[[#This Row],[previous_workers]]</f>
        <v>0.73809523809523814</v>
      </c>
    </row>
    <row r="4555" spans="1:13" x14ac:dyDescent="0.25">
      <c r="A4555" s="1" t="s">
        <v>5804</v>
      </c>
      <c r="B4555" s="1" t="s">
        <v>5805</v>
      </c>
      <c r="C4555" s="1">
        <v>12800000</v>
      </c>
      <c r="D4555" s="1" t="s">
        <v>175</v>
      </c>
      <c r="E4555">
        <v>131.24510000000001</v>
      </c>
      <c r="F4555" s="1" t="s">
        <v>17</v>
      </c>
      <c r="G4555">
        <v>14</v>
      </c>
      <c r="H4555">
        <v>6</v>
      </c>
      <c r="I4555" s="1" t="s">
        <v>948</v>
      </c>
      <c r="J4555">
        <v>1</v>
      </c>
      <c r="K4555" t="str">
        <f>IF(Tb_data[[#This Row],[previous_workers]]&lt;Tb_data[[#This Row],[workers]],"yes","no")</f>
        <v>yes</v>
      </c>
      <c r="L4555">
        <f>Tb_data[[#This Row],[workers]]-Tb_data[[#This Row],[previous_workers]]</f>
        <v>8</v>
      </c>
      <c r="M4555" s="12">
        <f>Tb_data[[#This Row],[Employees Growth]]/Tb_data[[#This Row],[previous_workers]]</f>
        <v>1.3333333333333333</v>
      </c>
    </row>
    <row r="4556" spans="1:13" x14ac:dyDescent="0.25">
      <c r="A4556" s="1" t="s">
        <v>5602</v>
      </c>
      <c r="B4556" s="1" t="s">
        <v>5603</v>
      </c>
      <c r="C4556" s="1">
        <v>24500000</v>
      </c>
      <c r="D4556" s="1" t="s">
        <v>115</v>
      </c>
      <c r="E4556">
        <v>138.21639999999999</v>
      </c>
      <c r="F4556" s="1" t="s">
        <v>17</v>
      </c>
      <c r="G4556">
        <v>58</v>
      </c>
      <c r="H4556">
        <v>23</v>
      </c>
      <c r="I4556" s="1" t="s">
        <v>46</v>
      </c>
      <c r="J4556">
        <v>7</v>
      </c>
      <c r="K4556" t="str">
        <f>IF(Tb_data[[#This Row],[previous_workers]]&lt;Tb_data[[#This Row],[workers]],"yes","no")</f>
        <v>yes</v>
      </c>
      <c r="L4556">
        <f>Tb_data[[#This Row],[workers]]-Tb_data[[#This Row],[previous_workers]]</f>
        <v>35</v>
      </c>
      <c r="M4556" s="12">
        <f>Tb_data[[#This Row],[Employees Growth]]/Tb_data[[#This Row],[previous_workers]]</f>
        <v>1.5217391304347827</v>
      </c>
    </row>
    <row r="4557" spans="1:13" x14ac:dyDescent="0.25">
      <c r="A4557" s="1" t="s">
        <v>7286</v>
      </c>
      <c r="B4557" s="1" t="s">
        <v>7287</v>
      </c>
      <c r="C4557" s="1">
        <v>2300000000</v>
      </c>
      <c r="D4557" s="1" t="s">
        <v>115</v>
      </c>
      <c r="E4557">
        <v>97.267200000000003</v>
      </c>
      <c r="F4557" s="1" t="s">
        <v>17</v>
      </c>
      <c r="G4557">
        <v>486</v>
      </c>
      <c r="H4557">
        <v>378</v>
      </c>
      <c r="I4557" s="1" t="s">
        <v>372</v>
      </c>
      <c r="J4557">
        <v>12</v>
      </c>
      <c r="K4557" t="str">
        <f>IF(Tb_data[[#This Row],[previous_workers]]&lt;Tb_data[[#This Row],[workers]],"yes","no")</f>
        <v>yes</v>
      </c>
      <c r="L4557">
        <f>Tb_data[[#This Row],[workers]]-Tb_data[[#This Row],[previous_workers]]</f>
        <v>108</v>
      </c>
      <c r="M4557" s="12">
        <f>Tb_data[[#This Row],[Employees Growth]]/Tb_data[[#This Row],[previous_workers]]</f>
        <v>0.2857142857142857</v>
      </c>
    </row>
    <row r="4558" spans="1:13" x14ac:dyDescent="0.25">
      <c r="A4558" s="1" t="s">
        <v>4497</v>
      </c>
      <c r="B4558" s="1" t="s">
        <v>4498</v>
      </c>
      <c r="C4558" s="1">
        <v>39700000</v>
      </c>
      <c r="D4558" s="1" t="s">
        <v>254</v>
      </c>
      <c r="E4558">
        <v>182.5908</v>
      </c>
      <c r="F4558" s="1" t="s">
        <v>17</v>
      </c>
      <c r="G4558">
        <v>50</v>
      </c>
      <c r="H4558">
        <v>20</v>
      </c>
      <c r="I4558" s="1" t="s">
        <v>117</v>
      </c>
      <c r="J4558">
        <v>6</v>
      </c>
      <c r="K4558" t="str">
        <f>IF(Tb_data[[#This Row],[previous_workers]]&lt;Tb_data[[#This Row],[workers]],"yes","no")</f>
        <v>yes</v>
      </c>
      <c r="L4558">
        <f>Tb_data[[#This Row],[workers]]-Tb_data[[#This Row],[previous_workers]]</f>
        <v>30</v>
      </c>
      <c r="M4558" s="12">
        <f>Tb_data[[#This Row],[Employees Growth]]/Tb_data[[#This Row],[previous_workers]]</f>
        <v>1.5</v>
      </c>
    </row>
    <row r="4559" spans="1:13" x14ac:dyDescent="0.25">
      <c r="A4559" s="1" t="s">
        <v>1560</v>
      </c>
      <c r="B4559" s="1" t="s">
        <v>1561</v>
      </c>
      <c r="C4559" s="1">
        <v>3500000</v>
      </c>
      <c r="D4559" s="1" t="s">
        <v>52</v>
      </c>
      <c r="E4559">
        <v>601.67399999999998</v>
      </c>
      <c r="F4559" s="1" t="s">
        <v>62</v>
      </c>
      <c r="G4559">
        <v>17</v>
      </c>
      <c r="H4559">
        <v>4</v>
      </c>
      <c r="I4559" s="1" t="s">
        <v>55</v>
      </c>
      <c r="J4559">
        <v>2</v>
      </c>
      <c r="K4559" t="str">
        <f>IF(Tb_data[[#This Row],[previous_workers]]&lt;Tb_data[[#This Row],[workers]],"yes","no")</f>
        <v>yes</v>
      </c>
      <c r="L4559">
        <f>Tb_data[[#This Row],[workers]]-Tb_data[[#This Row],[previous_workers]]</f>
        <v>13</v>
      </c>
      <c r="M4559" s="12">
        <f>Tb_data[[#This Row],[Employees Growth]]/Tb_data[[#This Row],[previous_workers]]</f>
        <v>3.25</v>
      </c>
    </row>
    <row r="4560" spans="1:13" x14ac:dyDescent="0.25">
      <c r="A4560" s="1" t="s">
        <v>7777</v>
      </c>
      <c r="B4560" s="1" t="s">
        <v>7778</v>
      </c>
      <c r="C4560" s="1">
        <v>13000000</v>
      </c>
      <c r="D4560" s="1" t="s">
        <v>11</v>
      </c>
      <c r="E4560">
        <v>86.685599999999994</v>
      </c>
      <c r="F4560" s="1" t="s">
        <v>156</v>
      </c>
      <c r="G4560">
        <v>75</v>
      </c>
      <c r="H4560">
        <v>60</v>
      </c>
      <c r="I4560" s="1" t="s">
        <v>194</v>
      </c>
      <c r="J4560">
        <v>6</v>
      </c>
      <c r="K4560" t="str">
        <f>IF(Tb_data[[#This Row],[previous_workers]]&lt;Tb_data[[#This Row],[workers]],"yes","no")</f>
        <v>yes</v>
      </c>
      <c r="L4560">
        <f>Tb_data[[#This Row],[workers]]-Tb_data[[#This Row],[previous_workers]]</f>
        <v>15</v>
      </c>
      <c r="M4560" s="12">
        <f>Tb_data[[#This Row],[Employees Growth]]/Tb_data[[#This Row],[previous_workers]]</f>
        <v>0.25</v>
      </c>
    </row>
    <row r="4561" spans="1:13" x14ac:dyDescent="0.25">
      <c r="A4561" s="1" t="s">
        <v>2030</v>
      </c>
      <c r="B4561" s="1" t="s">
        <v>2031</v>
      </c>
      <c r="C4561" s="1">
        <v>3800000</v>
      </c>
      <c r="D4561" s="1" t="s">
        <v>33</v>
      </c>
      <c r="E4561">
        <v>442.0521</v>
      </c>
      <c r="F4561" s="1" t="s">
        <v>169</v>
      </c>
      <c r="G4561">
        <v>195</v>
      </c>
      <c r="H4561">
        <v>31</v>
      </c>
      <c r="I4561" s="1" t="s">
        <v>55</v>
      </c>
      <c r="J4561">
        <v>2</v>
      </c>
      <c r="K4561" t="str">
        <f>IF(Tb_data[[#This Row],[previous_workers]]&lt;Tb_data[[#This Row],[workers]],"yes","no")</f>
        <v>yes</v>
      </c>
      <c r="L4561">
        <f>Tb_data[[#This Row],[workers]]-Tb_data[[#This Row],[previous_workers]]</f>
        <v>164</v>
      </c>
      <c r="M4561" s="12">
        <f>Tb_data[[#This Row],[Employees Growth]]/Tb_data[[#This Row],[previous_workers]]</f>
        <v>5.290322580645161</v>
      </c>
    </row>
    <row r="4562" spans="1:13" x14ac:dyDescent="0.25">
      <c r="A4562" s="1" t="s">
        <v>4521</v>
      </c>
      <c r="B4562" s="1" t="s">
        <v>4522</v>
      </c>
      <c r="C4562" s="1">
        <v>3300000</v>
      </c>
      <c r="D4562" s="1" t="s">
        <v>61</v>
      </c>
      <c r="E4562">
        <v>181.59110000000001</v>
      </c>
      <c r="F4562" s="1" t="s">
        <v>142</v>
      </c>
      <c r="G4562">
        <v>15</v>
      </c>
      <c r="H4562">
        <v>2</v>
      </c>
      <c r="I4562" s="1" t="s">
        <v>130</v>
      </c>
      <c r="J4562">
        <v>1</v>
      </c>
      <c r="K4562" t="str">
        <f>IF(Tb_data[[#This Row],[previous_workers]]&lt;Tb_data[[#This Row],[workers]],"yes","no")</f>
        <v>yes</v>
      </c>
      <c r="L4562">
        <f>Tb_data[[#This Row],[workers]]-Tb_data[[#This Row],[previous_workers]]</f>
        <v>13</v>
      </c>
      <c r="M4562" s="12">
        <f>Tb_data[[#This Row],[Employees Growth]]/Tb_data[[#This Row],[previous_workers]]</f>
        <v>6.5</v>
      </c>
    </row>
    <row r="4563" spans="1:13" x14ac:dyDescent="0.25">
      <c r="A4563" s="1" t="s">
        <v>3571</v>
      </c>
      <c r="B4563" s="1" t="s">
        <v>3572</v>
      </c>
      <c r="C4563" s="1">
        <v>7500000</v>
      </c>
      <c r="D4563" s="1" t="s">
        <v>33</v>
      </c>
      <c r="E4563">
        <v>236.37979999999999</v>
      </c>
      <c r="F4563" s="1" t="s">
        <v>142</v>
      </c>
      <c r="G4563">
        <v>35</v>
      </c>
      <c r="H4563">
        <v>25</v>
      </c>
      <c r="I4563" s="1" t="s">
        <v>55</v>
      </c>
      <c r="J4563">
        <v>3</v>
      </c>
      <c r="K4563" t="str">
        <f>IF(Tb_data[[#This Row],[previous_workers]]&lt;Tb_data[[#This Row],[workers]],"yes","no")</f>
        <v>yes</v>
      </c>
      <c r="L4563">
        <f>Tb_data[[#This Row],[workers]]-Tb_data[[#This Row],[previous_workers]]</f>
        <v>10</v>
      </c>
      <c r="M4563" s="12">
        <f>Tb_data[[#This Row],[Employees Growth]]/Tb_data[[#This Row],[previous_workers]]</f>
        <v>0.4</v>
      </c>
    </row>
    <row r="4564" spans="1:13" x14ac:dyDescent="0.25">
      <c r="A4564" s="1" t="s">
        <v>2126</v>
      </c>
      <c r="B4564" s="1" t="s">
        <v>2127</v>
      </c>
      <c r="C4564" s="1">
        <v>18800000</v>
      </c>
      <c r="D4564" s="1" t="s">
        <v>49</v>
      </c>
      <c r="E4564">
        <v>419.16379999999998</v>
      </c>
      <c r="F4564" s="1" t="s">
        <v>176</v>
      </c>
      <c r="G4564">
        <v>381</v>
      </c>
      <c r="H4564">
        <v>76</v>
      </c>
      <c r="I4564" s="1" t="s">
        <v>130</v>
      </c>
      <c r="J4564">
        <v>4</v>
      </c>
      <c r="K4564" t="str">
        <f>IF(Tb_data[[#This Row],[previous_workers]]&lt;Tb_data[[#This Row],[workers]],"yes","no")</f>
        <v>yes</v>
      </c>
      <c r="L4564">
        <f>Tb_data[[#This Row],[workers]]-Tb_data[[#This Row],[previous_workers]]</f>
        <v>305</v>
      </c>
      <c r="M4564" s="12">
        <f>Tb_data[[#This Row],[Employees Growth]]/Tb_data[[#This Row],[previous_workers]]</f>
        <v>4.0131578947368425</v>
      </c>
    </row>
    <row r="4565" spans="1:13" x14ac:dyDescent="0.25">
      <c r="A4565" s="1" t="s">
        <v>8959</v>
      </c>
      <c r="B4565" s="1" t="s">
        <v>8960</v>
      </c>
      <c r="C4565" s="1">
        <v>7500000</v>
      </c>
      <c r="D4565" s="1" t="s">
        <v>11</v>
      </c>
      <c r="E4565">
        <v>67.192999999999998</v>
      </c>
      <c r="F4565" s="1" t="s">
        <v>176</v>
      </c>
      <c r="G4565">
        <v>122</v>
      </c>
      <c r="H4565">
        <v>74</v>
      </c>
      <c r="I4565" s="1" t="s">
        <v>130</v>
      </c>
      <c r="J4565">
        <v>3</v>
      </c>
      <c r="K4565" t="str">
        <f>IF(Tb_data[[#This Row],[previous_workers]]&lt;Tb_data[[#This Row],[workers]],"yes","no")</f>
        <v>yes</v>
      </c>
      <c r="L4565">
        <f>Tb_data[[#This Row],[workers]]-Tb_data[[#This Row],[previous_workers]]</f>
        <v>48</v>
      </c>
      <c r="M4565" s="12">
        <f>Tb_data[[#This Row],[Employees Growth]]/Tb_data[[#This Row],[previous_workers]]</f>
        <v>0.64864864864864868</v>
      </c>
    </row>
    <row r="4566" spans="1:13" x14ac:dyDescent="0.25">
      <c r="A4566" s="1" t="s">
        <v>1787</v>
      </c>
      <c r="B4566" s="1" t="s">
        <v>1788</v>
      </c>
      <c r="C4566" s="1">
        <v>3100000</v>
      </c>
      <c r="D4566" s="1" t="s">
        <v>179</v>
      </c>
      <c r="E4566">
        <v>503.86970000000002</v>
      </c>
      <c r="F4566" s="1" t="s">
        <v>135</v>
      </c>
      <c r="G4566">
        <v>51</v>
      </c>
      <c r="H4566">
        <v>8</v>
      </c>
      <c r="I4566" s="1" t="s">
        <v>130</v>
      </c>
      <c r="J4566">
        <v>1</v>
      </c>
      <c r="K4566" t="str">
        <f>IF(Tb_data[[#This Row],[previous_workers]]&lt;Tb_data[[#This Row],[workers]],"yes","no")</f>
        <v>yes</v>
      </c>
      <c r="L4566">
        <f>Tb_data[[#This Row],[workers]]-Tb_data[[#This Row],[previous_workers]]</f>
        <v>43</v>
      </c>
      <c r="M4566" s="12">
        <f>Tb_data[[#This Row],[Employees Growth]]/Tb_data[[#This Row],[previous_workers]]</f>
        <v>5.375</v>
      </c>
    </row>
    <row r="4567" spans="1:13" x14ac:dyDescent="0.25">
      <c r="A4567" s="1" t="s">
        <v>4313</v>
      </c>
      <c r="B4567" s="1" t="s">
        <v>4314</v>
      </c>
      <c r="C4567" s="1">
        <v>42400000</v>
      </c>
      <c r="D4567" s="1" t="s">
        <v>20</v>
      </c>
      <c r="E4567">
        <v>190.86269999999999</v>
      </c>
      <c r="F4567" s="1" t="s">
        <v>161</v>
      </c>
      <c r="G4567">
        <v>716</v>
      </c>
      <c r="H4567">
        <v>515</v>
      </c>
      <c r="I4567" s="1" t="s">
        <v>2628</v>
      </c>
      <c r="J4567">
        <v>4</v>
      </c>
      <c r="K4567" t="str">
        <f>IF(Tb_data[[#This Row],[previous_workers]]&lt;Tb_data[[#This Row],[workers]],"yes","no")</f>
        <v>yes</v>
      </c>
      <c r="L4567">
        <f>Tb_data[[#This Row],[workers]]-Tb_data[[#This Row],[previous_workers]]</f>
        <v>201</v>
      </c>
      <c r="M4567" s="12">
        <f>Tb_data[[#This Row],[Employees Growth]]/Tb_data[[#This Row],[previous_workers]]</f>
        <v>0.39029126213592236</v>
      </c>
    </row>
    <row r="4568" spans="1:13" x14ac:dyDescent="0.25">
      <c r="A4568" s="1" t="s">
        <v>3597</v>
      </c>
      <c r="B4568" s="1" t="s">
        <v>3598</v>
      </c>
      <c r="C4568" s="1">
        <v>3700000</v>
      </c>
      <c r="D4568" s="1" t="s">
        <v>61</v>
      </c>
      <c r="E4568">
        <v>234.2509</v>
      </c>
      <c r="F4568" s="1" t="s">
        <v>25</v>
      </c>
      <c r="G4568">
        <v>5</v>
      </c>
      <c r="H4568">
        <v>1</v>
      </c>
      <c r="I4568" s="1" t="s">
        <v>35</v>
      </c>
      <c r="J4568">
        <v>1</v>
      </c>
      <c r="K4568" t="str">
        <f>IF(Tb_data[[#This Row],[previous_workers]]&lt;Tb_data[[#This Row],[workers]],"yes","no")</f>
        <v>yes</v>
      </c>
      <c r="L4568">
        <f>Tb_data[[#This Row],[workers]]-Tb_data[[#This Row],[previous_workers]]</f>
        <v>4</v>
      </c>
      <c r="M4568" s="12">
        <f>Tb_data[[#This Row],[Employees Growth]]/Tb_data[[#This Row],[previous_workers]]</f>
        <v>4</v>
      </c>
    </row>
    <row r="4569" spans="1:13" x14ac:dyDescent="0.25">
      <c r="A4569" s="1" t="s">
        <v>3585</v>
      </c>
      <c r="B4569" s="1" t="s">
        <v>3586</v>
      </c>
      <c r="C4569" s="1">
        <v>18400000</v>
      </c>
      <c r="D4569" s="1" t="s">
        <v>115</v>
      </c>
      <c r="E4569">
        <v>234.99629999999999</v>
      </c>
      <c r="F4569" s="1" t="s">
        <v>86</v>
      </c>
      <c r="G4569">
        <v>28</v>
      </c>
      <c r="H4569">
        <v>31</v>
      </c>
      <c r="I4569" s="1" t="s">
        <v>164</v>
      </c>
      <c r="J4569">
        <v>4</v>
      </c>
      <c r="K4569" t="str">
        <f>IF(Tb_data[[#This Row],[previous_workers]]&lt;Tb_data[[#This Row],[workers]],"yes","no")</f>
        <v>no</v>
      </c>
      <c r="L4569">
        <f>Tb_data[[#This Row],[workers]]-Tb_data[[#This Row],[previous_workers]]</f>
        <v>-3</v>
      </c>
      <c r="M4569" s="12">
        <f>Tb_data[[#This Row],[Employees Growth]]/Tb_data[[#This Row],[previous_workers]]</f>
        <v>-9.6774193548387094E-2</v>
      </c>
    </row>
    <row r="4570" spans="1:13" x14ac:dyDescent="0.25">
      <c r="A4570" s="1" t="s">
        <v>628</v>
      </c>
      <c r="B4570" s="1" t="s">
        <v>629</v>
      </c>
      <c r="C4570" s="1">
        <v>259400000</v>
      </c>
      <c r="D4570" s="1" t="s">
        <v>129</v>
      </c>
      <c r="E4570">
        <v>1621.7206000000001</v>
      </c>
      <c r="F4570" s="1" t="s">
        <v>97</v>
      </c>
      <c r="G4570">
        <v>231</v>
      </c>
      <c r="H4570">
        <v>175</v>
      </c>
      <c r="I4570" s="1" t="s">
        <v>372</v>
      </c>
      <c r="J4570">
        <v>4</v>
      </c>
      <c r="K4570" t="str">
        <f>IF(Tb_data[[#This Row],[previous_workers]]&lt;Tb_data[[#This Row],[workers]],"yes","no")</f>
        <v>yes</v>
      </c>
      <c r="L4570">
        <f>Tb_data[[#This Row],[workers]]-Tb_data[[#This Row],[previous_workers]]</f>
        <v>56</v>
      </c>
      <c r="M4570" s="12">
        <f>Tb_data[[#This Row],[Employees Growth]]/Tb_data[[#This Row],[previous_workers]]</f>
        <v>0.32</v>
      </c>
    </row>
    <row r="4571" spans="1:13" x14ac:dyDescent="0.25">
      <c r="A4571" s="1" t="s">
        <v>9968</v>
      </c>
      <c r="B4571" s="1" t="s">
        <v>9969</v>
      </c>
      <c r="C4571" s="1">
        <v>24400000</v>
      </c>
      <c r="D4571" s="1" t="s">
        <v>69</v>
      </c>
      <c r="E4571">
        <v>54.047199999999997</v>
      </c>
      <c r="F4571" s="1" t="s">
        <v>3264</v>
      </c>
      <c r="G4571">
        <v>118</v>
      </c>
      <c r="H4571">
        <v>73</v>
      </c>
      <c r="I4571" s="1" t="s">
        <v>194</v>
      </c>
      <c r="J4571">
        <v>1</v>
      </c>
      <c r="K4571" t="str">
        <f>IF(Tb_data[[#This Row],[previous_workers]]&lt;Tb_data[[#This Row],[workers]],"yes","no")</f>
        <v>yes</v>
      </c>
      <c r="L4571">
        <f>Tb_data[[#This Row],[workers]]-Tb_data[[#This Row],[previous_workers]]</f>
        <v>45</v>
      </c>
      <c r="M4571" s="12">
        <f>Tb_data[[#This Row],[Employees Growth]]/Tb_data[[#This Row],[previous_workers]]</f>
        <v>0.61643835616438358</v>
      </c>
    </row>
    <row r="4572" spans="1:13" x14ac:dyDescent="0.25">
      <c r="A4572" s="1" t="s">
        <v>6259</v>
      </c>
      <c r="B4572" s="1" t="s">
        <v>6260</v>
      </c>
      <c r="C4572" s="1">
        <v>7700000</v>
      </c>
      <c r="D4572" s="1" t="s">
        <v>61</v>
      </c>
      <c r="E4572">
        <v>120.1814</v>
      </c>
      <c r="F4572" s="1" t="s">
        <v>42</v>
      </c>
      <c r="G4572">
        <v>21</v>
      </c>
      <c r="H4572">
        <v>13</v>
      </c>
      <c r="I4572" s="1" t="s">
        <v>35</v>
      </c>
      <c r="J4572">
        <v>1</v>
      </c>
      <c r="K4572" t="str">
        <f>IF(Tb_data[[#This Row],[previous_workers]]&lt;Tb_data[[#This Row],[workers]],"yes","no")</f>
        <v>yes</v>
      </c>
      <c r="L4572">
        <f>Tb_data[[#This Row],[workers]]-Tb_data[[#This Row],[previous_workers]]</f>
        <v>8</v>
      </c>
      <c r="M4572" s="12">
        <f>Tb_data[[#This Row],[Employees Growth]]/Tb_data[[#This Row],[previous_workers]]</f>
        <v>0.61538461538461542</v>
      </c>
    </row>
    <row r="4573" spans="1:13" x14ac:dyDescent="0.25">
      <c r="A4573" s="1" t="s">
        <v>3431</v>
      </c>
      <c r="B4573" s="1" t="s">
        <v>3432</v>
      </c>
      <c r="C4573" s="1">
        <v>11100000</v>
      </c>
      <c r="D4573" s="1" t="s">
        <v>422</v>
      </c>
      <c r="E4573">
        <v>248.22839999999999</v>
      </c>
      <c r="F4573" s="1" t="s">
        <v>124</v>
      </c>
      <c r="G4573">
        <v>46</v>
      </c>
      <c r="H4573">
        <v>27</v>
      </c>
      <c r="I4573" s="1" t="s">
        <v>164</v>
      </c>
      <c r="J4573">
        <v>1</v>
      </c>
      <c r="K4573" t="str">
        <f>IF(Tb_data[[#This Row],[previous_workers]]&lt;Tb_data[[#This Row],[workers]],"yes","no")</f>
        <v>yes</v>
      </c>
      <c r="L4573">
        <f>Tb_data[[#This Row],[workers]]-Tb_data[[#This Row],[previous_workers]]</f>
        <v>19</v>
      </c>
      <c r="M4573" s="12">
        <f>Tb_data[[#This Row],[Employees Growth]]/Tb_data[[#This Row],[previous_workers]]</f>
        <v>0.70370370370370372</v>
      </c>
    </row>
    <row r="4574" spans="1:13" x14ac:dyDescent="0.25">
      <c r="A4574" s="1" t="s">
        <v>4806</v>
      </c>
      <c r="B4574" s="1" t="s">
        <v>4807</v>
      </c>
      <c r="C4574" s="1">
        <v>4000000</v>
      </c>
      <c r="D4574" s="1" t="s">
        <v>38</v>
      </c>
      <c r="E4574">
        <v>169.5694</v>
      </c>
      <c r="F4574" s="1" t="s">
        <v>42</v>
      </c>
      <c r="G4574">
        <v>17</v>
      </c>
      <c r="H4574">
        <v>8</v>
      </c>
      <c r="I4574" s="1" t="s">
        <v>117</v>
      </c>
      <c r="J4574">
        <v>2</v>
      </c>
      <c r="K4574" t="str">
        <f>IF(Tb_data[[#This Row],[previous_workers]]&lt;Tb_data[[#This Row],[workers]],"yes","no")</f>
        <v>yes</v>
      </c>
      <c r="L4574">
        <f>Tb_data[[#This Row],[workers]]-Tb_data[[#This Row],[previous_workers]]</f>
        <v>9</v>
      </c>
      <c r="M4574" s="12">
        <f>Tb_data[[#This Row],[Employees Growth]]/Tb_data[[#This Row],[previous_workers]]</f>
        <v>1.125</v>
      </c>
    </row>
    <row r="4575" spans="1:13" x14ac:dyDescent="0.25">
      <c r="A4575" s="1" t="s">
        <v>8077</v>
      </c>
      <c r="B4575" s="1" t="s">
        <v>8078</v>
      </c>
      <c r="C4575" s="1">
        <v>82800000</v>
      </c>
      <c r="D4575" s="1" t="s">
        <v>500</v>
      </c>
      <c r="E4575">
        <v>81.333799999999997</v>
      </c>
      <c r="F4575" s="1" t="s">
        <v>34</v>
      </c>
      <c r="G4575">
        <v>657</v>
      </c>
      <c r="H4575">
        <v>333</v>
      </c>
      <c r="I4575" s="1" t="s">
        <v>74</v>
      </c>
      <c r="J4575">
        <v>4</v>
      </c>
      <c r="K4575" t="str">
        <f>IF(Tb_data[[#This Row],[previous_workers]]&lt;Tb_data[[#This Row],[workers]],"yes","no")</f>
        <v>yes</v>
      </c>
      <c r="L4575">
        <f>Tb_data[[#This Row],[workers]]-Tb_data[[#This Row],[previous_workers]]</f>
        <v>324</v>
      </c>
      <c r="M4575" s="12">
        <f>Tb_data[[#This Row],[Employees Growth]]/Tb_data[[#This Row],[previous_workers]]</f>
        <v>0.97297297297297303</v>
      </c>
    </row>
    <row r="4576" spans="1:13" x14ac:dyDescent="0.25">
      <c r="A4576" s="1" t="s">
        <v>9249</v>
      </c>
      <c r="B4576" s="1" t="s">
        <v>9250</v>
      </c>
      <c r="C4576" s="1">
        <v>8500000</v>
      </c>
      <c r="D4576" s="1" t="s">
        <v>115</v>
      </c>
      <c r="E4576">
        <v>63.511800000000001</v>
      </c>
      <c r="F4576" s="1" t="s">
        <v>176</v>
      </c>
      <c r="G4576">
        <v>25</v>
      </c>
      <c r="H4576">
        <v>18</v>
      </c>
      <c r="I4576" s="1" t="s">
        <v>55</v>
      </c>
      <c r="J4576">
        <v>2</v>
      </c>
      <c r="K4576" t="str">
        <f>IF(Tb_data[[#This Row],[previous_workers]]&lt;Tb_data[[#This Row],[workers]],"yes","no")</f>
        <v>yes</v>
      </c>
      <c r="L4576">
        <f>Tb_data[[#This Row],[workers]]-Tb_data[[#This Row],[previous_workers]]</f>
        <v>7</v>
      </c>
      <c r="M4576" s="12">
        <f>Tb_data[[#This Row],[Employees Growth]]/Tb_data[[#This Row],[previous_workers]]</f>
        <v>0.3888888888888889</v>
      </c>
    </row>
    <row r="4577" spans="1:13" x14ac:dyDescent="0.25">
      <c r="A4577" s="1" t="s">
        <v>7659</v>
      </c>
      <c r="B4577" s="1" t="s">
        <v>7660</v>
      </c>
      <c r="C4577" s="1">
        <v>16800000</v>
      </c>
      <c r="D4577" s="1" t="s">
        <v>41</v>
      </c>
      <c r="E4577">
        <v>88.700800000000001</v>
      </c>
      <c r="F4577" s="1" t="s">
        <v>97</v>
      </c>
      <c r="G4577">
        <v>91</v>
      </c>
      <c r="H4577">
        <v>45</v>
      </c>
      <c r="I4577" s="1" t="s">
        <v>117</v>
      </c>
      <c r="J4577">
        <v>6</v>
      </c>
      <c r="K4577" t="str">
        <f>IF(Tb_data[[#This Row],[previous_workers]]&lt;Tb_data[[#This Row],[workers]],"yes","no")</f>
        <v>yes</v>
      </c>
      <c r="L4577">
        <f>Tb_data[[#This Row],[workers]]-Tb_data[[#This Row],[previous_workers]]</f>
        <v>46</v>
      </c>
      <c r="M4577" s="12">
        <f>Tb_data[[#This Row],[Employees Growth]]/Tb_data[[#This Row],[previous_workers]]</f>
        <v>1.0222222222222221</v>
      </c>
    </row>
    <row r="4578" spans="1:13" x14ac:dyDescent="0.25">
      <c r="A4578" s="1" t="s">
        <v>7899</v>
      </c>
      <c r="B4578" s="1" t="s">
        <v>7900</v>
      </c>
      <c r="C4578" s="1">
        <v>7000000</v>
      </c>
      <c r="D4578" s="1" t="s">
        <v>5972</v>
      </c>
      <c r="E4578">
        <v>84.702100000000002</v>
      </c>
      <c r="F4578" s="1" t="s">
        <v>12</v>
      </c>
      <c r="G4578">
        <v>63</v>
      </c>
      <c r="H4578">
        <v>29</v>
      </c>
      <c r="I4578" s="1" t="s">
        <v>117</v>
      </c>
      <c r="J4578">
        <v>4</v>
      </c>
      <c r="K4578" t="str">
        <f>IF(Tb_data[[#This Row],[previous_workers]]&lt;Tb_data[[#This Row],[workers]],"yes","no")</f>
        <v>yes</v>
      </c>
      <c r="L4578">
        <f>Tb_data[[#This Row],[workers]]-Tb_data[[#This Row],[previous_workers]]</f>
        <v>34</v>
      </c>
      <c r="M4578" s="12">
        <f>Tb_data[[#This Row],[Employees Growth]]/Tb_data[[#This Row],[previous_workers]]</f>
        <v>1.1724137931034482</v>
      </c>
    </row>
    <row r="4579" spans="1:13" x14ac:dyDescent="0.25">
      <c r="A4579" s="1" t="s">
        <v>5476</v>
      </c>
      <c r="B4579" s="1" t="s">
        <v>5477</v>
      </c>
      <c r="C4579" s="1">
        <v>15700000</v>
      </c>
      <c r="D4579" s="1" t="s">
        <v>254</v>
      </c>
      <c r="E4579">
        <v>143.3398</v>
      </c>
      <c r="F4579" s="1" t="s">
        <v>100</v>
      </c>
      <c r="G4579">
        <v>50</v>
      </c>
      <c r="H4579">
        <v>20</v>
      </c>
      <c r="I4579" s="1" t="s">
        <v>194</v>
      </c>
      <c r="J4579">
        <v>1</v>
      </c>
      <c r="K4579" t="str">
        <f>IF(Tb_data[[#This Row],[previous_workers]]&lt;Tb_data[[#This Row],[workers]],"yes","no")</f>
        <v>yes</v>
      </c>
      <c r="L4579">
        <f>Tb_data[[#This Row],[workers]]-Tb_data[[#This Row],[previous_workers]]</f>
        <v>30</v>
      </c>
      <c r="M4579" s="12">
        <f>Tb_data[[#This Row],[Employees Growth]]/Tb_data[[#This Row],[previous_workers]]</f>
        <v>1.5</v>
      </c>
    </row>
    <row r="4580" spans="1:13" x14ac:dyDescent="0.25">
      <c r="A4580" s="1" t="s">
        <v>438</v>
      </c>
      <c r="B4580" s="1" t="s">
        <v>439</v>
      </c>
      <c r="C4580" s="1">
        <v>7000000</v>
      </c>
      <c r="D4580" s="1" t="s">
        <v>49</v>
      </c>
      <c r="E4580">
        <v>2171.9647</v>
      </c>
      <c r="F4580" s="1" t="s">
        <v>25</v>
      </c>
      <c r="G4580">
        <v>18</v>
      </c>
      <c r="H4580">
        <v>5</v>
      </c>
      <c r="I4580" s="1" t="s">
        <v>164</v>
      </c>
      <c r="J4580">
        <v>1</v>
      </c>
      <c r="K4580" t="str">
        <f>IF(Tb_data[[#This Row],[previous_workers]]&lt;Tb_data[[#This Row],[workers]],"yes","no")</f>
        <v>yes</v>
      </c>
      <c r="L4580">
        <f>Tb_data[[#This Row],[workers]]-Tb_data[[#This Row],[previous_workers]]</f>
        <v>13</v>
      </c>
      <c r="M4580" s="12">
        <f>Tb_data[[#This Row],[Employees Growth]]/Tb_data[[#This Row],[previous_workers]]</f>
        <v>2.6</v>
      </c>
    </row>
    <row r="4581" spans="1:13" x14ac:dyDescent="0.25">
      <c r="A4581" s="1" t="s">
        <v>394</v>
      </c>
      <c r="B4581" s="1" t="s">
        <v>395</v>
      </c>
      <c r="C4581" s="1">
        <v>3000000</v>
      </c>
      <c r="D4581" s="1" t="s">
        <v>49</v>
      </c>
      <c r="E4581">
        <v>2415.7359000000001</v>
      </c>
      <c r="F4581" s="1" t="s">
        <v>97</v>
      </c>
      <c r="G4581">
        <v>42</v>
      </c>
      <c r="H4581">
        <v>5</v>
      </c>
      <c r="I4581" s="1" t="s">
        <v>295</v>
      </c>
      <c r="J4581">
        <v>2</v>
      </c>
      <c r="K4581" t="str">
        <f>IF(Tb_data[[#This Row],[previous_workers]]&lt;Tb_data[[#This Row],[workers]],"yes","no")</f>
        <v>yes</v>
      </c>
      <c r="L4581">
        <f>Tb_data[[#This Row],[workers]]-Tb_data[[#This Row],[previous_workers]]</f>
        <v>37</v>
      </c>
      <c r="M4581" s="12">
        <f>Tb_data[[#This Row],[Employees Growth]]/Tb_data[[#This Row],[previous_workers]]</f>
        <v>7.4</v>
      </c>
    </row>
    <row r="4582" spans="1:13" x14ac:dyDescent="0.25">
      <c r="A4582" s="1" t="s">
        <v>1066</v>
      </c>
      <c r="B4582" s="1" t="s">
        <v>1067</v>
      </c>
      <c r="C4582" s="1">
        <v>31300000</v>
      </c>
      <c r="D4582" s="1" t="s">
        <v>16</v>
      </c>
      <c r="E4582">
        <v>910.9692</v>
      </c>
      <c r="F4582" s="1" t="s">
        <v>17</v>
      </c>
      <c r="G4582">
        <v>51</v>
      </c>
      <c r="H4582">
        <v>6</v>
      </c>
      <c r="I4582" s="1" t="s">
        <v>55</v>
      </c>
      <c r="J4582">
        <v>2</v>
      </c>
      <c r="K4582" t="str">
        <f>IF(Tb_data[[#This Row],[previous_workers]]&lt;Tb_data[[#This Row],[workers]],"yes","no")</f>
        <v>yes</v>
      </c>
      <c r="L4582">
        <f>Tb_data[[#This Row],[workers]]-Tb_data[[#This Row],[previous_workers]]</f>
        <v>45</v>
      </c>
      <c r="M4582" s="12">
        <f>Tb_data[[#This Row],[Employees Growth]]/Tb_data[[#This Row],[previous_workers]]</f>
        <v>7.5</v>
      </c>
    </row>
    <row r="4583" spans="1:13" x14ac:dyDescent="0.25">
      <c r="A4583" s="1" t="s">
        <v>8903</v>
      </c>
      <c r="B4583" s="1" t="s">
        <v>8904</v>
      </c>
      <c r="C4583" s="1">
        <v>27700000</v>
      </c>
      <c r="D4583" s="1" t="s">
        <v>175</v>
      </c>
      <c r="E4583">
        <v>67.992000000000004</v>
      </c>
      <c r="F4583" s="1" t="s">
        <v>97</v>
      </c>
      <c r="G4583">
        <v>202</v>
      </c>
      <c r="H4583">
        <v>115</v>
      </c>
      <c r="I4583" s="1" t="s">
        <v>295</v>
      </c>
      <c r="J4583">
        <v>7</v>
      </c>
      <c r="K4583" t="str">
        <f>IF(Tb_data[[#This Row],[previous_workers]]&lt;Tb_data[[#This Row],[workers]],"yes","no")</f>
        <v>yes</v>
      </c>
      <c r="L4583">
        <f>Tb_data[[#This Row],[workers]]-Tb_data[[#This Row],[previous_workers]]</f>
        <v>87</v>
      </c>
      <c r="M4583" s="12">
        <f>Tb_data[[#This Row],[Employees Growth]]/Tb_data[[#This Row],[previous_workers]]</f>
        <v>0.75652173913043474</v>
      </c>
    </row>
    <row r="4584" spans="1:13" x14ac:dyDescent="0.25">
      <c r="A4584" s="1" t="s">
        <v>5208</v>
      </c>
      <c r="B4584" s="1" t="s">
        <v>5209</v>
      </c>
      <c r="C4584" s="1">
        <v>5000000</v>
      </c>
      <c r="D4584" s="1" t="s">
        <v>29</v>
      </c>
      <c r="E4584">
        <v>153.14279999999999</v>
      </c>
      <c r="F4584" s="1" t="s">
        <v>86</v>
      </c>
      <c r="G4584">
        <v>26</v>
      </c>
      <c r="H4584">
        <v>15</v>
      </c>
      <c r="I4584" s="1" t="s">
        <v>226</v>
      </c>
      <c r="J4584">
        <v>1</v>
      </c>
      <c r="K4584" t="str">
        <f>IF(Tb_data[[#This Row],[previous_workers]]&lt;Tb_data[[#This Row],[workers]],"yes","no")</f>
        <v>yes</v>
      </c>
      <c r="L4584">
        <f>Tb_data[[#This Row],[workers]]-Tb_data[[#This Row],[previous_workers]]</f>
        <v>11</v>
      </c>
      <c r="M4584" s="12">
        <f>Tb_data[[#This Row],[Employees Growth]]/Tb_data[[#This Row],[previous_workers]]</f>
        <v>0.73333333333333328</v>
      </c>
    </row>
    <row r="4585" spans="1:13" x14ac:dyDescent="0.25">
      <c r="A4585" s="1" t="s">
        <v>565</v>
      </c>
      <c r="B4585" s="1" t="s">
        <v>566</v>
      </c>
      <c r="C4585" s="1">
        <v>7300000</v>
      </c>
      <c r="D4585" s="1" t="s">
        <v>45</v>
      </c>
      <c r="E4585">
        <v>1765.6791000000001</v>
      </c>
      <c r="F4585" s="1" t="s">
        <v>112</v>
      </c>
      <c r="G4585">
        <v>6</v>
      </c>
      <c r="H4585">
        <v>2</v>
      </c>
      <c r="I4585" s="1" t="s">
        <v>55</v>
      </c>
      <c r="J4585">
        <v>1</v>
      </c>
      <c r="K4585" t="str">
        <f>IF(Tb_data[[#This Row],[previous_workers]]&lt;Tb_data[[#This Row],[workers]],"yes","no")</f>
        <v>yes</v>
      </c>
      <c r="L4585">
        <f>Tb_data[[#This Row],[workers]]-Tb_data[[#This Row],[previous_workers]]</f>
        <v>4</v>
      </c>
      <c r="M4585" s="12">
        <f>Tb_data[[#This Row],[Employees Growth]]/Tb_data[[#This Row],[previous_workers]]</f>
        <v>2</v>
      </c>
    </row>
    <row r="4586" spans="1:13" x14ac:dyDescent="0.25">
      <c r="A4586" s="1" t="s">
        <v>9405</v>
      </c>
      <c r="B4586" s="1" t="s">
        <v>9406</v>
      </c>
      <c r="C4586" s="1">
        <v>19200000</v>
      </c>
      <c r="D4586" s="1" t="s">
        <v>20</v>
      </c>
      <c r="E4586">
        <v>61.446100000000001</v>
      </c>
      <c r="F4586" s="1" t="s">
        <v>34</v>
      </c>
      <c r="G4586">
        <v>69</v>
      </c>
      <c r="H4586">
        <v>36</v>
      </c>
      <c r="I4586" s="1" t="s">
        <v>194</v>
      </c>
      <c r="J4586">
        <v>5</v>
      </c>
      <c r="K4586" t="str">
        <f>IF(Tb_data[[#This Row],[previous_workers]]&lt;Tb_data[[#This Row],[workers]],"yes","no")</f>
        <v>yes</v>
      </c>
      <c r="L4586">
        <f>Tb_data[[#This Row],[workers]]-Tb_data[[#This Row],[previous_workers]]</f>
        <v>33</v>
      </c>
      <c r="M4586" s="12">
        <f>Tb_data[[#This Row],[Employees Growth]]/Tb_data[[#This Row],[previous_workers]]</f>
        <v>0.91666666666666663</v>
      </c>
    </row>
    <row r="4587" spans="1:13" x14ac:dyDescent="0.25">
      <c r="A4587" s="1" t="s">
        <v>8109</v>
      </c>
      <c r="B4587" s="1" t="s">
        <v>8110</v>
      </c>
      <c r="C4587" s="1">
        <v>9000000</v>
      </c>
      <c r="D4587" s="1" t="s">
        <v>41</v>
      </c>
      <c r="E4587">
        <v>81.023300000000006</v>
      </c>
      <c r="F4587" s="1" t="s">
        <v>135</v>
      </c>
      <c r="G4587">
        <v>100</v>
      </c>
      <c r="H4587">
        <v>60</v>
      </c>
      <c r="I4587" s="1" t="s">
        <v>147</v>
      </c>
      <c r="J4587">
        <v>2</v>
      </c>
      <c r="K4587" t="str">
        <f>IF(Tb_data[[#This Row],[previous_workers]]&lt;Tb_data[[#This Row],[workers]],"yes","no")</f>
        <v>yes</v>
      </c>
      <c r="L4587">
        <f>Tb_data[[#This Row],[workers]]-Tb_data[[#This Row],[previous_workers]]</f>
        <v>40</v>
      </c>
      <c r="M4587" s="12">
        <f>Tb_data[[#This Row],[Employees Growth]]/Tb_data[[#This Row],[previous_workers]]</f>
        <v>0.66666666666666663</v>
      </c>
    </row>
    <row r="4588" spans="1:13" x14ac:dyDescent="0.25">
      <c r="A4588" s="1" t="s">
        <v>2354</v>
      </c>
      <c r="B4588" s="1" t="s">
        <v>2355</v>
      </c>
      <c r="C4588" s="1">
        <v>8500000</v>
      </c>
      <c r="D4588" s="1" t="s">
        <v>11</v>
      </c>
      <c r="E4588">
        <v>371.31709999999998</v>
      </c>
      <c r="F4588" s="1" t="s">
        <v>17</v>
      </c>
      <c r="G4588">
        <v>40</v>
      </c>
      <c r="H4588">
        <v>12</v>
      </c>
      <c r="I4588" s="1" t="s">
        <v>55</v>
      </c>
      <c r="J4588">
        <v>3</v>
      </c>
      <c r="K4588" t="str">
        <f>IF(Tb_data[[#This Row],[previous_workers]]&lt;Tb_data[[#This Row],[workers]],"yes","no")</f>
        <v>yes</v>
      </c>
      <c r="L4588">
        <f>Tb_data[[#This Row],[workers]]-Tb_data[[#This Row],[previous_workers]]</f>
        <v>28</v>
      </c>
      <c r="M4588" s="12">
        <f>Tb_data[[#This Row],[Employees Growth]]/Tb_data[[#This Row],[previous_workers]]</f>
        <v>2.3333333333333335</v>
      </c>
    </row>
    <row r="4589" spans="1:13" x14ac:dyDescent="0.25">
      <c r="A4589" s="1" t="s">
        <v>2652</v>
      </c>
      <c r="B4589" s="1" t="s">
        <v>2653</v>
      </c>
      <c r="C4589" s="1">
        <v>130400000</v>
      </c>
      <c r="D4589" s="1" t="s">
        <v>61</v>
      </c>
      <c r="E4589">
        <v>325.05529999999999</v>
      </c>
      <c r="F4589" s="1" t="s">
        <v>17</v>
      </c>
      <c r="G4589">
        <v>211</v>
      </c>
      <c r="H4589">
        <v>49</v>
      </c>
      <c r="I4589" s="1" t="s">
        <v>194</v>
      </c>
      <c r="J4589">
        <v>4</v>
      </c>
      <c r="K4589" t="str">
        <f>IF(Tb_data[[#This Row],[previous_workers]]&lt;Tb_data[[#This Row],[workers]],"yes","no")</f>
        <v>yes</v>
      </c>
      <c r="L4589">
        <f>Tb_data[[#This Row],[workers]]-Tb_data[[#This Row],[previous_workers]]</f>
        <v>162</v>
      </c>
      <c r="M4589" s="12">
        <f>Tb_data[[#This Row],[Employees Growth]]/Tb_data[[#This Row],[previous_workers]]</f>
        <v>3.306122448979592</v>
      </c>
    </row>
    <row r="4590" spans="1:13" x14ac:dyDescent="0.25">
      <c r="A4590" s="1" t="s">
        <v>5292</v>
      </c>
      <c r="B4590" s="1" t="s">
        <v>5293</v>
      </c>
      <c r="C4590" s="1">
        <v>5600000</v>
      </c>
      <c r="D4590" s="1" t="s">
        <v>1446</v>
      </c>
      <c r="E4590">
        <v>150.31460000000001</v>
      </c>
      <c r="F4590" s="1" t="s">
        <v>100</v>
      </c>
      <c r="G4590">
        <v>419</v>
      </c>
      <c r="H4590">
        <v>123</v>
      </c>
      <c r="I4590" s="1" t="s">
        <v>147</v>
      </c>
      <c r="J4590">
        <v>2</v>
      </c>
      <c r="K4590" t="str">
        <f>IF(Tb_data[[#This Row],[previous_workers]]&lt;Tb_data[[#This Row],[workers]],"yes","no")</f>
        <v>yes</v>
      </c>
      <c r="L4590">
        <f>Tb_data[[#This Row],[workers]]-Tb_data[[#This Row],[previous_workers]]</f>
        <v>296</v>
      </c>
      <c r="M4590" s="12">
        <f>Tb_data[[#This Row],[Employees Growth]]/Tb_data[[#This Row],[previous_workers]]</f>
        <v>2.4065040650406506</v>
      </c>
    </row>
    <row r="4591" spans="1:13" x14ac:dyDescent="0.25">
      <c r="A4591" s="1" t="s">
        <v>3653</v>
      </c>
      <c r="B4591" s="1" t="s">
        <v>3654</v>
      </c>
      <c r="C4591" s="1">
        <v>27200000</v>
      </c>
      <c r="D4591" s="1" t="s">
        <v>38</v>
      </c>
      <c r="E4591">
        <v>230.82499999999999</v>
      </c>
      <c r="F4591" s="1" t="s">
        <v>17</v>
      </c>
      <c r="G4591">
        <v>23</v>
      </c>
      <c r="H4591">
        <v>7</v>
      </c>
      <c r="I4591" s="1" t="s">
        <v>117</v>
      </c>
      <c r="J4591">
        <v>5</v>
      </c>
      <c r="K4591" t="str">
        <f>IF(Tb_data[[#This Row],[previous_workers]]&lt;Tb_data[[#This Row],[workers]],"yes","no")</f>
        <v>yes</v>
      </c>
      <c r="L4591">
        <f>Tb_data[[#This Row],[workers]]-Tb_data[[#This Row],[previous_workers]]</f>
        <v>16</v>
      </c>
      <c r="M4591" s="12">
        <f>Tb_data[[#This Row],[Employees Growth]]/Tb_data[[#This Row],[previous_workers]]</f>
        <v>2.2857142857142856</v>
      </c>
    </row>
    <row r="4592" spans="1:13" x14ac:dyDescent="0.25">
      <c r="A4592" s="1" t="s">
        <v>9089</v>
      </c>
      <c r="B4592" s="1" t="s">
        <v>9090</v>
      </c>
      <c r="C4592" s="1">
        <v>275400000</v>
      </c>
      <c r="D4592" s="1" t="s">
        <v>38</v>
      </c>
      <c r="E4592">
        <v>65.521199999999993</v>
      </c>
      <c r="F4592" s="1" t="s">
        <v>94</v>
      </c>
      <c r="G4592">
        <v>1581</v>
      </c>
      <c r="H4592">
        <v>882</v>
      </c>
      <c r="I4592" s="1" t="s">
        <v>836</v>
      </c>
      <c r="J4592">
        <v>6</v>
      </c>
      <c r="K4592" t="str">
        <f>IF(Tb_data[[#This Row],[previous_workers]]&lt;Tb_data[[#This Row],[workers]],"yes","no")</f>
        <v>yes</v>
      </c>
      <c r="L4592">
        <f>Tb_data[[#This Row],[workers]]-Tb_data[[#This Row],[previous_workers]]</f>
        <v>699</v>
      </c>
      <c r="M4592" s="12">
        <f>Tb_data[[#This Row],[Employees Growth]]/Tb_data[[#This Row],[previous_workers]]</f>
        <v>0.79251700680272108</v>
      </c>
    </row>
    <row r="4593" spans="1:13" x14ac:dyDescent="0.25">
      <c r="A4593" s="1" t="s">
        <v>1284</v>
      </c>
      <c r="B4593" s="1" t="s">
        <v>1285</v>
      </c>
      <c r="C4593" s="1">
        <v>16900000</v>
      </c>
      <c r="D4593" s="1" t="s">
        <v>129</v>
      </c>
      <c r="E4593">
        <v>750.88130000000001</v>
      </c>
      <c r="F4593" s="1" t="s">
        <v>97</v>
      </c>
      <c r="G4593">
        <v>35</v>
      </c>
      <c r="H4593">
        <v>16</v>
      </c>
      <c r="I4593" s="1" t="s">
        <v>46</v>
      </c>
      <c r="J4593">
        <v>3</v>
      </c>
      <c r="K4593" t="str">
        <f>IF(Tb_data[[#This Row],[previous_workers]]&lt;Tb_data[[#This Row],[workers]],"yes","no")</f>
        <v>yes</v>
      </c>
      <c r="L4593">
        <f>Tb_data[[#This Row],[workers]]-Tb_data[[#This Row],[previous_workers]]</f>
        <v>19</v>
      </c>
      <c r="M4593" s="12">
        <f>Tb_data[[#This Row],[Employees Growth]]/Tb_data[[#This Row],[previous_workers]]</f>
        <v>1.1875</v>
      </c>
    </row>
    <row r="4594" spans="1:13" x14ac:dyDescent="0.25">
      <c r="A4594" s="1" t="s">
        <v>2824</v>
      </c>
      <c r="B4594" s="1" t="s">
        <v>2825</v>
      </c>
      <c r="C4594" s="1">
        <v>69800000</v>
      </c>
      <c r="D4594" s="1" t="s">
        <v>155</v>
      </c>
      <c r="E4594">
        <v>305.96859999999998</v>
      </c>
      <c r="F4594" s="1" t="s">
        <v>82</v>
      </c>
      <c r="G4594">
        <v>86</v>
      </c>
      <c r="H4594">
        <v>34</v>
      </c>
      <c r="I4594" s="1" t="s">
        <v>26</v>
      </c>
      <c r="J4594">
        <v>1</v>
      </c>
      <c r="K4594" t="str">
        <f>IF(Tb_data[[#This Row],[previous_workers]]&lt;Tb_data[[#This Row],[workers]],"yes","no")</f>
        <v>yes</v>
      </c>
      <c r="L4594">
        <f>Tb_data[[#This Row],[workers]]-Tb_data[[#This Row],[previous_workers]]</f>
        <v>52</v>
      </c>
      <c r="M4594" s="12">
        <f>Tb_data[[#This Row],[Employees Growth]]/Tb_data[[#This Row],[previous_workers]]</f>
        <v>1.5294117647058822</v>
      </c>
    </row>
    <row r="4595" spans="1:13" x14ac:dyDescent="0.25">
      <c r="A4595" s="1" t="s">
        <v>5468</v>
      </c>
      <c r="B4595" s="1" t="s">
        <v>5469</v>
      </c>
      <c r="C4595" s="1">
        <v>106200000</v>
      </c>
      <c r="D4595" s="1" t="s">
        <v>20</v>
      </c>
      <c r="E4595">
        <v>143.8305</v>
      </c>
      <c r="F4595" s="1" t="s">
        <v>86</v>
      </c>
      <c r="G4595">
        <v>400</v>
      </c>
      <c r="H4595">
        <v>300</v>
      </c>
      <c r="I4595" s="1" t="s">
        <v>980</v>
      </c>
      <c r="J4595">
        <v>1</v>
      </c>
      <c r="K4595" t="str">
        <f>IF(Tb_data[[#This Row],[previous_workers]]&lt;Tb_data[[#This Row],[workers]],"yes","no")</f>
        <v>yes</v>
      </c>
      <c r="L4595">
        <f>Tb_data[[#This Row],[workers]]-Tb_data[[#This Row],[previous_workers]]</f>
        <v>100</v>
      </c>
      <c r="M4595" s="12">
        <f>Tb_data[[#This Row],[Employees Growth]]/Tb_data[[#This Row],[previous_workers]]</f>
        <v>0.33333333333333331</v>
      </c>
    </row>
    <row r="4596" spans="1:13" x14ac:dyDescent="0.25">
      <c r="A4596" s="1" t="s">
        <v>4770</v>
      </c>
      <c r="B4596" s="1" t="s">
        <v>4771</v>
      </c>
      <c r="C4596" s="1">
        <v>9200000</v>
      </c>
      <c r="D4596" s="1" t="s">
        <v>52</v>
      </c>
      <c r="E4596">
        <v>171.63489999999999</v>
      </c>
      <c r="F4596" s="1" t="s">
        <v>176</v>
      </c>
      <c r="G4596">
        <v>58</v>
      </c>
      <c r="H4596">
        <v>14</v>
      </c>
      <c r="I4596" s="1" t="s">
        <v>372</v>
      </c>
      <c r="J4596">
        <v>1</v>
      </c>
      <c r="K4596" t="str">
        <f>IF(Tb_data[[#This Row],[previous_workers]]&lt;Tb_data[[#This Row],[workers]],"yes","no")</f>
        <v>yes</v>
      </c>
      <c r="L4596">
        <f>Tb_data[[#This Row],[workers]]-Tb_data[[#This Row],[previous_workers]]</f>
        <v>44</v>
      </c>
      <c r="M4596" s="12">
        <f>Tb_data[[#This Row],[Employees Growth]]/Tb_data[[#This Row],[previous_workers]]</f>
        <v>3.1428571428571428</v>
      </c>
    </row>
    <row r="4597" spans="1:13" x14ac:dyDescent="0.25">
      <c r="A4597" s="1" t="s">
        <v>8371</v>
      </c>
      <c r="B4597" s="1" t="s">
        <v>8372</v>
      </c>
      <c r="C4597" s="1">
        <v>66500000</v>
      </c>
      <c r="D4597" s="1" t="s">
        <v>29</v>
      </c>
      <c r="E4597">
        <v>76.721400000000003</v>
      </c>
      <c r="F4597" s="1" t="s">
        <v>17</v>
      </c>
      <c r="G4597">
        <v>92</v>
      </c>
      <c r="H4597">
        <v>66</v>
      </c>
      <c r="I4597" s="1" t="s">
        <v>372</v>
      </c>
      <c r="J4597">
        <v>7</v>
      </c>
      <c r="K4597" t="str">
        <f>IF(Tb_data[[#This Row],[previous_workers]]&lt;Tb_data[[#This Row],[workers]],"yes","no")</f>
        <v>yes</v>
      </c>
      <c r="L4597">
        <f>Tb_data[[#This Row],[workers]]-Tb_data[[#This Row],[previous_workers]]</f>
        <v>26</v>
      </c>
      <c r="M4597" s="12">
        <f>Tb_data[[#This Row],[Employees Growth]]/Tb_data[[#This Row],[previous_workers]]</f>
        <v>0.39393939393939392</v>
      </c>
    </row>
    <row r="4598" spans="1:13" x14ac:dyDescent="0.25">
      <c r="A4598" s="1" t="s">
        <v>4720</v>
      </c>
      <c r="B4598" s="1" t="s">
        <v>4721</v>
      </c>
      <c r="C4598" s="1">
        <v>14200000</v>
      </c>
      <c r="D4598" s="1" t="s">
        <v>45</v>
      </c>
      <c r="E4598">
        <v>173.89400000000001</v>
      </c>
      <c r="F4598" s="1" t="s">
        <v>112</v>
      </c>
      <c r="G4598">
        <v>45</v>
      </c>
      <c r="H4598">
        <v>20</v>
      </c>
      <c r="I4598" s="1" t="s">
        <v>948</v>
      </c>
      <c r="J4598">
        <v>1</v>
      </c>
      <c r="K4598" t="str">
        <f>IF(Tb_data[[#This Row],[previous_workers]]&lt;Tb_data[[#This Row],[workers]],"yes","no")</f>
        <v>yes</v>
      </c>
      <c r="L4598">
        <f>Tb_data[[#This Row],[workers]]-Tb_data[[#This Row],[previous_workers]]</f>
        <v>25</v>
      </c>
      <c r="M4598" s="12">
        <f>Tb_data[[#This Row],[Employees Growth]]/Tb_data[[#This Row],[previous_workers]]</f>
        <v>1.25</v>
      </c>
    </row>
    <row r="4599" spans="1:13" x14ac:dyDescent="0.25">
      <c r="A4599" s="1" t="s">
        <v>7190</v>
      </c>
      <c r="B4599" s="1" t="s">
        <v>7191</v>
      </c>
      <c r="C4599" s="1">
        <v>20500000</v>
      </c>
      <c r="D4599" s="1" t="s">
        <v>129</v>
      </c>
      <c r="E4599">
        <v>98.679500000000004</v>
      </c>
      <c r="F4599" s="1" t="s">
        <v>124</v>
      </c>
      <c r="G4599">
        <v>23</v>
      </c>
      <c r="H4599">
        <v>8</v>
      </c>
      <c r="I4599" s="1" t="s">
        <v>2225</v>
      </c>
      <c r="J4599">
        <v>1</v>
      </c>
      <c r="K4599" t="str">
        <f>IF(Tb_data[[#This Row],[previous_workers]]&lt;Tb_data[[#This Row],[workers]],"yes","no")</f>
        <v>yes</v>
      </c>
      <c r="L4599">
        <f>Tb_data[[#This Row],[workers]]-Tb_data[[#This Row],[previous_workers]]</f>
        <v>15</v>
      </c>
      <c r="M4599" s="12">
        <f>Tb_data[[#This Row],[Employees Growth]]/Tb_data[[#This Row],[previous_workers]]</f>
        <v>1.875</v>
      </c>
    </row>
    <row r="4600" spans="1:13" x14ac:dyDescent="0.25">
      <c r="A4600" s="1" t="s">
        <v>2715</v>
      </c>
      <c r="B4600" s="1" t="s">
        <v>2716</v>
      </c>
      <c r="C4600" s="1">
        <v>5000000</v>
      </c>
      <c r="D4600" s="1" t="s">
        <v>33</v>
      </c>
      <c r="E4600">
        <v>317.4932</v>
      </c>
      <c r="F4600" s="1" t="s">
        <v>30</v>
      </c>
      <c r="G4600">
        <v>15</v>
      </c>
      <c r="H4600">
        <v>1</v>
      </c>
      <c r="I4600" s="1" t="s">
        <v>55</v>
      </c>
      <c r="J4600">
        <v>2</v>
      </c>
      <c r="K4600" t="str">
        <f>IF(Tb_data[[#This Row],[previous_workers]]&lt;Tb_data[[#This Row],[workers]],"yes","no")</f>
        <v>yes</v>
      </c>
      <c r="L4600">
        <f>Tb_data[[#This Row],[workers]]-Tb_data[[#This Row],[previous_workers]]</f>
        <v>14</v>
      </c>
      <c r="M4600" s="12">
        <f>Tb_data[[#This Row],[Employees Growth]]/Tb_data[[#This Row],[previous_workers]]</f>
        <v>14</v>
      </c>
    </row>
    <row r="4601" spans="1:13" x14ac:dyDescent="0.25">
      <c r="A4601" s="1" t="s">
        <v>8229</v>
      </c>
      <c r="B4601" s="1" t="s">
        <v>8230</v>
      </c>
      <c r="C4601" s="1">
        <v>2300000</v>
      </c>
      <c r="D4601" s="1" t="s">
        <v>52</v>
      </c>
      <c r="E4601">
        <v>78.929900000000004</v>
      </c>
      <c r="F4601" s="1" t="s">
        <v>112</v>
      </c>
      <c r="G4601">
        <v>8</v>
      </c>
      <c r="H4601">
        <v>5</v>
      </c>
      <c r="I4601" s="1" t="s">
        <v>130</v>
      </c>
      <c r="J4601">
        <v>1</v>
      </c>
      <c r="K4601" t="str">
        <f>IF(Tb_data[[#This Row],[previous_workers]]&lt;Tb_data[[#This Row],[workers]],"yes","no")</f>
        <v>yes</v>
      </c>
      <c r="L4601">
        <f>Tb_data[[#This Row],[workers]]-Tb_data[[#This Row],[previous_workers]]</f>
        <v>3</v>
      </c>
      <c r="M4601" s="12">
        <f>Tb_data[[#This Row],[Employees Growth]]/Tb_data[[#This Row],[previous_workers]]</f>
        <v>0.6</v>
      </c>
    </row>
    <row r="4602" spans="1:13" x14ac:dyDescent="0.25">
      <c r="A4602" s="1" t="s">
        <v>1224</v>
      </c>
      <c r="B4602" s="1" t="s">
        <v>1225</v>
      </c>
      <c r="C4602" s="1">
        <v>138500000</v>
      </c>
      <c r="D4602" s="1" t="s">
        <v>61</v>
      </c>
      <c r="E4602">
        <v>790.14980000000003</v>
      </c>
      <c r="F4602" s="1" t="s">
        <v>12</v>
      </c>
      <c r="G4602">
        <v>205</v>
      </c>
      <c r="H4602">
        <v>60</v>
      </c>
      <c r="I4602" s="1" t="s">
        <v>130</v>
      </c>
      <c r="J4602">
        <v>3</v>
      </c>
      <c r="K4602" t="str">
        <f>IF(Tb_data[[#This Row],[previous_workers]]&lt;Tb_data[[#This Row],[workers]],"yes","no")</f>
        <v>yes</v>
      </c>
      <c r="L4602">
        <f>Tb_data[[#This Row],[workers]]-Tb_data[[#This Row],[previous_workers]]</f>
        <v>145</v>
      </c>
      <c r="M4602" s="12">
        <f>Tb_data[[#This Row],[Employees Growth]]/Tb_data[[#This Row],[previous_workers]]</f>
        <v>2.4166666666666665</v>
      </c>
    </row>
    <row r="4603" spans="1:13" x14ac:dyDescent="0.25">
      <c r="A4603" s="1" t="s">
        <v>2836</v>
      </c>
      <c r="B4603" s="1" t="s">
        <v>2837</v>
      </c>
      <c r="C4603" s="1">
        <v>10300000</v>
      </c>
      <c r="D4603" s="1" t="s">
        <v>61</v>
      </c>
      <c r="E4603">
        <v>305.2056</v>
      </c>
      <c r="F4603" s="1" t="s">
        <v>100</v>
      </c>
      <c r="G4603">
        <v>112</v>
      </c>
      <c r="H4603">
        <v>57</v>
      </c>
      <c r="I4603" s="1" t="s">
        <v>164</v>
      </c>
      <c r="J4603">
        <v>2</v>
      </c>
      <c r="K4603" t="str">
        <f>IF(Tb_data[[#This Row],[previous_workers]]&lt;Tb_data[[#This Row],[workers]],"yes","no")</f>
        <v>yes</v>
      </c>
      <c r="L4603">
        <f>Tb_data[[#This Row],[workers]]-Tb_data[[#This Row],[previous_workers]]</f>
        <v>55</v>
      </c>
      <c r="M4603" s="12">
        <f>Tb_data[[#This Row],[Employees Growth]]/Tb_data[[#This Row],[previous_workers]]</f>
        <v>0.96491228070175439</v>
      </c>
    </row>
    <row r="4604" spans="1:13" x14ac:dyDescent="0.25">
      <c r="A4604" s="1" t="s">
        <v>2885</v>
      </c>
      <c r="B4604" s="1" t="s">
        <v>2886</v>
      </c>
      <c r="C4604" s="1">
        <v>3300000</v>
      </c>
      <c r="D4604" s="1" t="s">
        <v>254</v>
      </c>
      <c r="E4604">
        <v>299.78930000000003</v>
      </c>
      <c r="F4604" s="1" t="s">
        <v>169</v>
      </c>
      <c r="G4604">
        <v>8</v>
      </c>
      <c r="H4604">
        <v>4</v>
      </c>
      <c r="I4604" s="1" t="s">
        <v>26</v>
      </c>
      <c r="J4604">
        <v>1</v>
      </c>
      <c r="K4604" t="str">
        <f>IF(Tb_data[[#This Row],[previous_workers]]&lt;Tb_data[[#This Row],[workers]],"yes","no")</f>
        <v>yes</v>
      </c>
      <c r="L4604">
        <f>Tb_data[[#This Row],[workers]]-Tb_data[[#This Row],[previous_workers]]</f>
        <v>4</v>
      </c>
      <c r="M4604" s="12">
        <f>Tb_data[[#This Row],[Employees Growth]]/Tb_data[[#This Row],[previous_workers]]</f>
        <v>1</v>
      </c>
    </row>
    <row r="4605" spans="1:13" x14ac:dyDescent="0.25">
      <c r="A4605" s="1" t="s">
        <v>3535</v>
      </c>
      <c r="B4605" s="1" t="s">
        <v>3536</v>
      </c>
      <c r="C4605" s="1">
        <v>7500000</v>
      </c>
      <c r="D4605" s="1" t="s">
        <v>179</v>
      </c>
      <c r="E4605">
        <v>239.38220000000001</v>
      </c>
      <c r="F4605" s="1" t="s">
        <v>86</v>
      </c>
      <c r="G4605">
        <v>68</v>
      </c>
      <c r="H4605">
        <v>18</v>
      </c>
      <c r="I4605" s="1" t="s">
        <v>46</v>
      </c>
      <c r="J4605">
        <v>2</v>
      </c>
      <c r="K4605" t="str">
        <f>IF(Tb_data[[#This Row],[previous_workers]]&lt;Tb_data[[#This Row],[workers]],"yes","no")</f>
        <v>yes</v>
      </c>
      <c r="L4605">
        <f>Tb_data[[#This Row],[workers]]-Tb_data[[#This Row],[previous_workers]]</f>
        <v>50</v>
      </c>
      <c r="M4605" s="12">
        <f>Tb_data[[#This Row],[Employees Growth]]/Tb_data[[#This Row],[previous_workers]]</f>
        <v>2.7777777777777777</v>
      </c>
    </row>
    <row r="4606" spans="1:13" x14ac:dyDescent="0.25">
      <c r="A4606" s="1" t="s">
        <v>2803</v>
      </c>
      <c r="B4606" s="1" t="s">
        <v>2804</v>
      </c>
      <c r="C4606" s="1">
        <v>2700000</v>
      </c>
      <c r="D4606" s="1" t="s">
        <v>155</v>
      </c>
      <c r="E4606">
        <v>308.0838</v>
      </c>
      <c r="F4606" s="1" t="s">
        <v>12</v>
      </c>
      <c r="G4606">
        <v>22</v>
      </c>
      <c r="H4606">
        <v>8</v>
      </c>
      <c r="I4606" s="1" t="s">
        <v>130</v>
      </c>
      <c r="J4606">
        <v>2</v>
      </c>
      <c r="K4606" t="str">
        <f>IF(Tb_data[[#This Row],[previous_workers]]&lt;Tb_data[[#This Row],[workers]],"yes","no")</f>
        <v>yes</v>
      </c>
      <c r="L4606">
        <f>Tb_data[[#This Row],[workers]]-Tb_data[[#This Row],[previous_workers]]</f>
        <v>14</v>
      </c>
      <c r="M4606" s="12">
        <f>Tb_data[[#This Row],[Employees Growth]]/Tb_data[[#This Row],[previous_workers]]</f>
        <v>1.75</v>
      </c>
    </row>
    <row r="4607" spans="1:13" x14ac:dyDescent="0.25">
      <c r="A4607" s="1" t="s">
        <v>2203</v>
      </c>
      <c r="B4607" s="1" t="s">
        <v>2204</v>
      </c>
      <c r="C4607" s="1">
        <v>4600000</v>
      </c>
      <c r="D4607" s="1" t="s">
        <v>664</v>
      </c>
      <c r="E4607">
        <v>399.55489999999998</v>
      </c>
      <c r="F4607" s="1" t="s">
        <v>124</v>
      </c>
      <c r="G4607">
        <v>25</v>
      </c>
      <c r="H4607">
        <v>5</v>
      </c>
      <c r="I4607" s="1" t="s">
        <v>35</v>
      </c>
      <c r="J4607">
        <v>1</v>
      </c>
      <c r="K4607" t="str">
        <f>IF(Tb_data[[#This Row],[previous_workers]]&lt;Tb_data[[#This Row],[workers]],"yes","no")</f>
        <v>yes</v>
      </c>
      <c r="L4607">
        <f>Tb_data[[#This Row],[workers]]-Tb_data[[#This Row],[previous_workers]]</f>
        <v>20</v>
      </c>
      <c r="M4607" s="12">
        <f>Tb_data[[#This Row],[Employees Growth]]/Tb_data[[#This Row],[previous_workers]]</f>
        <v>4</v>
      </c>
    </row>
    <row r="4608" spans="1:13" x14ac:dyDescent="0.25">
      <c r="A4608" s="1" t="s">
        <v>5856</v>
      </c>
      <c r="B4608" s="1" t="s">
        <v>5857</v>
      </c>
      <c r="C4608" s="1">
        <v>3200000</v>
      </c>
      <c r="D4608" s="1" t="s">
        <v>41</v>
      </c>
      <c r="E4608">
        <v>129.97839999999999</v>
      </c>
      <c r="F4608" s="1" t="s">
        <v>161</v>
      </c>
      <c r="G4608">
        <v>35</v>
      </c>
      <c r="H4608">
        <v>12</v>
      </c>
      <c r="I4608" s="1" t="s">
        <v>46</v>
      </c>
      <c r="J4608">
        <v>2</v>
      </c>
      <c r="K4608" t="str">
        <f>IF(Tb_data[[#This Row],[previous_workers]]&lt;Tb_data[[#This Row],[workers]],"yes","no")</f>
        <v>yes</v>
      </c>
      <c r="L4608">
        <f>Tb_data[[#This Row],[workers]]-Tb_data[[#This Row],[previous_workers]]</f>
        <v>23</v>
      </c>
      <c r="M4608" s="12">
        <f>Tb_data[[#This Row],[Employees Growth]]/Tb_data[[#This Row],[previous_workers]]</f>
        <v>1.9166666666666667</v>
      </c>
    </row>
    <row r="4609" spans="1:13" x14ac:dyDescent="0.25">
      <c r="A4609" s="1" t="s">
        <v>7371</v>
      </c>
      <c r="B4609" s="1" t="s">
        <v>7372</v>
      </c>
      <c r="C4609" s="1">
        <v>50700000</v>
      </c>
      <c r="D4609" s="1" t="s">
        <v>69</v>
      </c>
      <c r="E4609">
        <v>95.750100000000003</v>
      </c>
      <c r="F4609" s="1" t="s">
        <v>21</v>
      </c>
      <c r="G4609">
        <v>105</v>
      </c>
      <c r="H4609">
        <v>50</v>
      </c>
      <c r="I4609" s="1" t="s">
        <v>2628</v>
      </c>
      <c r="J4609">
        <v>9</v>
      </c>
      <c r="K4609" t="str">
        <f>IF(Tb_data[[#This Row],[previous_workers]]&lt;Tb_data[[#This Row],[workers]],"yes","no")</f>
        <v>yes</v>
      </c>
      <c r="L4609">
        <f>Tb_data[[#This Row],[workers]]-Tb_data[[#This Row],[previous_workers]]</f>
        <v>55</v>
      </c>
      <c r="M4609" s="12">
        <f>Tb_data[[#This Row],[Employees Growth]]/Tb_data[[#This Row],[previous_workers]]</f>
        <v>1.1000000000000001</v>
      </c>
    </row>
    <row r="4610" spans="1:13" x14ac:dyDescent="0.25">
      <c r="A4610" s="1" t="s">
        <v>7621</v>
      </c>
      <c r="B4610" s="1" t="s">
        <v>7622</v>
      </c>
      <c r="C4610" s="1">
        <v>78700000</v>
      </c>
      <c r="D4610" s="1" t="s">
        <v>41</v>
      </c>
      <c r="E4610">
        <v>89.544899999999998</v>
      </c>
      <c r="F4610" s="1" t="s">
        <v>97</v>
      </c>
      <c r="G4610">
        <v>298</v>
      </c>
      <c r="H4610">
        <v>268</v>
      </c>
      <c r="I4610" s="1" t="s">
        <v>74</v>
      </c>
      <c r="J4610">
        <v>6</v>
      </c>
      <c r="K4610" t="str">
        <f>IF(Tb_data[[#This Row],[previous_workers]]&lt;Tb_data[[#This Row],[workers]],"yes","no")</f>
        <v>yes</v>
      </c>
      <c r="L4610">
        <f>Tb_data[[#This Row],[workers]]-Tb_data[[#This Row],[previous_workers]]</f>
        <v>30</v>
      </c>
      <c r="M4610" s="12">
        <f>Tb_data[[#This Row],[Employees Growth]]/Tb_data[[#This Row],[previous_workers]]</f>
        <v>0.11194029850746269</v>
      </c>
    </row>
    <row r="4611" spans="1:13" x14ac:dyDescent="0.25">
      <c r="A4611" s="1" t="s">
        <v>4599</v>
      </c>
      <c r="B4611" s="1" t="s">
        <v>4600</v>
      </c>
      <c r="C4611" s="1">
        <v>2100000</v>
      </c>
      <c r="D4611" s="1" t="s">
        <v>91</v>
      </c>
      <c r="E4611">
        <v>178.5316</v>
      </c>
      <c r="F4611" s="1" t="s">
        <v>86</v>
      </c>
      <c r="G4611">
        <v>20</v>
      </c>
      <c r="H4611">
        <v>5</v>
      </c>
      <c r="I4611" s="1" t="s">
        <v>164</v>
      </c>
      <c r="J4611">
        <v>1</v>
      </c>
      <c r="K4611" t="str">
        <f>IF(Tb_data[[#This Row],[previous_workers]]&lt;Tb_data[[#This Row],[workers]],"yes","no")</f>
        <v>yes</v>
      </c>
      <c r="L4611">
        <f>Tb_data[[#This Row],[workers]]-Tb_data[[#This Row],[previous_workers]]</f>
        <v>15</v>
      </c>
      <c r="M4611" s="12">
        <f>Tb_data[[#This Row],[Employees Growth]]/Tb_data[[#This Row],[previous_workers]]</f>
        <v>3</v>
      </c>
    </row>
    <row r="4612" spans="1:13" x14ac:dyDescent="0.25">
      <c r="A4612" s="1" t="s">
        <v>7669</v>
      </c>
      <c r="B4612" s="1" t="s">
        <v>7670</v>
      </c>
      <c r="C4612" s="1">
        <v>7600000</v>
      </c>
      <c r="D4612" s="1" t="s">
        <v>33</v>
      </c>
      <c r="E4612">
        <v>88.536600000000007</v>
      </c>
      <c r="F4612" s="1" t="s">
        <v>124</v>
      </c>
      <c r="G4612">
        <v>46</v>
      </c>
      <c r="H4612">
        <v>29</v>
      </c>
      <c r="I4612" s="1" t="s">
        <v>117</v>
      </c>
      <c r="J4612">
        <v>3</v>
      </c>
      <c r="K4612" t="str">
        <f>IF(Tb_data[[#This Row],[previous_workers]]&lt;Tb_data[[#This Row],[workers]],"yes","no")</f>
        <v>yes</v>
      </c>
      <c r="L4612">
        <f>Tb_data[[#This Row],[workers]]-Tb_data[[#This Row],[previous_workers]]</f>
        <v>17</v>
      </c>
      <c r="M4612" s="12">
        <f>Tb_data[[#This Row],[Employees Growth]]/Tb_data[[#This Row],[previous_workers]]</f>
        <v>0.58620689655172409</v>
      </c>
    </row>
    <row r="4613" spans="1:13" x14ac:dyDescent="0.25">
      <c r="A4613" s="1" t="s">
        <v>8011</v>
      </c>
      <c r="B4613" s="1" t="s">
        <v>8012</v>
      </c>
      <c r="C4613" s="1">
        <v>2300000</v>
      </c>
      <c r="D4613" s="1" t="s">
        <v>45</v>
      </c>
      <c r="E4613">
        <v>82.510499999999993</v>
      </c>
      <c r="F4613" s="1" t="s">
        <v>161</v>
      </c>
      <c r="G4613">
        <v>18</v>
      </c>
      <c r="H4613">
        <v>13</v>
      </c>
      <c r="I4613" s="1" t="s">
        <v>468</v>
      </c>
      <c r="J4613">
        <v>1</v>
      </c>
      <c r="K4613" t="str">
        <f>IF(Tb_data[[#This Row],[previous_workers]]&lt;Tb_data[[#This Row],[workers]],"yes","no")</f>
        <v>yes</v>
      </c>
      <c r="L4613">
        <f>Tb_data[[#This Row],[workers]]-Tb_data[[#This Row],[previous_workers]]</f>
        <v>5</v>
      </c>
      <c r="M4613" s="12">
        <f>Tb_data[[#This Row],[Employees Growth]]/Tb_data[[#This Row],[previous_workers]]</f>
        <v>0.38461538461538464</v>
      </c>
    </row>
    <row r="4614" spans="1:13" x14ac:dyDescent="0.25">
      <c r="A4614" s="1" t="s">
        <v>5482</v>
      </c>
      <c r="B4614" s="1" t="s">
        <v>5483</v>
      </c>
      <c r="C4614" s="1">
        <v>7100000</v>
      </c>
      <c r="D4614" s="1" t="s">
        <v>45</v>
      </c>
      <c r="E4614">
        <v>143.25700000000001</v>
      </c>
      <c r="F4614" s="1" t="s">
        <v>514</v>
      </c>
      <c r="G4614">
        <v>28</v>
      </c>
      <c r="H4614">
        <v>15</v>
      </c>
      <c r="I4614" s="1" t="s">
        <v>194</v>
      </c>
      <c r="J4614">
        <v>3</v>
      </c>
      <c r="K4614" t="str">
        <f>IF(Tb_data[[#This Row],[previous_workers]]&lt;Tb_data[[#This Row],[workers]],"yes","no")</f>
        <v>yes</v>
      </c>
      <c r="L4614">
        <f>Tb_data[[#This Row],[workers]]-Tb_data[[#This Row],[previous_workers]]</f>
        <v>13</v>
      </c>
      <c r="M4614" s="12">
        <f>Tb_data[[#This Row],[Employees Growth]]/Tb_data[[#This Row],[previous_workers]]</f>
        <v>0.8666666666666667</v>
      </c>
    </row>
    <row r="4615" spans="1:13" x14ac:dyDescent="0.25">
      <c r="A4615" s="1" t="s">
        <v>180</v>
      </c>
      <c r="B4615" s="1" t="s">
        <v>181</v>
      </c>
      <c r="C4615" s="1">
        <v>7800000</v>
      </c>
      <c r="D4615" s="1" t="s">
        <v>45</v>
      </c>
      <c r="E4615">
        <v>4908.4032999999999</v>
      </c>
      <c r="F4615" s="1" t="s">
        <v>25</v>
      </c>
      <c r="G4615">
        <v>7</v>
      </c>
      <c r="H4615">
        <v>4</v>
      </c>
      <c r="I4615" s="1" t="s">
        <v>55</v>
      </c>
      <c r="J4615">
        <v>1</v>
      </c>
      <c r="K4615" t="str">
        <f>IF(Tb_data[[#This Row],[previous_workers]]&lt;Tb_data[[#This Row],[workers]],"yes","no")</f>
        <v>yes</v>
      </c>
      <c r="L4615">
        <f>Tb_data[[#This Row],[workers]]-Tb_data[[#This Row],[previous_workers]]</f>
        <v>3</v>
      </c>
      <c r="M4615" s="12">
        <f>Tb_data[[#This Row],[Employees Growth]]/Tb_data[[#This Row],[previous_workers]]</f>
        <v>0.75</v>
      </c>
    </row>
    <row r="4616" spans="1:13" x14ac:dyDescent="0.25">
      <c r="A4616" s="1" t="s">
        <v>2226</v>
      </c>
      <c r="B4616" s="1" t="s">
        <v>2227</v>
      </c>
      <c r="C4616" s="1">
        <v>12100000</v>
      </c>
      <c r="D4616" s="1" t="s">
        <v>380</v>
      </c>
      <c r="E4616">
        <v>396.79410000000001</v>
      </c>
      <c r="F4616" s="1" t="s">
        <v>156</v>
      </c>
      <c r="G4616">
        <v>58</v>
      </c>
      <c r="H4616">
        <v>23</v>
      </c>
      <c r="I4616" s="1" t="s">
        <v>130</v>
      </c>
      <c r="J4616">
        <v>3</v>
      </c>
      <c r="K4616" t="str">
        <f>IF(Tb_data[[#This Row],[previous_workers]]&lt;Tb_data[[#This Row],[workers]],"yes","no")</f>
        <v>yes</v>
      </c>
      <c r="L4616">
        <f>Tb_data[[#This Row],[workers]]-Tb_data[[#This Row],[previous_workers]]</f>
        <v>35</v>
      </c>
      <c r="M4616" s="12">
        <f>Tb_data[[#This Row],[Employees Growth]]/Tb_data[[#This Row],[previous_workers]]</f>
        <v>1.5217391304347827</v>
      </c>
    </row>
    <row r="4617" spans="1:13" x14ac:dyDescent="0.25">
      <c r="A4617" s="1" t="s">
        <v>5918</v>
      </c>
      <c r="B4617" s="1" t="s">
        <v>5919</v>
      </c>
      <c r="C4617" s="1">
        <v>2600000</v>
      </c>
      <c r="D4617" s="1" t="s">
        <v>20</v>
      </c>
      <c r="E4617">
        <v>128.64060000000001</v>
      </c>
      <c r="F4617" s="1" t="s">
        <v>12</v>
      </c>
      <c r="G4617">
        <v>13</v>
      </c>
      <c r="H4617">
        <v>12</v>
      </c>
      <c r="I4617" s="1" t="s">
        <v>74</v>
      </c>
      <c r="J4617">
        <v>2</v>
      </c>
      <c r="K4617" t="str">
        <f>IF(Tb_data[[#This Row],[previous_workers]]&lt;Tb_data[[#This Row],[workers]],"yes","no")</f>
        <v>yes</v>
      </c>
      <c r="L4617">
        <f>Tb_data[[#This Row],[workers]]-Tb_data[[#This Row],[previous_workers]]</f>
        <v>1</v>
      </c>
      <c r="M4617" s="12">
        <f>Tb_data[[#This Row],[Employees Growth]]/Tb_data[[#This Row],[previous_workers]]</f>
        <v>8.3333333333333329E-2</v>
      </c>
    </row>
    <row r="4618" spans="1:13" x14ac:dyDescent="0.25">
      <c r="A4618" s="1" t="s">
        <v>3341</v>
      </c>
      <c r="B4618" s="1" t="s">
        <v>3342</v>
      </c>
      <c r="C4618" s="1">
        <v>9700000</v>
      </c>
      <c r="D4618" s="1" t="s">
        <v>375</v>
      </c>
      <c r="E4618">
        <v>256.29680000000002</v>
      </c>
      <c r="F4618" s="1" t="s">
        <v>25</v>
      </c>
      <c r="G4618">
        <v>649</v>
      </c>
      <c r="H4618">
        <v>168</v>
      </c>
      <c r="I4618" s="1" t="s">
        <v>55</v>
      </c>
      <c r="J4618">
        <v>1</v>
      </c>
      <c r="K4618" t="str">
        <f>IF(Tb_data[[#This Row],[previous_workers]]&lt;Tb_data[[#This Row],[workers]],"yes","no")</f>
        <v>yes</v>
      </c>
      <c r="L4618">
        <f>Tb_data[[#This Row],[workers]]-Tb_data[[#This Row],[previous_workers]]</f>
        <v>481</v>
      </c>
      <c r="M4618" s="12">
        <f>Tb_data[[#This Row],[Employees Growth]]/Tb_data[[#This Row],[previous_workers]]</f>
        <v>2.8630952380952381</v>
      </c>
    </row>
    <row r="4619" spans="1:13" x14ac:dyDescent="0.25">
      <c r="A4619" s="1" t="s">
        <v>7627</v>
      </c>
      <c r="B4619" s="1" t="s">
        <v>7628</v>
      </c>
      <c r="C4619" s="1">
        <v>97200000</v>
      </c>
      <c r="D4619" s="1" t="s">
        <v>175</v>
      </c>
      <c r="E4619">
        <v>89.461500000000001</v>
      </c>
      <c r="F4619" s="1" t="s">
        <v>100</v>
      </c>
      <c r="G4619">
        <v>56</v>
      </c>
      <c r="H4619">
        <v>28</v>
      </c>
      <c r="I4619" s="1" t="s">
        <v>164</v>
      </c>
      <c r="J4619">
        <v>2</v>
      </c>
      <c r="K4619" t="str">
        <f>IF(Tb_data[[#This Row],[previous_workers]]&lt;Tb_data[[#This Row],[workers]],"yes","no")</f>
        <v>yes</v>
      </c>
      <c r="L4619">
        <f>Tb_data[[#This Row],[workers]]-Tb_data[[#This Row],[previous_workers]]</f>
        <v>28</v>
      </c>
      <c r="M4619" s="12">
        <f>Tb_data[[#This Row],[Employees Growth]]/Tb_data[[#This Row],[previous_workers]]</f>
        <v>1</v>
      </c>
    </row>
    <row r="4620" spans="1:13" x14ac:dyDescent="0.25">
      <c r="A4620" s="1" t="s">
        <v>1990</v>
      </c>
      <c r="B4620" s="1" t="s">
        <v>1991</v>
      </c>
      <c r="C4620" s="1">
        <v>15800000</v>
      </c>
      <c r="D4620" s="1" t="s">
        <v>45</v>
      </c>
      <c r="E4620">
        <v>452.54160000000002</v>
      </c>
      <c r="F4620" s="1" t="s">
        <v>30</v>
      </c>
      <c r="G4620">
        <v>54</v>
      </c>
      <c r="H4620">
        <v>15</v>
      </c>
      <c r="I4620" s="1" t="s">
        <v>55</v>
      </c>
      <c r="J4620">
        <v>2</v>
      </c>
      <c r="K4620" t="str">
        <f>IF(Tb_data[[#This Row],[previous_workers]]&lt;Tb_data[[#This Row],[workers]],"yes","no")</f>
        <v>yes</v>
      </c>
      <c r="L4620">
        <f>Tb_data[[#This Row],[workers]]-Tb_data[[#This Row],[previous_workers]]</f>
        <v>39</v>
      </c>
      <c r="M4620" s="12">
        <f>Tb_data[[#This Row],[Employees Growth]]/Tb_data[[#This Row],[previous_workers]]</f>
        <v>2.6</v>
      </c>
    </row>
    <row r="4621" spans="1:13" x14ac:dyDescent="0.25">
      <c r="A4621" s="1" t="s">
        <v>5426</v>
      </c>
      <c r="B4621" s="1" t="s">
        <v>5427</v>
      </c>
      <c r="C4621" s="1">
        <v>13500000</v>
      </c>
      <c r="D4621" s="1" t="s">
        <v>254</v>
      </c>
      <c r="E4621">
        <v>145.2852</v>
      </c>
      <c r="F4621" s="1" t="s">
        <v>176</v>
      </c>
      <c r="G4621">
        <v>51</v>
      </c>
      <c r="H4621">
        <v>22</v>
      </c>
      <c r="I4621" s="1" t="s">
        <v>117</v>
      </c>
      <c r="J4621">
        <v>2</v>
      </c>
      <c r="K4621" t="str">
        <f>IF(Tb_data[[#This Row],[previous_workers]]&lt;Tb_data[[#This Row],[workers]],"yes","no")</f>
        <v>yes</v>
      </c>
      <c r="L4621">
        <f>Tb_data[[#This Row],[workers]]-Tb_data[[#This Row],[previous_workers]]</f>
        <v>29</v>
      </c>
      <c r="M4621" s="12">
        <f>Tb_data[[#This Row],[Employees Growth]]/Tb_data[[#This Row],[previous_workers]]</f>
        <v>1.3181818181818181</v>
      </c>
    </row>
    <row r="4622" spans="1:13" x14ac:dyDescent="0.25">
      <c r="A4622" s="1" t="s">
        <v>1688</v>
      </c>
      <c r="B4622" s="1" t="s">
        <v>1689</v>
      </c>
      <c r="C4622" s="1">
        <v>5700000</v>
      </c>
      <c r="D4622" s="1" t="s">
        <v>49</v>
      </c>
      <c r="E4622">
        <v>545.65840000000003</v>
      </c>
      <c r="F4622" s="1" t="s">
        <v>176</v>
      </c>
      <c r="G4622">
        <v>30</v>
      </c>
      <c r="H4622">
        <v>5</v>
      </c>
      <c r="I4622" s="1" t="s">
        <v>26</v>
      </c>
      <c r="J4622">
        <v>1</v>
      </c>
      <c r="K4622" t="str">
        <f>IF(Tb_data[[#This Row],[previous_workers]]&lt;Tb_data[[#This Row],[workers]],"yes","no")</f>
        <v>yes</v>
      </c>
      <c r="L4622">
        <f>Tb_data[[#This Row],[workers]]-Tb_data[[#This Row],[previous_workers]]</f>
        <v>25</v>
      </c>
      <c r="M4622" s="12">
        <f>Tb_data[[#This Row],[Employees Growth]]/Tb_data[[#This Row],[previous_workers]]</f>
        <v>5</v>
      </c>
    </row>
    <row r="4623" spans="1:13" x14ac:dyDescent="0.25">
      <c r="A4623" s="1" t="s">
        <v>980</v>
      </c>
      <c r="B4623" s="1" t="s">
        <v>4087</v>
      </c>
      <c r="C4623" s="1">
        <v>3900000</v>
      </c>
      <c r="D4623" s="1" t="s">
        <v>129</v>
      </c>
      <c r="E4623">
        <v>202.10929999999999</v>
      </c>
      <c r="F4623" s="1" t="s">
        <v>152</v>
      </c>
      <c r="G4623">
        <v>50</v>
      </c>
      <c r="H4623">
        <v>30</v>
      </c>
      <c r="I4623" s="1" t="s">
        <v>117</v>
      </c>
      <c r="J4623">
        <v>2</v>
      </c>
      <c r="K4623" t="str">
        <f>IF(Tb_data[[#This Row],[previous_workers]]&lt;Tb_data[[#This Row],[workers]],"yes","no")</f>
        <v>yes</v>
      </c>
      <c r="L4623">
        <f>Tb_data[[#This Row],[workers]]-Tb_data[[#This Row],[previous_workers]]</f>
        <v>20</v>
      </c>
      <c r="M4623" s="12">
        <f>Tb_data[[#This Row],[Employees Growth]]/Tb_data[[#This Row],[previous_workers]]</f>
        <v>0.66666666666666663</v>
      </c>
    </row>
    <row r="4624" spans="1:13" x14ac:dyDescent="0.25">
      <c r="A4624" s="1" t="s">
        <v>7383</v>
      </c>
      <c r="B4624" s="1" t="s">
        <v>7384</v>
      </c>
      <c r="C4624" s="1">
        <v>17400000</v>
      </c>
      <c r="D4624" s="1" t="s">
        <v>61</v>
      </c>
      <c r="E4624">
        <v>95.595799999999997</v>
      </c>
      <c r="F4624" s="1" t="s">
        <v>34</v>
      </c>
      <c r="G4624">
        <v>365</v>
      </c>
      <c r="H4624">
        <v>150</v>
      </c>
      <c r="I4624" s="1" t="s">
        <v>46</v>
      </c>
      <c r="J4624">
        <v>2</v>
      </c>
      <c r="K4624" t="str">
        <f>IF(Tb_data[[#This Row],[previous_workers]]&lt;Tb_data[[#This Row],[workers]],"yes","no")</f>
        <v>yes</v>
      </c>
      <c r="L4624">
        <f>Tb_data[[#This Row],[workers]]-Tb_data[[#This Row],[previous_workers]]</f>
        <v>215</v>
      </c>
      <c r="M4624" s="12">
        <f>Tb_data[[#This Row],[Employees Growth]]/Tb_data[[#This Row],[previous_workers]]</f>
        <v>1.4333333333333333</v>
      </c>
    </row>
    <row r="4625" spans="1:13" x14ac:dyDescent="0.25">
      <c r="A4625" s="1" t="s">
        <v>9381</v>
      </c>
      <c r="B4625" s="1" t="s">
        <v>9382</v>
      </c>
      <c r="C4625" s="1">
        <v>10900000</v>
      </c>
      <c r="D4625" s="1" t="s">
        <v>45</v>
      </c>
      <c r="E4625">
        <v>61.746299999999998</v>
      </c>
      <c r="F4625" s="1" t="s">
        <v>176</v>
      </c>
      <c r="G4625">
        <v>12</v>
      </c>
      <c r="H4625">
        <v>9</v>
      </c>
      <c r="I4625" s="1" t="s">
        <v>194</v>
      </c>
      <c r="J4625">
        <v>3</v>
      </c>
      <c r="K4625" t="str">
        <f>IF(Tb_data[[#This Row],[previous_workers]]&lt;Tb_data[[#This Row],[workers]],"yes","no")</f>
        <v>yes</v>
      </c>
      <c r="L4625">
        <f>Tb_data[[#This Row],[workers]]-Tb_data[[#This Row],[previous_workers]]</f>
        <v>3</v>
      </c>
      <c r="M4625" s="12">
        <f>Tb_data[[#This Row],[Employees Growth]]/Tb_data[[#This Row],[previous_workers]]</f>
        <v>0.33333333333333331</v>
      </c>
    </row>
    <row r="4626" spans="1:13" x14ac:dyDescent="0.25">
      <c r="A4626" s="1" t="s">
        <v>7407</v>
      </c>
      <c r="B4626" s="1" t="s">
        <v>7408</v>
      </c>
      <c r="C4626" s="1">
        <v>4000000</v>
      </c>
      <c r="D4626" s="1" t="s">
        <v>41</v>
      </c>
      <c r="E4626">
        <v>95.175399999999996</v>
      </c>
      <c r="F4626" s="1" t="s">
        <v>156</v>
      </c>
      <c r="G4626">
        <v>37</v>
      </c>
      <c r="H4626">
        <v>13</v>
      </c>
      <c r="I4626" s="1" t="s">
        <v>117</v>
      </c>
      <c r="J4626">
        <v>5</v>
      </c>
      <c r="K4626" t="str">
        <f>IF(Tb_data[[#This Row],[previous_workers]]&lt;Tb_data[[#This Row],[workers]],"yes","no")</f>
        <v>yes</v>
      </c>
      <c r="L4626">
        <f>Tb_data[[#This Row],[workers]]-Tb_data[[#This Row],[previous_workers]]</f>
        <v>24</v>
      </c>
      <c r="M4626" s="12">
        <f>Tb_data[[#This Row],[Employees Growth]]/Tb_data[[#This Row],[previous_workers]]</f>
        <v>1.8461538461538463</v>
      </c>
    </row>
    <row r="4627" spans="1:13" x14ac:dyDescent="0.25">
      <c r="A4627" s="1" t="s">
        <v>6523</v>
      </c>
      <c r="B4627" s="1" t="s">
        <v>6524</v>
      </c>
      <c r="C4627" s="1">
        <v>9100000</v>
      </c>
      <c r="D4627" s="1" t="s">
        <v>20</v>
      </c>
      <c r="E4627">
        <v>113.2925</v>
      </c>
      <c r="F4627" s="1" t="s">
        <v>156</v>
      </c>
      <c r="G4627">
        <v>80</v>
      </c>
      <c r="H4627">
        <v>30</v>
      </c>
      <c r="I4627" s="1" t="s">
        <v>46</v>
      </c>
      <c r="J4627">
        <v>5</v>
      </c>
      <c r="K4627" t="str">
        <f>IF(Tb_data[[#This Row],[previous_workers]]&lt;Tb_data[[#This Row],[workers]],"yes","no")</f>
        <v>yes</v>
      </c>
      <c r="L4627">
        <f>Tb_data[[#This Row],[workers]]-Tb_data[[#This Row],[previous_workers]]</f>
        <v>50</v>
      </c>
      <c r="M4627" s="12">
        <f>Tb_data[[#This Row],[Employees Growth]]/Tb_data[[#This Row],[previous_workers]]</f>
        <v>1.6666666666666667</v>
      </c>
    </row>
    <row r="4628" spans="1:13" x14ac:dyDescent="0.25">
      <c r="A4628" s="1" t="s">
        <v>5620</v>
      </c>
      <c r="B4628" s="1" t="s">
        <v>5621</v>
      </c>
      <c r="C4628" s="1">
        <v>42300000</v>
      </c>
      <c r="D4628" s="1" t="s">
        <v>120</v>
      </c>
      <c r="E4628">
        <v>137.0701</v>
      </c>
      <c r="F4628" s="1" t="s">
        <v>124</v>
      </c>
      <c r="G4628">
        <v>200</v>
      </c>
      <c r="H4628">
        <v>60</v>
      </c>
      <c r="I4628" s="1" t="s">
        <v>35</v>
      </c>
      <c r="J4628">
        <v>3</v>
      </c>
      <c r="K4628" t="str">
        <f>IF(Tb_data[[#This Row],[previous_workers]]&lt;Tb_data[[#This Row],[workers]],"yes","no")</f>
        <v>yes</v>
      </c>
      <c r="L4628">
        <f>Tb_data[[#This Row],[workers]]-Tb_data[[#This Row],[previous_workers]]</f>
        <v>140</v>
      </c>
      <c r="M4628" s="12">
        <f>Tb_data[[#This Row],[Employees Growth]]/Tb_data[[#This Row],[previous_workers]]</f>
        <v>2.3333333333333335</v>
      </c>
    </row>
    <row r="4629" spans="1:13" x14ac:dyDescent="0.25">
      <c r="A4629" s="1" t="s">
        <v>5606</v>
      </c>
      <c r="B4629" s="1" t="s">
        <v>5607</v>
      </c>
      <c r="C4629" s="1">
        <v>97100000</v>
      </c>
      <c r="D4629" s="1" t="s">
        <v>179</v>
      </c>
      <c r="E4629">
        <v>137.76</v>
      </c>
      <c r="F4629" s="1" t="s">
        <v>86</v>
      </c>
      <c r="G4629">
        <v>511</v>
      </c>
      <c r="H4629">
        <v>423</v>
      </c>
      <c r="I4629" s="1" t="s">
        <v>35</v>
      </c>
      <c r="J4629">
        <v>1</v>
      </c>
      <c r="K4629" t="str">
        <f>IF(Tb_data[[#This Row],[previous_workers]]&lt;Tb_data[[#This Row],[workers]],"yes","no")</f>
        <v>yes</v>
      </c>
      <c r="L4629">
        <f>Tb_data[[#This Row],[workers]]-Tb_data[[#This Row],[previous_workers]]</f>
        <v>88</v>
      </c>
      <c r="M4629" s="12">
        <f>Tb_data[[#This Row],[Employees Growth]]/Tb_data[[#This Row],[previous_workers]]</f>
        <v>0.20803782505910165</v>
      </c>
    </row>
    <row r="4630" spans="1:13" x14ac:dyDescent="0.25">
      <c r="A4630" s="1" t="s">
        <v>3611</v>
      </c>
      <c r="B4630" s="1" t="s">
        <v>3612</v>
      </c>
      <c r="C4630" s="1">
        <v>92100000</v>
      </c>
      <c r="D4630" s="1" t="s">
        <v>49</v>
      </c>
      <c r="E4630">
        <v>232.8211</v>
      </c>
      <c r="F4630" s="1" t="s">
        <v>142</v>
      </c>
      <c r="G4630">
        <v>271</v>
      </c>
      <c r="H4630">
        <v>108</v>
      </c>
      <c r="I4630" s="1" t="s">
        <v>117</v>
      </c>
      <c r="J4630">
        <v>1</v>
      </c>
      <c r="K4630" t="str">
        <f>IF(Tb_data[[#This Row],[previous_workers]]&lt;Tb_data[[#This Row],[workers]],"yes","no")</f>
        <v>yes</v>
      </c>
      <c r="L4630">
        <f>Tb_data[[#This Row],[workers]]-Tb_data[[#This Row],[previous_workers]]</f>
        <v>163</v>
      </c>
      <c r="M4630" s="12">
        <f>Tb_data[[#This Row],[Employees Growth]]/Tb_data[[#This Row],[previous_workers]]</f>
        <v>1.5092592592592593</v>
      </c>
    </row>
    <row r="4631" spans="1:13" x14ac:dyDescent="0.25">
      <c r="A4631" s="1" t="s">
        <v>7921</v>
      </c>
      <c r="B4631" s="1" t="s">
        <v>7922</v>
      </c>
      <c r="C4631" s="1">
        <v>43100000</v>
      </c>
      <c r="D4631" s="1" t="s">
        <v>20</v>
      </c>
      <c r="E4631">
        <v>84.367900000000006</v>
      </c>
      <c r="F4631" s="1" t="s">
        <v>34</v>
      </c>
      <c r="G4631">
        <v>48</v>
      </c>
      <c r="H4631">
        <v>37</v>
      </c>
      <c r="I4631" s="1" t="s">
        <v>948</v>
      </c>
      <c r="J4631">
        <v>4</v>
      </c>
      <c r="K4631" t="str">
        <f>IF(Tb_data[[#This Row],[previous_workers]]&lt;Tb_data[[#This Row],[workers]],"yes","no")</f>
        <v>yes</v>
      </c>
      <c r="L4631">
        <f>Tb_data[[#This Row],[workers]]-Tb_data[[#This Row],[previous_workers]]</f>
        <v>11</v>
      </c>
      <c r="M4631" s="12">
        <f>Tb_data[[#This Row],[Employees Growth]]/Tb_data[[#This Row],[previous_workers]]</f>
        <v>0.29729729729729731</v>
      </c>
    </row>
    <row r="4632" spans="1:13" x14ac:dyDescent="0.25">
      <c r="A4632" s="1" t="s">
        <v>2612</v>
      </c>
      <c r="B4632" s="1" t="s">
        <v>2613</v>
      </c>
      <c r="C4632" s="1">
        <v>7700000</v>
      </c>
      <c r="D4632" s="1" t="s">
        <v>155</v>
      </c>
      <c r="E4632">
        <v>331.20350000000002</v>
      </c>
      <c r="F4632" s="1" t="s">
        <v>156</v>
      </c>
      <c r="G4632">
        <v>44</v>
      </c>
      <c r="H4632">
        <v>8</v>
      </c>
      <c r="I4632" s="1" t="s">
        <v>55</v>
      </c>
      <c r="J4632">
        <v>1</v>
      </c>
      <c r="K4632" t="str">
        <f>IF(Tb_data[[#This Row],[previous_workers]]&lt;Tb_data[[#This Row],[workers]],"yes","no")</f>
        <v>yes</v>
      </c>
      <c r="L4632">
        <f>Tb_data[[#This Row],[workers]]-Tb_data[[#This Row],[previous_workers]]</f>
        <v>36</v>
      </c>
      <c r="M4632" s="12">
        <f>Tb_data[[#This Row],[Employees Growth]]/Tb_data[[#This Row],[previous_workers]]</f>
        <v>4.5</v>
      </c>
    </row>
    <row r="4633" spans="1:13" x14ac:dyDescent="0.25">
      <c r="A4633" s="1" t="s">
        <v>3455</v>
      </c>
      <c r="B4633" s="1" t="s">
        <v>3456</v>
      </c>
      <c r="C4633" s="1">
        <v>30100000</v>
      </c>
      <c r="D4633" s="1" t="s">
        <v>61</v>
      </c>
      <c r="E4633">
        <v>246.41</v>
      </c>
      <c r="F4633" s="1" t="s">
        <v>176</v>
      </c>
      <c r="G4633">
        <v>46</v>
      </c>
      <c r="H4633">
        <v>11</v>
      </c>
      <c r="I4633" s="1" t="s">
        <v>147</v>
      </c>
      <c r="J4633">
        <v>2</v>
      </c>
      <c r="K4633" t="str">
        <f>IF(Tb_data[[#This Row],[previous_workers]]&lt;Tb_data[[#This Row],[workers]],"yes","no")</f>
        <v>yes</v>
      </c>
      <c r="L4633">
        <f>Tb_data[[#This Row],[workers]]-Tb_data[[#This Row],[previous_workers]]</f>
        <v>35</v>
      </c>
      <c r="M4633" s="12">
        <f>Tb_data[[#This Row],[Employees Growth]]/Tb_data[[#This Row],[previous_workers]]</f>
        <v>3.1818181818181817</v>
      </c>
    </row>
    <row r="4634" spans="1:13" x14ac:dyDescent="0.25">
      <c r="A4634" s="1" t="s">
        <v>8055</v>
      </c>
      <c r="B4634" s="1" t="s">
        <v>8056</v>
      </c>
      <c r="C4634" s="1">
        <v>2600000</v>
      </c>
      <c r="D4634" s="1" t="s">
        <v>179</v>
      </c>
      <c r="E4634">
        <v>81.853200000000001</v>
      </c>
      <c r="F4634" s="1" t="s">
        <v>62</v>
      </c>
      <c r="G4634">
        <v>17</v>
      </c>
      <c r="H4634">
        <v>6</v>
      </c>
      <c r="I4634" s="1" t="s">
        <v>26</v>
      </c>
      <c r="J4634">
        <v>1</v>
      </c>
      <c r="K4634" t="str">
        <f>IF(Tb_data[[#This Row],[previous_workers]]&lt;Tb_data[[#This Row],[workers]],"yes","no")</f>
        <v>yes</v>
      </c>
      <c r="L4634">
        <f>Tb_data[[#This Row],[workers]]-Tb_data[[#This Row],[previous_workers]]</f>
        <v>11</v>
      </c>
      <c r="M4634" s="12">
        <f>Tb_data[[#This Row],[Employees Growth]]/Tb_data[[#This Row],[previous_workers]]</f>
        <v>1.8333333333333333</v>
      </c>
    </row>
    <row r="4635" spans="1:13" x14ac:dyDescent="0.25">
      <c r="A4635" s="1" t="s">
        <v>5852</v>
      </c>
      <c r="B4635" s="1" t="s">
        <v>5853</v>
      </c>
      <c r="C4635" s="1">
        <v>4000000</v>
      </c>
      <c r="D4635" s="1" t="s">
        <v>29</v>
      </c>
      <c r="E4635">
        <v>130.0146</v>
      </c>
      <c r="F4635" s="1" t="s">
        <v>152</v>
      </c>
      <c r="G4635">
        <v>19</v>
      </c>
      <c r="H4635">
        <v>8</v>
      </c>
      <c r="I4635" s="1" t="s">
        <v>194</v>
      </c>
      <c r="J4635">
        <v>3</v>
      </c>
      <c r="K4635" t="str">
        <f>IF(Tb_data[[#This Row],[previous_workers]]&lt;Tb_data[[#This Row],[workers]],"yes","no")</f>
        <v>yes</v>
      </c>
      <c r="L4635">
        <f>Tb_data[[#This Row],[workers]]-Tb_data[[#This Row],[previous_workers]]</f>
        <v>11</v>
      </c>
      <c r="M4635" s="12">
        <f>Tb_data[[#This Row],[Employees Growth]]/Tb_data[[#This Row],[previous_workers]]</f>
        <v>1.375</v>
      </c>
    </row>
    <row r="4636" spans="1:13" x14ac:dyDescent="0.25">
      <c r="A4636" s="1" t="s">
        <v>6942</v>
      </c>
      <c r="B4636" s="1" t="s">
        <v>6943</v>
      </c>
      <c r="C4636" s="1">
        <v>72100000</v>
      </c>
      <c r="D4636" s="1" t="s">
        <v>20</v>
      </c>
      <c r="E4636">
        <v>102.9873</v>
      </c>
      <c r="F4636" s="1" t="s">
        <v>25</v>
      </c>
      <c r="G4636">
        <v>37</v>
      </c>
      <c r="H4636">
        <v>28</v>
      </c>
      <c r="I4636" s="1" t="s">
        <v>295</v>
      </c>
      <c r="J4636">
        <v>2</v>
      </c>
      <c r="K4636" t="str">
        <f>IF(Tb_data[[#This Row],[previous_workers]]&lt;Tb_data[[#This Row],[workers]],"yes","no")</f>
        <v>yes</v>
      </c>
      <c r="L4636">
        <f>Tb_data[[#This Row],[workers]]-Tb_data[[#This Row],[previous_workers]]</f>
        <v>9</v>
      </c>
      <c r="M4636" s="12">
        <f>Tb_data[[#This Row],[Employees Growth]]/Tb_data[[#This Row],[previous_workers]]</f>
        <v>0.32142857142857145</v>
      </c>
    </row>
    <row r="4637" spans="1:13" x14ac:dyDescent="0.25">
      <c r="A4637" s="1" t="s">
        <v>1156</v>
      </c>
      <c r="B4637" s="1" t="s">
        <v>1157</v>
      </c>
      <c r="C4637" s="1">
        <v>9500000</v>
      </c>
      <c r="D4637" s="1" t="s">
        <v>61</v>
      </c>
      <c r="E4637">
        <v>828.03150000000005</v>
      </c>
      <c r="F4637" s="1" t="s">
        <v>86</v>
      </c>
      <c r="G4637">
        <v>29</v>
      </c>
      <c r="H4637">
        <v>3</v>
      </c>
      <c r="I4637" s="1" t="s">
        <v>35</v>
      </c>
      <c r="J4637">
        <v>2</v>
      </c>
      <c r="K4637" t="str">
        <f>IF(Tb_data[[#This Row],[previous_workers]]&lt;Tb_data[[#This Row],[workers]],"yes","no")</f>
        <v>yes</v>
      </c>
      <c r="L4637">
        <f>Tb_data[[#This Row],[workers]]-Tb_data[[#This Row],[previous_workers]]</f>
        <v>26</v>
      </c>
      <c r="M4637" s="12">
        <f>Tb_data[[#This Row],[Employees Growth]]/Tb_data[[#This Row],[previous_workers]]</f>
        <v>8.6666666666666661</v>
      </c>
    </row>
    <row r="4638" spans="1:13" x14ac:dyDescent="0.25">
      <c r="A4638" s="1" t="s">
        <v>4379</v>
      </c>
      <c r="B4638" s="1" t="s">
        <v>4380</v>
      </c>
      <c r="C4638" s="1">
        <v>7300000</v>
      </c>
      <c r="D4638" s="1" t="s">
        <v>29</v>
      </c>
      <c r="E4638">
        <v>187.38040000000001</v>
      </c>
      <c r="F4638" s="1" t="s">
        <v>135</v>
      </c>
      <c r="G4638">
        <v>33</v>
      </c>
      <c r="H4638">
        <v>11</v>
      </c>
      <c r="I4638" s="1" t="s">
        <v>26</v>
      </c>
      <c r="J4638">
        <v>1</v>
      </c>
      <c r="K4638" t="str">
        <f>IF(Tb_data[[#This Row],[previous_workers]]&lt;Tb_data[[#This Row],[workers]],"yes","no")</f>
        <v>yes</v>
      </c>
      <c r="L4638">
        <f>Tb_data[[#This Row],[workers]]-Tb_data[[#This Row],[previous_workers]]</f>
        <v>22</v>
      </c>
      <c r="M4638" s="12">
        <f>Tb_data[[#This Row],[Employees Growth]]/Tb_data[[#This Row],[previous_workers]]</f>
        <v>2</v>
      </c>
    </row>
    <row r="4639" spans="1:13" x14ac:dyDescent="0.25">
      <c r="A4639" s="1" t="s">
        <v>8309</v>
      </c>
      <c r="B4639" s="1" t="s">
        <v>8310</v>
      </c>
      <c r="C4639" s="1">
        <v>41300000</v>
      </c>
      <c r="D4639" s="1" t="s">
        <v>20</v>
      </c>
      <c r="E4639">
        <v>77.611800000000002</v>
      </c>
      <c r="F4639" s="1" t="s">
        <v>30</v>
      </c>
      <c r="G4639">
        <v>200</v>
      </c>
      <c r="H4639">
        <v>116</v>
      </c>
      <c r="I4639" s="1" t="s">
        <v>46</v>
      </c>
      <c r="J4639">
        <v>2</v>
      </c>
      <c r="K4639" t="str">
        <f>IF(Tb_data[[#This Row],[previous_workers]]&lt;Tb_data[[#This Row],[workers]],"yes","no")</f>
        <v>yes</v>
      </c>
      <c r="L4639">
        <f>Tb_data[[#This Row],[workers]]-Tb_data[[#This Row],[previous_workers]]</f>
        <v>84</v>
      </c>
      <c r="M4639" s="12">
        <f>Tb_data[[#This Row],[Employees Growth]]/Tb_data[[#This Row],[previous_workers]]</f>
        <v>0.72413793103448276</v>
      </c>
    </row>
    <row r="4640" spans="1:13" x14ac:dyDescent="0.25">
      <c r="A4640" s="1" t="s">
        <v>2597</v>
      </c>
      <c r="B4640" s="1" t="s">
        <v>2598</v>
      </c>
      <c r="C4640" s="1">
        <v>50300000</v>
      </c>
      <c r="D4640" s="1" t="s">
        <v>41</v>
      </c>
      <c r="E4640">
        <v>332.64850000000001</v>
      </c>
      <c r="F4640" s="1" t="s">
        <v>135</v>
      </c>
      <c r="G4640">
        <v>250</v>
      </c>
      <c r="H4640">
        <v>84</v>
      </c>
      <c r="I4640" s="1" t="s">
        <v>117</v>
      </c>
      <c r="J4640">
        <v>4</v>
      </c>
      <c r="K4640" t="str">
        <f>IF(Tb_data[[#This Row],[previous_workers]]&lt;Tb_data[[#This Row],[workers]],"yes","no")</f>
        <v>yes</v>
      </c>
      <c r="L4640">
        <f>Tb_data[[#This Row],[workers]]-Tb_data[[#This Row],[previous_workers]]</f>
        <v>166</v>
      </c>
      <c r="M4640" s="12">
        <f>Tb_data[[#This Row],[Employees Growth]]/Tb_data[[#This Row],[previous_workers]]</f>
        <v>1.9761904761904763</v>
      </c>
    </row>
    <row r="4641" spans="1:13" x14ac:dyDescent="0.25">
      <c r="A4641" s="1" t="s">
        <v>3351</v>
      </c>
      <c r="B4641" s="1" t="s">
        <v>3352</v>
      </c>
      <c r="C4641" s="1">
        <v>5600000</v>
      </c>
      <c r="D4641" s="1" t="s">
        <v>129</v>
      </c>
      <c r="E4641">
        <v>255.46289999999999</v>
      </c>
      <c r="F4641" s="1" t="s">
        <v>30</v>
      </c>
      <c r="G4641">
        <v>18</v>
      </c>
      <c r="H4641">
        <v>4</v>
      </c>
      <c r="I4641" s="1" t="s">
        <v>55</v>
      </c>
      <c r="J4641">
        <v>2</v>
      </c>
      <c r="K4641" t="str">
        <f>IF(Tb_data[[#This Row],[previous_workers]]&lt;Tb_data[[#This Row],[workers]],"yes","no")</f>
        <v>yes</v>
      </c>
      <c r="L4641">
        <f>Tb_data[[#This Row],[workers]]-Tb_data[[#This Row],[previous_workers]]</f>
        <v>14</v>
      </c>
      <c r="M4641" s="12">
        <f>Tb_data[[#This Row],[Employees Growth]]/Tb_data[[#This Row],[previous_workers]]</f>
        <v>3.5</v>
      </c>
    </row>
    <row r="4642" spans="1:13" x14ac:dyDescent="0.25">
      <c r="A4642" s="1" t="s">
        <v>1935</v>
      </c>
      <c r="B4642" s="1" t="s">
        <v>1936</v>
      </c>
      <c r="C4642" s="1">
        <v>11300000000</v>
      </c>
      <c r="D4642" s="1" t="s">
        <v>49</v>
      </c>
      <c r="E4642">
        <v>464.91230000000002</v>
      </c>
      <c r="F4642" s="1" t="s">
        <v>25</v>
      </c>
      <c r="G4642">
        <v>22263</v>
      </c>
      <c r="H4642">
        <v>22263</v>
      </c>
      <c r="I4642" s="1" t="s">
        <v>35</v>
      </c>
      <c r="J4642">
        <v>1</v>
      </c>
      <c r="K4642" t="str">
        <f>IF(Tb_data[[#This Row],[previous_workers]]&lt;Tb_data[[#This Row],[workers]],"yes","no")</f>
        <v>no</v>
      </c>
      <c r="L4642">
        <f>Tb_data[[#This Row],[workers]]-Tb_data[[#This Row],[previous_workers]]</f>
        <v>0</v>
      </c>
      <c r="M4642" s="12">
        <f>Tb_data[[#This Row],[Employees Growth]]/Tb_data[[#This Row],[previous_workers]]</f>
        <v>0</v>
      </c>
    </row>
    <row r="4643" spans="1:13" x14ac:dyDescent="0.25">
      <c r="A4643" s="1" t="s">
        <v>7250</v>
      </c>
      <c r="B4643" s="1" t="s">
        <v>7251</v>
      </c>
      <c r="C4643" s="1">
        <v>32700000</v>
      </c>
      <c r="D4643" s="1" t="s">
        <v>61</v>
      </c>
      <c r="E4643">
        <v>97.713099999999997</v>
      </c>
      <c r="F4643" s="1" t="s">
        <v>176</v>
      </c>
      <c r="G4643">
        <v>2900</v>
      </c>
      <c r="H4643">
        <v>1800</v>
      </c>
      <c r="I4643" s="1" t="s">
        <v>130</v>
      </c>
      <c r="J4643">
        <v>3</v>
      </c>
      <c r="K4643" t="str">
        <f>IF(Tb_data[[#This Row],[previous_workers]]&lt;Tb_data[[#This Row],[workers]],"yes","no")</f>
        <v>yes</v>
      </c>
      <c r="L4643">
        <f>Tb_data[[#This Row],[workers]]-Tb_data[[#This Row],[previous_workers]]</f>
        <v>1100</v>
      </c>
      <c r="M4643" s="12">
        <f>Tb_data[[#This Row],[Employees Growth]]/Tb_data[[#This Row],[previous_workers]]</f>
        <v>0.61111111111111116</v>
      </c>
    </row>
    <row r="4644" spans="1:13" x14ac:dyDescent="0.25">
      <c r="A4644" s="1" t="s">
        <v>2444</v>
      </c>
      <c r="B4644" s="1" t="s">
        <v>2445</v>
      </c>
      <c r="C4644" s="1">
        <v>17100000</v>
      </c>
      <c r="D4644" s="1" t="s">
        <v>627</v>
      </c>
      <c r="E4644">
        <v>356.09870000000001</v>
      </c>
      <c r="F4644" s="1" t="s">
        <v>17</v>
      </c>
      <c r="G4644">
        <v>25</v>
      </c>
      <c r="H4644">
        <v>13</v>
      </c>
      <c r="I4644" s="1" t="s">
        <v>26</v>
      </c>
      <c r="J4644">
        <v>2</v>
      </c>
      <c r="K4644" t="str">
        <f>IF(Tb_data[[#This Row],[previous_workers]]&lt;Tb_data[[#This Row],[workers]],"yes","no")</f>
        <v>yes</v>
      </c>
      <c r="L4644">
        <f>Tb_data[[#This Row],[workers]]-Tb_data[[#This Row],[previous_workers]]</f>
        <v>12</v>
      </c>
      <c r="M4644" s="12">
        <f>Tb_data[[#This Row],[Employees Growth]]/Tb_data[[#This Row],[previous_workers]]</f>
        <v>0.92307692307692313</v>
      </c>
    </row>
    <row r="4645" spans="1:13" x14ac:dyDescent="0.25">
      <c r="A4645" s="1" t="s">
        <v>2494</v>
      </c>
      <c r="B4645" s="1" t="s">
        <v>2495</v>
      </c>
      <c r="C4645" s="1">
        <v>14200000</v>
      </c>
      <c r="D4645" s="1" t="s">
        <v>49</v>
      </c>
      <c r="E4645">
        <v>348.60879999999997</v>
      </c>
      <c r="F4645" s="1" t="s">
        <v>12</v>
      </c>
      <c r="G4645">
        <v>60</v>
      </c>
      <c r="H4645">
        <v>5</v>
      </c>
      <c r="I4645" s="1" t="s">
        <v>26</v>
      </c>
      <c r="J4645">
        <v>1</v>
      </c>
      <c r="K4645" t="str">
        <f>IF(Tb_data[[#This Row],[previous_workers]]&lt;Tb_data[[#This Row],[workers]],"yes","no")</f>
        <v>yes</v>
      </c>
      <c r="L4645">
        <f>Tb_data[[#This Row],[workers]]-Tb_data[[#This Row],[previous_workers]]</f>
        <v>55</v>
      </c>
      <c r="M4645" s="12">
        <f>Tb_data[[#This Row],[Employees Growth]]/Tb_data[[#This Row],[previous_workers]]</f>
        <v>11</v>
      </c>
    </row>
    <row r="4646" spans="1:13" x14ac:dyDescent="0.25">
      <c r="A4646" s="1" t="s">
        <v>3027</v>
      </c>
      <c r="B4646" s="1" t="s">
        <v>3028</v>
      </c>
      <c r="C4646" s="1">
        <v>2800000</v>
      </c>
      <c r="D4646" s="1" t="s">
        <v>20</v>
      </c>
      <c r="E4646">
        <v>284.70769999999999</v>
      </c>
      <c r="F4646" s="1" t="s">
        <v>25</v>
      </c>
      <c r="G4646">
        <v>7</v>
      </c>
      <c r="H4646">
        <v>1</v>
      </c>
      <c r="I4646" s="1" t="s">
        <v>35</v>
      </c>
      <c r="J4646">
        <v>1</v>
      </c>
      <c r="K4646" t="str">
        <f>IF(Tb_data[[#This Row],[previous_workers]]&lt;Tb_data[[#This Row],[workers]],"yes","no")</f>
        <v>yes</v>
      </c>
      <c r="L4646">
        <f>Tb_data[[#This Row],[workers]]-Tb_data[[#This Row],[previous_workers]]</f>
        <v>6</v>
      </c>
      <c r="M4646" s="12">
        <f>Tb_data[[#This Row],[Employees Growth]]/Tb_data[[#This Row],[previous_workers]]</f>
        <v>6</v>
      </c>
    </row>
    <row r="4647" spans="1:13" x14ac:dyDescent="0.25">
      <c r="A4647" s="1" t="s">
        <v>8843</v>
      </c>
      <c r="B4647" s="1" t="s">
        <v>8844</v>
      </c>
      <c r="C4647" s="1">
        <v>17200000</v>
      </c>
      <c r="D4647" s="1" t="s">
        <v>123</v>
      </c>
      <c r="E4647">
        <v>68.813400000000001</v>
      </c>
      <c r="F4647" s="1" t="s">
        <v>176</v>
      </c>
      <c r="G4647">
        <v>68</v>
      </c>
      <c r="H4647">
        <v>43</v>
      </c>
      <c r="I4647" s="1" t="s">
        <v>2840</v>
      </c>
      <c r="J4647">
        <v>1</v>
      </c>
      <c r="K4647" t="str">
        <f>IF(Tb_data[[#This Row],[previous_workers]]&lt;Tb_data[[#This Row],[workers]],"yes","no")</f>
        <v>yes</v>
      </c>
      <c r="L4647">
        <f>Tb_data[[#This Row],[workers]]-Tb_data[[#This Row],[previous_workers]]</f>
        <v>25</v>
      </c>
      <c r="M4647" s="12">
        <f>Tb_data[[#This Row],[Employees Growth]]/Tb_data[[#This Row],[previous_workers]]</f>
        <v>0.58139534883720934</v>
      </c>
    </row>
    <row r="4648" spans="1:13" x14ac:dyDescent="0.25">
      <c r="A4648" s="1" t="s">
        <v>5170</v>
      </c>
      <c r="B4648" s="1" t="s">
        <v>5171</v>
      </c>
      <c r="C4648" s="1">
        <v>44400000</v>
      </c>
      <c r="D4648" s="1" t="s">
        <v>33</v>
      </c>
      <c r="E4648">
        <v>154.51669999999999</v>
      </c>
      <c r="F4648" s="1" t="s">
        <v>142</v>
      </c>
      <c r="G4648">
        <v>33</v>
      </c>
      <c r="H4648">
        <v>15</v>
      </c>
      <c r="I4648" s="1" t="s">
        <v>130</v>
      </c>
      <c r="J4648">
        <v>4</v>
      </c>
      <c r="K4648" t="str">
        <f>IF(Tb_data[[#This Row],[previous_workers]]&lt;Tb_data[[#This Row],[workers]],"yes","no")</f>
        <v>yes</v>
      </c>
      <c r="L4648">
        <f>Tb_data[[#This Row],[workers]]-Tb_data[[#This Row],[previous_workers]]</f>
        <v>18</v>
      </c>
      <c r="M4648" s="12">
        <f>Tb_data[[#This Row],[Employees Growth]]/Tb_data[[#This Row],[previous_workers]]</f>
        <v>1.2</v>
      </c>
    </row>
    <row r="4649" spans="1:13" x14ac:dyDescent="0.25">
      <c r="A4649" s="1" t="s">
        <v>7068</v>
      </c>
      <c r="B4649" s="1" t="s">
        <v>7069</v>
      </c>
      <c r="C4649" s="1">
        <v>37100000</v>
      </c>
      <c r="D4649" s="1" t="s">
        <v>49</v>
      </c>
      <c r="E4649">
        <v>100.7201</v>
      </c>
      <c r="F4649" s="1" t="s">
        <v>25</v>
      </c>
      <c r="G4649">
        <v>54</v>
      </c>
      <c r="H4649">
        <v>20</v>
      </c>
      <c r="I4649" s="1" t="s">
        <v>74</v>
      </c>
      <c r="J4649">
        <v>5</v>
      </c>
      <c r="K4649" t="str">
        <f>IF(Tb_data[[#This Row],[previous_workers]]&lt;Tb_data[[#This Row],[workers]],"yes","no")</f>
        <v>yes</v>
      </c>
      <c r="L4649">
        <f>Tb_data[[#This Row],[workers]]-Tb_data[[#This Row],[previous_workers]]</f>
        <v>34</v>
      </c>
      <c r="M4649" s="12">
        <f>Tb_data[[#This Row],[Employees Growth]]/Tb_data[[#This Row],[previous_workers]]</f>
        <v>1.7</v>
      </c>
    </row>
    <row r="4650" spans="1:13" x14ac:dyDescent="0.25">
      <c r="A4650" s="1" t="s">
        <v>4216</v>
      </c>
      <c r="B4650" s="1" t="s">
        <v>4217</v>
      </c>
      <c r="C4650" s="1">
        <v>4100000</v>
      </c>
      <c r="D4650" s="1" t="s">
        <v>422</v>
      </c>
      <c r="E4650">
        <v>195.12569999999999</v>
      </c>
      <c r="F4650" s="1" t="s">
        <v>176</v>
      </c>
      <c r="G4650">
        <v>9</v>
      </c>
      <c r="H4650">
        <v>2</v>
      </c>
      <c r="I4650" s="1" t="s">
        <v>130</v>
      </c>
      <c r="J4650">
        <v>1</v>
      </c>
      <c r="K4650" t="str">
        <f>IF(Tb_data[[#This Row],[previous_workers]]&lt;Tb_data[[#This Row],[workers]],"yes","no")</f>
        <v>yes</v>
      </c>
      <c r="L4650">
        <f>Tb_data[[#This Row],[workers]]-Tb_data[[#This Row],[previous_workers]]</f>
        <v>7</v>
      </c>
      <c r="M4650" s="12">
        <f>Tb_data[[#This Row],[Employees Growth]]/Tb_data[[#This Row],[previous_workers]]</f>
        <v>3.5</v>
      </c>
    </row>
    <row r="4651" spans="1:13" x14ac:dyDescent="0.25">
      <c r="A4651" s="1" t="s">
        <v>7889</v>
      </c>
      <c r="B4651" s="1" t="s">
        <v>7890</v>
      </c>
      <c r="C4651" s="1">
        <v>30200000</v>
      </c>
      <c r="D4651" s="1" t="s">
        <v>41</v>
      </c>
      <c r="E4651">
        <v>84.833200000000005</v>
      </c>
      <c r="F4651" s="1" t="s">
        <v>86</v>
      </c>
      <c r="G4651">
        <v>152</v>
      </c>
      <c r="H4651">
        <v>83</v>
      </c>
      <c r="I4651" s="1" t="s">
        <v>961</v>
      </c>
      <c r="J4651">
        <v>2</v>
      </c>
      <c r="K4651" t="str">
        <f>IF(Tb_data[[#This Row],[previous_workers]]&lt;Tb_data[[#This Row],[workers]],"yes","no")</f>
        <v>yes</v>
      </c>
      <c r="L4651">
        <f>Tb_data[[#This Row],[workers]]-Tb_data[[#This Row],[previous_workers]]</f>
        <v>69</v>
      </c>
      <c r="M4651" s="12">
        <f>Tb_data[[#This Row],[Employees Growth]]/Tb_data[[#This Row],[previous_workers]]</f>
        <v>0.83132530120481929</v>
      </c>
    </row>
    <row r="4652" spans="1:13" x14ac:dyDescent="0.25">
      <c r="A4652" s="1" t="s">
        <v>4802</v>
      </c>
      <c r="B4652" s="1" t="s">
        <v>4803</v>
      </c>
      <c r="C4652" s="1">
        <v>11000000</v>
      </c>
      <c r="D4652" s="1" t="s">
        <v>254</v>
      </c>
      <c r="E4652">
        <v>169.73689999999999</v>
      </c>
      <c r="F4652" s="1" t="s">
        <v>135</v>
      </c>
      <c r="G4652">
        <v>110</v>
      </c>
      <c r="H4652">
        <v>65</v>
      </c>
      <c r="I4652" s="1" t="s">
        <v>117</v>
      </c>
      <c r="J4652">
        <v>1</v>
      </c>
      <c r="K4652" t="str">
        <f>IF(Tb_data[[#This Row],[previous_workers]]&lt;Tb_data[[#This Row],[workers]],"yes","no")</f>
        <v>yes</v>
      </c>
      <c r="L4652">
        <f>Tb_data[[#This Row],[workers]]-Tb_data[[#This Row],[previous_workers]]</f>
        <v>45</v>
      </c>
      <c r="M4652" s="12">
        <f>Tb_data[[#This Row],[Employees Growth]]/Tb_data[[#This Row],[previous_workers]]</f>
        <v>0.69230769230769229</v>
      </c>
    </row>
    <row r="4653" spans="1:13" x14ac:dyDescent="0.25">
      <c r="A4653" s="1" t="s">
        <v>2765</v>
      </c>
      <c r="B4653" s="1" t="s">
        <v>2766</v>
      </c>
      <c r="C4653" s="1">
        <v>2900000</v>
      </c>
      <c r="D4653" s="1" t="s">
        <v>20</v>
      </c>
      <c r="E4653">
        <v>311.2953</v>
      </c>
      <c r="F4653" s="1" t="s">
        <v>142</v>
      </c>
      <c r="G4653">
        <v>12</v>
      </c>
      <c r="H4653">
        <v>2</v>
      </c>
      <c r="I4653" s="1" t="s">
        <v>130</v>
      </c>
      <c r="J4653">
        <v>2</v>
      </c>
      <c r="K4653" t="str">
        <f>IF(Tb_data[[#This Row],[previous_workers]]&lt;Tb_data[[#This Row],[workers]],"yes","no")</f>
        <v>yes</v>
      </c>
      <c r="L4653">
        <f>Tb_data[[#This Row],[workers]]-Tb_data[[#This Row],[previous_workers]]</f>
        <v>10</v>
      </c>
      <c r="M4653" s="12">
        <f>Tb_data[[#This Row],[Employees Growth]]/Tb_data[[#This Row],[previous_workers]]</f>
        <v>5</v>
      </c>
    </row>
    <row r="4654" spans="1:13" x14ac:dyDescent="0.25">
      <c r="A4654" s="1" t="s">
        <v>9483</v>
      </c>
      <c r="B4654" s="1" t="s">
        <v>9484</v>
      </c>
      <c r="C4654" s="1">
        <v>28400000</v>
      </c>
      <c r="D4654" s="1" t="s">
        <v>123</v>
      </c>
      <c r="E4654">
        <v>60.494100000000003</v>
      </c>
      <c r="F4654" s="1" t="s">
        <v>25</v>
      </c>
      <c r="G4654">
        <v>307</v>
      </c>
      <c r="H4654">
        <v>230</v>
      </c>
      <c r="I4654" s="1" t="s">
        <v>1051</v>
      </c>
      <c r="J4654">
        <v>9</v>
      </c>
      <c r="K4654" t="str">
        <f>IF(Tb_data[[#This Row],[previous_workers]]&lt;Tb_data[[#This Row],[workers]],"yes","no")</f>
        <v>yes</v>
      </c>
      <c r="L4654">
        <f>Tb_data[[#This Row],[workers]]-Tb_data[[#This Row],[previous_workers]]</f>
        <v>77</v>
      </c>
      <c r="M4654" s="12">
        <f>Tb_data[[#This Row],[Employees Growth]]/Tb_data[[#This Row],[previous_workers]]</f>
        <v>0.33478260869565218</v>
      </c>
    </row>
    <row r="4655" spans="1:13" x14ac:dyDescent="0.25">
      <c r="A4655" s="1" t="s">
        <v>1660</v>
      </c>
      <c r="B4655" s="1" t="s">
        <v>1661</v>
      </c>
      <c r="C4655" s="1">
        <v>7200000</v>
      </c>
      <c r="D4655" s="1" t="s">
        <v>52</v>
      </c>
      <c r="E4655">
        <v>556.53110000000004</v>
      </c>
      <c r="F4655" s="1" t="s">
        <v>124</v>
      </c>
      <c r="G4655">
        <v>10</v>
      </c>
      <c r="H4655">
        <v>4</v>
      </c>
      <c r="I4655" s="1" t="s">
        <v>130</v>
      </c>
      <c r="J4655">
        <v>1</v>
      </c>
      <c r="K4655" t="str">
        <f>IF(Tb_data[[#This Row],[previous_workers]]&lt;Tb_data[[#This Row],[workers]],"yes","no")</f>
        <v>yes</v>
      </c>
      <c r="L4655">
        <f>Tb_data[[#This Row],[workers]]-Tb_data[[#This Row],[previous_workers]]</f>
        <v>6</v>
      </c>
      <c r="M4655" s="12">
        <f>Tb_data[[#This Row],[Employees Growth]]/Tb_data[[#This Row],[previous_workers]]</f>
        <v>1.5</v>
      </c>
    </row>
    <row r="4656" spans="1:13" x14ac:dyDescent="0.25">
      <c r="A4656" s="1" t="s">
        <v>4929</v>
      </c>
      <c r="B4656" s="1" t="s">
        <v>4930</v>
      </c>
      <c r="C4656" s="1">
        <v>9800000</v>
      </c>
      <c r="D4656" s="1" t="s">
        <v>115</v>
      </c>
      <c r="E4656">
        <v>164.7724</v>
      </c>
      <c r="F4656" s="1" t="s">
        <v>12</v>
      </c>
      <c r="G4656">
        <v>72</v>
      </c>
      <c r="H4656">
        <v>27</v>
      </c>
      <c r="I4656" s="1" t="s">
        <v>229</v>
      </c>
      <c r="J4656">
        <v>1</v>
      </c>
      <c r="K4656" t="str">
        <f>IF(Tb_data[[#This Row],[previous_workers]]&lt;Tb_data[[#This Row],[workers]],"yes","no")</f>
        <v>yes</v>
      </c>
      <c r="L4656">
        <f>Tb_data[[#This Row],[workers]]-Tb_data[[#This Row],[previous_workers]]</f>
        <v>45</v>
      </c>
      <c r="M4656" s="12">
        <f>Tb_data[[#This Row],[Employees Growth]]/Tb_data[[#This Row],[previous_workers]]</f>
        <v>1.6666666666666667</v>
      </c>
    </row>
    <row r="4657" spans="1:13" x14ac:dyDescent="0.25">
      <c r="A4657" s="1" t="s">
        <v>6067</v>
      </c>
      <c r="B4657" s="1" t="s">
        <v>6068</v>
      </c>
      <c r="C4657" s="1">
        <v>155600000</v>
      </c>
      <c r="D4657" s="1" t="s">
        <v>45</v>
      </c>
      <c r="E4657">
        <v>125.05249999999999</v>
      </c>
      <c r="F4657" s="1" t="s">
        <v>62</v>
      </c>
      <c r="G4657">
        <v>1173</v>
      </c>
      <c r="H4657">
        <v>465</v>
      </c>
      <c r="I4657" s="1" t="s">
        <v>4065</v>
      </c>
      <c r="J4657">
        <v>4</v>
      </c>
      <c r="K4657" t="str">
        <f>IF(Tb_data[[#This Row],[previous_workers]]&lt;Tb_data[[#This Row],[workers]],"yes","no")</f>
        <v>yes</v>
      </c>
      <c r="L4657">
        <f>Tb_data[[#This Row],[workers]]-Tb_data[[#This Row],[previous_workers]]</f>
        <v>708</v>
      </c>
      <c r="M4657" s="12">
        <f>Tb_data[[#This Row],[Employees Growth]]/Tb_data[[#This Row],[previous_workers]]</f>
        <v>1.5225806451612902</v>
      </c>
    </row>
    <row r="4658" spans="1:13" x14ac:dyDescent="0.25">
      <c r="A4658" s="1" t="s">
        <v>2945</v>
      </c>
      <c r="B4658" s="1" t="s">
        <v>2946</v>
      </c>
      <c r="C4658" s="1">
        <v>41300000</v>
      </c>
      <c r="D4658" s="1" t="s">
        <v>49</v>
      </c>
      <c r="E4658">
        <v>292.23090000000002</v>
      </c>
      <c r="F4658" s="1" t="s">
        <v>156</v>
      </c>
      <c r="G4658">
        <v>117</v>
      </c>
      <c r="H4658">
        <v>47</v>
      </c>
      <c r="I4658" s="1" t="s">
        <v>164</v>
      </c>
      <c r="J4658">
        <v>3</v>
      </c>
      <c r="K4658" t="str">
        <f>IF(Tb_data[[#This Row],[previous_workers]]&lt;Tb_data[[#This Row],[workers]],"yes","no")</f>
        <v>yes</v>
      </c>
      <c r="L4658">
        <f>Tb_data[[#This Row],[workers]]-Tb_data[[#This Row],[previous_workers]]</f>
        <v>70</v>
      </c>
      <c r="M4658" s="12">
        <f>Tb_data[[#This Row],[Employees Growth]]/Tb_data[[#This Row],[previous_workers]]</f>
        <v>1.4893617021276595</v>
      </c>
    </row>
    <row r="4659" spans="1:13" x14ac:dyDescent="0.25">
      <c r="A4659" s="1" t="s">
        <v>2183</v>
      </c>
      <c r="B4659" s="1" t="s">
        <v>2184</v>
      </c>
      <c r="C4659" s="1">
        <v>7100000</v>
      </c>
      <c r="D4659" s="1" t="s">
        <v>49</v>
      </c>
      <c r="E4659">
        <v>405.54160000000002</v>
      </c>
      <c r="F4659" s="1" t="s">
        <v>112</v>
      </c>
      <c r="G4659">
        <v>34</v>
      </c>
      <c r="H4659">
        <v>21</v>
      </c>
      <c r="I4659" s="1" t="s">
        <v>164</v>
      </c>
      <c r="J4659">
        <v>3</v>
      </c>
      <c r="K4659" t="str">
        <f>IF(Tb_data[[#This Row],[previous_workers]]&lt;Tb_data[[#This Row],[workers]],"yes","no")</f>
        <v>yes</v>
      </c>
      <c r="L4659">
        <f>Tb_data[[#This Row],[workers]]-Tb_data[[#This Row],[previous_workers]]</f>
        <v>13</v>
      </c>
      <c r="M4659" s="12">
        <f>Tb_data[[#This Row],[Employees Growth]]/Tb_data[[#This Row],[previous_workers]]</f>
        <v>0.61904761904761907</v>
      </c>
    </row>
    <row r="4660" spans="1:13" x14ac:dyDescent="0.25">
      <c r="A4660" s="1" t="s">
        <v>2342</v>
      </c>
      <c r="B4660" s="1" t="s">
        <v>2343</v>
      </c>
      <c r="C4660" s="1">
        <v>16600000</v>
      </c>
      <c r="D4660" s="1" t="s">
        <v>33</v>
      </c>
      <c r="E4660">
        <v>374.47539999999998</v>
      </c>
      <c r="F4660" s="1" t="s">
        <v>94</v>
      </c>
      <c r="G4660">
        <v>15</v>
      </c>
      <c r="H4660">
        <v>7</v>
      </c>
      <c r="I4660" s="1" t="s">
        <v>164</v>
      </c>
      <c r="J4660">
        <v>2</v>
      </c>
      <c r="K4660" t="str">
        <f>IF(Tb_data[[#This Row],[previous_workers]]&lt;Tb_data[[#This Row],[workers]],"yes","no")</f>
        <v>yes</v>
      </c>
      <c r="L4660">
        <f>Tb_data[[#This Row],[workers]]-Tb_data[[#This Row],[previous_workers]]</f>
        <v>8</v>
      </c>
      <c r="M4660" s="12">
        <f>Tb_data[[#This Row],[Employees Growth]]/Tb_data[[#This Row],[previous_workers]]</f>
        <v>1.1428571428571428</v>
      </c>
    </row>
    <row r="4661" spans="1:13" x14ac:dyDescent="0.25">
      <c r="A4661" s="1" t="s">
        <v>8791</v>
      </c>
      <c r="B4661" s="1" t="s">
        <v>8792</v>
      </c>
      <c r="C4661" s="1">
        <v>56700000</v>
      </c>
      <c r="D4661" s="1" t="s">
        <v>33</v>
      </c>
      <c r="E4661">
        <v>69.579099999999997</v>
      </c>
      <c r="F4661" s="1" t="s">
        <v>176</v>
      </c>
      <c r="G4661">
        <v>246</v>
      </c>
      <c r="H4661">
        <v>144</v>
      </c>
      <c r="I4661" s="1" t="s">
        <v>295</v>
      </c>
      <c r="J4661">
        <v>1</v>
      </c>
      <c r="K4661" t="str">
        <f>IF(Tb_data[[#This Row],[previous_workers]]&lt;Tb_data[[#This Row],[workers]],"yes","no")</f>
        <v>yes</v>
      </c>
      <c r="L4661">
        <f>Tb_data[[#This Row],[workers]]-Tb_data[[#This Row],[previous_workers]]</f>
        <v>102</v>
      </c>
      <c r="M4661" s="12">
        <f>Tb_data[[#This Row],[Employees Growth]]/Tb_data[[#This Row],[previous_workers]]</f>
        <v>0.70833333333333337</v>
      </c>
    </row>
    <row r="4662" spans="1:13" x14ac:dyDescent="0.25">
      <c r="A4662" s="1" t="s">
        <v>7331</v>
      </c>
      <c r="B4662" s="1" t="s">
        <v>7332</v>
      </c>
      <c r="C4662" s="1">
        <v>4300000</v>
      </c>
      <c r="D4662" s="1" t="s">
        <v>483</v>
      </c>
      <c r="E4662">
        <v>96.451999999999998</v>
      </c>
      <c r="F4662" s="1" t="s">
        <v>25</v>
      </c>
      <c r="G4662">
        <v>17</v>
      </c>
      <c r="H4662">
        <v>7</v>
      </c>
      <c r="I4662" s="1" t="s">
        <v>117</v>
      </c>
      <c r="J4662">
        <v>4</v>
      </c>
      <c r="K4662" t="str">
        <f>IF(Tb_data[[#This Row],[previous_workers]]&lt;Tb_data[[#This Row],[workers]],"yes","no")</f>
        <v>yes</v>
      </c>
      <c r="L4662">
        <f>Tb_data[[#This Row],[workers]]-Tb_data[[#This Row],[previous_workers]]</f>
        <v>10</v>
      </c>
      <c r="M4662" s="12">
        <f>Tb_data[[#This Row],[Employees Growth]]/Tb_data[[#This Row],[previous_workers]]</f>
        <v>1.4285714285714286</v>
      </c>
    </row>
    <row r="4663" spans="1:13" x14ac:dyDescent="0.25">
      <c r="A4663" s="1" t="s">
        <v>3953</v>
      </c>
      <c r="B4663" s="1" t="s">
        <v>3954</v>
      </c>
      <c r="C4663" s="1">
        <v>10600000</v>
      </c>
      <c r="D4663" s="1" t="s">
        <v>79</v>
      </c>
      <c r="E4663">
        <v>209.24250000000001</v>
      </c>
      <c r="F4663" s="1" t="s">
        <v>124</v>
      </c>
      <c r="G4663">
        <v>200</v>
      </c>
      <c r="H4663">
        <v>8</v>
      </c>
      <c r="I4663" s="1" t="s">
        <v>130</v>
      </c>
      <c r="J4663">
        <v>5</v>
      </c>
      <c r="K4663" t="str">
        <f>IF(Tb_data[[#This Row],[previous_workers]]&lt;Tb_data[[#This Row],[workers]],"yes","no")</f>
        <v>yes</v>
      </c>
      <c r="L4663">
        <f>Tb_data[[#This Row],[workers]]-Tb_data[[#This Row],[previous_workers]]</f>
        <v>192</v>
      </c>
      <c r="M4663" s="12">
        <f>Tb_data[[#This Row],[Employees Growth]]/Tb_data[[#This Row],[previous_workers]]</f>
        <v>24</v>
      </c>
    </row>
    <row r="4664" spans="1:13" x14ac:dyDescent="0.25">
      <c r="A4664" s="1" t="s">
        <v>8425</v>
      </c>
      <c r="B4664" s="1" t="s">
        <v>8426</v>
      </c>
      <c r="C4664" s="1">
        <v>23700000</v>
      </c>
      <c r="D4664" s="1" t="s">
        <v>33</v>
      </c>
      <c r="E4664">
        <v>75.408100000000005</v>
      </c>
      <c r="F4664" s="1" t="s">
        <v>34</v>
      </c>
      <c r="G4664">
        <v>72</v>
      </c>
      <c r="H4664">
        <v>4</v>
      </c>
      <c r="I4664" s="1" t="s">
        <v>147</v>
      </c>
      <c r="J4664">
        <v>4</v>
      </c>
      <c r="K4664" t="str">
        <f>IF(Tb_data[[#This Row],[previous_workers]]&lt;Tb_data[[#This Row],[workers]],"yes","no")</f>
        <v>yes</v>
      </c>
      <c r="L4664">
        <f>Tb_data[[#This Row],[workers]]-Tb_data[[#This Row],[previous_workers]]</f>
        <v>68</v>
      </c>
      <c r="M4664" s="12">
        <f>Tb_data[[#This Row],[Employees Growth]]/Tb_data[[#This Row],[previous_workers]]</f>
        <v>17</v>
      </c>
    </row>
    <row r="4665" spans="1:13" x14ac:dyDescent="0.25">
      <c r="A4665" s="1" t="s">
        <v>9131</v>
      </c>
      <c r="B4665" s="1" t="s">
        <v>9132</v>
      </c>
      <c r="C4665" s="1">
        <v>41500000</v>
      </c>
      <c r="D4665" s="1" t="s">
        <v>422</v>
      </c>
      <c r="E4665">
        <v>65.0214</v>
      </c>
      <c r="F4665" s="1" t="s">
        <v>100</v>
      </c>
      <c r="G4665">
        <v>95</v>
      </c>
      <c r="H4665">
        <v>92</v>
      </c>
      <c r="I4665" s="1" t="s">
        <v>3977</v>
      </c>
      <c r="J4665">
        <v>4</v>
      </c>
      <c r="K4665" t="str">
        <f>IF(Tb_data[[#This Row],[previous_workers]]&lt;Tb_data[[#This Row],[workers]],"yes","no")</f>
        <v>yes</v>
      </c>
      <c r="L4665">
        <f>Tb_data[[#This Row],[workers]]-Tb_data[[#This Row],[previous_workers]]</f>
        <v>3</v>
      </c>
      <c r="M4665" s="12">
        <f>Tb_data[[#This Row],[Employees Growth]]/Tb_data[[#This Row],[previous_workers]]</f>
        <v>3.2608695652173912E-2</v>
      </c>
    </row>
    <row r="4666" spans="1:13" x14ac:dyDescent="0.25">
      <c r="A4666" s="1" t="s">
        <v>9532</v>
      </c>
      <c r="B4666" s="1" t="s">
        <v>9533</v>
      </c>
      <c r="C4666" s="1">
        <v>12500000</v>
      </c>
      <c r="D4666" s="1" t="s">
        <v>115</v>
      </c>
      <c r="E4666">
        <v>59.919499999999999</v>
      </c>
      <c r="F4666" s="1" t="s">
        <v>124</v>
      </c>
      <c r="G4666">
        <v>156</v>
      </c>
      <c r="H4666">
        <v>100</v>
      </c>
      <c r="I4666" s="1" t="s">
        <v>13</v>
      </c>
      <c r="J4666">
        <v>1</v>
      </c>
      <c r="K4666" t="str">
        <f>IF(Tb_data[[#This Row],[previous_workers]]&lt;Tb_data[[#This Row],[workers]],"yes","no")</f>
        <v>yes</v>
      </c>
      <c r="L4666">
        <f>Tb_data[[#This Row],[workers]]-Tb_data[[#This Row],[previous_workers]]</f>
        <v>56</v>
      </c>
      <c r="M4666" s="12">
        <f>Tb_data[[#This Row],[Employees Growth]]/Tb_data[[#This Row],[previous_workers]]</f>
        <v>0.56000000000000005</v>
      </c>
    </row>
    <row r="4667" spans="1:13" x14ac:dyDescent="0.25">
      <c r="A4667" s="1" t="s">
        <v>5372</v>
      </c>
      <c r="B4667" s="1" t="s">
        <v>5373</v>
      </c>
      <c r="C4667" s="1">
        <v>8400000</v>
      </c>
      <c r="D4667" s="1" t="s">
        <v>129</v>
      </c>
      <c r="E4667">
        <v>147.49860000000001</v>
      </c>
      <c r="F4667" s="1" t="s">
        <v>135</v>
      </c>
      <c r="G4667">
        <v>25</v>
      </c>
      <c r="H4667">
        <v>15</v>
      </c>
      <c r="I4667" s="1" t="s">
        <v>295</v>
      </c>
      <c r="J4667">
        <v>2</v>
      </c>
      <c r="K4667" t="str">
        <f>IF(Tb_data[[#This Row],[previous_workers]]&lt;Tb_data[[#This Row],[workers]],"yes","no")</f>
        <v>yes</v>
      </c>
      <c r="L4667">
        <f>Tb_data[[#This Row],[workers]]-Tb_data[[#This Row],[previous_workers]]</f>
        <v>10</v>
      </c>
      <c r="M4667" s="12">
        <f>Tb_data[[#This Row],[Employees Growth]]/Tb_data[[#This Row],[previous_workers]]</f>
        <v>0.66666666666666663</v>
      </c>
    </row>
    <row r="4668" spans="1:13" x14ac:dyDescent="0.25">
      <c r="A4668" s="1" t="s">
        <v>2999</v>
      </c>
      <c r="B4668" s="1" t="s">
        <v>3000</v>
      </c>
      <c r="C4668" s="1">
        <v>28900000</v>
      </c>
      <c r="D4668" s="1" t="s">
        <v>33</v>
      </c>
      <c r="E4668">
        <v>287.15199999999999</v>
      </c>
      <c r="F4668" s="1" t="s">
        <v>124</v>
      </c>
      <c r="G4668">
        <v>72</v>
      </c>
      <c r="H4668">
        <v>40</v>
      </c>
      <c r="I4668" s="1" t="s">
        <v>46</v>
      </c>
      <c r="J4668">
        <v>3</v>
      </c>
      <c r="K4668" t="str">
        <f>IF(Tb_data[[#This Row],[previous_workers]]&lt;Tb_data[[#This Row],[workers]],"yes","no")</f>
        <v>yes</v>
      </c>
      <c r="L4668">
        <f>Tb_data[[#This Row],[workers]]-Tb_data[[#This Row],[previous_workers]]</f>
        <v>32</v>
      </c>
      <c r="M4668" s="12">
        <f>Tb_data[[#This Row],[Employees Growth]]/Tb_data[[#This Row],[previous_workers]]</f>
        <v>0.8</v>
      </c>
    </row>
    <row r="4669" spans="1:13" x14ac:dyDescent="0.25">
      <c r="A4669" s="1" t="s">
        <v>5544</v>
      </c>
      <c r="B4669" s="1" t="s">
        <v>5545</v>
      </c>
      <c r="C4669" s="1">
        <v>8600000</v>
      </c>
      <c r="D4669" s="1" t="s">
        <v>115</v>
      </c>
      <c r="E4669">
        <v>140.94890000000001</v>
      </c>
      <c r="F4669" s="1" t="s">
        <v>86</v>
      </c>
      <c r="G4669">
        <v>18</v>
      </c>
      <c r="H4669">
        <v>13</v>
      </c>
      <c r="I4669" s="1" t="s">
        <v>372</v>
      </c>
      <c r="J4669">
        <v>2</v>
      </c>
      <c r="K4669" t="str">
        <f>IF(Tb_data[[#This Row],[previous_workers]]&lt;Tb_data[[#This Row],[workers]],"yes","no")</f>
        <v>yes</v>
      </c>
      <c r="L4669">
        <f>Tb_data[[#This Row],[workers]]-Tb_data[[#This Row],[previous_workers]]</f>
        <v>5</v>
      </c>
      <c r="M4669" s="12">
        <f>Tb_data[[#This Row],[Employees Growth]]/Tb_data[[#This Row],[previous_workers]]</f>
        <v>0.38461538461538464</v>
      </c>
    </row>
    <row r="4670" spans="1:13" x14ac:dyDescent="0.25">
      <c r="A4670" s="1" t="s">
        <v>4214</v>
      </c>
      <c r="B4670" s="1" t="s">
        <v>4215</v>
      </c>
      <c r="C4670" s="1">
        <v>15100000</v>
      </c>
      <c r="D4670" s="1" t="s">
        <v>58</v>
      </c>
      <c r="E4670">
        <v>195.2038</v>
      </c>
      <c r="F4670" s="1" t="s">
        <v>176</v>
      </c>
      <c r="G4670">
        <v>46</v>
      </c>
      <c r="H4670">
        <v>26</v>
      </c>
      <c r="I4670" s="1" t="s">
        <v>1411</v>
      </c>
      <c r="J4670">
        <v>4</v>
      </c>
      <c r="K4670" t="str">
        <f>IF(Tb_data[[#This Row],[previous_workers]]&lt;Tb_data[[#This Row],[workers]],"yes","no")</f>
        <v>yes</v>
      </c>
      <c r="L4670">
        <f>Tb_data[[#This Row],[workers]]-Tb_data[[#This Row],[previous_workers]]</f>
        <v>20</v>
      </c>
      <c r="M4670" s="12">
        <f>Tb_data[[#This Row],[Employees Growth]]/Tb_data[[#This Row],[previous_workers]]</f>
        <v>0.76923076923076927</v>
      </c>
    </row>
    <row r="4671" spans="1:13" x14ac:dyDescent="0.25">
      <c r="A4671" s="1" t="s">
        <v>8029</v>
      </c>
      <c r="B4671" s="1" t="s">
        <v>8030</v>
      </c>
      <c r="C4671" s="1">
        <v>6200000</v>
      </c>
      <c r="D4671" s="1" t="s">
        <v>33</v>
      </c>
      <c r="E4671">
        <v>82.3262</v>
      </c>
      <c r="F4671" s="1" t="s">
        <v>124</v>
      </c>
      <c r="G4671">
        <v>50</v>
      </c>
      <c r="H4671">
        <v>30</v>
      </c>
      <c r="I4671" s="1" t="s">
        <v>1356</v>
      </c>
      <c r="J4671">
        <v>1</v>
      </c>
      <c r="K4671" t="str">
        <f>IF(Tb_data[[#This Row],[previous_workers]]&lt;Tb_data[[#This Row],[workers]],"yes","no")</f>
        <v>yes</v>
      </c>
      <c r="L4671">
        <f>Tb_data[[#This Row],[workers]]-Tb_data[[#This Row],[previous_workers]]</f>
        <v>20</v>
      </c>
      <c r="M4671" s="12">
        <f>Tb_data[[#This Row],[Employees Growth]]/Tb_data[[#This Row],[previous_workers]]</f>
        <v>0.66666666666666663</v>
      </c>
    </row>
    <row r="4672" spans="1:13" x14ac:dyDescent="0.25">
      <c r="A4672" s="1" t="s">
        <v>9614</v>
      </c>
      <c r="B4672" s="1" t="s">
        <v>9615</v>
      </c>
      <c r="C4672" s="1">
        <v>522600000</v>
      </c>
      <c r="D4672" s="1" t="s">
        <v>20</v>
      </c>
      <c r="E4672">
        <v>59.032899999999998</v>
      </c>
      <c r="F4672" s="1" t="s">
        <v>124</v>
      </c>
      <c r="G4672">
        <v>2336</v>
      </c>
      <c r="H4672">
        <v>1579</v>
      </c>
      <c r="I4672" s="1" t="s">
        <v>3843</v>
      </c>
      <c r="J4672">
        <v>8</v>
      </c>
      <c r="K4672" t="str">
        <f>IF(Tb_data[[#This Row],[previous_workers]]&lt;Tb_data[[#This Row],[workers]],"yes","no")</f>
        <v>yes</v>
      </c>
      <c r="L4672">
        <f>Tb_data[[#This Row],[workers]]-Tb_data[[#This Row],[previous_workers]]</f>
        <v>757</v>
      </c>
      <c r="M4672" s="12">
        <f>Tb_data[[#This Row],[Employees Growth]]/Tb_data[[#This Row],[previous_workers]]</f>
        <v>0.47941735275490815</v>
      </c>
    </row>
    <row r="4673" spans="1:13" x14ac:dyDescent="0.25">
      <c r="A4673" s="1" t="s">
        <v>1100</v>
      </c>
      <c r="B4673" s="1" t="s">
        <v>1101</v>
      </c>
      <c r="C4673" s="1">
        <v>8000000</v>
      </c>
      <c r="D4673" s="1" t="s">
        <v>61</v>
      </c>
      <c r="E4673">
        <v>869.74900000000002</v>
      </c>
      <c r="F4673" s="1" t="s">
        <v>62</v>
      </c>
      <c r="G4673">
        <v>70</v>
      </c>
      <c r="H4673">
        <v>45</v>
      </c>
      <c r="I4673" s="1" t="s">
        <v>948</v>
      </c>
      <c r="J4673">
        <v>1</v>
      </c>
      <c r="K4673" t="str">
        <f>IF(Tb_data[[#This Row],[previous_workers]]&lt;Tb_data[[#This Row],[workers]],"yes","no")</f>
        <v>yes</v>
      </c>
      <c r="L4673">
        <f>Tb_data[[#This Row],[workers]]-Tb_data[[#This Row],[previous_workers]]</f>
        <v>25</v>
      </c>
      <c r="M4673" s="12">
        <f>Tb_data[[#This Row],[Employees Growth]]/Tb_data[[#This Row],[previous_workers]]</f>
        <v>0.55555555555555558</v>
      </c>
    </row>
    <row r="4674" spans="1:13" x14ac:dyDescent="0.25">
      <c r="A4674" s="1" t="s">
        <v>1847</v>
      </c>
      <c r="B4674" s="1" t="s">
        <v>1848</v>
      </c>
      <c r="C4674" s="1">
        <v>105600000</v>
      </c>
      <c r="D4674" s="1" t="s">
        <v>45</v>
      </c>
      <c r="E4674">
        <v>489.00839999999999</v>
      </c>
      <c r="F4674" s="1" t="s">
        <v>124</v>
      </c>
      <c r="G4674">
        <v>300</v>
      </c>
      <c r="H4674">
        <v>51</v>
      </c>
      <c r="I4674" s="1" t="s">
        <v>229</v>
      </c>
      <c r="J4674">
        <v>2</v>
      </c>
      <c r="K4674" t="str">
        <f>IF(Tb_data[[#This Row],[previous_workers]]&lt;Tb_data[[#This Row],[workers]],"yes","no")</f>
        <v>yes</v>
      </c>
      <c r="L4674">
        <f>Tb_data[[#This Row],[workers]]-Tb_data[[#This Row],[previous_workers]]</f>
        <v>249</v>
      </c>
      <c r="M4674" s="12">
        <f>Tb_data[[#This Row],[Employees Growth]]/Tb_data[[#This Row],[previous_workers]]</f>
        <v>4.882352941176471</v>
      </c>
    </row>
    <row r="4675" spans="1:13" x14ac:dyDescent="0.25">
      <c r="A4675" s="1" t="s">
        <v>462</v>
      </c>
      <c r="B4675" s="1" t="s">
        <v>463</v>
      </c>
      <c r="C4675" s="1">
        <v>12700000</v>
      </c>
      <c r="D4675" s="1" t="s">
        <v>38</v>
      </c>
      <c r="E4675">
        <v>2095.6151</v>
      </c>
      <c r="F4675" s="1" t="s">
        <v>21</v>
      </c>
      <c r="G4675">
        <v>28</v>
      </c>
      <c r="H4675">
        <v>2</v>
      </c>
      <c r="I4675" s="1" t="s">
        <v>26</v>
      </c>
      <c r="J4675">
        <v>1</v>
      </c>
      <c r="K4675" t="str">
        <f>IF(Tb_data[[#This Row],[previous_workers]]&lt;Tb_data[[#This Row],[workers]],"yes","no")</f>
        <v>yes</v>
      </c>
      <c r="L4675">
        <f>Tb_data[[#This Row],[workers]]-Tb_data[[#This Row],[previous_workers]]</f>
        <v>26</v>
      </c>
      <c r="M4675" s="12">
        <f>Tb_data[[#This Row],[Employees Growth]]/Tb_data[[#This Row],[previous_workers]]</f>
        <v>13</v>
      </c>
    </row>
    <row r="4676" spans="1:13" x14ac:dyDescent="0.25">
      <c r="A4676" s="1" t="s">
        <v>6906</v>
      </c>
      <c r="B4676" s="1" t="s">
        <v>6907</v>
      </c>
      <c r="C4676" s="1">
        <v>75400000</v>
      </c>
      <c r="D4676" s="1" t="s">
        <v>33</v>
      </c>
      <c r="E4676">
        <v>103.9534</v>
      </c>
      <c r="F4676" s="1" t="s">
        <v>172</v>
      </c>
      <c r="G4676">
        <v>1114</v>
      </c>
      <c r="H4676">
        <v>520</v>
      </c>
      <c r="I4676" s="1" t="s">
        <v>35</v>
      </c>
      <c r="J4676">
        <v>1</v>
      </c>
      <c r="K4676" t="str">
        <f>IF(Tb_data[[#This Row],[previous_workers]]&lt;Tb_data[[#This Row],[workers]],"yes","no")</f>
        <v>yes</v>
      </c>
      <c r="L4676">
        <f>Tb_data[[#This Row],[workers]]-Tb_data[[#This Row],[previous_workers]]</f>
        <v>594</v>
      </c>
      <c r="M4676" s="12">
        <f>Tb_data[[#This Row],[Employees Growth]]/Tb_data[[#This Row],[previous_workers]]</f>
        <v>1.1423076923076922</v>
      </c>
    </row>
    <row r="4677" spans="1:13" x14ac:dyDescent="0.25">
      <c r="A4677" s="1" t="s">
        <v>6239</v>
      </c>
      <c r="B4677" s="1" t="s">
        <v>6240</v>
      </c>
      <c r="C4677" s="1">
        <v>20000000</v>
      </c>
      <c r="D4677" s="1" t="s">
        <v>69</v>
      </c>
      <c r="E4677">
        <v>120.6528</v>
      </c>
      <c r="F4677" s="1" t="s">
        <v>169</v>
      </c>
      <c r="G4677">
        <v>216</v>
      </c>
      <c r="H4677">
        <v>86</v>
      </c>
      <c r="I4677" s="1" t="s">
        <v>1622</v>
      </c>
      <c r="J4677">
        <v>4</v>
      </c>
      <c r="K4677" t="str">
        <f>IF(Tb_data[[#This Row],[previous_workers]]&lt;Tb_data[[#This Row],[workers]],"yes","no")</f>
        <v>yes</v>
      </c>
      <c r="L4677">
        <f>Tb_data[[#This Row],[workers]]-Tb_data[[#This Row],[previous_workers]]</f>
        <v>130</v>
      </c>
      <c r="M4677" s="12">
        <f>Tb_data[[#This Row],[Employees Growth]]/Tb_data[[#This Row],[previous_workers]]</f>
        <v>1.5116279069767442</v>
      </c>
    </row>
    <row r="4678" spans="1:13" x14ac:dyDescent="0.25">
      <c r="A4678" s="1" t="s">
        <v>1028</v>
      </c>
      <c r="B4678" s="1" t="s">
        <v>3946</v>
      </c>
      <c r="C4678" s="1">
        <v>26900000</v>
      </c>
      <c r="D4678" s="1" t="s">
        <v>58</v>
      </c>
      <c r="E4678">
        <v>210.02070000000001</v>
      </c>
      <c r="F4678" s="1" t="s">
        <v>86</v>
      </c>
      <c r="G4678">
        <v>501</v>
      </c>
      <c r="H4678">
        <v>187</v>
      </c>
      <c r="I4678" s="1" t="s">
        <v>35</v>
      </c>
      <c r="J4678">
        <v>5</v>
      </c>
      <c r="K4678" t="str">
        <f>IF(Tb_data[[#This Row],[previous_workers]]&lt;Tb_data[[#This Row],[workers]],"yes","no")</f>
        <v>yes</v>
      </c>
      <c r="L4678">
        <f>Tb_data[[#This Row],[workers]]-Tb_data[[#This Row],[previous_workers]]</f>
        <v>314</v>
      </c>
      <c r="M4678" s="12">
        <f>Tb_data[[#This Row],[Employees Growth]]/Tb_data[[#This Row],[previous_workers]]</f>
        <v>1.679144385026738</v>
      </c>
    </row>
    <row r="4679" spans="1:13" x14ac:dyDescent="0.25">
      <c r="A4679" s="1" t="s">
        <v>529</v>
      </c>
      <c r="B4679" s="1" t="s">
        <v>530</v>
      </c>
      <c r="C4679" s="1">
        <v>10000000</v>
      </c>
      <c r="D4679" s="1" t="s">
        <v>115</v>
      </c>
      <c r="E4679">
        <v>1882.0256999999999</v>
      </c>
      <c r="F4679" s="1" t="s">
        <v>86</v>
      </c>
      <c r="G4679">
        <v>90</v>
      </c>
      <c r="H4679">
        <v>2</v>
      </c>
      <c r="I4679" s="1" t="s">
        <v>117</v>
      </c>
      <c r="J4679">
        <v>3</v>
      </c>
      <c r="K4679" t="str">
        <f>IF(Tb_data[[#This Row],[previous_workers]]&lt;Tb_data[[#This Row],[workers]],"yes","no")</f>
        <v>yes</v>
      </c>
      <c r="L4679">
        <f>Tb_data[[#This Row],[workers]]-Tb_data[[#This Row],[previous_workers]]</f>
        <v>88</v>
      </c>
      <c r="M4679" s="12">
        <f>Tb_data[[#This Row],[Employees Growth]]/Tb_data[[#This Row],[previous_workers]]</f>
        <v>44</v>
      </c>
    </row>
    <row r="4680" spans="1:13" x14ac:dyDescent="0.25">
      <c r="A4680" s="1" t="s">
        <v>7749</v>
      </c>
      <c r="B4680" s="1" t="s">
        <v>7750</v>
      </c>
      <c r="C4680" s="1">
        <v>6000000</v>
      </c>
      <c r="D4680" s="1" t="s">
        <v>61</v>
      </c>
      <c r="E4680">
        <v>87.142399999999995</v>
      </c>
      <c r="F4680" s="1" t="s">
        <v>86</v>
      </c>
      <c r="G4680">
        <v>33</v>
      </c>
      <c r="H4680">
        <v>22</v>
      </c>
      <c r="I4680" s="1" t="s">
        <v>194</v>
      </c>
      <c r="J4680">
        <v>6</v>
      </c>
      <c r="K4680" t="str">
        <f>IF(Tb_data[[#This Row],[previous_workers]]&lt;Tb_data[[#This Row],[workers]],"yes","no")</f>
        <v>yes</v>
      </c>
      <c r="L4680">
        <f>Tb_data[[#This Row],[workers]]-Tb_data[[#This Row],[previous_workers]]</f>
        <v>11</v>
      </c>
      <c r="M4680" s="12">
        <f>Tb_data[[#This Row],[Employees Growth]]/Tb_data[[#This Row],[previous_workers]]</f>
        <v>0.5</v>
      </c>
    </row>
    <row r="4681" spans="1:13" x14ac:dyDescent="0.25">
      <c r="A4681" s="1" t="s">
        <v>4970</v>
      </c>
      <c r="B4681" s="1" t="s">
        <v>4971</v>
      </c>
      <c r="C4681" s="1">
        <v>13800000</v>
      </c>
      <c r="D4681" s="1" t="s">
        <v>45</v>
      </c>
      <c r="E4681">
        <v>163.09129999999999</v>
      </c>
      <c r="F4681" s="1" t="s">
        <v>86</v>
      </c>
      <c r="G4681">
        <v>106</v>
      </c>
      <c r="H4681">
        <v>28</v>
      </c>
      <c r="I4681" s="1" t="s">
        <v>35</v>
      </c>
      <c r="J4681">
        <v>5</v>
      </c>
      <c r="K4681" t="str">
        <f>IF(Tb_data[[#This Row],[previous_workers]]&lt;Tb_data[[#This Row],[workers]],"yes","no")</f>
        <v>yes</v>
      </c>
      <c r="L4681">
        <f>Tb_data[[#This Row],[workers]]-Tb_data[[#This Row],[previous_workers]]</f>
        <v>78</v>
      </c>
      <c r="M4681" s="12">
        <f>Tb_data[[#This Row],[Employees Growth]]/Tb_data[[#This Row],[previous_workers]]</f>
        <v>2.7857142857142856</v>
      </c>
    </row>
    <row r="4682" spans="1:13" x14ac:dyDescent="0.25">
      <c r="A4682" s="1" t="s">
        <v>883</v>
      </c>
      <c r="B4682" s="1" t="s">
        <v>884</v>
      </c>
      <c r="C4682" s="1">
        <v>10100000</v>
      </c>
      <c r="D4682" s="1" t="s">
        <v>49</v>
      </c>
      <c r="E4682">
        <v>1152.1347000000001</v>
      </c>
      <c r="F4682" s="1" t="s">
        <v>100</v>
      </c>
      <c r="G4682">
        <v>30</v>
      </c>
      <c r="H4682">
        <v>12</v>
      </c>
      <c r="I4682" s="1" t="s">
        <v>55</v>
      </c>
      <c r="J4682">
        <v>2</v>
      </c>
      <c r="K4682" t="str">
        <f>IF(Tb_data[[#This Row],[previous_workers]]&lt;Tb_data[[#This Row],[workers]],"yes","no")</f>
        <v>yes</v>
      </c>
      <c r="L4682">
        <f>Tb_data[[#This Row],[workers]]-Tb_data[[#This Row],[previous_workers]]</f>
        <v>18</v>
      </c>
      <c r="M4682" s="12">
        <f>Tb_data[[#This Row],[Employees Growth]]/Tb_data[[#This Row],[previous_workers]]</f>
        <v>1.5</v>
      </c>
    </row>
    <row r="4683" spans="1:13" x14ac:dyDescent="0.25">
      <c r="A4683" s="1" t="s">
        <v>5995</v>
      </c>
      <c r="B4683" s="1" t="s">
        <v>5996</v>
      </c>
      <c r="C4683" s="1">
        <v>3700000</v>
      </c>
      <c r="D4683" s="1" t="s">
        <v>1446</v>
      </c>
      <c r="E4683">
        <v>126.6447</v>
      </c>
      <c r="F4683" s="1" t="s">
        <v>25</v>
      </c>
      <c r="G4683">
        <v>44</v>
      </c>
      <c r="H4683">
        <v>16</v>
      </c>
      <c r="I4683" s="1" t="s">
        <v>164</v>
      </c>
      <c r="J4683">
        <v>1</v>
      </c>
      <c r="K4683" t="str">
        <f>IF(Tb_data[[#This Row],[previous_workers]]&lt;Tb_data[[#This Row],[workers]],"yes","no")</f>
        <v>yes</v>
      </c>
      <c r="L4683">
        <f>Tb_data[[#This Row],[workers]]-Tb_data[[#This Row],[previous_workers]]</f>
        <v>28</v>
      </c>
      <c r="M4683" s="12">
        <f>Tb_data[[#This Row],[Employees Growth]]/Tb_data[[#This Row],[previous_workers]]</f>
        <v>1.75</v>
      </c>
    </row>
    <row r="4684" spans="1:13" x14ac:dyDescent="0.25">
      <c r="A4684" s="1" t="s">
        <v>8851</v>
      </c>
      <c r="B4684" s="1" t="s">
        <v>8852</v>
      </c>
      <c r="C4684" s="1">
        <v>2900000</v>
      </c>
      <c r="D4684" s="1" t="s">
        <v>49</v>
      </c>
      <c r="E4684">
        <v>68.655199999999994</v>
      </c>
      <c r="F4684" s="1" t="s">
        <v>3264</v>
      </c>
      <c r="G4684">
        <v>8</v>
      </c>
      <c r="H4684">
        <v>6</v>
      </c>
      <c r="I4684" s="1" t="s">
        <v>295</v>
      </c>
      <c r="J4684">
        <v>3</v>
      </c>
      <c r="K4684" t="str">
        <f>IF(Tb_data[[#This Row],[previous_workers]]&lt;Tb_data[[#This Row],[workers]],"yes","no")</f>
        <v>yes</v>
      </c>
      <c r="L4684">
        <f>Tb_data[[#This Row],[workers]]-Tb_data[[#This Row],[previous_workers]]</f>
        <v>2</v>
      </c>
      <c r="M4684" s="12">
        <f>Tb_data[[#This Row],[Employees Growth]]/Tb_data[[#This Row],[previous_workers]]</f>
        <v>0.33333333333333331</v>
      </c>
    </row>
    <row r="4685" spans="1:13" x14ac:dyDescent="0.25">
      <c r="A4685" s="1" t="s">
        <v>9946</v>
      </c>
      <c r="B4685" s="1" t="s">
        <v>9947</v>
      </c>
      <c r="C4685" s="1">
        <v>6600000</v>
      </c>
      <c r="D4685" s="1" t="s">
        <v>49</v>
      </c>
      <c r="E4685">
        <v>54.454599999999999</v>
      </c>
      <c r="F4685" s="1" t="s">
        <v>176</v>
      </c>
      <c r="G4685">
        <v>44</v>
      </c>
      <c r="H4685">
        <v>24</v>
      </c>
      <c r="I4685" s="1" t="s">
        <v>295</v>
      </c>
      <c r="J4685">
        <v>3</v>
      </c>
      <c r="K4685" t="str">
        <f>IF(Tb_data[[#This Row],[previous_workers]]&lt;Tb_data[[#This Row],[workers]],"yes","no")</f>
        <v>yes</v>
      </c>
      <c r="L4685">
        <f>Tb_data[[#This Row],[workers]]-Tb_data[[#This Row],[previous_workers]]</f>
        <v>20</v>
      </c>
      <c r="M4685" s="12">
        <f>Tb_data[[#This Row],[Employees Growth]]/Tb_data[[#This Row],[previous_workers]]</f>
        <v>0.83333333333333337</v>
      </c>
    </row>
    <row r="4686" spans="1:13" x14ac:dyDescent="0.25">
      <c r="A4686" s="1" t="s">
        <v>430</v>
      </c>
      <c r="B4686" s="1" t="s">
        <v>431</v>
      </c>
      <c r="C4686" s="1">
        <v>2600000</v>
      </c>
      <c r="D4686" s="1" t="s">
        <v>254</v>
      </c>
      <c r="E4686">
        <v>2235.9439000000002</v>
      </c>
      <c r="F4686" s="1" t="s">
        <v>176</v>
      </c>
      <c r="G4686">
        <v>30</v>
      </c>
      <c r="H4686">
        <v>8</v>
      </c>
      <c r="I4686" s="1" t="s">
        <v>13</v>
      </c>
      <c r="J4686">
        <v>1</v>
      </c>
      <c r="K4686" t="str">
        <f>IF(Tb_data[[#This Row],[previous_workers]]&lt;Tb_data[[#This Row],[workers]],"yes","no")</f>
        <v>yes</v>
      </c>
      <c r="L4686">
        <f>Tb_data[[#This Row],[workers]]-Tb_data[[#This Row],[previous_workers]]</f>
        <v>22</v>
      </c>
      <c r="M4686" s="12">
        <f>Tb_data[[#This Row],[Employees Growth]]/Tb_data[[#This Row],[previous_workers]]</f>
        <v>2.75</v>
      </c>
    </row>
    <row r="4687" spans="1:13" x14ac:dyDescent="0.25">
      <c r="A4687" s="1" t="s">
        <v>978</v>
      </c>
      <c r="B4687" s="1" t="s">
        <v>979</v>
      </c>
      <c r="C4687" s="1">
        <v>15900000</v>
      </c>
      <c r="D4687" s="1" t="s">
        <v>49</v>
      </c>
      <c r="E4687">
        <v>1031.4816000000001</v>
      </c>
      <c r="F4687" s="1" t="s">
        <v>21</v>
      </c>
      <c r="G4687">
        <v>49</v>
      </c>
      <c r="H4687">
        <v>9</v>
      </c>
      <c r="I4687" s="1" t="s">
        <v>980</v>
      </c>
      <c r="J4687">
        <v>2</v>
      </c>
      <c r="K4687" t="str">
        <f>IF(Tb_data[[#This Row],[previous_workers]]&lt;Tb_data[[#This Row],[workers]],"yes","no")</f>
        <v>yes</v>
      </c>
      <c r="L4687">
        <f>Tb_data[[#This Row],[workers]]-Tb_data[[#This Row],[previous_workers]]</f>
        <v>40</v>
      </c>
      <c r="M4687" s="12">
        <f>Tb_data[[#This Row],[Employees Growth]]/Tb_data[[#This Row],[previous_workers]]</f>
        <v>4.4444444444444446</v>
      </c>
    </row>
    <row r="4688" spans="1:13" x14ac:dyDescent="0.25">
      <c r="A4688" s="1" t="s">
        <v>8411</v>
      </c>
      <c r="B4688" s="1" t="s">
        <v>8412</v>
      </c>
      <c r="C4688" s="1">
        <v>7300000</v>
      </c>
      <c r="D4688" s="1" t="s">
        <v>155</v>
      </c>
      <c r="E4688">
        <v>75.780199999999994</v>
      </c>
      <c r="F4688" s="1" t="s">
        <v>156</v>
      </c>
      <c r="G4688">
        <v>24</v>
      </c>
      <c r="H4688">
        <v>13</v>
      </c>
      <c r="I4688" s="1" t="s">
        <v>295</v>
      </c>
      <c r="J4688">
        <v>6</v>
      </c>
      <c r="K4688" t="str">
        <f>IF(Tb_data[[#This Row],[previous_workers]]&lt;Tb_data[[#This Row],[workers]],"yes","no")</f>
        <v>yes</v>
      </c>
      <c r="L4688">
        <f>Tb_data[[#This Row],[workers]]-Tb_data[[#This Row],[previous_workers]]</f>
        <v>11</v>
      </c>
      <c r="M4688" s="12">
        <f>Tb_data[[#This Row],[Employees Growth]]/Tb_data[[#This Row],[previous_workers]]</f>
        <v>0.84615384615384615</v>
      </c>
    </row>
    <row r="4689" spans="1:13" x14ac:dyDescent="0.25">
      <c r="A4689" s="1" t="s">
        <v>8518</v>
      </c>
      <c r="B4689" s="1" t="s">
        <v>8519</v>
      </c>
      <c r="C4689" s="1">
        <v>3400000</v>
      </c>
      <c r="D4689" s="1" t="s">
        <v>20</v>
      </c>
      <c r="E4689">
        <v>73.6036</v>
      </c>
      <c r="F4689" s="1" t="s">
        <v>30</v>
      </c>
      <c r="G4689">
        <v>49</v>
      </c>
      <c r="H4689">
        <v>27</v>
      </c>
      <c r="I4689" s="1" t="s">
        <v>295</v>
      </c>
      <c r="J4689">
        <v>2</v>
      </c>
      <c r="K4689" t="str">
        <f>IF(Tb_data[[#This Row],[previous_workers]]&lt;Tb_data[[#This Row],[workers]],"yes","no")</f>
        <v>yes</v>
      </c>
      <c r="L4689">
        <f>Tb_data[[#This Row],[workers]]-Tb_data[[#This Row],[previous_workers]]</f>
        <v>22</v>
      </c>
      <c r="M4689" s="12">
        <f>Tb_data[[#This Row],[Employees Growth]]/Tb_data[[#This Row],[previous_workers]]</f>
        <v>0.81481481481481477</v>
      </c>
    </row>
    <row r="4690" spans="1:13" x14ac:dyDescent="0.25">
      <c r="A4690" s="1" t="s">
        <v>1598</v>
      </c>
      <c r="B4690" s="1" t="s">
        <v>1599</v>
      </c>
      <c r="C4690" s="1">
        <v>4200000</v>
      </c>
      <c r="D4690" s="1" t="s">
        <v>29</v>
      </c>
      <c r="E4690">
        <v>586.14930000000004</v>
      </c>
      <c r="F4690" s="1" t="s">
        <v>100</v>
      </c>
      <c r="G4690">
        <v>17</v>
      </c>
      <c r="H4690">
        <v>2</v>
      </c>
      <c r="I4690" s="1" t="s">
        <v>13</v>
      </c>
      <c r="J4690">
        <v>1</v>
      </c>
      <c r="K4690" t="str">
        <f>IF(Tb_data[[#This Row],[previous_workers]]&lt;Tb_data[[#This Row],[workers]],"yes","no")</f>
        <v>yes</v>
      </c>
      <c r="L4690">
        <f>Tb_data[[#This Row],[workers]]-Tb_data[[#This Row],[previous_workers]]</f>
        <v>15</v>
      </c>
      <c r="M4690" s="12">
        <f>Tb_data[[#This Row],[Employees Growth]]/Tb_data[[#This Row],[previous_workers]]</f>
        <v>7.5</v>
      </c>
    </row>
    <row r="4691" spans="1:13" x14ac:dyDescent="0.25">
      <c r="A4691" s="1" t="s">
        <v>1399</v>
      </c>
      <c r="B4691" s="1" t="s">
        <v>1400</v>
      </c>
      <c r="C4691" s="1">
        <v>5500000</v>
      </c>
      <c r="D4691" s="1" t="s">
        <v>49</v>
      </c>
      <c r="E4691">
        <v>681.57460000000003</v>
      </c>
      <c r="F4691" s="1" t="s">
        <v>142</v>
      </c>
      <c r="G4691">
        <v>20</v>
      </c>
      <c r="H4691">
        <v>3</v>
      </c>
      <c r="I4691" s="1" t="s">
        <v>55</v>
      </c>
      <c r="J4691">
        <v>1</v>
      </c>
      <c r="K4691" t="str">
        <f>IF(Tb_data[[#This Row],[previous_workers]]&lt;Tb_data[[#This Row],[workers]],"yes","no")</f>
        <v>yes</v>
      </c>
      <c r="L4691">
        <f>Tb_data[[#This Row],[workers]]-Tb_data[[#This Row],[previous_workers]]</f>
        <v>17</v>
      </c>
      <c r="M4691" s="12">
        <f>Tb_data[[#This Row],[Employees Growth]]/Tb_data[[#This Row],[previous_workers]]</f>
        <v>5.666666666666667</v>
      </c>
    </row>
    <row r="4692" spans="1:13" x14ac:dyDescent="0.25">
      <c r="A4692" s="1" t="s">
        <v>861</v>
      </c>
      <c r="B4692" s="1" t="s">
        <v>862</v>
      </c>
      <c r="C4692" s="1">
        <v>12800000</v>
      </c>
      <c r="D4692" s="1" t="s">
        <v>483</v>
      </c>
      <c r="E4692">
        <v>1192.4063000000001</v>
      </c>
      <c r="F4692" s="1" t="s">
        <v>25</v>
      </c>
      <c r="G4692">
        <v>90</v>
      </c>
      <c r="H4692">
        <v>19</v>
      </c>
      <c r="I4692" s="1" t="s">
        <v>26</v>
      </c>
      <c r="J4692">
        <v>1</v>
      </c>
      <c r="K4692" t="str">
        <f>IF(Tb_data[[#This Row],[previous_workers]]&lt;Tb_data[[#This Row],[workers]],"yes","no")</f>
        <v>yes</v>
      </c>
      <c r="L4692">
        <f>Tb_data[[#This Row],[workers]]-Tb_data[[#This Row],[previous_workers]]</f>
        <v>71</v>
      </c>
      <c r="M4692" s="12">
        <f>Tb_data[[#This Row],[Employees Growth]]/Tb_data[[#This Row],[previous_workers]]</f>
        <v>3.736842105263158</v>
      </c>
    </row>
    <row r="4693" spans="1:13" x14ac:dyDescent="0.25">
      <c r="A4693" s="1" t="s">
        <v>53</v>
      </c>
      <c r="B4693" s="1" t="s">
        <v>54</v>
      </c>
      <c r="C4693" s="1">
        <v>30300000</v>
      </c>
      <c r="D4693" s="1" t="s">
        <v>41</v>
      </c>
      <c r="E4693">
        <v>11632.8771</v>
      </c>
      <c r="F4693" s="1" t="s">
        <v>17</v>
      </c>
      <c r="G4693">
        <v>226</v>
      </c>
      <c r="H4693">
        <v>18</v>
      </c>
      <c r="I4693" s="1" t="s">
        <v>55</v>
      </c>
      <c r="J4693">
        <v>1</v>
      </c>
      <c r="K4693" t="str">
        <f>IF(Tb_data[[#This Row],[previous_workers]]&lt;Tb_data[[#This Row],[workers]],"yes","no")</f>
        <v>yes</v>
      </c>
      <c r="L4693">
        <f>Tb_data[[#This Row],[workers]]-Tb_data[[#This Row],[previous_workers]]</f>
        <v>208</v>
      </c>
      <c r="M4693" s="12">
        <f>Tb_data[[#This Row],[Employees Growth]]/Tb_data[[#This Row],[previous_workers]]</f>
        <v>11.555555555555555</v>
      </c>
    </row>
    <row r="4694" spans="1:13" x14ac:dyDescent="0.25">
      <c r="A4694" s="1" t="s">
        <v>6133</v>
      </c>
      <c r="B4694" s="1" t="s">
        <v>6134</v>
      </c>
      <c r="C4694" s="1">
        <v>4700000</v>
      </c>
      <c r="D4694" s="1" t="s">
        <v>129</v>
      </c>
      <c r="E4694">
        <v>122.92659999999999</v>
      </c>
      <c r="F4694" s="1" t="s">
        <v>112</v>
      </c>
      <c r="G4694">
        <v>22</v>
      </c>
      <c r="H4694">
        <v>5</v>
      </c>
      <c r="I4694" s="1" t="s">
        <v>46</v>
      </c>
      <c r="J4694">
        <v>1</v>
      </c>
      <c r="K4694" t="str">
        <f>IF(Tb_data[[#This Row],[previous_workers]]&lt;Tb_data[[#This Row],[workers]],"yes","no")</f>
        <v>yes</v>
      </c>
      <c r="L4694">
        <f>Tb_data[[#This Row],[workers]]-Tb_data[[#This Row],[previous_workers]]</f>
        <v>17</v>
      </c>
      <c r="M4694" s="12">
        <f>Tb_data[[#This Row],[Employees Growth]]/Tb_data[[#This Row],[previous_workers]]</f>
        <v>3.4</v>
      </c>
    </row>
    <row r="4695" spans="1:13" x14ac:dyDescent="0.25">
      <c r="A4695" s="1" t="s">
        <v>1785</v>
      </c>
      <c r="B4695" s="1" t="s">
        <v>1786</v>
      </c>
      <c r="C4695" s="1">
        <v>9500000</v>
      </c>
      <c r="D4695" s="1" t="s">
        <v>33</v>
      </c>
      <c r="E4695">
        <v>503.97390000000001</v>
      </c>
      <c r="F4695" s="1" t="s">
        <v>124</v>
      </c>
      <c r="G4695">
        <v>15</v>
      </c>
      <c r="H4695">
        <v>5</v>
      </c>
      <c r="I4695" s="1" t="s">
        <v>117</v>
      </c>
      <c r="J4695">
        <v>6</v>
      </c>
      <c r="K4695" t="str">
        <f>IF(Tb_data[[#This Row],[previous_workers]]&lt;Tb_data[[#This Row],[workers]],"yes","no")</f>
        <v>yes</v>
      </c>
      <c r="L4695">
        <f>Tb_data[[#This Row],[workers]]-Tb_data[[#This Row],[previous_workers]]</f>
        <v>10</v>
      </c>
      <c r="M4695" s="12">
        <f>Tb_data[[#This Row],[Employees Growth]]/Tb_data[[#This Row],[previous_workers]]</f>
        <v>2</v>
      </c>
    </row>
    <row r="4696" spans="1:13" x14ac:dyDescent="0.25">
      <c r="A4696" s="1" t="s">
        <v>1678</v>
      </c>
      <c r="B4696" s="1" t="s">
        <v>1679</v>
      </c>
      <c r="C4696" s="1">
        <v>14800000</v>
      </c>
      <c r="D4696" s="1" t="s">
        <v>49</v>
      </c>
      <c r="E4696">
        <v>548.98009999999999</v>
      </c>
      <c r="F4696" s="1" t="s">
        <v>62</v>
      </c>
      <c r="G4696">
        <v>50</v>
      </c>
      <c r="H4696">
        <v>20</v>
      </c>
      <c r="I4696" s="1" t="s">
        <v>46</v>
      </c>
      <c r="J4696">
        <v>3</v>
      </c>
      <c r="K4696" t="str">
        <f>IF(Tb_data[[#This Row],[previous_workers]]&lt;Tb_data[[#This Row],[workers]],"yes","no")</f>
        <v>yes</v>
      </c>
      <c r="L4696">
        <f>Tb_data[[#This Row],[workers]]-Tb_data[[#This Row],[previous_workers]]</f>
        <v>30</v>
      </c>
      <c r="M4696" s="12">
        <f>Tb_data[[#This Row],[Employees Growth]]/Tb_data[[#This Row],[previous_workers]]</f>
        <v>1.5</v>
      </c>
    </row>
    <row r="4697" spans="1:13" x14ac:dyDescent="0.25">
      <c r="A4697" s="1" t="s">
        <v>1716</v>
      </c>
      <c r="B4697" s="1" t="s">
        <v>1717</v>
      </c>
      <c r="C4697" s="1">
        <v>5700000</v>
      </c>
      <c r="D4697" s="1" t="s">
        <v>20</v>
      </c>
      <c r="E4697">
        <v>532.50559999999996</v>
      </c>
      <c r="F4697" s="1" t="s">
        <v>17</v>
      </c>
      <c r="G4697">
        <v>20</v>
      </c>
      <c r="H4697">
        <v>4</v>
      </c>
      <c r="I4697" s="1" t="s">
        <v>164</v>
      </c>
      <c r="J4697">
        <v>1</v>
      </c>
      <c r="K4697" t="str">
        <f>IF(Tb_data[[#This Row],[previous_workers]]&lt;Tb_data[[#This Row],[workers]],"yes","no")</f>
        <v>yes</v>
      </c>
      <c r="L4697">
        <f>Tb_data[[#This Row],[workers]]-Tb_data[[#This Row],[previous_workers]]</f>
        <v>16</v>
      </c>
      <c r="M4697" s="12">
        <f>Tb_data[[#This Row],[Employees Growth]]/Tb_data[[#This Row],[previous_workers]]</f>
        <v>4</v>
      </c>
    </row>
    <row r="4698" spans="1:13" x14ac:dyDescent="0.25">
      <c r="A4698" s="1" t="s">
        <v>8065</v>
      </c>
      <c r="B4698" s="1" t="s">
        <v>8066</v>
      </c>
      <c r="C4698" s="1">
        <v>30600000</v>
      </c>
      <c r="D4698" s="1" t="s">
        <v>45</v>
      </c>
      <c r="E4698">
        <v>81.613799999999998</v>
      </c>
      <c r="F4698" s="1" t="s">
        <v>17</v>
      </c>
      <c r="G4698">
        <v>20</v>
      </c>
      <c r="H4698">
        <v>15</v>
      </c>
      <c r="I4698" s="1" t="s">
        <v>35</v>
      </c>
      <c r="J4698">
        <v>4</v>
      </c>
      <c r="K4698" t="str">
        <f>IF(Tb_data[[#This Row],[previous_workers]]&lt;Tb_data[[#This Row],[workers]],"yes","no")</f>
        <v>yes</v>
      </c>
      <c r="L4698">
        <f>Tb_data[[#This Row],[workers]]-Tb_data[[#This Row],[previous_workers]]</f>
        <v>5</v>
      </c>
      <c r="M4698" s="12">
        <f>Tb_data[[#This Row],[Employees Growth]]/Tb_data[[#This Row],[previous_workers]]</f>
        <v>0.33333333333333331</v>
      </c>
    </row>
    <row r="4699" spans="1:13" x14ac:dyDescent="0.25">
      <c r="A4699" s="1" t="s">
        <v>9822</v>
      </c>
      <c r="B4699" s="1" t="s">
        <v>9823</v>
      </c>
      <c r="C4699" s="1">
        <v>151600000</v>
      </c>
      <c r="D4699" s="1" t="s">
        <v>45</v>
      </c>
      <c r="E4699">
        <v>56.5625</v>
      </c>
      <c r="F4699" s="1" t="s">
        <v>17</v>
      </c>
      <c r="G4699">
        <v>30</v>
      </c>
      <c r="H4699">
        <v>13</v>
      </c>
      <c r="I4699" s="1" t="s">
        <v>194</v>
      </c>
      <c r="J4699">
        <v>4</v>
      </c>
      <c r="K4699" t="str">
        <f>IF(Tb_data[[#This Row],[previous_workers]]&lt;Tb_data[[#This Row],[workers]],"yes","no")</f>
        <v>yes</v>
      </c>
      <c r="L4699">
        <f>Tb_data[[#This Row],[workers]]-Tb_data[[#This Row],[previous_workers]]</f>
        <v>17</v>
      </c>
      <c r="M4699" s="12">
        <f>Tb_data[[#This Row],[Employees Growth]]/Tb_data[[#This Row],[previous_workers]]</f>
        <v>1.3076923076923077</v>
      </c>
    </row>
    <row r="4700" spans="1:13" x14ac:dyDescent="0.25">
      <c r="A4700" s="1" t="s">
        <v>8508</v>
      </c>
      <c r="B4700" s="1" t="s">
        <v>8509</v>
      </c>
      <c r="C4700" s="1">
        <v>46900000</v>
      </c>
      <c r="D4700" s="1" t="s">
        <v>20</v>
      </c>
      <c r="E4700">
        <v>73.940399999999997</v>
      </c>
      <c r="F4700" s="1" t="s">
        <v>34</v>
      </c>
      <c r="G4700">
        <v>205</v>
      </c>
      <c r="H4700">
        <v>96</v>
      </c>
      <c r="I4700" s="1" t="s">
        <v>35</v>
      </c>
      <c r="J4700">
        <v>7</v>
      </c>
      <c r="K4700" t="str">
        <f>IF(Tb_data[[#This Row],[previous_workers]]&lt;Tb_data[[#This Row],[workers]],"yes","no")</f>
        <v>yes</v>
      </c>
      <c r="L4700">
        <f>Tb_data[[#This Row],[workers]]-Tb_data[[#This Row],[previous_workers]]</f>
        <v>109</v>
      </c>
      <c r="M4700" s="12">
        <f>Tb_data[[#This Row],[Employees Growth]]/Tb_data[[#This Row],[previous_workers]]</f>
        <v>1.1354166666666667</v>
      </c>
    </row>
    <row r="4701" spans="1:13" x14ac:dyDescent="0.25">
      <c r="A4701" s="1" t="s">
        <v>261</v>
      </c>
      <c r="B4701" s="1" t="s">
        <v>262</v>
      </c>
      <c r="C4701" s="1">
        <v>7300000</v>
      </c>
      <c r="D4701" s="1" t="s">
        <v>61</v>
      </c>
      <c r="E4701">
        <v>3387.6552000000001</v>
      </c>
      <c r="F4701" s="1" t="s">
        <v>42</v>
      </c>
      <c r="G4701">
        <v>65</v>
      </c>
      <c r="H4701">
        <v>7</v>
      </c>
      <c r="I4701" s="1" t="s">
        <v>26</v>
      </c>
      <c r="J4701">
        <v>1</v>
      </c>
      <c r="K4701" t="str">
        <f>IF(Tb_data[[#This Row],[previous_workers]]&lt;Tb_data[[#This Row],[workers]],"yes","no")</f>
        <v>yes</v>
      </c>
      <c r="L4701">
        <f>Tb_data[[#This Row],[workers]]-Tb_data[[#This Row],[previous_workers]]</f>
        <v>58</v>
      </c>
      <c r="M4701" s="12">
        <f>Tb_data[[#This Row],[Employees Growth]]/Tb_data[[#This Row],[previous_workers]]</f>
        <v>8.2857142857142865</v>
      </c>
    </row>
    <row r="4702" spans="1:13" x14ac:dyDescent="0.25">
      <c r="A4702" s="1" t="s">
        <v>5944</v>
      </c>
      <c r="B4702" s="1" t="s">
        <v>5945</v>
      </c>
      <c r="C4702" s="1">
        <v>68600000</v>
      </c>
      <c r="D4702" s="1" t="s">
        <v>627</v>
      </c>
      <c r="E4702">
        <v>127.9204</v>
      </c>
      <c r="F4702" s="1" t="s">
        <v>30</v>
      </c>
      <c r="G4702">
        <v>295</v>
      </c>
      <c r="H4702">
        <v>51</v>
      </c>
      <c r="I4702" s="1" t="s">
        <v>226</v>
      </c>
      <c r="J4702">
        <v>4</v>
      </c>
      <c r="K4702" t="str">
        <f>IF(Tb_data[[#This Row],[previous_workers]]&lt;Tb_data[[#This Row],[workers]],"yes","no")</f>
        <v>yes</v>
      </c>
      <c r="L4702">
        <f>Tb_data[[#This Row],[workers]]-Tb_data[[#This Row],[previous_workers]]</f>
        <v>244</v>
      </c>
      <c r="M4702" s="12">
        <f>Tb_data[[#This Row],[Employees Growth]]/Tb_data[[#This Row],[previous_workers]]</f>
        <v>4.784313725490196</v>
      </c>
    </row>
    <row r="4703" spans="1:13" x14ac:dyDescent="0.25">
      <c r="A4703" s="1" t="s">
        <v>9992</v>
      </c>
      <c r="B4703" s="1" t="s">
        <v>9993</v>
      </c>
      <c r="C4703" s="1">
        <v>54900000</v>
      </c>
      <c r="D4703" s="1" t="s">
        <v>123</v>
      </c>
      <c r="E4703">
        <v>53.544899999999998</v>
      </c>
      <c r="F4703" s="1" t="s">
        <v>62</v>
      </c>
      <c r="G4703">
        <v>64</v>
      </c>
      <c r="H4703">
        <v>48</v>
      </c>
      <c r="I4703" s="1" t="s">
        <v>961</v>
      </c>
      <c r="J4703">
        <v>5</v>
      </c>
      <c r="K4703" t="str">
        <f>IF(Tb_data[[#This Row],[previous_workers]]&lt;Tb_data[[#This Row],[workers]],"yes","no")</f>
        <v>yes</v>
      </c>
      <c r="L4703">
        <f>Tb_data[[#This Row],[workers]]-Tb_data[[#This Row],[previous_workers]]</f>
        <v>16</v>
      </c>
      <c r="M4703" s="12">
        <f>Tb_data[[#This Row],[Employees Growth]]/Tb_data[[#This Row],[previous_workers]]</f>
        <v>0.33333333333333331</v>
      </c>
    </row>
    <row r="4704" spans="1:13" x14ac:dyDescent="0.25">
      <c r="A4704" s="1" t="s">
        <v>4742</v>
      </c>
      <c r="B4704" s="1" t="s">
        <v>4743</v>
      </c>
      <c r="C4704" s="1">
        <v>13800000</v>
      </c>
      <c r="D4704" s="1" t="s">
        <v>115</v>
      </c>
      <c r="E4704">
        <v>172.9187</v>
      </c>
      <c r="F4704" s="1" t="s">
        <v>21</v>
      </c>
      <c r="G4704">
        <v>9</v>
      </c>
      <c r="H4704">
        <v>4</v>
      </c>
      <c r="I4704" s="1" t="s">
        <v>164</v>
      </c>
      <c r="J4704">
        <v>1</v>
      </c>
      <c r="K4704" t="str">
        <f>IF(Tb_data[[#This Row],[previous_workers]]&lt;Tb_data[[#This Row],[workers]],"yes","no")</f>
        <v>yes</v>
      </c>
      <c r="L4704">
        <f>Tb_data[[#This Row],[workers]]-Tb_data[[#This Row],[previous_workers]]</f>
        <v>5</v>
      </c>
      <c r="M4704" s="12">
        <f>Tb_data[[#This Row],[Employees Growth]]/Tb_data[[#This Row],[previous_workers]]</f>
        <v>1.25</v>
      </c>
    </row>
    <row r="4705" spans="1:13" x14ac:dyDescent="0.25">
      <c r="A4705" s="1" t="s">
        <v>3862</v>
      </c>
      <c r="B4705" s="1" t="s">
        <v>3863</v>
      </c>
      <c r="C4705" s="1">
        <v>5300000</v>
      </c>
      <c r="D4705" s="1" t="s">
        <v>49</v>
      </c>
      <c r="E4705">
        <v>216.77250000000001</v>
      </c>
      <c r="F4705" s="1" t="s">
        <v>156</v>
      </c>
      <c r="G4705">
        <v>61</v>
      </c>
      <c r="H4705">
        <v>31</v>
      </c>
      <c r="I4705" s="1" t="s">
        <v>948</v>
      </c>
      <c r="J4705">
        <v>1</v>
      </c>
      <c r="K4705" t="str">
        <f>IF(Tb_data[[#This Row],[previous_workers]]&lt;Tb_data[[#This Row],[workers]],"yes","no")</f>
        <v>yes</v>
      </c>
      <c r="L4705">
        <f>Tb_data[[#This Row],[workers]]-Tb_data[[#This Row],[previous_workers]]</f>
        <v>30</v>
      </c>
      <c r="M4705" s="12">
        <f>Tb_data[[#This Row],[Employees Growth]]/Tb_data[[#This Row],[previous_workers]]</f>
        <v>0.967741935483871</v>
      </c>
    </row>
    <row r="4706" spans="1:13" x14ac:dyDescent="0.25">
      <c r="A4706" s="1" t="s">
        <v>5416</v>
      </c>
      <c r="B4706" s="1" t="s">
        <v>5417</v>
      </c>
      <c r="C4706" s="1">
        <v>56400000</v>
      </c>
      <c r="D4706" s="1" t="s">
        <v>49</v>
      </c>
      <c r="E4706">
        <v>145.5754</v>
      </c>
      <c r="F4706" s="1" t="s">
        <v>86</v>
      </c>
      <c r="G4706">
        <v>271</v>
      </c>
      <c r="H4706">
        <v>270</v>
      </c>
      <c r="I4706" s="1" t="s">
        <v>194</v>
      </c>
      <c r="J4706">
        <v>1</v>
      </c>
      <c r="K4706" t="str">
        <f>IF(Tb_data[[#This Row],[previous_workers]]&lt;Tb_data[[#This Row],[workers]],"yes","no")</f>
        <v>yes</v>
      </c>
      <c r="L4706">
        <f>Tb_data[[#This Row],[workers]]-Tb_data[[#This Row],[previous_workers]]</f>
        <v>1</v>
      </c>
      <c r="M4706" s="12">
        <f>Tb_data[[#This Row],[Employees Growth]]/Tb_data[[#This Row],[previous_workers]]</f>
        <v>3.7037037037037038E-3</v>
      </c>
    </row>
    <row r="4707" spans="1:13" x14ac:dyDescent="0.25">
      <c r="A4707" s="1" t="s">
        <v>6485</v>
      </c>
      <c r="B4707" s="1" t="s">
        <v>6486</v>
      </c>
      <c r="C4707" s="1">
        <v>98000000</v>
      </c>
      <c r="D4707" s="1" t="s">
        <v>29</v>
      </c>
      <c r="E4707">
        <v>114.3057</v>
      </c>
      <c r="F4707" s="1" t="s">
        <v>112</v>
      </c>
      <c r="G4707">
        <v>152</v>
      </c>
      <c r="H4707">
        <v>118</v>
      </c>
      <c r="I4707" s="1" t="s">
        <v>980</v>
      </c>
      <c r="J4707">
        <v>1</v>
      </c>
      <c r="K4707" t="str">
        <f>IF(Tb_data[[#This Row],[previous_workers]]&lt;Tb_data[[#This Row],[workers]],"yes","no")</f>
        <v>yes</v>
      </c>
      <c r="L4707">
        <f>Tb_data[[#This Row],[workers]]-Tb_data[[#This Row],[previous_workers]]</f>
        <v>34</v>
      </c>
      <c r="M4707" s="12">
        <f>Tb_data[[#This Row],[Employees Growth]]/Tb_data[[#This Row],[previous_workers]]</f>
        <v>0.28813559322033899</v>
      </c>
    </row>
    <row r="4708" spans="1:13" x14ac:dyDescent="0.25">
      <c r="A4708" s="1" t="s">
        <v>2189</v>
      </c>
      <c r="B4708" s="1" t="s">
        <v>2190</v>
      </c>
      <c r="C4708" s="1">
        <v>4300000</v>
      </c>
      <c r="D4708" s="1" t="s">
        <v>91</v>
      </c>
      <c r="E4708">
        <v>404.95400000000001</v>
      </c>
      <c r="F4708" s="1" t="s">
        <v>17</v>
      </c>
      <c r="G4708">
        <v>13</v>
      </c>
      <c r="H4708">
        <v>4</v>
      </c>
      <c r="I4708" s="1" t="s">
        <v>35</v>
      </c>
      <c r="J4708">
        <v>1</v>
      </c>
      <c r="K4708" t="str">
        <f>IF(Tb_data[[#This Row],[previous_workers]]&lt;Tb_data[[#This Row],[workers]],"yes","no")</f>
        <v>yes</v>
      </c>
      <c r="L4708">
        <f>Tb_data[[#This Row],[workers]]-Tb_data[[#This Row],[previous_workers]]</f>
        <v>9</v>
      </c>
      <c r="M4708" s="12">
        <f>Tb_data[[#This Row],[Employees Growth]]/Tb_data[[#This Row],[previous_workers]]</f>
        <v>2.25</v>
      </c>
    </row>
    <row r="4709" spans="1:13" x14ac:dyDescent="0.25">
      <c r="A4709" s="1" t="s">
        <v>3748</v>
      </c>
      <c r="B4709" s="1" t="s">
        <v>3749</v>
      </c>
      <c r="C4709" s="1">
        <v>5700000</v>
      </c>
      <c r="D4709" s="1" t="s">
        <v>20</v>
      </c>
      <c r="E4709">
        <v>225.1216</v>
      </c>
      <c r="F4709" s="1" t="s">
        <v>25</v>
      </c>
      <c r="G4709">
        <v>50</v>
      </c>
      <c r="H4709">
        <v>14</v>
      </c>
      <c r="I4709" s="1" t="s">
        <v>35</v>
      </c>
      <c r="J4709">
        <v>2</v>
      </c>
      <c r="K4709" t="str">
        <f>IF(Tb_data[[#This Row],[previous_workers]]&lt;Tb_data[[#This Row],[workers]],"yes","no")</f>
        <v>yes</v>
      </c>
      <c r="L4709">
        <f>Tb_data[[#This Row],[workers]]-Tb_data[[#This Row],[previous_workers]]</f>
        <v>36</v>
      </c>
      <c r="M4709" s="12">
        <f>Tb_data[[#This Row],[Employees Growth]]/Tb_data[[#This Row],[previous_workers]]</f>
        <v>2.5714285714285716</v>
      </c>
    </row>
    <row r="4710" spans="1:13" x14ac:dyDescent="0.25">
      <c r="A4710" s="1" t="s">
        <v>7451</v>
      </c>
      <c r="B4710" s="1" t="s">
        <v>7452</v>
      </c>
      <c r="C4710" s="1">
        <v>12200000</v>
      </c>
      <c r="D4710" s="1" t="s">
        <v>91</v>
      </c>
      <c r="E4710">
        <v>94.330699999999993</v>
      </c>
      <c r="F4710" s="1" t="s">
        <v>142</v>
      </c>
      <c r="G4710">
        <v>40</v>
      </c>
      <c r="H4710">
        <v>15</v>
      </c>
      <c r="I4710" s="1" t="s">
        <v>164</v>
      </c>
      <c r="J4710">
        <v>4</v>
      </c>
      <c r="K4710" t="str">
        <f>IF(Tb_data[[#This Row],[previous_workers]]&lt;Tb_data[[#This Row],[workers]],"yes","no")</f>
        <v>yes</v>
      </c>
      <c r="L4710">
        <f>Tb_data[[#This Row],[workers]]-Tb_data[[#This Row],[previous_workers]]</f>
        <v>25</v>
      </c>
      <c r="M4710" s="12">
        <f>Tb_data[[#This Row],[Employees Growth]]/Tb_data[[#This Row],[previous_workers]]</f>
        <v>1.6666666666666667</v>
      </c>
    </row>
    <row r="4711" spans="1:13" x14ac:dyDescent="0.25">
      <c r="A4711" s="1" t="s">
        <v>8735</v>
      </c>
      <c r="B4711" s="1" t="s">
        <v>8736</v>
      </c>
      <c r="C4711" s="1">
        <v>13100000</v>
      </c>
      <c r="D4711" s="1" t="s">
        <v>11</v>
      </c>
      <c r="E4711">
        <v>70.481899999999996</v>
      </c>
      <c r="F4711" s="1" t="s">
        <v>12</v>
      </c>
      <c r="G4711">
        <v>90</v>
      </c>
      <c r="H4711">
        <v>41</v>
      </c>
      <c r="I4711" s="1" t="s">
        <v>55</v>
      </c>
      <c r="J4711">
        <v>3</v>
      </c>
      <c r="K4711" t="str">
        <f>IF(Tb_data[[#This Row],[previous_workers]]&lt;Tb_data[[#This Row],[workers]],"yes","no")</f>
        <v>yes</v>
      </c>
      <c r="L4711">
        <f>Tb_data[[#This Row],[workers]]-Tb_data[[#This Row],[previous_workers]]</f>
        <v>49</v>
      </c>
      <c r="M4711" s="12">
        <f>Tb_data[[#This Row],[Employees Growth]]/Tb_data[[#This Row],[previous_workers]]</f>
        <v>1.1951219512195121</v>
      </c>
    </row>
    <row r="4712" spans="1:13" x14ac:dyDescent="0.25">
      <c r="A4712" s="1" t="s">
        <v>1608</v>
      </c>
      <c r="B4712" s="1" t="s">
        <v>1609</v>
      </c>
      <c r="C4712" s="1">
        <v>225800000</v>
      </c>
      <c r="D4712" s="1" t="s">
        <v>52</v>
      </c>
      <c r="E4712">
        <v>581.29939999999999</v>
      </c>
      <c r="F4712" s="1" t="s">
        <v>97</v>
      </c>
      <c r="G4712">
        <v>40</v>
      </c>
      <c r="H4712">
        <v>12</v>
      </c>
      <c r="I4712" s="1" t="s">
        <v>194</v>
      </c>
      <c r="J4712">
        <v>4</v>
      </c>
      <c r="K4712" t="str">
        <f>IF(Tb_data[[#This Row],[previous_workers]]&lt;Tb_data[[#This Row],[workers]],"yes","no")</f>
        <v>yes</v>
      </c>
      <c r="L4712">
        <f>Tb_data[[#This Row],[workers]]-Tb_data[[#This Row],[previous_workers]]</f>
        <v>28</v>
      </c>
      <c r="M4712" s="12">
        <f>Tb_data[[#This Row],[Employees Growth]]/Tb_data[[#This Row],[previous_workers]]</f>
        <v>2.3333333333333335</v>
      </c>
    </row>
    <row r="4713" spans="1:13" x14ac:dyDescent="0.25">
      <c r="A4713" s="1" t="s">
        <v>3105</v>
      </c>
      <c r="B4713" s="1" t="s">
        <v>3106</v>
      </c>
      <c r="C4713" s="1">
        <v>12300000</v>
      </c>
      <c r="D4713" s="1" t="s">
        <v>79</v>
      </c>
      <c r="E4713">
        <v>276.87479999999999</v>
      </c>
      <c r="F4713" s="1" t="s">
        <v>176</v>
      </c>
      <c r="G4713">
        <v>20</v>
      </c>
      <c r="H4713">
        <v>8</v>
      </c>
      <c r="I4713" s="1" t="s">
        <v>130</v>
      </c>
      <c r="J4713">
        <v>3</v>
      </c>
      <c r="K4713" t="str">
        <f>IF(Tb_data[[#This Row],[previous_workers]]&lt;Tb_data[[#This Row],[workers]],"yes","no")</f>
        <v>yes</v>
      </c>
      <c r="L4713">
        <f>Tb_data[[#This Row],[workers]]-Tb_data[[#This Row],[previous_workers]]</f>
        <v>12</v>
      </c>
      <c r="M4713" s="12">
        <f>Tb_data[[#This Row],[Employees Growth]]/Tb_data[[#This Row],[previous_workers]]</f>
        <v>1.5</v>
      </c>
    </row>
    <row r="4714" spans="1:13" x14ac:dyDescent="0.25">
      <c r="A4714" s="1" t="s">
        <v>8335</v>
      </c>
      <c r="B4714" s="1" t="s">
        <v>8336</v>
      </c>
      <c r="C4714" s="1">
        <v>516800000</v>
      </c>
      <c r="D4714" s="1" t="s">
        <v>16</v>
      </c>
      <c r="E4714">
        <v>77.3797</v>
      </c>
      <c r="F4714" s="1" t="s">
        <v>161</v>
      </c>
      <c r="G4714">
        <v>6294</v>
      </c>
      <c r="H4714">
        <v>3272</v>
      </c>
      <c r="I4714" s="1" t="s">
        <v>229</v>
      </c>
      <c r="J4714">
        <v>13</v>
      </c>
      <c r="K4714" t="str">
        <f>IF(Tb_data[[#This Row],[previous_workers]]&lt;Tb_data[[#This Row],[workers]],"yes","no")</f>
        <v>yes</v>
      </c>
      <c r="L4714">
        <f>Tb_data[[#This Row],[workers]]-Tb_data[[#This Row],[previous_workers]]</f>
        <v>3022</v>
      </c>
      <c r="M4714" s="12">
        <f>Tb_data[[#This Row],[Employees Growth]]/Tb_data[[#This Row],[previous_workers]]</f>
        <v>0.92359413202933982</v>
      </c>
    </row>
    <row r="4715" spans="1:13" x14ac:dyDescent="0.25">
      <c r="A4715" s="1" t="s">
        <v>1766</v>
      </c>
      <c r="B4715" s="1" t="s">
        <v>1767</v>
      </c>
      <c r="C4715" s="1">
        <v>4200000</v>
      </c>
      <c r="D4715" s="1" t="s">
        <v>20</v>
      </c>
      <c r="E4715">
        <v>512.60559999999998</v>
      </c>
      <c r="F4715" s="1" t="s">
        <v>100</v>
      </c>
      <c r="G4715">
        <v>211</v>
      </c>
      <c r="H4715">
        <v>28</v>
      </c>
      <c r="I4715" s="1" t="s">
        <v>1768</v>
      </c>
      <c r="J4715">
        <v>1</v>
      </c>
      <c r="K4715" t="str">
        <f>IF(Tb_data[[#This Row],[previous_workers]]&lt;Tb_data[[#This Row],[workers]],"yes","no")</f>
        <v>yes</v>
      </c>
      <c r="L4715">
        <f>Tb_data[[#This Row],[workers]]-Tb_data[[#This Row],[previous_workers]]</f>
        <v>183</v>
      </c>
      <c r="M4715" s="12">
        <f>Tb_data[[#This Row],[Employees Growth]]/Tb_data[[#This Row],[previous_workers]]</f>
        <v>6.5357142857142856</v>
      </c>
    </row>
    <row r="4716" spans="1:13" x14ac:dyDescent="0.25">
      <c r="A4716" s="1" t="s">
        <v>6902</v>
      </c>
      <c r="B4716" s="1" t="s">
        <v>6903</v>
      </c>
      <c r="C4716" s="1">
        <v>22500000</v>
      </c>
      <c r="D4716" s="1" t="s">
        <v>115</v>
      </c>
      <c r="E4716">
        <v>104.08280000000001</v>
      </c>
      <c r="F4716" s="1" t="s">
        <v>97</v>
      </c>
      <c r="G4716">
        <v>121</v>
      </c>
      <c r="H4716">
        <v>65</v>
      </c>
      <c r="I4716" s="1" t="s">
        <v>295</v>
      </c>
      <c r="J4716">
        <v>5</v>
      </c>
      <c r="K4716" t="str">
        <f>IF(Tb_data[[#This Row],[previous_workers]]&lt;Tb_data[[#This Row],[workers]],"yes","no")</f>
        <v>yes</v>
      </c>
      <c r="L4716">
        <f>Tb_data[[#This Row],[workers]]-Tb_data[[#This Row],[previous_workers]]</f>
        <v>56</v>
      </c>
      <c r="M4716" s="12">
        <f>Tb_data[[#This Row],[Employees Growth]]/Tb_data[[#This Row],[previous_workers]]</f>
        <v>0.86153846153846159</v>
      </c>
    </row>
    <row r="4717" spans="1:13" x14ac:dyDescent="0.25">
      <c r="A4717" s="1" t="s">
        <v>5656</v>
      </c>
      <c r="B4717" s="1" t="s">
        <v>5657</v>
      </c>
      <c r="C4717" s="1">
        <v>12000000</v>
      </c>
      <c r="D4717" s="1" t="s">
        <v>41</v>
      </c>
      <c r="E4717">
        <v>135.85679999999999</v>
      </c>
      <c r="F4717" s="1" t="s">
        <v>156</v>
      </c>
      <c r="G4717">
        <v>130</v>
      </c>
      <c r="H4717">
        <v>55</v>
      </c>
      <c r="I4717" s="1" t="s">
        <v>130</v>
      </c>
      <c r="J4717">
        <v>2</v>
      </c>
      <c r="K4717" t="str">
        <f>IF(Tb_data[[#This Row],[previous_workers]]&lt;Tb_data[[#This Row],[workers]],"yes","no")</f>
        <v>yes</v>
      </c>
      <c r="L4717">
        <f>Tb_data[[#This Row],[workers]]-Tb_data[[#This Row],[previous_workers]]</f>
        <v>75</v>
      </c>
      <c r="M4717" s="12">
        <f>Tb_data[[#This Row],[Employees Growth]]/Tb_data[[#This Row],[previous_workers]]</f>
        <v>1.3636363636363635</v>
      </c>
    </row>
    <row r="4718" spans="1:13" x14ac:dyDescent="0.25">
      <c r="A4718" s="1" t="s">
        <v>418</v>
      </c>
      <c r="B4718" s="1" t="s">
        <v>419</v>
      </c>
      <c r="C4718" s="1">
        <v>3100000</v>
      </c>
      <c r="D4718" s="1" t="s">
        <v>20</v>
      </c>
      <c r="E4718">
        <v>2276.0888</v>
      </c>
      <c r="F4718" s="1" t="s">
        <v>86</v>
      </c>
      <c r="G4718">
        <v>36</v>
      </c>
      <c r="H4718">
        <v>7</v>
      </c>
      <c r="I4718" s="1" t="s">
        <v>26</v>
      </c>
      <c r="J4718">
        <v>1</v>
      </c>
      <c r="K4718" t="str">
        <f>IF(Tb_data[[#This Row],[previous_workers]]&lt;Tb_data[[#This Row],[workers]],"yes","no")</f>
        <v>yes</v>
      </c>
      <c r="L4718">
        <f>Tb_data[[#This Row],[workers]]-Tb_data[[#This Row],[previous_workers]]</f>
        <v>29</v>
      </c>
      <c r="M4718" s="12">
        <f>Tb_data[[#This Row],[Employees Growth]]/Tb_data[[#This Row],[previous_workers]]</f>
        <v>4.1428571428571432</v>
      </c>
    </row>
    <row r="4719" spans="1:13" x14ac:dyDescent="0.25">
      <c r="A4719" s="1" t="s">
        <v>4547</v>
      </c>
      <c r="B4719" s="1" t="s">
        <v>4548</v>
      </c>
      <c r="C4719" s="1">
        <v>7100000</v>
      </c>
      <c r="D4719" s="1" t="s">
        <v>33</v>
      </c>
      <c r="E4719">
        <v>180.3683</v>
      </c>
      <c r="F4719" s="1" t="s">
        <v>156</v>
      </c>
      <c r="G4719">
        <v>96</v>
      </c>
      <c r="H4719">
        <v>20</v>
      </c>
      <c r="I4719" s="1" t="s">
        <v>55</v>
      </c>
      <c r="J4719">
        <v>3</v>
      </c>
      <c r="K4719" t="str">
        <f>IF(Tb_data[[#This Row],[previous_workers]]&lt;Tb_data[[#This Row],[workers]],"yes","no")</f>
        <v>yes</v>
      </c>
      <c r="L4719">
        <f>Tb_data[[#This Row],[workers]]-Tb_data[[#This Row],[previous_workers]]</f>
        <v>76</v>
      </c>
      <c r="M4719" s="12">
        <f>Tb_data[[#This Row],[Employees Growth]]/Tb_data[[#This Row],[previous_workers]]</f>
        <v>3.8</v>
      </c>
    </row>
    <row r="4720" spans="1:13" x14ac:dyDescent="0.25">
      <c r="A4720" s="1" t="s">
        <v>9465</v>
      </c>
      <c r="B4720" s="1" t="s">
        <v>9466</v>
      </c>
      <c r="C4720" s="1">
        <v>2500000</v>
      </c>
      <c r="D4720" s="1" t="s">
        <v>33</v>
      </c>
      <c r="E4720">
        <v>60.680700000000002</v>
      </c>
      <c r="F4720" s="1" t="s">
        <v>25</v>
      </c>
      <c r="G4720">
        <v>25</v>
      </c>
      <c r="H4720">
        <v>15</v>
      </c>
      <c r="I4720" s="1" t="s">
        <v>35</v>
      </c>
      <c r="J4720">
        <v>1</v>
      </c>
      <c r="K4720" t="str">
        <f>IF(Tb_data[[#This Row],[previous_workers]]&lt;Tb_data[[#This Row],[workers]],"yes","no")</f>
        <v>yes</v>
      </c>
      <c r="L4720">
        <f>Tb_data[[#This Row],[workers]]-Tb_data[[#This Row],[previous_workers]]</f>
        <v>10</v>
      </c>
      <c r="M4720" s="12">
        <f>Tb_data[[#This Row],[Employees Growth]]/Tb_data[[#This Row],[previous_workers]]</f>
        <v>0.66666666666666663</v>
      </c>
    </row>
    <row r="4721" spans="1:13" x14ac:dyDescent="0.25">
      <c r="A4721" s="1" t="s">
        <v>887</v>
      </c>
      <c r="B4721" s="1" t="s">
        <v>888</v>
      </c>
      <c r="C4721" s="1">
        <v>3000000</v>
      </c>
      <c r="D4721" s="1" t="s">
        <v>375</v>
      </c>
      <c r="E4721">
        <v>1146.9909</v>
      </c>
      <c r="F4721" s="1" t="s">
        <v>25</v>
      </c>
      <c r="G4721">
        <v>25</v>
      </c>
      <c r="H4721">
        <v>4</v>
      </c>
      <c r="I4721" s="1" t="s">
        <v>130</v>
      </c>
      <c r="J4721">
        <v>1</v>
      </c>
      <c r="K4721" t="str">
        <f>IF(Tb_data[[#This Row],[previous_workers]]&lt;Tb_data[[#This Row],[workers]],"yes","no")</f>
        <v>yes</v>
      </c>
      <c r="L4721">
        <f>Tb_data[[#This Row],[workers]]-Tb_data[[#This Row],[previous_workers]]</f>
        <v>21</v>
      </c>
      <c r="M4721" s="12">
        <f>Tb_data[[#This Row],[Employees Growth]]/Tb_data[[#This Row],[previous_workers]]</f>
        <v>5.25</v>
      </c>
    </row>
    <row r="4722" spans="1:13" x14ac:dyDescent="0.25">
      <c r="A4722" s="1" t="s">
        <v>9804</v>
      </c>
      <c r="B4722" s="1" t="s">
        <v>9805</v>
      </c>
      <c r="C4722" s="1">
        <v>34700000</v>
      </c>
      <c r="D4722" s="1" t="s">
        <v>1853</v>
      </c>
      <c r="E4722">
        <v>56.728999999999999</v>
      </c>
      <c r="F4722" s="1" t="s">
        <v>34</v>
      </c>
      <c r="G4722">
        <v>149</v>
      </c>
      <c r="H4722">
        <v>83</v>
      </c>
      <c r="I4722" s="1" t="s">
        <v>55</v>
      </c>
      <c r="J4722">
        <v>1</v>
      </c>
      <c r="K4722" t="str">
        <f>IF(Tb_data[[#This Row],[previous_workers]]&lt;Tb_data[[#This Row],[workers]],"yes","no")</f>
        <v>yes</v>
      </c>
      <c r="L4722">
        <f>Tb_data[[#This Row],[workers]]-Tb_data[[#This Row],[previous_workers]]</f>
        <v>66</v>
      </c>
      <c r="M4722" s="12">
        <f>Tb_data[[#This Row],[Employees Growth]]/Tb_data[[#This Row],[previous_workers]]</f>
        <v>0.79518072289156627</v>
      </c>
    </row>
    <row r="4723" spans="1:13" x14ac:dyDescent="0.25">
      <c r="A4723" s="1" t="s">
        <v>6251</v>
      </c>
      <c r="B4723" s="1" t="s">
        <v>6252</v>
      </c>
      <c r="C4723" s="1">
        <v>9500000</v>
      </c>
      <c r="D4723" s="1" t="s">
        <v>20</v>
      </c>
      <c r="E4723">
        <v>120.3008</v>
      </c>
      <c r="F4723" s="1" t="s">
        <v>310</v>
      </c>
      <c r="G4723">
        <v>333</v>
      </c>
      <c r="H4723">
        <v>182</v>
      </c>
      <c r="I4723" s="1" t="s">
        <v>117</v>
      </c>
      <c r="J4723">
        <v>1</v>
      </c>
      <c r="K4723" t="str">
        <f>IF(Tb_data[[#This Row],[previous_workers]]&lt;Tb_data[[#This Row],[workers]],"yes","no")</f>
        <v>yes</v>
      </c>
      <c r="L4723">
        <f>Tb_data[[#This Row],[workers]]-Tb_data[[#This Row],[previous_workers]]</f>
        <v>151</v>
      </c>
      <c r="M4723" s="12">
        <f>Tb_data[[#This Row],[Employees Growth]]/Tb_data[[#This Row],[previous_workers]]</f>
        <v>0.82967032967032972</v>
      </c>
    </row>
    <row r="4724" spans="1:13" x14ac:dyDescent="0.25">
      <c r="A4724" s="1" t="s">
        <v>7951</v>
      </c>
      <c r="B4724" s="1" t="s">
        <v>7952</v>
      </c>
      <c r="C4724" s="1">
        <v>4300000</v>
      </c>
      <c r="D4724" s="1" t="s">
        <v>38</v>
      </c>
      <c r="E4724">
        <v>83.941900000000004</v>
      </c>
      <c r="F4724" s="1" t="s">
        <v>172</v>
      </c>
      <c r="G4724">
        <v>80</v>
      </c>
      <c r="H4724">
        <v>25</v>
      </c>
      <c r="I4724" s="1" t="s">
        <v>2628</v>
      </c>
      <c r="J4724">
        <v>1</v>
      </c>
      <c r="K4724" t="str">
        <f>IF(Tb_data[[#This Row],[previous_workers]]&lt;Tb_data[[#This Row],[workers]],"yes","no")</f>
        <v>yes</v>
      </c>
      <c r="L4724">
        <f>Tb_data[[#This Row],[workers]]-Tb_data[[#This Row],[previous_workers]]</f>
        <v>55</v>
      </c>
      <c r="M4724" s="12">
        <f>Tb_data[[#This Row],[Employees Growth]]/Tb_data[[#This Row],[previous_workers]]</f>
        <v>2.2000000000000002</v>
      </c>
    </row>
    <row r="4725" spans="1:13" x14ac:dyDescent="0.25">
      <c r="A4725" s="1" t="s">
        <v>9231</v>
      </c>
      <c r="B4725" s="1" t="s">
        <v>9232</v>
      </c>
      <c r="C4725" s="1">
        <v>9400000</v>
      </c>
      <c r="D4725" s="1" t="s">
        <v>20</v>
      </c>
      <c r="E4725">
        <v>63.753100000000003</v>
      </c>
      <c r="F4725" s="1" t="s">
        <v>124</v>
      </c>
      <c r="G4725">
        <v>44</v>
      </c>
      <c r="H4725">
        <v>38</v>
      </c>
      <c r="I4725" s="1" t="s">
        <v>1622</v>
      </c>
      <c r="J4725">
        <v>2</v>
      </c>
      <c r="K4725" t="str">
        <f>IF(Tb_data[[#This Row],[previous_workers]]&lt;Tb_data[[#This Row],[workers]],"yes","no")</f>
        <v>yes</v>
      </c>
      <c r="L4725">
        <f>Tb_data[[#This Row],[workers]]-Tb_data[[#This Row],[previous_workers]]</f>
        <v>6</v>
      </c>
      <c r="M4725" s="12">
        <f>Tb_data[[#This Row],[Employees Growth]]/Tb_data[[#This Row],[previous_workers]]</f>
        <v>0.15789473684210525</v>
      </c>
    </row>
    <row r="4726" spans="1:13" x14ac:dyDescent="0.25">
      <c r="A4726" s="1" t="s">
        <v>9938</v>
      </c>
      <c r="B4726" s="1" t="s">
        <v>9939</v>
      </c>
      <c r="C4726" s="1">
        <v>14500000</v>
      </c>
      <c r="D4726" s="1" t="s">
        <v>254</v>
      </c>
      <c r="E4726">
        <v>54.633899999999997</v>
      </c>
      <c r="F4726" s="1" t="s">
        <v>34</v>
      </c>
      <c r="G4726">
        <v>79</v>
      </c>
      <c r="H4726">
        <v>50</v>
      </c>
      <c r="I4726" s="1" t="s">
        <v>3426</v>
      </c>
      <c r="J4726">
        <v>1</v>
      </c>
      <c r="K4726" t="str">
        <f>IF(Tb_data[[#This Row],[previous_workers]]&lt;Tb_data[[#This Row],[workers]],"yes","no")</f>
        <v>yes</v>
      </c>
      <c r="L4726">
        <f>Tb_data[[#This Row],[workers]]-Tb_data[[#This Row],[previous_workers]]</f>
        <v>29</v>
      </c>
      <c r="M4726" s="12">
        <f>Tb_data[[#This Row],[Employees Growth]]/Tb_data[[#This Row],[previous_workers]]</f>
        <v>0.57999999999999996</v>
      </c>
    </row>
    <row r="4727" spans="1:13" x14ac:dyDescent="0.25">
      <c r="A4727" s="1" t="s">
        <v>2949</v>
      </c>
      <c r="B4727" s="1" t="s">
        <v>2950</v>
      </c>
      <c r="C4727" s="1">
        <v>13900000</v>
      </c>
      <c r="D4727" s="1" t="s">
        <v>11</v>
      </c>
      <c r="E4727">
        <v>291.55369999999999</v>
      </c>
      <c r="F4727" s="1" t="s">
        <v>62</v>
      </c>
      <c r="G4727">
        <v>9</v>
      </c>
      <c r="H4727">
        <v>5</v>
      </c>
      <c r="I4727" s="1" t="s">
        <v>35</v>
      </c>
      <c r="J4727">
        <v>6</v>
      </c>
      <c r="K4727" t="str">
        <f>IF(Tb_data[[#This Row],[previous_workers]]&lt;Tb_data[[#This Row],[workers]],"yes","no")</f>
        <v>yes</v>
      </c>
      <c r="L4727">
        <f>Tb_data[[#This Row],[workers]]-Tb_data[[#This Row],[previous_workers]]</f>
        <v>4</v>
      </c>
      <c r="M4727" s="12">
        <f>Tb_data[[#This Row],[Employees Growth]]/Tb_data[[#This Row],[previous_workers]]</f>
        <v>0.8</v>
      </c>
    </row>
    <row r="4728" spans="1:13" x14ac:dyDescent="0.25">
      <c r="A4728" s="1" t="s">
        <v>9105</v>
      </c>
      <c r="B4728" s="1" t="s">
        <v>9106</v>
      </c>
      <c r="C4728" s="1">
        <v>45100000</v>
      </c>
      <c r="D4728" s="1" t="s">
        <v>120</v>
      </c>
      <c r="E4728">
        <v>65.339699999999993</v>
      </c>
      <c r="F4728" s="1" t="s">
        <v>82</v>
      </c>
      <c r="G4728">
        <v>42</v>
      </c>
      <c r="H4728">
        <v>28</v>
      </c>
      <c r="I4728" s="1" t="s">
        <v>74</v>
      </c>
      <c r="J4728">
        <v>6</v>
      </c>
      <c r="K4728" t="str">
        <f>IF(Tb_data[[#This Row],[previous_workers]]&lt;Tb_data[[#This Row],[workers]],"yes","no")</f>
        <v>yes</v>
      </c>
      <c r="L4728">
        <f>Tb_data[[#This Row],[workers]]-Tb_data[[#This Row],[previous_workers]]</f>
        <v>14</v>
      </c>
      <c r="M4728" s="12">
        <f>Tb_data[[#This Row],[Employees Growth]]/Tb_data[[#This Row],[previous_workers]]</f>
        <v>0.5</v>
      </c>
    </row>
    <row r="4729" spans="1:13" x14ac:dyDescent="0.25">
      <c r="A4729" s="1" t="s">
        <v>2841</v>
      </c>
      <c r="B4729" s="1" t="s">
        <v>2842</v>
      </c>
      <c r="C4729" s="1">
        <v>20000000</v>
      </c>
      <c r="D4729" s="1" t="s">
        <v>45</v>
      </c>
      <c r="E4729">
        <v>305.11860000000001</v>
      </c>
      <c r="F4729" s="1" t="s">
        <v>17</v>
      </c>
      <c r="G4729">
        <v>46</v>
      </c>
      <c r="H4729">
        <v>11</v>
      </c>
      <c r="I4729" s="1" t="s">
        <v>164</v>
      </c>
      <c r="J4729">
        <v>3</v>
      </c>
      <c r="K4729" t="str">
        <f>IF(Tb_data[[#This Row],[previous_workers]]&lt;Tb_data[[#This Row],[workers]],"yes","no")</f>
        <v>yes</v>
      </c>
      <c r="L4729">
        <f>Tb_data[[#This Row],[workers]]-Tb_data[[#This Row],[previous_workers]]</f>
        <v>35</v>
      </c>
      <c r="M4729" s="12">
        <f>Tb_data[[#This Row],[Employees Growth]]/Tb_data[[#This Row],[previous_workers]]</f>
        <v>3.1818181818181817</v>
      </c>
    </row>
    <row r="4730" spans="1:13" x14ac:dyDescent="0.25">
      <c r="A4730" s="1" t="s">
        <v>1136</v>
      </c>
      <c r="B4730" s="1" t="s">
        <v>1137</v>
      </c>
      <c r="C4730" s="1">
        <v>3800000</v>
      </c>
      <c r="D4730" s="1" t="s">
        <v>41</v>
      </c>
      <c r="E4730">
        <v>845.46169999999995</v>
      </c>
      <c r="F4730" s="1" t="s">
        <v>25</v>
      </c>
      <c r="G4730">
        <v>15</v>
      </c>
      <c r="H4730">
        <v>4</v>
      </c>
      <c r="I4730" s="1" t="s">
        <v>13</v>
      </c>
      <c r="J4730">
        <v>1</v>
      </c>
      <c r="K4730" t="str">
        <f>IF(Tb_data[[#This Row],[previous_workers]]&lt;Tb_data[[#This Row],[workers]],"yes","no")</f>
        <v>yes</v>
      </c>
      <c r="L4730">
        <f>Tb_data[[#This Row],[workers]]-Tb_data[[#This Row],[previous_workers]]</f>
        <v>11</v>
      </c>
      <c r="M4730" s="12">
        <f>Tb_data[[#This Row],[Employees Growth]]/Tb_data[[#This Row],[previous_workers]]</f>
        <v>2.75</v>
      </c>
    </row>
    <row r="4731" spans="1:13" x14ac:dyDescent="0.25">
      <c r="A4731" s="1" t="s">
        <v>1088</v>
      </c>
      <c r="B4731" s="1" t="s">
        <v>1089</v>
      </c>
      <c r="C4731" s="1">
        <v>18400000</v>
      </c>
      <c r="D4731" s="1" t="s">
        <v>29</v>
      </c>
      <c r="E4731">
        <v>890.89459999999997</v>
      </c>
      <c r="F4731" s="1" t="s">
        <v>124</v>
      </c>
      <c r="G4731">
        <v>28</v>
      </c>
      <c r="H4731">
        <v>5</v>
      </c>
      <c r="I4731" s="1" t="s">
        <v>35</v>
      </c>
      <c r="J4731">
        <v>3</v>
      </c>
      <c r="K4731" t="str">
        <f>IF(Tb_data[[#This Row],[previous_workers]]&lt;Tb_data[[#This Row],[workers]],"yes","no")</f>
        <v>yes</v>
      </c>
      <c r="L4731">
        <f>Tb_data[[#This Row],[workers]]-Tb_data[[#This Row],[previous_workers]]</f>
        <v>23</v>
      </c>
      <c r="M4731" s="12">
        <f>Tb_data[[#This Row],[Employees Growth]]/Tb_data[[#This Row],[previous_workers]]</f>
        <v>4.5999999999999996</v>
      </c>
    </row>
    <row r="4732" spans="1:13" x14ac:dyDescent="0.25">
      <c r="A4732" s="1" t="s">
        <v>9015</v>
      </c>
      <c r="B4732" s="1" t="s">
        <v>9016</v>
      </c>
      <c r="C4732" s="1">
        <v>7300000</v>
      </c>
      <c r="D4732" s="1" t="s">
        <v>29</v>
      </c>
      <c r="E4732">
        <v>66.516900000000007</v>
      </c>
      <c r="F4732" s="1" t="s">
        <v>12</v>
      </c>
      <c r="G4732">
        <v>43</v>
      </c>
      <c r="H4732">
        <v>24</v>
      </c>
      <c r="I4732" s="1" t="s">
        <v>1657</v>
      </c>
      <c r="J4732">
        <v>3</v>
      </c>
      <c r="K4732" t="str">
        <f>IF(Tb_data[[#This Row],[previous_workers]]&lt;Tb_data[[#This Row],[workers]],"yes","no")</f>
        <v>yes</v>
      </c>
      <c r="L4732">
        <f>Tb_data[[#This Row],[workers]]-Tb_data[[#This Row],[previous_workers]]</f>
        <v>19</v>
      </c>
      <c r="M4732" s="12">
        <f>Tb_data[[#This Row],[Employees Growth]]/Tb_data[[#This Row],[previous_workers]]</f>
        <v>0.79166666666666663</v>
      </c>
    </row>
    <row r="4733" spans="1:13" x14ac:dyDescent="0.25">
      <c r="A4733" s="1" t="s">
        <v>1369</v>
      </c>
      <c r="B4733" s="1" t="s">
        <v>1370</v>
      </c>
      <c r="C4733" s="1">
        <v>6400000</v>
      </c>
      <c r="D4733" s="1" t="s">
        <v>49</v>
      </c>
      <c r="E4733">
        <v>696.87620000000004</v>
      </c>
      <c r="F4733" s="1" t="s">
        <v>176</v>
      </c>
      <c r="G4733">
        <v>35</v>
      </c>
      <c r="H4733">
        <v>18</v>
      </c>
      <c r="I4733" s="1" t="s">
        <v>55</v>
      </c>
      <c r="J4733">
        <v>2</v>
      </c>
      <c r="K4733" t="str">
        <f>IF(Tb_data[[#This Row],[previous_workers]]&lt;Tb_data[[#This Row],[workers]],"yes","no")</f>
        <v>yes</v>
      </c>
      <c r="L4733">
        <f>Tb_data[[#This Row],[workers]]-Tb_data[[#This Row],[previous_workers]]</f>
        <v>17</v>
      </c>
      <c r="M4733" s="12">
        <f>Tb_data[[#This Row],[Employees Growth]]/Tb_data[[#This Row],[previous_workers]]</f>
        <v>0.94444444444444442</v>
      </c>
    </row>
    <row r="4734" spans="1:13" x14ac:dyDescent="0.25">
      <c r="A4734" s="1" t="s">
        <v>7805</v>
      </c>
      <c r="B4734" s="1" t="s">
        <v>7806</v>
      </c>
      <c r="C4734" s="1">
        <v>104100000</v>
      </c>
      <c r="D4734" s="1" t="s">
        <v>11</v>
      </c>
      <c r="E4734">
        <v>86.203800000000001</v>
      </c>
      <c r="F4734" s="1" t="s">
        <v>156</v>
      </c>
      <c r="G4734">
        <v>120</v>
      </c>
      <c r="H4734">
        <v>25</v>
      </c>
      <c r="I4734" s="1" t="s">
        <v>117</v>
      </c>
      <c r="J4734">
        <v>1</v>
      </c>
      <c r="K4734" t="str">
        <f>IF(Tb_data[[#This Row],[previous_workers]]&lt;Tb_data[[#This Row],[workers]],"yes","no")</f>
        <v>yes</v>
      </c>
      <c r="L4734">
        <f>Tb_data[[#This Row],[workers]]-Tb_data[[#This Row],[previous_workers]]</f>
        <v>95</v>
      </c>
      <c r="M4734" s="12">
        <f>Tb_data[[#This Row],[Employees Growth]]/Tb_data[[#This Row],[previous_workers]]</f>
        <v>3.8</v>
      </c>
    </row>
    <row r="4735" spans="1:13" x14ac:dyDescent="0.25">
      <c r="A4735" s="1" t="s">
        <v>8951</v>
      </c>
      <c r="B4735" s="1" t="s">
        <v>8952</v>
      </c>
      <c r="C4735" s="1">
        <v>132900000</v>
      </c>
      <c r="D4735" s="1" t="s">
        <v>69</v>
      </c>
      <c r="E4735">
        <v>67.341200000000001</v>
      </c>
      <c r="F4735" s="1" t="s">
        <v>156</v>
      </c>
      <c r="G4735">
        <v>753</v>
      </c>
      <c r="H4735">
        <v>389</v>
      </c>
      <c r="I4735" s="1" t="s">
        <v>194</v>
      </c>
      <c r="J4735">
        <v>7</v>
      </c>
      <c r="K4735" t="str">
        <f>IF(Tb_data[[#This Row],[previous_workers]]&lt;Tb_data[[#This Row],[workers]],"yes","no")</f>
        <v>yes</v>
      </c>
      <c r="L4735">
        <f>Tb_data[[#This Row],[workers]]-Tb_data[[#This Row],[previous_workers]]</f>
        <v>364</v>
      </c>
      <c r="M4735" s="12">
        <f>Tb_data[[#This Row],[Employees Growth]]/Tb_data[[#This Row],[previous_workers]]</f>
        <v>0.93573264781491006</v>
      </c>
    </row>
    <row r="4736" spans="1:13" x14ac:dyDescent="0.25">
      <c r="A4736" s="1" t="s">
        <v>3984</v>
      </c>
      <c r="B4736" s="1" t="s">
        <v>3985</v>
      </c>
      <c r="C4736" s="1">
        <v>5200000</v>
      </c>
      <c r="D4736" s="1" t="s">
        <v>254</v>
      </c>
      <c r="E4736">
        <v>207.6498</v>
      </c>
      <c r="F4736" s="1" t="s">
        <v>21</v>
      </c>
      <c r="G4736">
        <v>5</v>
      </c>
      <c r="H4736">
        <v>1</v>
      </c>
      <c r="I4736" s="1" t="s">
        <v>130</v>
      </c>
      <c r="J4736">
        <v>1</v>
      </c>
      <c r="K4736" t="str">
        <f>IF(Tb_data[[#This Row],[previous_workers]]&lt;Tb_data[[#This Row],[workers]],"yes","no")</f>
        <v>yes</v>
      </c>
      <c r="L4736">
        <f>Tb_data[[#This Row],[workers]]-Tb_data[[#This Row],[previous_workers]]</f>
        <v>4</v>
      </c>
      <c r="M4736" s="12">
        <f>Tb_data[[#This Row],[Employees Growth]]/Tb_data[[#This Row],[previous_workers]]</f>
        <v>4</v>
      </c>
    </row>
    <row r="4737" spans="1:13" x14ac:dyDescent="0.25">
      <c r="A4737" s="1" t="s">
        <v>10072</v>
      </c>
      <c r="B4737" s="1" t="s">
        <v>10073</v>
      </c>
      <c r="C4737" s="1">
        <v>2100000</v>
      </c>
      <c r="D4737" s="1" t="s">
        <v>69</v>
      </c>
      <c r="E4737">
        <v>52.568399999999997</v>
      </c>
      <c r="F4737" s="1" t="s">
        <v>156</v>
      </c>
      <c r="G4737">
        <v>13</v>
      </c>
      <c r="H4737">
        <v>9</v>
      </c>
      <c r="I4737" s="1" t="s">
        <v>46</v>
      </c>
      <c r="J4737">
        <v>1</v>
      </c>
      <c r="K4737" t="str">
        <f>IF(Tb_data[[#This Row],[previous_workers]]&lt;Tb_data[[#This Row],[workers]],"yes","no")</f>
        <v>yes</v>
      </c>
      <c r="L4737">
        <f>Tb_data[[#This Row],[workers]]-Tb_data[[#This Row],[previous_workers]]</f>
        <v>4</v>
      </c>
      <c r="M4737" s="12">
        <f>Tb_data[[#This Row],[Employees Growth]]/Tb_data[[#This Row],[previous_workers]]</f>
        <v>0.44444444444444442</v>
      </c>
    </row>
    <row r="4738" spans="1:13" x14ac:dyDescent="0.25">
      <c r="A4738" s="1" t="s">
        <v>7290</v>
      </c>
      <c r="B4738" s="1" t="s">
        <v>7291</v>
      </c>
      <c r="C4738" s="1">
        <v>13000000</v>
      </c>
      <c r="D4738" s="1" t="s">
        <v>61</v>
      </c>
      <c r="E4738">
        <v>97.124799999999993</v>
      </c>
      <c r="F4738" s="1" t="s">
        <v>12</v>
      </c>
      <c r="G4738">
        <v>51</v>
      </c>
      <c r="H4738">
        <v>27</v>
      </c>
      <c r="I4738" s="1" t="s">
        <v>46</v>
      </c>
      <c r="J4738">
        <v>7</v>
      </c>
      <c r="K4738" t="str">
        <f>IF(Tb_data[[#This Row],[previous_workers]]&lt;Tb_data[[#This Row],[workers]],"yes","no")</f>
        <v>yes</v>
      </c>
      <c r="L4738">
        <f>Tb_data[[#This Row],[workers]]-Tb_data[[#This Row],[previous_workers]]</f>
        <v>24</v>
      </c>
      <c r="M4738" s="12">
        <f>Tb_data[[#This Row],[Employees Growth]]/Tb_data[[#This Row],[previous_workers]]</f>
        <v>0.88888888888888884</v>
      </c>
    </row>
    <row r="4739" spans="1:13" x14ac:dyDescent="0.25">
      <c r="A4739" s="1" t="s">
        <v>1084</v>
      </c>
      <c r="B4739" s="1" t="s">
        <v>1085</v>
      </c>
      <c r="C4739" s="1">
        <v>5400000</v>
      </c>
      <c r="D4739" s="1" t="s">
        <v>33</v>
      </c>
      <c r="E4739">
        <v>894.68119999999999</v>
      </c>
      <c r="F4739" s="1" t="s">
        <v>30</v>
      </c>
      <c r="G4739">
        <v>30</v>
      </c>
      <c r="H4739">
        <v>6</v>
      </c>
      <c r="I4739" s="1" t="s">
        <v>130</v>
      </c>
      <c r="J4739">
        <v>2</v>
      </c>
      <c r="K4739" t="str">
        <f>IF(Tb_data[[#This Row],[previous_workers]]&lt;Tb_data[[#This Row],[workers]],"yes","no")</f>
        <v>yes</v>
      </c>
      <c r="L4739">
        <f>Tb_data[[#This Row],[workers]]-Tb_data[[#This Row],[previous_workers]]</f>
        <v>24</v>
      </c>
      <c r="M4739" s="12">
        <f>Tb_data[[#This Row],[Employees Growth]]/Tb_data[[#This Row],[previous_workers]]</f>
        <v>4</v>
      </c>
    </row>
    <row r="4740" spans="1:13" x14ac:dyDescent="0.25">
      <c r="A4740" s="1" t="s">
        <v>4896</v>
      </c>
      <c r="B4740" s="1" t="s">
        <v>4897</v>
      </c>
      <c r="C4740" s="1">
        <v>29400000</v>
      </c>
      <c r="D4740" s="1" t="s">
        <v>61</v>
      </c>
      <c r="E4740">
        <v>166.03739999999999</v>
      </c>
      <c r="F4740" s="1" t="s">
        <v>176</v>
      </c>
      <c r="G4740">
        <v>54</v>
      </c>
      <c r="H4740">
        <v>13</v>
      </c>
      <c r="I4740" s="1" t="s">
        <v>147</v>
      </c>
      <c r="J4740">
        <v>1</v>
      </c>
      <c r="K4740" t="str">
        <f>IF(Tb_data[[#This Row],[previous_workers]]&lt;Tb_data[[#This Row],[workers]],"yes","no")</f>
        <v>yes</v>
      </c>
      <c r="L4740">
        <f>Tb_data[[#This Row],[workers]]-Tb_data[[#This Row],[previous_workers]]</f>
        <v>41</v>
      </c>
      <c r="M4740" s="12">
        <f>Tb_data[[#This Row],[Employees Growth]]/Tb_data[[#This Row],[previous_workers]]</f>
        <v>3.1538461538461537</v>
      </c>
    </row>
    <row r="4741" spans="1:13" x14ac:dyDescent="0.25">
      <c r="A4741" s="1" t="s">
        <v>452</v>
      </c>
      <c r="B4741" s="1" t="s">
        <v>453</v>
      </c>
      <c r="C4741" s="1">
        <v>85800000</v>
      </c>
      <c r="D4741" s="1" t="s">
        <v>52</v>
      </c>
      <c r="E4741">
        <v>2112.1974</v>
      </c>
      <c r="F4741" s="1" t="s">
        <v>176</v>
      </c>
      <c r="G4741">
        <v>103</v>
      </c>
      <c r="H4741">
        <v>3</v>
      </c>
      <c r="I4741" s="1" t="s">
        <v>26</v>
      </c>
      <c r="J4741">
        <v>2</v>
      </c>
      <c r="K4741" t="str">
        <f>IF(Tb_data[[#This Row],[previous_workers]]&lt;Tb_data[[#This Row],[workers]],"yes","no")</f>
        <v>yes</v>
      </c>
      <c r="L4741">
        <f>Tb_data[[#This Row],[workers]]-Tb_data[[#This Row],[previous_workers]]</f>
        <v>100</v>
      </c>
      <c r="M4741" s="12">
        <f>Tb_data[[#This Row],[Employees Growth]]/Tb_data[[#This Row],[previous_workers]]</f>
        <v>33.333333333333336</v>
      </c>
    </row>
    <row r="4742" spans="1:13" x14ac:dyDescent="0.25">
      <c r="A4742" s="1" t="s">
        <v>444</v>
      </c>
      <c r="B4742" s="1" t="s">
        <v>445</v>
      </c>
      <c r="C4742" s="1">
        <v>3100000</v>
      </c>
      <c r="D4742" s="1" t="s">
        <v>85</v>
      </c>
      <c r="E4742">
        <v>2142.0754000000002</v>
      </c>
      <c r="F4742" s="1" t="s">
        <v>12</v>
      </c>
      <c r="G4742">
        <v>41</v>
      </c>
      <c r="H4742">
        <v>1</v>
      </c>
      <c r="I4742" s="1" t="s">
        <v>194</v>
      </c>
      <c r="J4742">
        <v>1</v>
      </c>
      <c r="K4742" t="str">
        <f>IF(Tb_data[[#This Row],[previous_workers]]&lt;Tb_data[[#This Row],[workers]],"yes","no")</f>
        <v>yes</v>
      </c>
      <c r="L4742">
        <f>Tb_data[[#This Row],[workers]]-Tb_data[[#This Row],[previous_workers]]</f>
        <v>40</v>
      </c>
      <c r="M4742" s="12">
        <f>Tb_data[[#This Row],[Employees Growth]]/Tb_data[[#This Row],[previous_workers]]</f>
        <v>40</v>
      </c>
    </row>
    <row r="4743" spans="1:13" x14ac:dyDescent="0.25">
      <c r="A4743" s="1" t="s">
        <v>8313</v>
      </c>
      <c r="B4743" s="1" t="s">
        <v>8314</v>
      </c>
      <c r="C4743" s="1">
        <v>11700000</v>
      </c>
      <c r="D4743" s="1" t="s">
        <v>483</v>
      </c>
      <c r="E4743">
        <v>77.571100000000001</v>
      </c>
      <c r="F4743" s="1" t="s">
        <v>176</v>
      </c>
      <c r="G4743">
        <v>31</v>
      </c>
      <c r="H4743">
        <v>24</v>
      </c>
      <c r="I4743" s="1" t="s">
        <v>1051</v>
      </c>
      <c r="J4743">
        <v>2</v>
      </c>
      <c r="K4743" t="str">
        <f>IF(Tb_data[[#This Row],[previous_workers]]&lt;Tb_data[[#This Row],[workers]],"yes","no")</f>
        <v>yes</v>
      </c>
      <c r="L4743">
        <f>Tb_data[[#This Row],[workers]]-Tb_data[[#This Row],[previous_workers]]</f>
        <v>7</v>
      </c>
      <c r="M4743" s="12">
        <f>Tb_data[[#This Row],[Employees Growth]]/Tb_data[[#This Row],[previous_workers]]</f>
        <v>0.29166666666666669</v>
      </c>
    </row>
    <row r="4744" spans="1:13" x14ac:dyDescent="0.25">
      <c r="A4744" s="1" t="s">
        <v>6681</v>
      </c>
      <c r="B4744" s="1" t="s">
        <v>6682</v>
      </c>
      <c r="C4744" s="1">
        <v>2000000</v>
      </c>
      <c r="D4744" s="1" t="s">
        <v>427</v>
      </c>
      <c r="E4744">
        <v>109.62909999999999</v>
      </c>
      <c r="F4744" s="1" t="s">
        <v>86</v>
      </c>
      <c r="G4744">
        <v>12</v>
      </c>
      <c r="H4744">
        <v>21</v>
      </c>
      <c r="I4744" s="1" t="s">
        <v>55</v>
      </c>
      <c r="J4744">
        <v>1</v>
      </c>
      <c r="K4744" t="str">
        <f>IF(Tb_data[[#This Row],[previous_workers]]&lt;Tb_data[[#This Row],[workers]],"yes","no")</f>
        <v>no</v>
      </c>
      <c r="L4744">
        <f>Tb_data[[#This Row],[workers]]-Tb_data[[#This Row],[previous_workers]]</f>
        <v>-9</v>
      </c>
      <c r="M4744" s="12">
        <f>Tb_data[[#This Row],[Employees Growth]]/Tb_data[[#This Row],[previous_workers]]</f>
        <v>-0.42857142857142855</v>
      </c>
    </row>
    <row r="4745" spans="1:13" x14ac:dyDescent="0.25">
      <c r="A4745" s="1" t="s">
        <v>2943</v>
      </c>
      <c r="B4745" s="1" t="s">
        <v>2944</v>
      </c>
      <c r="C4745" s="1">
        <v>143700000</v>
      </c>
      <c r="D4745" s="1" t="s">
        <v>45</v>
      </c>
      <c r="E4745">
        <v>292.2955</v>
      </c>
      <c r="F4745" s="1" t="s">
        <v>156</v>
      </c>
      <c r="G4745">
        <v>425</v>
      </c>
      <c r="H4745">
        <v>150</v>
      </c>
      <c r="I4745" s="1" t="s">
        <v>229</v>
      </c>
      <c r="J4745">
        <v>9</v>
      </c>
      <c r="K4745" t="str">
        <f>IF(Tb_data[[#This Row],[previous_workers]]&lt;Tb_data[[#This Row],[workers]],"yes","no")</f>
        <v>yes</v>
      </c>
      <c r="L4745">
        <f>Tb_data[[#This Row],[workers]]-Tb_data[[#This Row],[previous_workers]]</f>
        <v>275</v>
      </c>
      <c r="M4745" s="12">
        <f>Tb_data[[#This Row],[Employees Growth]]/Tb_data[[#This Row],[previous_workers]]</f>
        <v>1.8333333333333333</v>
      </c>
    </row>
    <row r="4746" spans="1:13" x14ac:dyDescent="0.25">
      <c r="A4746" s="1" t="s">
        <v>2585</v>
      </c>
      <c r="B4746" s="1" t="s">
        <v>2586</v>
      </c>
      <c r="C4746" s="1">
        <v>3900000</v>
      </c>
      <c r="D4746" s="1" t="s">
        <v>85</v>
      </c>
      <c r="E4746">
        <v>333.89449999999999</v>
      </c>
      <c r="F4746" s="1" t="s">
        <v>86</v>
      </c>
      <c r="G4746">
        <v>15</v>
      </c>
      <c r="H4746">
        <v>4</v>
      </c>
      <c r="I4746" s="1" t="s">
        <v>26</v>
      </c>
      <c r="J4746">
        <v>2</v>
      </c>
      <c r="K4746" t="str">
        <f>IF(Tb_data[[#This Row],[previous_workers]]&lt;Tb_data[[#This Row],[workers]],"yes","no")</f>
        <v>yes</v>
      </c>
      <c r="L4746">
        <f>Tb_data[[#This Row],[workers]]-Tb_data[[#This Row],[previous_workers]]</f>
        <v>11</v>
      </c>
      <c r="M4746" s="12">
        <f>Tb_data[[#This Row],[Employees Growth]]/Tb_data[[#This Row],[previous_workers]]</f>
        <v>2.75</v>
      </c>
    </row>
    <row r="4747" spans="1:13" x14ac:dyDescent="0.25">
      <c r="A4747" s="1" t="s">
        <v>3159</v>
      </c>
      <c r="B4747" s="1" t="s">
        <v>3160</v>
      </c>
      <c r="C4747" s="1">
        <v>9200000</v>
      </c>
      <c r="D4747" s="1" t="s">
        <v>11</v>
      </c>
      <c r="E4747">
        <v>272.62560000000002</v>
      </c>
      <c r="F4747" s="1" t="s">
        <v>100</v>
      </c>
      <c r="G4747">
        <v>150</v>
      </c>
      <c r="H4747">
        <v>2</v>
      </c>
      <c r="I4747" s="1" t="s">
        <v>35</v>
      </c>
      <c r="J4747">
        <v>2</v>
      </c>
      <c r="K4747" t="str">
        <f>IF(Tb_data[[#This Row],[previous_workers]]&lt;Tb_data[[#This Row],[workers]],"yes","no")</f>
        <v>yes</v>
      </c>
      <c r="L4747">
        <f>Tb_data[[#This Row],[workers]]-Tb_data[[#This Row],[previous_workers]]</f>
        <v>148</v>
      </c>
      <c r="M4747" s="12">
        <f>Tb_data[[#This Row],[Employees Growth]]/Tb_data[[#This Row],[previous_workers]]</f>
        <v>74</v>
      </c>
    </row>
    <row r="4748" spans="1:13" x14ac:dyDescent="0.25">
      <c r="A4748" s="1" t="s">
        <v>3726</v>
      </c>
      <c r="B4748" s="1" t="s">
        <v>3727</v>
      </c>
      <c r="C4748" s="1">
        <v>3800000</v>
      </c>
      <c r="D4748" s="1" t="s">
        <v>69</v>
      </c>
      <c r="E4748">
        <v>226.4683</v>
      </c>
      <c r="F4748" s="1" t="s">
        <v>152</v>
      </c>
      <c r="G4748">
        <v>25</v>
      </c>
      <c r="H4748">
        <v>12</v>
      </c>
      <c r="I4748" s="1" t="s">
        <v>46</v>
      </c>
      <c r="J4748">
        <v>2</v>
      </c>
      <c r="K4748" t="str">
        <f>IF(Tb_data[[#This Row],[previous_workers]]&lt;Tb_data[[#This Row],[workers]],"yes","no")</f>
        <v>yes</v>
      </c>
      <c r="L4748">
        <f>Tb_data[[#This Row],[workers]]-Tb_data[[#This Row],[previous_workers]]</f>
        <v>13</v>
      </c>
      <c r="M4748" s="12">
        <f>Tb_data[[#This Row],[Employees Growth]]/Tb_data[[#This Row],[previous_workers]]</f>
        <v>1.0833333333333333</v>
      </c>
    </row>
    <row r="4749" spans="1:13" x14ac:dyDescent="0.25">
      <c r="A4749" s="1" t="s">
        <v>9850</v>
      </c>
      <c r="B4749" s="1" t="s">
        <v>9851</v>
      </c>
      <c r="C4749" s="1">
        <v>18300000</v>
      </c>
      <c r="D4749" s="1" t="s">
        <v>236</v>
      </c>
      <c r="E4749">
        <v>56.091799999999999</v>
      </c>
      <c r="F4749" s="1" t="s">
        <v>3264</v>
      </c>
      <c r="G4749">
        <v>81</v>
      </c>
      <c r="H4749">
        <v>60</v>
      </c>
      <c r="I4749" s="1" t="s">
        <v>74</v>
      </c>
      <c r="J4749">
        <v>1</v>
      </c>
      <c r="K4749" t="str">
        <f>IF(Tb_data[[#This Row],[previous_workers]]&lt;Tb_data[[#This Row],[workers]],"yes","no")</f>
        <v>yes</v>
      </c>
      <c r="L4749">
        <f>Tb_data[[#This Row],[workers]]-Tb_data[[#This Row],[previous_workers]]</f>
        <v>21</v>
      </c>
      <c r="M4749" s="12">
        <f>Tb_data[[#This Row],[Employees Growth]]/Tb_data[[#This Row],[previous_workers]]</f>
        <v>0.35</v>
      </c>
    </row>
    <row r="4750" spans="1:13" x14ac:dyDescent="0.25">
      <c r="A4750" s="1" t="s">
        <v>2379</v>
      </c>
      <c r="B4750" s="1" t="s">
        <v>2380</v>
      </c>
      <c r="C4750" s="1">
        <v>12800000</v>
      </c>
      <c r="D4750" s="1" t="s">
        <v>41</v>
      </c>
      <c r="E4750">
        <v>368.89420000000001</v>
      </c>
      <c r="F4750" s="1" t="s">
        <v>86</v>
      </c>
      <c r="G4750">
        <v>53</v>
      </c>
      <c r="H4750">
        <v>35</v>
      </c>
      <c r="I4750" s="1" t="s">
        <v>130</v>
      </c>
      <c r="J4750">
        <v>1</v>
      </c>
      <c r="K4750" t="str">
        <f>IF(Tb_data[[#This Row],[previous_workers]]&lt;Tb_data[[#This Row],[workers]],"yes","no")</f>
        <v>yes</v>
      </c>
      <c r="L4750">
        <f>Tb_data[[#This Row],[workers]]-Tb_data[[#This Row],[previous_workers]]</f>
        <v>18</v>
      </c>
      <c r="M4750" s="12">
        <f>Tb_data[[#This Row],[Employees Growth]]/Tb_data[[#This Row],[previous_workers]]</f>
        <v>0.51428571428571423</v>
      </c>
    </row>
    <row r="4751" spans="1:13" x14ac:dyDescent="0.25">
      <c r="A4751" s="1" t="s">
        <v>6595</v>
      </c>
      <c r="B4751" s="1" t="s">
        <v>6596</v>
      </c>
      <c r="C4751" s="1">
        <v>3100000</v>
      </c>
      <c r="D4751" s="1" t="s">
        <v>52</v>
      </c>
      <c r="E4751">
        <v>111.7255</v>
      </c>
      <c r="F4751" s="1" t="s">
        <v>12</v>
      </c>
      <c r="G4751">
        <v>11</v>
      </c>
      <c r="H4751">
        <v>9</v>
      </c>
      <c r="I4751" s="1" t="s">
        <v>164</v>
      </c>
      <c r="J4751">
        <v>1</v>
      </c>
      <c r="K4751" t="str">
        <f>IF(Tb_data[[#This Row],[previous_workers]]&lt;Tb_data[[#This Row],[workers]],"yes","no")</f>
        <v>yes</v>
      </c>
      <c r="L4751">
        <f>Tb_data[[#This Row],[workers]]-Tb_data[[#This Row],[previous_workers]]</f>
        <v>2</v>
      </c>
      <c r="M4751" s="12">
        <f>Tb_data[[#This Row],[Employees Growth]]/Tb_data[[#This Row],[previous_workers]]</f>
        <v>0.22222222222222221</v>
      </c>
    </row>
    <row r="4752" spans="1:13" x14ac:dyDescent="0.25">
      <c r="A4752" s="1" t="s">
        <v>2205</v>
      </c>
      <c r="B4752" s="1" t="s">
        <v>2206</v>
      </c>
      <c r="C4752" s="1">
        <v>6600000</v>
      </c>
      <c r="D4752" s="1" t="s">
        <v>254</v>
      </c>
      <c r="E4752">
        <v>399.21960000000001</v>
      </c>
      <c r="F4752" s="1" t="s">
        <v>94</v>
      </c>
      <c r="G4752">
        <v>14</v>
      </c>
      <c r="H4752">
        <v>4</v>
      </c>
      <c r="I4752" s="1" t="s">
        <v>130</v>
      </c>
      <c r="J4752">
        <v>3</v>
      </c>
      <c r="K4752" t="str">
        <f>IF(Tb_data[[#This Row],[previous_workers]]&lt;Tb_data[[#This Row],[workers]],"yes","no")</f>
        <v>yes</v>
      </c>
      <c r="L4752">
        <f>Tb_data[[#This Row],[workers]]-Tb_data[[#This Row],[previous_workers]]</f>
        <v>10</v>
      </c>
      <c r="M4752" s="12">
        <f>Tb_data[[#This Row],[Employees Growth]]/Tb_data[[#This Row],[previous_workers]]</f>
        <v>2.5</v>
      </c>
    </row>
    <row r="4753" spans="1:13" x14ac:dyDescent="0.25">
      <c r="A4753" s="1" t="s">
        <v>2709</v>
      </c>
      <c r="B4753" s="1" t="s">
        <v>2710</v>
      </c>
      <c r="C4753" s="1">
        <v>7600000</v>
      </c>
      <c r="D4753" s="1" t="s">
        <v>20</v>
      </c>
      <c r="E4753">
        <v>317.7998</v>
      </c>
      <c r="F4753" s="1" t="s">
        <v>112</v>
      </c>
      <c r="G4753">
        <v>16</v>
      </c>
      <c r="H4753">
        <v>10</v>
      </c>
      <c r="I4753" s="1" t="s">
        <v>26</v>
      </c>
      <c r="J4753">
        <v>1</v>
      </c>
      <c r="K4753" t="str">
        <f>IF(Tb_data[[#This Row],[previous_workers]]&lt;Tb_data[[#This Row],[workers]],"yes","no")</f>
        <v>yes</v>
      </c>
      <c r="L4753">
        <f>Tb_data[[#This Row],[workers]]-Tb_data[[#This Row],[previous_workers]]</f>
        <v>6</v>
      </c>
      <c r="M4753" s="12">
        <f>Tb_data[[#This Row],[Employees Growth]]/Tb_data[[#This Row],[previous_workers]]</f>
        <v>0.6</v>
      </c>
    </row>
    <row r="4754" spans="1:13" x14ac:dyDescent="0.25">
      <c r="A4754" s="1" t="s">
        <v>7561</v>
      </c>
      <c r="B4754" s="1" t="s">
        <v>7562</v>
      </c>
      <c r="C4754" s="1">
        <v>9200000</v>
      </c>
      <c r="D4754" s="1" t="s">
        <v>3768</v>
      </c>
      <c r="E4754">
        <v>91.378500000000003</v>
      </c>
      <c r="F4754" s="1" t="s">
        <v>86</v>
      </c>
      <c r="G4754">
        <v>49</v>
      </c>
      <c r="H4754">
        <v>26</v>
      </c>
      <c r="I4754" s="1" t="s">
        <v>74</v>
      </c>
      <c r="J4754">
        <v>1</v>
      </c>
      <c r="K4754" t="str">
        <f>IF(Tb_data[[#This Row],[previous_workers]]&lt;Tb_data[[#This Row],[workers]],"yes","no")</f>
        <v>yes</v>
      </c>
      <c r="L4754">
        <f>Tb_data[[#This Row],[workers]]-Tb_data[[#This Row],[previous_workers]]</f>
        <v>23</v>
      </c>
      <c r="M4754" s="12">
        <f>Tb_data[[#This Row],[Employees Growth]]/Tb_data[[#This Row],[previous_workers]]</f>
        <v>0.88461538461538458</v>
      </c>
    </row>
    <row r="4755" spans="1:13" x14ac:dyDescent="0.25">
      <c r="A4755" s="1" t="s">
        <v>8423</v>
      </c>
      <c r="B4755" s="1" t="s">
        <v>8424</v>
      </c>
      <c r="C4755" s="1">
        <v>164900000</v>
      </c>
      <c r="D4755" s="1" t="s">
        <v>38</v>
      </c>
      <c r="E4755">
        <v>75.453800000000001</v>
      </c>
      <c r="F4755" s="1" t="s">
        <v>124</v>
      </c>
      <c r="G4755">
        <v>147</v>
      </c>
      <c r="H4755">
        <v>72</v>
      </c>
      <c r="I4755" s="1" t="s">
        <v>295</v>
      </c>
      <c r="J4755">
        <v>2</v>
      </c>
      <c r="K4755" t="str">
        <f>IF(Tb_data[[#This Row],[previous_workers]]&lt;Tb_data[[#This Row],[workers]],"yes","no")</f>
        <v>yes</v>
      </c>
      <c r="L4755">
        <f>Tb_data[[#This Row],[workers]]-Tb_data[[#This Row],[previous_workers]]</f>
        <v>75</v>
      </c>
      <c r="M4755" s="12">
        <f>Tb_data[[#This Row],[Employees Growth]]/Tb_data[[#This Row],[previous_workers]]</f>
        <v>1.0416666666666667</v>
      </c>
    </row>
    <row r="4756" spans="1:13" x14ac:dyDescent="0.25">
      <c r="A4756" s="1" t="s">
        <v>2777</v>
      </c>
      <c r="B4756" s="1" t="s">
        <v>2778</v>
      </c>
      <c r="C4756" s="1">
        <v>13100000</v>
      </c>
      <c r="D4756" s="1" t="s">
        <v>85</v>
      </c>
      <c r="E4756">
        <v>310.50549999999998</v>
      </c>
      <c r="F4756" s="1" t="s">
        <v>161</v>
      </c>
      <c r="G4756">
        <v>108</v>
      </c>
      <c r="H4756">
        <v>44</v>
      </c>
      <c r="I4756" s="1" t="s">
        <v>55</v>
      </c>
      <c r="J4756">
        <v>4</v>
      </c>
      <c r="K4756" t="str">
        <f>IF(Tb_data[[#This Row],[previous_workers]]&lt;Tb_data[[#This Row],[workers]],"yes","no")</f>
        <v>yes</v>
      </c>
      <c r="L4756">
        <f>Tb_data[[#This Row],[workers]]-Tb_data[[#This Row],[previous_workers]]</f>
        <v>64</v>
      </c>
      <c r="M4756" s="12">
        <f>Tb_data[[#This Row],[Employees Growth]]/Tb_data[[#This Row],[previous_workers]]</f>
        <v>1.4545454545454546</v>
      </c>
    </row>
    <row r="4757" spans="1:13" x14ac:dyDescent="0.25">
      <c r="A4757" s="1" t="s">
        <v>4617</v>
      </c>
      <c r="B4757" s="1" t="s">
        <v>4618</v>
      </c>
      <c r="C4757" s="1">
        <v>8100000</v>
      </c>
      <c r="D4757" s="1" t="s">
        <v>221</v>
      </c>
      <c r="E4757">
        <v>177.3218</v>
      </c>
      <c r="F4757" s="1" t="s">
        <v>86</v>
      </c>
      <c r="G4757">
        <v>42</v>
      </c>
      <c r="H4757">
        <v>9</v>
      </c>
      <c r="I4757" s="1" t="s">
        <v>55</v>
      </c>
      <c r="J4757">
        <v>2</v>
      </c>
      <c r="K4757" t="str">
        <f>IF(Tb_data[[#This Row],[previous_workers]]&lt;Tb_data[[#This Row],[workers]],"yes","no")</f>
        <v>yes</v>
      </c>
      <c r="L4757">
        <f>Tb_data[[#This Row],[workers]]-Tb_data[[#This Row],[previous_workers]]</f>
        <v>33</v>
      </c>
      <c r="M4757" s="12">
        <f>Tb_data[[#This Row],[Employees Growth]]/Tb_data[[#This Row],[previous_workers]]</f>
        <v>3.6666666666666665</v>
      </c>
    </row>
    <row r="4758" spans="1:13" x14ac:dyDescent="0.25">
      <c r="A4758" s="1" t="s">
        <v>8183</v>
      </c>
      <c r="B4758" s="1" t="s">
        <v>8184</v>
      </c>
      <c r="C4758" s="1">
        <v>4100000</v>
      </c>
      <c r="D4758" s="1" t="s">
        <v>41</v>
      </c>
      <c r="E4758">
        <v>79.998099999999994</v>
      </c>
      <c r="F4758" s="1" t="s">
        <v>100</v>
      </c>
      <c r="G4758">
        <v>19</v>
      </c>
      <c r="H4758">
        <v>16</v>
      </c>
      <c r="I4758" s="1" t="s">
        <v>117</v>
      </c>
      <c r="J4758">
        <v>3</v>
      </c>
      <c r="K4758" t="str">
        <f>IF(Tb_data[[#This Row],[previous_workers]]&lt;Tb_data[[#This Row],[workers]],"yes","no")</f>
        <v>yes</v>
      </c>
      <c r="L4758">
        <f>Tb_data[[#This Row],[workers]]-Tb_data[[#This Row],[previous_workers]]</f>
        <v>3</v>
      </c>
      <c r="M4758" s="12">
        <f>Tb_data[[#This Row],[Employees Growth]]/Tb_data[[#This Row],[previous_workers]]</f>
        <v>0.1875</v>
      </c>
    </row>
    <row r="4759" spans="1:13" x14ac:dyDescent="0.25">
      <c r="A4759" s="1" t="s">
        <v>4501</v>
      </c>
      <c r="B4759" s="1" t="s">
        <v>4502</v>
      </c>
      <c r="C4759" s="1">
        <v>39100000</v>
      </c>
      <c r="D4759" s="1" t="s">
        <v>129</v>
      </c>
      <c r="E4759">
        <v>182.26750000000001</v>
      </c>
      <c r="F4759" s="1" t="s">
        <v>156</v>
      </c>
      <c r="G4759">
        <v>117</v>
      </c>
      <c r="H4759">
        <v>30</v>
      </c>
      <c r="I4759" s="1" t="s">
        <v>295</v>
      </c>
      <c r="J4759">
        <v>6</v>
      </c>
      <c r="K4759" t="str">
        <f>IF(Tb_data[[#This Row],[previous_workers]]&lt;Tb_data[[#This Row],[workers]],"yes","no")</f>
        <v>yes</v>
      </c>
      <c r="L4759">
        <f>Tb_data[[#This Row],[workers]]-Tb_data[[#This Row],[previous_workers]]</f>
        <v>87</v>
      </c>
      <c r="M4759" s="12">
        <f>Tb_data[[#This Row],[Employees Growth]]/Tb_data[[#This Row],[previous_workers]]</f>
        <v>2.9</v>
      </c>
    </row>
    <row r="4760" spans="1:13" x14ac:dyDescent="0.25">
      <c r="A4760" s="1" t="s">
        <v>2618</v>
      </c>
      <c r="B4760" s="1" t="s">
        <v>2619</v>
      </c>
      <c r="C4760" s="1">
        <v>8500000</v>
      </c>
      <c r="D4760" s="1" t="s">
        <v>69</v>
      </c>
      <c r="E4760">
        <v>330.30579999999998</v>
      </c>
      <c r="F4760" s="1" t="s">
        <v>12</v>
      </c>
      <c r="G4760">
        <v>30</v>
      </c>
      <c r="H4760">
        <v>15</v>
      </c>
      <c r="I4760" s="1" t="s">
        <v>35</v>
      </c>
      <c r="J4760">
        <v>5</v>
      </c>
      <c r="K4760" t="str">
        <f>IF(Tb_data[[#This Row],[previous_workers]]&lt;Tb_data[[#This Row],[workers]],"yes","no")</f>
        <v>yes</v>
      </c>
      <c r="L4760">
        <f>Tb_data[[#This Row],[workers]]-Tb_data[[#This Row],[previous_workers]]</f>
        <v>15</v>
      </c>
      <c r="M4760" s="12">
        <f>Tb_data[[#This Row],[Employees Growth]]/Tb_data[[#This Row],[previous_workers]]</f>
        <v>1</v>
      </c>
    </row>
    <row r="4761" spans="1:13" x14ac:dyDescent="0.25">
      <c r="A4761" s="1" t="s">
        <v>4204</v>
      </c>
      <c r="B4761" s="1" t="s">
        <v>4205</v>
      </c>
      <c r="C4761" s="1">
        <v>21600000</v>
      </c>
      <c r="D4761" s="1" t="s">
        <v>61</v>
      </c>
      <c r="E4761">
        <v>195.6062</v>
      </c>
      <c r="F4761" s="1" t="s">
        <v>161</v>
      </c>
      <c r="G4761">
        <v>400</v>
      </c>
      <c r="H4761">
        <v>200</v>
      </c>
      <c r="I4761" s="1" t="s">
        <v>164</v>
      </c>
      <c r="J4761">
        <v>1</v>
      </c>
      <c r="K4761" t="str">
        <f>IF(Tb_data[[#This Row],[previous_workers]]&lt;Tb_data[[#This Row],[workers]],"yes","no")</f>
        <v>yes</v>
      </c>
      <c r="L4761">
        <f>Tb_data[[#This Row],[workers]]-Tb_data[[#This Row],[previous_workers]]</f>
        <v>200</v>
      </c>
      <c r="M4761" s="12">
        <f>Tb_data[[#This Row],[Employees Growth]]/Tb_data[[#This Row],[previous_workers]]</f>
        <v>1</v>
      </c>
    </row>
    <row r="4762" spans="1:13" x14ac:dyDescent="0.25">
      <c r="A4762" s="1" t="s">
        <v>7050</v>
      </c>
      <c r="B4762" s="1" t="s">
        <v>7051</v>
      </c>
      <c r="C4762" s="1">
        <v>6000000</v>
      </c>
      <c r="D4762" s="1" t="s">
        <v>16</v>
      </c>
      <c r="E4762">
        <v>101.014</v>
      </c>
      <c r="F4762" s="1" t="s">
        <v>176</v>
      </c>
      <c r="G4762">
        <v>32</v>
      </c>
      <c r="H4762">
        <v>24</v>
      </c>
      <c r="I4762" s="1" t="s">
        <v>164</v>
      </c>
      <c r="J4762">
        <v>3</v>
      </c>
      <c r="K4762" t="str">
        <f>IF(Tb_data[[#This Row],[previous_workers]]&lt;Tb_data[[#This Row],[workers]],"yes","no")</f>
        <v>yes</v>
      </c>
      <c r="L4762">
        <f>Tb_data[[#This Row],[workers]]-Tb_data[[#This Row],[previous_workers]]</f>
        <v>8</v>
      </c>
      <c r="M4762" s="12">
        <f>Tb_data[[#This Row],[Employees Growth]]/Tb_data[[#This Row],[previous_workers]]</f>
        <v>0.33333333333333331</v>
      </c>
    </row>
    <row r="4763" spans="1:13" x14ac:dyDescent="0.25">
      <c r="A4763" s="1" t="s">
        <v>587</v>
      </c>
      <c r="B4763" s="1" t="s">
        <v>588</v>
      </c>
      <c r="C4763" s="1">
        <v>4400000</v>
      </c>
      <c r="D4763" s="1" t="s">
        <v>427</v>
      </c>
      <c r="E4763">
        <v>1702.6456000000001</v>
      </c>
      <c r="F4763" s="1" t="s">
        <v>135</v>
      </c>
      <c r="G4763">
        <v>59</v>
      </c>
      <c r="H4763">
        <v>6</v>
      </c>
      <c r="I4763" s="1" t="s">
        <v>26</v>
      </c>
      <c r="J4763">
        <v>1</v>
      </c>
      <c r="K4763" t="str">
        <f>IF(Tb_data[[#This Row],[previous_workers]]&lt;Tb_data[[#This Row],[workers]],"yes","no")</f>
        <v>yes</v>
      </c>
      <c r="L4763">
        <f>Tb_data[[#This Row],[workers]]-Tb_data[[#This Row],[previous_workers]]</f>
        <v>53</v>
      </c>
      <c r="M4763" s="12">
        <f>Tb_data[[#This Row],[Employees Growth]]/Tb_data[[#This Row],[previous_workers]]</f>
        <v>8.8333333333333339</v>
      </c>
    </row>
    <row r="4764" spans="1:13" x14ac:dyDescent="0.25">
      <c r="A4764" s="1" t="s">
        <v>2076</v>
      </c>
      <c r="B4764" s="1" t="s">
        <v>2077</v>
      </c>
      <c r="C4764" s="1">
        <v>4600000</v>
      </c>
      <c r="D4764" s="1" t="s">
        <v>49</v>
      </c>
      <c r="E4764">
        <v>428.72329999999999</v>
      </c>
      <c r="F4764" s="1" t="s">
        <v>30</v>
      </c>
      <c r="G4764">
        <v>9</v>
      </c>
      <c r="H4764">
        <v>4</v>
      </c>
      <c r="I4764" s="1" t="s">
        <v>130</v>
      </c>
      <c r="J4764">
        <v>2</v>
      </c>
      <c r="K4764" t="str">
        <f>IF(Tb_data[[#This Row],[previous_workers]]&lt;Tb_data[[#This Row],[workers]],"yes","no")</f>
        <v>yes</v>
      </c>
      <c r="L4764">
        <f>Tb_data[[#This Row],[workers]]-Tb_data[[#This Row],[previous_workers]]</f>
        <v>5</v>
      </c>
      <c r="M4764" s="12">
        <f>Tb_data[[#This Row],[Employees Growth]]/Tb_data[[#This Row],[previous_workers]]</f>
        <v>1.25</v>
      </c>
    </row>
    <row r="4765" spans="1:13" x14ac:dyDescent="0.25">
      <c r="A4765" s="1" t="s">
        <v>121</v>
      </c>
      <c r="B4765" s="1" t="s">
        <v>122</v>
      </c>
      <c r="C4765" s="1">
        <v>48900000</v>
      </c>
      <c r="D4765" s="1" t="s">
        <v>123</v>
      </c>
      <c r="E4765">
        <v>6337.2973000000002</v>
      </c>
      <c r="F4765" s="1" t="s">
        <v>124</v>
      </c>
      <c r="G4765">
        <v>52</v>
      </c>
      <c r="H4765">
        <v>2</v>
      </c>
      <c r="I4765" s="1" t="s">
        <v>26</v>
      </c>
      <c r="J4765">
        <v>1</v>
      </c>
      <c r="K4765" t="str">
        <f>IF(Tb_data[[#This Row],[previous_workers]]&lt;Tb_data[[#This Row],[workers]],"yes","no")</f>
        <v>yes</v>
      </c>
      <c r="L4765">
        <f>Tb_data[[#This Row],[workers]]-Tb_data[[#This Row],[previous_workers]]</f>
        <v>50</v>
      </c>
      <c r="M4765" s="12">
        <f>Tb_data[[#This Row],[Employees Growth]]/Tb_data[[#This Row],[previous_workers]]</f>
        <v>25</v>
      </c>
    </row>
    <row r="4766" spans="1:13" x14ac:dyDescent="0.25">
      <c r="A4766" s="1" t="s">
        <v>3860</v>
      </c>
      <c r="B4766" s="1" t="s">
        <v>3861</v>
      </c>
      <c r="C4766" s="1">
        <v>3800000</v>
      </c>
      <c r="D4766" s="1" t="s">
        <v>254</v>
      </c>
      <c r="E4766">
        <v>216.80439999999999</v>
      </c>
      <c r="F4766" s="1" t="s">
        <v>100</v>
      </c>
      <c r="G4766">
        <v>30</v>
      </c>
      <c r="H4766">
        <v>15</v>
      </c>
      <c r="I4766" s="1" t="s">
        <v>35</v>
      </c>
      <c r="J4766">
        <v>2</v>
      </c>
      <c r="K4766" t="str">
        <f>IF(Tb_data[[#This Row],[previous_workers]]&lt;Tb_data[[#This Row],[workers]],"yes","no")</f>
        <v>yes</v>
      </c>
      <c r="L4766">
        <f>Tb_data[[#This Row],[workers]]-Tb_data[[#This Row],[previous_workers]]</f>
        <v>15</v>
      </c>
      <c r="M4766" s="12">
        <f>Tb_data[[#This Row],[Employees Growth]]/Tb_data[[#This Row],[previous_workers]]</f>
        <v>1</v>
      </c>
    </row>
    <row r="4767" spans="1:13" x14ac:dyDescent="0.25">
      <c r="A4767" s="1" t="s">
        <v>737</v>
      </c>
      <c r="B4767" s="1" t="s">
        <v>738</v>
      </c>
      <c r="C4767" s="1">
        <v>2600000</v>
      </c>
      <c r="D4767" s="1" t="s">
        <v>33</v>
      </c>
      <c r="E4767">
        <v>1423.6886</v>
      </c>
      <c r="F4767" s="1" t="s">
        <v>112</v>
      </c>
      <c r="G4767">
        <v>6</v>
      </c>
      <c r="H4767">
        <v>1</v>
      </c>
      <c r="I4767" s="1" t="s">
        <v>26</v>
      </c>
      <c r="J4767">
        <v>1</v>
      </c>
      <c r="K4767" t="str">
        <f>IF(Tb_data[[#This Row],[previous_workers]]&lt;Tb_data[[#This Row],[workers]],"yes","no")</f>
        <v>yes</v>
      </c>
      <c r="L4767">
        <f>Tb_data[[#This Row],[workers]]-Tb_data[[#This Row],[previous_workers]]</f>
        <v>5</v>
      </c>
      <c r="M4767" s="12">
        <f>Tb_data[[#This Row],[Employees Growth]]/Tb_data[[#This Row],[previous_workers]]</f>
        <v>5</v>
      </c>
    </row>
    <row r="4768" spans="1:13" x14ac:dyDescent="0.25">
      <c r="A4768" s="1" t="s">
        <v>2957</v>
      </c>
      <c r="B4768" s="1" t="s">
        <v>2958</v>
      </c>
      <c r="C4768" s="1">
        <v>104000000</v>
      </c>
      <c r="D4768" s="1" t="s">
        <v>29</v>
      </c>
      <c r="E4768">
        <v>290.9538</v>
      </c>
      <c r="F4768" s="1" t="s">
        <v>176</v>
      </c>
      <c r="G4768">
        <v>1070</v>
      </c>
      <c r="H4768">
        <v>487</v>
      </c>
      <c r="I4768" s="1" t="s">
        <v>164</v>
      </c>
      <c r="J4768">
        <v>4</v>
      </c>
      <c r="K4768" t="str">
        <f>IF(Tb_data[[#This Row],[previous_workers]]&lt;Tb_data[[#This Row],[workers]],"yes","no")</f>
        <v>yes</v>
      </c>
      <c r="L4768">
        <f>Tb_data[[#This Row],[workers]]-Tb_data[[#This Row],[previous_workers]]</f>
        <v>583</v>
      </c>
      <c r="M4768" s="12">
        <f>Tb_data[[#This Row],[Employees Growth]]/Tb_data[[#This Row],[previous_workers]]</f>
        <v>1.1971252566735113</v>
      </c>
    </row>
    <row r="4769" spans="1:13" x14ac:dyDescent="0.25">
      <c r="A4769" s="1" t="s">
        <v>1286</v>
      </c>
      <c r="B4769" s="1" t="s">
        <v>1287</v>
      </c>
      <c r="C4769" s="1">
        <v>6000000</v>
      </c>
      <c r="D4769" s="1" t="s">
        <v>254</v>
      </c>
      <c r="E4769">
        <v>750.33699999999999</v>
      </c>
      <c r="F4769" s="1" t="s">
        <v>30</v>
      </c>
      <c r="G4769">
        <v>10</v>
      </c>
      <c r="H4769">
        <v>3</v>
      </c>
      <c r="I4769" s="1" t="s">
        <v>164</v>
      </c>
      <c r="J4769">
        <v>2</v>
      </c>
      <c r="K4769" t="str">
        <f>IF(Tb_data[[#This Row],[previous_workers]]&lt;Tb_data[[#This Row],[workers]],"yes","no")</f>
        <v>yes</v>
      </c>
      <c r="L4769">
        <f>Tb_data[[#This Row],[workers]]-Tb_data[[#This Row],[previous_workers]]</f>
        <v>7</v>
      </c>
      <c r="M4769" s="12">
        <f>Tb_data[[#This Row],[Employees Growth]]/Tb_data[[#This Row],[previous_workers]]</f>
        <v>2.3333333333333335</v>
      </c>
    </row>
    <row r="4770" spans="1:13" x14ac:dyDescent="0.25">
      <c r="A4770" s="1" t="s">
        <v>3848</v>
      </c>
      <c r="B4770" s="1" t="s">
        <v>3849</v>
      </c>
      <c r="C4770" s="1">
        <v>139600000</v>
      </c>
      <c r="D4770" s="1" t="s">
        <v>895</v>
      </c>
      <c r="E4770">
        <v>217.55459999999999</v>
      </c>
      <c r="F4770" s="1" t="s">
        <v>34</v>
      </c>
      <c r="G4770">
        <v>297</v>
      </c>
      <c r="H4770">
        <v>109</v>
      </c>
      <c r="I4770" s="1" t="s">
        <v>46</v>
      </c>
      <c r="J4770">
        <v>3</v>
      </c>
      <c r="K4770" t="str">
        <f>IF(Tb_data[[#This Row],[previous_workers]]&lt;Tb_data[[#This Row],[workers]],"yes","no")</f>
        <v>yes</v>
      </c>
      <c r="L4770">
        <f>Tb_data[[#This Row],[workers]]-Tb_data[[#This Row],[previous_workers]]</f>
        <v>188</v>
      </c>
      <c r="M4770" s="12">
        <f>Tb_data[[#This Row],[Employees Growth]]/Tb_data[[#This Row],[previous_workers]]</f>
        <v>1.724770642201835</v>
      </c>
    </row>
    <row r="4771" spans="1:13" x14ac:dyDescent="0.25">
      <c r="A4771" s="1" t="s">
        <v>3189</v>
      </c>
      <c r="B4771" s="1" t="s">
        <v>3190</v>
      </c>
      <c r="C4771" s="1">
        <v>182600000</v>
      </c>
      <c r="D4771" s="1" t="s">
        <v>49</v>
      </c>
      <c r="E4771">
        <v>269.72820000000002</v>
      </c>
      <c r="F4771" s="1" t="s">
        <v>34</v>
      </c>
      <c r="G4771">
        <v>512</v>
      </c>
      <c r="H4771">
        <v>43</v>
      </c>
      <c r="I4771" s="1" t="s">
        <v>13</v>
      </c>
      <c r="J4771">
        <v>1</v>
      </c>
      <c r="K4771" t="str">
        <f>IF(Tb_data[[#This Row],[previous_workers]]&lt;Tb_data[[#This Row],[workers]],"yes","no")</f>
        <v>yes</v>
      </c>
      <c r="L4771">
        <f>Tb_data[[#This Row],[workers]]-Tb_data[[#This Row],[previous_workers]]</f>
        <v>469</v>
      </c>
      <c r="M4771" s="12">
        <f>Tb_data[[#This Row],[Employees Growth]]/Tb_data[[#This Row],[previous_workers]]</f>
        <v>10.906976744186046</v>
      </c>
    </row>
    <row r="4772" spans="1:13" x14ac:dyDescent="0.25">
      <c r="A4772" s="1" t="s">
        <v>9377</v>
      </c>
      <c r="B4772" s="1" t="s">
        <v>9378</v>
      </c>
      <c r="C4772" s="1">
        <v>349900000</v>
      </c>
      <c r="D4772" s="1" t="s">
        <v>49</v>
      </c>
      <c r="E4772">
        <v>61.799399999999999</v>
      </c>
      <c r="F4772" s="1" t="s">
        <v>42</v>
      </c>
      <c r="G4772">
        <v>85</v>
      </c>
      <c r="H4772">
        <v>50</v>
      </c>
      <c r="I4772" s="1" t="s">
        <v>1051</v>
      </c>
      <c r="J4772">
        <v>1</v>
      </c>
      <c r="K4772" t="str">
        <f>IF(Tb_data[[#This Row],[previous_workers]]&lt;Tb_data[[#This Row],[workers]],"yes","no")</f>
        <v>yes</v>
      </c>
      <c r="L4772">
        <f>Tb_data[[#This Row],[workers]]-Tb_data[[#This Row],[previous_workers]]</f>
        <v>35</v>
      </c>
      <c r="M4772" s="12">
        <f>Tb_data[[#This Row],[Employees Growth]]/Tb_data[[#This Row],[previous_workers]]</f>
        <v>0.7</v>
      </c>
    </row>
    <row r="4773" spans="1:13" x14ac:dyDescent="0.25">
      <c r="A4773" s="1" t="s">
        <v>2304</v>
      </c>
      <c r="B4773" s="1" t="s">
        <v>2305</v>
      </c>
      <c r="C4773" s="1">
        <v>10300000</v>
      </c>
      <c r="D4773" s="1" t="s">
        <v>69</v>
      </c>
      <c r="E4773">
        <v>382.76400000000001</v>
      </c>
      <c r="F4773" s="1" t="s">
        <v>25</v>
      </c>
      <c r="G4773">
        <v>14</v>
      </c>
      <c r="H4773">
        <v>7</v>
      </c>
      <c r="I4773" s="1" t="s">
        <v>55</v>
      </c>
      <c r="J4773">
        <v>2</v>
      </c>
      <c r="K4773" t="str">
        <f>IF(Tb_data[[#This Row],[previous_workers]]&lt;Tb_data[[#This Row],[workers]],"yes","no")</f>
        <v>yes</v>
      </c>
      <c r="L4773">
        <f>Tb_data[[#This Row],[workers]]-Tb_data[[#This Row],[previous_workers]]</f>
        <v>7</v>
      </c>
      <c r="M4773" s="12">
        <f>Tb_data[[#This Row],[Employees Growth]]/Tb_data[[#This Row],[previous_workers]]</f>
        <v>1</v>
      </c>
    </row>
    <row r="4774" spans="1:13" x14ac:dyDescent="0.25">
      <c r="A4774" s="1" t="s">
        <v>9740</v>
      </c>
      <c r="B4774" s="1" t="s">
        <v>9741</v>
      </c>
      <c r="C4774" s="1">
        <v>10500000</v>
      </c>
      <c r="D4774" s="1" t="s">
        <v>33</v>
      </c>
      <c r="E4774">
        <v>57.530999999999999</v>
      </c>
      <c r="F4774" s="1" t="s">
        <v>97</v>
      </c>
      <c r="G4774">
        <v>51</v>
      </c>
      <c r="H4774">
        <v>20</v>
      </c>
      <c r="I4774" s="1" t="s">
        <v>164</v>
      </c>
      <c r="J4774">
        <v>3</v>
      </c>
      <c r="K4774" t="str">
        <f>IF(Tb_data[[#This Row],[previous_workers]]&lt;Tb_data[[#This Row],[workers]],"yes","no")</f>
        <v>yes</v>
      </c>
      <c r="L4774">
        <f>Tb_data[[#This Row],[workers]]-Tb_data[[#This Row],[previous_workers]]</f>
        <v>31</v>
      </c>
      <c r="M4774" s="12">
        <f>Tb_data[[#This Row],[Employees Growth]]/Tb_data[[#This Row],[previous_workers]]</f>
        <v>1.55</v>
      </c>
    </row>
    <row r="4775" spans="1:13" x14ac:dyDescent="0.25">
      <c r="A4775" s="1" t="s">
        <v>6633</v>
      </c>
      <c r="B4775" s="1" t="s">
        <v>6634</v>
      </c>
      <c r="C4775" s="1">
        <v>1500000000</v>
      </c>
      <c r="D4775" s="1" t="s">
        <v>115</v>
      </c>
      <c r="E4775">
        <v>110.70959999999999</v>
      </c>
      <c r="F4775" s="1" t="s">
        <v>30</v>
      </c>
      <c r="G4775">
        <v>5000</v>
      </c>
      <c r="H4775">
        <v>4500</v>
      </c>
      <c r="I4775" s="1" t="s">
        <v>1411</v>
      </c>
      <c r="J4775">
        <v>9</v>
      </c>
      <c r="K4775" t="str">
        <f>IF(Tb_data[[#This Row],[previous_workers]]&lt;Tb_data[[#This Row],[workers]],"yes","no")</f>
        <v>yes</v>
      </c>
      <c r="L4775">
        <f>Tb_data[[#This Row],[workers]]-Tb_data[[#This Row],[previous_workers]]</f>
        <v>500</v>
      </c>
      <c r="M4775" s="12">
        <f>Tb_data[[#This Row],[Employees Growth]]/Tb_data[[#This Row],[previous_workers]]</f>
        <v>0.1111111111111111</v>
      </c>
    </row>
    <row r="4776" spans="1:13" x14ac:dyDescent="0.25">
      <c r="A4776" s="1" t="s">
        <v>865</v>
      </c>
      <c r="B4776" s="1" t="s">
        <v>866</v>
      </c>
      <c r="C4776" s="1">
        <v>19500000</v>
      </c>
      <c r="D4776" s="1" t="s">
        <v>49</v>
      </c>
      <c r="E4776">
        <v>1190.6532999999999</v>
      </c>
      <c r="F4776" s="1" t="s">
        <v>12</v>
      </c>
      <c r="G4776">
        <v>122</v>
      </c>
      <c r="H4776">
        <v>16</v>
      </c>
      <c r="I4776" s="1" t="s">
        <v>26</v>
      </c>
      <c r="J4776">
        <v>1</v>
      </c>
      <c r="K4776" t="str">
        <f>IF(Tb_data[[#This Row],[previous_workers]]&lt;Tb_data[[#This Row],[workers]],"yes","no")</f>
        <v>yes</v>
      </c>
      <c r="L4776">
        <f>Tb_data[[#This Row],[workers]]-Tb_data[[#This Row],[previous_workers]]</f>
        <v>106</v>
      </c>
      <c r="M4776" s="12">
        <f>Tb_data[[#This Row],[Employees Growth]]/Tb_data[[#This Row],[previous_workers]]</f>
        <v>6.625</v>
      </c>
    </row>
    <row r="4777" spans="1:13" x14ac:dyDescent="0.25">
      <c r="A4777" s="1" t="s">
        <v>847</v>
      </c>
      <c r="B4777" s="1" t="s">
        <v>848</v>
      </c>
      <c r="C4777" s="1">
        <v>31400000</v>
      </c>
      <c r="D4777" s="1" t="s">
        <v>129</v>
      </c>
      <c r="E4777">
        <v>1220.194</v>
      </c>
      <c r="F4777" s="1" t="s">
        <v>156</v>
      </c>
      <c r="G4777">
        <v>131</v>
      </c>
      <c r="H4777">
        <v>12</v>
      </c>
      <c r="I4777" s="1" t="s">
        <v>46</v>
      </c>
      <c r="J4777">
        <v>1</v>
      </c>
      <c r="K4777" t="str">
        <f>IF(Tb_data[[#This Row],[previous_workers]]&lt;Tb_data[[#This Row],[workers]],"yes","no")</f>
        <v>yes</v>
      </c>
      <c r="L4777">
        <f>Tb_data[[#This Row],[workers]]-Tb_data[[#This Row],[previous_workers]]</f>
        <v>119</v>
      </c>
      <c r="M4777" s="12">
        <f>Tb_data[[#This Row],[Employees Growth]]/Tb_data[[#This Row],[previous_workers]]</f>
        <v>9.9166666666666661</v>
      </c>
    </row>
    <row r="4778" spans="1:13" x14ac:dyDescent="0.25">
      <c r="A4778" s="1" t="s">
        <v>3281</v>
      </c>
      <c r="B4778" s="1" t="s">
        <v>3282</v>
      </c>
      <c r="C4778" s="1">
        <v>7000000</v>
      </c>
      <c r="D4778" s="1" t="s">
        <v>61</v>
      </c>
      <c r="E4778">
        <v>262.05279999999999</v>
      </c>
      <c r="F4778" s="1" t="s">
        <v>112</v>
      </c>
      <c r="G4778">
        <v>4</v>
      </c>
      <c r="H4778">
        <v>5</v>
      </c>
      <c r="I4778" s="1" t="s">
        <v>117</v>
      </c>
      <c r="J4778">
        <v>1</v>
      </c>
      <c r="K4778" t="str">
        <f>IF(Tb_data[[#This Row],[previous_workers]]&lt;Tb_data[[#This Row],[workers]],"yes","no")</f>
        <v>no</v>
      </c>
      <c r="L4778">
        <f>Tb_data[[#This Row],[workers]]-Tb_data[[#This Row],[previous_workers]]</f>
        <v>-1</v>
      </c>
      <c r="M4778" s="12">
        <f>Tb_data[[#This Row],[Employees Growth]]/Tb_data[[#This Row],[previous_workers]]</f>
        <v>-0.2</v>
      </c>
    </row>
    <row r="4779" spans="1:13" x14ac:dyDescent="0.25">
      <c r="A4779" s="1" t="s">
        <v>912</v>
      </c>
      <c r="B4779" s="1" t="s">
        <v>913</v>
      </c>
      <c r="C4779" s="1">
        <v>11600000</v>
      </c>
      <c r="D4779" s="1" t="s">
        <v>129</v>
      </c>
      <c r="E4779">
        <v>1111.7853</v>
      </c>
      <c r="F4779" s="1" t="s">
        <v>34</v>
      </c>
      <c r="G4779">
        <v>55</v>
      </c>
      <c r="H4779">
        <v>5</v>
      </c>
      <c r="I4779" s="1" t="s">
        <v>130</v>
      </c>
      <c r="J4779">
        <v>2</v>
      </c>
      <c r="K4779" t="str">
        <f>IF(Tb_data[[#This Row],[previous_workers]]&lt;Tb_data[[#This Row],[workers]],"yes","no")</f>
        <v>yes</v>
      </c>
      <c r="L4779">
        <f>Tb_data[[#This Row],[workers]]-Tb_data[[#This Row],[previous_workers]]</f>
        <v>50</v>
      </c>
      <c r="M4779" s="12">
        <f>Tb_data[[#This Row],[Employees Growth]]/Tb_data[[#This Row],[previous_workers]]</f>
        <v>10</v>
      </c>
    </row>
    <row r="4780" spans="1:13" x14ac:dyDescent="0.25">
      <c r="A4780" s="1" t="s">
        <v>5756</v>
      </c>
      <c r="B4780" s="1" t="s">
        <v>5757</v>
      </c>
      <c r="C4780" s="1">
        <v>6000000</v>
      </c>
      <c r="D4780" s="1" t="s">
        <v>45</v>
      </c>
      <c r="E4780">
        <v>132.49809999999999</v>
      </c>
      <c r="F4780" s="1" t="s">
        <v>176</v>
      </c>
      <c r="G4780">
        <v>65</v>
      </c>
      <c r="H4780">
        <v>34</v>
      </c>
      <c r="I4780" s="1" t="s">
        <v>194</v>
      </c>
      <c r="J4780">
        <v>3</v>
      </c>
      <c r="K4780" t="str">
        <f>IF(Tb_data[[#This Row],[previous_workers]]&lt;Tb_data[[#This Row],[workers]],"yes","no")</f>
        <v>yes</v>
      </c>
      <c r="L4780">
        <f>Tb_data[[#This Row],[workers]]-Tb_data[[#This Row],[previous_workers]]</f>
        <v>31</v>
      </c>
      <c r="M4780" s="12">
        <f>Tb_data[[#This Row],[Employees Growth]]/Tb_data[[#This Row],[previous_workers]]</f>
        <v>0.91176470588235292</v>
      </c>
    </row>
    <row r="4781" spans="1:13" x14ac:dyDescent="0.25">
      <c r="A4781" s="1" t="s">
        <v>10088</v>
      </c>
      <c r="B4781" s="1" t="s">
        <v>10089</v>
      </c>
      <c r="C4781" s="1">
        <v>15800000</v>
      </c>
      <c r="D4781" s="1" t="s">
        <v>20</v>
      </c>
      <c r="E4781">
        <v>52.237699999999997</v>
      </c>
      <c r="F4781" s="1" t="s">
        <v>25</v>
      </c>
      <c r="G4781">
        <v>88</v>
      </c>
      <c r="H4781">
        <v>62</v>
      </c>
      <c r="I4781" s="1" t="s">
        <v>3981</v>
      </c>
      <c r="J4781">
        <v>3</v>
      </c>
      <c r="K4781" t="str">
        <f>IF(Tb_data[[#This Row],[previous_workers]]&lt;Tb_data[[#This Row],[workers]],"yes","no")</f>
        <v>yes</v>
      </c>
      <c r="L4781">
        <f>Tb_data[[#This Row],[workers]]-Tb_data[[#This Row],[previous_workers]]</f>
        <v>26</v>
      </c>
      <c r="M4781" s="12">
        <f>Tb_data[[#This Row],[Employees Growth]]/Tb_data[[#This Row],[previous_workers]]</f>
        <v>0.41935483870967744</v>
      </c>
    </row>
    <row r="4782" spans="1:13" x14ac:dyDescent="0.25">
      <c r="A4782" s="1" t="s">
        <v>1455</v>
      </c>
      <c r="B4782" s="1" t="s">
        <v>1456</v>
      </c>
      <c r="C4782" s="1">
        <v>5200000</v>
      </c>
      <c r="D4782" s="1" t="s">
        <v>69</v>
      </c>
      <c r="E4782">
        <v>643.66740000000004</v>
      </c>
      <c r="F4782" s="1" t="s">
        <v>100</v>
      </c>
      <c r="G4782">
        <v>10</v>
      </c>
      <c r="H4782">
        <v>5</v>
      </c>
      <c r="I4782" s="1" t="s">
        <v>26</v>
      </c>
      <c r="J4782">
        <v>1</v>
      </c>
      <c r="K4782" t="str">
        <f>IF(Tb_data[[#This Row],[previous_workers]]&lt;Tb_data[[#This Row],[workers]],"yes","no")</f>
        <v>yes</v>
      </c>
      <c r="L4782">
        <f>Tb_data[[#This Row],[workers]]-Tb_data[[#This Row],[previous_workers]]</f>
        <v>5</v>
      </c>
      <c r="M4782" s="12">
        <f>Tb_data[[#This Row],[Employees Growth]]/Tb_data[[#This Row],[previous_workers]]</f>
        <v>1</v>
      </c>
    </row>
    <row r="4783" spans="1:13" x14ac:dyDescent="0.25">
      <c r="A4783" s="1" t="s">
        <v>140</v>
      </c>
      <c r="B4783" s="1" t="s">
        <v>141</v>
      </c>
      <c r="C4783" s="1">
        <v>7000000</v>
      </c>
      <c r="D4783" s="1" t="s">
        <v>49</v>
      </c>
      <c r="E4783">
        <v>5935.6786000000002</v>
      </c>
      <c r="F4783" s="1" t="s">
        <v>142</v>
      </c>
      <c r="G4783">
        <v>15</v>
      </c>
      <c r="H4783">
        <v>1</v>
      </c>
      <c r="I4783" s="1" t="s">
        <v>26</v>
      </c>
      <c r="J4783">
        <v>2</v>
      </c>
      <c r="K4783" t="str">
        <f>IF(Tb_data[[#This Row],[previous_workers]]&lt;Tb_data[[#This Row],[workers]],"yes","no")</f>
        <v>yes</v>
      </c>
      <c r="L4783">
        <f>Tb_data[[#This Row],[workers]]-Tb_data[[#This Row],[previous_workers]]</f>
        <v>14</v>
      </c>
      <c r="M4783" s="12">
        <f>Tb_data[[#This Row],[Employees Growth]]/Tb_data[[#This Row],[previous_workers]]</f>
        <v>14</v>
      </c>
    </row>
    <row r="4784" spans="1:13" x14ac:dyDescent="0.25">
      <c r="A4784" s="1" t="s">
        <v>2366</v>
      </c>
      <c r="B4784" s="1" t="s">
        <v>2367</v>
      </c>
      <c r="C4784" s="1">
        <v>3200000</v>
      </c>
      <c r="D4784" s="1" t="s">
        <v>664</v>
      </c>
      <c r="E4784">
        <v>370.18259999999998</v>
      </c>
      <c r="F4784" s="1" t="s">
        <v>86</v>
      </c>
      <c r="G4784">
        <v>25</v>
      </c>
      <c r="H4784">
        <v>10</v>
      </c>
      <c r="I4784" s="1" t="s">
        <v>46</v>
      </c>
      <c r="J4784">
        <v>1</v>
      </c>
      <c r="K4784" t="str">
        <f>IF(Tb_data[[#This Row],[previous_workers]]&lt;Tb_data[[#This Row],[workers]],"yes","no")</f>
        <v>yes</v>
      </c>
      <c r="L4784">
        <f>Tb_data[[#This Row],[workers]]-Tb_data[[#This Row],[previous_workers]]</f>
        <v>15</v>
      </c>
      <c r="M4784" s="12">
        <f>Tb_data[[#This Row],[Employees Growth]]/Tb_data[[#This Row],[previous_workers]]</f>
        <v>1.5</v>
      </c>
    </row>
    <row r="4785" spans="1:13" x14ac:dyDescent="0.25">
      <c r="A4785" s="1" t="s">
        <v>5590</v>
      </c>
      <c r="B4785" s="1" t="s">
        <v>5591</v>
      </c>
      <c r="C4785" s="1">
        <v>12400000</v>
      </c>
      <c r="D4785" s="1" t="s">
        <v>52</v>
      </c>
      <c r="E4785">
        <v>138.69380000000001</v>
      </c>
      <c r="F4785" s="1" t="s">
        <v>25</v>
      </c>
      <c r="G4785">
        <v>23</v>
      </c>
      <c r="H4785">
        <v>7</v>
      </c>
      <c r="I4785" s="1" t="s">
        <v>130</v>
      </c>
      <c r="J4785">
        <v>2</v>
      </c>
      <c r="K4785" t="str">
        <f>IF(Tb_data[[#This Row],[previous_workers]]&lt;Tb_data[[#This Row],[workers]],"yes","no")</f>
        <v>yes</v>
      </c>
      <c r="L4785">
        <f>Tb_data[[#This Row],[workers]]-Tb_data[[#This Row],[previous_workers]]</f>
        <v>16</v>
      </c>
      <c r="M4785" s="12">
        <f>Tb_data[[#This Row],[Employees Growth]]/Tb_data[[#This Row],[previous_workers]]</f>
        <v>2.2857142857142856</v>
      </c>
    </row>
    <row r="4786" spans="1:13" x14ac:dyDescent="0.25">
      <c r="A4786" s="1" t="s">
        <v>6777</v>
      </c>
      <c r="B4786" s="1" t="s">
        <v>6778</v>
      </c>
      <c r="C4786" s="1">
        <v>54300000</v>
      </c>
      <c r="D4786" s="1" t="s">
        <v>33</v>
      </c>
      <c r="E4786">
        <v>107.2561</v>
      </c>
      <c r="F4786" s="1" t="s">
        <v>86</v>
      </c>
      <c r="G4786">
        <v>35</v>
      </c>
      <c r="H4786">
        <v>15</v>
      </c>
      <c r="I4786" s="1" t="s">
        <v>26</v>
      </c>
      <c r="J4786">
        <v>1</v>
      </c>
      <c r="K4786" t="str">
        <f>IF(Tb_data[[#This Row],[previous_workers]]&lt;Tb_data[[#This Row],[workers]],"yes","no")</f>
        <v>yes</v>
      </c>
      <c r="L4786">
        <f>Tb_data[[#This Row],[workers]]-Tb_data[[#This Row],[previous_workers]]</f>
        <v>20</v>
      </c>
      <c r="M4786" s="12">
        <f>Tb_data[[#This Row],[Employees Growth]]/Tb_data[[#This Row],[previous_workers]]</f>
        <v>1.3333333333333333</v>
      </c>
    </row>
    <row r="4787" spans="1:13" x14ac:dyDescent="0.25">
      <c r="A4787" s="1" t="s">
        <v>7865</v>
      </c>
      <c r="B4787" s="1" t="s">
        <v>7866</v>
      </c>
      <c r="C4787" s="1">
        <v>75600000</v>
      </c>
      <c r="D4787" s="1" t="s">
        <v>20</v>
      </c>
      <c r="E4787">
        <v>85.270300000000006</v>
      </c>
      <c r="F4787" s="1" t="s">
        <v>112</v>
      </c>
      <c r="G4787">
        <v>530</v>
      </c>
      <c r="H4787">
        <v>237</v>
      </c>
      <c r="I4787" s="1" t="s">
        <v>372</v>
      </c>
      <c r="J4787">
        <v>8</v>
      </c>
      <c r="K4787" t="str">
        <f>IF(Tb_data[[#This Row],[previous_workers]]&lt;Tb_data[[#This Row],[workers]],"yes","no")</f>
        <v>yes</v>
      </c>
      <c r="L4787">
        <f>Tb_data[[#This Row],[workers]]-Tb_data[[#This Row],[previous_workers]]</f>
        <v>293</v>
      </c>
      <c r="M4787" s="12">
        <f>Tb_data[[#This Row],[Employees Growth]]/Tb_data[[#This Row],[previous_workers]]</f>
        <v>1.2362869198312236</v>
      </c>
    </row>
    <row r="4788" spans="1:13" x14ac:dyDescent="0.25">
      <c r="A4788" s="1" t="s">
        <v>557</v>
      </c>
      <c r="B4788" s="1" t="s">
        <v>558</v>
      </c>
      <c r="C4788" s="1">
        <v>2300000</v>
      </c>
      <c r="D4788" s="1" t="s">
        <v>49</v>
      </c>
      <c r="E4788">
        <v>1789.8022000000001</v>
      </c>
      <c r="F4788" s="1" t="s">
        <v>156</v>
      </c>
      <c r="G4788">
        <v>3</v>
      </c>
      <c r="H4788">
        <v>1</v>
      </c>
      <c r="I4788" s="1" t="s">
        <v>26</v>
      </c>
      <c r="J4788">
        <v>1</v>
      </c>
      <c r="K4788" t="str">
        <f>IF(Tb_data[[#This Row],[previous_workers]]&lt;Tb_data[[#This Row],[workers]],"yes","no")</f>
        <v>yes</v>
      </c>
      <c r="L4788">
        <f>Tb_data[[#This Row],[workers]]-Tb_data[[#This Row],[previous_workers]]</f>
        <v>2</v>
      </c>
      <c r="M4788" s="12">
        <f>Tb_data[[#This Row],[Employees Growth]]/Tb_data[[#This Row],[previous_workers]]</f>
        <v>2</v>
      </c>
    </row>
    <row r="4789" spans="1:13" x14ac:dyDescent="0.25">
      <c r="A4789" s="1" t="s">
        <v>9956</v>
      </c>
      <c r="B4789" s="1" t="s">
        <v>9957</v>
      </c>
      <c r="C4789" s="1">
        <v>101400000</v>
      </c>
      <c r="D4789" s="1" t="s">
        <v>895</v>
      </c>
      <c r="E4789">
        <v>54.320300000000003</v>
      </c>
      <c r="F4789" s="1" t="s">
        <v>25</v>
      </c>
      <c r="G4789">
        <v>49</v>
      </c>
      <c r="H4789">
        <v>36</v>
      </c>
      <c r="I4789" s="1" t="s">
        <v>3982</v>
      </c>
      <c r="J4789">
        <v>1</v>
      </c>
      <c r="K4789" t="str">
        <f>IF(Tb_data[[#This Row],[previous_workers]]&lt;Tb_data[[#This Row],[workers]],"yes","no")</f>
        <v>yes</v>
      </c>
      <c r="L4789">
        <f>Tb_data[[#This Row],[workers]]-Tb_data[[#This Row],[previous_workers]]</f>
        <v>13</v>
      </c>
      <c r="M4789" s="12">
        <f>Tb_data[[#This Row],[Employees Growth]]/Tb_data[[#This Row],[previous_workers]]</f>
        <v>0.3611111111111111</v>
      </c>
    </row>
    <row r="4790" spans="1:13" x14ac:dyDescent="0.25">
      <c r="A4790" s="1" t="s">
        <v>2060</v>
      </c>
      <c r="B4790" s="1" t="s">
        <v>2061</v>
      </c>
      <c r="C4790" s="1">
        <v>6800000</v>
      </c>
      <c r="D4790" s="1" t="s">
        <v>16</v>
      </c>
      <c r="E4790">
        <v>436.18779999999998</v>
      </c>
      <c r="F4790" s="1" t="s">
        <v>62</v>
      </c>
      <c r="G4790">
        <v>23</v>
      </c>
      <c r="H4790">
        <v>6</v>
      </c>
      <c r="I4790" s="1" t="s">
        <v>55</v>
      </c>
      <c r="J4790">
        <v>1</v>
      </c>
      <c r="K4790" t="str">
        <f>IF(Tb_data[[#This Row],[previous_workers]]&lt;Tb_data[[#This Row],[workers]],"yes","no")</f>
        <v>yes</v>
      </c>
      <c r="L4790">
        <f>Tb_data[[#This Row],[workers]]-Tb_data[[#This Row],[previous_workers]]</f>
        <v>17</v>
      </c>
      <c r="M4790" s="12">
        <f>Tb_data[[#This Row],[Employees Growth]]/Tb_data[[#This Row],[previous_workers]]</f>
        <v>2.8333333333333335</v>
      </c>
    </row>
    <row r="4791" spans="1:13" x14ac:dyDescent="0.25">
      <c r="A4791" s="1" t="s">
        <v>6103</v>
      </c>
      <c r="B4791" s="1" t="s">
        <v>6104</v>
      </c>
      <c r="C4791" s="1">
        <v>69900000</v>
      </c>
      <c r="D4791" s="1" t="s">
        <v>20</v>
      </c>
      <c r="E4791">
        <v>123.80070000000001</v>
      </c>
      <c r="F4791" s="1" t="s">
        <v>62</v>
      </c>
      <c r="G4791">
        <v>419</v>
      </c>
      <c r="H4791">
        <v>235</v>
      </c>
      <c r="I4791" s="1" t="s">
        <v>295</v>
      </c>
      <c r="J4791">
        <v>1</v>
      </c>
      <c r="K4791" t="str">
        <f>IF(Tb_data[[#This Row],[previous_workers]]&lt;Tb_data[[#This Row],[workers]],"yes","no")</f>
        <v>yes</v>
      </c>
      <c r="L4791">
        <f>Tb_data[[#This Row],[workers]]-Tb_data[[#This Row],[previous_workers]]</f>
        <v>184</v>
      </c>
      <c r="M4791" s="12">
        <f>Tb_data[[#This Row],[Employees Growth]]/Tb_data[[#This Row],[previous_workers]]</f>
        <v>0.78297872340425534</v>
      </c>
    </row>
    <row r="4792" spans="1:13" x14ac:dyDescent="0.25">
      <c r="A4792" s="1" t="s">
        <v>1947</v>
      </c>
      <c r="B4792" s="1" t="s">
        <v>1948</v>
      </c>
      <c r="C4792" s="1">
        <v>357800000</v>
      </c>
      <c r="D4792" s="1" t="s">
        <v>91</v>
      </c>
      <c r="E4792">
        <v>461.01249999999999</v>
      </c>
      <c r="F4792" s="1" t="s">
        <v>17</v>
      </c>
      <c r="G4792">
        <v>802</v>
      </c>
      <c r="H4792">
        <v>100</v>
      </c>
      <c r="I4792" s="1" t="s">
        <v>1949</v>
      </c>
      <c r="J4792">
        <v>2</v>
      </c>
      <c r="K4792" t="str">
        <f>IF(Tb_data[[#This Row],[previous_workers]]&lt;Tb_data[[#This Row],[workers]],"yes","no")</f>
        <v>yes</v>
      </c>
      <c r="L4792">
        <f>Tb_data[[#This Row],[workers]]-Tb_data[[#This Row],[previous_workers]]</f>
        <v>702</v>
      </c>
      <c r="M4792" s="12">
        <f>Tb_data[[#This Row],[Employees Growth]]/Tb_data[[#This Row],[previous_workers]]</f>
        <v>7.02</v>
      </c>
    </row>
    <row r="4793" spans="1:13" x14ac:dyDescent="0.25">
      <c r="A4793" s="1" t="s">
        <v>7425</v>
      </c>
      <c r="B4793" s="1" t="s">
        <v>7426</v>
      </c>
      <c r="C4793" s="1">
        <v>7500000</v>
      </c>
      <c r="D4793" s="1" t="s">
        <v>69</v>
      </c>
      <c r="E4793">
        <v>94.844700000000003</v>
      </c>
      <c r="F4793" s="1" t="s">
        <v>42</v>
      </c>
      <c r="G4793">
        <v>90</v>
      </c>
      <c r="H4793">
        <v>50</v>
      </c>
      <c r="I4793" s="1" t="s">
        <v>948</v>
      </c>
      <c r="J4793">
        <v>1</v>
      </c>
      <c r="K4793" t="str">
        <f>IF(Tb_data[[#This Row],[previous_workers]]&lt;Tb_data[[#This Row],[workers]],"yes","no")</f>
        <v>yes</v>
      </c>
      <c r="L4793">
        <f>Tb_data[[#This Row],[workers]]-Tb_data[[#This Row],[previous_workers]]</f>
        <v>40</v>
      </c>
      <c r="M4793" s="12">
        <f>Tb_data[[#This Row],[Employees Growth]]/Tb_data[[#This Row],[previous_workers]]</f>
        <v>0.8</v>
      </c>
    </row>
    <row r="4794" spans="1:13" x14ac:dyDescent="0.25">
      <c r="A4794" s="1" t="s">
        <v>7046</v>
      </c>
      <c r="B4794" s="1" t="s">
        <v>7047</v>
      </c>
      <c r="C4794" s="1">
        <v>56400000</v>
      </c>
      <c r="D4794" s="1" t="s">
        <v>49</v>
      </c>
      <c r="E4794">
        <v>101.0311</v>
      </c>
      <c r="F4794" s="1" t="s">
        <v>86</v>
      </c>
      <c r="G4794">
        <v>389</v>
      </c>
      <c r="H4794">
        <v>315</v>
      </c>
      <c r="I4794" s="1" t="s">
        <v>948</v>
      </c>
      <c r="J4794">
        <v>8</v>
      </c>
      <c r="K4794" t="str">
        <f>IF(Tb_data[[#This Row],[previous_workers]]&lt;Tb_data[[#This Row],[workers]],"yes","no")</f>
        <v>yes</v>
      </c>
      <c r="L4794">
        <f>Tb_data[[#This Row],[workers]]-Tb_data[[#This Row],[previous_workers]]</f>
        <v>74</v>
      </c>
      <c r="M4794" s="12">
        <f>Tb_data[[#This Row],[Employees Growth]]/Tb_data[[#This Row],[previous_workers]]</f>
        <v>0.23492063492063492</v>
      </c>
    </row>
    <row r="4795" spans="1:13" x14ac:dyDescent="0.25">
      <c r="A4795" s="1" t="s">
        <v>1610</v>
      </c>
      <c r="B4795" s="1" t="s">
        <v>1611</v>
      </c>
      <c r="C4795" s="1">
        <v>5700000</v>
      </c>
      <c r="D4795" s="1" t="s">
        <v>627</v>
      </c>
      <c r="E4795">
        <v>579.35440000000006</v>
      </c>
      <c r="F4795" s="1" t="s">
        <v>12</v>
      </c>
      <c r="G4795">
        <v>75</v>
      </c>
      <c r="H4795">
        <v>8</v>
      </c>
      <c r="I4795" s="1" t="s">
        <v>46</v>
      </c>
      <c r="J4795">
        <v>3</v>
      </c>
      <c r="K4795" t="str">
        <f>IF(Tb_data[[#This Row],[previous_workers]]&lt;Tb_data[[#This Row],[workers]],"yes","no")</f>
        <v>yes</v>
      </c>
      <c r="L4795">
        <f>Tb_data[[#This Row],[workers]]-Tb_data[[#This Row],[previous_workers]]</f>
        <v>67</v>
      </c>
      <c r="M4795" s="12">
        <f>Tb_data[[#This Row],[Employees Growth]]/Tb_data[[#This Row],[previous_workers]]</f>
        <v>8.375</v>
      </c>
    </row>
    <row r="4796" spans="1:13" x14ac:dyDescent="0.25">
      <c r="A4796" s="1" t="s">
        <v>2403</v>
      </c>
      <c r="B4796" s="1" t="s">
        <v>2404</v>
      </c>
      <c r="C4796" s="1">
        <v>11100000</v>
      </c>
      <c r="D4796" s="1" t="s">
        <v>38</v>
      </c>
      <c r="E4796">
        <v>363.67649999999998</v>
      </c>
      <c r="F4796" s="1" t="s">
        <v>86</v>
      </c>
      <c r="G4796">
        <v>25</v>
      </c>
      <c r="H4796">
        <v>14</v>
      </c>
      <c r="I4796" s="1" t="s">
        <v>1622</v>
      </c>
      <c r="J4796">
        <v>2</v>
      </c>
      <c r="K4796" t="str">
        <f>IF(Tb_data[[#This Row],[previous_workers]]&lt;Tb_data[[#This Row],[workers]],"yes","no")</f>
        <v>yes</v>
      </c>
      <c r="L4796">
        <f>Tb_data[[#This Row],[workers]]-Tb_data[[#This Row],[previous_workers]]</f>
        <v>11</v>
      </c>
      <c r="M4796" s="12">
        <f>Tb_data[[#This Row],[Employees Growth]]/Tb_data[[#This Row],[previous_workers]]</f>
        <v>0.7857142857142857</v>
      </c>
    </row>
    <row r="4797" spans="1:13" x14ac:dyDescent="0.25">
      <c r="A4797" s="1" t="s">
        <v>5762</v>
      </c>
      <c r="B4797" s="1" t="s">
        <v>5763</v>
      </c>
      <c r="C4797" s="1">
        <v>25600000</v>
      </c>
      <c r="D4797" s="1" t="s">
        <v>129</v>
      </c>
      <c r="E4797">
        <v>132.43680000000001</v>
      </c>
      <c r="F4797" s="1" t="s">
        <v>97</v>
      </c>
      <c r="G4797">
        <v>75</v>
      </c>
      <c r="H4797">
        <v>53</v>
      </c>
      <c r="I4797" s="1" t="s">
        <v>194</v>
      </c>
      <c r="J4797">
        <v>4</v>
      </c>
      <c r="K4797" t="str">
        <f>IF(Tb_data[[#This Row],[previous_workers]]&lt;Tb_data[[#This Row],[workers]],"yes","no")</f>
        <v>yes</v>
      </c>
      <c r="L4797">
        <f>Tb_data[[#This Row],[workers]]-Tb_data[[#This Row],[previous_workers]]</f>
        <v>22</v>
      </c>
      <c r="M4797" s="12">
        <f>Tb_data[[#This Row],[Employees Growth]]/Tb_data[[#This Row],[previous_workers]]</f>
        <v>0.41509433962264153</v>
      </c>
    </row>
    <row r="4798" spans="1:13" x14ac:dyDescent="0.25">
      <c r="A4798" s="1" t="s">
        <v>6811</v>
      </c>
      <c r="B4798" s="1" t="s">
        <v>6812</v>
      </c>
      <c r="C4798" s="1">
        <v>6500000</v>
      </c>
      <c r="D4798" s="1" t="s">
        <v>387</v>
      </c>
      <c r="E4798">
        <v>106.50790000000001</v>
      </c>
      <c r="F4798" s="1" t="s">
        <v>12</v>
      </c>
      <c r="G4798">
        <v>66</v>
      </c>
      <c r="H4798">
        <v>27</v>
      </c>
      <c r="I4798" s="1" t="s">
        <v>1051</v>
      </c>
      <c r="J4798">
        <v>5</v>
      </c>
      <c r="K4798" t="str">
        <f>IF(Tb_data[[#This Row],[previous_workers]]&lt;Tb_data[[#This Row],[workers]],"yes","no")</f>
        <v>yes</v>
      </c>
      <c r="L4798">
        <f>Tb_data[[#This Row],[workers]]-Tb_data[[#This Row],[previous_workers]]</f>
        <v>39</v>
      </c>
      <c r="M4798" s="12">
        <f>Tb_data[[#This Row],[Employees Growth]]/Tb_data[[#This Row],[previous_workers]]</f>
        <v>1.4444444444444444</v>
      </c>
    </row>
    <row r="4799" spans="1:13" x14ac:dyDescent="0.25">
      <c r="A4799" s="1" t="s">
        <v>7657</v>
      </c>
      <c r="B4799" s="1" t="s">
        <v>7658</v>
      </c>
      <c r="C4799" s="1">
        <v>3600000</v>
      </c>
      <c r="D4799" s="1" t="s">
        <v>41</v>
      </c>
      <c r="E4799">
        <v>88.790099999999995</v>
      </c>
      <c r="F4799" s="1" t="s">
        <v>135</v>
      </c>
      <c r="G4799">
        <v>28</v>
      </c>
      <c r="H4799">
        <v>15</v>
      </c>
      <c r="I4799" s="1" t="s">
        <v>164</v>
      </c>
      <c r="J4799">
        <v>1</v>
      </c>
      <c r="K4799" t="str">
        <f>IF(Tb_data[[#This Row],[previous_workers]]&lt;Tb_data[[#This Row],[workers]],"yes","no")</f>
        <v>yes</v>
      </c>
      <c r="L4799">
        <f>Tb_data[[#This Row],[workers]]-Tb_data[[#This Row],[previous_workers]]</f>
        <v>13</v>
      </c>
      <c r="M4799" s="12">
        <f>Tb_data[[#This Row],[Employees Growth]]/Tb_data[[#This Row],[previous_workers]]</f>
        <v>0.8666666666666667</v>
      </c>
    </row>
    <row r="4800" spans="1:13" x14ac:dyDescent="0.25">
      <c r="A4800" s="1" t="s">
        <v>3682</v>
      </c>
      <c r="B4800" s="1" t="s">
        <v>3683</v>
      </c>
      <c r="C4800" s="1">
        <v>23300000</v>
      </c>
      <c r="D4800" s="1" t="s">
        <v>49</v>
      </c>
      <c r="E4800">
        <v>229.4744</v>
      </c>
      <c r="F4800" s="1" t="s">
        <v>21</v>
      </c>
      <c r="G4800">
        <v>721</v>
      </c>
      <c r="H4800">
        <v>204</v>
      </c>
      <c r="I4800" s="1" t="s">
        <v>164</v>
      </c>
      <c r="J4800">
        <v>2</v>
      </c>
      <c r="K4800" t="str">
        <f>IF(Tb_data[[#This Row],[previous_workers]]&lt;Tb_data[[#This Row],[workers]],"yes","no")</f>
        <v>yes</v>
      </c>
      <c r="L4800">
        <f>Tb_data[[#This Row],[workers]]-Tb_data[[#This Row],[previous_workers]]</f>
        <v>517</v>
      </c>
      <c r="M4800" s="12">
        <f>Tb_data[[#This Row],[Employees Growth]]/Tb_data[[#This Row],[previous_workers]]</f>
        <v>2.534313725490196</v>
      </c>
    </row>
    <row r="4801" spans="1:13" x14ac:dyDescent="0.25">
      <c r="A4801" s="1" t="s">
        <v>8165</v>
      </c>
      <c r="B4801" s="1" t="s">
        <v>8166</v>
      </c>
      <c r="C4801" s="1">
        <v>33800000</v>
      </c>
      <c r="D4801" s="1" t="s">
        <v>91</v>
      </c>
      <c r="E4801">
        <v>80.211100000000002</v>
      </c>
      <c r="F4801" s="1" t="s">
        <v>34</v>
      </c>
      <c r="G4801">
        <v>47</v>
      </c>
      <c r="H4801">
        <v>27</v>
      </c>
      <c r="I4801" s="1" t="s">
        <v>226</v>
      </c>
      <c r="J4801">
        <v>6</v>
      </c>
      <c r="K4801" t="str">
        <f>IF(Tb_data[[#This Row],[previous_workers]]&lt;Tb_data[[#This Row],[workers]],"yes","no")</f>
        <v>yes</v>
      </c>
      <c r="L4801">
        <f>Tb_data[[#This Row],[workers]]-Tb_data[[#This Row],[previous_workers]]</f>
        <v>20</v>
      </c>
      <c r="M4801" s="12">
        <f>Tb_data[[#This Row],[Employees Growth]]/Tb_data[[#This Row],[previous_workers]]</f>
        <v>0.7407407407407407</v>
      </c>
    </row>
    <row r="4802" spans="1:13" x14ac:dyDescent="0.25">
      <c r="A4802" s="1" t="s">
        <v>5618</v>
      </c>
      <c r="B4802" s="1" t="s">
        <v>5619</v>
      </c>
      <c r="C4802" s="1">
        <v>14000000</v>
      </c>
      <c r="D4802" s="1" t="s">
        <v>58</v>
      </c>
      <c r="E4802">
        <v>137.08359999999999</v>
      </c>
      <c r="F4802" s="1" t="s">
        <v>34</v>
      </c>
      <c r="G4802">
        <v>105</v>
      </c>
      <c r="H4802">
        <v>62</v>
      </c>
      <c r="I4802" s="1" t="s">
        <v>164</v>
      </c>
      <c r="J4802">
        <v>5</v>
      </c>
      <c r="K4802" t="str">
        <f>IF(Tb_data[[#This Row],[previous_workers]]&lt;Tb_data[[#This Row],[workers]],"yes","no")</f>
        <v>yes</v>
      </c>
      <c r="L4802">
        <f>Tb_data[[#This Row],[workers]]-Tb_data[[#This Row],[previous_workers]]</f>
        <v>43</v>
      </c>
      <c r="M4802" s="12">
        <f>Tb_data[[#This Row],[Employees Growth]]/Tb_data[[#This Row],[previous_workers]]</f>
        <v>0.69354838709677424</v>
      </c>
    </row>
    <row r="4803" spans="1:13" x14ac:dyDescent="0.25">
      <c r="A4803" s="1" t="s">
        <v>7044</v>
      </c>
      <c r="B4803" s="1" t="s">
        <v>7045</v>
      </c>
      <c r="C4803" s="1">
        <v>18900000</v>
      </c>
      <c r="D4803" s="1" t="s">
        <v>20</v>
      </c>
      <c r="E4803">
        <v>101.18640000000001</v>
      </c>
      <c r="F4803" s="1" t="s">
        <v>124</v>
      </c>
      <c r="G4803">
        <v>80</v>
      </c>
      <c r="H4803">
        <v>36</v>
      </c>
      <c r="I4803" s="1" t="s">
        <v>46</v>
      </c>
      <c r="J4803">
        <v>8</v>
      </c>
      <c r="K4803" t="str">
        <f>IF(Tb_data[[#This Row],[previous_workers]]&lt;Tb_data[[#This Row],[workers]],"yes","no")</f>
        <v>yes</v>
      </c>
      <c r="L4803">
        <f>Tb_data[[#This Row],[workers]]-Tb_data[[#This Row],[previous_workers]]</f>
        <v>44</v>
      </c>
      <c r="M4803" s="12">
        <f>Tb_data[[#This Row],[Employees Growth]]/Tb_data[[#This Row],[previous_workers]]</f>
        <v>1.2222222222222223</v>
      </c>
    </row>
    <row r="4804" spans="1:13" x14ac:dyDescent="0.25">
      <c r="A4804" s="1" t="s">
        <v>4405</v>
      </c>
      <c r="B4804" s="1" t="s">
        <v>4406</v>
      </c>
      <c r="C4804" s="1">
        <v>2700000</v>
      </c>
      <c r="D4804" s="1" t="s">
        <v>20</v>
      </c>
      <c r="E4804">
        <v>186.3937</v>
      </c>
      <c r="F4804" s="1" t="s">
        <v>310</v>
      </c>
      <c r="G4804">
        <v>10</v>
      </c>
      <c r="H4804">
        <v>3</v>
      </c>
      <c r="I4804" s="1" t="s">
        <v>130</v>
      </c>
      <c r="J4804">
        <v>2</v>
      </c>
      <c r="K4804" t="str">
        <f>IF(Tb_data[[#This Row],[previous_workers]]&lt;Tb_data[[#This Row],[workers]],"yes","no")</f>
        <v>yes</v>
      </c>
      <c r="L4804">
        <f>Tb_data[[#This Row],[workers]]-Tb_data[[#This Row],[previous_workers]]</f>
        <v>7</v>
      </c>
      <c r="M4804" s="12">
        <f>Tb_data[[#This Row],[Employees Growth]]/Tb_data[[#This Row],[previous_workers]]</f>
        <v>2.3333333333333335</v>
      </c>
    </row>
    <row r="4805" spans="1:13" x14ac:dyDescent="0.25">
      <c r="A4805" s="1" t="s">
        <v>6325</v>
      </c>
      <c r="B4805" s="1" t="s">
        <v>6326</v>
      </c>
      <c r="C4805" s="1">
        <v>42000000</v>
      </c>
      <c r="D4805" s="1" t="s">
        <v>52</v>
      </c>
      <c r="E4805">
        <v>117.8925</v>
      </c>
      <c r="F4805" s="1" t="s">
        <v>124</v>
      </c>
      <c r="G4805">
        <v>172</v>
      </c>
      <c r="H4805">
        <v>85</v>
      </c>
      <c r="I4805" s="1" t="s">
        <v>147</v>
      </c>
      <c r="J4805">
        <v>9</v>
      </c>
      <c r="K4805" t="str">
        <f>IF(Tb_data[[#This Row],[previous_workers]]&lt;Tb_data[[#This Row],[workers]],"yes","no")</f>
        <v>yes</v>
      </c>
      <c r="L4805">
        <f>Tb_data[[#This Row],[workers]]-Tb_data[[#This Row],[previous_workers]]</f>
        <v>87</v>
      </c>
      <c r="M4805" s="12">
        <f>Tb_data[[#This Row],[Employees Growth]]/Tb_data[[#This Row],[previous_workers]]</f>
        <v>1.0235294117647058</v>
      </c>
    </row>
    <row r="4806" spans="1:13" x14ac:dyDescent="0.25">
      <c r="A4806" s="1" t="s">
        <v>10096</v>
      </c>
      <c r="B4806" s="1" t="s">
        <v>10097</v>
      </c>
      <c r="C4806" s="1">
        <v>4500000</v>
      </c>
      <c r="D4806" s="1" t="s">
        <v>500</v>
      </c>
      <c r="E4806">
        <v>52.1691</v>
      </c>
      <c r="F4806" s="1" t="s">
        <v>176</v>
      </c>
      <c r="G4806">
        <v>27</v>
      </c>
      <c r="H4806">
        <v>22</v>
      </c>
      <c r="I4806" s="1" t="s">
        <v>74</v>
      </c>
      <c r="J4806">
        <v>4</v>
      </c>
      <c r="K4806" t="str">
        <f>IF(Tb_data[[#This Row],[previous_workers]]&lt;Tb_data[[#This Row],[workers]],"yes","no")</f>
        <v>yes</v>
      </c>
      <c r="L4806">
        <f>Tb_data[[#This Row],[workers]]-Tb_data[[#This Row],[previous_workers]]</f>
        <v>5</v>
      </c>
      <c r="M4806" s="12">
        <f>Tb_data[[#This Row],[Employees Growth]]/Tb_data[[#This Row],[previous_workers]]</f>
        <v>0.22727272727272727</v>
      </c>
    </row>
    <row r="4807" spans="1:13" x14ac:dyDescent="0.25">
      <c r="A4807" s="1" t="s">
        <v>1449</v>
      </c>
      <c r="B4807" s="1" t="s">
        <v>1450</v>
      </c>
      <c r="C4807" s="1">
        <v>5200000</v>
      </c>
      <c r="D4807" s="1" t="s">
        <v>41</v>
      </c>
      <c r="E4807">
        <v>650.29660000000001</v>
      </c>
      <c r="F4807" s="1" t="s">
        <v>86</v>
      </c>
      <c r="G4807">
        <v>41</v>
      </c>
      <c r="H4807">
        <v>17</v>
      </c>
      <c r="I4807" s="1" t="s">
        <v>130</v>
      </c>
      <c r="J4807">
        <v>2</v>
      </c>
      <c r="K4807" t="str">
        <f>IF(Tb_data[[#This Row],[previous_workers]]&lt;Tb_data[[#This Row],[workers]],"yes","no")</f>
        <v>yes</v>
      </c>
      <c r="L4807">
        <f>Tb_data[[#This Row],[workers]]-Tb_data[[#This Row],[previous_workers]]</f>
        <v>24</v>
      </c>
      <c r="M4807" s="12">
        <f>Tb_data[[#This Row],[Employees Growth]]/Tb_data[[#This Row],[previous_workers]]</f>
        <v>1.411764705882353</v>
      </c>
    </row>
    <row r="4808" spans="1:13" x14ac:dyDescent="0.25">
      <c r="A4808" s="1" t="s">
        <v>3267</v>
      </c>
      <c r="B4808" s="1" t="s">
        <v>3268</v>
      </c>
      <c r="C4808" s="1">
        <v>2900000</v>
      </c>
      <c r="D4808" s="1" t="s">
        <v>45</v>
      </c>
      <c r="E4808">
        <v>263.36509999999998</v>
      </c>
      <c r="F4808" s="1" t="s">
        <v>12</v>
      </c>
      <c r="G4808">
        <v>19</v>
      </c>
      <c r="H4808">
        <v>9</v>
      </c>
      <c r="I4808" s="1" t="s">
        <v>35</v>
      </c>
      <c r="J4808">
        <v>1</v>
      </c>
      <c r="K4808" t="str">
        <f>IF(Tb_data[[#This Row],[previous_workers]]&lt;Tb_data[[#This Row],[workers]],"yes","no")</f>
        <v>yes</v>
      </c>
      <c r="L4808">
        <f>Tb_data[[#This Row],[workers]]-Tb_data[[#This Row],[previous_workers]]</f>
        <v>10</v>
      </c>
      <c r="M4808" s="12">
        <f>Tb_data[[#This Row],[Employees Growth]]/Tb_data[[#This Row],[previous_workers]]</f>
        <v>1.1111111111111112</v>
      </c>
    </row>
    <row r="4809" spans="1:13" x14ac:dyDescent="0.25">
      <c r="A4809" s="1" t="s">
        <v>6759</v>
      </c>
      <c r="B4809" s="1" t="s">
        <v>6760</v>
      </c>
      <c r="C4809" s="1">
        <v>3000000</v>
      </c>
      <c r="D4809" s="1" t="s">
        <v>69</v>
      </c>
      <c r="E4809">
        <v>107.54819999999999</v>
      </c>
      <c r="F4809" s="1" t="s">
        <v>34</v>
      </c>
      <c r="G4809">
        <v>30</v>
      </c>
      <c r="H4809">
        <v>20</v>
      </c>
      <c r="I4809" s="1" t="s">
        <v>295</v>
      </c>
      <c r="J4809">
        <v>2</v>
      </c>
      <c r="K4809" t="str">
        <f>IF(Tb_data[[#This Row],[previous_workers]]&lt;Tb_data[[#This Row],[workers]],"yes","no")</f>
        <v>yes</v>
      </c>
      <c r="L4809">
        <f>Tb_data[[#This Row],[workers]]-Tb_data[[#This Row],[previous_workers]]</f>
        <v>10</v>
      </c>
      <c r="M4809" s="12">
        <f>Tb_data[[#This Row],[Employees Growth]]/Tb_data[[#This Row],[previous_workers]]</f>
        <v>0.5</v>
      </c>
    </row>
    <row r="4810" spans="1:13" x14ac:dyDescent="0.25">
      <c r="A4810" s="1" t="s">
        <v>5822</v>
      </c>
      <c r="B4810" s="1" t="s">
        <v>5823</v>
      </c>
      <c r="C4810" s="1">
        <v>46200000</v>
      </c>
      <c r="D4810" s="1" t="s">
        <v>20</v>
      </c>
      <c r="E4810">
        <v>130.72479999999999</v>
      </c>
      <c r="F4810" s="1" t="s">
        <v>124</v>
      </c>
      <c r="G4810">
        <v>154</v>
      </c>
      <c r="H4810">
        <v>79</v>
      </c>
      <c r="I4810" s="1" t="s">
        <v>995</v>
      </c>
      <c r="J4810">
        <v>2</v>
      </c>
      <c r="K4810" t="str">
        <f>IF(Tb_data[[#This Row],[previous_workers]]&lt;Tb_data[[#This Row],[workers]],"yes","no")</f>
        <v>yes</v>
      </c>
      <c r="L4810">
        <f>Tb_data[[#This Row],[workers]]-Tb_data[[#This Row],[previous_workers]]</f>
        <v>75</v>
      </c>
      <c r="M4810" s="12">
        <f>Tb_data[[#This Row],[Employees Growth]]/Tb_data[[#This Row],[previous_workers]]</f>
        <v>0.94936708860759489</v>
      </c>
    </row>
    <row r="4811" spans="1:13" x14ac:dyDescent="0.25">
      <c r="A4811" s="1" t="s">
        <v>1988</v>
      </c>
      <c r="B4811" s="1" t="s">
        <v>1989</v>
      </c>
      <c r="C4811" s="1">
        <v>8500000</v>
      </c>
      <c r="D4811" s="1" t="s">
        <v>129</v>
      </c>
      <c r="E4811">
        <v>452.5668</v>
      </c>
      <c r="F4811" s="1" t="s">
        <v>25</v>
      </c>
      <c r="G4811">
        <v>65</v>
      </c>
      <c r="H4811">
        <v>3</v>
      </c>
      <c r="I4811" s="1" t="s">
        <v>55</v>
      </c>
      <c r="J4811">
        <v>2</v>
      </c>
      <c r="K4811" t="str">
        <f>IF(Tb_data[[#This Row],[previous_workers]]&lt;Tb_data[[#This Row],[workers]],"yes","no")</f>
        <v>yes</v>
      </c>
      <c r="L4811">
        <f>Tb_data[[#This Row],[workers]]-Tb_data[[#This Row],[previous_workers]]</f>
        <v>62</v>
      </c>
      <c r="M4811" s="12">
        <f>Tb_data[[#This Row],[Employees Growth]]/Tb_data[[#This Row],[previous_workers]]</f>
        <v>20.666666666666668</v>
      </c>
    </row>
    <row r="4812" spans="1:13" x14ac:dyDescent="0.25">
      <c r="A4812" s="1" t="s">
        <v>1996</v>
      </c>
      <c r="B4812" s="1" t="s">
        <v>1997</v>
      </c>
      <c r="C4812" s="1">
        <v>2900000</v>
      </c>
      <c r="D4812" s="1" t="s">
        <v>58</v>
      </c>
      <c r="E4812">
        <v>450.26049999999998</v>
      </c>
      <c r="F4812" s="1" t="s">
        <v>25</v>
      </c>
      <c r="G4812">
        <v>25</v>
      </c>
      <c r="H4812">
        <v>9</v>
      </c>
      <c r="I4812" s="1" t="s">
        <v>164</v>
      </c>
      <c r="J4812">
        <v>2</v>
      </c>
      <c r="K4812" t="str">
        <f>IF(Tb_data[[#This Row],[previous_workers]]&lt;Tb_data[[#This Row],[workers]],"yes","no")</f>
        <v>yes</v>
      </c>
      <c r="L4812">
        <f>Tb_data[[#This Row],[workers]]-Tb_data[[#This Row],[previous_workers]]</f>
        <v>16</v>
      </c>
      <c r="M4812" s="12">
        <f>Tb_data[[#This Row],[Employees Growth]]/Tb_data[[#This Row],[previous_workers]]</f>
        <v>1.7777777777777777</v>
      </c>
    </row>
    <row r="4813" spans="1:13" x14ac:dyDescent="0.25">
      <c r="A4813" s="1" t="s">
        <v>1029</v>
      </c>
      <c r="B4813" s="1" t="s">
        <v>1030</v>
      </c>
      <c r="C4813" s="1">
        <v>14200000</v>
      </c>
      <c r="D4813" s="1" t="s">
        <v>20</v>
      </c>
      <c r="E4813">
        <v>967.26829999999995</v>
      </c>
      <c r="F4813" s="1" t="s">
        <v>17</v>
      </c>
      <c r="G4813">
        <v>103</v>
      </c>
      <c r="H4813">
        <v>27</v>
      </c>
      <c r="I4813" s="1" t="s">
        <v>55</v>
      </c>
      <c r="J4813">
        <v>1</v>
      </c>
      <c r="K4813" t="str">
        <f>IF(Tb_data[[#This Row],[previous_workers]]&lt;Tb_data[[#This Row],[workers]],"yes","no")</f>
        <v>yes</v>
      </c>
      <c r="L4813">
        <f>Tb_data[[#This Row],[workers]]-Tb_data[[#This Row],[previous_workers]]</f>
        <v>76</v>
      </c>
      <c r="M4813" s="12">
        <f>Tb_data[[#This Row],[Employees Growth]]/Tb_data[[#This Row],[previous_workers]]</f>
        <v>2.8148148148148149</v>
      </c>
    </row>
    <row r="4814" spans="1:13" x14ac:dyDescent="0.25">
      <c r="A4814" s="1" t="s">
        <v>2070</v>
      </c>
      <c r="B4814" s="1" t="s">
        <v>2071</v>
      </c>
      <c r="C4814" s="1">
        <v>39600000</v>
      </c>
      <c r="D4814" s="1" t="s">
        <v>321</v>
      </c>
      <c r="E4814">
        <v>432.29840000000002</v>
      </c>
      <c r="F4814" s="1" t="s">
        <v>21</v>
      </c>
      <c r="G4814">
        <v>20</v>
      </c>
      <c r="H4814">
        <v>12</v>
      </c>
      <c r="I4814" s="1" t="s">
        <v>35</v>
      </c>
      <c r="J4814">
        <v>6</v>
      </c>
      <c r="K4814" t="str">
        <f>IF(Tb_data[[#This Row],[previous_workers]]&lt;Tb_data[[#This Row],[workers]],"yes","no")</f>
        <v>yes</v>
      </c>
      <c r="L4814">
        <f>Tb_data[[#This Row],[workers]]-Tb_data[[#This Row],[previous_workers]]</f>
        <v>8</v>
      </c>
      <c r="M4814" s="12">
        <f>Tb_data[[#This Row],[Employees Growth]]/Tb_data[[#This Row],[previous_workers]]</f>
        <v>0.66666666666666663</v>
      </c>
    </row>
    <row r="4815" spans="1:13" x14ac:dyDescent="0.25">
      <c r="A4815" s="1" t="s">
        <v>5386</v>
      </c>
      <c r="B4815" s="1" t="s">
        <v>5387</v>
      </c>
      <c r="C4815" s="1">
        <v>4900000</v>
      </c>
      <c r="D4815" s="1" t="s">
        <v>49</v>
      </c>
      <c r="E4815">
        <v>146.82470000000001</v>
      </c>
      <c r="F4815" s="1" t="s">
        <v>25</v>
      </c>
      <c r="G4815">
        <v>130</v>
      </c>
      <c r="H4815">
        <v>45</v>
      </c>
      <c r="I4815" s="1" t="s">
        <v>995</v>
      </c>
      <c r="J4815">
        <v>3</v>
      </c>
      <c r="K4815" t="str">
        <f>IF(Tb_data[[#This Row],[previous_workers]]&lt;Tb_data[[#This Row],[workers]],"yes","no")</f>
        <v>yes</v>
      </c>
      <c r="L4815">
        <f>Tb_data[[#This Row],[workers]]-Tb_data[[#This Row],[previous_workers]]</f>
        <v>85</v>
      </c>
      <c r="M4815" s="12">
        <f>Tb_data[[#This Row],[Employees Growth]]/Tb_data[[#This Row],[previous_workers]]</f>
        <v>1.8888888888888888</v>
      </c>
    </row>
    <row r="4816" spans="1:13" x14ac:dyDescent="0.25">
      <c r="A4816" s="1" t="s">
        <v>8763</v>
      </c>
      <c r="B4816" s="1" t="s">
        <v>8764</v>
      </c>
      <c r="C4816" s="1">
        <v>60300000</v>
      </c>
      <c r="D4816" s="1" t="s">
        <v>49</v>
      </c>
      <c r="E4816">
        <v>70.095799999999997</v>
      </c>
      <c r="F4816" s="1" t="s">
        <v>42</v>
      </c>
      <c r="G4816">
        <v>134</v>
      </c>
      <c r="H4816">
        <v>110</v>
      </c>
      <c r="I4816" s="1" t="s">
        <v>74</v>
      </c>
      <c r="J4816">
        <v>10</v>
      </c>
      <c r="K4816" t="str">
        <f>IF(Tb_data[[#This Row],[previous_workers]]&lt;Tb_data[[#This Row],[workers]],"yes","no")</f>
        <v>yes</v>
      </c>
      <c r="L4816">
        <f>Tb_data[[#This Row],[workers]]-Tb_data[[#This Row],[previous_workers]]</f>
        <v>24</v>
      </c>
      <c r="M4816" s="12">
        <f>Tb_data[[#This Row],[Employees Growth]]/Tb_data[[#This Row],[previous_workers]]</f>
        <v>0.21818181818181817</v>
      </c>
    </row>
    <row r="4817" spans="1:13" x14ac:dyDescent="0.25">
      <c r="A4817" s="1" t="s">
        <v>2360</v>
      </c>
      <c r="B4817" s="1" t="s">
        <v>2361</v>
      </c>
      <c r="C4817" s="1">
        <v>4100000</v>
      </c>
      <c r="D4817" s="1" t="s">
        <v>61</v>
      </c>
      <c r="E4817">
        <v>370.70260000000002</v>
      </c>
      <c r="F4817" s="1" t="s">
        <v>12</v>
      </c>
      <c r="G4817">
        <v>20</v>
      </c>
      <c r="H4817">
        <v>7</v>
      </c>
      <c r="I4817" s="1" t="s">
        <v>117</v>
      </c>
      <c r="J4817">
        <v>2</v>
      </c>
      <c r="K4817" t="str">
        <f>IF(Tb_data[[#This Row],[previous_workers]]&lt;Tb_data[[#This Row],[workers]],"yes","no")</f>
        <v>yes</v>
      </c>
      <c r="L4817">
        <f>Tb_data[[#This Row],[workers]]-Tb_data[[#This Row],[previous_workers]]</f>
        <v>13</v>
      </c>
      <c r="M4817" s="12">
        <f>Tb_data[[#This Row],[Employees Growth]]/Tb_data[[#This Row],[previous_workers]]</f>
        <v>1.8571428571428572</v>
      </c>
    </row>
    <row r="4818" spans="1:13" x14ac:dyDescent="0.25">
      <c r="A4818" s="1" t="s">
        <v>1851</v>
      </c>
      <c r="B4818" s="1" t="s">
        <v>1852</v>
      </c>
      <c r="C4818" s="1">
        <v>11200000</v>
      </c>
      <c r="D4818" s="1" t="s">
        <v>1853</v>
      </c>
      <c r="E4818">
        <v>487.67970000000003</v>
      </c>
      <c r="F4818" s="1" t="s">
        <v>112</v>
      </c>
      <c r="G4818">
        <v>55</v>
      </c>
      <c r="H4818">
        <v>22</v>
      </c>
      <c r="I4818" s="1" t="s">
        <v>55</v>
      </c>
      <c r="J4818">
        <v>3</v>
      </c>
      <c r="K4818" t="str">
        <f>IF(Tb_data[[#This Row],[previous_workers]]&lt;Tb_data[[#This Row],[workers]],"yes","no")</f>
        <v>yes</v>
      </c>
      <c r="L4818">
        <f>Tb_data[[#This Row],[workers]]-Tb_data[[#This Row],[previous_workers]]</f>
        <v>33</v>
      </c>
      <c r="M4818" s="12">
        <f>Tb_data[[#This Row],[Employees Growth]]/Tb_data[[#This Row],[previous_workers]]</f>
        <v>1.5</v>
      </c>
    </row>
    <row r="4819" spans="1:13" x14ac:dyDescent="0.25">
      <c r="A4819" s="1" t="s">
        <v>8817</v>
      </c>
      <c r="B4819" s="1" t="s">
        <v>8818</v>
      </c>
      <c r="C4819" s="1">
        <v>52500000</v>
      </c>
      <c r="D4819" s="1" t="s">
        <v>254</v>
      </c>
      <c r="E4819">
        <v>69.226299999999995</v>
      </c>
      <c r="F4819" s="1" t="s">
        <v>17</v>
      </c>
      <c r="G4819">
        <v>296</v>
      </c>
      <c r="H4819">
        <v>180</v>
      </c>
      <c r="I4819" s="1" t="s">
        <v>164</v>
      </c>
      <c r="J4819">
        <v>1</v>
      </c>
      <c r="K4819" t="str">
        <f>IF(Tb_data[[#This Row],[previous_workers]]&lt;Tb_data[[#This Row],[workers]],"yes","no")</f>
        <v>yes</v>
      </c>
      <c r="L4819">
        <f>Tb_data[[#This Row],[workers]]-Tb_data[[#This Row],[previous_workers]]</f>
        <v>116</v>
      </c>
      <c r="M4819" s="12">
        <f>Tb_data[[#This Row],[Employees Growth]]/Tb_data[[#This Row],[previous_workers]]</f>
        <v>0.64444444444444449</v>
      </c>
    </row>
    <row r="4820" spans="1:13" x14ac:dyDescent="0.25">
      <c r="A4820" s="1" t="s">
        <v>1537</v>
      </c>
      <c r="B4820" s="1" t="s">
        <v>1538</v>
      </c>
      <c r="C4820" s="1">
        <v>4600000</v>
      </c>
      <c r="D4820" s="1" t="s">
        <v>38</v>
      </c>
      <c r="E4820">
        <v>611.80380000000002</v>
      </c>
      <c r="F4820" s="1" t="s">
        <v>176</v>
      </c>
      <c r="G4820">
        <v>104</v>
      </c>
      <c r="H4820">
        <v>28</v>
      </c>
      <c r="I4820" s="1" t="s">
        <v>1051</v>
      </c>
      <c r="J4820">
        <v>2</v>
      </c>
      <c r="K4820" t="str">
        <f>IF(Tb_data[[#This Row],[previous_workers]]&lt;Tb_data[[#This Row],[workers]],"yes","no")</f>
        <v>yes</v>
      </c>
      <c r="L4820">
        <f>Tb_data[[#This Row],[workers]]-Tb_data[[#This Row],[previous_workers]]</f>
        <v>76</v>
      </c>
      <c r="M4820" s="12">
        <f>Tb_data[[#This Row],[Employees Growth]]/Tb_data[[#This Row],[previous_workers]]</f>
        <v>2.7142857142857144</v>
      </c>
    </row>
    <row r="4821" spans="1:13" x14ac:dyDescent="0.25">
      <c r="A4821" s="1" t="s">
        <v>8905</v>
      </c>
      <c r="B4821" s="1" t="s">
        <v>8906</v>
      </c>
      <c r="C4821" s="1">
        <v>120100000</v>
      </c>
      <c r="D4821" s="1" t="s">
        <v>79</v>
      </c>
      <c r="E4821">
        <v>67.984399999999994</v>
      </c>
      <c r="F4821" s="1" t="s">
        <v>156</v>
      </c>
      <c r="G4821">
        <v>993</v>
      </c>
      <c r="H4821">
        <v>591</v>
      </c>
      <c r="I4821" s="1" t="s">
        <v>2628</v>
      </c>
      <c r="J4821">
        <v>12</v>
      </c>
      <c r="K4821" t="str">
        <f>IF(Tb_data[[#This Row],[previous_workers]]&lt;Tb_data[[#This Row],[workers]],"yes","no")</f>
        <v>yes</v>
      </c>
      <c r="L4821">
        <f>Tb_data[[#This Row],[workers]]-Tb_data[[#This Row],[previous_workers]]</f>
        <v>402</v>
      </c>
      <c r="M4821" s="12">
        <f>Tb_data[[#This Row],[Employees Growth]]/Tb_data[[#This Row],[previous_workers]]</f>
        <v>0.68020304568527923</v>
      </c>
    </row>
    <row r="4822" spans="1:13" x14ac:dyDescent="0.25">
      <c r="A4822" s="1" t="s">
        <v>5050</v>
      </c>
      <c r="B4822" s="1" t="s">
        <v>5051</v>
      </c>
      <c r="C4822" s="1">
        <v>10200000</v>
      </c>
      <c r="D4822" s="1" t="s">
        <v>483</v>
      </c>
      <c r="E4822">
        <v>159.29560000000001</v>
      </c>
      <c r="F4822" s="1" t="s">
        <v>97</v>
      </c>
      <c r="G4822">
        <v>82</v>
      </c>
      <c r="H4822">
        <v>14</v>
      </c>
      <c r="I4822" s="1" t="s">
        <v>74</v>
      </c>
      <c r="J4822">
        <v>5</v>
      </c>
      <c r="K4822" t="str">
        <f>IF(Tb_data[[#This Row],[previous_workers]]&lt;Tb_data[[#This Row],[workers]],"yes","no")</f>
        <v>yes</v>
      </c>
      <c r="L4822">
        <f>Tb_data[[#This Row],[workers]]-Tb_data[[#This Row],[previous_workers]]</f>
        <v>68</v>
      </c>
      <c r="M4822" s="12">
        <f>Tb_data[[#This Row],[Employees Growth]]/Tb_data[[#This Row],[previous_workers]]</f>
        <v>4.8571428571428568</v>
      </c>
    </row>
    <row r="4823" spans="1:13" x14ac:dyDescent="0.25">
      <c r="A4823" s="1" t="s">
        <v>1300</v>
      </c>
      <c r="B4823" s="1" t="s">
        <v>1301</v>
      </c>
      <c r="C4823" s="1">
        <v>6000000</v>
      </c>
      <c r="D4823" s="1" t="s">
        <v>69</v>
      </c>
      <c r="E4823">
        <v>740.05039999999997</v>
      </c>
      <c r="F4823" s="1" t="s">
        <v>156</v>
      </c>
      <c r="G4823">
        <v>113</v>
      </c>
      <c r="H4823">
        <v>42</v>
      </c>
      <c r="I4823" s="1" t="s">
        <v>13</v>
      </c>
      <c r="J4823">
        <v>1</v>
      </c>
      <c r="K4823" t="str">
        <f>IF(Tb_data[[#This Row],[previous_workers]]&lt;Tb_data[[#This Row],[workers]],"yes","no")</f>
        <v>yes</v>
      </c>
      <c r="L4823">
        <f>Tb_data[[#This Row],[workers]]-Tb_data[[#This Row],[previous_workers]]</f>
        <v>71</v>
      </c>
      <c r="M4823" s="12">
        <f>Tb_data[[#This Row],[Employees Growth]]/Tb_data[[#This Row],[previous_workers]]</f>
        <v>1.6904761904761905</v>
      </c>
    </row>
    <row r="4824" spans="1:13" x14ac:dyDescent="0.25">
      <c r="A4824" s="1" t="s">
        <v>1473</v>
      </c>
      <c r="B4824" s="1" t="s">
        <v>1474</v>
      </c>
      <c r="C4824" s="1">
        <v>14200000</v>
      </c>
      <c r="D4824" s="1" t="s">
        <v>38</v>
      </c>
      <c r="E4824">
        <v>635.92420000000004</v>
      </c>
      <c r="F4824" s="1" t="s">
        <v>116</v>
      </c>
      <c r="G4824">
        <v>49</v>
      </c>
      <c r="H4824">
        <v>9</v>
      </c>
      <c r="I4824" s="1" t="s">
        <v>55</v>
      </c>
      <c r="J4824">
        <v>3</v>
      </c>
      <c r="K4824" t="str">
        <f>IF(Tb_data[[#This Row],[previous_workers]]&lt;Tb_data[[#This Row],[workers]],"yes","no")</f>
        <v>yes</v>
      </c>
      <c r="L4824">
        <f>Tb_data[[#This Row],[workers]]-Tb_data[[#This Row],[previous_workers]]</f>
        <v>40</v>
      </c>
      <c r="M4824" s="12">
        <f>Tb_data[[#This Row],[Employees Growth]]/Tb_data[[#This Row],[previous_workers]]</f>
        <v>4.4444444444444446</v>
      </c>
    </row>
    <row r="4825" spans="1:13" x14ac:dyDescent="0.25">
      <c r="A4825" s="1" t="s">
        <v>7539</v>
      </c>
      <c r="B4825" s="1" t="s">
        <v>7540</v>
      </c>
      <c r="C4825" s="1">
        <v>35500000</v>
      </c>
      <c r="D4825" s="1" t="s">
        <v>69</v>
      </c>
      <c r="E4825">
        <v>92.018299999999996</v>
      </c>
      <c r="F4825" s="1" t="s">
        <v>34</v>
      </c>
      <c r="G4825">
        <v>110</v>
      </c>
      <c r="H4825">
        <v>55</v>
      </c>
      <c r="I4825" s="1" t="s">
        <v>2628</v>
      </c>
      <c r="J4825">
        <v>12</v>
      </c>
      <c r="K4825" t="str">
        <f>IF(Tb_data[[#This Row],[previous_workers]]&lt;Tb_data[[#This Row],[workers]],"yes","no")</f>
        <v>yes</v>
      </c>
      <c r="L4825">
        <f>Tb_data[[#This Row],[workers]]-Tb_data[[#This Row],[previous_workers]]</f>
        <v>55</v>
      </c>
      <c r="M4825" s="12">
        <f>Tb_data[[#This Row],[Employees Growth]]/Tb_data[[#This Row],[previous_workers]]</f>
        <v>1</v>
      </c>
    </row>
    <row r="4826" spans="1:13" x14ac:dyDescent="0.25">
      <c r="A4826" s="1" t="s">
        <v>6657</v>
      </c>
      <c r="B4826" s="1" t="s">
        <v>6658</v>
      </c>
      <c r="C4826" s="1">
        <v>43100000</v>
      </c>
      <c r="D4826" s="1" t="s">
        <v>61</v>
      </c>
      <c r="E4826">
        <v>110.0844</v>
      </c>
      <c r="F4826" s="1" t="s">
        <v>176</v>
      </c>
      <c r="G4826">
        <v>240</v>
      </c>
      <c r="H4826">
        <v>225</v>
      </c>
      <c r="I4826" s="1" t="s">
        <v>35</v>
      </c>
      <c r="J4826">
        <v>2</v>
      </c>
      <c r="K4826" t="str">
        <f>IF(Tb_data[[#This Row],[previous_workers]]&lt;Tb_data[[#This Row],[workers]],"yes","no")</f>
        <v>yes</v>
      </c>
      <c r="L4826">
        <f>Tb_data[[#This Row],[workers]]-Tb_data[[#This Row],[previous_workers]]</f>
        <v>15</v>
      </c>
      <c r="M4826" s="12">
        <f>Tb_data[[#This Row],[Employees Growth]]/Tb_data[[#This Row],[previous_workers]]</f>
        <v>6.6666666666666666E-2</v>
      </c>
    </row>
    <row r="4827" spans="1:13" x14ac:dyDescent="0.25">
      <c r="A4827" s="1" t="s">
        <v>9820</v>
      </c>
      <c r="B4827" s="1" t="s">
        <v>9821</v>
      </c>
      <c r="C4827" s="1">
        <v>101400000</v>
      </c>
      <c r="D4827" s="1" t="s">
        <v>179</v>
      </c>
      <c r="E4827">
        <v>56.639000000000003</v>
      </c>
      <c r="F4827" s="1" t="s">
        <v>124</v>
      </c>
      <c r="G4827">
        <v>185</v>
      </c>
      <c r="H4827">
        <v>125</v>
      </c>
      <c r="I4827" s="1" t="s">
        <v>4069</v>
      </c>
      <c r="J4827">
        <v>6</v>
      </c>
      <c r="K4827" t="str">
        <f>IF(Tb_data[[#This Row],[previous_workers]]&lt;Tb_data[[#This Row],[workers]],"yes","no")</f>
        <v>yes</v>
      </c>
      <c r="L4827">
        <f>Tb_data[[#This Row],[workers]]-Tb_data[[#This Row],[previous_workers]]</f>
        <v>60</v>
      </c>
      <c r="M4827" s="12">
        <f>Tb_data[[#This Row],[Employees Growth]]/Tb_data[[#This Row],[previous_workers]]</f>
        <v>0.48</v>
      </c>
    </row>
    <row r="4828" spans="1:13" x14ac:dyDescent="0.25">
      <c r="A4828" s="1" t="s">
        <v>9461</v>
      </c>
      <c r="B4828" s="1" t="s">
        <v>9462</v>
      </c>
      <c r="C4828" s="1">
        <v>4600000</v>
      </c>
      <c r="D4828" s="1" t="s">
        <v>45</v>
      </c>
      <c r="E4828">
        <v>60.7395</v>
      </c>
      <c r="F4828" s="1" t="s">
        <v>62</v>
      </c>
      <c r="G4828">
        <v>17</v>
      </c>
      <c r="H4828">
        <v>12</v>
      </c>
      <c r="I4828" s="1" t="s">
        <v>164</v>
      </c>
      <c r="J4828">
        <v>1</v>
      </c>
      <c r="K4828" t="str">
        <f>IF(Tb_data[[#This Row],[previous_workers]]&lt;Tb_data[[#This Row],[workers]],"yes","no")</f>
        <v>yes</v>
      </c>
      <c r="L4828">
        <f>Tb_data[[#This Row],[workers]]-Tb_data[[#This Row],[previous_workers]]</f>
        <v>5</v>
      </c>
      <c r="M4828" s="12">
        <f>Tb_data[[#This Row],[Employees Growth]]/Tb_data[[#This Row],[previous_workers]]</f>
        <v>0.41666666666666669</v>
      </c>
    </row>
    <row r="4829" spans="1:13" x14ac:dyDescent="0.25">
      <c r="A4829" s="1" t="s">
        <v>7521</v>
      </c>
      <c r="B4829" s="1" t="s">
        <v>7522</v>
      </c>
      <c r="C4829" s="1">
        <v>177600000</v>
      </c>
      <c r="D4829" s="1" t="s">
        <v>49</v>
      </c>
      <c r="E4829">
        <v>92.490899999999996</v>
      </c>
      <c r="F4829" s="1" t="s">
        <v>12</v>
      </c>
      <c r="G4829">
        <v>721</v>
      </c>
      <c r="H4829">
        <v>427</v>
      </c>
      <c r="I4829" s="1" t="s">
        <v>1051</v>
      </c>
      <c r="J4829">
        <v>11</v>
      </c>
      <c r="K4829" t="str">
        <f>IF(Tb_data[[#This Row],[previous_workers]]&lt;Tb_data[[#This Row],[workers]],"yes","no")</f>
        <v>yes</v>
      </c>
      <c r="L4829">
        <f>Tb_data[[#This Row],[workers]]-Tb_data[[#This Row],[previous_workers]]</f>
        <v>294</v>
      </c>
      <c r="M4829" s="12">
        <f>Tb_data[[#This Row],[Employees Growth]]/Tb_data[[#This Row],[previous_workers]]</f>
        <v>0.68852459016393441</v>
      </c>
    </row>
    <row r="4830" spans="1:13" x14ac:dyDescent="0.25">
      <c r="A4830" s="1" t="s">
        <v>1992</v>
      </c>
      <c r="B4830" s="1" t="s">
        <v>1993</v>
      </c>
      <c r="C4830" s="1">
        <v>3600000</v>
      </c>
      <c r="D4830" s="1" t="s">
        <v>61</v>
      </c>
      <c r="E4830">
        <v>451.10120000000001</v>
      </c>
      <c r="F4830" s="1" t="s">
        <v>135</v>
      </c>
      <c r="G4830">
        <v>40</v>
      </c>
      <c r="H4830">
        <v>7</v>
      </c>
      <c r="I4830" s="1" t="s">
        <v>26</v>
      </c>
      <c r="J4830">
        <v>1</v>
      </c>
      <c r="K4830" t="str">
        <f>IF(Tb_data[[#This Row],[previous_workers]]&lt;Tb_data[[#This Row],[workers]],"yes","no")</f>
        <v>yes</v>
      </c>
      <c r="L4830">
        <f>Tb_data[[#This Row],[workers]]-Tb_data[[#This Row],[previous_workers]]</f>
        <v>33</v>
      </c>
      <c r="M4830" s="12">
        <f>Tb_data[[#This Row],[Employees Growth]]/Tb_data[[#This Row],[previous_workers]]</f>
        <v>4.7142857142857144</v>
      </c>
    </row>
    <row r="4831" spans="1:13" x14ac:dyDescent="0.25">
      <c r="A4831" s="1" t="s">
        <v>381</v>
      </c>
      <c r="B4831" s="1" t="s">
        <v>382</v>
      </c>
      <c r="C4831" s="1">
        <v>4400000</v>
      </c>
      <c r="D4831" s="1" t="s">
        <v>49</v>
      </c>
      <c r="E4831">
        <v>2482.3452000000002</v>
      </c>
      <c r="F4831" s="1" t="s">
        <v>86</v>
      </c>
      <c r="G4831">
        <v>55</v>
      </c>
      <c r="H4831">
        <v>6</v>
      </c>
      <c r="I4831" s="1" t="s">
        <v>26</v>
      </c>
      <c r="J4831">
        <v>1</v>
      </c>
      <c r="K4831" t="str">
        <f>IF(Tb_data[[#This Row],[previous_workers]]&lt;Tb_data[[#This Row],[workers]],"yes","no")</f>
        <v>yes</v>
      </c>
      <c r="L4831">
        <f>Tb_data[[#This Row],[workers]]-Tb_data[[#This Row],[previous_workers]]</f>
        <v>49</v>
      </c>
      <c r="M4831" s="12">
        <f>Tb_data[[#This Row],[Employees Growth]]/Tb_data[[#This Row],[previous_workers]]</f>
        <v>8.1666666666666661</v>
      </c>
    </row>
    <row r="4832" spans="1:13" x14ac:dyDescent="0.25">
      <c r="A4832" s="1" t="s">
        <v>2747</v>
      </c>
      <c r="B4832" s="1" t="s">
        <v>2748</v>
      </c>
      <c r="C4832" s="1">
        <v>6700000</v>
      </c>
      <c r="D4832" s="1" t="s">
        <v>49</v>
      </c>
      <c r="E4832">
        <v>313.84969999999998</v>
      </c>
      <c r="F4832" s="1" t="s">
        <v>21</v>
      </c>
      <c r="G4832">
        <v>26</v>
      </c>
      <c r="H4832">
        <v>6</v>
      </c>
      <c r="I4832" s="1" t="s">
        <v>130</v>
      </c>
      <c r="J4832">
        <v>3</v>
      </c>
      <c r="K4832" t="str">
        <f>IF(Tb_data[[#This Row],[previous_workers]]&lt;Tb_data[[#This Row],[workers]],"yes","no")</f>
        <v>yes</v>
      </c>
      <c r="L4832">
        <f>Tb_data[[#This Row],[workers]]-Tb_data[[#This Row],[previous_workers]]</f>
        <v>20</v>
      </c>
      <c r="M4832" s="12">
        <f>Tb_data[[#This Row],[Employees Growth]]/Tb_data[[#This Row],[previous_workers]]</f>
        <v>3.3333333333333335</v>
      </c>
    </row>
    <row r="4833" spans="1:13" x14ac:dyDescent="0.25">
      <c r="A4833" s="1" t="s">
        <v>1856</v>
      </c>
      <c r="B4833" s="1" t="s">
        <v>1857</v>
      </c>
      <c r="C4833" s="1">
        <v>5200000</v>
      </c>
      <c r="D4833" s="1" t="s">
        <v>115</v>
      </c>
      <c r="E4833">
        <v>486.82670000000002</v>
      </c>
      <c r="F4833" s="1" t="s">
        <v>12</v>
      </c>
      <c r="G4833">
        <v>38</v>
      </c>
      <c r="H4833">
        <v>7</v>
      </c>
      <c r="I4833" s="1" t="s">
        <v>194</v>
      </c>
      <c r="J4833">
        <v>2</v>
      </c>
      <c r="K4833" t="str">
        <f>IF(Tb_data[[#This Row],[previous_workers]]&lt;Tb_data[[#This Row],[workers]],"yes","no")</f>
        <v>yes</v>
      </c>
      <c r="L4833">
        <f>Tb_data[[#This Row],[workers]]-Tb_data[[#This Row],[previous_workers]]</f>
        <v>31</v>
      </c>
      <c r="M4833" s="12">
        <f>Tb_data[[#This Row],[Employees Growth]]/Tb_data[[#This Row],[previous_workers]]</f>
        <v>4.4285714285714288</v>
      </c>
    </row>
    <row r="4834" spans="1:13" x14ac:dyDescent="0.25">
      <c r="A4834" s="1" t="s">
        <v>8943</v>
      </c>
      <c r="B4834" s="1" t="s">
        <v>8944</v>
      </c>
      <c r="C4834" s="1">
        <v>3600000</v>
      </c>
      <c r="D4834" s="1" t="s">
        <v>20</v>
      </c>
      <c r="E4834">
        <v>67.388999999999996</v>
      </c>
      <c r="F4834" s="1" t="s">
        <v>161</v>
      </c>
      <c r="G4834">
        <v>20</v>
      </c>
      <c r="H4834">
        <v>20</v>
      </c>
      <c r="I4834" s="1" t="s">
        <v>74</v>
      </c>
      <c r="J4834">
        <v>4</v>
      </c>
      <c r="K4834" t="str">
        <f>IF(Tb_data[[#This Row],[previous_workers]]&lt;Tb_data[[#This Row],[workers]],"yes","no")</f>
        <v>no</v>
      </c>
      <c r="L4834">
        <f>Tb_data[[#This Row],[workers]]-Tb_data[[#This Row],[previous_workers]]</f>
        <v>0</v>
      </c>
      <c r="M4834" s="12">
        <f>Tb_data[[#This Row],[Employees Growth]]/Tb_data[[#This Row],[previous_workers]]</f>
        <v>0</v>
      </c>
    </row>
    <row r="4835" spans="1:13" x14ac:dyDescent="0.25">
      <c r="A4835" s="1" t="s">
        <v>6641</v>
      </c>
      <c r="B4835" s="1" t="s">
        <v>6642</v>
      </c>
      <c r="C4835" s="1">
        <v>15600000</v>
      </c>
      <c r="D4835" s="1" t="s">
        <v>254</v>
      </c>
      <c r="E4835">
        <v>110.5449</v>
      </c>
      <c r="F4835" s="1" t="s">
        <v>12</v>
      </c>
      <c r="G4835">
        <v>114</v>
      </c>
      <c r="H4835">
        <v>61</v>
      </c>
      <c r="I4835" s="1" t="s">
        <v>1051</v>
      </c>
      <c r="J4835">
        <v>7</v>
      </c>
      <c r="K4835" t="str">
        <f>IF(Tb_data[[#This Row],[previous_workers]]&lt;Tb_data[[#This Row],[workers]],"yes","no")</f>
        <v>yes</v>
      </c>
      <c r="L4835">
        <f>Tb_data[[#This Row],[workers]]-Tb_data[[#This Row],[previous_workers]]</f>
        <v>53</v>
      </c>
      <c r="M4835" s="12">
        <f>Tb_data[[#This Row],[Employees Growth]]/Tb_data[[#This Row],[previous_workers]]</f>
        <v>0.86885245901639341</v>
      </c>
    </row>
    <row r="4836" spans="1:13" x14ac:dyDescent="0.25">
      <c r="A4836" s="1" t="s">
        <v>7204</v>
      </c>
      <c r="B4836" s="1" t="s">
        <v>7205</v>
      </c>
      <c r="C4836" s="1">
        <v>11200000</v>
      </c>
      <c r="D4836" s="1" t="s">
        <v>115</v>
      </c>
      <c r="E4836">
        <v>98.337699999999998</v>
      </c>
      <c r="F4836" s="1" t="s">
        <v>97</v>
      </c>
      <c r="G4836">
        <v>108</v>
      </c>
      <c r="H4836">
        <v>89</v>
      </c>
      <c r="I4836" s="1" t="s">
        <v>46</v>
      </c>
      <c r="J4836">
        <v>4</v>
      </c>
      <c r="K4836" t="str">
        <f>IF(Tb_data[[#This Row],[previous_workers]]&lt;Tb_data[[#This Row],[workers]],"yes","no")</f>
        <v>yes</v>
      </c>
      <c r="L4836">
        <f>Tb_data[[#This Row],[workers]]-Tb_data[[#This Row],[previous_workers]]</f>
        <v>19</v>
      </c>
      <c r="M4836" s="12">
        <f>Tb_data[[#This Row],[Employees Growth]]/Tb_data[[#This Row],[previous_workers]]</f>
        <v>0.21348314606741572</v>
      </c>
    </row>
    <row r="4837" spans="1:13" x14ac:dyDescent="0.25">
      <c r="A4837" s="1" t="s">
        <v>7116</v>
      </c>
      <c r="B4837" s="1" t="s">
        <v>7117</v>
      </c>
      <c r="C4837" s="1">
        <v>4000000</v>
      </c>
      <c r="D4837" s="1" t="s">
        <v>254</v>
      </c>
      <c r="E4837">
        <v>99.882800000000003</v>
      </c>
      <c r="F4837" s="1" t="s">
        <v>124</v>
      </c>
      <c r="G4837">
        <v>18</v>
      </c>
      <c r="H4837">
        <v>5</v>
      </c>
      <c r="I4837" s="1" t="s">
        <v>130</v>
      </c>
      <c r="J4837">
        <v>3</v>
      </c>
      <c r="K4837" t="str">
        <f>IF(Tb_data[[#This Row],[previous_workers]]&lt;Tb_data[[#This Row],[workers]],"yes","no")</f>
        <v>yes</v>
      </c>
      <c r="L4837">
        <f>Tb_data[[#This Row],[workers]]-Tb_data[[#This Row],[previous_workers]]</f>
        <v>13</v>
      </c>
      <c r="M4837" s="12">
        <f>Tb_data[[#This Row],[Employees Growth]]/Tb_data[[#This Row],[previous_workers]]</f>
        <v>2.6</v>
      </c>
    </row>
    <row r="4838" spans="1:13" x14ac:dyDescent="0.25">
      <c r="A4838" s="1" t="s">
        <v>3248</v>
      </c>
      <c r="B4838" s="1" t="s">
        <v>3249</v>
      </c>
      <c r="C4838" s="1">
        <v>7300000</v>
      </c>
      <c r="D4838" s="1" t="s">
        <v>115</v>
      </c>
      <c r="E4838">
        <v>265.16590000000002</v>
      </c>
      <c r="F4838" s="1" t="s">
        <v>25</v>
      </c>
      <c r="G4838">
        <v>15</v>
      </c>
      <c r="H4838">
        <v>3</v>
      </c>
      <c r="I4838" s="1" t="s">
        <v>35</v>
      </c>
      <c r="J4838">
        <v>1</v>
      </c>
      <c r="K4838" t="str">
        <f>IF(Tb_data[[#This Row],[previous_workers]]&lt;Tb_data[[#This Row],[workers]],"yes","no")</f>
        <v>yes</v>
      </c>
      <c r="L4838">
        <f>Tb_data[[#This Row],[workers]]-Tb_data[[#This Row],[previous_workers]]</f>
        <v>12</v>
      </c>
      <c r="M4838" s="12">
        <f>Tb_data[[#This Row],[Employees Growth]]/Tb_data[[#This Row],[previous_workers]]</f>
        <v>4</v>
      </c>
    </row>
    <row r="4839" spans="1:13" x14ac:dyDescent="0.25">
      <c r="A4839" s="1" t="s">
        <v>3195</v>
      </c>
      <c r="B4839" s="1" t="s">
        <v>3196</v>
      </c>
      <c r="C4839" s="1">
        <v>18400000</v>
      </c>
      <c r="D4839" s="1" t="s">
        <v>52</v>
      </c>
      <c r="E4839">
        <v>269.42410000000001</v>
      </c>
      <c r="F4839" s="1" t="s">
        <v>21</v>
      </c>
      <c r="G4839">
        <v>78</v>
      </c>
      <c r="H4839">
        <v>71</v>
      </c>
      <c r="I4839" s="1" t="s">
        <v>117</v>
      </c>
      <c r="J4839">
        <v>2</v>
      </c>
      <c r="K4839" t="str">
        <f>IF(Tb_data[[#This Row],[previous_workers]]&lt;Tb_data[[#This Row],[workers]],"yes","no")</f>
        <v>yes</v>
      </c>
      <c r="L4839">
        <f>Tb_data[[#This Row],[workers]]-Tb_data[[#This Row],[previous_workers]]</f>
        <v>7</v>
      </c>
      <c r="M4839" s="12">
        <f>Tb_data[[#This Row],[Employees Growth]]/Tb_data[[#This Row],[previous_workers]]</f>
        <v>9.8591549295774641E-2</v>
      </c>
    </row>
    <row r="4840" spans="1:13" x14ac:dyDescent="0.25">
      <c r="A4840" s="1" t="s">
        <v>230</v>
      </c>
      <c r="B4840" s="1" t="s">
        <v>231</v>
      </c>
      <c r="C4840" s="1">
        <v>4700000</v>
      </c>
      <c r="D4840" s="1" t="s">
        <v>91</v>
      </c>
      <c r="E4840">
        <v>4088.0160000000001</v>
      </c>
      <c r="F4840" s="1" t="s">
        <v>25</v>
      </c>
      <c r="G4840">
        <v>12</v>
      </c>
      <c r="H4840">
        <v>2</v>
      </c>
      <c r="I4840" s="1" t="s">
        <v>13</v>
      </c>
      <c r="J4840">
        <v>1</v>
      </c>
      <c r="K4840" t="str">
        <f>IF(Tb_data[[#This Row],[previous_workers]]&lt;Tb_data[[#This Row],[workers]],"yes","no")</f>
        <v>yes</v>
      </c>
      <c r="L4840">
        <f>Tb_data[[#This Row],[workers]]-Tb_data[[#This Row],[previous_workers]]</f>
        <v>10</v>
      </c>
      <c r="M4840" s="12">
        <f>Tb_data[[#This Row],[Employees Growth]]/Tb_data[[#This Row],[previous_workers]]</f>
        <v>5</v>
      </c>
    </row>
    <row r="4841" spans="1:13" x14ac:dyDescent="0.25">
      <c r="A4841" s="1" t="s">
        <v>8979</v>
      </c>
      <c r="B4841" s="1" t="s">
        <v>8980</v>
      </c>
      <c r="C4841" s="1">
        <v>103800000</v>
      </c>
      <c r="D4841" s="1" t="s">
        <v>49</v>
      </c>
      <c r="E4841">
        <v>66.842699999999994</v>
      </c>
      <c r="F4841" s="1" t="s">
        <v>514</v>
      </c>
      <c r="G4841">
        <v>522</v>
      </c>
      <c r="H4841">
        <v>303</v>
      </c>
      <c r="I4841" s="1" t="s">
        <v>4069</v>
      </c>
      <c r="J4841">
        <v>2</v>
      </c>
      <c r="K4841" t="str">
        <f>IF(Tb_data[[#This Row],[previous_workers]]&lt;Tb_data[[#This Row],[workers]],"yes","no")</f>
        <v>yes</v>
      </c>
      <c r="L4841">
        <f>Tb_data[[#This Row],[workers]]-Tb_data[[#This Row],[previous_workers]]</f>
        <v>219</v>
      </c>
      <c r="M4841" s="12">
        <f>Tb_data[[#This Row],[Employees Growth]]/Tb_data[[#This Row],[previous_workers]]</f>
        <v>0.72277227722772275</v>
      </c>
    </row>
    <row r="4842" spans="1:13" x14ac:dyDescent="0.25">
      <c r="A4842" s="1" t="s">
        <v>1658</v>
      </c>
      <c r="B4842" s="1" t="s">
        <v>1659</v>
      </c>
      <c r="C4842" s="1">
        <v>14600000</v>
      </c>
      <c r="D4842" s="1" t="s">
        <v>49</v>
      </c>
      <c r="E4842">
        <v>557.17830000000004</v>
      </c>
      <c r="F4842" s="1" t="s">
        <v>34</v>
      </c>
      <c r="G4842">
        <v>33</v>
      </c>
      <c r="H4842">
        <v>4</v>
      </c>
      <c r="I4842" s="1" t="s">
        <v>130</v>
      </c>
      <c r="J4842">
        <v>4</v>
      </c>
      <c r="K4842" t="str">
        <f>IF(Tb_data[[#This Row],[previous_workers]]&lt;Tb_data[[#This Row],[workers]],"yes","no")</f>
        <v>yes</v>
      </c>
      <c r="L4842">
        <f>Tb_data[[#This Row],[workers]]-Tb_data[[#This Row],[previous_workers]]</f>
        <v>29</v>
      </c>
      <c r="M4842" s="12">
        <f>Tb_data[[#This Row],[Employees Growth]]/Tb_data[[#This Row],[previous_workers]]</f>
        <v>7.25</v>
      </c>
    </row>
    <row r="4843" spans="1:13" x14ac:dyDescent="0.25">
      <c r="A4843" s="1" t="s">
        <v>2789</v>
      </c>
      <c r="B4843" s="1" t="s">
        <v>2790</v>
      </c>
      <c r="C4843" s="1">
        <v>15600000</v>
      </c>
      <c r="D4843" s="1" t="s">
        <v>41</v>
      </c>
      <c r="E4843">
        <v>309.30919999999998</v>
      </c>
      <c r="F4843" s="1" t="s">
        <v>62</v>
      </c>
      <c r="G4843">
        <v>28</v>
      </c>
      <c r="H4843">
        <v>6</v>
      </c>
      <c r="I4843" s="1" t="s">
        <v>130</v>
      </c>
      <c r="J4843">
        <v>2</v>
      </c>
      <c r="K4843" t="str">
        <f>IF(Tb_data[[#This Row],[previous_workers]]&lt;Tb_data[[#This Row],[workers]],"yes","no")</f>
        <v>yes</v>
      </c>
      <c r="L4843">
        <f>Tb_data[[#This Row],[workers]]-Tb_data[[#This Row],[previous_workers]]</f>
        <v>22</v>
      </c>
      <c r="M4843" s="12">
        <f>Tb_data[[#This Row],[Employees Growth]]/Tb_data[[#This Row],[previous_workers]]</f>
        <v>3.6666666666666665</v>
      </c>
    </row>
    <row r="4844" spans="1:13" x14ac:dyDescent="0.25">
      <c r="A4844" s="1" t="s">
        <v>2791</v>
      </c>
      <c r="B4844" s="1" t="s">
        <v>2792</v>
      </c>
      <c r="C4844" s="1">
        <v>5200000</v>
      </c>
      <c r="D4844" s="1" t="s">
        <v>45</v>
      </c>
      <c r="E4844">
        <v>309.01440000000002</v>
      </c>
      <c r="F4844" s="1" t="s">
        <v>17</v>
      </c>
      <c r="G4844">
        <v>19</v>
      </c>
      <c r="H4844">
        <v>9</v>
      </c>
      <c r="I4844" s="1" t="s">
        <v>130</v>
      </c>
      <c r="J4844">
        <v>2</v>
      </c>
      <c r="K4844" t="str">
        <f>IF(Tb_data[[#This Row],[previous_workers]]&lt;Tb_data[[#This Row],[workers]],"yes","no")</f>
        <v>yes</v>
      </c>
      <c r="L4844">
        <f>Tb_data[[#This Row],[workers]]-Tb_data[[#This Row],[previous_workers]]</f>
        <v>10</v>
      </c>
      <c r="M4844" s="12">
        <f>Tb_data[[#This Row],[Employees Growth]]/Tb_data[[#This Row],[previous_workers]]</f>
        <v>1.1111111111111112</v>
      </c>
    </row>
    <row r="4845" spans="1:13" x14ac:dyDescent="0.25">
      <c r="A4845" s="1" t="s">
        <v>7895</v>
      </c>
      <c r="B4845" s="1" t="s">
        <v>7896</v>
      </c>
      <c r="C4845" s="1">
        <v>107500000</v>
      </c>
      <c r="D4845" s="1" t="s">
        <v>20</v>
      </c>
      <c r="E4845">
        <v>84.737899999999996</v>
      </c>
      <c r="F4845" s="1" t="s">
        <v>112</v>
      </c>
      <c r="G4845">
        <v>320</v>
      </c>
      <c r="H4845">
        <v>185</v>
      </c>
      <c r="I4845" s="1" t="s">
        <v>229</v>
      </c>
      <c r="J4845">
        <v>5</v>
      </c>
      <c r="K4845" t="str">
        <f>IF(Tb_data[[#This Row],[previous_workers]]&lt;Tb_data[[#This Row],[workers]],"yes","no")</f>
        <v>yes</v>
      </c>
      <c r="L4845">
        <f>Tb_data[[#This Row],[workers]]-Tb_data[[#This Row],[previous_workers]]</f>
        <v>135</v>
      </c>
      <c r="M4845" s="12">
        <f>Tb_data[[#This Row],[Employees Growth]]/Tb_data[[#This Row],[previous_workers]]</f>
        <v>0.72972972972972971</v>
      </c>
    </row>
    <row r="4846" spans="1:13" x14ac:dyDescent="0.25">
      <c r="A4846" s="1" t="s">
        <v>9924</v>
      </c>
      <c r="B4846" s="1" t="s">
        <v>9925</v>
      </c>
      <c r="C4846" s="1">
        <v>28100000</v>
      </c>
      <c r="D4846" s="1" t="s">
        <v>69</v>
      </c>
      <c r="E4846">
        <v>54.879800000000003</v>
      </c>
      <c r="F4846" s="1" t="s">
        <v>30</v>
      </c>
      <c r="G4846">
        <v>42</v>
      </c>
      <c r="H4846">
        <v>26</v>
      </c>
      <c r="I4846" s="1" t="s">
        <v>372</v>
      </c>
      <c r="J4846">
        <v>2</v>
      </c>
      <c r="K4846" t="str">
        <f>IF(Tb_data[[#This Row],[previous_workers]]&lt;Tb_data[[#This Row],[workers]],"yes","no")</f>
        <v>yes</v>
      </c>
      <c r="L4846">
        <f>Tb_data[[#This Row],[workers]]-Tb_data[[#This Row],[previous_workers]]</f>
        <v>16</v>
      </c>
      <c r="M4846" s="12">
        <f>Tb_data[[#This Row],[Employees Growth]]/Tb_data[[#This Row],[previous_workers]]</f>
        <v>0.61538461538461542</v>
      </c>
    </row>
    <row r="4847" spans="1:13" x14ac:dyDescent="0.25">
      <c r="A4847" s="1" t="s">
        <v>6609</v>
      </c>
      <c r="B4847" s="1" t="s">
        <v>6610</v>
      </c>
      <c r="C4847" s="1">
        <v>7000000</v>
      </c>
      <c r="D4847" s="1" t="s">
        <v>20</v>
      </c>
      <c r="E4847">
        <v>111.1739</v>
      </c>
      <c r="F4847" s="1" t="s">
        <v>100</v>
      </c>
      <c r="G4847">
        <v>71</v>
      </c>
      <c r="H4847">
        <v>25</v>
      </c>
      <c r="I4847" s="1" t="s">
        <v>117</v>
      </c>
      <c r="J4847">
        <v>1</v>
      </c>
      <c r="K4847" t="str">
        <f>IF(Tb_data[[#This Row],[previous_workers]]&lt;Tb_data[[#This Row],[workers]],"yes","no")</f>
        <v>yes</v>
      </c>
      <c r="L4847">
        <f>Tb_data[[#This Row],[workers]]-Tb_data[[#This Row],[previous_workers]]</f>
        <v>46</v>
      </c>
      <c r="M4847" s="12">
        <f>Tb_data[[#This Row],[Employees Growth]]/Tb_data[[#This Row],[previous_workers]]</f>
        <v>1.84</v>
      </c>
    </row>
    <row r="4848" spans="1:13" x14ac:dyDescent="0.25">
      <c r="A4848" s="1" t="s">
        <v>2660</v>
      </c>
      <c r="B4848" s="1" t="s">
        <v>2661</v>
      </c>
      <c r="C4848" s="1">
        <v>52200000</v>
      </c>
      <c r="D4848" s="1" t="s">
        <v>254</v>
      </c>
      <c r="E4848">
        <v>324.88310000000001</v>
      </c>
      <c r="F4848" s="1" t="s">
        <v>176</v>
      </c>
      <c r="G4848">
        <v>30</v>
      </c>
      <c r="H4848">
        <v>20</v>
      </c>
      <c r="I4848" s="1" t="s">
        <v>1051</v>
      </c>
      <c r="J4848">
        <v>3</v>
      </c>
      <c r="K4848" t="str">
        <f>IF(Tb_data[[#This Row],[previous_workers]]&lt;Tb_data[[#This Row],[workers]],"yes","no")</f>
        <v>yes</v>
      </c>
      <c r="L4848">
        <f>Tb_data[[#This Row],[workers]]-Tb_data[[#This Row],[previous_workers]]</f>
        <v>10</v>
      </c>
      <c r="M4848" s="12">
        <f>Tb_data[[#This Row],[Employees Growth]]/Tb_data[[#This Row],[previous_workers]]</f>
        <v>0.5</v>
      </c>
    </row>
    <row r="4849" spans="1:13" x14ac:dyDescent="0.25">
      <c r="A4849" s="1" t="s">
        <v>3199</v>
      </c>
      <c r="B4849" s="1" t="s">
        <v>3200</v>
      </c>
      <c r="C4849" s="1">
        <v>7600000</v>
      </c>
      <c r="D4849" s="1" t="s">
        <v>175</v>
      </c>
      <c r="E4849">
        <v>269.31610000000001</v>
      </c>
      <c r="F4849" s="1" t="s">
        <v>42</v>
      </c>
      <c r="G4849">
        <v>40</v>
      </c>
      <c r="H4849">
        <v>12</v>
      </c>
      <c r="I4849" s="1" t="s">
        <v>295</v>
      </c>
      <c r="J4849">
        <v>4</v>
      </c>
      <c r="K4849" t="str">
        <f>IF(Tb_data[[#This Row],[previous_workers]]&lt;Tb_data[[#This Row],[workers]],"yes","no")</f>
        <v>yes</v>
      </c>
      <c r="L4849">
        <f>Tb_data[[#This Row],[workers]]-Tb_data[[#This Row],[previous_workers]]</f>
        <v>28</v>
      </c>
      <c r="M4849" s="12">
        <f>Tb_data[[#This Row],[Employees Growth]]/Tb_data[[#This Row],[previous_workers]]</f>
        <v>2.3333333333333335</v>
      </c>
    </row>
    <row r="4850" spans="1:13" x14ac:dyDescent="0.25">
      <c r="A4850" s="1" t="s">
        <v>774</v>
      </c>
      <c r="B4850" s="1" t="s">
        <v>775</v>
      </c>
      <c r="C4850" s="1">
        <v>12400000</v>
      </c>
      <c r="D4850" s="1" t="s">
        <v>254</v>
      </c>
      <c r="E4850">
        <v>1347.2415000000001</v>
      </c>
      <c r="F4850" s="1" t="s">
        <v>135</v>
      </c>
      <c r="G4850">
        <v>171</v>
      </c>
      <c r="H4850">
        <v>7</v>
      </c>
      <c r="I4850" s="1" t="s">
        <v>55</v>
      </c>
      <c r="J4850">
        <v>1</v>
      </c>
      <c r="K4850" t="str">
        <f>IF(Tb_data[[#This Row],[previous_workers]]&lt;Tb_data[[#This Row],[workers]],"yes","no")</f>
        <v>yes</v>
      </c>
      <c r="L4850">
        <f>Tb_data[[#This Row],[workers]]-Tb_data[[#This Row],[previous_workers]]</f>
        <v>164</v>
      </c>
      <c r="M4850" s="12">
        <f>Tb_data[[#This Row],[Employees Growth]]/Tb_data[[#This Row],[previous_workers]]</f>
        <v>23.428571428571427</v>
      </c>
    </row>
    <row r="4851" spans="1:13" x14ac:dyDescent="0.25">
      <c r="A4851" s="1" t="s">
        <v>1604</v>
      </c>
      <c r="B4851" s="1" t="s">
        <v>1605</v>
      </c>
      <c r="C4851" s="1">
        <v>2800000</v>
      </c>
      <c r="D4851" s="1" t="s">
        <v>422</v>
      </c>
      <c r="E4851">
        <v>582.82659999999998</v>
      </c>
      <c r="F4851" s="1" t="s">
        <v>124</v>
      </c>
      <c r="G4851">
        <v>4</v>
      </c>
      <c r="H4851">
        <v>1</v>
      </c>
      <c r="I4851" s="1" t="s">
        <v>26</v>
      </c>
      <c r="J4851">
        <v>1</v>
      </c>
      <c r="K4851" t="str">
        <f>IF(Tb_data[[#This Row],[previous_workers]]&lt;Tb_data[[#This Row],[workers]],"yes","no")</f>
        <v>yes</v>
      </c>
      <c r="L4851">
        <f>Tb_data[[#This Row],[workers]]-Tb_data[[#This Row],[previous_workers]]</f>
        <v>3</v>
      </c>
      <c r="M4851" s="12">
        <f>Tb_data[[#This Row],[Employees Growth]]/Tb_data[[#This Row],[previous_workers]]</f>
        <v>3</v>
      </c>
    </row>
    <row r="4852" spans="1:13" x14ac:dyDescent="0.25">
      <c r="A4852" s="1" t="s">
        <v>7196</v>
      </c>
      <c r="B4852" s="1" t="s">
        <v>7197</v>
      </c>
      <c r="C4852" s="1">
        <v>15900000</v>
      </c>
      <c r="D4852" s="1" t="s">
        <v>33</v>
      </c>
      <c r="E4852">
        <v>98.538600000000002</v>
      </c>
      <c r="F4852" s="1" t="s">
        <v>172</v>
      </c>
      <c r="G4852">
        <v>65</v>
      </c>
      <c r="H4852">
        <v>48</v>
      </c>
      <c r="I4852" s="1" t="s">
        <v>35</v>
      </c>
      <c r="J4852">
        <v>3</v>
      </c>
      <c r="K4852" t="str">
        <f>IF(Tb_data[[#This Row],[previous_workers]]&lt;Tb_data[[#This Row],[workers]],"yes","no")</f>
        <v>yes</v>
      </c>
      <c r="L4852">
        <f>Tb_data[[#This Row],[workers]]-Tb_data[[#This Row],[previous_workers]]</f>
        <v>17</v>
      </c>
      <c r="M4852" s="12">
        <f>Tb_data[[#This Row],[Employees Growth]]/Tb_data[[#This Row],[previous_workers]]</f>
        <v>0.35416666666666669</v>
      </c>
    </row>
    <row r="4853" spans="1:13" x14ac:dyDescent="0.25">
      <c r="A4853" s="1" t="s">
        <v>2428</v>
      </c>
      <c r="B4853" s="1" t="s">
        <v>2429</v>
      </c>
      <c r="C4853" s="1">
        <v>23500000</v>
      </c>
      <c r="D4853" s="1" t="s">
        <v>41</v>
      </c>
      <c r="E4853">
        <v>359.1601</v>
      </c>
      <c r="F4853" s="1" t="s">
        <v>62</v>
      </c>
      <c r="G4853">
        <v>29</v>
      </c>
      <c r="H4853">
        <v>44</v>
      </c>
      <c r="I4853" s="1" t="s">
        <v>35</v>
      </c>
      <c r="J4853">
        <v>2</v>
      </c>
      <c r="K4853" t="str">
        <f>IF(Tb_data[[#This Row],[previous_workers]]&lt;Tb_data[[#This Row],[workers]],"yes","no")</f>
        <v>no</v>
      </c>
      <c r="L4853">
        <f>Tb_data[[#This Row],[workers]]-Tb_data[[#This Row],[previous_workers]]</f>
        <v>-15</v>
      </c>
      <c r="M4853" s="12">
        <f>Tb_data[[#This Row],[Employees Growth]]/Tb_data[[#This Row],[previous_workers]]</f>
        <v>-0.34090909090909088</v>
      </c>
    </row>
    <row r="4854" spans="1:13" x14ac:dyDescent="0.25">
      <c r="A4854" s="1" t="s">
        <v>845</v>
      </c>
      <c r="B4854" s="1" t="s">
        <v>846</v>
      </c>
      <c r="C4854" s="1">
        <v>3800000</v>
      </c>
      <c r="D4854" s="1" t="s">
        <v>11</v>
      </c>
      <c r="E4854">
        <v>1220.8083999999999</v>
      </c>
      <c r="F4854" s="1" t="s">
        <v>30</v>
      </c>
      <c r="G4854">
        <v>6</v>
      </c>
      <c r="H4854">
        <v>1</v>
      </c>
      <c r="I4854" s="1" t="s">
        <v>26</v>
      </c>
      <c r="J4854">
        <v>1</v>
      </c>
      <c r="K4854" t="str">
        <f>IF(Tb_data[[#This Row],[previous_workers]]&lt;Tb_data[[#This Row],[workers]],"yes","no")</f>
        <v>yes</v>
      </c>
      <c r="L4854">
        <f>Tb_data[[#This Row],[workers]]-Tb_data[[#This Row],[previous_workers]]</f>
        <v>5</v>
      </c>
      <c r="M4854" s="12">
        <f>Tb_data[[#This Row],[Employees Growth]]/Tb_data[[#This Row],[previous_workers]]</f>
        <v>5</v>
      </c>
    </row>
    <row r="4855" spans="1:13" x14ac:dyDescent="0.25">
      <c r="A4855" s="1" t="s">
        <v>9419</v>
      </c>
      <c r="B4855" s="1" t="s">
        <v>9420</v>
      </c>
      <c r="C4855" s="1">
        <v>5600000</v>
      </c>
      <c r="D4855" s="1" t="s">
        <v>49</v>
      </c>
      <c r="E4855">
        <v>61.298099999999998</v>
      </c>
      <c r="F4855" s="1" t="s">
        <v>62</v>
      </c>
      <c r="G4855">
        <v>12</v>
      </c>
      <c r="H4855">
        <v>8</v>
      </c>
      <c r="I4855" s="1" t="s">
        <v>836</v>
      </c>
      <c r="J4855">
        <v>1</v>
      </c>
      <c r="K4855" t="str">
        <f>IF(Tb_data[[#This Row],[previous_workers]]&lt;Tb_data[[#This Row],[workers]],"yes","no")</f>
        <v>yes</v>
      </c>
      <c r="L4855">
        <f>Tb_data[[#This Row],[workers]]-Tb_data[[#This Row],[previous_workers]]</f>
        <v>4</v>
      </c>
      <c r="M4855" s="12">
        <f>Tb_data[[#This Row],[Employees Growth]]/Tb_data[[#This Row],[previous_workers]]</f>
        <v>0.5</v>
      </c>
    </row>
    <row r="4856" spans="1:13" x14ac:dyDescent="0.25">
      <c r="A4856" s="1" t="s">
        <v>1627</v>
      </c>
      <c r="B4856" s="1" t="s">
        <v>1628</v>
      </c>
      <c r="C4856" s="1">
        <v>23700000</v>
      </c>
      <c r="D4856" s="1" t="s">
        <v>91</v>
      </c>
      <c r="E4856">
        <v>572.19110000000001</v>
      </c>
      <c r="F4856" s="1" t="s">
        <v>86</v>
      </c>
      <c r="G4856">
        <v>296</v>
      </c>
      <c r="H4856">
        <v>123</v>
      </c>
      <c r="I4856" s="1" t="s">
        <v>46</v>
      </c>
      <c r="J4856">
        <v>1</v>
      </c>
      <c r="K4856" t="str">
        <f>IF(Tb_data[[#This Row],[previous_workers]]&lt;Tb_data[[#This Row],[workers]],"yes","no")</f>
        <v>yes</v>
      </c>
      <c r="L4856">
        <f>Tb_data[[#This Row],[workers]]-Tb_data[[#This Row],[previous_workers]]</f>
        <v>173</v>
      </c>
      <c r="M4856" s="12">
        <f>Tb_data[[#This Row],[Employees Growth]]/Tb_data[[#This Row],[previous_workers]]</f>
        <v>1.4065040650406504</v>
      </c>
    </row>
    <row r="4857" spans="1:13" x14ac:dyDescent="0.25">
      <c r="A4857" s="1" t="s">
        <v>501</v>
      </c>
      <c r="B4857" s="1" t="s">
        <v>502</v>
      </c>
      <c r="C4857" s="1">
        <v>3900000</v>
      </c>
      <c r="D4857" s="1" t="s">
        <v>33</v>
      </c>
      <c r="E4857">
        <v>1963.2293</v>
      </c>
      <c r="F4857" s="1" t="s">
        <v>12</v>
      </c>
      <c r="G4857">
        <v>23</v>
      </c>
      <c r="H4857">
        <v>5</v>
      </c>
      <c r="I4857" s="1" t="s">
        <v>26</v>
      </c>
      <c r="J4857">
        <v>1</v>
      </c>
      <c r="K4857" t="str">
        <f>IF(Tb_data[[#This Row],[previous_workers]]&lt;Tb_data[[#This Row],[workers]],"yes","no")</f>
        <v>yes</v>
      </c>
      <c r="L4857">
        <f>Tb_data[[#This Row],[workers]]-Tb_data[[#This Row],[previous_workers]]</f>
        <v>18</v>
      </c>
      <c r="M4857" s="12">
        <f>Tb_data[[#This Row],[Employees Growth]]/Tb_data[[#This Row],[previous_workers]]</f>
        <v>3.6</v>
      </c>
    </row>
    <row r="4858" spans="1:13" x14ac:dyDescent="0.25">
      <c r="A4858" s="1" t="s">
        <v>7164</v>
      </c>
      <c r="B4858" s="1" t="s">
        <v>7165</v>
      </c>
      <c r="C4858" s="1">
        <v>42300000</v>
      </c>
      <c r="D4858" s="1" t="s">
        <v>33</v>
      </c>
      <c r="E4858">
        <v>99.153000000000006</v>
      </c>
      <c r="F4858" s="1" t="s">
        <v>30</v>
      </c>
      <c r="G4858">
        <v>28</v>
      </c>
      <c r="H4858">
        <v>28</v>
      </c>
      <c r="I4858" s="1" t="s">
        <v>1051</v>
      </c>
      <c r="J4858">
        <v>2</v>
      </c>
      <c r="K4858" t="str">
        <f>IF(Tb_data[[#This Row],[previous_workers]]&lt;Tb_data[[#This Row],[workers]],"yes","no")</f>
        <v>no</v>
      </c>
      <c r="L4858">
        <f>Tb_data[[#This Row],[workers]]-Tb_data[[#This Row],[previous_workers]]</f>
        <v>0</v>
      </c>
      <c r="M4858" s="12">
        <f>Tb_data[[#This Row],[Employees Growth]]/Tb_data[[#This Row],[previous_workers]]</f>
        <v>0</v>
      </c>
    </row>
    <row r="4859" spans="1:13" x14ac:dyDescent="0.25">
      <c r="A4859" s="1" t="s">
        <v>8612</v>
      </c>
      <c r="B4859" s="1" t="s">
        <v>8613</v>
      </c>
      <c r="C4859" s="1">
        <v>3300000</v>
      </c>
      <c r="D4859" s="1" t="s">
        <v>49</v>
      </c>
      <c r="E4859">
        <v>72.28</v>
      </c>
      <c r="F4859" s="1" t="s">
        <v>86</v>
      </c>
      <c r="G4859">
        <v>26</v>
      </c>
      <c r="H4859">
        <v>20</v>
      </c>
      <c r="I4859" s="1" t="s">
        <v>226</v>
      </c>
      <c r="J4859">
        <v>2</v>
      </c>
      <c r="K4859" t="str">
        <f>IF(Tb_data[[#This Row],[previous_workers]]&lt;Tb_data[[#This Row],[workers]],"yes","no")</f>
        <v>yes</v>
      </c>
      <c r="L4859">
        <f>Tb_data[[#This Row],[workers]]-Tb_data[[#This Row],[previous_workers]]</f>
        <v>6</v>
      </c>
      <c r="M4859" s="12">
        <f>Tb_data[[#This Row],[Employees Growth]]/Tb_data[[#This Row],[previous_workers]]</f>
        <v>0.3</v>
      </c>
    </row>
    <row r="4860" spans="1:13" x14ac:dyDescent="0.25">
      <c r="A4860" s="1" t="s">
        <v>6507</v>
      </c>
      <c r="B4860" s="1" t="s">
        <v>6508</v>
      </c>
      <c r="C4860" s="1">
        <v>24400000</v>
      </c>
      <c r="D4860" s="1" t="s">
        <v>29</v>
      </c>
      <c r="E4860">
        <v>113.69589999999999</v>
      </c>
      <c r="F4860" s="1" t="s">
        <v>12</v>
      </c>
      <c r="G4860">
        <v>193</v>
      </c>
      <c r="H4860">
        <v>83</v>
      </c>
      <c r="I4860" s="1" t="s">
        <v>74</v>
      </c>
      <c r="J4860">
        <v>7</v>
      </c>
      <c r="K4860" t="str">
        <f>IF(Tb_data[[#This Row],[previous_workers]]&lt;Tb_data[[#This Row],[workers]],"yes","no")</f>
        <v>yes</v>
      </c>
      <c r="L4860">
        <f>Tb_data[[#This Row],[workers]]-Tb_data[[#This Row],[previous_workers]]</f>
        <v>110</v>
      </c>
      <c r="M4860" s="12">
        <f>Tb_data[[#This Row],[Employees Growth]]/Tb_data[[#This Row],[previous_workers]]</f>
        <v>1.3253012048192772</v>
      </c>
    </row>
    <row r="4861" spans="1:13" x14ac:dyDescent="0.25">
      <c r="A4861" s="1" t="s">
        <v>5764</v>
      </c>
      <c r="B4861" s="1" t="s">
        <v>5765</v>
      </c>
      <c r="C4861" s="1">
        <v>2500000</v>
      </c>
      <c r="D4861" s="1" t="s">
        <v>254</v>
      </c>
      <c r="E4861">
        <v>132.35640000000001</v>
      </c>
      <c r="F4861" s="1" t="s">
        <v>156</v>
      </c>
      <c r="G4861">
        <v>11</v>
      </c>
      <c r="H4861">
        <v>7</v>
      </c>
      <c r="I4861" s="1" t="s">
        <v>1411</v>
      </c>
      <c r="J4861">
        <v>1</v>
      </c>
      <c r="K4861" t="str">
        <f>IF(Tb_data[[#This Row],[previous_workers]]&lt;Tb_data[[#This Row],[workers]],"yes","no")</f>
        <v>yes</v>
      </c>
      <c r="L4861">
        <f>Tb_data[[#This Row],[workers]]-Tb_data[[#This Row],[previous_workers]]</f>
        <v>4</v>
      </c>
      <c r="M4861" s="12">
        <f>Tb_data[[#This Row],[Employees Growth]]/Tb_data[[#This Row],[previous_workers]]</f>
        <v>0.5714285714285714</v>
      </c>
    </row>
    <row r="4862" spans="1:13" x14ac:dyDescent="0.25">
      <c r="A4862" s="1" t="s">
        <v>7054</v>
      </c>
      <c r="B4862" s="1" t="s">
        <v>7055</v>
      </c>
      <c r="C4862" s="1">
        <v>5000000</v>
      </c>
      <c r="D4862" s="1" t="s">
        <v>129</v>
      </c>
      <c r="E4862">
        <v>100.9632</v>
      </c>
      <c r="F4862" s="1" t="s">
        <v>12</v>
      </c>
      <c r="G4862">
        <v>45</v>
      </c>
      <c r="H4862">
        <v>23</v>
      </c>
      <c r="I4862" s="1" t="s">
        <v>35</v>
      </c>
      <c r="J4862">
        <v>5</v>
      </c>
      <c r="K4862" t="str">
        <f>IF(Tb_data[[#This Row],[previous_workers]]&lt;Tb_data[[#This Row],[workers]],"yes","no")</f>
        <v>yes</v>
      </c>
      <c r="L4862">
        <f>Tb_data[[#This Row],[workers]]-Tb_data[[#This Row],[previous_workers]]</f>
        <v>22</v>
      </c>
      <c r="M4862" s="12">
        <f>Tb_data[[#This Row],[Employees Growth]]/Tb_data[[#This Row],[previous_workers]]</f>
        <v>0.95652173913043481</v>
      </c>
    </row>
    <row r="4863" spans="1:13" x14ac:dyDescent="0.25">
      <c r="A4863" s="1" t="s">
        <v>5104</v>
      </c>
      <c r="B4863" s="1" t="s">
        <v>5105</v>
      </c>
      <c r="C4863" s="1">
        <v>80500000</v>
      </c>
      <c r="D4863" s="1" t="s">
        <v>11</v>
      </c>
      <c r="E4863">
        <v>157.2422</v>
      </c>
      <c r="F4863" s="1" t="s">
        <v>86</v>
      </c>
      <c r="G4863">
        <v>513</v>
      </c>
      <c r="H4863">
        <v>263</v>
      </c>
      <c r="I4863" s="1" t="s">
        <v>46</v>
      </c>
      <c r="J4863">
        <v>7</v>
      </c>
      <c r="K4863" t="str">
        <f>IF(Tb_data[[#This Row],[previous_workers]]&lt;Tb_data[[#This Row],[workers]],"yes","no")</f>
        <v>yes</v>
      </c>
      <c r="L4863">
        <f>Tb_data[[#This Row],[workers]]-Tb_data[[#This Row],[previous_workers]]</f>
        <v>250</v>
      </c>
      <c r="M4863" s="12">
        <f>Tb_data[[#This Row],[Employees Growth]]/Tb_data[[#This Row],[previous_workers]]</f>
        <v>0.95057034220532322</v>
      </c>
    </row>
    <row r="4864" spans="1:13" x14ac:dyDescent="0.25">
      <c r="A4864" s="1" t="s">
        <v>1864</v>
      </c>
      <c r="B4864" s="1" t="s">
        <v>1865</v>
      </c>
      <c r="C4864" s="1">
        <v>7600000</v>
      </c>
      <c r="D4864" s="1" t="s">
        <v>33</v>
      </c>
      <c r="E4864">
        <v>485.16629999999998</v>
      </c>
      <c r="F4864" s="1" t="s">
        <v>176</v>
      </c>
      <c r="G4864">
        <v>25</v>
      </c>
      <c r="H4864">
        <v>5</v>
      </c>
      <c r="I4864" s="1" t="s">
        <v>55</v>
      </c>
      <c r="J4864">
        <v>2</v>
      </c>
      <c r="K4864" t="str">
        <f>IF(Tb_data[[#This Row],[previous_workers]]&lt;Tb_data[[#This Row],[workers]],"yes","no")</f>
        <v>yes</v>
      </c>
      <c r="L4864">
        <f>Tb_data[[#This Row],[workers]]-Tb_data[[#This Row],[previous_workers]]</f>
        <v>20</v>
      </c>
      <c r="M4864" s="12">
        <f>Tb_data[[#This Row],[Employees Growth]]/Tb_data[[#This Row],[previous_workers]]</f>
        <v>4</v>
      </c>
    </row>
    <row r="4865" spans="1:13" x14ac:dyDescent="0.25">
      <c r="A4865" s="1" t="s">
        <v>4537</v>
      </c>
      <c r="B4865" s="1" t="s">
        <v>4538</v>
      </c>
      <c r="C4865" s="1">
        <v>5000000</v>
      </c>
      <c r="D4865" s="1" t="s">
        <v>1002</v>
      </c>
      <c r="E4865">
        <v>180.91380000000001</v>
      </c>
      <c r="F4865" s="1" t="s">
        <v>86</v>
      </c>
      <c r="G4865">
        <v>53</v>
      </c>
      <c r="H4865">
        <v>29</v>
      </c>
      <c r="I4865" s="1" t="s">
        <v>226</v>
      </c>
      <c r="J4865">
        <v>1</v>
      </c>
      <c r="K4865" t="str">
        <f>IF(Tb_data[[#This Row],[previous_workers]]&lt;Tb_data[[#This Row],[workers]],"yes","no")</f>
        <v>yes</v>
      </c>
      <c r="L4865">
        <f>Tb_data[[#This Row],[workers]]-Tb_data[[#This Row],[previous_workers]]</f>
        <v>24</v>
      </c>
      <c r="M4865" s="12">
        <f>Tb_data[[#This Row],[Employees Growth]]/Tb_data[[#This Row],[previous_workers]]</f>
        <v>0.82758620689655171</v>
      </c>
    </row>
    <row r="4866" spans="1:13" x14ac:dyDescent="0.25">
      <c r="A4866" s="1" t="s">
        <v>4567</v>
      </c>
      <c r="B4866" s="1" t="s">
        <v>4568</v>
      </c>
      <c r="C4866" s="1">
        <v>48500000</v>
      </c>
      <c r="D4866" s="1" t="s">
        <v>20</v>
      </c>
      <c r="E4866">
        <v>179.73679999999999</v>
      </c>
      <c r="F4866" s="1" t="s">
        <v>30</v>
      </c>
      <c r="G4866">
        <v>50</v>
      </c>
      <c r="H4866">
        <v>24</v>
      </c>
      <c r="I4866" s="1" t="s">
        <v>35</v>
      </c>
      <c r="J4866">
        <v>6</v>
      </c>
      <c r="K4866" t="str">
        <f>IF(Tb_data[[#This Row],[previous_workers]]&lt;Tb_data[[#This Row],[workers]],"yes","no")</f>
        <v>yes</v>
      </c>
      <c r="L4866">
        <f>Tb_data[[#This Row],[workers]]-Tb_data[[#This Row],[previous_workers]]</f>
        <v>26</v>
      </c>
      <c r="M4866" s="12">
        <f>Tb_data[[#This Row],[Employees Growth]]/Tb_data[[#This Row],[previous_workers]]</f>
        <v>1.0833333333333333</v>
      </c>
    </row>
    <row r="4867" spans="1:13" x14ac:dyDescent="0.25">
      <c r="A4867" s="1" t="s">
        <v>6982</v>
      </c>
      <c r="B4867" s="1" t="s">
        <v>6983</v>
      </c>
      <c r="C4867" s="1">
        <v>93600000</v>
      </c>
      <c r="D4867" s="1" t="s">
        <v>52</v>
      </c>
      <c r="E4867">
        <v>102.2595</v>
      </c>
      <c r="F4867" s="1" t="s">
        <v>124</v>
      </c>
      <c r="G4867">
        <v>512</v>
      </c>
      <c r="H4867">
        <v>227</v>
      </c>
      <c r="I4867" s="1" t="s">
        <v>229</v>
      </c>
      <c r="J4867">
        <v>6</v>
      </c>
      <c r="K4867" t="str">
        <f>IF(Tb_data[[#This Row],[previous_workers]]&lt;Tb_data[[#This Row],[workers]],"yes","no")</f>
        <v>yes</v>
      </c>
      <c r="L4867">
        <f>Tb_data[[#This Row],[workers]]-Tb_data[[#This Row],[previous_workers]]</f>
        <v>285</v>
      </c>
      <c r="M4867" s="12">
        <f>Tb_data[[#This Row],[Employees Growth]]/Tb_data[[#This Row],[previous_workers]]</f>
        <v>1.2555066079295154</v>
      </c>
    </row>
    <row r="4868" spans="1:13" x14ac:dyDescent="0.25">
      <c r="A4868" s="1" t="s">
        <v>5886</v>
      </c>
      <c r="B4868" s="1" t="s">
        <v>5887</v>
      </c>
      <c r="C4868" s="1">
        <v>65100000</v>
      </c>
      <c r="D4868" s="1" t="s">
        <v>1853</v>
      </c>
      <c r="E4868">
        <v>129.3426</v>
      </c>
      <c r="F4868" s="1" t="s">
        <v>25</v>
      </c>
      <c r="G4868">
        <v>145</v>
      </c>
      <c r="H4868">
        <v>65</v>
      </c>
      <c r="I4868" s="1" t="s">
        <v>2676</v>
      </c>
      <c r="J4868">
        <v>5</v>
      </c>
      <c r="K4868" t="str">
        <f>IF(Tb_data[[#This Row],[previous_workers]]&lt;Tb_data[[#This Row],[workers]],"yes","no")</f>
        <v>yes</v>
      </c>
      <c r="L4868">
        <f>Tb_data[[#This Row],[workers]]-Tb_data[[#This Row],[previous_workers]]</f>
        <v>80</v>
      </c>
      <c r="M4868" s="12">
        <f>Tb_data[[#This Row],[Employees Growth]]/Tb_data[[#This Row],[previous_workers]]</f>
        <v>1.2307692307692308</v>
      </c>
    </row>
    <row r="4869" spans="1:13" x14ac:dyDescent="0.25">
      <c r="A4869" s="1" t="s">
        <v>9536</v>
      </c>
      <c r="B4869" s="1" t="s">
        <v>9537</v>
      </c>
      <c r="C4869" s="1">
        <v>2600000</v>
      </c>
      <c r="D4869" s="1" t="s">
        <v>41</v>
      </c>
      <c r="E4869">
        <v>59.840899999999998</v>
      </c>
      <c r="F4869" s="1" t="s">
        <v>21</v>
      </c>
      <c r="G4869">
        <v>13</v>
      </c>
      <c r="H4869">
        <v>7</v>
      </c>
      <c r="I4869" s="1" t="s">
        <v>117</v>
      </c>
      <c r="J4869">
        <v>1</v>
      </c>
      <c r="K4869" t="str">
        <f>IF(Tb_data[[#This Row],[previous_workers]]&lt;Tb_data[[#This Row],[workers]],"yes","no")</f>
        <v>yes</v>
      </c>
      <c r="L4869">
        <f>Tb_data[[#This Row],[workers]]-Tb_data[[#This Row],[previous_workers]]</f>
        <v>6</v>
      </c>
      <c r="M4869" s="12">
        <f>Tb_data[[#This Row],[Employees Growth]]/Tb_data[[#This Row],[previous_workers]]</f>
        <v>0.8571428571428571</v>
      </c>
    </row>
    <row r="4870" spans="1:13" x14ac:dyDescent="0.25">
      <c r="A4870" s="1" t="s">
        <v>3380</v>
      </c>
      <c r="B4870" s="1" t="s">
        <v>3381</v>
      </c>
      <c r="C4870" s="1">
        <v>3100000</v>
      </c>
      <c r="D4870" s="1" t="s">
        <v>179</v>
      </c>
      <c r="E4870">
        <v>253.56200000000001</v>
      </c>
      <c r="F4870" s="1" t="s">
        <v>30</v>
      </c>
      <c r="G4870">
        <v>6</v>
      </c>
      <c r="H4870">
        <v>3</v>
      </c>
      <c r="I4870" s="1" t="s">
        <v>130</v>
      </c>
      <c r="J4870">
        <v>1</v>
      </c>
      <c r="K4870" t="str">
        <f>IF(Tb_data[[#This Row],[previous_workers]]&lt;Tb_data[[#This Row],[workers]],"yes","no")</f>
        <v>yes</v>
      </c>
      <c r="L4870">
        <f>Tb_data[[#This Row],[workers]]-Tb_data[[#This Row],[previous_workers]]</f>
        <v>3</v>
      </c>
      <c r="M4870" s="12">
        <f>Tb_data[[#This Row],[Employees Growth]]/Tb_data[[#This Row],[previous_workers]]</f>
        <v>1</v>
      </c>
    </row>
    <row r="4871" spans="1:13" x14ac:dyDescent="0.25">
      <c r="A4871" s="1" t="s">
        <v>4822</v>
      </c>
      <c r="B4871" s="1" t="s">
        <v>4823</v>
      </c>
      <c r="C4871" s="1">
        <v>34800000</v>
      </c>
      <c r="D4871" s="1" t="s">
        <v>52</v>
      </c>
      <c r="E4871">
        <v>168.95609999999999</v>
      </c>
      <c r="F4871" s="1" t="s">
        <v>34</v>
      </c>
      <c r="G4871">
        <v>90</v>
      </c>
      <c r="H4871">
        <v>38</v>
      </c>
      <c r="I4871" s="1" t="s">
        <v>74</v>
      </c>
      <c r="J4871">
        <v>2</v>
      </c>
      <c r="K4871" t="str">
        <f>IF(Tb_data[[#This Row],[previous_workers]]&lt;Tb_data[[#This Row],[workers]],"yes","no")</f>
        <v>yes</v>
      </c>
      <c r="L4871">
        <f>Tb_data[[#This Row],[workers]]-Tb_data[[#This Row],[previous_workers]]</f>
        <v>52</v>
      </c>
      <c r="M4871" s="12">
        <f>Tb_data[[#This Row],[Employees Growth]]/Tb_data[[#This Row],[previous_workers]]</f>
        <v>1.368421052631579</v>
      </c>
    </row>
    <row r="4872" spans="1:13" x14ac:dyDescent="0.25">
      <c r="A4872" s="1" t="s">
        <v>1827</v>
      </c>
      <c r="B4872" s="1" t="s">
        <v>1828</v>
      </c>
      <c r="C4872" s="1">
        <v>2900000</v>
      </c>
      <c r="D4872" s="1" t="s">
        <v>61</v>
      </c>
      <c r="E4872">
        <v>494.54090000000002</v>
      </c>
      <c r="F4872" s="1" t="s">
        <v>25</v>
      </c>
      <c r="G4872">
        <v>15</v>
      </c>
      <c r="H4872">
        <v>2</v>
      </c>
      <c r="I4872" s="1" t="s">
        <v>26</v>
      </c>
      <c r="J4872">
        <v>1</v>
      </c>
      <c r="K4872" t="str">
        <f>IF(Tb_data[[#This Row],[previous_workers]]&lt;Tb_data[[#This Row],[workers]],"yes","no")</f>
        <v>yes</v>
      </c>
      <c r="L4872">
        <f>Tb_data[[#This Row],[workers]]-Tb_data[[#This Row],[previous_workers]]</f>
        <v>13</v>
      </c>
      <c r="M4872" s="12">
        <f>Tb_data[[#This Row],[Employees Growth]]/Tb_data[[#This Row],[previous_workers]]</f>
        <v>6.5</v>
      </c>
    </row>
    <row r="4873" spans="1:13" x14ac:dyDescent="0.25">
      <c r="A4873" s="1" t="s">
        <v>6699</v>
      </c>
      <c r="B4873" s="1" t="s">
        <v>6700</v>
      </c>
      <c r="C4873" s="1">
        <v>12200000</v>
      </c>
      <c r="D4873" s="1" t="s">
        <v>254</v>
      </c>
      <c r="E4873">
        <v>109.2829</v>
      </c>
      <c r="F4873" s="1" t="s">
        <v>62</v>
      </c>
      <c r="G4873">
        <v>41</v>
      </c>
      <c r="H4873">
        <v>20</v>
      </c>
      <c r="I4873" s="1" t="s">
        <v>130</v>
      </c>
      <c r="J4873">
        <v>2</v>
      </c>
      <c r="K4873" t="str">
        <f>IF(Tb_data[[#This Row],[previous_workers]]&lt;Tb_data[[#This Row],[workers]],"yes","no")</f>
        <v>yes</v>
      </c>
      <c r="L4873">
        <f>Tb_data[[#This Row],[workers]]-Tb_data[[#This Row],[previous_workers]]</f>
        <v>21</v>
      </c>
      <c r="M4873" s="12">
        <f>Tb_data[[#This Row],[Employees Growth]]/Tb_data[[#This Row],[previous_workers]]</f>
        <v>1.05</v>
      </c>
    </row>
    <row r="4874" spans="1:13" x14ac:dyDescent="0.25">
      <c r="A4874" s="1" t="s">
        <v>2828</v>
      </c>
      <c r="B4874" s="1" t="s">
        <v>2829</v>
      </c>
      <c r="C4874" s="1">
        <v>3200000</v>
      </c>
      <c r="D4874" s="1" t="s">
        <v>422</v>
      </c>
      <c r="E4874">
        <v>305.50259999999997</v>
      </c>
      <c r="F4874" s="1" t="s">
        <v>34</v>
      </c>
      <c r="G4874">
        <v>8</v>
      </c>
      <c r="H4874">
        <v>4</v>
      </c>
      <c r="I4874" s="1" t="s">
        <v>13</v>
      </c>
      <c r="J4874">
        <v>1</v>
      </c>
      <c r="K4874" t="str">
        <f>IF(Tb_data[[#This Row],[previous_workers]]&lt;Tb_data[[#This Row],[workers]],"yes","no")</f>
        <v>yes</v>
      </c>
      <c r="L4874">
        <f>Tb_data[[#This Row],[workers]]-Tb_data[[#This Row],[previous_workers]]</f>
        <v>4</v>
      </c>
      <c r="M4874" s="12">
        <f>Tb_data[[#This Row],[Employees Growth]]/Tb_data[[#This Row],[previous_workers]]</f>
        <v>1</v>
      </c>
    </row>
    <row r="4875" spans="1:13" x14ac:dyDescent="0.25">
      <c r="A4875" s="1" t="s">
        <v>2460</v>
      </c>
      <c r="B4875" s="1" t="s">
        <v>2461</v>
      </c>
      <c r="C4875" s="1">
        <v>60700000</v>
      </c>
      <c r="D4875" s="1" t="s">
        <v>20</v>
      </c>
      <c r="E4875">
        <v>353.15069999999997</v>
      </c>
      <c r="F4875" s="1" t="s">
        <v>94</v>
      </c>
      <c r="G4875">
        <v>190</v>
      </c>
      <c r="H4875">
        <v>40</v>
      </c>
      <c r="I4875" s="1" t="s">
        <v>55</v>
      </c>
      <c r="J4875">
        <v>2</v>
      </c>
      <c r="K4875" t="str">
        <f>IF(Tb_data[[#This Row],[previous_workers]]&lt;Tb_data[[#This Row],[workers]],"yes","no")</f>
        <v>yes</v>
      </c>
      <c r="L4875">
        <f>Tb_data[[#This Row],[workers]]-Tb_data[[#This Row],[previous_workers]]</f>
        <v>150</v>
      </c>
      <c r="M4875" s="12">
        <f>Tb_data[[#This Row],[Employees Growth]]/Tb_data[[#This Row],[previous_workers]]</f>
        <v>3.75</v>
      </c>
    </row>
    <row r="4876" spans="1:13" x14ac:dyDescent="0.25">
      <c r="A4876" s="1" t="s">
        <v>3858</v>
      </c>
      <c r="B4876" s="1" t="s">
        <v>3859</v>
      </c>
      <c r="C4876" s="1">
        <v>83000000</v>
      </c>
      <c r="D4876" s="1" t="s">
        <v>52</v>
      </c>
      <c r="E4876">
        <v>216.81270000000001</v>
      </c>
      <c r="F4876" s="1" t="s">
        <v>34</v>
      </c>
      <c r="G4876">
        <v>424</v>
      </c>
      <c r="H4876">
        <v>345</v>
      </c>
      <c r="I4876" s="1" t="s">
        <v>35</v>
      </c>
      <c r="J4876">
        <v>5</v>
      </c>
      <c r="K4876" t="str">
        <f>IF(Tb_data[[#This Row],[previous_workers]]&lt;Tb_data[[#This Row],[workers]],"yes","no")</f>
        <v>yes</v>
      </c>
      <c r="L4876">
        <f>Tb_data[[#This Row],[workers]]-Tb_data[[#This Row],[previous_workers]]</f>
        <v>79</v>
      </c>
      <c r="M4876" s="12">
        <f>Tb_data[[#This Row],[Employees Growth]]/Tb_data[[#This Row],[previous_workers]]</f>
        <v>0.22898550724637681</v>
      </c>
    </row>
    <row r="4877" spans="1:13" x14ac:dyDescent="0.25">
      <c r="A4877" s="1" t="s">
        <v>6313</v>
      </c>
      <c r="B4877" s="1" t="s">
        <v>6314</v>
      </c>
      <c r="C4877" s="1">
        <v>5800000</v>
      </c>
      <c r="D4877" s="1" t="s">
        <v>29</v>
      </c>
      <c r="E4877">
        <v>118.4928</v>
      </c>
      <c r="F4877" s="1" t="s">
        <v>34</v>
      </c>
      <c r="G4877">
        <v>54</v>
      </c>
      <c r="H4877">
        <v>19</v>
      </c>
      <c r="I4877" s="1" t="s">
        <v>46</v>
      </c>
      <c r="J4877">
        <v>1</v>
      </c>
      <c r="K4877" t="str">
        <f>IF(Tb_data[[#This Row],[previous_workers]]&lt;Tb_data[[#This Row],[workers]],"yes","no")</f>
        <v>yes</v>
      </c>
      <c r="L4877">
        <f>Tb_data[[#This Row],[workers]]-Tb_data[[#This Row],[previous_workers]]</f>
        <v>35</v>
      </c>
      <c r="M4877" s="12">
        <f>Tb_data[[#This Row],[Employees Growth]]/Tb_data[[#This Row],[previous_workers]]</f>
        <v>1.8421052631578947</v>
      </c>
    </row>
    <row r="4878" spans="1:13" x14ac:dyDescent="0.25">
      <c r="A4878" s="1" t="s">
        <v>3477</v>
      </c>
      <c r="B4878" s="1" t="s">
        <v>3478</v>
      </c>
      <c r="C4878" s="1">
        <v>5100000</v>
      </c>
      <c r="D4878" s="1" t="s">
        <v>41</v>
      </c>
      <c r="E4878">
        <v>244.29419999999999</v>
      </c>
      <c r="F4878" s="1" t="s">
        <v>97</v>
      </c>
      <c r="G4878">
        <v>50</v>
      </c>
      <c r="H4878">
        <v>10</v>
      </c>
      <c r="I4878" s="1" t="s">
        <v>948</v>
      </c>
      <c r="J4878">
        <v>1</v>
      </c>
      <c r="K4878" t="str">
        <f>IF(Tb_data[[#This Row],[previous_workers]]&lt;Tb_data[[#This Row],[workers]],"yes","no")</f>
        <v>yes</v>
      </c>
      <c r="L4878">
        <f>Tb_data[[#This Row],[workers]]-Tb_data[[#This Row],[previous_workers]]</f>
        <v>40</v>
      </c>
      <c r="M4878" s="12">
        <f>Tb_data[[#This Row],[Employees Growth]]/Tb_data[[#This Row],[previous_workers]]</f>
        <v>4</v>
      </c>
    </row>
    <row r="4879" spans="1:13" x14ac:dyDescent="0.25">
      <c r="A4879" s="1" t="s">
        <v>197</v>
      </c>
      <c r="B4879" s="1" t="s">
        <v>198</v>
      </c>
      <c r="C4879" s="1">
        <v>89700000</v>
      </c>
      <c r="D4879" s="1" t="s">
        <v>41</v>
      </c>
      <c r="E4879">
        <v>4405.2286000000004</v>
      </c>
      <c r="F4879" s="1" t="s">
        <v>62</v>
      </c>
      <c r="G4879">
        <v>158</v>
      </c>
      <c r="H4879">
        <v>4</v>
      </c>
      <c r="I4879" s="1" t="s">
        <v>26</v>
      </c>
      <c r="J4879">
        <v>1</v>
      </c>
      <c r="K4879" t="str">
        <f>IF(Tb_data[[#This Row],[previous_workers]]&lt;Tb_data[[#This Row],[workers]],"yes","no")</f>
        <v>yes</v>
      </c>
      <c r="L4879">
        <f>Tb_data[[#This Row],[workers]]-Tb_data[[#This Row],[previous_workers]]</f>
        <v>154</v>
      </c>
      <c r="M4879" s="12">
        <f>Tb_data[[#This Row],[Employees Growth]]/Tb_data[[#This Row],[previous_workers]]</f>
        <v>38.5</v>
      </c>
    </row>
    <row r="4880" spans="1:13" x14ac:dyDescent="0.25">
      <c r="A4880" s="1" t="s">
        <v>2397</v>
      </c>
      <c r="B4880" s="1" t="s">
        <v>2398</v>
      </c>
      <c r="C4880" s="1">
        <v>50600000</v>
      </c>
      <c r="D4880" s="1" t="s">
        <v>91</v>
      </c>
      <c r="E4880">
        <v>365.6395</v>
      </c>
      <c r="F4880" s="1" t="s">
        <v>17</v>
      </c>
      <c r="G4880">
        <v>185</v>
      </c>
      <c r="H4880">
        <v>65</v>
      </c>
      <c r="I4880" s="1" t="s">
        <v>194</v>
      </c>
      <c r="J4880">
        <v>4</v>
      </c>
      <c r="K4880" t="str">
        <f>IF(Tb_data[[#This Row],[previous_workers]]&lt;Tb_data[[#This Row],[workers]],"yes","no")</f>
        <v>yes</v>
      </c>
      <c r="L4880">
        <f>Tb_data[[#This Row],[workers]]-Tb_data[[#This Row],[previous_workers]]</f>
        <v>120</v>
      </c>
      <c r="M4880" s="12">
        <f>Tb_data[[#This Row],[Employees Growth]]/Tb_data[[#This Row],[previous_workers]]</f>
        <v>1.8461538461538463</v>
      </c>
    </row>
    <row r="4881" spans="1:13" x14ac:dyDescent="0.25">
      <c r="A4881" s="1" t="s">
        <v>10014</v>
      </c>
      <c r="B4881" s="1" t="s">
        <v>10015</v>
      </c>
      <c r="C4881" s="1">
        <v>7700000</v>
      </c>
      <c r="D4881" s="1" t="s">
        <v>91</v>
      </c>
      <c r="E4881">
        <v>53.284700000000001</v>
      </c>
      <c r="F4881" s="1" t="s">
        <v>112</v>
      </c>
      <c r="G4881">
        <v>39</v>
      </c>
      <c r="H4881">
        <v>28</v>
      </c>
      <c r="I4881" s="1" t="s">
        <v>35</v>
      </c>
      <c r="J4881">
        <v>3</v>
      </c>
      <c r="K4881" t="str">
        <f>IF(Tb_data[[#This Row],[previous_workers]]&lt;Tb_data[[#This Row],[workers]],"yes","no")</f>
        <v>yes</v>
      </c>
      <c r="L4881">
        <f>Tb_data[[#This Row],[workers]]-Tb_data[[#This Row],[previous_workers]]</f>
        <v>11</v>
      </c>
      <c r="M4881" s="12">
        <f>Tb_data[[#This Row],[Employees Growth]]/Tb_data[[#This Row],[previous_workers]]</f>
        <v>0.39285714285714285</v>
      </c>
    </row>
    <row r="4882" spans="1:13" x14ac:dyDescent="0.25">
      <c r="A4882" s="1" t="s">
        <v>74</v>
      </c>
      <c r="B4882" s="1" t="s">
        <v>4108</v>
      </c>
      <c r="C4882" s="1">
        <v>146500000</v>
      </c>
      <c r="D4882" s="1" t="s">
        <v>20</v>
      </c>
      <c r="E4882">
        <v>200.28890000000001</v>
      </c>
      <c r="F4882" s="1" t="s">
        <v>82</v>
      </c>
      <c r="G4882">
        <v>150</v>
      </c>
      <c r="H4882">
        <v>10</v>
      </c>
      <c r="I4882" s="1" t="s">
        <v>35</v>
      </c>
      <c r="J4882">
        <v>2</v>
      </c>
      <c r="K4882" t="str">
        <f>IF(Tb_data[[#This Row],[previous_workers]]&lt;Tb_data[[#This Row],[workers]],"yes","no")</f>
        <v>yes</v>
      </c>
      <c r="L4882">
        <f>Tb_data[[#This Row],[workers]]-Tb_data[[#This Row],[previous_workers]]</f>
        <v>140</v>
      </c>
      <c r="M4882" s="12">
        <f>Tb_data[[#This Row],[Employees Growth]]/Tb_data[[#This Row],[previous_workers]]</f>
        <v>14</v>
      </c>
    </row>
    <row r="4883" spans="1:13" x14ac:dyDescent="0.25">
      <c r="A4883" s="1" t="s">
        <v>8572</v>
      </c>
      <c r="B4883" s="1" t="s">
        <v>8573</v>
      </c>
      <c r="C4883" s="1">
        <v>26100000</v>
      </c>
      <c r="D4883" s="1" t="s">
        <v>129</v>
      </c>
      <c r="E4883">
        <v>72.737799999999993</v>
      </c>
      <c r="F4883" s="1" t="s">
        <v>172</v>
      </c>
      <c r="G4883">
        <v>19</v>
      </c>
      <c r="H4883">
        <v>11</v>
      </c>
      <c r="I4883" s="1" t="s">
        <v>3868</v>
      </c>
      <c r="J4883">
        <v>5</v>
      </c>
      <c r="K4883" t="str">
        <f>IF(Tb_data[[#This Row],[previous_workers]]&lt;Tb_data[[#This Row],[workers]],"yes","no")</f>
        <v>yes</v>
      </c>
      <c r="L4883">
        <f>Tb_data[[#This Row],[workers]]-Tb_data[[#This Row],[previous_workers]]</f>
        <v>8</v>
      </c>
      <c r="M4883" s="12">
        <f>Tb_data[[#This Row],[Employees Growth]]/Tb_data[[#This Row],[previous_workers]]</f>
        <v>0.72727272727272729</v>
      </c>
    </row>
    <row r="4884" spans="1:13" x14ac:dyDescent="0.25">
      <c r="A4884" s="1" t="s">
        <v>3445</v>
      </c>
      <c r="B4884" s="1" t="s">
        <v>3446</v>
      </c>
      <c r="C4884" s="1">
        <v>5000000</v>
      </c>
      <c r="D4884" s="1" t="s">
        <v>52</v>
      </c>
      <c r="E4884">
        <v>247.5575</v>
      </c>
      <c r="F4884" s="1" t="s">
        <v>124</v>
      </c>
      <c r="G4884">
        <v>19</v>
      </c>
      <c r="H4884">
        <v>9</v>
      </c>
      <c r="I4884" s="1" t="s">
        <v>147</v>
      </c>
      <c r="J4884">
        <v>1</v>
      </c>
      <c r="K4884" t="str">
        <f>IF(Tb_data[[#This Row],[previous_workers]]&lt;Tb_data[[#This Row],[workers]],"yes","no")</f>
        <v>yes</v>
      </c>
      <c r="L4884">
        <f>Tb_data[[#This Row],[workers]]-Tb_data[[#This Row],[previous_workers]]</f>
        <v>10</v>
      </c>
      <c r="M4884" s="12">
        <f>Tb_data[[#This Row],[Employees Growth]]/Tb_data[[#This Row],[previous_workers]]</f>
        <v>1.1111111111111112</v>
      </c>
    </row>
    <row r="4885" spans="1:13" x14ac:dyDescent="0.25">
      <c r="A4885" s="1" t="s">
        <v>9660</v>
      </c>
      <c r="B4885" s="1" t="s">
        <v>9661</v>
      </c>
      <c r="C4885" s="1">
        <v>28800000</v>
      </c>
      <c r="D4885" s="1" t="s">
        <v>20</v>
      </c>
      <c r="E4885">
        <v>58.533799999999999</v>
      </c>
      <c r="F4885" s="1" t="s">
        <v>112</v>
      </c>
      <c r="G4885">
        <v>44</v>
      </c>
      <c r="H4885">
        <v>23</v>
      </c>
      <c r="I4885" s="1" t="s">
        <v>295</v>
      </c>
      <c r="J4885">
        <v>5</v>
      </c>
      <c r="K4885" t="str">
        <f>IF(Tb_data[[#This Row],[previous_workers]]&lt;Tb_data[[#This Row],[workers]],"yes","no")</f>
        <v>yes</v>
      </c>
      <c r="L4885">
        <f>Tb_data[[#This Row],[workers]]-Tb_data[[#This Row],[previous_workers]]</f>
        <v>21</v>
      </c>
      <c r="M4885" s="12">
        <f>Tb_data[[#This Row],[Employees Growth]]/Tb_data[[#This Row],[previous_workers]]</f>
        <v>0.91304347826086951</v>
      </c>
    </row>
    <row r="4886" spans="1:13" x14ac:dyDescent="0.25">
      <c r="A4886" s="1" t="s">
        <v>8985</v>
      </c>
      <c r="B4886" s="1" t="s">
        <v>8986</v>
      </c>
      <c r="C4886" s="1">
        <v>26100000</v>
      </c>
      <c r="D4886" s="1" t="s">
        <v>29</v>
      </c>
      <c r="E4886">
        <v>66.834199999999996</v>
      </c>
      <c r="F4886" s="1" t="s">
        <v>156</v>
      </c>
      <c r="G4886">
        <v>80</v>
      </c>
      <c r="H4886">
        <v>36</v>
      </c>
      <c r="I4886" s="1" t="s">
        <v>147</v>
      </c>
      <c r="J4886">
        <v>2</v>
      </c>
      <c r="K4886" t="str">
        <f>IF(Tb_data[[#This Row],[previous_workers]]&lt;Tb_data[[#This Row],[workers]],"yes","no")</f>
        <v>yes</v>
      </c>
      <c r="L4886">
        <f>Tb_data[[#This Row],[workers]]-Tb_data[[#This Row],[previous_workers]]</f>
        <v>44</v>
      </c>
      <c r="M4886" s="12">
        <f>Tb_data[[#This Row],[Employees Growth]]/Tb_data[[#This Row],[previous_workers]]</f>
        <v>1.2222222222222223</v>
      </c>
    </row>
    <row r="4887" spans="1:13" x14ac:dyDescent="0.25">
      <c r="A4887" s="1" t="s">
        <v>2562</v>
      </c>
      <c r="B4887" s="1" t="s">
        <v>2563</v>
      </c>
      <c r="C4887" s="1">
        <v>36200000</v>
      </c>
      <c r="D4887" s="1" t="s">
        <v>38</v>
      </c>
      <c r="E4887">
        <v>336.38290000000001</v>
      </c>
      <c r="F4887" s="1" t="s">
        <v>12</v>
      </c>
      <c r="G4887">
        <v>25</v>
      </c>
      <c r="H4887">
        <v>16</v>
      </c>
      <c r="I4887" s="1" t="s">
        <v>130</v>
      </c>
      <c r="J4887">
        <v>3</v>
      </c>
      <c r="K4887" t="str">
        <f>IF(Tb_data[[#This Row],[previous_workers]]&lt;Tb_data[[#This Row],[workers]],"yes","no")</f>
        <v>yes</v>
      </c>
      <c r="L4887">
        <f>Tb_data[[#This Row],[workers]]-Tb_data[[#This Row],[previous_workers]]</f>
        <v>9</v>
      </c>
      <c r="M4887" s="12">
        <f>Tb_data[[#This Row],[Employees Growth]]/Tb_data[[#This Row],[previous_workers]]</f>
        <v>0.5625</v>
      </c>
    </row>
    <row r="4888" spans="1:13" x14ac:dyDescent="0.25">
      <c r="A4888" s="1" t="s">
        <v>5898</v>
      </c>
      <c r="B4888" s="1" t="s">
        <v>5899</v>
      </c>
      <c r="C4888" s="1">
        <v>6300000</v>
      </c>
      <c r="D4888" s="1" t="s">
        <v>58</v>
      </c>
      <c r="E4888">
        <v>129.2089</v>
      </c>
      <c r="F4888" s="1" t="s">
        <v>12</v>
      </c>
      <c r="G4888">
        <v>44</v>
      </c>
      <c r="H4888">
        <v>15</v>
      </c>
      <c r="I4888" s="1" t="s">
        <v>117</v>
      </c>
      <c r="J4888">
        <v>4</v>
      </c>
      <c r="K4888" t="str">
        <f>IF(Tb_data[[#This Row],[previous_workers]]&lt;Tb_data[[#This Row],[workers]],"yes","no")</f>
        <v>yes</v>
      </c>
      <c r="L4888">
        <f>Tb_data[[#This Row],[workers]]-Tb_data[[#This Row],[previous_workers]]</f>
        <v>29</v>
      </c>
      <c r="M4888" s="12">
        <f>Tb_data[[#This Row],[Employees Growth]]/Tb_data[[#This Row],[previous_workers]]</f>
        <v>1.9333333333333333</v>
      </c>
    </row>
    <row r="4889" spans="1:13" x14ac:dyDescent="0.25">
      <c r="A4889" s="1" t="s">
        <v>2812</v>
      </c>
      <c r="B4889" s="1" t="s">
        <v>2813</v>
      </c>
      <c r="C4889" s="1">
        <v>8800000</v>
      </c>
      <c r="D4889" s="1" t="s">
        <v>33</v>
      </c>
      <c r="E4889">
        <v>307.19260000000003</v>
      </c>
      <c r="F4889" s="1" t="s">
        <v>156</v>
      </c>
      <c r="G4889">
        <v>61</v>
      </c>
      <c r="H4889">
        <v>10</v>
      </c>
      <c r="I4889" s="1" t="s">
        <v>229</v>
      </c>
      <c r="J4889">
        <v>3</v>
      </c>
      <c r="K4889" t="str">
        <f>IF(Tb_data[[#This Row],[previous_workers]]&lt;Tb_data[[#This Row],[workers]],"yes","no")</f>
        <v>yes</v>
      </c>
      <c r="L4889">
        <f>Tb_data[[#This Row],[workers]]-Tb_data[[#This Row],[previous_workers]]</f>
        <v>51</v>
      </c>
      <c r="M4889" s="12">
        <f>Tb_data[[#This Row],[Employees Growth]]/Tb_data[[#This Row],[previous_workers]]</f>
        <v>5.0999999999999996</v>
      </c>
    </row>
    <row r="4890" spans="1:13" x14ac:dyDescent="0.25">
      <c r="A4890" s="1" t="s">
        <v>1361</v>
      </c>
      <c r="B4890" s="1" t="s">
        <v>1362</v>
      </c>
      <c r="C4890" s="1">
        <v>2700000</v>
      </c>
      <c r="D4890" s="1" t="s">
        <v>422</v>
      </c>
      <c r="E4890">
        <v>699.51930000000004</v>
      </c>
      <c r="F4890" s="1" t="s">
        <v>156</v>
      </c>
      <c r="G4890">
        <v>19</v>
      </c>
      <c r="H4890">
        <v>4</v>
      </c>
      <c r="I4890" s="1" t="s">
        <v>226</v>
      </c>
      <c r="J4890">
        <v>1</v>
      </c>
      <c r="K4890" t="str">
        <f>IF(Tb_data[[#This Row],[previous_workers]]&lt;Tb_data[[#This Row],[workers]],"yes","no")</f>
        <v>yes</v>
      </c>
      <c r="L4890">
        <f>Tb_data[[#This Row],[workers]]-Tb_data[[#This Row],[previous_workers]]</f>
        <v>15</v>
      </c>
      <c r="M4890" s="12">
        <f>Tb_data[[#This Row],[Employees Growth]]/Tb_data[[#This Row],[previous_workers]]</f>
        <v>3.75</v>
      </c>
    </row>
    <row r="4891" spans="1:13" x14ac:dyDescent="0.25">
      <c r="A4891" s="1" t="s">
        <v>7112</v>
      </c>
      <c r="B4891" s="1" t="s">
        <v>7113</v>
      </c>
      <c r="C4891" s="1">
        <v>6200000</v>
      </c>
      <c r="D4891" s="1" t="s">
        <v>41</v>
      </c>
      <c r="E4891">
        <v>99.95</v>
      </c>
      <c r="F4891" s="1" t="s">
        <v>176</v>
      </c>
      <c r="G4891">
        <v>80</v>
      </c>
      <c r="H4891">
        <v>35</v>
      </c>
      <c r="I4891" s="1" t="s">
        <v>194</v>
      </c>
      <c r="J4891">
        <v>6</v>
      </c>
      <c r="K4891" t="str">
        <f>IF(Tb_data[[#This Row],[previous_workers]]&lt;Tb_data[[#This Row],[workers]],"yes","no")</f>
        <v>yes</v>
      </c>
      <c r="L4891">
        <f>Tb_data[[#This Row],[workers]]-Tb_data[[#This Row],[previous_workers]]</f>
        <v>45</v>
      </c>
      <c r="M4891" s="12">
        <f>Tb_data[[#This Row],[Employees Growth]]/Tb_data[[#This Row],[previous_workers]]</f>
        <v>1.2857142857142858</v>
      </c>
    </row>
    <row r="4892" spans="1:13" x14ac:dyDescent="0.25">
      <c r="A4892" s="1" t="s">
        <v>8923</v>
      </c>
      <c r="B4892" s="1" t="s">
        <v>8924</v>
      </c>
      <c r="C4892" s="1">
        <v>13800000</v>
      </c>
      <c r="D4892" s="1" t="s">
        <v>41</v>
      </c>
      <c r="E4892">
        <v>67.606300000000005</v>
      </c>
      <c r="F4892" s="1" t="s">
        <v>12</v>
      </c>
      <c r="G4892">
        <v>103</v>
      </c>
      <c r="H4892">
        <v>60</v>
      </c>
      <c r="I4892" s="1" t="s">
        <v>372</v>
      </c>
      <c r="J4892">
        <v>3</v>
      </c>
      <c r="K4892" t="str">
        <f>IF(Tb_data[[#This Row],[previous_workers]]&lt;Tb_data[[#This Row],[workers]],"yes","no")</f>
        <v>yes</v>
      </c>
      <c r="L4892">
        <f>Tb_data[[#This Row],[workers]]-Tb_data[[#This Row],[previous_workers]]</f>
        <v>43</v>
      </c>
      <c r="M4892" s="12">
        <f>Tb_data[[#This Row],[Employees Growth]]/Tb_data[[#This Row],[previous_workers]]</f>
        <v>0.71666666666666667</v>
      </c>
    </row>
    <row r="4893" spans="1:13" x14ac:dyDescent="0.25">
      <c r="A4893" s="1" t="s">
        <v>7963</v>
      </c>
      <c r="B4893" s="1" t="s">
        <v>7964</v>
      </c>
      <c r="C4893" s="1">
        <v>13600000</v>
      </c>
      <c r="D4893" s="1" t="s">
        <v>20</v>
      </c>
      <c r="E4893">
        <v>83.630200000000002</v>
      </c>
      <c r="F4893" s="1" t="s">
        <v>176</v>
      </c>
      <c r="G4893">
        <v>245</v>
      </c>
      <c r="H4893">
        <v>125</v>
      </c>
      <c r="I4893" s="1" t="s">
        <v>130</v>
      </c>
      <c r="J4893">
        <v>4</v>
      </c>
      <c r="K4893" t="str">
        <f>IF(Tb_data[[#This Row],[previous_workers]]&lt;Tb_data[[#This Row],[workers]],"yes","no")</f>
        <v>yes</v>
      </c>
      <c r="L4893">
        <f>Tb_data[[#This Row],[workers]]-Tb_data[[#This Row],[previous_workers]]</f>
        <v>120</v>
      </c>
      <c r="M4893" s="12">
        <f>Tb_data[[#This Row],[Employees Growth]]/Tb_data[[#This Row],[previous_workers]]</f>
        <v>0.96</v>
      </c>
    </row>
    <row r="4894" spans="1:13" x14ac:dyDescent="0.25">
      <c r="A4894" s="1" t="s">
        <v>3143</v>
      </c>
      <c r="B4894" s="1" t="s">
        <v>3144</v>
      </c>
      <c r="C4894" s="1">
        <v>11100000</v>
      </c>
      <c r="D4894" s="1" t="s">
        <v>129</v>
      </c>
      <c r="E4894">
        <v>273.50779999999997</v>
      </c>
      <c r="F4894" s="1" t="s">
        <v>156</v>
      </c>
      <c r="G4894">
        <v>45</v>
      </c>
      <c r="H4894">
        <v>3</v>
      </c>
      <c r="I4894" s="1" t="s">
        <v>35</v>
      </c>
      <c r="J4894">
        <v>1</v>
      </c>
      <c r="K4894" t="str">
        <f>IF(Tb_data[[#This Row],[previous_workers]]&lt;Tb_data[[#This Row],[workers]],"yes","no")</f>
        <v>yes</v>
      </c>
      <c r="L4894">
        <f>Tb_data[[#This Row],[workers]]-Tb_data[[#This Row],[previous_workers]]</f>
        <v>42</v>
      </c>
      <c r="M4894" s="12">
        <f>Tb_data[[#This Row],[Employees Growth]]/Tb_data[[#This Row],[previous_workers]]</f>
        <v>14</v>
      </c>
    </row>
    <row r="4895" spans="1:13" x14ac:dyDescent="0.25">
      <c r="A4895" s="1" t="s">
        <v>3854</v>
      </c>
      <c r="B4895" s="1" t="s">
        <v>3855</v>
      </c>
      <c r="C4895" s="1">
        <v>32700000</v>
      </c>
      <c r="D4895" s="1" t="s">
        <v>61</v>
      </c>
      <c r="E4895">
        <v>217.0427</v>
      </c>
      <c r="F4895" s="1" t="s">
        <v>116</v>
      </c>
      <c r="G4895">
        <v>70</v>
      </c>
      <c r="H4895">
        <v>40</v>
      </c>
      <c r="I4895" s="1" t="s">
        <v>194</v>
      </c>
      <c r="J4895">
        <v>2</v>
      </c>
      <c r="K4895" t="str">
        <f>IF(Tb_data[[#This Row],[previous_workers]]&lt;Tb_data[[#This Row],[workers]],"yes","no")</f>
        <v>yes</v>
      </c>
      <c r="L4895">
        <f>Tb_data[[#This Row],[workers]]-Tb_data[[#This Row],[previous_workers]]</f>
        <v>30</v>
      </c>
      <c r="M4895" s="12">
        <f>Tb_data[[#This Row],[Employees Growth]]/Tb_data[[#This Row],[previous_workers]]</f>
        <v>0.75</v>
      </c>
    </row>
    <row r="4896" spans="1:13" x14ac:dyDescent="0.25">
      <c r="A4896" s="1" t="s">
        <v>3372</v>
      </c>
      <c r="B4896" s="1" t="s">
        <v>3373</v>
      </c>
      <c r="C4896" s="1">
        <v>2800000</v>
      </c>
      <c r="D4896" s="1" t="s">
        <v>61</v>
      </c>
      <c r="E4896">
        <v>254.21690000000001</v>
      </c>
      <c r="F4896" s="1" t="s">
        <v>12</v>
      </c>
      <c r="G4896">
        <v>7</v>
      </c>
      <c r="H4896">
        <v>3</v>
      </c>
      <c r="I4896" s="1" t="s">
        <v>55</v>
      </c>
      <c r="J4896">
        <v>2</v>
      </c>
      <c r="K4896" t="str">
        <f>IF(Tb_data[[#This Row],[previous_workers]]&lt;Tb_data[[#This Row],[workers]],"yes","no")</f>
        <v>yes</v>
      </c>
      <c r="L4896">
        <f>Tb_data[[#This Row],[workers]]-Tb_data[[#This Row],[previous_workers]]</f>
        <v>4</v>
      </c>
      <c r="M4896" s="12">
        <f>Tb_data[[#This Row],[Employees Growth]]/Tb_data[[#This Row],[previous_workers]]</f>
        <v>1.3333333333333333</v>
      </c>
    </row>
    <row r="4897" spans="1:13" x14ac:dyDescent="0.25">
      <c r="A4897" s="1" t="s">
        <v>3720</v>
      </c>
      <c r="B4897" s="1" t="s">
        <v>3721</v>
      </c>
      <c r="C4897" s="1">
        <v>27000000</v>
      </c>
      <c r="D4897" s="1" t="s">
        <v>1446</v>
      </c>
      <c r="E4897">
        <v>226.91640000000001</v>
      </c>
      <c r="F4897" s="1" t="s">
        <v>124</v>
      </c>
      <c r="G4897">
        <v>85</v>
      </c>
      <c r="H4897">
        <v>40</v>
      </c>
      <c r="I4897" s="1" t="s">
        <v>55</v>
      </c>
      <c r="J4897">
        <v>2</v>
      </c>
      <c r="K4897" t="str">
        <f>IF(Tb_data[[#This Row],[previous_workers]]&lt;Tb_data[[#This Row],[workers]],"yes","no")</f>
        <v>yes</v>
      </c>
      <c r="L4897">
        <f>Tb_data[[#This Row],[workers]]-Tb_data[[#This Row],[previous_workers]]</f>
        <v>45</v>
      </c>
      <c r="M4897" s="12">
        <f>Tb_data[[#This Row],[Employees Growth]]/Tb_data[[#This Row],[previous_workers]]</f>
        <v>1.125</v>
      </c>
    </row>
    <row r="4898" spans="1:13" x14ac:dyDescent="0.25">
      <c r="A4898" s="1" t="s">
        <v>5660</v>
      </c>
      <c r="B4898" s="1" t="s">
        <v>5661</v>
      </c>
      <c r="C4898" s="1">
        <v>3100000</v>
      </c>
      <c r="D4898" s="1" t="s">
        <v>49</v>
      </c>
      <c r="E4898">
        <v>135.75360000000001</v>
      </c>
      <c r="F4898" s="1" t="s">
        <v>176</v>
      </c>
      <c r="G4898">
        <v>1</v>
      </c>
      <c r="H4898">
        <v>1</v>
      </c>
      <c r="I4898" s="1" t="s">
        <v>164</v>
      </c>
      <c r="J4898">
        <v>3</v>
      </c>
      <c r="K4898" t="str">
        <f>IF(Tb_data[[#This Row],[previous_workers]]&lt;Tb_data[[#This Row],[workers]],"yes","no")</f>
        <v>no</v>
      </c>
      <c r="L4898">
        <f>Tb_data[[#This Row],[workers]]-Tb_data[[#This Row],[previous_workers]]</f>
        <v>0</v>
      </c>
      <c r="M4898" s="12">
        <f>Tb_data[[#This Row],[Employees Growth]]/Tb_data[[#This Row],[previous_workers]]</f>
        <v>0</v>
      </c>
    </row>
    <row r="4899" spans="1:13" x14ac:dyDescent="0.25">
      <c r="A4899" s="1" t="s">
        <v>4178</v>
      </c>
      <c r="B4899" s="1" t="s">
        <v>4179</v>
      </c>
      <c r="C4899" s="1">
        <v>28200000</v>
      </c>
      <c r="D4899" s="1" t="s">
        <v>20</v>
      </c>
      <c r="E4899">
        <v>196.38499999999999</v>
      </c>
      <c r="F4899" s="1" t="s">
        <v>100</v>
      </c>
      <c r="G4899">
        <v>10</v>
      </c>
      <c r="H4899">
        <v>4</v>
      </c>
      <c r="I4899" s="1" t="s">
        <v>35</v>
      </c>
      <c r="J4899">
        <v>1</v>
      </c>
      <c r="K4899" t="str">
        <f>IF(Tb_data[[#This Row],[previous_workers]]&lt;Tb_data[[#This Row],[workers]],"yes","no")</f>
        <v>yes</v>
      </c>
      <c r="L4899">
        <f>Tb_data[[#This Row],[workers]]-Tb_data[[#This Row],[previous_workers]]</f>
        <v>6</v>
      </c>
      <c r="M4899" s="12">
        <f>Tb_data[[#This Row],[Employees Growth]]/Tb_data[[#This Row],[previous_workers]]</f>
        <v>1.5</v>
      </c>
    </row>
    <row r="4900" spans="1:13" x14ac:dyDescent="0.25">
      <c r="A4900" s="1" t="s">
        <v>3479</v>
      </c>
      <c r="B4900" s="1" t="s">
        <v>3480</v>
      </c>
      <c r="C4900" s="1">
        <v>45600000</v>
      </c>
      <c r="D4900" s="1" t="s">
        <v>41</v>
      </c>
      <c r="E4900">
        <v>244.03059999999999</v>
      </c>
      <c r="F4900" s="1" t="s">
        <v>86</v>
      </c>
      <c r="G4900">
        <v>313</v>
      </c>
      <c r="H4900">
        <v>111</v>
      </c>
      <c r="I4900" s="1" t="s">
        <v>194</v>
      </c>
      <c r="J4900">
        <v>8</v>
      </c>
      <c r="K4900" t="str">
        <f>IF(Tb_data[[#This Row],[previous_workers]]&lt;Tb_data[[#This Row],[workers]],"yes","no")</f>
        <v>yes</v>
      </c>
      <c r="L4900">
        <f>Tb_data[[#This Row],[workers]]-Tb_data[[#This Row],[previous_workers]]</f>
        <v>202</v>
      </c>
      <c r="M4900" s="12">
        <f>Tb_data[[#This Row],[Employees Growth]]/Tb_data[[#This Row],[previous_workers]]</f>
        <v>1.8198198198198199</v>
      </c>
    </row>
    <row r="4901" spans="1:13" x14ac:dyDescent="0.25">
      <c r="A4901" s="1" t="s">
        <v>1403</v>
      </c>
      <c r="B4901" s="1" t="s">
        <v>1404</v>
      </c>
      <c r="C4901" s="1">
        <v>2900000</v>
      </c>
      <c r="D4901" s="1" t="s">
        <v>45</v>
      </c>
      <c r="E4901">
        <v>679.39880000000005</v>
      </c>
      <c r="F4901" s="1" t="s">
        <v>21</v>
      </c>
      <c r="G4901">
        <v>31</v>
      </c>
      <c r="H4901">
        <v>4</v>
      </c>
      <c r="I4901" s="1" t="s">
        <v>74</v>
      </c>
      <c r="J4901">
        <v>1</v>
      </c>
      <c r="K4901" t="str">
        <f>IF(Tb_data[[#This Row],[previous_workers]]&lt;Tb_data[[#This Row],[workers]],"yes","no")</f>
        <v>yes</v>
      </c>
      <c r="L4901">
        <f>Tb_data[[#This Row],[workers]]-Tb_data[[#This Row],[previous_workers]]</f>
        <v>27</v>
      </c>
      <c r="M4901" s="12">
        <f>Tb_data[[#This Row],[Employees Growth]]/Tb_data[[#This Row],[previous_workers]]</f>
        <v>6.75</v>
      </c>
    </row>
    <row r="4902" spans="1:13" x14ac:dyDescent="0.25">
      <c r="A4902" s="1" t="s">
        <v>3567</v>
      </c>
      <c r="B4902" s="1" t="s">
        <v>3568</v>
      </c>
      <c r="C4902" s="1">
        <v>3600000</v>
      </c>
      <c r="D4902" s="1" t="s">
        <v>175</v>
      </c>
      <c r="E4902">
        <v>236.5642</v>
      </c>
      <c r="F4902" s="1" t="s">
        <v>156</v>
      </c>
      <c r="G4902">
        <v>31</v>
      </c>
      <c r="H4902">
        <v>11</v>
      </c>
      <c r="I4902" s="1" t="s">
        <v>164</v>
      </c>
      <c r="J4902">
        <v>3</v>
      </c>
      <c r="K4902" t="str">
        <f>IF(Tb_data[[#This Row],[previous_workers]]&lt;Tb_data[[#This Row],[workers]],"yes","no")</f>
        <v>yes</v>
      </c>
      <c r="L4902">
        <f>Tb_data[[#This Row],[workers]]-Tb_data[[#This Row],[previous_workers]]</f>
        <v>20</v>
      </c>
      <c r="M4902" s="12">
        <f>Tb_data[[#This Row],[Employees Growth]]/Tb_data[[#This Row],[previous_workers]]</f>
        <v>1.8181818181818181</v>
      </c>
    </row>
    <row r="4903" spans="1:13" x14ac:dyDescent="0.25">
      <c r="A4903" s="1" t="s">
        <v>9574</v>
      </c>
      <c r="B4903" s="1" t="s">
        <v>9575</v>
      </c>
      <c r="C4903" s="1">
        <v>427600000</v>
      </c>
      <c r="D4903" s="1" t="s">
        <v>33</v>
      </c>
      <c r="E4903">
        <v>59.448099999999997</v>
      </c>
      <c r="F4903" s="1" t="s">
        <v>172</v>
      </c>
      <c r="G4903">
        <v>700</v>
      </c>
      <c r="H4903">
        <v>410</v>
      </c>
      <c r="I4903" s="1" t="s">
        <v>147</v>
      </c>
      <c r="J4903">
        <v>4</v>
      </c>
      <c r="K4903" t="str">
        <f>IF(Tb_data[[#This Row],[previous_workers]]&lt;Tb_data[[#This Row],[workers]],"yes","no")</f>
        <v>yes</v>
      </c>
      <c r="L4903">
        <f>Tb_data[[#This Row],[workers]]-Tb_data[[#This Row],[previous_workers]]</f>
        <v>290</v>
      </c>
      <c r="M4903" s="12">
        <f>Tb_data[[#This Row],[Employees Growth]]/Tb_data[[#This Row],[previous_workers]]</f>
        <v>0.70731707317073167</v>
      </c>
    </row>
    <row r="4904" spans="1:13" x14ac:dyDescent="0.25">
      <c r="A4904" s="1" t="s">
        <v>4728</v>
      </c>
      <c r="B4904" s="1" t="s">
        <v>4729</v>
      </c>
      <c r="C4904" s="1">
        <v>132400000</v>
      </c>
      <c r="D4904" s="1" t="s">
        <v>129</v>
      </c>
      <c r="E4904">
        <v>173.59469999999999</v>
      </c>
      <c r="F4904" s="1" t="s">
        <v>124</v>
      </c>
      <c r="G4904">
        <v>351</v>
      </c>
      <c r="H4904">
        <v>76</v>
      </c>
      <c r="I4904" s="1" t="s">
        <v>74</v>
      </c>
      <c r="J4904">
        <v>3</v>
      </c>
      <c r="K4904" t="str">
        <f>IF(Tb_data[[#This Row],[previous_workers]]&lt;Tb_data[[#This Row],[workers]],"yes","no")</f>
        <v>yes</v>
      </c>
      <c r="L4904">
        <f>Tb_data[[#This Row],[workers]]-Tb_data[[#This Row],[previous_workers]]</f>
        <v>275</v>
      </c>
      <c r="M4904" s="12">
        <f>Tb_data[[#This Row],[Employees Growth]]/Tb_data[[#This Row],[previous_workers]]</f>
        <v>3.6184210526315788</v>
      </c>
    </row>
    <row r="4905" spans="1:13" x14ac:dyDescent="0.25">
      <c r="A4905" s="1" t="s">
        <v>8626</v>
      </c>
      <c r="B4905" s="1" t="s">
        <v>8627</v>
      </c>
      <c r="C4905" s="1">
        <v>87500000</v>
      </c>
      <c r="D4905" s="1" t="s">
        <v>664</v>
      </c>
      <c r="E4905">
        <v>72.121499999999997</v>
      </c>
      <c r="F4905" s="1" t="s">
        <v>124</v>
      </c>
      <c r="G4905">
        <v>162</v>
      </c>
      <c r="H4905">
        <v>120</v>
      </c>
      <c r="I4905" s="1" t="s">
        <v>229</v>
      </c>
      <c r="J4905">
        <v>6</v>
      </c>
      <c r="K4905" t="str">
        <f>IF(Tb_data[[#This Row],[previous_workers]]&lt;Tb_data[[#This Row],[workers]],"yes","no")</f>
        <v>yes</v>
      </c>
      <c r="L4905">
        <f>Tb_data[[#This Row],[workers]]-Tb_data[[#This Row],[previous_workers]]</f>
        <v>42</v>
      </c>
      <c r="M4905" s="12">
        <f>Tb_data[[#This Row],[Employees Growth]]/Tb_data[[#This Row],[previous_workers]]</f>
        <v>0.35</v>
      </c>
    </row>
    <row r="4906" spans="1:13" x14ac:dyDescent="0.25">
      <c r="A4906" s="1" t="s">
        <v>9209</v>
      </c>
      <c r="B4906" s="1" t="s">
        <v>9210</v>
      </c>
      <c r="C4906" s="1">
        <v>2200000</v>
      </c>
      <c r="D4906" s="1" t="s">
        <v>49</v>
      </c>
      <c r="E4906">
        <v>64.032399999999996</v>
      </c>
      <c r="F4906" s="1" t="s">
        <v>116</v>
      </c>
      <c r="G4906">
        <v>13</v>
      </c>
      <c r="H4906">
        <v>11</v>
      </c>
      <c r="I4906" s="1" t="s">
        <v>164</v>
      </c>
      <c r="J4906">
        <v>1</v>
      </c>
      <c r="K4906" t="str">
        <f>IF(Tb_data[[#This Row],[previous_workers]]&lt;Tb_data[[#This Row],[workers]],"yes","no")</f>
        <v>yes</v>
      </c>
      <c r="L4906">
        <f>Tb_data[[#This Row],[workers]]-Tb_data[[#This Row],[previous_workers]]</f>
        <v>2</v>
      </c>
      <c r="M4906" s="12">
        <f>Tb_data[[#This Row],[Employees Growth]]/Tb_data[[#This Row],[previous_workers]]</f>
        <v>0.18181818181818182</v>
      </c>
    </row>
    <row r="4907" spans="1:13" x14ac:dyDescent="0.25">
      <c r="A4907" s="1" t="s">
        <v>3629</v>
      </c>
      <c r="B4907" s="1" t="s">
        <v>3630</v>
      </c>
      <c r="C4907" s="1">
        <v>7200000</v>
      </c>
      <c r="D4907" s="1" t="s">
        <v>11</v>
      </c>
      <c r="E4907">
        <v>232.16630000000001</v>
      </c>
      <c r="F4907" s="1" t="s">
        <v>176</v>
      </c>
      <c r="G4907">
        <v>36</v>
      </c>
      <c r="H4907">
        <v>13</v>
      </c>
      <c r="I4907" s="1" t="s">
        <v>948</v>
      </c>
      <c r="J4907">
        <v>2</v>
      </c>
      <c r="K4907" t="str">
        <f>IF(Tb_data[[#This Row],[previous_workers]]&lt;Tb_data[[#This Row],[workers]],"yes","no")</f>
        <v>yes</v>
      </c>
      <c r="L4907">
        <f>Tb_data[[#This Row],[workers]]-Tb_data[[#This Row],[previous_workers]]</f>
        <v>23</v>
      </c>
      <c r="M4907" s="12">
        <f>Tb_data[[#This Row],[Employees Growth]]/Tb_data[[#This Row],[previous_workers]]</f>
        <v>1.7692307692307692</v>
      </c>
    </row>
    <row r="4908" spans="1:13" x14ac:dyDescent="0.25">
      <c r="A4908" s="1" t="s">
        <v>9974</v>
      </c>
      <c r="B4908" s="1" t="s">
        <v>9975</v>
      </c>
      <c r="C4908" s="1">
        <v>2700000</v>
      </c>
      <c r="D4908" s="1" t="s">
        <v>33</v>
      </c>
      <c r="E4908">
        <v>53.840299999999999</v>
      </c>
      <c r="F4908" s="1" t="s">
        <v>124</v>
      </c>
      <c r="G4908">
        <v>15</v>
      </c>
      <c r="H4908">
        <v>5</v>
      </c>
      <c r="I4908" s="1" t="s">
        <v>35</v>
      </c>
      <c r="J4908">
        <v>1</v>
      </c>
      <c r="K4908" t="str">
        <f>IF(Tb_data[[#This Row],[previous_workers]]&lt;Tb_data[[#This Row],[workers]],"yes","no")</f>
        <v>yes</v>
      </c>
      <c r="L4908">
        <f>Tb_data[[#This Row],[workers]]-Tb_data[[#This Row],[previous_workers]]</f>
        <v>10</v>
      </c>
      <c r="M4908" s="12">
        <f>Tb_data[[#This Row],[Employees Growth]]/Tb_data[[#This Row],[previous_workers]]</f>
        <v>2</v>
      </c>
    </row>
    <row r="4909" spans="1:13" x14ac:dyDescent="0.25">
      <c r="A4909" s="1" t="s">
        <v>350</v>
      </c>
      <c r="B4909" s="1" t="s">
        <v>351</v>
      </c>
      <c r="C4909" s="1">
        <v>6500000</v>
      </c>
      <c r="D4909" s="1" t="s">
        <v>61</v>
      </c>
      <c r="E4909">
        <v>2635.922</v>
      </c>
      <c r="F4909" s="1" t="s">
        <v>25</v>
      </c>
      <c r="G4909">
        <v>6</v>
      </c>
      <c r="H4909">
        <v>2</v>
      </c>
      <c r="I4909" s="1" t="s">
        <v>26</v>
      </c>
      <c r="J4909">
        <v>1</v>
      </c>
      <c r="K4909" t="str">
        <f>IF(Tb_data[[#This Row],[previous_workers]]&lt;Tb_data[[#This Row],[workers]],"yes","no")</f>
        <v>yes</v>
      </c>
      <c r="L4909">
        <f>Tb_data[[#This Row],[workers]]-Tb_data[[#This Row],[previous_workers]]</f>
        <v>4</v>
      </c>
      <c r="M4909" s="12">
        <f>Tb_data[[#This Row],[Employees Growth]]/Tb_data[[#This Row],[previous_workers]]</f>
        <v>2</v>
      </c>
    </row>
    <row r="4910" spans="1:13" x14ac:dyDescent="0.25">
      <c r="A4910" s="1" t="s">
        <v>7078</v>
      </c>
      <c r="B4910" s="1" t="s">
        <v>7079</v>
      </c>
      <c r="C4910" s="1">
        <v>36500000</v>
      </c>
      <c r="D4910" s="1" t="s">
        <v>179</v>
      </c>
      <c r="E4910">
        <v>100.5956</v>
      </c>
      <c r="F4910" s="1" t="s">
        <v>156</v>
      </c>
      <c r="G4910">
        <v>41</v>
      </c>
      <c r="H4910">
        <v>23</v>
      </c>
      <c r="I4910" s="1" t="s">
        <v>948</v>
      </c>
      <c r="J4910">
        <v>8</v>
      </c>
      <c r="K4910" t="str">
        <f>IF(Tb_data[[#This Row],[previous_workers]]&lt;Tb_data[[#This Row],[workers]],"yes","no")</f>
        <v>yes</v>
      </c>
      <c r="L4910">
        <f>Tb_data[[#This Row],[workers]]-Tb_data[[#This Row],[previous_workers]]</f>
        <v>18</v>
      </c>
      <c r="M4910" s="12">
        <f>Tb_data[[#This Row],[Employees Growth]]/Tb_data[[#This Row],[previous_workers]]</f>
        <v>0.78260869565217395</v>
      </c>
    </row>
    <row r="4911" spans="1:13" x14ac:dyDescent="0.25">
      <c r="A4911" s="1" t="s">
        <v>8429</v>
      </c>
      <c r="B4911" s="1" t="s">
        <v>8430</v>
      </c>
      <c r="C4911" s="1">
        <v>4900000</v>
      </c>
      <c r="D4911" s="1" t="s">
        <v>41</v>
      </c>
      <c r="E4911">
        <v>75.324700000000007</v>
      </c>
      <c r="F4911" s="1" t="s">
        <v>124</v>
      </c>
      <c r="G4911">
        <v>45</v>
      </c>
      <c r="H4911">
        <v>21</v>
      </c>
      <c r="I4911" s="1" t="s">
        <v>1657</v>
      </c>
      <c r="J4911">
        <v>1</v>
      </c>
      <c r="K4911" t="str">
        <f>IF(Tb_data[[#This Row],[previous_workers]]&lt;Tb_data[[#This Row],[workers]],"yes","no")</f>
        <v>yes</v>
      </c>
      <c r="L4911">
        <f>Tb_data[[#This Row],[workers]]-Tb_data[[#This Row],[previous_workers]]</f>
        <v>24</v>
      </c>
      <c r="M4911" s="12">
        <f>Tb_data[[#This Row],[Employees Growth]]/Tb_data[[#This Row],[previous_workers]]</f>
        <v>1.1428571428571428</v>
      </c>
    </row>
    <row r="4912" spans="1:13" x14ac:dyDescent="0.25">
      <c r="A4912" s="1" t="s">
        <v>922</v>
      </c>
      <c r="B4912" s="1" t="s">
        <v>923</v>
      </c>
      <c r="C4912" s="1">
        <v>2800000</v>
      </c>
      <c r="D4912" s="1" t="s">
        <v>483</v>
      </c>
      <c r="E4912">
        <v>1103.3244</v>
      </c>
      <c r="F4912" s="1" t="s">
        <v>42</v>
      </c>
      <c r="G4912">
        <v>23</v>
      </c>
      <c r="H4912">
        <v>4</v>
      </c>
      <c r="I4912" s="1" t="s">
        <v>13</v>
      </c>
      <c r="J4912">
        <v>1</v>
      </c>
      <c r="K4912" t="str">
        <f>IF(Tb_data[[#This Row],[previous_workers]]&lt;Tb_data[[#This Row],[workers]],"yes","no")</f>
        <v>yes</v>
      </c>
      <c r="L4912">
        <f>Tb_data[[#This Row],[workers]]-Tb_data[[#This Row],[previous_workers]]</f>
        <v>19</v>
      </c>
      <c r="M4912" s="12">
        <f>Tb_data[[#This Row],[Employees Growth]]/Tb_data[[#This Row],[previous_workers]]</f>
        <v>4.75</v>
      </c>
    </row>
    <row r="4913" spans="1:13" x14ac:dyDescent="0.25">
      <c r="A4913" s="1" t="s">
        <v>1943</v>
      </c>
      <c r="B4913" s="1" t="s">
        <v>1944</v>
      </c>
      <c r="C4913" s="1">
        <v>2700000</v>
      </c>
      <c r="D4913" s="1" t="s">
        <v>52</v>
      </c>
      <c r="E4913">
        <v>463.08879999999999</v>
      </c>
      <c r="F4913" s="1" t="s">
        <v>161</v>
      </c>
      <c r="G4913">
        <v>25</v>
      </c>
      <c r="H4913">
        <v>9</v>
      </c>
      <c r="I4913" s="1" t="s">
        <v>55</v>
      </c>
      <c r="J4913">
        <v>1</v>
      </c>
      <c r="K4913" t="str">
        <f>IF(Tb_data[[#This Row],[previous_workers]]&lt;Tb_data[[#This Row],[workers]],"yes","no")</f>
        <v>yes</v>
      </c>
      <c r="L4913">
        <f>Tb_data[[#This Row],[workers]]-Tb_data[[#This Row],[previous_workers]]</f>
        <v>16</v>
      </c>
      <c r="M4913" s="12">
        <f>Tb_data[[#This Row],[Employees Growth]]/Tb_data[[#This Row],[previous_workers]]</f>
        <v>1.7777777777777777</v>
      </c>
    </row>
    <row r="4914" spans="1:13" x14ac:dyDescent="0.25">
      <c r="A4914" s="1" t="s">
        <v>70</v>
      </c>
      <c r="B4914" s="1" t="s">
        <v>71</v>
      </c>
      <c r="C4914" s="1">
        <v>19000000</v>
      </c>
      <c r="D4914" s="1" t="s">
        <v>61</v>
      </c>
      <c r="E4914">
        <v>9179.3318999999992</v>
      </c>
      <c r="F4914" s="1" t="s">
        <v>25</v>
      </c>
      <c r="G4914">
        <v>14</v>
      </c>
      <c r="H4914">
        <v>2</v>
      </c>
      <c r="I4914" s="1" t="s">
        <v>55</v>
      </c>
      <c r="J4914">
        <v>1</v>
      </c>
      <c r="K4914" t="str">
        <f>IF(Tb_data[[#This Row],[previous_workers]]&lt;Tb_data[[#This Row],[workers]],"yes","no")</f>
        <v>yes</v>
      </c>
      <c r="L4914">
        <f>Tb_data[[#This Row],[workers]]-Tb_data[[#This Row],[previous_workers]]</f>
        <v>12</v>
      </c>
      <c r="M4914" s="12">
        <f>Tb_data[[#This Row],[Employees Growth]]/Tb_data[[#This Row],[previous_workers]]</f>
        <v>6</v>
      </c>
    </row>
    <row r="4915" spans="1:13" x14ac:dyDescent="0.25">
      <c r="A4915" s="1" t="s">
        <v>4067</v>
      </c>
      <c r="B4915" s="1" t="s">
        <v>4068</v>
      </c>
      <c r="C4915" s="1">
        <v>19000000</v>
      </c>
      <c r="D4915" s="1" t="s">
        <v>41</v>
      </c>
      <c r="E4915">
        <v>204.02289999999999</v>
      </c>
      <c r="F4915" s="1" t="s">
        <v>176</v>
      </c>
      <c r="G4915">
        <v>27</v>
      </c>
      <c r="H4915">
        <v>17</v>
      </c>
      <c r="I4915" s="1" t="s">
        <v>194</v>
      </c>
      <c r="J4915">
        <v>1</v>
      </c>
      <c r="K4915" t="str">
        <f>IF(Tb_data[[#This Row],[previous_workers]]&lt;Tb_data[[#This Row],[workers]],"yes","no")</f>
        <v>yes</v>
      </c>
      <c r="L4915">
        <f>Tb_data[[#This Row],[workers]]-Tb_data[[#This Row],[previous_workers]]</f>
        <v>10</v>
      </c>
      <c r="M4915" s="12">
        <f>Tb_data[[#This Row],[Employees Growth]]/Tb_data[[#This Row],[previous_workers]]</f>
        <v>0.58823529411764708</v>
      </c>
    </row>
    <row r="4916" spans="1:13" x14ac:dyDescent="0.25">
      <c r="A4916" s="1" t="s">
        <v>995</v>
      </c>
      <c r="B4916" s="1" t="s">
        <v>4086</v>
      </c>
      <c r="C4916" s="1">
        <v>7400000</v>
      </c>
      <c r="D4916" s="1" t="s">
        <v>52</v>
      </c>
      <c r="E4916">
        <v>202.26310000000001</v>
      </c>
      <c r="F4916" s="1" t="s">
        <v>176</v>
      </c>
      <c r="G4916">
        <v>9</v>
      </c>
      <c r="H4916">
        <v>5</v>
      </c>
      <c r="I4916" s="1" t="s">
        <v>55</v>
      </c>
      <c r="J4916">
        <v>1</v>
      </c>
      <c r="K4916" t="str">
        <f>IF(Tb_data[[#This Row],[previous_workers]]&lt;Tb_data[[#This Row],[workers]],"yes","no")</f>
        <v>yes</v>
      </c>
      <c r="L4916">
        <f>Tb_data[[#This Row],[workers]]-Tb_data[[#This Row],[previous_workers]]</f>
        <v>4</v>
      </c>
      <c r="M4916" s="12">
        <f>Tb_data[[#This Row],[Employees Growth]]/Tb_data[[#This Row],[previous_workers]]</f>
        <v>0.8</v>
      </c>
    </row>
    <row r="4917" spans="1:13" x14ac:dyDescent="0.25">
      <c r="A4917" s="1" t="s">
        <v>8191</v>
      </c>
      <c r="B4917" s="1" t="s">
        <v>8192</v>
      </c>
      <c r="C4917" s="1">
        <v>4600000</v>
      </c>
      <c r="D4917" s="1" t="s">
        <v>29</v>
      </c>
      <c r="E4917">
        <v>79.798100000000005</v>
      </c>
      <c r="F4917" s="1" t="s">
        <v>86</v>
      </c>
      <c r="G4917">
        <v>50</v>
      </c>
      <c r="H4917">
        <v>27</v>
      </c>
      <c r="I4917" s="1" t="s">
        <v>46</v>
      </c>
      <c r="J4917">
        <v>1</v>
      </c>
      <c r="K4917" t="str">
        <f>IF(Tb_data[[#This Row],[previous_workers]]&lt;Tb_data[[#This Row],[workers]],"yes","no")</f>
        <v>yes</v>
      </c>
      <c r="L4917">
        <f>Tb_data[[#This Row],[workers]]-Tb_data[[#This Row],[previous_workers]]</f>
        <v>23</v>
      </c>
      <c r="M4917" s="12">
        <f>Tb_data[[#This Row],[Employees Growth]]/Tb_data[[#This Row],[previous_workers]]</f>
        <v>0.85185185185185186</v>
      </c>
    </row>
    <row r="4918" spans="1:13" x14ac:dyDescent="0.25">
      <c r="A4918" s="1" t="s">
        <v>5828</v>
      </c>
      <c r="B4918" s="1" t="s">
        <v>5829</v>
      </c>
      <c r="C4918" s="1">
        <v>20300000</v>
      </c>
      <c r="D4918" s="1" t="s">
        <v>20</v>
      </c>
      <c r="E4918">
        <v>130.5943</v>
      </c>
      <c r="F4918" s="1" t="s">
        <v>124</v>
      </c>
      <c r="G4918">
        <v>240</v>
      </c>
      <c r="H4918">
        <v>54</v>
      </c>
      <c r="I4918" s="1" t="s">
        <v>948</v>
      </c>
      <c r="J4918">
        <v>1</v>
      </c>
      <c r="K4918" t="str">
        <f>IF(Tb_data[[#This Row],[previous_workers]]&lt;Tb_data[[#This Row],[workers]],"yes","no")</f>
        <v>yes</v>
      </c>
      <c r="L4918">
        <f>Tb_data[[#This Row],[workers]]-Tb_data[[#This Row],[previous_workers]]</f>
        <v>186</v>
      </c>
      <c r="M4918" s="12">
        <f>Tb_data[[#This Row],[Employees Growth]]/Tb_data[[#This Row],[previous_workers]]</f>
        <v>3.4444444444444446</v>
      </c>
    </row>
    <row r="4919" spans="1:13" x14ac:dyDescent="0.25">
      <c r="A4919" s="1" t="s">
        <v>6481</v>
      </c>
      <c r="B4919" s="1" t="s">
        <v>6482</v>
      </c>
      <c r="C4919" s="1">
        <v>514000000</v>
      </c>
      <c r="D4919" s="1" t="s">
        <v>45</v>
      </c>
      <c r="E4919">
        <v>114.5471</v>
      </c>
      <c r="F4919" s="1" t="s">
        <v>30</v>
      </c>
      <c r="G4919">
        <v>1038</v>
      </c>
      <c r="H4919">
        <v>759</v>
      </c>
      <c r="I4919" s="1" t="s">
        <v>2628</v>
      </c>
      <c r="J4919">
        <v>14</v>
      </c>
      <c r="K4919" t="str">
        <f>IF(Tb_data[[#This Row],[previous_workers]]&lt;Tb_data[[#This Row],[workers]],"yes","no")</f>
        <v>yes</v>
      </c>
      <c r="L4919">
        <f>Tb_data[[#This Row],[workers]]-Tb_data[[#This Row],[previous_workers]]</f>
        <v>279</v>
      </c>
      <c r="M4919" s="12">
        <f>Tb_data[[#This Row],[Employees Growth]]/Tb_data[[#This Row],[previous_workers]]</f>
        <v>0.3675889328063241</v>
      </c>
    </row>
    <row r="4920" spans="1:13" x14ac:dyDescent="0.25">
      <c r="A4920" s="1" t="s">
        <v>5090</v>
      </c>
      <c r="B4920" s="1" t="s">
        <v>5091</v>
      </c>
      <c r="C4920" s="1">
        <v>2700000</v>
      </c>
      <c r="D4920" s="1" t="s">
        <v>29</v>
      </c>
      <c r="E4920">
        <v>157.50479999999999</v>
      </c>
      <c r="F4920" s="1" t="s">
        <v>514</v>
      </c>
      <c r="G4920">
        <v>30</v>
      </c>
      <c r="H4920">
        <v>11</v>
      </c>
      <c r="I4920" s="1" t="s">
        <v>13</v>
      </c>
      <c r="J4920">
        <v>1</v>
      </c>
      <c r="K4920" t="str">
        <f>IF(Tb_data[[#This Row],[previous_workers]]&lt;Tb_data[[#This Row],[workers]],"yes","no")</f>
        <v>yes</v>
      </c>
      <c r="L4920">
        <f>Tb_data[[#This Row],[workers]]-Tb_data[[#This Row],[previous_workers]]</f>
        <v>19</v>
      </c>
      <c r="M4920" s="12">
        <f>Tb_data[[#This Row],[Employees Growth]]/Tb_data[[#This Row],[previous_workers]]</f>
        <v>1.7272727272727273</v>
      </c>
    </row>
    <row r="4921" spans="1:13" x14ac:dyDescent="0.25">
      <c r="A4921" s="1" t="s">
        <v>7517</v>
      </c>
      <c r="B4921" s="1" t="s">
        <v>7518</v>
      </c>
      <c r="C4921" s="1">
        <v>11100000</v>
      </c>
      <c r="D4921" s="1" t="s">
        <v>29</v>
      </c>
      <c r="E4921">
        <v>92.643900000000002</v>
      </c>
      <c r="F4921" s="1" t="s">
        <v>86</v>
      </c>
      <c r="G4921">
        <v>75</v>
      </c>
      <c r="H4921">
        <v>21</v>
      </c>
      <c r="I4921" s="1" t="s">
        <v>130</v>
      </c>
      <c r="J4921">
        <v>3</v>
      </c>
      <c r="K4921" t="str">
        <f>IF(Tb_data[[#This Row],[previous_workers]]&lt;Tb_data[[#This Row],[workers]],"yes","no")</f>
        <v>yes</v>
      </c>
      <c r="L4921">
        <f>Tb_data[[#This Row],[workers]]-Tb_data[[#This Row],[previous_workers]]</f>
        <v>54</v>
      </c>
      <c r="M4921" s="12">
        <f>Tb_data[[#This Row],[Employees Growth]]/Tb_data[[#This Row],[previous_workers]]</f>
        <v>2.5714285714285716</v>
      </c>
    </row>
    <row r="4922" spans="1:13" x14ac:dyDescent="0.25">
      <c r="A4922" s="1" t="s">
        <v>6671</v>
      </c>
      <c r="B4922" s="1" t="s">
        <v>6672</v>
      </c>
      <c r="C4922" s="1">
        <v>2000000</v>
      </c>
      <c r="D4922" s="1" t="s">
        <v>49</v>
      </c>
      <c r="E4922">
        <v>109.8185</v>
      </c>
      <c r="F4922" s="1" t="s">
        <v>176</v>
      </c>
      <c r="G4922">
        <v>3</v>
      </c>
      <c r="H4922">
        <v>1</v>
      </c>
      <c r="I4922" s="1" t="s">
        <v>130</v>
      </c>
      <c r="J4922">
        <v>1</v>
      </c>
      <c r="K4922" t="str">
        <f>IF(Tb_data[[#This Row],[previous_workers]]&lt;Tb_data[[#This Row],[workers]],"yes","no")</f>
        <v>yes</v>
      </c>
      <c r="L4922">
        <f>Tb_data[[#This Row],[workers]]-Tb_data[[#This Row],[previous_workers]]</f>
        <v>2</v>
      </c>
      <c r="M4922" s="12">
        <f>Tb_data[[#This Row],[Employees Growth]]/Tb_data[[#This Row],[previous_workers]]</f>
        <v>2</v>
      </c>
    </row>
    <row r="4923" spans="1:13" x14ac:dyDescent="0.25">
      <c r="A4923" s="1" t="s">
        <v>7084</v>
      </c>
      <c r="B4923" s="1" t="s">
        <v>7085</v>
      </c>
      <c r="C4923" s="1">
        <v>4900000</v>
      </c>
      <c r="D4923" s="1" t="s">
        <v>49</v>
      </c>
      <c r="E4923">
        <v>100.5579</v>
      </c>
      <c r="F4923" s="1" t="s">
        <v>25</v>
      </c>
      <c r="G4923">
        <v>25</v>
      </c>
      <c r="H4923">
        <v>8</v>
      </c>
      <c r="I4923" s="1" t="s">
        <v>164</v>
      </c>
      <c r="J4923">
        <v>1</v>
      </c>
      <c r="K4923" t="str">
        <f>IF(Tb_data[[#This Row],[previous_workers]]&lt;Tb_data[[#This Row],[workers]],"yes","no")</f>
        <v>yes</v>
      </c>
      <c r="L4923">
        <f>Tb_data[[#This Row],[workers]]-Tb_data[[#This Row],[previous_workers]]</f>
        <v>17</v>
      </c>
      <c r="M4923" s="12">
        <f>Tb_data[[#This Row],[Employees Growth]]/Tb_data[[#This Row],[previous_workers]]</f>
        <v>2.125</v>
      </c>
    </row>
    <row r="4924" spans="1:13" x14ac:dyDescent="0.25">
      <c r="A4924" s="1" t="s">
        <v>9770</v>
      </c>
      <c r="B4924" s="1" t="s">
        <v>9771</v>
      </c>
      <c r="C4924" s="1">
        <v>4200000</v>
      </c>
      <c r="D4924" s="1" t="s">
        <v>49</v>
      </c>
      <c r="E4924">
        <v>57.021599999999999</v>
      </c>
      <c r="F4924" s="1" t="s">
        <v>25</v>
      </c>
      <c r="G4924">
        <v>17</v>
      </c>
      <c r="H4924">
        <v>10</v>
      </c>
      <c r="I4924" s="1" t="s">
        <v>3673</v>
      </c>
      <c r="J4924">
        <v>1</v>
      </c>
      <c r="K4924" t="str">
        <f>IF(Tb_data[[#This Row],[previous_workers]]&lt;Tb_data[[#This Row],[workers]],"yes","no")</f>
        <v>yes</v>
      </c>
      <c r="L4924">
        <f>Tb_data[[#This Row],[workers]]-Tb_data[[#This Row],[previous_workers]]</f>
        <v>7</v>
      </c>
      <c r="M4924" s="12">
        <f>Tb_data[[#This Row],[Employees Growth]]/Tb_data[[#This Row],[previous_workers]]</f>
        <v>0.7</v>
      </c>
    </row>
    <row r="4925" spans="1:13" x14ac:dyDescent="0.25">
      <c r="A4925" s="1" t="s">
        <v>5224</v>
      </c>
      <c r="B4925" s="1" t="s">
        <v>5225</v>
      </c>
      <c r="C4925" s="1">
        <v>2400000</v>
      </c>
      <c r="D4925" s="1" t="s">
        <v>52</v>
      </c>
      <c r="E4925">
        <v>152.7867</v>
      </c>
      <c r="F4925" s="1" t="s">
        <v>86</v>
      </c>
      <c r="G4925">
        <v>18</v>
      </c>
      <c r="H4925">
        <v>7</v>
      </c>
      <c r="I4925" s="1" t="s">
        <v>130</v>
      </c>
      <c r="J4925">
        <v>1</v>
      </c>
      <c r="K4925" t="str">
        <f>IF(Tb_data[[#This Row],[previous_workers]]&lt;Tb_data[[#This Row],[workers]],"yes","no")</f>
        <v>yes</v>
      </c>
      <c r="L4925">
        <f>Tb_data[[#This Row],[workers]]-Tb_data[[#This Row],[previous_workers]]</f>
        <v>11</v>
      </c>
      <c r="M4925" s="12">
        <f>Tb_data[[#This Row],[Employees Growth]]/Tb_data[[#This Row],[previous_workers]]</f>
        <v>1.5714285714285714</v>
      </c>
    </row>
    <row r="4926" spans="1:13" x14ac:dyDescent="0.25">
      <c r="A4926" s="1" t="s">
        <v>8578</v>
      </c>
      <c r="B4926" s="1" t="s">
        <v>8579</v>
      </c>
      <c r="C4926" s="1">
        <v>7500000</v>
      </c>
      <c r="D4926" s="1" t="s">
        <v>49</v>
      </c>
      <c r="E4926">
        <v>72.697599999999994</v>
      </c>
      <c r="F4926" s="1" t="s">
        <v>86</v>
      </c>
      <c r="G4926">
        <v>39</v>
      </c>
      <c r="H4926">
        <v>28</v>
      </c>
      <c r="I4926" s="1" t="s">
        <v>46</v>
      </c>
      <c r="J4926">
        <v>6</v>
      </c>
      <c r="K4926" t="str">
        <f>IF(Tb_data[[#This Row],[previous_workers]]&lt;Tb_data[[#This Row],[workers]],"yes","no")</f>
        <v>yes</v>
      </c>
      <c r="L4926">
        <f>Tb_data[[#This Row],[workers]]-Tb_data[[#This Row],[previous_workers]]</f>
        <v>11</v>
      </c>
      <c r="M4926" s="12">
        <f>Tb_data[[#This Row],[Employees Growth]]/Tb_data[[#This Row],[previous_workers]]</f>
        <v>0.39285714285714285</v>
      </c>
    </row>
    <row r="4927" spans="1:13" x14ac:dyDescent="0.25">
      <c r="A4927" s="1" t="s">
        <v>605</v>
      </c>
      <c r="B4927" s="1" t="s">
        <v>606</v>
      </c>
      <c r="C4927" s="1">
        <v>7200000</v>
      </c>
      <c r="D4927" s="1" t="s">
        <v>20</v>
      </c>
      <c r="E4927">
        <v>1666.4879000000001</v>
      </c>
      <c r="F4927" s="1" t="s">
        <v>25</v>
      </c>
      <c r="G4927">
        <v>25</v>
      </c>
      <c r="H4927">
        <v>2</v>
      </c>
      <c r="I4927" s="1" t="s">
        <v>26</v>
      </c>
      <c r="J4927">
        <v>1</v>
      </c>
      <c r="K4927" t="str">
        <f>IF(Tb_data[[#This Row],[previous_workers]]&lt;Tb_data[[#This Row],[workers]],"yes","no")</f>
        <v>yes</v>
      </c>
      <c r="L4927">
        <f>Tb_data[[#This Row],[workers]]-Tb_data[[#This Row],[previous_workers]]</f>
        <v>23</v>
      </c>
      <c r="M4927" s="12">
        <f>Tb_data[[#This Row],[Employees Growth]]/Tb_data[[#This Row],[previous_workers]]</f>
        <v>11.5</v>
      </c>
    </row>
    <row r="4928" spans="1:13" x14ac:dyDescent="0.25">
      <c r="A4928" s="1" t="s">
        <v>7619</v>
      </c>
      <c r="B4928" s="1" t="s">
        <v>7620</v>
      </c>
      <c r="C4928" s="1">
        <v>26400000</v>
      </c>
      <c r="D4928" s="1" t="s">
        <v>422</v>
      </c>
      <c r="E4928">
        <v>89.560699999999997</v>
      </c>
      <c r="F4928" s="1" t="s">
        <v>100</v>
      </c>
      <c r="G4928">
        <v>130</v>
      </c>
      <c r="H4928">
        <v>60</v>
      </c>
      <c r="I4928" s="1" t="s">
        <v>74</v>
      </c>
      <c r="J4928">
        <v>2</v>
      </c>
      <c r="K4928" t="str">
        <f>IF(Tb_data[[#This Row],[previous_workers]]&lt;Tb_data[[#This Row],[workers]],"yes","no")</f>
        <v>yes</v>
      </c>
      <c r="L4928">
        <f>Tb_data[[#This Row],[workers]]-Tb_data[[#This Row],[previous_workers]]</f>
        <v>70</v>
      </c>
      <c r="M4928" s="12">
        <f>Tb_data[[#This Row],[Employees Growth]]/Tb_data[[#This Row],[previous_workers]]</f>
        <v>1.1666666666666667</v>
      </c>
    </row>
    <row r="4929" spans="1:13" x14ac:dyDescent="0.25">
      <c r="A4929" s="1" t="s">
        <v>10024</v>
      </c>
      <c r="B4929" s="1" t="s">
        <v>10025</v>
      </c>
      <c r="C4929" s="1">
        <v>100900000</v>
      </c>
      <c r="D4929" s="1" t="s">
        <v>123</v>
      </c>
      <c r="E4929">
        <v>53.173400000000001</v>
      </c>
      <c r="F4929" s="1" t="s">
        <v>86</v>
      </c>
      <c r="G4929">
        <v>550</v>
      </c>
      <c r="H4929">
        <v>500</v>
      </c>
      <c r="I4929" s="1" t="s">
        <v>372</v>
      </c>
      <c r="J4929">
        <v>10</v>
      </c>
      <c r="K4929" t="str">
        <f>IF(Tb_data[[#This Row],[previous_workers]]&lt;Tb_data[[#This Row],[workers]],"yes","no")</f>
        <v>yes</v>
      </c>
      <c r="L4929">
        <f>Tb_data[[#This Row],[workers]]-Tb_data[[#This Row],[previous_workers]]</f>
        <v>50</v>
      </c>
      <c r="M4929" s="12">
        <f>Tb_data[[#This Row],[Employees Growth]]/Tb_data[[#This Row],[previous_workers]]</f>
        <v>0.1</v>
      </c>
    </row>
    <row r="4930" spans="1:13" x14ac:dyDescent="0.25">
      <c r="A4930" s="1" t="s">
        <v>6799</v>
      </c>
      <c r="B4930" s="1" t="s">
        <v>6800</v>
      </c>
      <c r="C4930" s="1">
        <v>189600000</v>
      </c>
      <c r="D4930" s="1" t="s">
        <v>91</v>
      </c>
      <c r="E4930">
        <v>106.7585</v>
      </c>
      <c r="F4930" s="1" t="s">
        <v>86</v>
      </c>
      <c r="G4930">
        <v>975</v>
      </c>
      <c r="H4930">
        <v>590</v>
      </c>
      <c r="I4930" s="1" t="s">
        <v>1051</v>
      </c>
      <c r="J4930">
        <v>1</v>
      </c>
      <c r="K4930" t="str">
        <f>IF(Tb_data[[#This Row],[previous_workers]]&lt;Tb_data[[#This Row],[workers]],"yes","no")</f>
        <v>yes</v>
      </c>
      <c r="L4930">
        <f>Tb_data[[#This Row],[workers]]-Tb_data[[#This Row],[previous_workers]]</f>
        <v>385</v>
      </c>
      <c r="M4930" s="12">
        <f>Tb_data[[#This Row],[Employees Growth]]/Tb_data[[#This Row],[previous_workers]]</f>
        <v>0.65254237288135597</v>
      </c>
    </row>
    <row r="4931" spans="1:13" x14ac:dyDescent="0.25">
      <c r="A4931" s="1" t="s">
        <v>7038</v>
      </c>
      <c r="B4931" s="1" t="s">
        <v>7039</v>
      </c>
      <c r="C4931" s="1">
        <v>3400000</v>
      </c>
      <c r="D4931" s="1" t="s">
        <v>20</v>
      </c>
      <c r="E4931">
        <v>101.2561</v>
      </c>
      <c r="F4931" s="1" t="s">
        <v>12</v>
      </c>
      <c r="G4931">
        <v>24</v>
      </c>
      <c r="H4931">
        <v>16</v>
      </c>
      <c r="I4931" s="1" t="s">
        <v>948</v>
      </c>
      <c r="J4931">
        <v>3</v>
      </c>
      <c r="K4931" t="str">
        <f>IF(Tb_data[[#This Row],[previous_workers]]&lt;Tb_data[[#This Row],[workers]],"yes","no")</f>
        <v>yes</v>
      </c>
      <c r="L4931">
        <f>Tb_data[[#This Row],[workers]]-Tb_data[[#This Row],[previous_workers]]</f>
        <v>8</v>
      </c>
      <c r="M4931" s="12">
        <f>Tb_data[[#This Row],[Employees Growth]]/Tb_data[[#This Row],[previous_workers]]</f>
        <v>0.5</v>
      </c>
    </row>
    <row r="4932" spans="1:13" x14ac:dyDescent="0.25">
      <c r="A4932" s="1" t="s">
        <v>7323</v>
      </c>
      <c r="B4932" s="1" t="s">
        <v>7324</v>
      </c>
      <c r="C4932" s="1">
        <v>15200000</v>
      </c>
      <c r="D4932" s="1" t="s">
        <v>123</v>
      </c>
      <c r="E4932">
        <v>96.585700000000003</v>
      </c>
      <c r="F4932" s="1" t="s">
        <v>156</v>
      </c>
      <c r="G4932">
        <v>74</v>
      </c>
      <c r="H4932">
        <v>44</v>
      </c>
      <c r="I4932" s="1" t="s">
        <v>226</v>
      </c>
      <c r="J4932">
        <v>8</v>
      </c>
      <c r="K4932" t="str">
        <f>IF(Tb_data[[#This Row],[previous_workers]]&lt;Tb_data[[#This Row],[workers]],"yes","no")</f>
        <v>yes</v>
      </c>
      <c r="L4932">
        <f>Tb_data[[#This Row],[workers]]-Tb_data[[#This Row],[previous_workers]]</f>
        <v>30</v>
      </c>
      <c r="M4932" s="12">
        <f>Tb_data[[#This Row],[Employees Growth]]/Tb_data[[#This Row],[previous_workers]]</f>
        <v>0.68181818181818177</v>
      </c>
    </row>
    <row r="4933" spans="1:13" x14ac:dyDescent="0.25">
      <c r="A4933" s="1" t="s">
        <v>496</v>
      </c>
      <c r="B4933" s="1" t="s">
        <v>497</v>
      </c>
      <c r="C4933" s="1">
        <v>5100000</v>
      </c>
      <c r="D4933" s="1" t="s">
        <v>33</v>
      </c>
      <c r="E4933">
        <v>1972.0256999999999</v>
      </c>
      <c r="F4933" s="1" t="s">
        <v>112</v>
      </c>
      <c r="G4933">
        <v>29</v>
      </c>
      <c r="H4933">
        <v>3</v>
      </c>
      <c r="I4933" s="1" t="s">
        <v>164</v>
      </c>
      <c r="J4933">
        <v>2</v>
      </c>
      <c r="K4933" t="str">
        <f>IF(Tb_data[[#This Row],[previous_workers]]&lt;Tb_data[[#This Row],[workers]],"yes","no")</f>
        <v>yes</v>
      </c>
      <c r="L4933">
        <f>Tb_data[[#This Row],[workers]]-Tb_data[[#This Row],[previous_workers]]</f>
        <v>26</v>
      </c>
      <c r="M4933" s="12">
        <f>Tb_data[[#This Row],[Employees Growth]]/Tb_data[[#This Row],[previous_workers]]</f>
        <v>8.6666666666666661</v>
      </c>
    </row>
    <row r="4934" spans="1:13" x14ac:dyDescent="0.25">
      <c r="A4934" s="1" t="s">
        <v>3191</v>
      </c>
      <c r="B4934" s="1" t="s">
        <v>3192</v>
      </c>
      <c r="C4934" s="1">
        <v>29600000</v>
      </c>
      <c r="D4934" s="1" t="s">
        <v>38</v>
      </c>
      <c r="E4934">
        <v>269.63639999999998</v>
      </c>
      <c r="F4934" s="1" t="s">
        <v>172</v>
      </c>
      <c r="G4934">
        <v>195</v>
      </c>
      <c r="H4934">
        <v>54</v>
      </c>
      <c r="I4934" s="1" t="s">
        <v>164</v>
      </c>
      <c r="J4934">
        <v>2</v>
      </c>
      <c r="K4934" t="str">
        <f>IF(Tb_data[[#This Row],[previous_workers]]&lt;Tb_data[[#This Row],[workers]],"yes","no")</f>
        <v>yes</v>
      </c>
      <c r="L4934">
        <f>Tb_data[[#This Row],[workers]]-Tb_data[[#This Row],[previous_workers]]</f>
        <v>141</v>
      </c>
      <c r="M4934" s="12">
        <f>Tb_data[[#This Row],[Employees Growth]]/Tb_data[[#This Row],[previous_workers]]</f>
        <v>2.6111111111111112</v>
      </c>
    </row>
    <row r="4935" spans="1:13" x14ac:dyDescent="0.25">
      <c r="A4935" s="1" t="s">
        <v>9694</v>
      </c>
      <c r="B4935" s="1" t="s">
        <v>9695</v>
      </c>
      <c r="C4935" s="1">
        <v>17900000</v>
      </c>
      <c r="D4935" s="1" t="s">
        <v>1002</v>
      </c>
      <c r="E4935">
        <v>58.092100000000002</v>
      </c>
      <c r="F4935" s="1" t="s">
        <v>30</v>
      </c>
      <c r="G4935">
        <v>24</v>
      </c>
      <c r="H4935">
        <v>13</v>
      </c>
      <c r="I4935" s="1" t="s">
        <v>13</v>
      </c>
      <c r="J4935">
        <v>1</v>
      </c>
      <c r="K4935" t="str">
        <f>IF(Tb_data[[#This Row],[previous_workers]]&lt;Tb_data[[#This Row],[workers]],"yes","no")</f>
        <v>yes</v>
      </c>
      <c r="L4935">
        <f>Tb_data[[#This Row],[workers]]-Tb_data[[#This Row],[previous_workers]]</f>
        <v>11</v>
      </c>
      <c r="M4935" s="12">
        <f>Tb_data[[#This Row],[Employees Growth]]/Tb_data[[#This Row],[previous_workers]]</f>
        <v>0.84615384615384615</v>
      </c>
    </row>
    <row r="4936" spans="1:13" x14ac:dyDescent="0.25">
      <c r="A4936" s="1" t="s">
        <v>2209</v>
      </c>
      <c r="B4936" s="1" t="s">
        <v>2210</v>
      </c>
      <c r="C4936" s="1">
        <v>3900000</v>
      </c>
      <c r="D4936" s="1" t="s">
        <v>41</v>
      </c>
      <c r="E4936">
        <v>399.01639999999998</v>
      </c>
      <c r="F4936" s="1" t="s">
        <v>97</v>
      </c>
      <c r="G4936">
        <v>25</v>
      </c>
      <c r="H4936">
        <v>5</v>
      </c>
      <c r="I4936" s="1" t="s">
        <v>117</v>
      </c>
      <c r="J4936">
        <v>3</v>
      </c>
      <c r="K4936" t="str">
        <f>IF(Tb_data[[#This Row],[previous_workers]]&lt;Tb_data[[#This Row],[workers]],"yes","no")</f>
        <v>yes</v>
      </c>
      <c r="L4936">
        <f>Tb_data[[#This Row],[workers]]-Tb_data[[#This Row],[previous_workers]]</f>
        <v>20</v>
      </c>
      <c r="M4936" s="12">
        <f>Tb_data[[#This Row],[Employees Growth]]/Tb_data[[#This Row],[previous_workers]]</f>
        <v>4</v>
      </c>
    </row>
    <row r="4937" spans="1:13" x14ac:dyDescent="0.25">
      <c r="A4937" s="1" t="s">
        <v>7933</v>
      </c>
      <c r="B4937" s="1" t="s">
        <v>7934</v>
      </c>
      <c r="C4937" s="1">
        <v>111400000</v>
      </c>
      <c r="D4937" s="1" t="s">
        <v>115</v>
      </c>
      <c r="E4937">
        <v>84.212199999999996</v>
      </c>
      <c r="F4937" s="1" t="s">
        <v>172</v>
      </c>
      <c r="G4937">
        <v>55</v>
      </c>
      <c r="H4937">
        <v>41</v>
      </c>
      <c r="I4937" s="1" t="s">
        <v>836</v>
      </c>
      <c r="J4937">
        <v>1</v>
      </c>
      <c r="K4937" t="str">
        <f>IF(Tb_data[[#This Row],[previous_workers]]&lt;Tb_data[[#This Row],[workers]],"yes","no")</f>
        <v>yes</v>
      </c>
      <c r="L4937">
        <f>Tb_data[[#This Row],[workers]]-Tb_data[[#This Row],[previous_workers]]</f>
        <v>14</v>
      </c>
      <c r="M4937" s="12">
        <f>Tb_data[[#This Row],[Employees Growth]]/Tb_data[[#This Row],[previous_workers]]</f>
        <v>0.34146341463414637</v>
      </c>
    </row>
    <row r="4938" spans="1:13" x14ac:dyDescent="0.25">
      <c r="A4938" s="1" t="s">
        <v>3601</v>
      </c>
      <c r="B4938" s="1" t="s">
        <v>3602</v>
      </c>
      <c r="C4938" s="1">
        <v>17200000</v>
      </c>
      <c r="D4938" s="1" t="s">
        <v>422</v>
      </c>
      <c r="E4938">
        <v>233.9324</v>
      </c>
      <c r="F4938" s="1" t="s">
        <v>100</v>
      </c>
      <c r="G4938">
        <v>8</v>
      </c>
      <c r="H4938">
        <v>10</v>
      </c>
      <c r="I4938" s="1" t="s">
        <v>35</v>
      </c>
      <c r="J4938">
        <v>4</v>
      </c>
      <c r="K4938" t="str">
        <f>IF(Tb_data[[#This Row],[previous_workers]]&lt;Tb_data[[#This Row],[workers]],"yes","no")</f>
        <v>no</v>
      </c>
      <c r="L4938">
        <f>Tb_data[[#This Row],[workers]]-Tb_data[[#This Row],[previous_workers]]</f>
        <v>-2</v>
      </c>
      <c r="M4938" s="12">
        <f>Tb_data[[#This Row],[Employees Growth]]/Tb_data[[#This Row],[previous_workers]]</f>
        <v>-0.2</v>
      </c>
    </row>
    <row r="4939" spans="1:13" x14ac:dyDescent="0.25">
      <c r="A4939" s="1" t="s">
        <v>4401</v>
      </c>
      <c r="B4939" s="1" t="s">
        <v>4402</v>
      </c>
      <c r="C4939" s="1">
        <v>54500000</v>
      </c>
      <c r="D4939" s="1" t="s">
        <v>49</v>
      </c>
      <c r="E4939">
        <v>186.56059999999999</v>
      </c>
      <c r="F4939" s="1" t="s">
        <v>12</v>
      </c>
      <c r="G4939">
        <v>392</v>
      </c>
      <c r="H4939">
        <v>175</v>
      </c>
      <c r="I4939" s="1" t="s">
        <v>1051</v>
      </c>
      <c r="J4939">
        <v>11</v>
      </c>
      <c r="K4939" t="str">
        <f>IF(Tb_data[[#This Row],[previous_workers]]&lt;Tb_data[[#This Row],[workers]],"yes","no")</f>
        <v>yes</v>
      </c>
      <c r="L4939">
        <f>Tb_data[[#This Row],[workers]]-Tb_data[[#This Row],[previous_workers]]</f>
        <v>217</v>
      </c>
      <c r="M4939" s="12">
        <f>Tb_data[[#This Row],[Employees Growth]]/Tb_data[[#This Row],[previous_workers]]</f>
        <v>1.24</v>
      </c>
    </row>
    <row r="4940" spans="1:13" x14ac:dyDescent="0.25">
      <c r="A4940" s="1" t="s">
        <v>707</v>
      </c>
      <c r="B4940" s="1" t="s">
        <v>708</v>
      </c>
      <c r="C4940" s="1">
        <v>2900000</v>
      </c>
      <c r="D4940" s="1" t="s">
        <v>49</v>
      </c>
      <c r="E4940">
        <v>1468.3844999999999</v>
      </c>
      <c r="F4940" s="1" t="s">
        <v>12</v>
      </c>
      <c r="G4940">
        <v>18</v>
      </c>
      <c r="H4940">
        <v>8</v>
      </c>
      <c r="I4940" s="1" t="s">
        <v>13</v>
      </c>
      <c r="J4940">
        <v>1</v>
      </c>
      <c r="K4940" t="str">
        <f>IF(Tb_data[[#This Row],[previous_workers]]&lt;Tb_data[[#This Row],[workers]],"yes","no")</f>
        <v>yes</v>
      </c>
      <c r="L4940">
        <f>Tb_data[[#This Row],[workers]]-Tb_data[[#This Row],[previous_workers]]</f>
        <v>10</v>
      </c>
      <c r="M4940" s="12">
        <f>Tb_data[[#This Row],[Employees Growth]]/Tb_data[[#This Row],[previous_workers]]</f>
        <v>1.25</v>
      </c>
    </row>
    <row r="4941" spans="1:13" x14ac:dyDescent="0.25">
      <c r="A4941" s="1" t="s">
        <v>1972</v>
      </c>
      <c r="B4941" s="1" t="s">
        <v>1973</v>
      </c>
      <c r="C4941" s="1">
        <v>2100000</v>
      </c>
      <c r="D4941" s="1" t="s">
        <v>123</v>
      </c>
      <c r="E4941">
        <v>457.48840000000001</v>
      </c>
      <c r="F4941" s="1" t="s">
        <v>94</v>
      </c>
      <c r="G4941">
        <v>15</v>
      </c>
      <c r="H4941">
        <v>2</v>
      </c>
      <c r="I4941" s="1" t="s">
        <v>13</v>
      </c>
      <c r="J4941">
        <v>1</v>
      </c>
      <c r="K4941" t="str">
        <f>IF(Tb_data[[#This Row],[previous_workers]]&lt;Tb_data[[#This Row],[workers]],"yes","no")</f>
        <v>yes</v>
      </c>
      <c r="L4941">
        <f>Tb_data[[#This Row],[workers]]-Tb_data[[#This Row],[previous_workers]]</f>
        <v>13</v>
      </c>
      <c r="M4941" s="12">
        <f>Tb_data[[#This Row],[Employees Growth]]/Tb_data[[#This Row],[previous_workers]]</f>
        <v>6.5</v>
      </c>
    </row>
    <row r="4942" spans="1:13" x14ac:dyDescent="0.25">
      <c r="A4942" s="1" t="s">
        <v>227</v>
      </c>
      <c r="B4942" s="1" t="s">
        <v>228</v>
      </c>
      <c r="C4942" s="1">
        <v>7200000</v>
      </c>
      <c r="D4942" s="1" t="s">
        <v>123</v>
      </c>
      <c r="E4942">
        <v>4089.6556999999998</v>
      </c>
      <c r="F4942" s="1" t="s">
        <v>124</v>
      </c>
      <c r="G4942">
        <v>40</v>
      </c>
      <c r="H4942">
        <v>6</v>
      </c>
      <c r="I4942" s="1" t="s">
        <v>229</v>
      </c>
      <c r="J4942">
        <v>1</v>
      </c>
      <c r="K4942" t="str">
        <f>IF(Tb_data[[#This Row],[previous_workers]]&lt;Tb_data[[#This Row],[workers]],"yes","no")</f>
        <v>yes</v>
      </c>
      <c r="L4942">
        <f>Tb_data[[#This Row],[workers]]-Tb_data[[#This Row],[previous_workers]]</f>
        <v>34</v>
      </c>
      <c r="M4942" s="12">
        <f>Tb_data[[#This Row],[Employees Growth]]/Tb_data[[#This Row],[previous_workers]]</f>
        <v>5.666666666666667</v>
      </c>
    </row>
    <row r="4943" spans="1:13" x14ac:dyDescent="0.25">
      <c r="A4943" s="1" t="s">
        <v>9940</v>
      </c>
      <c r="B4943" s="1" t="s">
        <v>9941</v>
      </c>
      <c r="C4943" s="1">
        <v>16600000</v>
      </c>
      <c r="D4943" s="1" t="s">
        <v>45</v>
      </c>
      <c r="E4943">
        <v>54.606200000000001</v>
      </c>
      <c r="F4943" s="1" t="s">
        <v>116</v>
      </c>
      <c r="G4943">
        <v>71</v>
      </c>
      <c r="H4943">
        <v>43</v>
      </c>
      <c r="I4943" s="1" t="s">
        <v>74</v>
      </c>
      <c r="J4943">
        <v>9</v>
      </c>
      <c r="K4943" t="str">
        <f>IF(Tb_data[[#This Row],[previous_workers]]&lt;Tb_data[[#This Row],[workers]],"yes","no")</f>
        <v>yes</v>
      </c>
      <c r="L4943">
        <f>Tb_data[[#This Row],[workers]]-Tb_data[[#This Row],[previous_workers]]</f>
        <v>28</v>
      </c>
      <c r="M4943" s="12">
        <f>Tb_data[[#This Row],[Employees Growth]]/Tb_data[[#This Row],[previous_workers]]</f>
        <v>0.65116279069767447</v>
      </c>
    </row>
    <row r="4944" spans="1:13" x14ac:dyDescent="0.25">
      <c r="A4944" s="1" t="s">
        <v>2138</v>
      </c>
      <c r="B4944" s="1" t="s">
        <v>2139</v>
      </c>
      <c r="C4944" s="1">
        <v>3100000</v>
      </c>
      <c r="D4944" s="1" t="s">
        <v>29</v>
      </c>
      <c r="E4944">
        <v>416.27499999999998</v>
      </c>
      <c r="F4944" s="1" t="s">
        <v>12</v>
      </c>
      <c r="G4944">
        <v>6</v>
      </c>
      <c r="H4944">
        <v>4</v>
      </c>
      <c r="I4944" s="1" t="s">
        <v>55</v>
      </c>
      <c r="J4944">
        <v>1</v>
      </c>
      <c r="K4944" t="str">
        <f>IF(Tb_data[[#This Row],[previous_workers]]&lt;Tb_data[[#This Row],[workers]],"yes","no")</f>
        <v>yes</v>
      </c>
      <c r="L4944">
        <f>Tb_data[[#This Row],[workers]]-Tb_data[[#This Row],[previous_workers]]</f>
        <v>2</v>
      </c>
      <c r="M4944" s="12">
        <f>Tb_data[[#This Row],[Employees Growth]]/Tb_data[[#This Row],[previous_workers]]</f>
        <v>0.5</v>
      </c>
    </row>
    <row r="4945" spans="1:13" x14ac:dyDescent="0.25">
      <c r="A4945" s="1" t="s">
        <v>1517</v>
      </c>
      <c r="B4945" s="1" t="s">
        <v>1518</v>
      </c>
      <c r="C4945" s="1">
        <v>9600000</v>
      </c>
      <c r="D4945" s="1" t="s">
        <v>49</v>
      </c>
      <c r="E4945">
        <v>617.45619999999997</v>
      </c>
      <c r="F4945" s="1" t="s">
        <v>176</v>
      </c>
      <c r="G4945">
        <v>15</v>
      </c>
      <c r="H4945">
        <v>9</v>
      </c>
      <c r="I4945" s="1" t="s">
        <v>35</v>
      </c>
      <c r="J4945">
        <v>5</v>
      </c>
      <c r="K4945" t="str">
        <f>IF(Tb_data[[#This Row],[previous_workers]]&lt;Tb_data[[#This Row],[workers]],"yes","no")</f>
        <v>yes</v>
      </c>
      <c r="L4945">
        <f>Tb_data[[#This Row],[workers]]-Tb_data[[#This Row],[previous_workers]]</f>
        <v>6</v>
      </c>
      <c r="M4945" s="12">
        <f>Tb_data[[#This Row],[Employees Growth]]/Tb_data[[#This Row],[previous_workers]]</f>
        <v>0.66666666666666663</v>
      </c>
    </row>
    <row r="4946" spans="1:13" x14ac:dyDescent="0.25">
      <c r="A4946" s="1" t="s">
        <v>1762</v>
      </c>
      <c r="B4946" s="1" t="s">
        <v>1763</v>
      </c>
      <c r="C4946" s="1">
        <v>8800000</v>
      </c>
      <c r="D4946" s="1" t="s">
        <v>52</v>
      </c>
      <c r="E4946">
        <v>515.4058</v>
      </c>
      <c r="F4946" s="1" t="s">
        <v>25</v>
      </c>
      <c r="G4946">
        <v>33</v>
      </c>
      <c r="H4946">
        <v>6</v>
      </c>
      <c r="I4946" s="1" t="s">
        <v>117</v>
      </c>
      <c r="J4946">
        <v>3</v>
      </c>
      <c r="K4946" t="str">
        <f>IF(Tb_data[[#This Row],[previous_workers]]&lt;Tb_data[[#This Row],[workers]],"yes","no")</f>
        <v>yes</v>
      </c>
      <c r="L4946">
        <f>Tb_data[[#This Row],[workers]]-Tb_data[[#This Row],[previous_workers]]</f>
        <v>27</v>
      </c>
      <c r="M4946" s="12">
        <f>Tb_data[[#This Row],[Employees Growth]]/Tb_data[[#This Row],[previous_workers]]</f>
        <v>4.5</v>
      </c>
    </row>
    <row r="4947" spans="1:13" x14ac:dyDescent="0.25">
      <c r="A4947" s="1" t="s">
        <v>8709</v>
      </c>
      <c r="B4947" s="1" t="s">
        <v>8710</v>
      </c>
      <c r="C4947" s="1">
        <v>21900000</v>
      </c>
      <c r="D4947" s="1" t="s">
        <v>155</v>
      </c>
      <c r="E4947">
        <v>70.916499999999999</v>
      </c>
      <c r="F4947" s="1" t="s">
        <v>112</v>
      </c>
      <c r="G4947">
        <v>102</v>
      </c>
      <c r="H4947">
        <v>48</v>
      </c>
      <c r="I4947" s="1" t="s">
        <v>980</v>
      </c>
      <c r="J4947">
        <v>8</v>
      </c>
      <c r="K4947" t="str">
        <f>IF(Tb_data[[#This Row],[previous_workers]]&lt;Tb_data[[#This Row],[workers]],"yes","no")</f>
        <v>yes</v>
      </c>
      <c r="L4947">
        <f>Tb_data[[#This Row],[workers]]-Tb_data[[#This Row],[previous_workers]]</f>
        <v>54</v>
      </c>
      <c r="M4947" s="12">
        <f>Tb_data[[#This Row],[Employees Growth]]/Tb_data[[#This Row],[previous_workers]]</f>
        <v>1.125</v>
      </c>
    </row>
    <row r="4948" spans="1:13" x14ac:dyDescent="0.25">
      <c r="A4948" s="1" t="s">
        <v>9668</v>
      </c>
      <c r="B4948" s="1" t="s">
        <v>9669</v>
      </c>
      <c r="C4948" s="1">
        <v>10300000</v>
      </c>
      <c r="D4948" s="1" t="s">
        <v>91</v>
      </c>
      <c r="E4948">
        <v>58.360799999999998</v>
      </c>
      <c r="F4948" s="1" t="s">
        <v>82</v>
      </c>
      <c r="G4948">
        <v>48</v>
      </c>
      <c r="H4948">
        <v>13</v>
      </c>
      <c r="I4948" s="1" t="s">
        <v>26</v>
      </c>
      <c r="J4948">
        <v>1</v>
      </c>
      <c r="K4948" t="str">
        <f>IF(Tb_data[[#This Row],[previous_workers]]&lt;Tb_data[[#This Row],[workers]],"yes","no")</f>
        <v>yes</v>
      </c>
      <c r="L4948">
        <f>Tb_data[[#This Row],[workers]]-Tb_data[[#This Row],[previous_workers]]</f>
        <v>35</v>
      </c>
      <c r="M4948" s="12">
        <f>Tb_data[[#This Row],[Employees Growth]]/Tb_data[[#This Row],[previous_workers]]</f>
        <v>2.6923076923076925</v>
      </c>
    </row>
    <row r="4949" spans="1:13" x14ac:dyDescent="0.25">
      <c r="A4949" s="1" t="s">
        <v>9455</v>
      </c>
      <c r="B4949" s="1" t="s">
        <v>9456</v>
      </c>
      <c r="C4949" s="1">
        <v>8100000</v>
      </c>
      <c r="D4949" s="1" t="s">
        <v>254</v>
      </c>
      <c r="E4949">
        <v>60.793500000000002</v>
      </c>
      <c r="F4949" s="1" t="s">
        <v>17</v>
      </c>
      <c r="G4949">
        <v>16</v>
      </c>
      <c r="H4949">
        <v>12</v>
      </c>
      <c r="I4949" s="1" t="s">
        <v>117</v>
      </c>
      <c r="J4949">
        <v>4</v>
      </c>
      <c r="K4949" t="str">
        <f>IF(Tb_data[[#This Row],[previous_workers]]&lt;Tb_data[[#This Row],[workers]],"yes","no")</f>
        <v>yes</v>
      </c>
      <c r="L4949">
        <f>Tb_data[[#This Row],[workers]]-Tb_data[[#This Row],[previous_workers]]</f>
        <v>4</v>
      </c>
      <c r="M4949" s="12">
        <f>Tb_data[[#This Row],[Employees Growth]]/Tb_data[[#This Row],[previous_workers]]</f>
        <v>0.33333333333333331</v>
      </c>
    </row>
    <row r="4950" spans="1:13" x14ac:dyDescent="0.25">
      <c r="A4950" s="1" t="s">
        <v>5758</v>
      </c>
      <c r="B4950" s="1" t="s">
        <v>5759</v>
      </c>
      <c r="C4950" s="1">
        <v>4100000</v>
      </c>
      <c r="D4950" s="1" t="s">
        <v>179</v>
      </c>
      <c r="E4950">
        <v>132.47569999999999</v>
      </c>
      <c r="F4950" s="1" t="s">
        <v>12</v>
      </c>
      <c r="G4950">
        <v>25</v>
      </c>
      <c r="H4950">
        <v>15</v>
      </c>
      <c r="I4950" s="1" t="s">
        <v>130</v>
      </c>
      <c r="J4950">
        <v>1</v>
      </c>
      <c r="K4950" t="str">
        <f>IF(Tb_data[[#This Row],[previous_workers]]&lt;Tb_data[[#This Row],[workers]],"yes","no")</f>
        <v>yes</v>
      </c>
      <c r="L4950">
        <f>Tb_data[[#This Row],[workers]]-Tb_data[[#This Row],[previous_workers]]</f>
        <v>10</v>
      </c>
      <c r="M4950" s="12">
        <f>Tb_data[[#This Row],[Employees Growth]]/Tb_data[[#This Row],[previous_workers]]</f>
        <v>0.66666666666666663</v>
      </c>
    </row>
    <row r="4951" spans="1:13" x14ac:dyDescent="0.25">
      <c r="A4951" s="1" t="s">
        <v>3543</v>
      </c>
      <c r="B4951" s="1" t="s">
        <v>3544</v>
      </c>
      <c r="C4951" s="1">
        <v>5700000</v>
      </c>
      <c r="D4951" s="1" t="s">
        <v>33</v>
      </c>
      <c r="E4951">
        <v>238.72479999999999</v>
      </c>
      <c r="F4951" s="1" t="s">
        <v>176</v>
      </c>
      <c r="G4951">
        <v>141</v>
      </c>
      <c r="H4951">
        <v>3</v>
      </c>
      <c r="I4951" s="1" t="s">
        <v>229</v>
      </c>
      <c r="J4951">
        <v>3</v>
      </c>
      <c r="K4951" t="str">
        <f>IF(Tb_data[[#This Row],[previous_workers]]&lt;Tb_data[[#This Row],[workers]],"yes","no")</f>
        <v>yes</v>
      </c>
      <c r="L4951">
        <f>Tb_data[[#This Row],[workers]]-Tb_data[[#This Row],[previous_workers]]</f>
        <v>138</v>
      </c>
      <c r="M4951" s="12">
        <f>Tb_data[[#This Row],[Employees Growth]]/Tb_data[[#This Row],[previous_workers]]</f>
        <v>46</v>
      </c>
    </row>
    <row r="4952" spans="1:13" x14ac:dyDescent="0.25">
      <c r="A4952" s="1" t="s">
        <v>8213</v>
      </c>
      <c r="B4952" s="1" t="s">
        <v>8214</v>
      </c>
      <c r="C4952" s="1">
        <v>50700000</v>
      </c>
      <c r="D4952" s="1" t="s">
        <v>52</v>
      </c>
      <c r="E4952">
        <v>79.358000000000004</v>
      </c>
      <c r="F4952" s="1" t="s">
        <v>176</v>
      </c>
      <c r="G4952">
        <v>324</v>
      </c>
      <c r="H4952">
        <v>108</v>
      </c>
      <c r="I4952" s="1" t="s">
        <v>1949</v>
      </c>
      <c r="J4952">
        <v>2</v>
      </c>
      <c r="K4952" t="str">
        <f>IF(Tb_data[[#This Row],[previous_workers]]&lt;Tb_data[[#This Row],[workers]],"yes","no")</f>
        <v>yes</v>
      </c>
      <c r="L4952">
        <f>Tb_data[[#This Row],[workers]]-Tb_data[[#This Row],[previous_workers]]</f>
        <v>216</v>
      </c>
      <c r="M4952" s="12">
        <f>Tb_data[[#This Row],[Employees Growth]]/Tb_data[[#This Row],[previous_workers]]</f>
        <v>2</v>
      </c>
    </row>
    <row r="4953" spans="1:13" x14ac:dyDescent="0.25">
      <c r="A4953" s="1" t="s">
        <v>2967</v>
      </c>
      <c r="B4953" s="1" t="s">
        <v>2968</v>
      </c>
      <c r="C4953" s="1">
        <v>2300000</v>
      </c>
      <c r="D4953" s="1" t="s">
        <v>115</v>
      </c>
      <c r="E4953">
        <v>290.3408</v>
      </c>
      <c r="F4953" s="1" t="s">
        <v>25</v>
      </c>
      <c r="G4953">
        <v>40</v>
      </c>
      <c r="H4953">
        <v>15</v>
      </c>
      <c r="I4953" s="1" t="s">
        <v>35</v>
      </c>
      <c r="J4953">
        <v>2</v>
      </c>
      <c r="K4953" t="str">
        <f>IF(Tb_data[[#This Row],[previous_workers]]&lt;Tb_data[[#This Row],[workers]],"yes","no")</f>
        <v>yes</v>
      </c>
      <c r="L4953">
        <f>Tb_data[[#This Row],[workers]]-Tb_data[[#This Row],[previous_workers]]</f>
        <v>25</v>
      </c>
      <c r="M4953" s="12">
        <f>Tb_data[[#This Row],[Employees Growth]]/Tb_data[[#This Row],[previous_workers]]</f>
        <v>1.6666666666666667</v>
      </c>
    </row>
    <row r="4954" spans="1:13" x14ac:dyDescent="0.25">
      <c r="A4954" s="1" t="s">
        <v>8215</v>
      </c>
      <c r="B4954" s="1" t="s">
        <v>8216</v>
      </c>
      <c r="C4954" s="1">
        <v>10000000</v>
      </c>
      <c r="D4954" s="1" t="s">
        <v>254</v>
      </c>
      <c r="E4954">
        <v>79.318299999999994</v>
      </c>
      <c r="F4954" s="1" t="s">
        <v>25</v>
      </c>
      <c r="G4954">
        <v>39</v>
      </c>
      <c r="H4954">
        <v>15</v>
      </c>
      <c r="I4954" s="1" t="s">
        <v>130</v>
      </c>
      <c r="J4954">
        <v>1</v>
      </c>
      <c r="K4954" t="str">
        <f>IF(Tb_data[[#This Row],[previous_workers]]&lt;Tb_data[[#This Row],[workers]],"yes","no")</f>
        <v>yes</v>
      </c>
      <c r="L4954">
        <f>Tb_data[[#This Row],[workers]]-Tb_data[[#This Row],[previous_workers]]</f>
        <v>24</v>
      </c>
      <c r="M4954" s="12">
        <f>Tb_data[[#This Row],[Employees Growth]]/Tb_data[[#This Row],[previous_workers]]</f>
        <v>1.6</v>
      </c>
    </row>
    <row r="4955" spans="1:13" x14ac:dyDescent="0.25">
      <c r="A4955" s="1" t="s">
        <v>851</v>
      </c>
      <c r="B4955" s="1" t="s">
        <v>852</v>
      </c>
      <c r="C4955" s="1">
        <v>21600000</v>
      </c>
      <c r="D4955" s="1" t="s">
        <v>49</v>
      </c>
      <c r="E4955">
        <v>1210.2204999999999</v>
      </c>
      <c r="F4955" s="1" t="s">
        <v>86</v>
      </c>
      <c r="G4955">
        <v>75</v>
      </c>
      <c r="H4955">
        <v>12</v>
      </c>
      <c r="I4955" s="1" t="s">
        <v>130</v>
      </c>
      <c r="J4955">
        <v>1</v>
      </c>
      <c r="K4955" t="str">
        <f>IF(Tb_data[[#This Row],[previous_workers]]&lt;Tb_data[[#This Row],[workers]],"yes","no")</f>
        <v>yes</v>
      </c>
      <c r="L4955">
        <f>Tb_data[[#This Row],[workers]]-Tb_data[[#This Row],[previous_workers]]</f>
        <v>63</v>
      </c>
      <c r="M4955" s="12">
        <f>Tb_data[[#This Row],[Employees Growth]]/Tb_data[[#This Row],[previous_workers]]</f>
        <v>5.25</v>
      </c>
    </row>
    <row r="4956" spans="1:13" x14ac:dyDescent="0.25">
      <c r="A4956" s="1" t="s">
        <v>1206</v>
      </c>
      <c r="B4956" s="1" t="s">
        <v>1207</v>
      </c>
      <c r="C4956" s="1">
        <v>5300000</v>
      </c>
      <c r="D4956" s="1" t="s">
        <v>103</v>
      </c>
      <c r="E4956">
        <v>803.9375</v>
      </c>
      <c r="F4956" s="1" t="s">
        <v>62</v>
      </c>
      <c r="G4956">
        <v>33</v>
      </c>
      <c r="H4956">
        <v>4</v>
      </c>
      <c r="I4956" s="1" t="s">
        <v>26</v>
      </c>
      <c r="J4956">
        <v>2</v>
      </c>
      <c r="K4956" t="str">
        <f>IF(Tb_data[[#This Row],[previous_workers]]&lt;Tb_data[[#This Row],[workers]],"yes","no")</f>
        <v>yes</v>
      </c>
      <c r="L4956">
        <f>Tb_data[[#This Row],[workers]]-Tb_data[[#This Row],[previous_workers]]</f>
        <v>29</v>
      </c>
      <c r="M4956" s="12">
        <f>Tb_data[[#This Row],[Employees Growth]]/Tb_data[[#This Row],[previous_workers]]</f>
        <v>7.25</v>
      </c>
    </row>
    <row r="4957" spans="1:13" x14ac:dyDescent="0.25">
      <c r="A4957" s="1" t="s">
        <v>6045</v>
      </c>
      <c r="B4957" s="1" t="s">
        <v>6046</v>
      </c>
      <c r="C4957" s="1">
        <v>111500000</v>
      </c>
      <c r="D4957" s="1" t="s">
        <v>91</v>
      </c>
      <c r="E4957">
        <v>125.6905</v>
      </c>
      <c r="F4957" s="1" t="s">
        <v>25</v>
      </c>
      <c r="G4957">
        <v>141</v>
      </c>
      <c r="H4957">
        <v>87</v>
      </c>
      <c r="I4957" s="1" t="s">
        <v>35</v>
      </c>
      <c r="J4957">
        <v>4</v>
      </c>
      <c r="K4957" t="str">
        <f>IF(Tb_data[[#This Row],[previous_workers]]&lt;Tb_data[[#This Row],[workers]],"yes","no")</f>
        <v>yes</v>
      </c>
      <c r="L4957">
        <f>Tb_data[[#This Row],[workers]]-Tb_data[[#This Row],[previous_workers]]</f>
        <v>54</v>
      </c>
      <c r="M4957" s="12">
        <f>Tb_data[[#This Row],[Employees Growth]]/Tb_data[[#This Row],[previous_workers]]</f>
        <v>0.62068965517241381</v>
      </c>
    </row>
    <row r="4958" spans="1:13" x14ac:dyDescent="0.25">
      <c r="A4958" s="1" t="s">
        <v>1553</v>
      </c>
      <c r="B4958" s="1" t="s">
        <v>1554</v>
      </c>
      <c r="C4958" s="1">
        <v>9800000</v>
      </c>
      <c r="D4958" s="1" t="s">
        <v>61</v>
      </c>
      <c r="E4958">
        <v>604.27380000000005</v>
      </c>
      <c r="F4958" s="1" t="s">
        <v>25</v>
      </c>
      <c r="G4958">
        <v>241</v>
      </c>
      <c r="H4958">
        <v>35</v>
      </c>
      <c r="I4958" s="1" t="s">
        <v>55</v>
      </c>
      <c r="J4958">
        <v>2</v>
      </c>
      <c r="K4958" t="str">
        <f>IF(Tb_data[[#This Row],[previous_workers]]&lt;Tb_data[[#This Row],[workers]],"yes","no")</f>
        <v>yes</v>
      </c>
      <c r="L4958">
        <f>Tb_data[[#This Row],[workers]]-Tb_data[[#This Row],[previous_workers]]</f>
        <v>206</v>
      </c>
      <c r="M4958" s="12">
        <f>Tb_data[[#This Row],[Employees Growth]]/Tb_data[[#This Row],[previous_workers]]</f>
        <v>5.8857142857142861</v>
      </c>
    </row>
    <row r="4959" spans="1:13" x14ac:dyDescent="0.25">
      <c r="A4959" s="1" t="s">
        <v>3007</v>
      </c>
      <c r="B4959" s="1" t="s">
        <v>3008</v>
      </c>
      <c r="C4959" s="1">
        <v>82200000</v>
      </c>
      <c r="D4959" s="1" t="s">
        <v>49</v>
      </c>
      <c r="E4959">
        <v>286.30930000000001</v>
      </c>
      <c r="F4959" s="1" t="s">
        <v>30</v>
      </c>
      <c r="G4959">
        <v>250</v>
      </c>
      <c r="H4959">
        <v>90</v>
      </c>
      <c r="I4959" s="1" t="s">
        <v>55</v>
      </c>
      <c r="J4959">
        <v>3</v>
      </c>
      <c r="K4959" t="str">
        <f>IF(Tb_data[[#This Row],[previous_workers]]&lt;Tb_data[[#This Row],[workers]],"yes","no")</f>
        <v>yes</v>
      </c>
      <c r="L4959">
        <f>Tb_data[[#This Row],[workers]]-Tb_data[[#This Row],[previous_workers]]</f>
        <v>160</v>
      </c>
      <c r="M4959" s="12">
        <f>Tb_data[[#This Row],[Employees Growth]]/Tb_data[[#This Row],[previous_workers]]</f>
        <v>1.7777777777777777</v>
      </c>
    </row>
    <row r="4960" spans="1:13" x14ac:dyDescent="0.25">
      <c r="A4960" s="1" t="s">
        <v>7144</v>
      </c>
      <c r="B4960" s="1" t="s">
        <v>7145</v>
      </c>
      <c r="C4960" s="1">
        <v>320200000</v>
      </c>
      <c r="D4960" s="1" t="s">
        <v>49</v>
      </c>
      <c r="E4960">
        <v>99.489699999999999</v>
      </c>
      <c r="F4960" s="1" t="s">
        <v>62</v>
      </c>
      <c r="G4960">
        <v>404</v>
      </c>
      <c r="H4960">
        <v>297</v>
      </c>
      <c r="I4960" s="1" t="s">
        <v>372</v>
      </c>
      <c r="J4960">
        <v>12</v>
      </c>
      <c r="K4960" t="str">
        <f>IF(Tb_data[[#This Row],[previous_workers]]&lt;Tb_data[[#This Row],[workers]],"yes","no")</f>
        <v>yes</v>
      </c>
      <c r="L4960">
        <f>Tb_data[[#This Row],[workers]]-Tb_data[[#This Row],[previous_workers]]</f>
        <v>107</v>
      </c>
      <c r="M4960" s="12">
        <f>Tb_data[[#This Row],[Employees Growth]]/Tb_data[[#This Row],[previous_workers]]</f>
        <v>0.36026936026936029</v>
      </c>
    </row>
    <row r="4961" spans="1:13" x14ac:dyDescent="0.25">
      <c r="A4961" s="1" t="s">
        <v>2781</v>
      </c>
      <c r="B4961" s="1" t="s">
        <v>2782</v>
      </c>
      <c r="C4961" s="1">
        <v>13000000</v>
      </c>
      <c r="D4961" s="1" t="s">
        <v>58</v>
      </c>
      <c r="E4961">
        <v>310.11779999999999</v>
      </c>
      <c r="F4961" s="1" t="s">
        <v>142</v>
      </c>
      <c r="G4961">
        <v>60</v>
      </c>
      <c r="H4961">
        <v>30</v>
      </c>
      <c r="I4961" s="1" t="s">
        <v>194</v>
      </c>
      <c r="J4961">
        <v>2</v>
      </c>
      <c r="K4961" t="str">
        <f>IF(Tb_data[[#This Row],[previous_workers]]&lt;Tb_data[[#This Row],[workers]],"yes","no")</f>
        <v>yes</v>
      </c>
      <c r="L4961">
        <f>Tb_data[[#This Row],[workers]]-Tb_data[[#This Row],[previous_workers]]</f>
        <v>30</v>
      </c>
      <c r="M4961" s="12">
        <f>Tb_data[[#This Row],[Employees Growth]]/Tb_data[[#This Row],[previous_workers]]</f>
        <v>1</v>
      </c>
    </row>
    <row r="4962" spans="1:13" x14ac:dyDescent="0.25">
      <c r="A4962" s="1" t="s">
        <v>4395</v>
      </c>
      <c r="B4962" s="1" t="s">
        <v>4396</v>
      </c>
      <c r="C4962" s="1">
        <v>7200000</v>
      </c>
      <c r="D4962" s="1" t="s">
        <v>254</v>
      </c>
      <c r="E4962">
        <v>186.67930000000001</v>
      </c>
      <c r="F4962" s="1" t="s">
        <v>86</v>
      </c>
      <c r="G4962">
        <v>46</v>
      </c>
      <c r="H4962">
        <v>36</v>
      </c>
      <c r="I4962" s="1" t="s">
        <v>35</v>
      </c>
      <c r="J4962">
        <v>3</v>
      </c>
      <c r="K4962" t="str">
        <f>IF(Tb_data[[#This Row],[previous_workers]]&lt;Tb_data[[#This Row],[workers]],"yes","no")</f>
        <v>yes</v>
      </c>
      <c r="L4962">
        <f>Tb_data[[#This Row],[workers]]-Tb_data[[#This Row],[previous_workers]]</f>
        <v>10</v>
      </c>
      <c r="M4962" s="12">
        <f>Tb_data[[#This Row],[Employees Growth]]/Tb_data[[#This Row],[previous_workers]]</f>
        <v>0.27777777777777779</v>
      </c>
    </row>
    <row r="4963" spans="1:13" x14ac:dyDescent="0.25">
      <c r="A4963" s="1" t="s">
        <v>4433</v>
      </c>
      <c r="B4963" s="1" t="s">
        <v>4434</v>
      </c>
      <c r="C4963" s="1">
        <v>2200000</v>
      </c>
      <c r="D4963" s="1" t="s">
        <v>103</v>
      </c>
      <c r="E4963">
        <v>185.50819999999999</v>
      </c>
      <c r="F4963" s="1" t="s">
        <v>34</v>
      </c>
      <c r="G4963">
        <v>18</v>
      </c>
      <c r="H4963">
        <v>11</v>
      </c>
      <c r="I4963" s="1" t="s">
        <v>1949</v>
      </c>
      <c r="J4963">
        <v>1</v>
      </c>
      <c r="K4963" t="str">
        <f>IF(Tb_data[[#This Row],[previous_workers]]&lt;Tb_data[[#This Row],[workers]],"yes","no")</f>
        <v>yes</v>
      </c>
      <c r="L4963">
        <f>Tb_data[[#This Row],[workers]]-Tb_data[[#This Row],[previous_workers]]</f>
        <v>7</v>
      </c>
      <c r="M4963" s="12">
        <f>Tb_data[[#This Row],[Employees Growth]]/Tb_data[[#This Row],[previous_workers]]</f>
        <v>0.63636363636363635</v>
      </c>
    </row>
    <row r="4964" spans="1:13" x14ac:dyDescent="0.25">
      <c r="A4964" s="1" t="s">
        <v>4284</v>
      </c>
      <c r="B4964" s="1" t="s">
        <v>4285</v>
      </c>
      <c r="C4964" s="1">
        <v>3700000</v>
      </c>
      <c r="D4964" s="1" t="s">
        <v>33</v>
      </c>
      <c r="E4964">
        <v>191.50360000000001</v>
      </c>
      <c r="F4964" s="1" t="s">
        <v>176</v>
      </c>
      <c r="G4964">
        <v>11</v>
      </c>
      <c r="H4964">
        <v>4</v>
      </c>
      <c r="I4964" s="1" t="s">
        <v>46</v>
      </c>
      <c r="J4964">
        <v>2</v>
      </c>
      <c r="K4964" t="str">
        <f>IF(Tb_data[[#This Row],[previous_workers]]&lt;Tb_data[[#This Row],[workers]],"yes","no")</f>
        <v>yes</v>
      </c>
      <c r="L4964">
        <f>Tb_data[[#This Row],[workers]]-Tb_data[[#This Row],[previous_workers]]</f>
        <v>7</v>
      </c>
      <c r="M4964" s="12">
        <f>Tb_data[[#This Row],[Employees Growth]]/Tb_data[[#This Row],[previous_workers]]</f>
        <v>1.75</v>
      </c>
    </row>
    <row r="4965" spans="1:13" x14ac:dyDescent="0.25">
      <c r="A4965" s="1" t="s">
        <v>7817</v>
      </c>
      <c r="B4965" s="1" t="s">
        <v>7818</v>
      </c>
      <c r="C4965" s="1">
        <v>3300000</v>
      </c>
      <c r="D4965" s="1" t="s">
        <v>49</v>
      </c>
      <c r="E4965">
        <v>86.058599999999998</v>
      </c>
      <c r="F4965" s="1" t="s">
        <v>176</v>
      </c>
      <c r="G4965">
        <v>14</v>
      </c>
      <c r="H4965">
        <v>7</v>
      </c>
      <c r="I4965" s="1" t="s">
        <v>1622</v>
      </c>
      <c r="J4965">
        <v>2</v>
      </c>
      <c r="K4965" t="str">
        <f>IF(Tb_data[[#This Row],[previous_workers]]&lt;Tb_data[[#This Row],[workers]],"yes","no")</f>
        <v>yes</v>
      </c>
      <c r="L4965">
        <f>Tb_data[[#This Row],[workers]]-Tb_data[[#This Row],[previous_workers]]</f>
        <v>7</v>
      </c>
      <c r="M4965" s="12">
        <f>Tb_data[[#This Row],[Employees Growth]]/Tb_data[[#This Row],[previous_workers]]</f>
        <v>1</v>
      </c>
    </row>
    <row r="4966" spans="1:13" x14ac:dyDescent="0.25">
      <c r="A4966" s="1" t="s">
        <v>6097</v>
      </c>
      <c r="B4966" s="1" t="s">
        <v>6098</v>
      </c>
      <c r="C4966" s="1">
        <v>16000000</v>
      </c>
      <c r="D4966" s="1" t="s">
        <v>41</v>
      </c>
      <c r="E4966">
        <v>123.93089999999999</v>
      </c>
      <c r="F4966" s="1" t="s">
        <v>12</v>
      </c>
      <c r="G4966">
        <v>68</v>
      </c>
      <c r="H4966">
        <v>24</v>
      </c>
      <c r="I4966" s="1" t="s">
        <v>980</v>
      </c>
      <c r="J4966">
        <v>2</v>
      </c>
      <c r="K4966" t="str">
        <f>IF(Tb_data[[#This Row],[previous_workers]]&lt;Tb_data[[#This Row],[workers]],"yes","no")</f>
        <v>yes</v>
      </c>
      <c r="L4966">
        <f>Tb_data[[#This Row],[workers]]-Tb_data[[#This Row],[previous_workers]]</f>
        <v>44</v>
      </c>
      <c r="M4966" s="12">
        <f>Tb_data[[#This Row],[Employees Growth]]/Tb_data[[#This Row],[previous_workers]]</f>
        <v>1.8333333333333333</v>
      </c>
    </row>
    <row r="4967" spans="1:13" x14ac:dyDescent="0.25">
      <c r="A4967" s="1" t="s">
        <v>59</v>
      </c>
      <c r="B4967" s="1" t="s">
        <v>60</v>
      </c>
      <c r="C4967" s="1">
        <v>19100000</v>
      </c>
      <c r="D4967" s="1" t="s">
        <v>61</v>
      </c>
      <c r="E4967">
        <v>10561.7147</v>
      </c>
      <c r="F4967" s="1" t="s">
        <v>62</v>
      </c>
      <c r="G4967">
        <v>66</v>
      </c>
      <c r="H4967">
        <v>10</v>
      </c>
      <c r="I4967" s="1" t="s">
        <v>13</v>
      </c>
      <c r="J4967">
        <v>1</v>
      </c>
      <c r="K4967" t="str">
        <f>IF(Tb_data[[#This Row],[previous_workers]]&lt;Tb_data[[#This Row],[workers]],"yes","no")</f>
        <v>yes</v>
      </c>
      <c r="L4967">
        <f>Tb_data[[#This Row],[workers]]-Tb_data[[#This Row],[previous_workers]]</f>
        <v>56</v>
      </c>
      <c r="M4967" s="12">
        <f>Tb_data[[#This Row],[Employees Growth]]/Tb_data[[#This Row],[previous_workers]]</f>
        <v>5.6</v>
      </c>
    </row>
    <row r="4968" spans="1:13" x14ac:dyDescent="0.25">
      <c r="A4968" s="1" t="s">
        <v>1720</v>
      </c>
      <c r="B4968" s="1" t="s">
        <v>1721</v>
      </c>
      <c r="C4968" s="1">
        <v>6500000</v>
      </c>
      <c r="D4968" s="1" t="s">
        <v>29</v>
      </c>
      <c r="E4968">
        <v>531.00459999999998</v>
      </c>
      <c r="F4968" s="1" t="s">
        <v>116</v>
      </c>
      <c r="G4968">
        <v>39</v>
      </c>
      <c r="H4968">
        <v>13</v>
      </c>
      <c r="I4968" s="1" t="s">
        <v>26</v>
      </c>
      <c r="J4968">
        <v>2</v>
      </c>
      <c r="K4968" t="str">
        <f>IF(Tb_data[[#This Row],[previous_workers]]&lt;Tb_data[[#This Row],[workers]],"yes","no")</f>
        <v>yes</v>
      </c>
      <c r="L4968">
        <f>Tb_data[[#This Row],[workers]]-Tb_data[[#This Row],[previous_workers]]</f>
        <v>26</v>
      </c>
      <c r="M4968" s="12">
        <f>Tb_data[[#This Row],[Employees Growth]]/Tb_data[[#This Row],[previous_workers]]</f>
        <v>2</v>
      </c>
    </row>
    <row r="4969" spans="1:13" x14ac:dyDescent="0.25">
      <c r="A4969" s="1" t="s">
        <v>7449</v>
      </c>
      <c r="B4969" s="1" t="s">
        <v>7450</v>
      </c>
      <c r="C4969" s="1">
        <v>7400000</v>
      </c>
      <c r="D4969" s="1" t="s">
        <v>69</v>
      </c>
      <c r="E4969">
        <v>94.353899999999996</v>
      </c>
      <c r="F4969" s="1" t="s">
        <v>172</v>
      </c>
      <c r="G4969">
        <v>25</v>
      </c>
      <c r="H4969">
        <v>23</v>
      </c>
      <c r="I4969" s="1" t="s">
        <v>2628</v>
      </c>
      <c r="J4969">
        <v>1</v>
      </c>
      <c r="K4969" t="str">
        <f>IF(Tb_data[[#This Row],[previous_workers]]&lt;Tb_data[[#This Row],[workers]],"yes","no")</f>
        <v>yes</v>
      </c>
      <c r="L4969">
        <f>Tb_data[[#This Row],[workers]]-Tb_data[[#This Row],[previous_workers]]</f>
        <v>2</v>
      </c>
      <c r="M4969" s="12">
        <f>Tb_data[[#This Row],[Employees Growth]]/Tb_data[[#This Row],[previous_workers]]</f>
        <v>8.6956521739130432E-2</v>
      </c>
    </row>
    <row r="4970" spans="1:13" x14ac:dyDescent="0.25">
      <c r="A4970" s="1" t="s">
        <v>6894</v>
      </c>
      <c r="B4970" s="1" t="s">
        <v>6895</v>
      </c>
      <c r="C4970" s="1">
        <v>886500000</v>
      </c>
      <c r="D4970" s="1" t="s">
        <v>91</v>
      </c>
      <c r="E4970">
        <v>104.28570000000001</v>
      </c>
      <c r="F4970" s="1" t="s">
        <v>30</v>
      </c>
      <c r="G4970">
        <v>864</v>
      </c>
      <c r="H4970">
        <v>606</v>
      </c>
      <c r="I4970" s="1" t="s">
        <v>3977</v>
      </c>
      <c r="J4970">
        <v>2</v>
      </c>
      <c r="K4970" t="str">
        <f>IF(Tb_data[[#This Row],[previous_workers]]&lt;Tb_data[[#This Row],[workers]],"yes","no")</f>
        <v>yes</v>
      </c>
      <c r="L4970">
        <f>Tb_data[[#This Row],[workers]]-Tb_data[[#This Row],[previous_workers]]</f>
        <v>258</v>
      </c>
      <c r="M4970" s="12">
        <f>Tb_data[[#This Row],[Employees Growth]]/Tb_data[[#This Row],[previous_workers]]</f>
        <v>0.42574257425742573</v>
      </c>
    </row>
    <row r="4971" spans="1:13" x14ac:dyDescent="0.25">
      <c r="A4971" s="1" t="s">
        <v>2098</v>
      </c>
      <c r="B4971" s="1" t="s">
        <v>2099</v>
      </c>
      <c r="C4971" s="1">
        <v>2000000</v>
      </c>
      <c r="D4971" s="1" t="s">
        <v>20</v>
      </c>
      <c r="E4971">
        <v>425.30790000000002</v>
      </c>
      <c r="F4971" s="1" t="s">
        <v>156</v>
      </c>
      <c r="G4971">
        <v>18</v>
      </c>
      <c r="H4971">
        <v>5</v>
      </c>
      <c r="I4971" s="1" t="s">
        <v>147</v>
      </c>
      <c r="J4971">
        <v>1</v>
      </c>
      <c r="K4971" t="str">
        <f>IF(Tb_data[[#This Row],[previous_workers]]&lt;Tb_data[[#This Row],[workers]],"yes","no")</f>
        <v>yes</v>
      </c>
      <c r="L4971">
        <f>Tb_data[[#This Row],[workers]]-Tb_data[[#This Row],[previous_workers]]</f>
        <v>13</v>
      </c>
      <c r="M4971" s="12">
        <f>Tb_data[[#This Row],[Employees Growth]]/Tb_data[[#This Row],[previous_workers]]</f>
        <v>2.6</v>
      </c>
    </row>
    <row r="4972" spans="1:13" x14ac:dyDescent="0.25">
      <c r="A4972" s="1" t="s">
        <v>2795</v>
      </c>
      <c r="B4972" s="1" t="s">
        <v>2796</v>
      </c>
      <c r="C4972" s="1">
        <v>8400000</v>
      </c>
      <c r="D4972" s="1" t="s">
        <v>49</v>
      </c>
      <c r="E4972">
        <v>308.66699999999997</v>
      </c>
      <c r="F4972" s="1" t="s">
        <v>100</v>
      </c>
      <c r="G4972">
        <v>12</v>
      </c>
      <c r="H4972">
        <v>5</v>
      </c>
      <c r="I4972" s="1" t="s">
        <v>194</v>
      </c>
      <c r="J4972">
        <v>1</v>
      </c>
      <c r="K4972" t="str">
        <f>IF(Tb_data[[#This Row],[previous_workers]]&lt;Tb_data[[#This Row],[workers]],"yes","no")</f>
        <v>yes</v>
      </c>
      <c r="L4972">
        <f>Tb_data[[#This Row],[workers]]-Tb_data[[#This Row],[previous_workers]]</f>
        <v>7</v>
      </c>
      <c r="M4972" s="12">
        <f>Tb_data[[#This Row],[Employees Growth]]/Tb_data[[#This Row],[previous_workers]]</f>
        <v>1.4</v>
      </c>
    </row>
    <row r="4973" spans="1:13" x14ac:dyDescent="0.25">
      <c r="A4973" s="1" t="s">
        <v>4331</v>
      </c>
      <c r="B4973" s="1" t="s">
        <v>4332</v>
      </c>
      <c r="C4973" s="1">
        <v>10100000</v>
      </c>
      <c r="D4973" s="1" t="s">
        <v>33</v>
      </c>
      <c r="E4973">
        <v>190.0437</v>
      </c>
      <c r="F4973" s="1" t="s">
        <v>176</v>
      </c>
      <c r="G4973">
        <v>101</v>
      </c>
      <c r="H4973">
        <v>54</v>
      </c>
      <c r="I4973" s="1" t="s">
        <v>35</v>
      </c>
      <c r="J4973">
        <v>5</v>
      </c>
      <c r="K4973" t="str">
        <f>IF(Tb_data[[#This Row],[previous_workers]]&lt;Tb_data[[#This Row],[workers]],"yes","no")</f>
        <v>yes</v>
      </c>
      <c r="L4973">
        <f>Tb_data[[#This Row],[workers]]-Tb_data[[#This Row],[previous_workers]]</f>
        <v>47</v>
      </c>
      <c r="M4973" s="12">
        <f>Tb_data[[#This Row],[Employees Growth]]/Tb_data[[#This Row],[previous_workers]]</f>
        <v>0.87037037037037035</v>
      </c>
    </row>
    <row r="4974" spans="1:13" x14ac:dyDescent="0.25">
      <c r="A4974" s="1" t="s">
        <v>5362</v>
      </c>
      <c r="B4974" s="1" t="s">
        <v>5363</v>
      </c>
      <c r="C4974" s="1">
        <v>2100000</v>
      </c>
      <c r="D4974" s="1" t="s">
        <v>49</v>
      </c>
      <c r="E4974">
        <v>147.81780000000001</v>
      </c>
      <c r="F4974" s="1" t="s">
        <v>62</v>
      </c>
      <c r="G4974">
        <v>5</v>
      </c>
      <c r="H4974">
        <v>3</v>
      </c>
      <c r="I4974" s="1" t="s">
        <v>35</v>
      </c>
      <c r="J4974">
        <v>1</v>
      </c>
      <c r="K4974" t="str">
        <f>IF(Tb_data[[#This Row],[previous_workers]]&lt;Tb_data[[#This Row],[workers]],"yes","no")</f>
        <v>yes</v>
      </c>
      <c r="L4974">
        <f>Tb_data[[#This Row],[workers]]-Tb_data[[#This Row],[previous_workers]]</f>
        <v>2</v>
      </c>
      <c r="M4974" s="12">
        <f>Tb_data[[#This Row],[Employees Growth]]/Tb_data[[#This Row],[previous_workers]]</f>
        <v>0.66666666666666663</v>
      </c>
    </row>
    <row r="4975" spans="1:13" x14ac:dyDescent="0.25">
      <c r="A4975" s="1" t="s">
        <v>5298</v>
      </c>
      <c r="B4975" s="1" t="s">
        <v>5299</v>
      </c>
      <c r="C4975" s="1">
        <v>19800000</v>
      </c>
      <c r="D4975" s="1" t="s">
        <v>49</v>
      </c>
      <c r="E4975">
        <v>150.12440000000001</v>
      </c>
      <c r="F4975" s="1" t="s">
        <v>176</v>
      </c>
      <c r="G4975">
        <v>70</v>
      </c>
      <c r="H4975">
        <v>55</v>
      </c>
      <c r="I4975" s="1" t="s">
        <v>130</v>
      </c>
      <c r="J4975">
        <v>1</v>
      </c>
      <c r="K4975" t="str">
        <f>IF(Tb_data[[#This Row],[previous_workers]]&lt;Tb_data[[#This Row],[workers]],"yes","no")</f>
        <v>yes</v>
      </c>
      <c r="L4975">
        <f>Tb_data[[#This Row],[workers]]-Tb_data[[#This Row],[previous_workers]]</f>
        <v>15</v>
      </c>
      <c r="M4975" s="12">
        <f>Tb_data[[#This Row],[Employees Growth]]/Tb_data[[#This Row],[previous_workers]]</f>
        <v>0.27272727272727271</v>
      </c>
    </row>
    <row r="4976" spans="1:13" x14ac:dyDescent="0.25">
      <c r="A4976" s="1" t="s">
        <v>2927</v>
      </c>
      <c r="B4976" s="1" t="s">
        <v>2928</v>
      </c>
      <c r="C4976" s="1">
        <v>5000000</v>
      </c>
      <c r="D4976" s="1" t="s">
        <v>254</v>
      </c>
      <c r="E4976">
        <v>294.0566</v>
      </c>
      <c r="F4976" s="1" t="s">
        <v>12</v>
      </c>
      <c r="G4976">
        <v>40</v>
      </c>
      <c r="H4976">
        <v>15</v>
      </c>
      <c r="I4976" s="1" t="s">
        <v>130</v>
      </c>
      <c r="J4976">
        <v>1</v>
      </c>
      <c r="K4976" t="str">
        <f>IF(Tb_data[[#This Row],[previous_workers]]&lt;Tb_data[[#This Row],[workers]],"yes","no")</f>
        <v>yes</v>
      </c>
      <c r="L4976">
        <f>Tb_data[[#This Row],[workers]]-Tb_data[[#This Row],[previous_workers]]</f>
        <v>25</v>
      </c>
      <c r="M4976" s="12">
        <f>Tb_data[[#This Row],[Employees Growth]]/Tb_data[[#This Row],[previous_workers]]</f>
        <v>1.6666666666666667</v>
      </c>
    </row>
    <row r="4977" spans="1:13" x14ac:dyDescent="0.25">
      <c r="A4977" s="1" t="s">
        <v>1138</v>
      </c>
      <c r="B4977" s="1" t="s">
        <v>1139</v>
      </c>
      <c r="C4977" s="1">
        <v>12600000</v>
      </c>
      <c r="D4977" s="1" t="s">
        <v>129</v>
      </c>
      <c r="E4977">
        <v>844.43320000000006</v>
      </c>
      <c r="F4977" s="1" t="s">
        <v>97</v>
      </c>
      <c r="G4977">
        <v>91</v>
      </c>
      <c r="H4977">
        <v>5</v>
      </c>
      <c r="I4977" s="1" t="s">
        <v>295</v>
      </c>
      <c r="J4977">
        <v>2</v>
      </c>
      <c r="K4977" t="str">
        <f>IF(Tb_data[[#This Row],[previous_workers]]&lt;Tb_data[[#This Row],[workers]],"yes","no")</f>
        <v>yes</v>
      </c>
      <c r="L4977">
        <f>Tb_data[[#This Row],[workers]]-Tb_data[[#This Row],[previous_workers]]</f>
        <v>86</v>
      </c>
      <c r="M4977" s="12">
        <f>Tb_data[[#This Row],[Employees Growth]]/Tb_data[[#This Row],[previous_workers]]</f>
        <v>17.2</v>
      </c>
    </row>
    <row r="4978" spans="1:13" x14ac:dyDescent="0.25">
      <c r="A4978" s="1" t="s">
        <v>4266</v>
      </c>
      <c r="B4978" s="1" t="s">
        <v>4267</v>
      </c>
      <c r="C4978" s="1">
        <v>22400000</v>
      </c>
      <c r="D4978" s="1" t="s">
        <v>38</v>
      </c>
      <c r="E4978">
        <v>193.2724</v>
      </c>
      <c r="F4978" s="1" t="s">
        <v>17</v>
      </c>
      <c r="G4978">
        <v>160</v>
      </c>
      <c r="H4978">
        <v>40</v>
      </c>
      <c r="I4978" s="1" t="s">
        <v>74</v>
      </c>
      <c r="J4978">
        <v>2</v>
      </c>
      <c r="K4978" t="str">
        <f>IF(Tb_data[[#This Row],[previous_workers]]&lt;Tb_data[[#This Row],[workers]],"yes","no")</f>
        <v>yes</v>
      </c>
      <c r="L4978">
        <f>Tb_data[[#This Row],[workers]]-Tb_data[[#This Row],[previous_workers]]</f>
        <v>120</v>
      </c>
      <c r="M4978" s="12">
        <f>Tb_data[[#This Row],[Employees Growth]]/Tb_data[[#This Row],[previous_workers]]</f>
        <v>3</v>
      </c>
    </row>
    <row r="4979" spans="1:13" x14ac:dyDescent="0.25">
      <c r="A4979" s="1" t="s">
        <v>6998</v>
      </c>
      <c r="B4979" s="1" t="s">
        <v>6999</v>
      </c>
      <c r="C4979" s="1">
        <v>25900000</v>
      </c>
      <c r="D4979" s="1" t="s">
        <v>49</v>
      </c>
      <c r="E4979">
        <v>101.83880000000001</v>
      </c>
      <c r="F4979" s="1" t="s">
        <v>12</v>
      </c>
      <c r="G4979">
        <v>80</v>
      </c>
      <c r="H4979">
        <v>62</v>
      </c>
      <c r="I4979" s="1" t="s">
        <v>74</v>
      </c>
      <c r="J4979">
        <v>5</v>
      </c>
      <c r="K4979" t="str">
        <f>IF(Tb_data[[#This Row],[previous_workers]]&lt;Tb_data[[#This Row],[workers]],"yes","no")</f>
        <v>yes</v>
      </c>
      <c r="L4979">
        <f>Tb_data[[#This Row],[workers]]-Tb_data[[#This Row],[previous_workers]]</f>
        <v>18</v>
      </c>
      <c r="M4979" s="12">
        <f>Tb_data[[#This Row],[Employees Growth]]/Tb_data[[#This Row],[previous_workers]]</f>
        <v>0.29032258064516131</v>
      </c>
    </row>
    <row r="4980" spans="1:13" x14ac:dyDescent="0.25">
      <c r="A4980" s="1" t="s">
        <v>1730</v>
      </c>
      <c r="B4980" s="1" t="s">
        <v>1731</v>
      </c>
      <c r="C4980" s="1">
        <v>146800000</v>
      </c>
      <c r="D4980" s="1" t="s">
        <v>91</v>
      </c>
      <c r="E4980">
        <v>526.76779999999997</v>
      </c>
      <c r="F4980" s="1" t="s">
        <v>161</v>
      </c>
      <c r="G4980">
        <v>30</v>
      </c>
      <c r="H4980">
        <v>7</v>
      </c>
      <c r="I4980" s="1" t="s">
        <v>26</v>
      </c>
      <c r="J4980">
        <v>1</v>
      </c>
      <c r="K4980" t="str">
        <f>IF(Tb_data[[#This Row],[previous_workers]]&lt;Tb_data[[#This Row],[workers]],"yes","no")</f>
        <v>yes</v>
      </c>
      <c r="L4980">
        <f>Tb_data[[#This Row],[workers]]-Tb_data[[#This Row],[previous_workers]]</f>
        <v>23</v>
      </c>
      <c r="M4980" s="12">
        <f>Tb_data[[#This Row],[Employees Growth]]/Tb_data[[#This Row],[previous_workers]]</f>
        <v>3.2857142857142856</v>
      </c>
    </row>
    <row r="4981" spans="1:13" x14ac:dyDescent="0.25">
      <c r="A4981" s="1" t="s">
        <v>2215</v>
      </c>
      <c r="B4981" s="1" t="s">
        <v>2216</v>
      </c>
      <c r="C4981" s="1">
        <v>6700000</v>
      </c>
      <c r="D4981" s="1" t="s">
        <v>33</v>
      </c>
      <c r="E4981">
        <v>398.4948</v>
      </c>
      <c r="F4981" s="1" t="s">
        <v>112</v>
      </c>
      <c r="G4981">
        <v>51</v>
      </c>
      <c r="H4981">
        <v>17</v>
      </c>
      <c r="I4981" s="1" t="s">
        <v>26</v>
      </c>
      <c r="J4981">
        <v>2</v>
      </c>
      <c r="K4981" t="str">
        <f>IF(Tb_data[[#This Row],[previous_workers]]&lt;Tb_data[[#This Row],[workers]],"yes","no")</f>
        <v>yes</v>
      </c>
      <c r="L4981">
        <f>Tb_data[[#This Row],[workers]]-Tb_data[[#This Row],[previous_workers]]</f>
        <v>34</v>
      </c>
      <c r="M4981" s="12">
        <f>Tb_data[[#This Row],[Employees Growth]]/Tb_data[[#This Row],[previous_workers]]</f>
        <v>2</v>
      </c>
    </row>
    <row r="4982" spans="1:13" x14ac:dyDescent="0.25">
      <c r="A4982" s="1" t="s">
        <v>2456</v>
      </c>
      <c r="B4982" s="1" t="s">
        <v>2457</v>
      </c>
      <c r="C4982" s="1">
        <v>31000000</v>
      </c>
      <c r="D4982" s="1" t="s">
        <v>61</v>
      </c>
      <c r="E4982">
        <v>354.24369999999999</v>
      </c>
      <c r="F4982" s="1" t="s">
        <v>25</v>
      </c>
      <c r="G4982">
        <v>110</v>
      </c>
      <c r="H4982">
        <v>35</v>
      </c>
      <c r="I4982" s="1" t="s">
        <v>117</v>
      </c>
      <c r="J4982">
        <v>3</v>
      </c>
      <c r="K4982" t="str">
        <f>IF(Tb_data[[#This Row],[previous_workers]]&lt;Tb_data[[#This Row],[workers]],"yes","no")</f>
        <v>yes</v>
      </c>
      <c r="L4982">
        <f>Tb_data[[#This Row],[workers]]-Tb_data[[#This Row],[previous_workers]]</f>
        <v>75</v>
      </c>
      <c r="M4982" s="12">
        <f>Tb_data[[#This Row],[Employees Growth]]/Tb_data[[#This Row],[previous_workers]]</f>
        <v>2.1428571428571428</v>
      </c>
    </row>
    <row r="4983" spans="1:13" x14ac:dyDescent="0.25">
      <c r="A4983" s="1" t="s">
        <v>7329</v>
      </c>
      <c r="B4983" s="1" t="s">
        <v>7330</v>
      </c>
      <c r="C4983" s="1">
        <v>91800000</v>
      </c>
      <c r="D4983" s="1" t="s">
        <v>49</v>
      </c>
      <c r="E4983">
        <v>96.530199999999994</v>
      </c>
      <c r="F4983" s="1" t="s">
        <v>12</v>
      </c>
      <c r="G4983">
        <v>227</v>
      </c>
      <c r="H4983">
        <v>313</v>
      </c>
      <c r="I4983" s="1" t="s">
        <v>46</v>
      </c>
      <c r="J4983">
        <v>1</v>
      </c>
      <c r="K4983" t="str">
        <f>IF(Tb_data[[#This Row],[previous_workers]]&lt;Tb_data[[#This Row],[workers]],"yes","no")</f>
        <v>no</v>
      </c>
      <c r="L4983">
        <f>Tb_data[[#This Row],[workers]]-Tb_data[[#This Row],[previous_workers]]</f>
        <v>-86</v>
      </c>
      <c r="M4983" s="12">
        <f>Tb_data[[#This Row],[Employees Growth]]/Tb_data[[#This Row],[previous_workers]]</f>
        <v>-0.27476038338658149</v>
      </c>
    </row>
    <row r="4984" spans="1:13" x14ac:dyDescent="0.25">
      <c r="A4984" s="1" t="s">
        <v>8041</v>
      </c>
      <c r="B4984" s="1" t="s">
        <v>8042</v>
      </c>
      <c r="C4984" s="1">
        <v>374500000</v>
      </c>
      <c r="D4984" s="1" t="s">
        <v>38</v>
      </c>
      <c r="E4984">
        <v>82.005600000000001</v>
      </c>
      <c r="F4984" s="1" t="s">
        <v>34</v>
      </c>
      <c r="G4984">
        <v>793</v>
      </c>
      <c r="H4984">
        <v>576</v>
      </c>
      <c r="I4984" s="1" t="s">
        <v>1051</v>
      </c>
      <c r="J4984">
        <v>9</v>
      </c>
      <c r="K4984" t="str">
        <f>IF(Tb_data[[#This Row],[previous_workers]]&lt;Tb_data[[#This Row],[workers]],"yes","no")</f>
        <v>yes</v>
      </c>
      <c r="L4984">
        <f>Tb_data[[#This Row],[workers]]-Tb_data[[#This Row],[previous_workers]]</f>
        <v>217</v>
      </c>
      <c r="M4984" s="12">
        <f>Tb_data[[#This Row],[Employees Growth]]/Tb_data[[#This Row],[previous_workers]]</f>
        <v>0.3767361111111111</v>
      </c>
    </row>
    <row r="4985" spans="1:13" x14ac:dyDescent="0.25">
      <c r="A4985" s="1" t="s">
        <v>6495</v>
      </c>
      <c r="B4985" s="1" t="s">
        <v>6496</v>
      </c>
      <c r="C4985" s="1">
        <v>188200000</v>
      </c>
      <c r="D4985" s="1" t="s">
        <v>41</v>
      </c>
      <c r="E4985">
        <v>114.14060000000001</v>
      </c>
      <c r="F4985" s="1" t="s">
        <v>97</v>
      </c>
      <c r="G4985">
        <v>1685</v>
      </c>
      <c r="H4985">
        <v>743</v>
      </c>
      <c r="I4985" s="1" t="s">
        <v>372</v>
      </c>
      <c r="J4985">
        <v>8</v>
      </c>
      <c r="K4985" t="str">
        <f>IF(Tb_data[[#This Row],[previous_workers]]&lt;Tb_data[[#This Row],[workers]],"yes","no")</f>
        <v>yes</v>
      </c>
      <c r="L4985">
        <f>Tb_data[[#This Row],[workers]]-Tb_data[[#This Row],[previous_workers]]</f>
        <v>942</v>
      </c>
      <c r="M4985" s="12">
        <f>Tb_data[[#This Row],[Employees Growth]]/Tb_data[[#This Row],[previous_workers]]</f>
        <v>1.2678331090174966</v>
      </c>
    </row>
    <row r="4986" spans="1:13" x14ac:dyDescent="0.25">
      <c r="A4986" s="1" t="s">
        <v>512</v>
      </c>
      <c r="B4986" s="1" t="s">
        <v>513</v>
      </c>
      <c r="C4986" s="1">
        <v>2700000</v>
      </c>
      <c r="D4986" s="1" t="s">
        <v>49</v>
      </c>
      <c r="E4986">
        <v>1924.2817</v>
      </c>
      <c r="F4986" s="1" t="s">
        <v>514</v>
      </c>
      <c r="G4986">
        <v>30</v>
      </c>
      <c r="H4986">
        <v>6</v>
      </c>
      <c r="I4986" s="1" t="s">
        <v>35</v>
      </c>
      <c r="J4986">
        <v>2</v>
      </c>
      <c r="K4986" t="str">
        <f>IF(Tb_data[[#This Row],[previous_workers]]&lt;Tb_data[[#This Row],[workers]],"yes","no")</f>
        <v>yes</v>
      </c>
      <c r="L4986">
        <f>Tb_data[[#This Row],[workers]]-Tb_data[[#This Row],[previous_workers]]</f>
        <v>24</v>
      </c>
      <c r="M4986" s="12">
        <f>Tb_data[[#This Row],[Employees Growth]]/Tb_data[[#This Row],[previous_workers]]</f>
        <v>4</v>
      </c>
    </row>
    <row r="4987" spans="1:13" x14ac:dyDescent="0.25">
      <c r="A4987" s="1" t="s">
        <v>8433</v>
      </c>
      <c r="B4987" s="1" t="s">
        <v>8434</v>
      </c>
      <c r="C4987" s="1">
        <v>27800000</v>
      </c>
      <c r="D4987" s="1" t="s">
        <v>115</v>
      </c>
      <c r="E4987">
        <v>75.122799999999998</v>
      </c>
      <c r="F4987" s="1" t="s">
        <v>156</v>
      </c>
      <c r="G4987">
        <v>146</v>
      </c>
      <c r="H4987">
        <v>84</v>
      </c>
      <c r="I4987" s="1" t="s">
        <v>194</v>
      </c>
      <c r="J4987">
        <v>3</v>
      </c>
      <c r="K4987" t="str">
        <f>IF(Tb_data[[#This Row],[previous_workers]]&lt;Tb_data[[#This Row],[workers]],"yes","no")</f>
        <v>yes</v>
      </c>
      <c r="L4987">
        <f>Tb_data[[#This Row],[workers]]-Tb_data[[#This Row],[previous_workers]]</f>
        <v>62</v>
      </c>
      <c r="M4987" s="12">
        <f>Tb_data[[#This Row],[Employees Growth]]/Tb_data[[#This Row],[previous_workers]]</f>
        <v>0.73809523809523814</v>
      </c>
    </row>
    <row r="4988" spans="1:13" x14ac:dyDescent="0.25">
      <c r="A4988" s="1" t="s">
        <v>1365</v>
      </c>
      <c r="B4988" s="1" t="s">
        <v>1366</v>
      </c>
      <c r="C4988" s="1">
        <v>9000000</v>
      </c>
      <c r="D4988" s="1" t="s">
        <v>85</v>
      </c>
      <c r="E4988">
        <v>698.26009999999997</v>
      </c>
      <c r="F4988" s="1" t="s">
        <v>176</v>
      </c>
      <c r="G4988">
        <v>81</v>
      </c>
      <c r="H4988">
        <v>7</v>
      </c>
      <c r="I4988" s="1" t="s">
        <v>55</v>
      </c>
      <c r="J4988">
        <v>1</v>
      </c>
      <c r="K4988" t="str">
        <f>IF(Tb_data[[#This Row],[previous_workers]]&lt;Tb_data[[#This Row],[workers]],"yes","no")</f>
        <v>yes</v>
      </c>
      <c r="L4988">
        <f>Tb_data[[#This Row],[workers]]-Tb_data[[#This Row],[previous_workers]]</f>
        <v>74</v>
      </c>
      <c r="M4988" s="12">
        <f>Tb_data[[#This Row],[Employees Growth]]/Tb_data[[#This Row],[previous_workers]]</f>
        <v>10.571428571428571</v>
      </c>
    </row>
    <row r="4989" spans="1:13" x14ac:dyDescent="0.25">
      <c r="A4989" s="1" t="s">
        <v>7130</v>
      </c>
      <c r="B4989" s="1" t="s">
        <v>7131</v>
      </c>
      <c r="C4989" s="1">
        <v>2300000</v>
      </c>
      <c r="D4989" s="1" t="s">
        <v>58</v>
      </c>
      <c r="E4989">
        <v>99.646199999999993</v>
      </c>
      <c r="F4989" s="1" t="s">
        <v>156</v>
      </c>
      <c r="G4989">
        <v>50</v>
      </c>
      <c r="H4989">
        <v>4</v>
      </c>
      <c r="I4989" s="1" t="s">
        <v>26</v>
      </c>
      <c r="J4989">
        <v>1</v>
      </c>
      <c r="K4989" t="str">
        <f>IF(Tb_data[[#This Row],[previous_workers]]&lt;Tb_data[[#This Row],[workers]],"yes","no")</f>
        <v>yes</v>
      </c>
      <c r="L4989">
        <f>Tb_data[[#This Row],[workers]]-Tb_data[[#This Row],[previous_workers]]</f>
        <v>46</v>
      </c>
      <c r="M4989" s="12">
        <f>Tb_data[[#This Row],[Employees Growth]]/Tb_data[[#This Row],[previous_workers]]</f>
        <v>11.5</v>
      </c>
    </row>
    <row r="4990" spans="1:13" x14ac:dyDescent="0.25">
      <c r="A4990" s="1" t="s">
        <v>3583</v>
      </c>
      <c r="B4990" s="1" t="s">
        <v>3584</v>
      </c>
      <c r="C4990" s="1">
        <v>22900000</v>
      </c>
      <c r="D4990" s="1" t="s">
        <v>115</v>
      </c>
      <c r="E4990">
        <v>235.0994</v>
      </c>
      <c r="F4990" s="1" t="s">
        <v>30</v>
      </c>
      <c r="G4990">
        <v>14</v>
      </c>
      <c r="H4990">
        <v>20</v>
      </c>
      <c r="I4990" s="1" t="s">
        <v>130</v>
      </c>
      <c r="J4990">
        <v>2</v>
      </c>
      <c r="K4990" t="str">
        <f>IF(Tb_data[[#This Row],[previous_workers]]&lt;Tb_data[[#This Row],[workers]],"yes","no")</f>
        <v>no</v>
      </c>
      <c r="L4990">
        <f>Tb_data[[#This Row],[workers]]-Tb_data[[#This Row],[previous_workers]]</f>
        <v>-6</v>
      </c>
      <c r="M4990" s="12">
        <f>Tb_data[[#This Row],[Employees Growth]]/Tb_data[[#This Row],[previous_workers]]</f>
        <v>-0.3</v>
      </c>
    </row>
    <row r="4991" spans="1:13" x14ac:dyDescent="0.25">
      <c r="A4991" s="1" t="s">
        <v>3821</v>
      </c>
      <c r="B4991" s="1" t="s">
        <v>3822</v>
      </c>
      <c r="C4991" s="1">
        <v>5000000</v>
      </c>
      <c r="D4991" s="1" t="s">
        <v>321</v>
      </c>
      <c r="E4991">
        <v>220.11590000000001</v>
      </c>
      <c r="F4991" s="1" t="s">
        <v>12</v>
      </c>
      <c r="G4991">
        <v>42</v>
      </c>
      <c r="H4991">
        <v>24</v>
      </c>
      <c r="I4991" s="1" t="s">
        <v>130</v>
      </c>
      <c r="J4991">
        <v>1</v>
      </c>
      <c r="K4991" t="str">
        <f>IF(Tb_data[[#This Row],[previous_workers]]&lt;Tb_data[[#This Row],[workers]],"yes","no")</f>
        <v>yes</v>
      </c>
      <c r="L4991">
        <f>Tb_data[[#This Row],[workers]]-Tb_data[[#This Row],[previous_workers]]</f>
        <v>18</v>
      </c>
      <c r="M4991" s="12">
        <f>Tb_data[[#This Row],[Employees Growth]]/Tb_data[[#This Row],[previous_workers]]</f>
        <v>0.75</v>
      </c>
    </row>
    <row r="4992" spans="1:13" x14ac:dyDescent="0.25">
      <c r="A4992" s="1" t="s">
        <v>1809</v>
      </c>
      <c r="B4992" s="1" t="s">
        <v>1810</v>
      </c>
      <c r="C4992" s="1">
        <v>3500000</v>
      </c>
      <c r="D4992" s="1" t="s">
        <v>33</v>
      </c>
      <c r="E4992">
        <v>498.88729999999998</v>
      </c>
      <c r="F4992" s="1" t="s">
        <v>176</v>
      </c>
      <c r="G4992">
        <v>27</v>
      </c>
      <c r="H4992">
        <v>4</v>
      </c>
      <c r="I4992" s="1" t="s">
        <v>55</v>
      </c>
      <c r="J4992">
        <v>1</v>
      </c>
      <c r="K4992" t="str">
        <f>IF(Tb_data[[#This Row],[previous_workers]]&lt;Tb_data[[#This Row],[workers]],"yes","no")</f>
        <v>yes</v>
      </c>
      <c r="L4992">
        <f>Tb_data[[#This Row],[workers]]-Tb_data[[#This Row],[previous_workers]]</f>
        <v>23</v>
      </c>
      <c r="M4992" s="12">
        <f>Tb_data[[#This Row],[Employees Growth]]/Tb_data[[#This Row],[previous_workers]]</f>
        <v>5.75</v>
      </c>
    </row>
    <row r="4993" spans="1:13" x14ac:dyDescent="0.25">
      <c r="A4993" s="1" t="s">
        <v>3258</v>
      </c>
      <c r="B4993" s="1" t="s">
        <v>3259</v>
      </c>
      <c r="C4993" s="1">
        <v>114400000</v>
      </c>
      <c r="D4993" s="1" t="s">
        <v>179</v>
      </c>
      <c r="E4993">
        <v>263.99919999999997</v>
      </c>
      <c r="F4993" s="1" t="s">
        <v>156</v>
      </c>
      <c r="G4993">
        <v>700</v>
      </c>
      <c r="H4993">
        <v>300</v>
      </c>
      <c r="I4993" s="1" t="s">
        <v>35</v>
      </c>
      <c r="J4993">
        <v>2</v>
      </c>
      <c r="K4993" t="str">
        <f>IF(Tb_data[[#This Row],[previous_workers]]&lt;Tb_data[[#This Row],[workers]],"yes","no")</f>
        <v>yes</v>
      </c>
      <c r="L4993">
        <f>Tb_data[[#This Row],[workers]]-Tb_data[[#This Row],[previous_workers]]</f>
        <v>400</v>
      </c>
      <c r="M4993" s="12">
        <f>Tb_data[[#This Row],[Employees Growth]]/Tb_data[[#This Row],[previous_workers]]</f>
        <v>1.3333333333333333</v>
      </c>
    </row>
    <row r="4994" spans="1:13" x14ac:dyDescent="0.25">
      <c r="A4994" s="1" t="s">
        <v>2915</v>
      </c>
      <c r="B4994" s="1" t="s">
        <v>2916</v>
      </c>
      <c r="C4994" s="1">
        <v>24700000</v>
      </c>
      <c r="D4994" s="1" t="s">
        <v>20</v>
      </c>
      <c r="E4994">
        <v>296.29270000000002</v>
      </c>
      <c r="F4994" s="1" t="s">
        <v>135</v>
      </c>
      <c r="G4994">
        <v>211</v>
      </c>
      <c r="H4994">
        <v>37</v>
      </c>
      <c r="I4994" s="1" t="s">
        <v>26</v>
      </c>
      <c r="J4994">
        <v>1</v>
      </c>
      <c r="K4994" t="str">
        <f>IF(Tb_data[[#This Row],[previous_workers]]&lt;Tb_data[[#This Row],[workers]],"yes","no")</f>
        <v>yes</v>
      </c>
      <c r="L4994">
        <f>Tb_data[[#This Row],[workers]]-Tb_data[[#This Row],[previous_workers]]</f>
        <v>174</v>
      </c>
      <c r="M4994" s="12">
        <f>Tb_data[[#This Row],[Employees Growth]]/Tb_data[[#This Row],[previous_workers]]</f>
        <v>4.7027027027027026</v>
      </c>
    </row>
    <row r="4995" spans="1:13" x14ac:dyDescent="0.25">
      <c r="A4995" s="1" t="s">
        <v>1862</v>
      </c>
      <c r="B4995" s="1" t="s">
        <v>1863</v>
      </c>
      <c r="C4995" s="1">
        <v>2700000</v>
      </c>
      <c r="D4995" s="1" t="s">
        <v>129</v>
      </c>
      <c r="E4995">
        <v>485.44990000000001</v>
      </c>
      <c r="F4995" s="1" t="s">
        <v>17</v>
      </c>
      <c r="G4995">
        <v>3</v>
      </c>
      <c r="H4995">
        <v>3</v>
      </c>
      <c r="I4995" s="1" t="s">
        <v>13</v>
      </c>
      <c r="J4995">
        <v>1</v>
      </c>
      <c r="K4995" t="str">
        <f>IF(Tb_data[[#This Row],[previous_workers]]&lt;Tb_data[[#This Row],[workers]],"yes","no")</f>
        <v>no</v>
      </c>
      <c r="L4995">
        <f>Tb_data[[#This Row],[workers]]-Tb_data[[#This Row],[previous_workers]]</f>
        <v>0</v>
      </c>
      <c r="M4995" s="12">
        <f>Tb_data[[#This Row],[Employees Growth]]/Tb_data[[#This Row],[previous_workers]]</f>
        <v>0</v>
      </c>
    </row>
    <row r="4996" spans="1:13" x14ac:dyDescent="0.25">
      <c r="A4996" s="1" t="s">
        <v>9550</v>
      </c>
      <c r="B4996" s="1" t="s">
        <v>9551</v>
      </c>
      <c r="C4996" s="1">
        <v>49000000</v>
      </c>
      <c r="D4996" s="1" t="s">
        <v>45</v>
      </c>
      <c r="E4996">
        <v>59.6952</v>
      </c>
      <c r="F4996" s="1" t="s">
        <v>17</v>
      </c>
      <c r="G4996">
        <v>60</v>
      </c>
      <c r="H4996">
        <v>40</v>
      </c>
      <c r="I4996" s="1" t="s">
        <v>194</v>
      </c>
      <c r="J4996">
        <v>8</v>
      </c>
      <c r="K4996" t="str">
        <f>IF(Tb_data[[#This Row],[previous_workers]]&lt;Tb_data[[#This Row],[workers]],"yes","no")</f>
        <v>yes</v>
      </c>
      <c r="L4996">
        <f>Tb_data[[#This Row],[workers]]-Tb_data[[#This Row],[previous_workers]]</f>
        <v>20</v>
      </c>
      <c r="M4996" s="12">
        <f>Tb_data[[#This Row],[Employees Growth]]/Tb_data[[#This Row],[previous_workers]]</f>
        <v>0.5</v>
      </c>
    </row>
    <row r="4997" spans="1:13" x14ac:dyDescent="0.25">
      <c r="A4997" s="1" t="s">
        <v>2169</v>
      </c>
      <c r="B4997" s="1" t="s">
        <v>2170</v>
      </c>
      <c r="C4997" s="1">
        <v>15600000</v>
      </c>
      <c r="D4997" s="1" t="s">
        <v>49</v>
      </c>
      <c r="E4997">
        <v>409.22590000000002</v>
      </c>
      <c r="F4997" s="1" t="s">
        <v>25</v>
      </c>
      <c r="G4997">
        <v>18</v>
      </c>
      <c r="H4997">
        <v>8</v>
      </c>
      <c r="I4997" s="1" t="s">
        <v>164</v>
      </c>
      <c r="J4997">
        <v>3</v>
      </c>
      <c r="K4997" t="str">
        <f>IF(Tb_data[[#This Row],[previous_workers]]&lt;Tb_data[[#This Row],[workers]],"yes","no")</f>
        <v>yes</v>
      </c>
      <c r="L4997">
        <f>Tb_data[[#This Row],[workers]]-Tb_data[[#This Row],[previous_workers]]</f>
        <v>10</v>
      </c>
      <c r="M4997" s="12">
        <f>Tb_data[[#This Row],[Employees Growth]]/Tb_data[[#This Row],[previous_workers]]</f>
        <v>1.25</v>
      </c>
    </row>
    <row r="4998" spans="1:13" x14ac:dyDescent="0.25">
      <c r="A4998" s="1" t="s">
        <v>2352</v>
      </c>
      <c r="B4998" s="1" t="s">
        <v>2353</v>
      </c>
      <c r="C4998" s="1">
        <v>46700000</v>
      </c>
      <c r="D4998" s="1" t="s">
        <v>11</v>
      </c>
      <c r="E4998">
        <v>371.51620000000003</v>
      </c>
      <c r="F4998" s="1" t="s">
        <v>82</v>
      </c>
      <c r="G4998">
        <v>58</v>
      </c>
      <c r="H4998">
        <v>25</v>
      </c>
      <c r="I4998" s="1" t="s">
        <v>46</v>
      </c>
      <c r="J4998">
        <v>5</v>
      </c>
      <c r="K4998" t="str">
        <f>IF(Tb_data[[#This Row],[previous_workers]]&lt;Tb_data[[#This Row],[workers]],"yes","no")</f>
        <v>yes</v>
      </c>
      <c r="L4998">
        <f>Tb_data[[#This Row],[workers]]-Tb_data[[#This Row],[previous_workers]]</f>
        <v>33</v>
      </c>
      <c r="M4998" s="12">
        <f>Tb_data[[#This Row],[Employees Growth]]/Tb_data[[#This Row],[previous_workers]]</f>
        <v>1.32</v>
      </c>
    </row>
    <row r="4999" spans="1:13" x14ac:dyDescent="0.25">
      <c r="A4999" s="1" t="s">
        <v>5128</v>
      </c>
      <c r="B4999" s="1" t="s">
        <v>5129</v>
      </c>
      <c r="C4999" s="1">
        <v>32000000</v>
      </c>
      <c r="D4999" s="1" t="s">
        <v>120</v>
      </c>
      <c r="E4999">
        <v>156.53380000000001</v>
      </c>
      <c r="F4999" s="1" t="s">
        <v>17</v>
      </c>
      <c r="G4999">
        <v>81</v>
      </c>
      <c r="H4999">
        <v>33</v>
      </c>
      <c r="I4999" s="1" t="s">
        <v>117</v>
      </c>
      <c r="J4999">
        <v>4</v>
      </c>
      <c r="K4999" t="str">
        <f>IF(Tb_data[[#This Row],[previous_workers]]&lt;Tb_data[[#This Row],[workers]],"yes","no")</f>
        <v>yes</v>
      </c>
      <c r="L4999">
        <f>Tb_data[[#This Row],[workers]]-Tb_data[[#This Row],[previous_workers]]</f>
        <v>48</v>
      </c>
      <c r="M4999" s="12">
        <f>Tb_data[[#This Row],[Employees Growth]]/Tb_data[[#This Row],[previous_workers]]</f>
        <v>1.4545454545454546</v>
      </c>
    </row>
    <row r="5000" spans="1:13" x14ac:dyDescent="0.25">
      <c r="A5000" s="1" t="s">
        <v>5642</v>
      </c>
      <c r="B5000" s="1" t="s">
        <v>5643</v>
      </c>
      <c r="C5000" s="1">
        <v>2600000</v>
      </c>
      <c r="D5000" s="1" t="s">
        <v>20</v>
      </c>
      <c r="E5000">
        <v>136.31190000000001</v>
      </c>
      <c r="F5000" s="1" t="s">
        <v>42</v>
      </c>
      <c r="G5000">
        <v>24</v>
      </c>
      <c r="H5000">
        <v>12</v>
      </c>
      <c r="I5000" s="1" t="s">
        <v>948</v>
      </c>
      <c r="J5000">
        <v>1</v>
      </c>
      <c r="K5000" t="str">
        <f>IF(Tb_data[[#This Row],[previous_workers]]&lt;Tb_data[[#This Row],[workers]],"yes","no")</f>
        <v>yes</v>
      </c>
      <c r="L5000">
        <f>Tb_data[[#This Row],[workers]]-Tb_data[[#This Row],[previous_workers]]</f>
        <v>12</v>
      </c>
      <c r="M5000" s="12">
        <f>Tb_data[[#This Row],[Employees Growth]]/Tb_data[[#This Row],[previous_workers]]</f>
        <v>1</v>
      </c>
    </row>
    <row r="5001" spans="1:13" x14ac:dyDescent="0.25">
      <c r="A5001" s="1" t="s">
        <v>3345</v>
      </c>
      <c r="B5001" s="1" t="s">
        <v>3346</v>
      </c>
      <c r="C5001" s="1">
        <v>2000000</v>
      </c>
      <c r="D5001" s="1" t="s">
        <v>45</v>
      </c>
      <c r="E5001">
        <v>256.07510000000002</v>
      </c>
      <c r="F5001" s="1" t="s">
        <v>12</v>
      </c>
      <c r="G5001">
        <v>13</v>
      </c>
      <c r="H5001">
        <v>5</v>
      </c>
      <c r="I5001" s="1" t="s">
        <v>55</v>
      </c>
      <c r="J5001">
        <v>1</v>
      </c>
      <c r="K5001" t="str">
        <f>IF(Tb_data[[#This Row],[previous_workers]]&lt;Tb_data[[#This Row],[workers]],"yes","no")</f>
        <v>yes</v>
      </c>
      <c r="L5001">
        <f>Tb_data[[#This Row],[workers]]-Tb_data[[#This Row],[previous_workers]]</f>
        <v>8</v>
      </c>
      <c r="M5001" s="12">
        <f>Tb_data[[#This Row],[Employees Growth]]/Tb_data[[#This Row],[previous_workers]]</f>
        <v>1.6</v>
      </c>
    </row>
    <row r="5002" spans="1:13" x14ac:dyDescent="0.25">
      <c r="A5002" s="1" t="s">
        <v>7611</v>
      </c>
      <c r="B5002" s="1" t="s">
        <v>7612</v>
      </c>
      <c r="C5002" s="1">
        <v>10200000</v>
      </c>
      <c r="D5002" s="1" t="s">
        <v>179</v>
      </c>
      <c r="E5002">
        <v>89.7042</v>
      </c>
      <c r="F5002" s="1" t="s">
        <v>34</v>
      </c>
      <c r="G5002">
        <v>15</v>
      </c>
      <c r="H5002">
        <v>10</v>
      </c>
      <c r="I5002" s="1" t="s">
        <v>194</v>
      </c>
      <c r="J5002">
        <v>2</v>
      </c>
      <c r="K5002" t="str">
        <f>IF(Tb_data[[#This Row],[previous_workers]]&lt;Tb_data[[#This Row],[workers]],"yes","no")</f>
        <v>yes</v>
      </c>
      <c r="L5002">
        <f>Tb_data[[#This Row],[workers]]-Tb_data[[#This Row],[previous_workers]]</f>
        <v>5</v>
      </c>
      <c r="M5002" s="12">
        <f>Tb_data[[#This Row],[Employees Growth]]/Tb_data[[#This Row],[previous_workers]]</f>
        <v>0.5</v>
      </c>
    </row>
    <row r="5003" spans="1:13" x14ac:dyDescent="0.25">
      <c r="A5003" s="1" t="s">
        <v>1371</v>
      </c>
      <c r="B5003" s="1" t="s">
        <v>1372</v>
      </c>
      <c r="C5003" s="1">
        <v>2200000</v>
      </c>
      <c r="D5003" s="1" t="s">
        <v>123</v>
      </c>
      <c r="E5003">
        <v>696.49879999999996</v>
      </c>
      <c r="F5003" s="1" t="s">
        <v>21</v>
      </c>
      <c r="G5003">
        <v>10</v>
      </c>
      <c r="H5003">
        <v>1</v>
      </c>
      <c r="I5003" s="1" t="s">
        <v>55</v>
      </c>
      <c r="J5003">
        <v>1</v>
      </c>
      <c r="K5003" t="str">
        <f>IF(Tb_data[[#This Row],[previous_workers]]&lt;Tb_data[[#This Row],[workers]],"yes","no")</f>
        <v>yes</v>
      </c>
      <c r="L5003">
        <f>Tb_data[[#This Row],[workers]]-Tb_data[[#This Row],[previous_workers]]</f>
        <v>9</v>
      </c>
      <c r="M5003" s="12">
        <f>Tb_data[[#This Row],[Employees Growth]]/Tb_data[[#This Row],[previous_workers]]</f>
        <v>9</v>
      </c>
    </row>
    <row r="5004" spans="1:13" x14ac:dyDescent="0.25">
      <c r="A5004" s="1" t="s">
        <v>9832</v>
      </c>
      <c r="B5004" s="1" t="s">
        <v>9833</v>
      </c>
      <c r="C5004" s="1">
        <v>21100000</v>
      </c>
      <c r="D5004" s="1" t="s">
        <v>422</v>
      </c>
      <c r="E5004">
        <v>56.314399999999999</v>
      </c>
      <c r="F5004" s="1" t="s">
        <v>112</v>
      </c>
      <c r="G5004">
        <v>80</v>
      </c>
      <c r="H5004">
        <v>60</v>
      </c>
      <c r="I5004" s="1" t="s">
        <v>164</v>
      </c>
      <c r="J5004">
        <v>2</v>
      </c>
      <c r="K5004" t="str">
        <f>IF(Tb_data[[#This Row],[previous_workers]]&lt;Tb_data[[#This Row],[workers]],"yes","no")</f>
        <v>yes</v>
      </c>
      <c r="L5004">
        <f>Tb_data[[#This Row],[workers]]-Tb_data[[#This Row],[previous_workers]]</f>
        <v>20</v>
      </c>
      <c r="M5004" s="12">
        <f>Tb_data[[#This Row],[Employees Growth]]/Tb_data[[#This Row],[previous_workers]]</f>
        <v>0.33333333333333331</v>
      </c>
    </row>
    <row r="5005" spans="1:13" x14ac:dyDescent="0.25">
      <c r="A5005" s="1" t="s">
        <v>8999</v>
      </c>
      <c r="B5005" s="1" t="s">
        <v>9000</v>
      </c>
      <c r="C5005" s="1">
        <v>10500000</v>
      </c>
      <c r="D5005" s="1" t="s">
        <v>179</v>
      </c>
      <c r="E5005">
        <v>66.667699999999996</v>
      </c>
      <c r="F5005" s="1" t="s">
        <v>176</v>
      </c>
      <c r="G5005">
        <v>21</v>
      </c>
      <c r="H5005">
        <v>16</v>
      </c>
      <c r="I5005" s="1" t="s">
        <v>147</v>
      </c>
      <c r="J5005">
        <v>4</v>
      </c>
      <c r="K5005" t="str">
        <f>IF(Tb_data[[#This Row],[previous_workers]]&lt;Tb_data[[#This Row],[workers]],"yes","no")</f>
        <v>yes</v>
      </c>
      <c r="L5005">
        <f>Tb_data[[#This Row],[workers]]-Tb_data[[#This Row],[previous_workers]]</f>
        <v>5</v>
      </c>
      <c r="M5005" s="12">
        <f>Tb_data[[#This Row],[Employees Growth]]/Tb_data[[#This Row],[previous_workers]]</f>
        <v>0.3125</v>
      </c>
    </row>
    <row r="5006" spans="1:13" x14ac:dyDescent="0.25">
      <c r="A5006" s="1" t="s">
        <v>1515</v>
      </c>
      <c r="B5006" s="1" t="s">
        <v>1516</v>
      </c>
      <c r="C5006" s="1">
        <v>151500000</v>
      </c>
      <c r="D5006" s="1" t="s">
        <v>49</v>
      </c>
      <c r="E5006">
        <v>619.2346</v>
      </c>
      <c r="F5006" s="1" t="s">
        <v>86</v>
      </c>
      <c r="G5006">
        <v>1700</v>
      </c>
      <c r="H5006">
        <v>300</v>
      </c>
      <c r="I5006" s="1" t="s">
        <v>164</v>
      </c>
      <c r="J5006">
        <v>1</v>
      </c>
      <c r="K5006" t="str">
        <f>IF(Tb_data[[#This Row],[previous_workers]]&lt;Tb_data[[#This Row],[workers]],"yes","no")</f>
        <v>yes</v>
      </c>
      <c r="L5006">
        <f>Tb_data[[#This Row],[workers]]-Tb_data[[#This Row],[previous_workers]]</f>
        <v>1400</v>
      </c>
      <c r="M5006" s="12">
        <f>Tb_data[[#This Row],[Employees Growth]]/Tb_data[[#This Row],[previous_workers]]</f>
        <v>4.666666666666667</v>
      </c>
    </row>
    <row r="5007" spans="1:13" x14ac:dyDescent="0.25">
      <c r="A5007" s="1" t="s">
        <v>4937</v>
      </c>
      <c r="B5007" s="1" t="s">
        <v>4938</v>
      </c>
      <c r="C5007" s="1">
        <v>72800000</v>
      </c>
      <c r="D5007" s="1" t="s">
        <v>179</v>
      </c>
      <c r="E5007">
        <v>164.6156</v>
      </c>
      <c r="F5007" s="1" t="s">
        <v>176</v>
      </c>
      <c r="G5007">
        <v>454</v>
      </c>
      <c r="H5007">
        <v>142</v>
      </c>
      <c r="I5007" s="1" t="s">
        <v>226</v>
      </c>
      <c r="J5007">
        <v>7</v>
      </c>
      <c r="K5007" t="str">
        <f>IF(Tb_data[[#This Row],[previous_workers]]&lt;Tb_data[[#This Row],[workers]],"yes","no")</f>
        <v>yes</v>
      </c>
      <c r="L5007">
        <f>Tb_data[[#This Row],[workers]]-Tb_data[[#This Row],[previous_workers]]</f>
        <v>312</v>
      </c>
      <c r="M5007" s="12">
        <f>Tb_data[[#This Row],[Employees Growth]]/Tb_data[[#This Row],[previous_workers]]</f>
        <v>2.1971830985915495</v>
      </c>
    </row>
    <row r="5008" spans="1:13" x14ac:dyDescent="0.25">
      <c r="A5008" s="1" t="s">
        <v>1933</v>
      </c>
      <c r="B5008" s="1" t="s">
        <v>1934</v>
      </c>
      <c r="C5008" s="1">
        <v>2600000</v>
      </c>
      <c r="D5008" s="1" t="s">
        <v>123</v>
      </c>
      <c r="E5008">
        <v>465.51749999999998</v>
      </c>
      <c r="F5008" s="1" t="s">
        <v>25</v>
      </c>
      <c r="G5008">
        <v>3</v>
      </c>
      <c r="H5008">
        <v>2</v>
      </c>
      <c r="I5008" s="1" t="s">
        <v>130</v>
      </c>
      <c r="J5008">
        <v>1</v>
      </c>
      <c r="K5008" t="str">
        <f>IF(Tb_data[[#This Row],[previous_workers]]&lt;Tb_data[[#This Row],[workers]],"yes","no")</f>
        <v>yes</v>
      </c>
      <c r="L5008">
        <f>Tb_data[[#This Row],[workers]]-Tb_data[[#This Row],[previous_workers]]</f>
        <v>1</v>
      </c>
      <c r="M5008" s="12">
        <f>Tb_data[[#This Row],[Employees Growth]]/Tb_data[[#This Row],[previous_workers]]</f>
        <v>0.5</v>
      </c>
    </row>
    <row r="5009" spans="1:13" x14ac:dyDescent="0.25">
      <c r="A5009" s="1" t="s">
        <v>2302</v>
      </c>
      <c r="B5009" s="1" t="s">
        <v>2303</v>
      </c>
      <c r="C5009" s="1">
        <v>31400000</v>
      </c>
      <c r="D5009" s="1" t="s">
        <v>422</v>
      </c>
      <c r="E5009">
        <v>384.45260000000002</v>
      </c>
      <c r="F5009" s="1" t="s">
        <v>30</v>
      </c>
      <c r="G5009">
        <v>15</v>
      </c>
      <c r="H5009">
        <v>7</v>
      </c>
      <c r="I5009" s="1" t="s">
        <v>117</v>
      </c>
      <c r="J5009">
        <v>1</v>
      </c>
      <c r="K5009" t="str">
        <f>IF(Tb_data[[#This Row],[previous_workers]]&lt;Tb_data[[#This Row],[workers]],"yes","no")</f>
        <v>yes</v>
      </c>
      <c r="L5009">
        <f>Tb_data[[#This Row],[workers]]-Tb_data[[#This Row],[previous_workers]]</f>
        <v>8</v>
      </c>
      <c r="M5009" s="12">
        <f>Tb_data[[#This Row],[Employees Growth]]/Tb_data[[#This Row],[previous_workers]]</f>
        <v>1.1428571428571428</v>
      </c>
    </row>
    <row r="5010" spans="1:13" x14ac:dyDescent="0.25">
      <c r="A5010" s="1" t="s">
        <v>7839</v>
      </c>
      <c r="B5010" s="1" t="s">
        <v>7840</v>
      </c>
      <c r="C5010" s="1">
        <v>25000000</v>
      </c>
      <c r="D5010" s="1" t="s">
        <v>20</v>
      </c>
      <c r="E5010">
        <v>85.635199999999998</v>
      </c>
      <c r="F5010" s="1" t="s">
        <v>169</v>
      </c>
      <c r="G5010">
        <v>62</v>
      </c>
      <c r="H5010">
        <v>36</v>
      </c>
      <c r="I5010" s="1" t="s">
        <v>35</v>
      </c>
      <c r="J5010">
        <v>1</v>
      </c>
      <c r="K5010" t="str">
        <f>IF(Tb_data[[#This Row],[previous_workers]]&lt;Tb_data[[#This Row],[workers]],"yes","no")</f>
        <v>yes</v>
      </c>
      <c r="L5010">
        <f>Tb_data[[#This Row],[workers]]-Tb_data[[#This Row],[previous_workers]]</f>
        <v>26</v>
      </c>
      <c r="M5010" s="12">
        <f>Tb_data[[#This Row],[Employees Growth]]/Tb_data[[#This Row],[previous_workers]]</f>
        <v>0.72222222222222221</v>
      </c>
    </row>
    <row r="5011" spans="1:13" x14ac:dyDescent="0.25">
      <c r="A5011" s="1" t="s">
        <v>2422</v>
      </c>
      <c r="B5011" s="1" t="s">
        <v>2423</v>
      </c>
      <c r="C5011" s="1">
        <v>5400000</v>
      </c>
      <c r="D5011" s="1" t="s">
        <v>20</v>
      </c>
      <c r="E5011">
        <v>359.30950000000001</v>
      </c>
      <c r="F5011" s="1" t="s">
        <v>25</v>
      </c>
      <c r="G5011">
        <v>8</v>
      </c>
      <c r="H5011">
        <v>2</v>
      </c>
      <c r="I5011" s="1" t="s">
        <v>13</v>
      </c>
      <c r="J5011">
        <v>1</v>
      </c>
      <c r="K5011" t="str">
        <f>IF(Tb_data[[#This Row],[previous_workers]]&lt;Tb_data[[#This Row],[workers]],"yes","no")</f>
        <v>yes</v>
      </c>
      <c r="L5011">
        <f>Tb_data[[#This Row],[workers]]-Tb_data[[#This Row],[previous_workers]]</f>
        <v>6</v>
      </c>
      <c r="M5011" s="12">
        <f>Tb_data[[#This Row],[Employees Growth]]/Tb_data[[#This Row],[previous_workers]]</f>
        <v>3</v>
      </c>
    </row>
    <row r="5012" spans="1:13" x14ac:dyDescent="0.25">
      <c r="A5012" s="1" t="s">
        <v>6255</v>
      </c>
      <c r="B5012" s="1" t="s">
        <v>6256</v>
      </c>
      <c r="C5012" s="1">
        <v>21100000</v>
      </c>
      <c r="D5012" s="1" t="s">
        <v>91</v>
      </c>
      <c r="E5012">
        <v>120.2548</v>
      </c>
      <c r="F5012" s="1" t="s">
        <v>62</v>
      </c>
      <c r="G5012">
        <v>26</v>
      </c>
      <c r="H5012">
        <v>12</v>
      </c>
      <c r="I5012" s="1" t="s">
        <v>46</v>
      </c>
      <c r="J5012">
        <v>2</v>
      </c>
      <c r="K5012" t="str">
        <f>IF(Tb_data[[#This Row],[previous_workers]]&lt;Tb_data[[#This Row],[workers]],"yes","no")</f>
        <v>yes</v>
      </c>
      <c r="L5012">
        <f>Tb_data[[#This Row],[workers]]-Tb_data[[#This Row],[previous_workers]]</f>
        <v>14</v>
      </c>
      <c r="M5012" s="12">
        <f>Tb_data[[#This Row],[Employees Growth]]/Tb_data[[#This Row],[previous_workers]]</f>
        <v>1.1666666666666667</v>
      </c>
    </row>
    <row r="5013" spans="1:13" x14ac:dyDescent="0.25">
      <c r="A5013" s="1" t="s">
        <v>9155</v>
      </c>
      <c r="B5013" s="1" t="s">
        <v>9156</v>
      </c>
      <c r="C5013" s="1">
        <v>9800000</v>
      </c>
      <c r="D5013" s="1" t="s">
        <v>123</v>
      </c>
      <c r="E5013">
        <v>64.767700000000005</v>
      </c>
      <c r="F5013" s="1" t="s">
        <v>25</v>
      </c>
      <c r="G5013">
        <v>51</v>
      </c>
      <c r="H5013">
        <v>27</v>
      </c>
      <c r="I5013" s="1" t="s">
        <v>1051</v>
      </c>
      <c r="J5013">
        <v>2</v>
      </c>
      <c r="K5013" t="str">
        <f>IF(Tb_data[[#This Row],[previous_workers]]&lt;Tb_data[[#This Row],[workers]],"yes","no")</f>
        <v>yes</v>
      </c>
      <c r="L5013">
        <f>Tb_data[[#This Row],[workers]]-Tb_data[[#This Row],[previous_workers]]</f>
        <v>24</v>
      </c>
      <c r="M5013" s="12">
        <f>Tb_data[[#This Row],[Employees Growth]]/Tb_data[[#This Row],[previous_workers]]</f>
        <v>0.88888888888888884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DBB293-D0C6-430F-8023-6796A64CEB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Warzycha</dc:creator>
  <cp:lastModifiedBy>Patryk W</cp:lastModifiedBy>
  <dcterms:created xsi:type="dcterms:W3CDTF">2015-06-05T18:17:20Z</dcterms:created>
  <dcterms:modified xsi:type="dcterms:W3CDTF">2026-07-29T15:38:58Z</dcterms:modified>
</cp:coreProperties>
</file>